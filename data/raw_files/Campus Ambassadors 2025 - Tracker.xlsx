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 Updated till 27th Oct 202" sheetId="1" r:id="rId4"/>
    <sheet state="visible" name="Rejected Reviews" sheetId="2" r:id="rId5"/>
  </sheets>
  <definedNames>
    <definedName hidden="1" localSheetId="0" name="Z_10F367AC_11A1_4C57_B70E_E85EC8C11090_.wvu.FilterData">'Count Updated till 27th Oct 202'!$A$1:$Z$3994</definedName>
  </definedNames>
  <calcPr/>
  <customWorkbookViews>
    <customWorkbookView activeSheetId="0" maximized="1" windowHeight="0" windowWidth="0" guid="{10F367AC-11A1-4C57-B70E-E85EC8C11090}" name="Filter 1"/>
  </customWorkbookViews>
</workbook>
</file>

<file path=xl/sharedStrings.xml><?xml version="1.0" encoding="utf-8"?>
<sst xmlns="http://schemas.openxmlformats.org/spreadsheetml/2006/main" count="22236" uniqueCount="7936">
  <si>
    <t>REFERRAL CODE</t>
  </si>
  <si>
    <t>Published</t>
  </si>
  <si>
    <t>Rejected</t>
  </si>
  <si>
    <t>11th Oct 2025</t>
  </si>
  <si>
    <t xml:space="preserve">YugC378 </t>
  </si>
  <si>
    <t>Zakir Husain Delhi College, Delhi (B.Com Hons)</t>
  </si>
  <si>
    <t>Akram Miah</t>
  </si>
  <si>
    <t xml:space="preserve">reviewed on behalf of others. </t>
  </si>
  <si>
    <t xml:space="preserve">AashiC378 </t>
  </si>
  <si>
    <t>University School of Automation and Robotics, New Delhi (B.Tech Artificial Intelligence and Machine Learning)</t>
  </si>
  <si>
    <t>Dip Anshu</t>
  </si>
  <si>
    <t>Copied content/ reviewed on behalf of someone</t>
  </si>
  <si>
    <t>SRM University, Delhi-NCR, Sonepat (B.Tech Computer Science and Engineering)</t>
  </si>
  <si>
    <t>Akshaj Bagga</t>
  </si>
  <si>
    <t>Irrelevant Content</t>
  </si>
  <si>
    <t>Sister Nivedita University, Kolkata (BBA Digital Marketing Hons)</t>
  </si>
  <si>
    <t>N Praveen Kumar</t>
  </si>
  <si>
    <t xml:space="preserve"> SaniaC381 </t>
  </si>
  <si>
    <t>Maharaja Bir Bikram College, Agartala (BA)</t>
  </si>
  <si>
    <t>Die Debbarma</t>
  </si>
  <si>
    <t>Irrelevant Content/ Copied Content</t>
  </si>
  <si>
    <t>Tripura Institute of Technology, Agartala (B.Tech Computer Science and Engineering)</t>
  </si>
  <si>
    <t>Weezy Wenz</t>
  </si>
  <si>
    <t>Rita Tripura</t>
  </si>
  <si>
    <t>PARMUGILANC57</t>
  </si>
  <si>
    <t>SRM University AP, Amaravati (M.Tech Artificial Intelligence and Machine Learning)</t>
  </si>
  <si>
    <t>ANBNAYA</t>
  </si>
  <si>
    <t>cannot be mtech n btech together</t>
  </si>
  <si>
    <t>Santhiya S</t>
  </si>
  <si>
    <t>AyushC61</t>
  </si>
  <si>
    <t>Shri Govindram Seksaria Institute of Technology and Science, Indore (BE Electrical Engineering)</t>
  </si>
  <si>
    <t>Shri Govindram Seksaria Institute of Technology and Science, Indore (BE Computer Science and Engineering)</t>
  </si>
  <si>
    <t>Amity University, Gwalior (B.Tech Computer Science and Engineering)</t>
  </si>
  <si>
    <t>: Arpita Dhakad</t>
  </si>
  <si>
    <t>other</t>
  </si>
  <si>
    <t>Akshat khandelwal</t>
  </si>
  <si>
    <t>Ishaan Dhingra</t>
  </si>
  <si>
    <t>duplicate</t>
  </si>
  <si>
    <t>Shri Govindram Seksaria Institute of Technology and Science, Indore (BE Electronics and Instrumentation Engineering)</t>
  </si>
  <si>
    <t>Rithik Malviya</t>
  </si>
  <si>
    <t>spam</t>
  </si>
  <si>
    <t>Shri Govindram Seksaria Institute of Technology and Science, Indore (MBA)</t>
  </si>
  <si>
    <t>Aditya Billore</t>
  </si>
  <si>
    <t>Muthayammal Engineering College, Namakkal (B.Tech Information Technology)</t>
  </si>
  <si>
    <t>Santhosh Kumar</t>
  </si>
  <si>
    <t>reviewed diff colleges</t>
  </si>
  <si>
    <t>Muthayammal Engineering College, Namakkal (BE Computer Science and Engineering)</t>
  </si>
  <si>
    <t>Mugilan</t>
  </si>
  <si>
    <t>fake</t>
  </si>
  <si>
    <t>Karthick</t>
  </si>
  <si>
    <t>Periyar Arts College, Cuddalore (M.Sc Chemistry)</t>
  </si>
  <si>
    <t>Shalini</t>
  </si>
  <si>
    <t>Fake</t>
  </si>
  <si>
    <t>Periyar Arts College, Cuddalore (B.Sc Chemistry)</t>
  </si>
  <si>
    <t>Periyar EVR College, Tiruchirappalli (M.Sc Physics)</t>
  </si>
  <si>
    <t>Priya</t>
  </si>
  <si>
    <t>Periyar University, Salem (M.Sc Chemistry)</t>
  </si>
  <si>
    <t>Oviya</t>
  </si>
  <si>
    <t>RAM</t>
  </si>
  <si>
    <t>Paavai Engineering College, Pachal (B.Tech Information Technology)</t>
  </si>
  <si>
    <t>GARIMAC68</t>
  </si>
  <si>
    <t>Government Leather Institute, Agra (Diploma in Leather Technology Footwear Computer Aided Shoe Design)</t>
  </si>
  <si>
    <t>Garima</t>
  </si>
  <si>
    <t>reviewed 2 same level degree</t>
  </si>
  <si>
    <t>Muthayammal Engineering College, Namakkal (BE Electronics and Communication Engineering)</t>
  </si>
  <si>
    <t>Sarathi</t>
  </si>
  <si>
    <t>Joethi Lingam</t>
  </si>
  <si>
    <t>Paavai College of Engineering, Pachal (BE Electrical and Electronics Engineering)</t>
  </si>
  <si>
    <t>Periyar Arts College, Cuddalore (M.Sc Mathematics)</t>
  </si>
  <si>
    <t>Armstrong</t>
  </si>
  <si>
    <t>SRM University AP, Amaravati (Ph.D Computer Science)</t>
  </si>
  <si>
    <t>Kavi</t>
  </si>
  <si>
    <t>Periyar Arts College, Cuddalore (B.Sc Physics)</t>
  </si>
  <si>
    <t>bakkiyam</t>
  </si>
  <si>
    <t>Periyar Arts College, Cuddalore (M.Phil Physics)</t>
  </si>
  <si>
    <t>Periyar Arts College, Cuddalore (M.Sc Physics)</t>
  </si>
  <si>
    <t>Sangavi</t>
  </si>
  <si>
    <t>Periyar EVR College, Tiruchirappalli (M.Sc Chemistry)</t>
  </si>
  <si>
    <t>Kowshika</t>
  </si>
  <si>
    <t>Ramalingam</t>
  </si>
  <si>
    <t>Surthika</t>
  </si>
  <si>
    <t>Rakshika M</t>
  </si>
  <si>
    <t>Raga sandhiya</t>
  </si>
  <si>
    <t>Varsha</t>
  </si>
  <si>
    <t xml:space="preserve">spam </t>
  </si>
  <si>
    <t>Praveena</t>
  </si>
  <si>
    <t>Prithika Devi</t>
  </si>
  <si>
    <t>Sandhiya</t>
  </si>
  <si>
    <t>PRAGATHI</t>
  </si>
  <si>
    <t>: Sowmiya Lakshimi</t>
  </si>
  <si>
    <t>Monisha</t>
  </si>
  <si>
    <t>Sowmiya</t>
  </si>
  <si>
    <t>OjasvitaC69</t>
  </si>
  <si>
    <t>Shri Govindram Seksaria Institute of Technology and Science, Indore (BE Mechanical Engineering)</t>
  </si>
  <si>
    <t>Chandra shekhar sahu</t>
  </si>
  <si>
    <t>Content Violation</t>
  </si>
  <si>
    <t>SaniyaC68</t>
  </si>
  <si>
    <t>Shri Vaishnav Institute of Management, Indore (BBA)</t>
  </si>
  <si>
    <t>Garv Sharma</t>
  </si>
  <si>
    <t>KaranamC70</t>
  </si>
  <si>
    <t>Dadi Institute of Engineering and Technology, Visakhapatnam (B.Tech Electronics and Communication Engineering)</t>
  </si>
  <si>
    <t>Pillala Durga Prasad</t>
  </si>
  <si>
    <t>Shri Govindram Seksaria Institute of Technology and Science, Indore (BE Information Technology)</t>
  </si>
  <si>
    <t>Jabesar Bee</t>
  </si>
  <si>
    <t>Acropolis Institute of Technology and Research, Indore (B.Tech Computer Science and Engineering)</t>
  </si>
  <si>
    <t xml:space="preserve">Acropolis Institute of Technology and Research, Indore , b-tech </t>
  </si>
  <si>
    <t>Pragya mahalkari</t>
  </si>
  <si>
    <t>Shri Govindram Seksaria Institute of Technology and Science, Indore</t>
  </si>
  <si>
    <t>Mustafa sadriwala</t>
  </si>
  <si>
    <t>Dadi Institute of Engineering and Technology, Visakhapatnam (B.Tech Data Science)</t>
  </si>
  <si>
    <t>Vangapandu Sonalikha</t>
  </si>
  <si>
    <t>Acropolis Institute of Technology and Research, Indore (B.Tech Information Technology)</t>
  </si>
  <si>
    <t>Animesh verma</t>
  </si>
  <si>
    <t>Aayushi karamchandani</t>
  </si>
  <si>
    <t>Rajiv Gandhi Proudyogiki Vishwavidyalaya, Bhopal</t>
  </si>
  <si>
    <t>Shubhanshu bharadwaj</t>
  </si>
  <si>
    <t>AviC70</t>
  </si>
  <si>
    <t>Lakshmi Narn Caiollege of Technology, Bhopal (MCA)</t>
  </si>
  <si>
    <t>Shubh Shrivastav</t>
  </si>
  <si>
    <t>Content copied form another review</t>
  </si>
  <si>
    <t>Dadi Institute of Engineering and Technology, Visakhapatnam</t>
  </si>
  <si>
    <t>K Siddardha Reddy</t>
  </si>
  <si>
    <t>Govada Sai Akshat</t>
  </si>
  <si>
    <t>not verified</t>
  </si>
  <si>
    <t>N K V Prudhvi Raju</t>
  </si>
  <si>
    <t>Copied content</t>
  </si>
  <si>
    <t>K Teja sudheer</t>
  </si>
  <si>
    <t>Not verified</t>
  </si>
  <si>
    <t>Aditya Degree College, Gajuwaka (B.Sc-Mathematics, Physics and Computer Science)</t>
  </si>
  <si>
    <t>Rafiya Amrin Mohammad</t>
  </si>
  <si>
    <t>Fake review</t>
  </si>
  <si>
    <t>SRM Institute of Science and Technology, Chennai (MCA)</t>
  </si>
  <si>
    <t>Balaji V</t>
  </si>
  <si>
    <t>Content mismatch with rating</t>
  </si>
  <si>
    <t>SRM Institute of Science and Technology, Chennai (B.Tech Electronics and Communication Engineering)</t>
  </si>
  <si>
    <t>Praveen Kumar</t>
  </si>
  <si>
    <t>SRM Institute of Science and Technology, Chennai (B.Tech Computer Science and Engineering)</t>
  </si>
  <si>
    <t>Manasa</t>
  </si>
  <si>
    <t>Content mismatch with parameters</t>
  </si>
  <si>
    <t>SRM Institute of Science and Technology, Chennai (B.Tech Biomedical Engineering)</t>
  </si>
  <si>
    <t>Pragya Agarwal</t>
  </si>
  <si>
    <t>Jawaharlal Nehru Technological University, Kakinada (B.Tech Petroleum Technology)</t>
  </si>
  <si>
    <t>Sri Charan</t>
  </si>
  <si>
    <t>Spam</t>
  </si>
  <si>
    <t>ShivanshuC70</t>
  </si>
  <si>
    <t>Ramjas College, Delhi (BA Hindi Hons)</t>
  </si>
  <si>
    <t>Wanzari</t>
  </si>
  <si>
    <t>fake mail</t>
  </si>
  <si>
    <t>MoolC71</t>
  </si>
  <si>
    <t>Jai Narain Vyas University, Jodhpur (BBA)</t>
  </si>
  <si>
    <t>Mool</t>
  </si>
  <si>
    <t>Baddi University of Emerging Sciences and Technology, Baddi (MBA)</t>
  </si>
  <si>
    <t>mool8982</t>
  </si>
  <si>
    <t>ShristiC71</t>
  </si>
  <si>
    <t>Lovely Professional University, Phagwara (BBA)</t>
  </si>
  <si>
    <t>Adarsh</t>
  </si>
  <si>
    <t>National Institute of Technology Patna (B.Tech Computer Science and Engineering)</t>
  </si>
  <si>
    <t>HARSH RAJ</t>
  </si>
  <si>
    <t>DivyanshC72</t>
  </si>
  <si>
    <t>SVKM's NMIMS School of Business Management, Navi Mumbai</t>
  </si>
  <si>
    <t>vanshitashirke</t>
  </si>
  <si>
    <t xml:space="preserve">NMIMS School of Hospitality Management, Navi Mumbai
</t>
  </si>
  <si>
    <t>Divya Agrawal</t>
  </si>
  <si>
    <t>NMIMS School of Hospitality Management, Navi Mumbai (BBA Hospitality Operations and Management</t>
  </si>
  <si>
    <t>SVKM's NMIMS School of Business Management, Navi Mumbai (BBA)</t>
  </si>
  <si>
    <t>Mehul Kathuria</t>
  </si>
  <si>
    <t>RidhimaC72</t>
  </si>
  <si>
    <t>Poornima College of Engineering, Jaipur (B.Tech Computer Engineering)</t>
  </si>
  <si>
    <t>GLA University, Mathura (B.Tech Computer Science and Engineering)</t>
  </si>
  <si>
    <t>Navya</t>
  </si>
  <si>
    <t>Dayalbagh Educational Institute, Agra</t>
  </si>
  <si>
    <t>Diya Agarwal</t>
  </si>
  <si>
    <t>GourinadhaC74</t>
  </si>
  <si>
    <t>Eluru College of Engineering and Technology, Eluru (B.Tech Computer Science and Engineering)</t>
  </si>
  <si>
    <t>Srinivas .M</t>
  </si>
  <si>
    <t>Eluru College of Engineering and Technology, Eluru (B.Tech Electronics and Communication Engineering)</t>
  </si>
  <si>
    <t>Yashwanth Payavula</t>
  </si>
  <si>
    <t>Kakinada Institute of Engineering and Technology, Korangi (Diploma in Computer Science and Engineering)</t>
  </si>
  <si>
    <t>BHIMAVARAPU LUKE BABU</t>
  </si>
  <si>
    <t>dont match parameters</t>
  </si>
  <si>
    <t>SanchiC76</t>
  </si>
  <si>
    <t>Aditya Silver Oak Institute of Technology, Ahmedabad (B.Tech Computer Engineering)</t>
  </si>
  <si>
    <t>SMIT JOSHI</t>
  </si>
  <si>
    <t>Content repeatition</t>
  </si>
  <si>
    <t>AryanC75</t>
  </si>
  <si>
    <t>Little Stars</t>
  </si>
  <si>
    <t xml:space="preserve">msimatched with LInledIN </t>
  </si>
  <si>
    <t>Symbiosis Center for Distance Learning, Pune (Post Graduate Diploma in Business Administration)</t>
  </si>
  <si>
    <t>Niyorkona Bora</t>
  </si>
  <si>
    <t>Fqke Review</t>
  </si>
  <si>
    <t>ZaaraC75</t>
  </si>
  <si>
    <t>NIIT University, Neemrana (B.Tech Computer Science and Engineering)</t>
  </si>
  <si>
    <t>Rohan</t>
  </si>
  <si>
    <t>DhritimaanC76</t>
  </si>
  <si>
    <t>Cotton College State University, Guwahati (B.Sc Chemistry)</t>
  </si>
  <si>
    <t>Dhritimaan Mahanta</t>
  </si>
  <si>
    <t>Duplicate review</t>
  </si>
  <si>
    <t>National Institute of Technology Silchar (B.Tech Electronics and Instrumentation Engineering)</t>
  </si>
  <si>
    <t>Rishabh Bamne</t>
  </si>
  <si>
    <t>Guwahati College, Guwahati (B.Sc)</t>
  </si>
  <si>
    <t>MuskanC76</t>
  </si>
  <si>
    <t>Kirori Mal College, Delhi (BA)</t>
  </si>
  <si>
    <t>Gurvinder Singh</t>
  </si>
  <si>
    <t>Smt Bhagwati Devi Jain Girls PG College, Agra (BA)</t>
  </si>
  <si>
    <t>Jagrati Jain</t>
  </si>
  <si>
    <t>SRM University, Delhi-NCR, Sonepat (B.Tech Computer Science and Engineering with Specialization in Data Science and Artificial Intelligence in Association with IBM)</t>
  </si>
  <si>
    <t>Jayshree Tanwar</t>
  </si>
  <si>
    <t>Verification details mismatch</t>
  </si>
  <si>
    <t>Maharaja Agrasen College, Delhi (BA Computer Applications and Mathematics)</t>
  </si>
  <si>
    <t>shrivastavapaayas</t>
  </si>
  <si>
    <t>Similar content in multiple reviews</t>
  </si>
  <si>
    <t>SRM University, Delhi-NCR, Sonepat (M.Tech Computer Science and Engineering with specialization Cloud computing and Mobile Based Application)</t>
  </si>
  <si>
    <t>Manya Gupta</t>
  </si>
  <si>
    <t>Same content in multiple reviews</t>
  </si>
  <si>
    <t>Lakhimpur Medical College, Lakhimpur (MBBS)</t>
  </si>
  <si>
    <t>B D</t>
  </si>
  <si>
    <t>Invalid mail id</t>
  </si>
  <si>
    <t>Naman Jain</t>
  </si>
  <si>
    <t>Shivankur Sharma</t>
  </si>
  <si>
    <t>DeepakC74</t>
  </si>
  <si>
    <t>PGDAV College, Delhi (B.Com Hons)</t>
  </si>
  <si>
    <t>sweta</t>
  </si>
  <si>
    <t>St Aloysius Institute of Technology, Jabalpur (BE Computer Science and Engineering)</t>
  </si>
  <si>
    <t>Bhabendra sarkar</t>
  </si>
  <si>
    <t>Assam Engineering Institute, Guwahati (Diploma in Computer Engineering)</t>
  </si>
  <si>
    <t>Birbhadra Deka</t>
  </si>
  <si>
    <t>RajatC77</t>
  </si>
  <si>
    <t>Govind Ballabh Pant Institute of Engineering and Technology, Pauri Garhwal (B.Tech Electronics and Communication Engineering)</t>
  </si>
  <si>
    <t>mohit rawat</t>
  </si>
  <si>
    <t>Irrelevant content</t>
  </si>
  <si>
    <t>SohamC76</t>
  </si>
  <si>
    <t>Regional Institute of Education, Bhubaneswar (B.Ed)</t>
  </si>
  <si>
    <t>Rimpa Ghosh</t>
  </si>
  <si>
    <t>VegiC77</t>
  </si>
  <si>
    <t>Rajamahendri Institute of Engineering and Technology, Rajahmundry (B.Tech Electronics and Communication Engineering)</t>
  </si>
  <si>
    <t>J Mahesh Kumar</t>
  </si>
  <si>
    <t>Assam Engineering College, Guwahati (BE Civil Engineering)</t>
  </si>
  <si>
    <t>Rashi</t>
  </si>
  <si>
    <t>Jorhat Engineering College, Jorhat (BE Computer Science Engineering)</t>
  </si>
  <si>
    <t>MediniC77</t>
  </si>
  <si>
    <t>Mahadevappa Rampure Medical College, Gulbarga (MBBS)</t>
  </si>
  <si>
    <t>Ananya</t>
  </si>
  <si>
    <t>content not understandable</t>
  </si>
  <si>
    <t>ssjeere</t>
  </si>
  <si>
    <t xml:space="preserve">need verification </t>
  </si>
  <si>
    <t>HKDET's Dental College Hospital and Research Institute, Humnabad (BDS)</t>
  </si>
  <si>
    <t>Ashwini jeere</t>
  </si>
  <si>
    <t>Content mismatch with parameter</t>
  </si>
  <si>
    <t>Karnataka University, Dharwad (M.Sc Mathematics)</t>
  </si>
  <si>
    <t>Sapna Jeere</t>
  </si>
  <si>
    <t>vishalC77</t>
  </si>
  <si>
    <t>SJB Institute of Technology, Bangalore (BE Information Science and Engineering)</t>
  </si>
  <si>
    <t>Vishal Thakur</t>
  </si>
  <si>
    <t>National Institute of Technology Silchar (B.Tech Electrical Engineering)</t>
  </si>
  <si>
    <t>Angshuman Boruah</t>
  </si>
  <si>
    <t xml:space="preserve">not valid details </t>
  </si>
  <si>
    <t>KS Rangasamy College of Technology, Tiruchengode (BE Mechanical Engineering)</t>
  </si>
  <si>
    <t>MNJ</t>
  </si>
  <si>
    <t>Chadalawada Ramanamma Engineering College, Tirupati (B.Tech Computer Science and Engineering)</t>
  </si>
  <si>
    <t>P Padmavati</t>
  </si>
  <si>
    <t>Chadalawada Ramanamma Engineering College, Tirupati (B.Tech Electrical and Electronics Engineering)</t>
  </si>
  <si>
    <t>A yasaswini</t>
  </si>
  <si>
    <t>Nadimpalli Satyanarayana Raju Institute of Technology, Visakhapatnam (B.Tech Electronics and Communication Engineering)</t>
  </si>
  <si>
    <t>P Jaya</t>
  </si>
  <si>
    <t>Nadimpalli Satyanarayana Raju Institute of Technology, Visakhapatnam (B.Tech Computer Science and Engineering)</t>
  </si>
  <si>
    <t>M Vennela</t>
  </si>
  <si>
    <t>Nadimpalli Satyanarayana Raju Institute of Technology, Visakhapatnam (B.Tech Civil Engineering)</t>
  </si>
  <si>
    <t>K Srinu</t>
  </si>
  <si>
    <t>Banaras Hindu University, Varanasi (MA English)</t>
  </si>
  <si>
    <t>Rintu mahapatra</t>
  </si>
  <si>
    <t>Manipal Institute of Technology, Manipal (B.Tech Chemical Engineering)</t>
  </si>
  <si>
    <t>Cassandra Brooks</t>
  </si>
  <si>
    <t>Wrong verification</t>
  </si>
  <si>
    <t>Jagannath Kishore College, Purulia (BA English Hons)</t>
  </si>
  <si>
    <t>Ranchi Women's College, Ranchi (B.Sc Mathematics Hons)</t>
  </si>
  <si>
    <t>Amisha Singh</t>
  </si>
  <si>
    <t>Indian Institute of Information Technology, Nagpur (B.Tech Computer Science and Engineering)</t>
  </si>
  <si>
    <t>Sujay Jayesh Kamble</t>
  </si>
  <si>
    <t>Manipal Institute of Technology, Manipal (B.Tech Mechanical Engineering)</t>
  </si>
  <si>
    <t>Nidhi Singh</t>
  </si>
  <si>
    <t>Min. word limit not reached</t>
  </si>
  <si>
    <t>Shruti</t>
  </si>
  <si>
    <t>insuff content</t>
  </si>
  <si>
    <t>Regional Institute of Education, Bhubaneswar</t>
  </si>
  <si>
    <t>Suman das</t>
  </si>
  <si>
    <t>can review only 1 degree at the same level</t>
  </si>
  <si>
    <t>Meenakshi Bharti</t>
  </si>
  <si>
    <t>Gangadhar Meher University, Sambalpur (BA Political Science Hons)</t>
  </si>
  <si>
    <t>Shashanka Sekhar Nath</t>
  </si>
  <si>
    <t>Marwadi University, Rajkot (BA)</t>
  </si>
  <si>
    <t>DHEERAJ Singh</t>
  </si>
  <si>
    <t>content mismatch with parameter</t>
  </si>
  <si>
    <t>St Columba's College, Hazaribagh (B.Sc Chemistry Hons)</t>
  </si>
  <si>
    <t>SUNNY KUMAR</t>
  </si>
  <si>
    <t>PGDAV Evening College, New Delhi (B.Com)</t>
  </si>
  <si>
    <t>Abhay Yadav</t>
  </si>
  <si>
    <t>Copied and repeated content</t>
  </si>
  <si>
    <t>Devansh Kuril</t>
  </si>
  <si>
    <t>same content in 2 reviews</t>
  </si>
  <si>
    <t>Keerti prajapati</t>
  </si>
  <si>
    <t>BushraC78</t>
  </si>
  <si>
    <t>Delhi Institute of Pharmaceutical Sciences and Research, New Delhi (B.Pharma)</t>
  </si>
  <si>
    <t>Akhil kumar pal</t>
  </si>
  <si>
    <t>Delhi Pharmaceutical Sciences and Research University, New Delhi (BMLT)</t>
  </si>
  <si>
    <t>Bushra Rehman</t>
  </si>
  <si>
    <t>Anushree D Nair</t>
  </si>
  <si>
    <t>NehaC78</t>
  </si>
  <si>
    <t>Malla Reddy Engineering College for Women, Secunderabad (B.Tech Information Technology)</t>
  </si>
  <si>
    <t>Neha Siddiqa</t>
  </si>
  <si>
    <t>duplicate review</t>
  </si>
  <si>
    <t>Jatinc78</t>
  </si>
  <si>
    <t>University Maharani College, Jaipur (B.Sc Biology Group)</t>
  </si>
  <si>
    <t>Khushi</t>
  </si>
  <si>
    <t>MrigakshiC78</t>
  </si>
  <si>
    <t>Institute of Hotel Management, Bangalore (B.Sc Hospitality and Hotel Administration)</t>
  </si>
  <si>
    <t>Being Axomiya</t>
  </si>
  <si>
    <t>Invalid verification</t>
  </si>
  <si>
    <t>BhavyaC78</t>
  </si>
  <si>
    <t>University Institute of Engineering and Technology, Panjab University, Chandigarh (BE Electronics and Communication Engineering)</t>
  </si>
  <si>
    <t>raghav</t>
  </si>
  <si>
    <t>Incomplete review</t>
  </si>
  <si>
    <t>Mata Sundri College for Women, New Delhi (BA Psychology Hons)</t>
  </si>
  <si>
    <t>Kripa Kaur chadha</t>
  </si>
  <si>
    <t>Christ University, Kengeri Campus, Bengaluru (B.Tech Electronics and Communications Engineering)</t>
  </si>
  <si>
    <t>Aditi Bashaboyina</t>
  </si>
  <si>
    <t>KunalC78</t>
  </si>
  <si>
    <t>Maharaja Agrasen Institute of Management Studies, Delhi (BBA)</t>
  </si>
  <si>
    <t>Abhi</t>
  </si>
  <si>
    <t>AmbujC78</t>
  </si>
  <si>
    <t>ABES Engineering College, Ghaziabad (B.Tech Computer Science and Engineering)</t>
  </si>
  <si>
    <t>Mayank Yadav</t>
  </si>
  <si>
    <t>AtulC78</t>
  </si>
  <si>
    <t>Delhi Technological University, Delhi (B.Tech Computer Engineering)</t>
  </si>
  <si>
    <t>Shweta Kushagra</t>
  </si>
  <si>
    <t>ArjabC78</t>
  </si>
  <si>
    <t>Institute of Engineering and Management, Kolkata</t>
  </si>
  <si>
    <t>SOUMITA MANDAL</t>
  </si>
  <si>
    <t>Institute of Engineering and Management, Kolkata (B.Tech Information Technology)</t>
  </si>
  <si>
    <t>Priyanjana Paul</t>
  </si>
  <si>
    <t>DevrajC78</t>
  </si>
  <si>
    <t>Manipal University, Jaipur (B.Tech Computer Science and Engineering)</t>
  </si>
  <si>
    <t>Devraj</t>
  </si>
  <si>
    <t>Kalinga Institute of Industrial Technology, Bhubaneswar (B.Tech Computer Science and Engineering)</t>
  </si>
  <si>
    <t>Soham Pal</t>
  </si>
  <si>
    <t>KarthikC78</t>
  </si>
  <si>
    <t>CSI College of Engineering, Nilgiris (B.Tech Artificial Intelligence and Data Science)</t>
  </si>
  <si>
    <t>R Sharan</t>
  </si>
  <si>
    <t>St Xavier's College, Kolkata (BA English Hons)</t>
  </si>
  <si>
    <t>M.Roy</t>
  </si>
  <si>
    <t>AdityaC79</t>
  </si>
  <si>
    <t>Birla Institute of Applied Sciences, Nainital (B.Tech Electronics and Communication Engineering)</t>
  </si>
  <si>
    <t>Brahmakamal Adventures</t>
  </si>
  <si>
    <t>repeatition of words</t>
  </si>
  <si>
    <t>JunaidC79</t>
  </si>
  <si>
    <t>Integral University, Lucknow (Pharm.D)</t>
  </si>
  <si>
    <t>Basharat Basir</t>
  </si>
  <si>
    <t>wrong graduation year selected</t>
  </si>
  <si>
    <t>AmarjeetC79</t>
  </si>
  <si>
    <t>Madan Mohan Malaviya University of Technology, Gorakhpur (B.Tech Computer Science and Engineering)</t>
  </si>
  <si>
    <t>kuvar2003</t>
  </si>
  <si>
    <t>verification details mismatch</t>
  </si>
  <si>
    <t>YellapuC78</t>
  </si>
  <si>
    <t>Gayatri Vidya Parishad College of Engineering, Visakhapatnam (B.Tech Computer Science and Engineering)</t>
  </si>
  <si>
    <t>Bhargavi durga jada</t>
  </si>
  <si>
    <t>R.ArivenkatesanC79</t>
  </si>
  <si>
    <t>Excel Engineering College, Namakkal (B.Tech Information Technology)</t>
  </si>
  <si>
    <t>Ari Venkatesan</t>
  </si>
  <si>
    <t>SuhaniC79</t>
  </si>
  <si>
    <t>Mount Carmel College, Bangalore (B.Com)</t>
  </si>
  <si>
    <t>Shrishti Singh Chauhan</t>
  </si>
  <si>
    <t>Irrelevent content</t>
  </si>
  <si>
    <t>Isabella Thoburn College, Lucknow (BA)</t>
  </si>
  <si>
    <t>Dimpal Bharti</t>
  </si>
  <si>
    <t>Repeatition of content</t>
  </si>
  <si>
    <t>Memorial University of Newfoundland, St John's (Doctor of Medicine)</t>
  </si>
  <si>
    <t>Abul Hasan</t>
  </si>
  <si>
    <t xml:space="preserve">Content mismatched with course </t>
  </si>
  <si>
    <t>IshuC79</t>
  </si>
  <si>
    <t>Lovely Professional University, Phagwara (B.Tech Aerospace Engineering)</t>
  </si>
  <si>
    <t>Hardyansh Agrawal</t>
  </si>
  <si>
    <t xml:space="preserve">similar content </t>
  </si>
  <si>
    <t>Gayatri Sahoo</t>
  </si>
  <si>
    <t>Adrian</t>
  </si>
  <si>
    <t xml:space="preserve">mail mismatched </t>
  </si>
  <si>
    <t>MunagalaC79</t>
  </si>
  <si>
    <t>Indian Institute of Technology Delhi</t>
  </si>
  <si>
    <t>Revanth kumar munagala</t>
  </si>
  <si>
    <t xml:space="preserve">college name mismatched with LInkedIN </t>
  </si>
  <si>
    <t>Need verification proof</t>
  </si>
  <si>
    <t>NehaC79</t>
  </si>
  <si>
    <t>National Institute of Technology Hamirpur (B.Tech Materials Science and Engineering)</t>
  </si>
  <si>
    <t>Ruchika</t>
  </si>
  <si>
    <t>AdrijaC79</t>
  </si>
  <si>
    <t>Narula Institute of Technology, Agarpara (B.Tech Computer Science and Engineering)</t>
  </si>
  <si>
    <t>Snigdha Pal_167</t>
  </si>
  <si>
    <t xml:space="preserve">fake mail </t>
  </si>
  <si>
    <t>Birla Institute of Applied Sciences, Nainital (B.Tech Computer Science and Engineering)</t>
  </si>
  <si>
    <t>Aditya Rana</t>
  </si>
  <si>
    <t xml:space="preserve">not valid comtent </t>
  </si>
  <si>
    <t>Monjima Dey</t>
  </si>
  <si>
    <t xml:space="preserve">content voilation </t>
  </si>
  <si>
    <t>Sreejitava Sen</t>
  </si>
  <si>
    <t>Kabir Anas</t>
  </si>
  <si>
    <t>Shreya Jha</t>
  </si>
  <si>
    <t>Panchatapa Mandal</t>
  </si>
  <si>
    <t>Purulia Government Medical College and Hospital, Purulia (MBBS)</t>
  </si>
  <si>
    <t>Shreyachatterjee</t>
  </si>
  <si>
    <t>Saikat</t>
  </si>
  <si>
    <t>Soumojit Datta</t>
  </si>
  <si>
    <t>Nayan</t>
  </si>
  <si>
    <t>Chandigarh University, Chandigarh (BE Computer Science and Engineering)</t>
  </si>
  <si>
    <t xml:space="preserve">Copied content </t>
  </si>
  <si>
    <t xml:space="preserve"> AdrijaC79</t>
  </si>
  <si>
    <t>PrakharC80</t>
  </si>
  <si>
    <t>Acropolis Institute of Management Studies and Research, Indore (BBA)</t>
  </si>
  <si>
    <t>Pooja jhawar</t>
  </si>
  <si>
    <t>Institute of Business Management and Research, IPS Academy, Indore (BBA)</t>
  </si>
  <si>
    <t>prakhar maheshwari</t>
  </si>
  <si>
    <t>Academy of Technology, Hooghly (B.Tech Computer Science and Engineering)</t>
  </si>
  <si>
    <t>Sk Asif Ali</t>
  </si>
  <si>
    <t>St Xaviers College, Burdwan (B.Com Accountancy Hons)</t>
  </si>
  <si>
    <t>Abhilasha Shaw</t>
  </si>
  <si>
    <t>SiddharthC80</t>
  </si>
  <si>
    <t>Chhatrapati Shahu Ji Maharaj University, Kanpur (B.Sc)</t>
  </si>
  <si>
    <t>Shashank</t>
  </si>
  <si>
    <t>Fake verification</t>
  </si>
  <si>
    <t>SAGE University, Indore (BBA)</t>
  </si>
  <si>
    <t>Raj Ojha</t>
  </si>
  <si>
    <t>Prestige Institute of Management and Research, Indore</t>
  </si>
  <si>
    <t>Acropolis Institute of Management Studies and Research, Indore (B.Com)</t>
  </si>
  <si>
    <t>Ishita kabra</t>
  </si>
  <si>
    <t>KavyanshaC80</t>
  </si>
  <si>
    <t>Chanderprabhu Jain College of Higher Studies and School of Law, Delhi (BBA Computer Aided Management)</t>
  </si>
  <si>
    <t>yashika sethi</t>
  </si>
  <si>
    <t>Copied cpntent</t>
  </si>
  <si>
    <t>Prince Dubey</t>
  </si>
  <si>
    <t>Need ID proof verification</t>
  </si>
  <si>
    <t>Acropolis Institute of Technology and Research, Indore</t>
  </si>
  <si>
    <t>dravinbhardwajiitdelhi</t>
  </si>
  <si>
    <t>PrakharC08</t>
  </si>
  <si>
    <t>Indore Institute of Management and Research, Indore (MBA)</t>
  </si>
  <si>
    <t>mail mismatched</t>
  </si>
  <si>
    <t>Need id proof</t>
  </si>
  <si>
    <t>Lovely Professional University, Phagwara (B.Tech Mechanical Engineering)</t>
  </si>
  <si>
    <t>Vijayprakashm</t>
  </si>
  <si>
    <t>Swati Yadav</t>
  </si>
  <si>
    <t>National Institute of Technology Hamirpur (B.Tech Mechanical Engineering)</t>
  </si>
  <si>
    <t>Prabhat Singh</t>
  </si>
  <si>
    <t xml:space="preserve">copied details </t>
  </si>
  <si>
    <t>Lovely Professional University, Phagwara (B.Tech Computer Science and Engineering)</t>
  </si>
  <si>
    <t>Preet</t>
  </si>
  <si>
    <t>Lovely Professional University, Phagwara (B.Pharma)</t>
  </si>
  <si>
    <t>Ishika Thakur</t>
  </si>
  <si>
    <t>Banasthali Vidyapith, Banasthali (BA LLB)</t>
  </si>
  <si>
    <t>Archana Kumari</t>
  </si>
  <si>
    <t>invalid details (mail)</t>
  </si>
  <si>
    <t>Kirori Mal College, Delhi (B.Com)</t>
  </si>
  <si>
    <t>Muskan Verma</t>
  </si>
  <si>
    <t xml:space="preserve">duplicate reviews </t>
  </si>
  <si>
    <t>Midnapore Medical College, Midnapore (MBBS)</t>
  </si>
  <si>
    <t>Sneha Mandi</t>
  </si>
  <si>
    <t>sarodaroy43</t>
  </si>
  <si>
    <t>Abhishek Mahajan</t>
  </si>
  <si>
    <t>Sri Guru Nanak Dev Khalsa College, Delhi (BA Business Economics Hons Self Finance)</t>
  </si>
  <si>
    <t>Manjot Singh</t>
  </si>
  <si>
    <t>National Institute of Technology Hamirpur (B.Tech Electrical Engineering)</t>
  </si>
  <si>
    <t>Akshita</t>
  </si>
  <si>
    <t>SRM Institute of Science and Technology, Chennai (B.Tech Computer Science and Business Systems)</t>
  </si>
  <si>
    <t>Nuha Bind Akbar</t>
  </si>
  <si>
    <t>SBES College of Science, Aurangabad (B.Sc Computer Science)</t>
  </si>
  <si>
    <t>Aditi Kothekar</t>
  </si>
  <si>
    <t>AneetaC80</t>
  </si>
  <si>
    <t>Jyothi Engineering College, Thrissur (B.Tech Electronics and Communication Engineering)</t>
  </si>
  <si>
    <t>Kiara</t>
  </si>
  <si>
    <t>Felcy</t>
  </si>
  <si>
    <t>Prajes das</t>
  </si>
  <si>
    <t>LALIT GADIA</t>
  </si>
  <si>
    <t>Danujasri M</t>
  </si>
  <si>
    <t>MARTIN</t>
  </si>
  <si>
    <t>Aditya Parashar</t>
  </si>
  <si>
    <t>Indian Institute of Tourism and Travel Management, Gwalior (MBA Tourism and Travel)</t>
  </si>
  <si>
    <t>Jitendra tripathi</t>
  </si>
  <si>
    <t xml:space="preserve">reapeated content in parameter </t>
  </si>
  <si>
    <t>ShrutiC81</t>
  </si>
  <si>
    <t>Maharaja Surajmal Institute, New Delhi (BCA)</t>
  </si>
  <si>
    <t>Karan Dubey</t>
  </si>
  <si>
    <t>VaibhavC81</t>
  </si>
  <si>
    <t>Shobhit University, Gangoh (MBA)</t>
  </si>
  <si>
    <t>Music Record Factory</t>
  </si>
  <si>
    <t>Review is not written by reviewer himself</t>
  </si>
  <si>
    <t>SanchitC81</t>
  </si>
  <si>
    <t>Dronacharya College of Engineering, Gurgaon (B.Tech Computer Science and Engineering)</t>
  </si>
  <si>
    <t>Bhupendra</t>
  </si>
  <si>
    <t>Amansan rai</t>
  </si>
  <si>
    <t>similar content in multiple review</t>
  </si>
  <si>
    <t>Sahil</t>
  </si>
  <si>
    <t>Chanderprabhu Jain College of Higher Studies and School of Law, Delhi (BCA)</t>
  </si>
  <si>
    <t>Nupur jain</t>
  </si>
  <si>
    <t>Sri Guru Nanak Dev Khalsa College, Delhi (B.Com Hons)</t>
  </si>
  <si>
    <t>Div kaur</t>
  </si>
  <si>
    <t>National Institute of Technology Hamirpur (B.Tech Mathematics and Computing)</t>
  </si>
  <si>
    <t>Anish</t>
  </si>
  <si>
    <t>NehaC79h</t>
  </si>
  <si>
    <t>Yogesh</t>
  </si>
  <si>
    <t>Nehac79</t>
  </si>
  <si>
    <t>National Institute of Technology Hamirpur (B.Tech Electronics and Communication Engineering)</t>
  </si>
  <si>
    <t>Sheelendra pratap</t>
  </si>
  <si>
    <t xml:space="preserve">reapeated content in every parameter </t>
  </si>
  <si>
    <t>SRM University AP, Amaravati (B.Tech Computer Science and Engineering)</t>
  </si>
  <si>
    <t>Ajay Singh Tanwar</t>
  </si>
  <si>
    <t>National Institute of Technology Hamirpur (B.Tech and M.Tech Electronics and Communication Engineering Dual Degree)</t>
  </si>
  <si>
    <t>Chhavi</t>
  </si>
  <si>
    <t>National Institute of Technology Raipur (B.Tech Metallurgical and Materials Engineering)</t>
  </si>
  <si>
    <t>Sakshi</t>
  </si>
  <si>
    <t>LNM Institute of Information Technology, Jaipur (B.Tech Communication and Computer Engineering)</t>
  </si>
  <si>
    <t>Nikhil</t>
  </si>
  <si>
    <t>Naman Srivastava</t>
  </si>
  <si>
    <t>Lovely Professional University, Phagwara (B.Tech Biotechnology)</t>
  </si>
  <si>
    <t>Ishu Saini</t>
  </si>
  <si>
    <t xml:space="preserve">maid id </t>
  </si>
  <si>
    <t>Rajkumar Shah</t>
  </si>
  <si>
    <t>Rithin Raj</t>
  </si>
  <si>
    <t>Nikhil Laskotra</t>
  </si>
  <si>
    <t>Aishi Paul</t>
  </si>
  <si>
    <t>Symbiosis Institute of Business Management, Bengaluru (MBA)</t>
  </si>
  <si>
    <t>shubham sonawane</t>
  </si>
  <si>
    <t>Motilal Nehru College, New Delhi (B.Com Hons)</t>
  </si>
  <si>
    <t>Manan</t>
  </si>
  <si>
    <t>SARIKA YADAV</t>
  </si>
  <si>
    <t>National Institute of Technology Hamirpur (B.Tech Chemical Engineering)</t>
  </si>
  <si>
    <t>Gungun</t>
  </si>
  <si>
    <t>Content violation</t>
  </si>
  <si>
    <t>Christ Institute of Management, Pune (MBA)</t>
  </si>
  <si>
    <t>Lalit Maheshwari</t>
  </si>
  <si>
    <t>spam (id proof needed)</t>
  </si>
  <si>
    <t>Dr B R Ambedkar National Institute of Technology Jalandhar (B.Tech Industrial and Production Engineering)</t>
  </si>
  <si>
    <t>Mr Paradox</t>
  </si>
  <si>
    <t>invalid user</t>
  </si>
  <si>
    <t>Madan Mohan Malaviya University of Technology, Gorakhpur (B.Tech Information Technology)</t>
  </si>
  <si>
    <t>Adarsh Singh</t>
  </si>
  <si>
    <t>Invalid  mail id</t>
  </si>
  <si>
    <t>Hansraj College, Delhi (B.Com Hons)</t>
  </si>
  <si>
    <t>Kalash Lamba</t>
  </si>
  <si>
    <t>name id mismatch</t>
  </si>
  <si>
    <t>Indian Institute of Technology Roorkee (B.Tech Computer Science and Engineering)</t>
  </si>
  <si>
    <t>Vikas Don</t>
  </si>
  <si>
    <t>content violation</t>
  </si>
  <si>
    <t xml:space="preserve"> SURAJMI127</t>
  </si>
  <si>
    <t>College of Engineering Roorkee, Roorkee (MCA)</t>
  </si>
  <si>
    <t>Pallavi saini</t>
  </si>
  <si>
    <t xml:space="preserve">course mismatche with LinkedIn </t>
  </si>
  <si>
    <t>NishantMI98</t>
  </si>
  <si>
    <t>BML Munjal University, Gurgaon (B.Tech Computer Science and Engineering)</t>
  </si>
  <si>
    <t>Sahil Thukran</t>
  </si>
  <si>
    <t>spam (NOT verified LinkedIN )</t>
  </si>
  <si>
    <t>Saanvee Sharma</t>
  </si>
  <si>
    <t>NMI99</t>
  </si>
  <si>
    <t>Sardar Vallabhbhai National Institute of Technology Surat (B.Tech Mechanical Engineering)</t>
  </si>
  <si>
    <t>Param bhavsar</t>
  </si>
  <si>
    <t>Sardar Vallabhbhai National Institute of Technology Surat (B.Tech Electronics and Communication Engineering)</t>
  </si>
  <si>
    <t>Sohankumar patel</t>
  </si>
  <si>
    <t>Sardar Vallabhbhai National Institute of Technology Surat (B.Tech Electrical Engineering)</t>
  </si>
  <si>
    <t>Shaqeeb bhura</t>
  </si>
  <si>
    <t>Sardar Vallabhbhai National Institute of Technology Surat (M.Tech Communication Systems)</t>
  </si>
  <si>
    <t>Ajay shanmukh</t>
  </si>
  <si>
    <t>PratikshaMI129</t>
  </si>
  <si>
    <t>Savitribai Phule Pune University, Pune (B.Com)</t>
  </si>
  <si>
    <t xml:space="preserve">content not according to parameters </t>
  </si>
  <si>
    <t>Sardar Vallabhbhai National Institute of Technology Surat (B.Tech Civil Engineering)</t>
  </si>
  <si>
    <t>Parth patel</t>
  </si>
  <si>
    <t>VaibhavMI124</t>
  </si>
  <si>
    <t>Ujjwal Jishtu</t>
  </si>
  <si>
    <t xml:space="preserve">same content in each parameter </t>
  </si>
  <si>
    <t>Sardar Vallabhbhai National Institute of Technology Surat (M.Tech Structural Engineering)</t>
  </si>
  <si>
    <t>Meet trada</t>
  </si>
  <si>
    <t>Janavi popat</t>
  </si>
  <si>
    <t>GaddipilliMI118</t>
  </si>
  <si>
    <t>Nizam College, Hyderabad (B.Com Computer Application Self Finance)</t>
  </si>
  <si>
    <t>Arthi</t>
  </si>
  <si>
    <t>Sardar Vallabhbhai National Institute of Technology Surat (B.Tech Computer Science and Engineering)</t>
  </si>
  <si>
    <t>Mustafa officewala</t>
  </si>
  <si>
    <t>ManishaMI130</t>
  </si>
  <si>
    <t>Maharshi Dayanand Law College, Jaipur (LLB)</t>
  </si>
  <si>
    <t>Aayush sharma</t>
  </si>
  <si>
    <t>Maulana Azad National Institute of Technology Bhopal (B.Tech Mechanical Engineering)</t>
  </si>
  <si>
    <t>Nimish Agrawal</t>
  </si>
  <si>
    <t>KoraditiMI107</t>
  </si>
  <si>
    <t>Visakha Institute of Engineering and Technology, Visakhapatnam (Diploma in Civil Engineering)</t>
  </si>
  <si>
    <t>Pachikoru Jahnavi</t>
  </si>
  <si>
    <t>Nizam College, Hyderabad (B.Sc-Mathematics, Physics and Electronics)</t>
  </si>
  <si>
    <t>Sachin</t>
  </si>
  <si>
    <t>ASHISHMI122</t>
  </si>
  <si>
    <t>Campus Law Centre, University of Delhi, Delhi (LLB)</t>
  </si>
  <si>
    <t>Sourabh Kumar</t>
  </si>
  <si>
    <t>AnkitaKMI117</t>
  </si>
  <si>
    <t>Ramjas College, Delhi (BA Sanskrit Hons)</t>
  </si>
  <si>
    <t>AKHAND PRATAP SINGH299383251</t>
  </si>
  <si>
    <t>RahulMI126</t>
  </si>
  <si>
    <t>Government Lahiri College, Chirimiri (BA)</t>
  </si>
  <si>
    <t>Basanti Mahankuda</t>
  </si>
  <si>
    <t>ChetanMI130</t>
  </si>
  <si>
    <t>Kurukshetra University, Kurukshetra (M.Com)</t>
  </si>
  <si>
    <t>Nancy</t>
  </si>
  <si>
    <t>Meerut College, Meerut (B.Ed)</t>
  </si>
  <si>
    <t>Avika negi</t>
  </si>
  <si>
    <t>PankhudiMI131</t>
  </si>
  <si>
    <t>Lady Amritbai Daga College for Women of Arts Commerce and Science and Smt Ratnidevi Purohit College of Home Science and Home Science Technology, Nagpur (B.Sc)</t>
  </si>
  <si>
    <t>Bhakti Moghe</t>
  </si>
  <si>
    <t>Nizam College, Hyderabad</t>
  </si>
  <si>
    <t>Rachana thembaraveni</t>
  </si>
  <si>
    <t>Chitkara University, Patiala (MBA Marketing)</t>
  </si>
  <si>
    <t>Aman Kumar</t>
  </si>
  <si>
    <t>VarunMI103</t>
  </si>
  <si>
    <t>Visvesvaraya Technological University, Belagavi (B.Tech Civil Engineering)</t>
  </si>
  <si>
    <t>Sushanth M</t>
  </si>
  <si>
    <t>Nizam College, Hyderabad (BCA Self Finance)</t>
  </si>
  <si>
    <t>Neha nyalam</t>
  </si>
  <si>
    <t>Nizam College, Hyderabad (BBA Self Finance)</t>
  </si>
  <si>
    <t>Baja arun kumar</t>
  </si>
  <si>
    <t>DAV Institute of Engineering and Technology, Jalandhar (B.Tech Electrical Engineering)</t>
  </si>
  <si>
    <t>Hem Lata</t>
  </si>
  <si>
    <t>Noble Institute of Science and Technology, Visakhapatnam (MBA)</t>
  </si>
  <si>
    <t>Sigireddy Satish</t>
  </si>
  <si>
    <t>Nizam College, Hyderabad (M.Sc Organic Chemistry)</t>
  </si>
  <si>
    <t>Sumanjali kaviri</t>
  </si>
  <si>
    <t>Himachal Pradesh University Business School, Shimla (MBA)</t>
  </si>
  <si>
    <t>Raghav Sharma</t>
  </si>
  <si>
    <t>Rajesh.MI137</t>
  </si>
  <si>
    <t>Thiruthangal Nadar College, Chennai (B.Sc Computer Science)</t>
  </si>
  <si>
    <t>SRIKANTH</t>
  </si>
  <si>
    <t>Chandigarh University, Chandigarh (LLM)</t>
  </si>
  <si>
    <t>Nizam College, Hyderabad (MCA)</t>
  </si>
  <si>
    <t>Mounika reddy</t>
  </si>
  <si>
    <t>Dadi Veerunaidu College, Anakapalle (B.Com Computer Applications)</t>
  </si>
  <si>
    <t>Sanskriti University, Mathura (MBA)</t>
  </si>
  <si>
    <t>Yesh agrawal</t>
  </si>
  <si>
    <t>name,  mail id mismatch</t>
  </si>
  <si>
    <t>NishitaMI128</t>
  </si>
  <si>
    <t>GLA University, Mathura (MBA)</t>
  </si>
  <si>
    <t>Kirti kushwah</t>
  </si>
  <si>
    <t>AnjaliMI134</t>
  </si>
  <si>
    <t>University of Allahabad Allahabad (Ph.D Hindi)</t>
  </si>
  <si>
    <t>Sohani Rajbhar</t>
  </si>
  <si>
    <t>Nikhil Vashistha</t>
  </si>
  <si>
    <t>KoraditiMI108</t>
  </si>
  <si>
    <t>IBM Degree College, Visakhapatnam (B.Com)</t>
  </si>
  <si>
    <t>Mutta Bhanu Charan</t>
  </si>
  <si>
    <t>KoraditiMI109</t>
  </si>
  <si>
    <t>IBM Degree College, Visakhapatnam (B.Sc)</t>
  </si>
  <si>
    <t>CHITIKALA ISHWARYA</t>
  </si>
  <si>
    <t>Chandigarh University, Chandigarh (MBA)</t>
  </si>
  <si>
    <t>Nizam College, Hyderabad (MBA)</t>
  </si>
  <si>
    <t>Irfan</t>
  </si>
  <si>
    <t>Guntur Engineering College, Guntur (Diploma in Civil Engineering)</t>
  </si>
  <si>
    <t>NikhilMI103</t>
  </si>
  <si>
    <t>Omega Degree College, Hyderabad (B.Com)</t>
  </si>
  <si>
    <t>Surya</t>
  </si>
  <si>
    <t>thanusaran.gMI138</t>
  </si>
  <si>
    <t>Indian Institute of Knowledge Management, Chennai (MBA Industry Integrated)</t>
  </si>
  <si>
    <t>Thanu Saran</t>
  </si>
  <si>
    <t>Presidency College, Bangalore (M.Com)</t>
  </si>
  <si>
    <t>Lisa Shaw</t>
  </si>
  <si>
    <t>Chandigarh University, Chandigarh (BBA LLB Hons Integrated)</t>
  </si>
  <si>
    <t>Bidhan Chandra College, Rishra (BA)</t>
  </si>
  <si>
    <t>Kapil Sharma</t>
  </si>
  <si>
    <t>Byagari jeevitha</t>
  </si>
  <si>
    <t>ShivamC79</t>
  </si>
  <si>
    <t>National Institute of Technology Uttarakhand (B.Tech Computer Science and Engineering)</t>
  </si>
  <si>
    <t>Drishti</t>
  </si>
  <si>
    <t xml:space="preserve">Rating mismatched with content </t>
  </si>
  <si>
    <t>Parul Institute of Technology, Vadodara (B.Tech Electrical Engineering)</t>
  </si>
  <si>
    <t>Riya yadav</t>
  </si>
  <si>
    <t>similar content in multiple review(spam)</t>
  </si>
  <si>
    <t>Sreejita</t>
  </si>
  <si>
    <t>spam (need verification proof )</t>
  </si>
  <si>
    <t>Sharda University, Greater Noida (B.Tech Computer Science and Engineering)</t>
  </si>
  <si>
    <t>Shreya Agrahari</t>
  </si>
  <si>
    <t>Parul University, Vadodara (MBA)</t>
  </si>
  <si>
    <t>Kushi</t>
  </si>
  <si>
    <t>Galgotias College of Engineering and Technology, Greater Noida (B.Tech Electrical Engineering)</t>
  </si>
  <si>
    <t>Atharini</t>
  </si>
  <si>
    <t>Chandigarh University, Chandigarh (MBA Banking and Financial Engineering)</t>
  </si>
  <si>
    <t>Abhishek</t>
  </si>
  <si>
    <t>Suresh Gyan Vihar University, Jaipur (MBA)</t>
  </si>
  <si>
    <t>Amrendra Singh</t>
  </si>
  <si>
    <t>University of Delhi, Delhi (BA English Hons)</t>
  </si>
  <si>
    <t>Pallavi Rajput</t>
  </si>
  <si>
    <t>Eastern Institute for Integrated Learning in Management, Kolkata (MBA)</t>
  </si>
  <si>
    <t>Dashrath Singh</t>
  </si>
  <si>
    <t>Jaylen Hafeni Shipena</t>
  </si>
  <si>
    <t>abdalrahman emad</t>
  </si>
  <si>
    <t>KarthickC78</t>
  </si>
  <si>
    <t>SNS College of Engineering, Coimbatore (BE Mechanical and Mechatronics Engineering)</t>
  </si>
  <si>
    <t>Mike</t>
  </si>
  <si>
    <t>Invalid verification details</t>
  </si>
  <si>
    <t>Mohd Zafar Iqbal</t>
  </si>
  <si>
    <t>Lovely Professional University, Phagwara (B.Tech Aerospace Engineering Lateral Entry)</t>
  </si>
  <si>
    <t>Dolly Kumari</t>
  </si>
  <si>
    <t>DAMERA Mounish</t>
  </si>
  <si>
    <t>Dakshita Singh</t>
  </si>
  <si>
    <t xml:space="preserve">user mail id and name mismatched </t>
  </si>
  <si>
    <t>Sree Venkateswara College of Engineering, Nellore (Diploma in Mechanical Engineering)</t>
  </si>
  <si>
    <t>Tejas Vishwakarma</t>
  </si>
  <si>
    <t>Aryan Shukla</t>
  </si>
  <si>
    <t>Harcourt Butler Technical University, Kanpur (B.Tech Chemical Engineering)</t>
  </si>
  <si>
    <t>Piyush Upadhyay</t>
  </si>
  <si>
    <t>Indian Institute of Technology Kanpur (B.Tech Electrical Engineering)</t>
  </si>
  <si>
    <t>Sumit Kumar Pandey</t>
  </si>
  <si>
    <t>Institute of Engineering and Technology, Lucknow (B.Tech Mechanical Engineering)</t>
  </si>
  <si>
    <t>Prashant Srivastav</t>
  </si>
  <si>
    <t>Anshika Gupta</t>
  </si>
  <si>
    <t>Indira Gandhi National Open University, New Delhi (Fundamentals of Computer Systems)</t>
  </si>
  <si>
    <t>Harshita Verma</t>
  </si>
  <si>
    <t>National Institute of Technology Uttarakhand (M.Tech Artificial Intelligence and Machine Learning)</t>
  </si>
  <si>
    <t>Riya Chauhan</t>
  </si>
  <si>
    <t>College of Engineering Roorkee, Roorkee (B.Tech Computer Science and Engineering)</t>
  </si>
  <si>
    <t>Chandigarh University, Chandigarh (MBA Strategic Human Resource)</t>
  </si>
  <si>
    <t>Sindhu</t>
  </si>
  <si>
    <t xml:space="preserve">content is not according to parameters </t>
  </si>
  <si>
    <t>RushikeshC83</t>
  </si>
  <si>
    <t>Swami Ramanand Teerth Marathwada University, Nanded (M.Sc Industrial Chemistry)</t>
  </si>
  <si>
    <t>Ajju Kharat</t>
  </si>
  <si>
    <t>Yashwantrao Chavan Maharashtra Open University, Nashik (BA)</t>
  </si>
  <si>
    <t>shiom shinde</t>
  </si>
  <si>
    <t xml:space="preserve">rating mismatched </t>
  </si>
  <si>
    <t>Mahatma Phule Krishi Vidyapeeth, Rahuri (B.Sc Agriculture Hons)</t>
  </si>
  <si>
    <t>SHUBHAM KASAR</t>
  </si>
  <si>
    <t>Similar content in multiple review</t>
  </si>
  <si>
    <t>HardikC82</t>
  </si>
  <si>
    <t>Manipal University, Jaipur (BBA)</t>
  </si>
  <si>
    <t>Anaaya</t>
  </si>
  <si>
    <t>Sinhgad College of Engineering, Pune (BE Electronics and Telecommunication Engineering)</t>
  </si>
  <si>
    <t>Shrutee Sujit Revankar</t>
  </si>
  <si>
    <t>16/02/2024</t>
  </si>
  <si>
    <t>Chandigarh University, Chandigarh (BBA)</t>
  </si>
  <si>
    <t>Arun kumar reddy</t>
  </si>
  <si>
    <t>MIT Academy of Engineering, Pune (B.Tech Electronics and Telecommunication Engineering)</t>
  </si>
  <si>
    <t>Someva</t>
  </si>
  <si>
    <t>Rajarshi Roy</t>
  </si>
  <si>
    <t xml:space="preserve">min word count not completed </t>
  </si>
  <si>
    <t>NishC84</t>
  </si>
  <si>
    <t>Siliguri Institute of Technology, Darjeeling (BBA)</t>
  </si>
  <si>
    <t>Nisha Singh</t>
  </si>
  <si>
    <t xml:space="preserve">spam in mail id </t>
  </si>
  <si>
    <t>Narula Institute of Technology, Agarpara</t>
  </si>
  <si>
    <t>Anmona Bhattacharya</t>
  </si>
  <si>
    <t xml:space="preserve">fake id </t>
  </si>
  <si>
    <t>Narula Institute of Technology, Agarpara (B.Tech Artificial Intelligence and Machine Learning)</t>
  </si>
  <si>
    <t>Koushiki Debnath</t>
  </si>
  <si>
    <t xml:space="preserve">copied content </t>
  </si>
  <si>
    <t>Toheli Misra</t>
  </si>
  <si>
    <t>ANKITA MISHRA</t>
  </si>
  <si>
    <t>Suveeksha Shashi</t>
  </si>
  <si>
    <t>Shruti suman</t>
  </si>
  <si>
    <t>KEYA DAS</t>
  </si>
  <si>
    <t>Almish Sohail Hoda</t>
  </si>
  <si>
    <t>Muskan Deo</t>
  </si>
  <si>
    <t>Aparna kumari</t>
  </si>
  <si>
    <t>Indian Institute of Technology Kharagpur (M.Sc Geology)</t>
  </si>
  <si>
    <t>Ritwick Sen</t>
  </si>
  <si>
    <t>fake review</t>
  </si>
  <si>
    <t>Anish Halder</t>
  </si>
  <si>
    <t>similar content in multiple reviews</t>
  </si>
  <si>
    <t>Debraj Ghosh</t>
  </si>
  <si>
    <t>Copied Content</t>
  </si>
  <si>
    <t>Indian Institute of Technology Madras (Ph.D Chemical Engineering)</t>
  </si>
  <si>
    <t>Ajay Mugundan</t>
  </si>
  <si>
    <t>Wrong linked in profile link</t>
  </si>
  <si>
    <t>RAHULC85</t>
  </si>
  <si>
    <t>C Abdul Hakeem College of Engineering and Technology, Melvisharam (B.Tech Information Technology)</t>
  </si>
  <si>
    <t>Cipher Vault</t>
  </si>
  <si>
    <t>PuneetC85</t>
  </si>
  <si>
    <t>Swami Shraddhanand College, Delhi (B.Sc Physics Hons)</t>
  </si>
  <si>
    <t>Scholar School</t>
  </si>
  <si>
    <t>MonikaC85</t>
  </si>
  <si>
    <t>Graphic Era University, Dehradun (BBA)</t>
  </si>
  <si>
    <t>Mahi Rastogi</t>
  </si>
  <si>
    <t>UmangC85</t>
  </si>
  <si>
    <t>Delhi Technological University, Delhi (B.Tech Mechanical Engineering)</t>
  </si>
  <si>
    <t>Umang Agrawal</t>
  </si>
  <si>
    <t>ShwetSC85</t>
  </si>
  <si>
    <t>National Forensic Sciences University, Gandhinagar (BBA MBA Integrated)</t>
  </si>
  <si>
    <t>Shwet Singh</t>
  </si>
  <si>
    <t>Graphic Era University, Dehradun (B.Sc Biotechnology Hons)</t>
  </si>
  <si>
    <t>Sanskriti Bajoria</t>
  </si>
  <si>
    <t>SudhanshuC85</t>
  </si>
  <si>
    <t>Indian Institute of Technology Madras (B.Sc in Programming and Data Science)</t>
  </si>
  <si>
    <t>ABHISHEK RAWAT</t>
  </si>
  <si>
    <t>C Abdul Hakeem College of Engineering and Technology, Melvisharam (BE Computer Science and Engineering)</t>
  </si>
  <si>
    <t>BALAJI K</t>
  </si>
  <si>
    <t>Content not understandable</t>
  </si>
  <si>
    <t>University of Allahabad Allahabad (B.Sc)</t>
  </si>
  <si>
    <t>Shiv Govind Rawat</t>
  </si>
  <si>
    <t>Banaras Hindu University, Varanasi (M.Sc Biochemistry)</t>
  </si>
  <si>
    <t>Review is not written by reviewer</t>
  </si>
  <si>
    <t>Banaras Hindu University, Varanasi (MA Economics)</t>
  </si>
  <si>
    <t>Vikesh Sharma</t>
  </si>
  <si>
    <t>Noida International University, Greater Noida (BBA Hospital and Health Management)</t>
  </si>
  <si>
    <t>Kushi sah</t>
  </si>
  <si>
    <t>Noida International University, Greater Noida (B.Com Hons)</t>
  </si>
  <si>
    <t>Raj bajpai</t>
  </si>
  <si>
    <t xml:space="preserve"> KushC85</t>
  </si>
  <si>
    <t>School of Business, UPES, Dehradun (BBA Global Program)</t>
  </si>
  <si>
    <t>Pushkin Garg</t>
  </si>
  <si>
    <t>Muskanc86</t>
  </si>
  <si>
    <t>Accurate Institute of Management and Technology, Greater Noida (B.Tech Information Technology)</t>
  </si>
  <si>
    <t>Utkarsh sharam</t>
  </si>
  <si>
    <t>copied content</t>
  </si>
  <si>
    <t>YuktiC86</t>
  </si>
  <si>
    <t>Wilson College, Mumbai (BA)</t>
  </si>
  <si>
    <t>Dnyanada Pawar</t>
  </si>
  <si>
    <t>Noida International University, Greater Noida (BBA)</t>
  </si>
  <si>
    <t>Amit Yadav</t>
  </si>
  <si>
    <t>Lloyd Institute of Management and Technology, Greater Noida (MBA)</t>
  </si>
  <si>
    <t>Arpit Kumar</t>
  </si>
  <si>
    <t>Mohammad Ali Jauhar University, Rampur (B.Pharma)</t>
  </si>
  <si>
    <t>Dinkar</t>
  </si>
  <si>
    <t>Anjali patel</t>
  </si>
  <si>
    <t>SANSKAR SHARMA</t>
  </si>
  <si>
    <t>Tarun Mishra</t>
  </si>
  <si>
    <t>Shivam kumar</t>
  </si>
  <si>
    <t>Amity University, Gwalior</t>
  </si>
  <si>
    <t>Lloyd Institute of Management and Technology, Greater Noida</t>
  </si>
  <si>
    <t>BhoomiGC86</t>
  </si>
  <si>
    <t>Jesus and Mary College, Delhi (BA)</t>
  </si>
  <si>
    <t>Srishti Tripathy</t>
  </si>
  <si>
    <t>content Violation</t>
  </si>
  <si>
    <t>AnantaC86</t>
  </si>
  <si>
    <t>National Law University and Judicial Academy, Guwahati (BA LLB Hons)</t>
  </si>
  <si>
    <t>Ananta Chopra</t>
  </si>
  <si>
    <t>reviewed for diff colleges</t>
  </si>
  <si>
    <t>PriyaC86</t>
  </si>
  <si>
    <t>Gargi College, Delhi</t>
  </si>
  <si>
    <t>shine bright like a diamond</t>
  </si>
  <si>
    <t>unauthentic review</t>
  </si>
  <si>
    <t>Indian Institute of Management Rohtak (BBA LLB Integrated)</t>
  </si>
  <si>
    <t>Himachal Pradesh National Law University, Shimla (BBA LLB Hons)</t>
  </si>
  <si>
    <t>Army Institute of Law, Mohali (BA LLB)</t>
  </si>
  <si>
    <t>National Institute of Technology Uttarakhand (B.Tech Electrical and Electronics Engineering)</t>
  </si>
  <si>
    <t>Bhavana</t>
  </si>
  <si>
    <t>mismatch credentials</t>
  </si>
  <si>
    <t>RiyaC86</t>
  </si>
  <si>
    <t>Rajdhani College, New Delhi</t>
  </si>
  <si>
    <t>SarikaC86</t>
  </si>
  <si>
    <t>Shaheed Rajguru College of Applied Science for Women, Delhi</t>
  </si>
  <si>
    <t>Shreya</t>
  </si>
  <si>
    <t>Indira Gandhi Delhi Technical University for Women, Delhi (B.Tech Computer Science and Engineering Artificial Intelligence)</t>
  </si>
  <si>
    <t>Pragati Pragati</t>
  </si>
  <si>
    <t>Shaheed Rajguru College of Applied Science for Women, Delhi (B.Sc Computer Science Hons)</t>
  </si>
  <si>
    <t>Saniya Khan</t>
  </si>
  <si>
    <t>OmC86</t>
  </si>
  <si>
    <t>Maharaja Surajmal Institute, New Delhi (B.Com Hons)</t>
  </si>
  <si>
    <t>B 558 Aditya</t>
  </si>
  <si>
    <t>Simran Rathore</t>
  </si>
  <si>
    <t>OMC86</t>
  </si>
  <si>
    <t>Maharaja Surajmal Institute, New Delhi (B.Com Hons II Shift)</t>
  </si>
  <si>
    <t>izan</t>
  </si>
  <si>
    <t>HarshC88</t>
  </si>
  <si>
    <t>Indo Global College of Engineering, Mohali (B.Tech Computer Science and Engineering)</t>
  </si>
  <si>
    <t>Harsh kr</t>
  </si>
  <si>
    <t>ShreshtaC88</t>
  </si>
  <si>
    <t>HLM Professional Studies, Ghaziabad (BBA)</t>
  </si>
  <si>
    <t>vikas shishodia</t>
  </si>
  <si>
    <t>DivyanshuC88</t>
  </si>
  <si>
    <t>Greater Noida Institute of Technology Engineering Institute, Greater Noida (B.Tech Computer Science and Engineering)</t>
  </si>
  <si>
    <t>Shwetangi Tiwari</t>
  </si>
  <si>
    <t>Institute of Innovation in Technology and Management, Delhi (BCA)</t>
  </si>
  <si>
    <t>Sonali</t>
  </si>
  <si>
    <t>ArchiC88</t>
  </si>
  <si>
    <t>Vikram University, Ujjain (B.Com Hons)</t>
  </si>
  <si>
    <t>Tushar Verma</t>
  </si>
  <si>
    <t>SC Guria Institute of Management and Technology, Kashipur (MBA)</t>
  </si>
  <si>
    <t>Vaishali Chauhan</t>
  </si>
  <si>
    <t>PriyanshuC88</t>
  </si>
  <si>
    <t>Gyan Ganga College of Excellence, Jabalpur (B.Com Hons)</t>
  </si>
  <si>
    <t>SANYA MEHRA</t>
  </si>
  <si>
    <t>Guru Ghasidas Vishwavidyalaya, Bilaspur (B.Com Hons)</t>
  </si>
  <si>
    <t>Anushree</t>
  </si>
  <si>
    <t>PRIYAL MISHRA</t>
  </si>
  <si>
    <t>PranavC86</t>
  </si>
  <si>
    <t>University Visvesvaraya College of Engineering, Bangalore (BE Mechanical Engineering)</t>
  </si>
  <si>
    <t>Preeti R Kotagi</t>
  </si>
  <si>
    <t>AashiC88</t>
  </si>
  <si>
    <t>PDM University, Bahadurgarh (BPT)</t>
  </si>
  <si>
    <t>Sonia</t>
  </si>
  <si>
    <t>Indian Institute of Technology Delhi (B.Tech Chemical Engineering)</t>
  </si>
  <si>
    <t>Simran</t>
  </si>
  <si>
    <t>invalid mail id</t>
  </si>
  <si>
    <t>University Visvesvaraya College of Engineering, Bangalore (BE Information Science Engineering)</t>
  </si>
  <si>
    <t>Manvitha M</t>
  </si>
  <si>
    <t>Rakshith A Malal</t>
  </si>
  <si>
    <t>Amity Institute of Physiotherapy, Noida (MPT Orthopedics)</t>
  </si>
  <si>
    <t>Garima Kohli</t>
  </si>
  <si>
    <t>JasmanC88</t>
  </si>
  <si>
    <t>Lovely Professional University, Phagwara (BA Psychology Hons)</t>
  </si>
  <si>
    <t>Alice Jaiswal</t>
  </si>
  <si>
    <t>RV College of Engineering, Bangalore (BE Computer Science and Engineering)</t>
  </si>
  <si>
    <t>Dr Strange</t>
  </si>
  <si>
    <t xml:space="preserve"> HarshC88</t>
  </si>
  <si>
    <t>Alok sinha</t>
  </si>
  <si>
    <t>ShresthaC88</t>
  </si>
  <si>
    <t>Shaheed Sukhdev College of Business Studies, Delhi (B.Sc Computer Science Hons)</t>
  </si>
  <si>
    <t>Dhruv Bansal</t>
  </si>
  <si>
    <t>Aditya</t>
  </si>
  <si>
    <t xml:space="preserve">someone else id card </t>
  </si>
  <si>
    <t>Gulshan</t>
  </si>
  <si>
    <t>Aradhya jain</t>
  </si>
  <si>
    <t>Kushagra Nanda</t>
  </si>
  <si>
    <t>RadhaC89</t>
  </si>
  <si>
    <t>Jiwaji University, Gwalior (B.Sc Mathematics Hons)</t>
  </si>
  <si>
    <t>Radha Shrivastava</t>
  </si>
  <si>
    <t>RahulC89</t>
  </si>
  <si>
    <t>Dayanand Academy of Management Studies, Kanpur (BBA)</t>
  </si>
  <si>
    <t>Goat Loat</t>
  </si>
  <si>
    <t>C.HiranmayiC89</t>
  </si>
  <si>
    <t>Nitte Meenakshi Institute of Technology, Bangalore (BE Computer Science and Engineering)</t>
  </si>
  <si>
    <t>Anjali Naidu</t>
  </si>
  <si>
    <t>YasmeenC89</t>
  </si>
  <si>
    <t>Government Mahila Engineering College, Ajmer (B.Tech Computer Science and Engineering)</t>
  </si>
  <si>
    <t>Yasmeen</t>
  </si>
  <si>
    <t>Raumay AggarwalC90</t>
  </si>
  <si>
    <t>Mahatma Gandhi Mission's College of Engineering and Technology, Navi Mumbai (BE Data Science)</t>
  </si>
  <si>
    <t>Shubham</t>
  </si>
  <si>
    <t>K.JAYASRIC89</t>
  </si>
  <si>
    <t>Sri Manakula Vinayagar Engineering College, Puducherry (B.Tech Electronics and Communication Engineering)</t>
  </si>
  <si>
    <t>Jayasri Kumaravel</t>
  </si>
  <si>
    <t>Ankisha DeyC90</t>
  </si>
  <si>
    <t>International School of Management Excellence, Bangalore (PGDM)</t>
  </si>
  <si>
    <t>Ankisha dey</t>
  </si>
  <si>
    <t>ArghyaC89</t>
  </si>
  <si>
    <t>Ramthakur College, Agartala (BA)</t>
  </si>
  <si>
    <t>Hriday Ghosh</t>
  </si>
  <si>
    <t>Graphic Era University, Dehradun (B.Tech Computer Science and Engineering)</t>
  </si>
  <si>
    <t>vaggarwalraumay</t>
  </si>
  <si>
    <t>Anmol Purwar C90</t>
  </si>
  <si>
    <t>International Institute of Information Technology, Bhubaneswar (B.Tech Computer Science and Engineering)</t>
  </si>
  <si>
    <t>Honor</t>
  </si>
  <si>
    <t>Invalid verification detaiks</t>
  </si>
  <si>
    <t>ShaillyC89</t>
  </si>
  <si>
    <t>Graphic Era Hill University, Dehradun (B.Tech Computer Science and Engineering)</t>
  </si>
  <si>
    <t>Sarthak Rawat</t>
  </si>
  <si>
    <t>Dev Bhoomi Institute of Management Studies, Dehradun (BA Tourism Management)</t>
  </si>
  <si>
    <t>VS Adithya Dev</t>
  </si>
  <si>
    <t>Amir khan</t>
  </si>
  <si>
    <t>Milan Tak</t>
  </si>
  <si>
    <t>verification details and reviewer details mismatch</t>
  </si>
  <si>
    <t>KJ Somaiya College of Engineering, Mumbai (B.Tech Information Technology)</t>
  </si>
  <si>
    <t>Kaustubh Patil</t>
  </si>
  <si>
    <t>KhushiC89</t>
  </si>
  <si>
    <t>Shyama Prasad Mukherji College For Women, New Delhi (B.Com)</t>
  </si>
  <si>
    <t>Deepika</t>
  </si>
  <si>
    <t>UjjwalC90</t>
  </si>
  <si>
    <t>Gayatri Vidya Parishad College for Degree and PG Courses, Visakhapatnam (BBA)</t>
  </si>
  <si>
    <t>Teki Bhargavi</t>
  </si>
  <si>
    <t>ShivaC89</t>
  </si>
  <si>
    <t>Amity University, Lucknow Campus (MBA)</t>
  </si>
  <si>
    <t>spparthsaradi</t>
  </si>
  <si>
    <t>Amity University, Mumbai (MBA)</t>
  </si>
  <si>
    <t>Amity University, Jaipur (MBA)</t>
  </si>
  <si>
    <t>SaurabhC86</t>
  </si>
  <si>
    <t>University Institute of Technology Rajiv Gandhi Proudyogiki Vishwavidyalaya, Bhopal (BE Electronics and Communication Engineering)</t>
  </si>
  <si>
    <t>Shivansh Soni</t>
  </si>
  <si>
    <t>Shri Guru Ram Rai University, Dehradun (BA Journalism and Mass Communication Hons)</t>
  </si>
  <si>
    <t>Ambika Rana</t>
  </si>
  <si>
    <t>Saniya Sharma C90</t>
  </si>
  <si>
    <t>Aligarh Muslim University, Aligarh (B.Sc Botany Hons)</t>
  </si>
  <si>
    <t>Shine star</t>
  </si>
  <si>
    <t xml:space="preserve">User name and mail  is not real </t>
  </si>
  <si>
    <t>Pandit Prithi Nath College, Kanpur</t>
  </si>
  <si>
    <t>Sushma Yadav</t>
  </si>
  <si>
    <t>Saniya sharma C90</t>
  </si>
  <si>
    <t>Aligarh Muslim University, Aligarh</t>
  </si>
  <si>
    <t>Adeeba Shariq</t>
  </si>
  <si>
    <t>Aligarh College of Engineering and Technology, Aligarh (B.Tech Computer Science and Engineering)</t>
  </si>
  <si>
    <t>Simran Govil</t>
  </si>
  <si>
    <t>Fake mail Id</t>
  </si>
  <si>
    <t>VanshWC89</t>
  </si>
  <si>
    <t>Motilal Nehru College Evening, New Delhi (BA History Hons)</t>
  </si>
  <si>
    <t>RITIKESH KUMAR SINHA</t>
  </si>
  <si>
    <t xml:space="preserve">Someone else id Card </t>
  </si>
  <si>
    <t>Saniya Sharma C20</t>
  </si>
  <si>
    <t>Aligarh Muslim University, Aligarh (B.Sc Chemistry Hons)</t>
  </si>
  <si>
    <t>Shahzadi</t>
  </si>
  <si>
    <t>Amity International Business School, Noida</t>
  </si>
  <si>
    <t>Shriya Gupta</t>
  </si>
  <si>
    <t>Verification Incomplete</t>
  </si>
  <si>
    <t>Ajeet Singh</t>
  </si>
  <si>
    <t xml:space="preserve">Id card mismtached </t>
  </si>
  <si>
    <t>Women's College, Aligarh Muslim University, Aligarh (B.Sc Chemistry Hons)</t>
  </si>
  <si>
    <t>Tashfi Chauhan</t>
  </si>
  <si>
    <t>HarshitaC91</t>
  </si>
  <si>
    <t>Isabella Thoburn College, Lucknow (B.Sc Biology)</t>
  </si>
  <si>
    <t>Akanksha mishra</t>
  </si>
  <si>
    <t>Harshita Singh</t>
  </si>
  <si>
    <t xml:space="preserve">Spam Need verification </t>
  </si>
  <si>
    <t>SrujanC91</t>
  </si>
  <si>
    <t>National Institute of Technology Karnataka Surathkal (B.Tech Electrical and Electronics Engineering)</t>
  </si>
  <si>
    <t>Charan Tej .B</t>
  </si>
  <si>
    <t>DeepakC86</t>
  </si>
  <si>
    <t>Faculty of Engineering and Technology, Agra College, Agra (B.Tech Computer Science and Engineering)</t>
  </si>
  <si>
    <t>Prabal Bansal</t>
  </si>
  <si>
    <t>SharadC91</t>
  </si>
  <si>
    <t>Starex University, Gurugram (B.Tech Computer Science Engineering)</t>
  </si>
  <si>
    <t>Pradip Giri</t>
  </si>
  <si>
    <t>Spam(Image Violation)</t>
  </si>
  <si>
    <t>AnshikaC91</t>
  </si>
  <si>
    <t>University of Lucknow, Lucknow (BCA)</t>
  </si>
  <si>
    <t>Anshika Tripathi</t>
  </si>
  <si>
    <t>Anshita</t>
  </si>
  <si>
    <t>AryaC91</t>
  </si>
  <si>
    <t>Integrated Institute of Technology, Dwarka (Diploma in Information Technology Enabled Services and Management)</t>
  </si>
  <si>
    <t>Pritam Kumar Jha</t>
  </si>
  <si>
    <t xml:space="preserve">Content not according to parameter </t>
  </si>
  <si>
    <t>Dayananda Sagar College of Engineering, Bangalore (BE Computer Science and Engineering)</t>
  </si>
  <si>
    <t>Nikhila Katta</t>
  </si>
  <si>
    <t xml:space="preserve">user name and id proof details mismatched </t>
  </si>
  <si>
    <t>Shyama Prasad Mukharjee Government Degree College, Allahabad (B.Com)</t>
  </si>
  <si>
    <t>Himgiri Zee University, Dehradun (MBA)</t>
  </si>
  <si>
    <t>Jai Narain Vyas University, Jodhpur (MBA Executive)</t>
  </si>
  <si>
    <t>Apeejay Stya University, Sohna (MBA with Dual Specialization)</t>
  </si>
  <si>
    <t>Delhi Technological University, Delhi (B.Tech Environmental Engineering)</t>
  </si>
  <si>
    <t>Rahul Singh Rautela</t>
  </si>
  <si>
    <t>ShresthaC89</t>
  </si>
  <si>
    <t>Haridwar University, Roorkee (B.Pharma)</t>
  </si>
  <si>
    <t>Shrestha Chattopadhyay</t>
  </si>
  <si>
    <t>Haridwar University, Roorkee (BCA with Cyber Security)</t>
  </si>
  <si>
    <t>Vikas K</t>
  </si>
  <si>
    <t>KARANC91</t>
  </si>
  <si>
    <t>Vishwakarma Institute of Technology, Pune (B.Tech Mechanical Engineering)</t>
  </si>
  <si>
    <t>Sagar mosambe</t>
  </si>
  <si>
    <t>Mukta rasal</t>
  </si>
  <si>
    <t>Sneha Khudari</t>
  </si>
  <si>
    <t>Karan Karan</t>
  </si>
  <si>
    <t>karan</t>
  </si>
  <si>
    <t>SHANMUGASUBASHC89</t>
  </si>
  <si>
    <t>Saveetha Engineering College, Chennai (BE Electronics and Communication Engineering)</t>
  </si>
  <si>
    <t>MITHUN VARMAN</t>
  </si>
  <si>
    <t>Shambhavi Singh</t>
  </si>
  <si>
    <t>Hindu College, Delhi (B.Sc Statistics Hons)</t>
  </si>
  <si>
    <t>Aayush Malhotra</t>
  </si>
  <si>
    <t>Monish</t>
  </si>
  <si>
    <t>Divisha Nagar</t>
  </si>
  <si>
    <t>Akshita Pal</t>
  </si>
  <si>
    <t>AnjaliMI202</t>
  </si>
  <si>
    <t>Alpha College of Engineering and Technology, Kalol (BE Mechanical Engineering)</t>
  </si>
  <si>
    <t>Harsh Trivedi</t>
  </si>
  <si>
    <t>University of Delhi, Delhi (B.Sc Physical Science with Chemistry)</t>
  </si>
  <si>
    <t>Tanishq Gaur</t>
  </si>
  <si>
    <t>BASHAC92</t>
  </si>
  <si>
    <t>KKR and KSR Institute of Technology and Sciences, Guntur (B.Tech Artificial Intelligence)</t>
  </si>
  <si>
    <t>Deepak Rollins</t>
  </si>
  <si>
    <t xml:space="preserve">content violation </t>
  </si>
  <si>
    <t>KrushalC92</t>
  </si>
  <si>
    <t>Government Engineering College, Rajkot (BE Computer Engineering)</t>
  </si>
  <si>
    <t>ujju rocks</t>
  </si>
  <si>
    <t>Valid Identification proof required</t>
  </si>
  <si>
    <t>AaravC92</t>
  </si>
  <si>
    <t>University of Lucknow, Lucknow (B.Sc Mathematics)</t>
  </si>
  <si>
    <t>Vidushi Gupta</t>
  </si>
  <si>
    <t>wrong college reviewed</t>
  </si>
  <si>
    <t>Christ University, Bannerghatta Road Campus, Bengaluru (BBA Hons)</t>
  </si>
  <si>
    <t>Mahika Bhat</t>
  </si>
  <si>
    <t>Banaras Hindu University, Varanasi (B.Sc Computer Science Hons)</t>
  </si>
  <si>
    <t>saurav kumar</t>
  </si>
  <si>
    <t>ArchitC93</t>
  </si>
  <si>
    <t>Netaji Subhas University of Technology, New Delhi (B.Tech Electronics and Communication Engineering)</t>
  </si>
  <si>
    <t>AceX Gaming</t>
  </si>
  <si>
    <t xml:space="preserve">Fake user name and email id mismatched </t>
  </si>
  <si>
    <t>Master School of Management, Meerut (BBA)</t>
  </si>
  <si>
    <t>YouTubeToxic</t>
  </si>
  <si>
    <t xml:space="preserve">Fake user name and email id  </t>
  </si>
  <si>
    <t>KommirisettyC92</t>
  </si>
  <si>
    <t>Koneru Lakshmaiah Education Foundation, Guntur (B.Tech Computer Science and Engineering)</t>
  </si>
  <si>
    <t>Kavya sree sanivarapu</t>
  </si>
  <si>
    <t xml:space="preserve">Copied Content </t>
  </si>
  <si>
    <t xml:space="preserve">Varun Thakur </t>
  </si>
  <si>
    <t>TanyaC92</t>
  </si>
  <si>
    <t>Bhagini Nivedita College, New Delhi (B.Sc Physics Hons)</t>
  </si>
  <si>
    <t>Shivani</t>
  </si>
  <si>
    <t xml:space="preserve">user name and email id mismatched </t>
  </si>
  <si>
    <t>Bhagini Nivedita College, New Delhi (B.Sc Physical Science with Computer Science)</t>
  </si>
  <si>
    <t>Shreya Singh</t>
  </si>
  <si>
    <t>ArjunC93</t>
  </si>
  <si>
    <t>Amity University, Noida (MBA)</t>
  </si>
  <si>
    <t>Snow White</t>
  </si>
  <si>
    <t>PiyushC93</t>
  </si>
  <si>
    <t>Bundelkhand University, Jhansi (B.Tech Computer Science and Engineering)</t>
  </si>
  <si>
    <t>Piyushyaduvanshi6574</t>
  </si>
  <si>
    <t>AadityaC93</t>
  </si>
  <si>
    <t>ABES Engineering College, Ghaziabad (B.Tech Electronics and Communication Engineering)</t>
  </si>
  <si>
    <t>aadityaveerbhan</t>
  </si>
  <si>
    <t>similar review</t>
  </si>
  <si>
    <t>SomC93</t>
  </si>
  <si>
    <t>Amity Business School, Gwalior (B.Com Hons)</t>
  </si>
  <si>
    <t>John Wick</t>
  </si>
  <si>
    <t>Sarthak agrawal</t>
  </si>
  <si>
    <t xml:space="preserve">Spam </t>
  </si>
  <si>
    <t>KartikC93</t>
  </si>
  <si>
    <t>Mahatma Gandhi Central University, Motihari (B.Tech Computer Science and Engineering)</t>
  </si>
  <si>
    <t>Fdgh</t>
  </si>
  <si>
    <t>Devineni Venkata Ramana and Dr Hima Sekhar MIC College of Technology, Krishna (B.Tech Electronics and Communication Engineering)</t>
  </si>
  <si>
    <t>CHAITANYA</t>
  </si>
  <si>
    <t>Faculty of Engineering and Technology, Jain University, Bangalore (B.Tech Information Science and Engineering)</t>
  </si>
  <si>
    <t xml:space="preserve"> Spam </t>
  </si>
  <si>
    <t>Faculty of Engineering and Technology, Jain University, Bangalore (B.Tech Computer Science and Engineering)</t>
  </si>
  <si>
    <t>Rohan Kumar</t>
  </si>
  <si>
    <t>Government Science College, Gandhinagar (B.Sc)</t>
  </si>
  <si>
    <t>Nikhil Dafda</t>
  </si>
  <si>
    <t>ISHRA FATHIMA</t>
  </si>
  <si>
    <t>PuneetC93</t>
  </si>
  <si>
    <t>Institute of Management, Nirma University, Ahmedabad (BBA and MBA Integrated)</t>
  </si>
  <si>
    <t>Pravar Awasthi</t>
  </si>
  <si>
    <t>IILM Graduate School of Management, Greater Noida (FPM)</t>
  </si>
  <si>
    <t>Lucky</t>
  </si>
  <si>
    <t>Ramjas College, Delhi (B.Sc Physical Science with Electronics)</t>
  </si>
  <si>
    <t>Parth</t>
  </si>
  <si>
    <t>LDRP Institute of Technology and Research, Gandhinagar (BE Information Technology)</t>
  </si>
  <si>
    <t>Hardik</t>
  </si>
  <si>
    <t>vkahir.077</t>
  </si>
  <si>
    <t>Netaji Subhas University of Technology, New Delhi (B.Tech Instrumentation and Control Engineering)</t>
  </si>
  <si>
    <t>Lipii</t>
  </si>
  <si>
    <t>user name and email id mismatched / valid ID proof required</t>
  </si>
  <si>
    <t>KommirisettyC9</t>
  </si>
  <si>
    <t>KLU College of Law, Guntur (LLB)</t>
  </si>
  <si>
    <t>Nadiminti Leela Prasad</t>
  </si>
  <si>
    <t>Faculty of Engineering and Technology, Jain University, Bangalore (B.Tech Aerospace Engineering)</t>
  </si>
  <si>
    <t>Kishan</t>
  </si>
  <si>
    <t xml:space="preserve">fake course mentioned. </t>
  </si>
  <si>
    <t>DebarpanC94</t>
  </si>
  <si>
    <t>Sudhiranjan Lahiri Mahavidyalaya, Nadia</t>
  </si>
  <si>
    <t>Roshan Agarwalla</t>
  </si>
  <si>
    <t>Karthikeya</t>
  </si>
  <si>
    <t>Faculty of Engineering and Technology, Jain University, Bangalore (B.Tech CSE with Specialization in Cloud Technology and Mobile Application in association with Google)</t>
  </si>
  <si>
    <t>samarth pande</t>
  </si>
  <si>
    <t xml:space="preserve">Similar review </t>
  </si>
  <si>
    <t>PillarisettiC94</t>
  </si>
  <si>
    <t>Pragati Engineering College, Surampalem (B.Tech Electronics and Communication Engineering)</t>
  </si>
  <si>
    <t>Srigamya</t>
  </si>
  <si>
    <t>KUNDANC94</t>
  </si>
  <si>
    <t>Narula Institute of Technology, Agarpara (B.Tech Computer Science and Technology)</t>
  </si>
  <si>
    <t>Anupam kumar</t>
  </si>
  <si>
    <t>Debarpanc94</t>
  </si>
  <si>
    <t>Sudhiranjan Lahiri Mahavidyalaya, Nadia (BA English Hons)</t>
  </si>
  <si>
    <t>Sayan chakraborty</t>
  </si>
  <si>
    <t xml:space="preserve">Content violation </t>
  </si>
  <si>
    <t>THIPIRISHETTYC94</t>
  </si>
  <si>
    <t>Sreenidhi Institute of Science and Technology, Ghatkesar (B.Tech Information Technology)</t>
  </si>
  <si>
    <t>Surya Vikas</t>
  </si>
  <si>
    <t xml:space="preserve">Incomplete content. </t>
  </si>
  <si>
    <t>JIS College of Engineering, Nadia (B.Tech Computer Science and Engineering)</t>
  </si>
  <si>
    <t>BROTIDEEEEP ROY</t>
  </si>
  <si>
    <t xml:space="preserve">Fake </t>
  </si>
  <si>
    <t>SnehaC90</t>
  </si>
  <si>
    <t>KR Mangalam University, Gurgaon</t>
  </si>
  <si>
    <t>Rakshit Maan</t>
  </si>
  <si>
    <t>Birla Institute of Technology, Mesra, Noida Campus (BCA)</t>
  </si>
  <si>
    <t>SAMBHAV PATNI</t>
  </si>
  <si>
    <t>khk JAGUAR</t>
  </si>
  <si>
    <t>Gateway College of Architecture and Design, Sonipat (B.Arch)</t>
  </si>
  <si>
    <t>Nivedita Garkoti</t>
  </si>
  <si>
    <t>Shubha</t>
  </si>
  <si>
    <t>Birla Institute of Technology, Mesra (MCA)</t>
  </si>
  <si>
    <t>Aayush Madan</t>
  </si>
  <si>
    <t>Galgotias University, Greater Noida (BBA)</t>
  </si>
  <si>
    <t>Sneha Advani</t>
  </si>
  <si>
    <t>Asian Law College, Noida (BA LLB)</t>
  </si>
  <si>
    <t>Arjun Singh</t>
  </si>
  <si>
    <t>VisheshC92</t>
  </si>
  <si>
    <t>Medi-Caps University, Indore (B.Tech Information Technology)</t>
  </si>
  <si>
    <t>JAYANT DUBEY</t>
  </si>
  <si>
    <t>YuthanC94</t>
  </si>
  <si>
    <t>M Kumarasamy College of Engineering, Karur (BE Computer Science and Engineering)</t>
  </si>
  <si>
    <t>Gowtham</t>
  </si>
  <si>
    <t>Birla Institute of Technology, Mesra, Noida Campus (MCA)</t>
  </si>
  <si>
    <t>Astitva Sharma</t>
  </si>
  <si>
    <t>Banaras Hindu University, Varanasi (B.Sc Agriculture Hons)</t>
  </si>
  <si>
    <t>Kumar om</t>
  </si>
  <si>
    <t>JayeshC95</t>
  </si>
  <si>
    <t>Indian Institute of Technology Kharagpur (M.Tech Energy Science and Engineering)</t>
  </si>
  <si>
    <t>Harshal sham paltse</t>
  </si>
  <si>
    <t>Paavai Engineering College, Pachal (BE Electronics and Communication Engineering)</t>
  </si>
  <si>
    <t>Venkatesh</t>
  </si>
  <si>
    <t>SiyaC96</t>
  </si>
  <si>
    <t>Swami Keshvanand Institute of Technology, Management and Gramothan, Jaipur (B.Tech Information Technology)</t>
  </si>
  <si>
    <t>Kanak Dadheech</t>
  </si>
  <si>
    <t xml:space="preserve">Irrelevant amd Incomplete Content </t>
  </si>
  <si>
    <t>ArpitC96</t>
  </si>
  <si>
    <t>JK Lakshmipat University, Jaipur (B.Tech Computer Science Engineering)</t>
  </si>
  <si>
    <t>Vaibhav Goel</t>
  </si>
  <si>
    <t xml:space="preserve">Name and Email Mismatched/ Spam </t>
  </si>
  <si>
    <t>YashC96</t>
  </si>
  <si>
    <t>Shyam Lal College, Delhi (B.Com)</t>
  </si>
  <si>
    <t>Manas Kumar</t>
  </si>
  <si>
    <t>JK Lakshmipat University, Jaipur (BBA Entrepreneurship)</t>
  </si>
  <si>
    <t>Mahak</t>
  </si>
  <si>
    <t>Kongunadu College of Engineering and Technology, Tiruchirappalli (B.Tech Information Technology)</t>
  </si>
  <si>
    <t>Naresh Tamilmani</t>
  </si>
  <si>
    <t xml:space="preserve">Duplicate review </t>
  </si>
  <si>
    <t>MuskanC96</t>
  </si>
  <si>
    <t>Goenka College of Commerce and Business Administration, Kolkata (B.Com Hons)</t>
  </si>
  <si>
    <t>Prachi Agrawal</t>
  </si>
  <si>
    <t xml:space="preserve">Irrelevant Content </t>
  </si>
  <si>
    <t>RanaC96</t>
  </si>
  <si>
    <t>MM Engineering College, Mullana- Ambala (B.Tech Computer Science and Engineering)</t>
  </si>
  <si>
    <t>sranapratapkumar</t>
  </si>
  <si>
    <t>JK Lakshmipat University, Jaipur</t>
  </si>
  <si>
    <t>Ansh Sharma</t>
  </si>
  <si>
    <t xml:space="preserve">Content Voilation </t>
  </si>
  <si>
    <t>AnamikaC96</t>
  </si>
  <si>
    <t>SRM Institute of Science and Technology, NCR Campus, Ghaziabad</t>
  </si>
  <si>
    <t>Khushi kumari</t>
  </si>
  <si>
    <t>Content Voilation/ spam</t>
  </si>
  <si>
    <t>AmanC97</t>
  </si>
  <si>
    <t>Thapar Institute of Engineering and Technology, Patiala (BE Computer Science and Engineering Dera Bassi Campus)</t>
  </si>
  <si>
    <t>harnimar bindra</t>
  </si>
  <si>
    <t>Thapar Institute of Engineering and Technology, Patiala (BE Computer Engineering)</t>
  </si>
  <si>
    <t>Angad</t>
  </si>
  <si>
    <t xml:space="preserve">Name and Email Mismatched / Spam </t>
  </si>
  <si>
    <t>Noida Institute of Engineering and Technology, Greater Noida (B.Tech Information Technology)</t>
  </si>
  <si>
    <t>Yash Tyagi</t>
  </si>
  <si>
    <t>Manvendra Singh Chauhan</t>
  </si>
  <si>
    <t>Vidya Institute of Creative Teaching, Meerut (BCA)</t>
  </si>
  <si>
    <t>Raj</t>
  </si>
  <si>
    <t>Hanuman Vyayam Prasarak Mandal's College of Engineering and Technology, Amravati (BE Computer Science and Engineering)</t>
  </si>
  <si>
    <t>CuriousEngineer</t>
  </si>
  <si>
    <t>Hanuman Vyayam Prasarak Mandal's College of Engineering and Technology, Amravati (BE Information Technology)</t>
  </si>
  <si>
    <t>Huzaif Khan</t>
  </si>
  <si>
    <t>Awais khan</t>
  </si>
  <si>
    <t>Government Vidarbha Institute of Science and Humanities, Amravati (B.Sc)</t>
  </si>
  <si>
    <t>abhimanyu badwaik</t>
  </si>
  <si>
    <t>Institute of Applied Medicine and Research, Ghaziabad</t>
  </si>
  <si>
    <t>Shyamveer Singhh</t>
  </si>
  <si>
    <t xml:space="preserve">Id proof mismatched </t>
  </si>
  <si>
    <t>Galgotias University, Greater Noida (BPT)</t>
  </si>
  <si>
    <t>Ritik Kumar</t>
  </si>
  <si>
    <t>Galgotias University, Greater Noida</t>
  </si>
  <si>
    <t>PRINCE RAJ</t>
  </si>
  <si>
    <t>Similar content in all parameters</t>
  </si>
  <si>
    <t>National Institute of Technology Kurukshetra</t>
  </si>
  <si>
    <t>Aman Yadav</t>
  </si>
  <si>
    <t>Id Proof ismatched/ spam</t>
  </si>
  <si>
    <t>Muskan c96</t>
  </si>
  <si>
    <t>St Columba's College, Hazaribagh (B.Sc Botany Hons)</t>
  </si>
  <si>
    <t>Kumar nayan</t>
  </si>
  <si>
    <t>PultikC98</t>
  </si>
  <si>
    <t>Institute of Engineering and Science, IPS Academy, Indore (B.Tech Safety and Fire Engineering)</t>
  </si>
  <si>
    <t>Cyber gaming</t>
  </si>
  <si>
    <t>Copied Content /spam</t>
  </si>
  <si>
    <t>PulkitC98</t>
  </si>
  <si>
    <t>Institute of Engineering and Science, IPS Academy, Indore (B.Tech Data Science)</t>
  </si>
  <si>
    <t>Ankit Meena</t>
  </si>
  <si>
    <t>North Eastern Regional Institute of Science and Technology, Nirjuli (B.Tech Agricultural Engineering)</t>
  </si>
  <si>
    <t>Anshika Bhawsar</t>
  </si>
  <si>
    <t xml:space="preserve">ID proof Mismatched </t>
  </si>
  <si>
    <t>Institute of Engineering and Science, IPS Academy, Indore</t>
  </si>
  <si>
    <t>Aditya Soni</t>
  </si>
  <si>
    <t>Abhineet Singh Gour</t>
  </si>
  <si>
    <t>Irrelevant Content /spam</t>
  </si>
  <si>
    <t>Institute of Engineering and Science, IPS Academy, Indore (B.Tech Agriculture Engineering)</t>
  </si>
  <si>
    <t xml:space="preserve"> Vaibhav Mathur</t>
  </si>
  <si>
    <t>Institute of Engineering and Science, IPS Academy, Indore (B.Tech Computer Science and Engineering)</t>
  </si>
  <si>
    <t>Anandu</t>
  </si>
  <si>
    <t>Institute of Engineering and Science, IPS Academy, Indore (B.Tech Internet of Things and Cyber Security Including Block Chain Technology)</t>
  </si>
  <si>
    <t>Ayushman Singh Bhadoriya</t>
  </si>
  <si>
    <t xml:space="preserve"> Zeba Siddique</t>
  </si>
  <si>
    <t>Institute of Engineering and Science, IPS Academy, Indore (B.Tech Computer Science and Information Technology)</t>
  </si>
  <si>
    <t>Madhur Sharma</t>
  </si>
  <si>
    <t>Harshit Solanki</t>
  </si>
  <si>
    <t>Nikhil Malviya</t>
  </si>
  <si>
    <t>Rohit patidar</t>
  </si>
  <si>
    <t>Padamsingh Pal</t>
  </si>
  <si>
    <t>DeepikaC98</t>
  </si>
  <si>
    <t>University of Mumbai, Mumbai (B.Sc Information Technology)</t>
  </si>
  <si>
    <t>Pooja</t>
  </si>
  <si>
    <t>HARSHC98</t>
  </si>
  <si>
    <t>BIT Sindri, Dhanbad (B.Tech Electrical Engineering)</t>
  </si>
  <si>
    <t>Ayushi Kumari</t>
  </si>
  <si>
    <t>Deepika kamlesh yadav</t>
  </si>
  <si>
    <t>SRM Institute of Science and Technology, NCR Campus, Ghaziabad (BBA)</t>
  </si>
  <si>
    <t>Nishu</t>
  </si>
  <si>
    <t xml:space="preserve">Name and Email Mismatched  </t>
  </si>
  <si>
    <t>Roushni Sharma</t>
  </si>
  <si>
    <t xml:space="preserve">Irrelevant content </t>
  </si>
  <si>
    <t>BIT Sindri, Dhanbad (B.Tech Metallurgical Engineering)</t>
  </si>
  <si>
    <t>sumitbeyondnation</t>
  </si>
  <si>
    <t xml:space="preserve">Copied Contet / Fake </t>
  </si>
  <si>
    <t>Mirza Jasmine</t>
  </si>
  <si>
    <t>Prince</t>
  </si>
  <si>
    <t>DhananjayC99</t>
  </si>
  <si>
    <t>Devta Mahavidhyalaya, Morna (B.Sc Mathematics, Physics and Chemistry)</t>
  </si>
  <si>
    <t>Yash</t>
  </si>
  <si>
    <t>Abhinav Anand</t>
  </si>
  <si>
    <t xml:space="preserve">Name and Email Mismatched  / Spam </t>
  </si>
  <si>
    <t>Swet Kumar</t>
  </si>
  <si>
    <t>Roshan kumar</t>
  </si>
  <si>
    <t>sonu kumar</t>
  </si>
  <si>
    <t>Institute of Engineering and Science, IPS Academy, Indore (B.Tech Artificial Intelligence and Machine Learning)</t>
  </si>
  <si>
    <t>pateljaynarayan305</t>
  </si>
  <si>
    <t>Harilal Murmu</t>
  </si>
  <si>
    <t>ShreyasC99</t>
  </si>
  <si>
    <t>Dayananda Sagar University, Bangalore (B.Tech Computer Science and Engineering)</t>
  </si>
  <si>
    <t>Manu T J</t>
  </si>
  <si>
    <t>Irrelevant Content/ spam</t>
  </si>
  <si>
    <t>AyushGC00</t>
  </si>
  <si>
    <t>Institute of Engineering and Science, IPS Academy, Indore (B.Tech Computer Science and Engineering with Specialization in Artificial Intelligence and Machine Learning)</t>
  </si>
  <si>
    <t>Ayush Gupta</t>
  </si>
  <si>
    <t>Pragadeesh M</t>
  </si>
  <si>
    <t>P.GowthamC99</t>
  </si>
  <si>
    <t>Prathyusha Engineering College, Tiruvallur (BE Computer Science and Engineering)</t>
  </si>
  <si>
    <t>Balamkonda lokesh</t>
  </si>
  <si>
    <t>HimanshuC98</t>
  </si>
  <si>
    <t>Ramjas College, Delhi (BA)</t>
  </si>
  <si>
    <t>Sumit</t>
  </si>
  <si>
    <t xml:space="preserve">Insufficient content </t>
  </si>
  <si>
    <t>GowthamC99</t>
  </si>
  <si>
    <t>Shaik shabber</t>
  </si>
  <si>
    <t xml:space="preserve">Ratings and Review does not match </t>
  </si>
  <si>
    <t>PrateekC00</t>
  </si>
  <si>
    <t>Vidya School of Business, Meerut (MBA)</t>
  </si>
  <si>
    <t>Anshul Jain</t>
  </si>
  <si>
    <t>irrelevant content</t>
  </si>
  <si>
    <t>Similar review</t>
  </si>
  <si>
    <t>Sri Guru Tegh Bahadur Institute of Management and Information Technology, Delhi (BBA Banking and Insurance)</t>
  </si>
  <si>
    <t>Anmol</t>
  </si>
  <si>
    <t>BIT Sindri, Dhanbad (B.Tech Chemical Engineering)</t>
  </si>
  <si>
    <t>Nishi Priya Dahanga</t>
  </si>
  <si>
    <t>PSG College of Nursing, Coimbatore (B.Sc Nursing)</t>
  </si>
  <si>
    <t>V.Mythili</t>
  </si>
  <si>
    <t>Vel Tech Rangarajan Dr Sagunthala R and D Institute of Science and Technology, Chennai (B.Tech Computer Science and Engineering)</t>
  </si>
  <si>
    <t>Pavandheer</t>
  </si>
  <si>
    <t>Kshitij patel</t>
  </si>
  <si>
    <t>Ikra Chhipa</t>
  </si>
  <si>
    <t xml:space="preserve">wrong Id proof attached </t>
  </si>
  <si>
    <t>Sakshi Sheogekar</t>
  </si>
  <si>
    <t>Payal malik</t>
  </si>
  <si>
    <t>JyotsnaC01</t>
  </si>
  <si>
    <t>St Andrews Institute of Technology and Management, Gurgaon (BCA)</t>
  </si>
  <si>
    <t>Gyan Prakash</t>
  </si>
  <si>
    <t>hraj2361</t>
  </si>
  <si>
    <t xml:space="preserve">Duplicate Content </t>
  </si>
  <si>
    <t>Ramjas College, Delhi (BA Political Science Hons)</t>
  </si>
  <si>
    <t>Akash</t>
  </si>
  <si>
    <t>Ishu00</t>
  </si>
  <si>
    <t>RK University, Rajkot (B.Tech Computer Engineering)</t>
  </si>
  <si>
    <t>DRASHTI CHAG</t>
  </si>
  <si>
    <t>Jaipur National University, Jaipur (B.Tech Electronics and Communication Engineering)</t>
  </si>
  <si>
    <t>Pushpendra Singh</t>
  </si>
  <si>
    <t xml:space="preserve">Copied Content/ details mismatched </t>
  </si>
  <si>
    <t>All India Shri Shivaji Memorial Society's Institute of Information Technology, Pune (BE Computer Engineering)</t>
  </si>
  <si>
    <t>Atul shere</t>
  </si>
  <si>
    <t>Indian Institute of Technology Delhi (B.Tech Computer Science and Engineering)</t>
  </si>
  <si>
    <t>King Kumar</t>
  </si>
  <si>
    <t>Aaradhya Shrotriya</t>
  </si>
  <si>
    <t>Chaitanya Bharathi Institute of Technology, Cuddapah (B.Tech Electronics and Communication Engineering)</t>
  </si>
  <si>
    <t>Baby Gokula</t>
  </si>
  <si>
    <t>Institute of Integrated and Honors studies, Kurukshetra (B.Com)</t>
  </si>
  <si>
    <t>Komal Bibian</t>
  </si>
  <si>
    <t>Sonu Bishnoi</t>
  </si>
  <si>
    <t xml:space="preserve">Id proof Mismatched </t>
  </si>
  <si>
    <t>YashC02</t>
  </si>
  <si>
    <t>Shyam Lal College, Delhi (BA History Hons)</t>
  </si>
  <si>
    <t>Yash Kumar</t>
  </si>
  <si>
    <t>EPICCREATE gaming</t>
  </si>
  <si>
    <t>RiyaC02</t>
  </si>
  <si>
    <t>Yashwini Singh</t>
  </si>
  <si>
    <t>Bennett University, Greater Noida (B.Tech Computer Science and Engineering)</t>
  </si>
  <si>
    <t>Aishwary Kumar</t>
  </si>
  <si>
    <t>Irrelevant titles</t>
  </si>
  <si>
    <t>AnanyaC03</t>
  </si>
  <si>
    <t>Agra College, Agra (B.Com)</t>
  </si>
  <si>
    <t>Mohanshyam</t>
  </si>
  <si>
    <t>Malla Reddy College of Engineering for Women, Hyderabad (B.Tech Artificial Intelligence and Machine Learning)</t>
  </si>
  <si>
    <t>Kadam varsha</t>
  </si>
  <si>
    <t xml:space="preserve">Insufficient Content </t>
  </si>
  <si>
    <t>Tilak Education Society JK College of Science and Commerce, Navi Mumbai (B.Sc Computer Science)</t>
  </si>
  <si>
    <t>Yash Mhadgut</t>
  </si>
  <si>
    <t xml:space="preserve">AnamikaC96 </t>
  </si>
  <si>
    <t>Keshav Aggarwal</t>
  </si>
  <si>
    <t xml:space="preserve">reviewed on behalf of friends / Fake  </t>
  </si>
  <si>
    <t>Alliance School of Law, Bangalore (BBA LLB Hons)</t>
  </si>
  <si>
    <t>Apoorva Kumari</t>
  </si>
  <si>
    <t>Chanchal Alam</t>
  </si>
  <si>
    <t>Polytechnic for Women, New Delhi (Diploma in Information Technology)</t>
  </si>
  <si>
    <t>Anjali</t>
  </si>
  <si>
    <t xml:space="preserve">need valid id proof </t>
  </si>
  <si>
    <t>adarsshreddy</t>
  </si>
  <si>
    <t>Tilak Education Society's Sarada Kurup College of Education, Navi Mumbai (B.Ed)</t>
  </si>
  <si>
    <t>Bennett University, Greater Noida (BA Mass Communication)</t>
  </si>
  <si>
    <t>Hemant Kumar</t>
  </si>
  <si>
    <t>Abhishek Gupta</t>
  </si>
  <si>
    <t xml:space="preserve">details mismatched/ need a valid id proof </t>
  </si>
  <si>
    <t>komalkhanoda</t>
  </si>
  <si>
    <t>SuyashKC02</t>
  </si>
  <si>
    <t>Doon Business School, Dehradun (BBA)</t>
  </si>
  <si>
    <t>CORONAVIRUS</t>
  </si>
  <si>
    <t xml:space="preserve">copied content/ details mismatched /spam </t>
  </si>
  <si>
    <t>Gurukul College of Education, Tikamgarh</t>
  </si>
  <si>
    <t>Manas jhanjhot</t>
  </si>
  <si>
    <t>RituC02</t>
  </si>
  <si>
    <t>Jaypee University of Engineering and Technology, Guna (B.Tech Computer Science and Engineering)</t>
  </si>
  <si>
    <t>Hanee Gaur</t>
  </si>
  <si>
    <t>copied</t>
  </si>
  <si>
    <t>ANADI SAHU</t>
  </si>
  <si>
    <t>Central University of Jammu, Jammu (B.Voc Banking and Financial Services)</t>
  </si>
  <si>
    <t>AbhI Singh Vlogs</t>
  </si>
  <si>
    <t xml:space="preserve">irrelevant content </t>
  </si>
  <si>
    <t>Raja Mansingh Tomar Music and Arts University, Gwalior (BFA)</t>
  </si>
  <si>
    <t>Nishchal jha</t>
  </si>
  <si>
    <t>scrap content</t>
  </si>
  <si>
    <t>Maharshi Dayanand University, Rohtak (MBA)</t>
  </si>
  <si>
    <t>mansi</t>
  </si>
  <si>
    <t>copied from AI</t>
  </si>
  <si>
    <t>Zakir Husain Delhi College Evening, New Delhi (B.Com)</t>
  </si>
  <si>
    <t>Priyanshi Sharma</t>
  </si>
  <si>
    <t>Jahnavi C04</t>
  </si>
  <si>
    <t>Armapore PG College, Kanpur (B.Com)</t>
  </si>
  <si>
    <t>jahnavi chowdhuary</t>
  </si>
  <si>
    <t>NaazC04</t>
  </si>
  <si>
    <t>MCM DAV College for Women, Chandigarh (B.Com)</t>
  </si>
  <si>
    <t>Kashish kashish</t>
  </si>
  <si>
    <t xml:space="preserve">Similar content </t>
  </si>
  <si>
    <t>KhushiC05</t>
  </si>
  <si>
    <t>Bennett University, Greater Noida (BBA)</t>
  </si>
  <si>
    <t>kavya agrawal</t>
  </si>
  <si>
    <t>Erode Sengunthar Engineering College, Thudupathi (B.Tech Artificial Intelligence and Data Science Engineering)</t>
  </si>
  <si>
    <t>Boomeshwara K S</t>
  </si>
  <si>
    <t xml:space="preserve">Duplicate Review </t>
  </si>
  <si>
    <t>Dr BR Ambedkar University, Agra (BCA)</t>
  </si>
  <si>
    <t>Satyam Sharma</t>
  </si>
  <si>
    <t xml:space="preserve">Insufficient Content, name &amp; Email ID mismatch </t>
  </si>
  <si>
    <t>NavedC05</t>
  </si>
  <si>
    <t>Delhi Technological University, Delhi (B.Tech Electrical Engineering)</t>
  </si>
  <si>
    <t>Naved</t>
  </si>
  <si>
    <t>Swami Vivekananda Institute of Modern Science, Kolkata (BBA)</t>
  </si>
  <si>
    <t>XIICOMD-05Anuska Bhattacharya</t>
  </si>
  <si>
    <t xml:space="preserve">Fake Details </t>
  </si>
  <si>
    <t>Yash Shankar Mhadgut</t>
  </si>
  <si>
    <t>Institute of Management Studies, Ghaziabad (PGDM)</t>
  </si>
  <si>
    <t>Princy Sharma</t>
  </si>
  <si>
    <t xml:space="preserve">Copied Content using AI tool </t>
  </si>
  <si>
    <t>Mehr Chand Mahajan DAV College for Women, Chandigarh (B.Com)</t>
  </si>
  <si>
    <t>Vandica</t>
  </si>
  <si>
    <t>nishiC05</t>
  </si>
  <si>
    <t>Swami Shukdevanand Postgraduate College, Shahjahanpur (B.Sc)</t>
  </si>
  <si>
    <t>Smriti Rastogi</t>
  </si>
  <si>
    <t>Harcourt Butler Technical University, Kanpur (B.Tech Information Technology)</t>
  </si>
  <si>
    <t>priyanshi agarwal</t>
  </si>
  <si>
    <t>Similar Title/ Reviewed on Behalf of someone</t>
  </si>
  <si>
    <t>Swami Vivekanand Mahavidyalaya, Shahjhanpur (B.Com Hons)</t>
  </si>
  <si>
    <t>sr786687</t>
  </si>
  <si>
    <t>Chandigarh University, Chandigarh (B.Com Hons)</t>
  </si>
  <si>
    <t>Stuti Gupta</t>
  </si>
  <si>
    <t>Swami Shukdevanand Postgraduate College, Shahjahanpur (B.Com Hons)</t>
  </si>
  <si>
    <t>Payal Gupta</t>
  </si>
  <si>
    <t>Muskan Gupta</t>
  </si>
  <si>
    <t>Noor fatima</t>
  </si>
  <si>
    <t>ChinmayC07</t>
  </si>
  <si>
    <t>Sri Jayachamarajendra College of Engineering, Mysuru (B.Tech Mechanical Engineering)</t>
  </si>
  <si>
    <t>Malik sab</t>
  </si>
  <si>
    <t xml:space="preserve">name - Email ID details mismatch </t>
  </si>
  <si>
    <t>AlkaC05</t>
  </si>
  <si>
    <t>National Institute of Technology Uttarakhand (B.Tech Civil Engineering)</t>
  </si>
  <si>
    <t>Alka Suthar</t>
  </si>
  <si>
    <t>sayarC05</t>
  </si>
  <si>
    <t>Heritage Institute of Technology, Kolkata (B.Tech Computer Science and Engineering)</t>
  </si>
  <si>
    <t>RabbanC06</t>
  </si>
  <si>
    <t>Sri Venkateswara College, Delhi (B.Com)</t>
  </si>
  <si>
    <t>Regaltos</t>
  </si>
  <si>
    <t xml:space="preserve">Fake details </t>
  </si>
  <si>
    <t xml:space="preserve">Multiple reviews </t>
  </si>
  <si>
    <t>Indian Institute of Technology Delhi (B.Tech Civil Engineering)</t>
  </si>
  <si>
    <t>National Institute of Technology Warangal (B.Tech Computer Science and Engineering)</t>
  </si>
  <si>
    <t>Lingaya's Vidyapeeth, Faridabad (B.Sc Physics Hons)</t>
  </si>
  <si>
    <t>HirangkaC05</t>
  </si>
  <si>
    <t>Moran College, Sivasagar (B.Sc)</t>
  </si>
  <si>
    <t>subhankar gogoi</t>
  </si>
  <si>
    <t>BhumikaC07</t>
  </si>
  <si>
    <t>National Institute of Technology Srinagar (B.Tech Mechanical Engineering)</t>
  </si>
  <si>
    <t>Bhumika Chahar</t>
  </si>
  <si>
    <t xml:space="preserve">Details Mismatched </t>
  </si>
  <si>
    <t>ShrutiC06</t>
  </si>
  <si>
    <t>DY Patil College of Engineering, Pune (BE Civil Engineering)</t>
  </si>
  <si>
    <t>Manipal University, Jaipur (B.Com)</t>
  </si>
  <si>
    <t>aaliya</t>
  </si>
  <si>
    <t>AmeyC04</t>
  </si>
  <si>
    <t>Lokmangal College of Agricultural Biotechnology, Wadala (B.Sc Agriculture Biotechnology)</t>
  </si>
  <si>
    <t>sakshilad2902</t>
  </si>
  <si>
    <t>kartikC07</t>
  </si>
  <si>
    <t>Jagannath International Management School, Vasant Kunj, New Delhi (BBA)</t>
  </si>
  <si>
    <t>Siya</t>
  </si>
  <si>
    <t xml:space="preserve">irrelevant Content </t>
  </si>
  <si>
    <t>Lakshmibai National Institute of Physical Education, Gwalior (B.P.Ed)</t>
  </si>
  <si>
    <t>vishank tiwari KV KXJ</t>
  </si>
  <si>
    <t xml:space="preserve"> Copied Content/Invalid email id </t>
  </si>
  <si>
    <t>Tolani Maritime Institute, Induri (B.Tech Marine Engineering)</t>
  </si>
  <si>
    <t>Loveu Singh</t>
  </si>
  <si>
    <t>lovemeet Singh</t>
  </si>
  <si>
    <t>The NorthCap University, Gurgaon (B.Tech CSE specialization in Blockchain)</t>
  </si>
  <si>
    <t>chota kaur</t>
  </si>
  <si>
    <t>MeeravaliC08</t>
  </si>
  <si>
    <t>QIS College of Engineering and Technology, Ongole (B.Tech Computer Science and Engineering)</t>
  </si>
  <si>
    <t>Vamsisriram</t>
  </si>
  <si>
    <t>VIT-AP University, Amaravati (B.Tech Computer Science and Engineering)</t>
  </si>
  <si>
    <t>yasaswi697</t>
  </si>
  <si>
    <t>RVR and JC College of Engineering, Guntur (B.Tech Computer Science and Engineering Artificial Intelligence and Machine Learning)</t>
  </si>
  <si>
    <t>Ramcharan</t>
  </si>
  <si>
    <t>Details Mismatched</t>
  </si>
  <si>
    <t>Vellore Institute of Technology, Vellore (B.Tech Mechanical Engineering)</t>
  </si>
  <si>
    <t>Rohit Jha</t>
  </si>
  <si>
    <t>Irrelevant content/ Content violation</t>
  </si>
  <si>
    <t>RVR and JC College of Engineering, Guntur (B.Tech Computer Science and Engineering)</t>
  </si>
  <si>
    <t>Gayathri Asritha Patchipulusu</t>
  </si>
  <si>
    <t xml:space="preserve">Invalid mial id/valid Id proof needed </t>
  </si>
  <si>
    <t>Vasireddy Venkatadri Institute of Technology, Guntur (B.Tech Computer Science and Engineering)</t>
  </si>
  <si>
    <t>MOGILICHARLA VEERENDRA SAI</t>
  </si>
  <si>
    <t>MustafaC08</t>
  </si>
  <si>
    <t>Sri Radha Krishna Goenka College, Sitamarhi (BA)</t>
  </si>
  <si>
    <t>Md imran</t>
  </si>
  <si>
    <t xml:space="preserve">Irrelevant &amp; Copied Content </t>
  </si>
  <si>
    <t>Patliputra University, Patna (BA)</t>
  </si>
  <si>
    <t>Ashi</t>
  </si>
  <si>
    <t xml:space="preserve">Details Mismatched/Invalid email id </t>
  </si>
  <si>
    <t>MM Engineering College, Mullana- Ambala (B.Tech Mechanical Engineering)</t>
  </si>
  <si>
    <t>mustafa ansari</t>
  </si>
  <si>
    <t xml:space="preserve">Deatils Mismatched </t>
  </si>
  <si>
    <t>Ashraf Ansari</t>
  </si>
  <si>
    <t xml:space="preserve">Inlogical Review </t>
  </si>
  <si>
    <t>Sri Guru Nanak Dev Khalsa College, Delhi (B.Com)</t>
  </si>
  <si>
    <t xml:space="preserve">RabbanC06 </t>
  </si>
  <si>
    <t>Sri Guru Tegh Bahadur Khalsa College, New Delhi (B.Com Hons)</t>
  </si>
  <si>
    <t>bani kaur</t>
  </si>
  <si>
    <t>Sri Guru Nanak Dev Khalsa College, Delhi (BA Economics and Political Science)</t>
  </si>
  <si>
    <t xml:space="preserve">KhushiC05 </t>
  </si>
  <si>
    <t>Praveen Rajbhar</t>
  </si>
  <si>
    <t>Similar titles</t>
  </si>
  <si>
    <t>Iswar Saran Degree College, Allahabad (B.Com)</t>
  </si>
  <si>
    <t>Vishal Kumar</t>
  </si>
  <si>
    <t>Riya Singh</t>
  </si>
  <si>
    <t>PIYUSH KUMAR DIXIT</t>
  </si>
  <si>
    <t>Ayush Pandey</t>
  </si>
  <si>
    <t>GLA University, Mathura (B.Tech Electronics and Communication Engineering)</t>
  </si>
  <si>
    <t>Naman kumar</t>
  </si>
  <si>
    <t>GLA University, Mathura (B.Tech Electrical Engineering)</t>
  </si>
  <si>
    <t>Prabhakar Tripathi</t>
  </si>
  <si>
    <t>Satyam Mall</t>
  </si>
  <si>
    <t>Galgotias College of Engineering and Technology, Greater Noida (B.Tech Computer Science and Engineering)</t>
  </si>
  <si>
    <t>Kirti Patel</t>
  </si>
  <si>
    <t>Babu Banarasi Das Institute of Technology and Management, Lucknow (B.Tech Electronics and Communication Engineering)</t>
  </si>
  <si>
    <t>Aditya Singh</t>
  </si>
  <si>
    <t>Kamal</t>
  </si>
  <si>
    <t>VIJAY SINGAL</t>
  </si>
  <si>
    <t xml:space="preserve">details Mismatched </t>
  </si>
  <si>
    <t>Lakshay Juneja</t>
  </si>
  <si>
    <t>Faculty of Law, Banaras Hindu University, Varanasi (BA LLB Hons)</t>
  </si>
  <si>
    <t xml:space="preserve">Similar Titles </t>
  </si>
  <si>
    <t>Central University of South Bihar, Patna (BA LLB Hons)</t>
  </si>
  <si>
    <t>Anirudh</t>
  </si>
  <si>
    <t>Anuj</t>
  </si>
  <si>
    <t>SuyashKC03</t>
  </si>
  <si>
    <t>KIIT School of Law, Bhubaneswar (BA LLB)</t>
  </si>
  <si>
    <t>Siladitya parida</t>
  </si>
  <si>
    <t>SuyashKC04</t>
  </si>
  <si>
    <t>School of Law, UPES, Dehradun (B.Com LLB Hons)</t>
  </si>
  <si>
    <t>prakarsh saluja</t>
  </si>
  <si>
    <t>SuyashKC05</t>
  </si>
  <si>
    <t>Central University of South Bihar, Patna (Ph.D Education)</t>
  </si>
  <si>
    <t>Piyush Maurya</t>
  </si>
  <si>
    <t>SuyashKC06</t>
  </si>
  <si>
    <t>Awadhesh Pratap Singh University, Rewa (B.P.Ed)</t>
  </si>
  <si>
    <t>SuyashKC07</t>
  </si>
  <si>
    <t>School of Management Sciences, Varanasi (BBA)</t>
  </si>
  <si>
    <t>SuyashKC08</t>
  </si>
  <si>
    <t>Guru Ghasidas Vishwavidyalaya, Bilaspur (M.P.Ed)</t>
  </si>
  <si>
    <t>SuyashKC09</t>
  </si>
  <si>
    <t>Rajeev Gandhi Management Institute, Bhopal (MBA)</t>
  </si>
  <si>
    <t>Poonam Vishwakarma</t>
  </si>
  <si>
    <t>Delhi Technological University, Delhi (B.Tech Mathematics and Computing)</t>
  </si>
  <si>
    <t>KartikC07</t>
  </si>
  <si>
    <t>JIMS Engineering Management Technical Campus, Greater Noida (BBA)</t>
  </si>
  <si>
    <t>Shrishti Rawat</t>
  </si>
  <si>
    <t>Copied Content using AI tool</t>
  </si>
  <si>
    <t>Appasaheb Birnale College of Pharmacy, Sangli (B.Pharma)</t>
  </si>
  <si>
    <t>Galgotias University, Greater Noida (B.Tech Computer Science and Engineering)</t>
  </si>
  <si>
    <t>Sweta Singh</t>
  </si>
  <si>
    <t xml:space="preserve">Name - Email ID details mismatch </t>
  </si>
  <si>
    <t>SayarC05</t>
  </si>
  <si>
    <t>Ipsita Sen</t>
  </si>
  <si>
    <t>details Mismatched</t>
  </si>
  <si>
    <t>DevC09</t>
  </si>
  <si>
    <t>Hansraj College, Delhi</t>
  </si>
  <si>
    <t>Ayush Kumar</t>
  </si>
  <si>
    <t>School of Management Sciences, Varanasi</t>
  </si>
  <si>
    <t>Central University of South Bihar, Patna</t>
  </si>
  <si>
    <t>Awadhesh Pratap Singh University, Rewa</t>
  </si>
  <si>
    <t>School of Law and Governance, Central University of South Bihar, Patna (BA LLB Hons)</t>
  </si>
  <si>
    <t>Aditya Raj</t>
  </si>
  <si>
    <t>MehakC09</t>
  </si>
  <si>
    <t>Post Graduate Government College for Girls, Chandigarh (BA)</t>
  </si>
  <si>
    <t>Savitri Kumari</t>
  </si>
  <si>
    <t xml:space="preserve">Name - email Mismatched </t>
  </si>
  <si>
    <t>Delhi Technological University, Delhi</t>
  </si>
  <si>
    <t>UnnatiC09</t>
  </si>
  <si>
    <t>Kalindi College, New Delhi (B.Com Hons)</t>
  </si>
  <si>
    <t>Mridula R. Nair</t>
  </si>
  <si>
    <t>Shri Krishna University, Chhatarpur (MBA Human Resource Development)</t>
  </si>
  <si>
    <t>Aakash vishwakarma</t>
  </si>
  <si>
    <t>RamakrishnanC09</t>
  </si>
  <si>
    <t>Ultra College of Pharmacy, Madurai (B.Pharma)</t>
  </si>
  <si>
    <t>Ramakrishnan</t>
  </si>
  <si>
    <t>Kalasalingam Academy of Research and Education, Virudhunagar (B.Tech Electronics and Communication Engineering)</t>
  </si>
  <si>
    <t>AkashC09</t>
  </si>
  <si>
    <t>Walchand College of Engineering, Sangli (B.Tech Mechanical Engineering)</t>
  </si>
  <si>
    <t>jadhavakash57746</t>
  </si>
  <si>
    <t>Similar Titles - multiple reviews done</t>
  </si>
  <si>
    <t>Vishwakarma Institute of Information Technology, Pune (B.Tech Civil Engineering)</t>
  </si>
  <si>
    <t>SURYANSHC09</t>
  </si>
  <si>
    <t>Galgotias University, Greater Noida (MCA)</t>
  </si>
  <si>
    <t>Tejang</t>
  </si>
  <si>
    <t>Maulana Azad National Institute of Technology Bhopal (B.Tech Computer Science and Engineering)</t>
  </si>
  <si>
    <t>Lakshmi Bai Batra College of Nursing, Delhi (B.Sc Nursing Hons)</t>
  </si>
  <si>
    <t>Sunidhi satyarthi</t>
  </si>
  <si>
    <t>Namya nasa</t>
  </si>
  <si>
    <t xml:space="preserve">Similar Title </t>
  </si>
  <si>
    <t>Vansh sharma</t>
  </si>
  <si>
    <t>UmaC09</t>
  </si>
  <si>
    <t>BPHE Society's Ahmednagar College, Ahmednagar (B.Com)</t>
  </si>
  <si>
    <t>Manoj</t>
  </si>
  <si>
    <t>Mrinalini Datta Mahavidyapith, Kolkata (BA)</t>
  </si>
  <si>
    <t>Sudipta Saha</t>
  </si>
  <si>
    <t>Similar title</t>
  </si>
  <si>
    <t>T.C09</t>
  </si>
  <si>
    <t>Dr Lankapalli Bullayya College, Visakhapatnam (MBA)</t>
  </si>
  <si>
    <t>Purushotham Naidu Pangi</t>
  </si>
  <si>
    <t>St Francis College for Women, Hyderabad (BMS)</t>
  </si>
  <si>
    <t>La Lala</t>
  </si>
  <si>
    <t>St Francis College for Women, Hyderabad (B.Com Hons)</t>
  </si>
  <si>
    <t>31 M. Divyana</t>
  </si>
  <si>
    <t>Patna Science College, Patna (B.Sc Zoology Hons)</t>
  </si>
  <si>
    <t>Pankaj</t>
  </si>
  <si>
    <t>ShimtiC09</t>
  </si>
  <si>
    <t>Shivaji College, Delhi (B.Sc Life Science)</t>
  </si>
  <si>
    <t>Surojit Kandar</t>
  </si>
  <si>
    <t>DipaliC09</t>
  </si>
  <si>
    <t>Sinhgad Academy of Engineering, Kondhwa (BE Computer Engineering)</t>
  </si>
  <si>
    <t>Dipali Jogdand</t>
  </si>
  <si>
    <t>Vivekananda Institute of Professional Studies, Delhi (BA English Hons)</t>
  </si>
  <si>
    <t>Radhika</t>
  </si>
  <si>
    <t>Bundelkhand Institute of Engineering and Technology, Jhansi (B.Tech Chemical Engineering)</t>
  </si>
  <si>
    <t>Mhk</t>
  </si>
  <si>
    <t>Ayodhya Prasad Singh Memorial College, Barauni (B.Sc)</t>
  </si>
  <si>
    <t>Muskan Kumari</t>
  </si>
  <si>
    <t>Supriya Das</t>
  </si>
  <si>
    <t>Baby Kumari</t>
  </si>
  <si>
    <t>MahendraC08</t>
  </si>
  <si>
    <t>Indian Institute of Information Technology, Sri City (B.Tech Artificial Intelligence and Data Science)</t>
  </si>
  <si>
    <t>CHARAN</t>
  </si>
  <si>
    <t>Vamsi krishna</t>
  </si>
  <si>
    <t>Kamineni Academy of Medical Sciences and Research Centre, Hyderabad (MBBS)</t>
  </si>
  <si>
    <t>Deepthansh Bolla</t>
  </si>
  <si>
    <t xml:space="preserve">Similar Review </t>
  </si>
  <si>
    <t>MANIDEEP NAYAK GUGLOTH</t>
  </si>
  <si>
    <t>Deen Dayal Upadhyaya Gorakhpur University, Gorakhpur (B.Com)</t>
  </si>
  <si>
    <t>Khushi Agrawal</t>
  </si>
  <si>
    <t>wrong clg reviewed</t>
  </si>
  <si>
    <t>Singh as As</t>
  </si>
  <si>
    <t>Annu Kumari</t>
  </si>
  <si>
    <t xml:space="preserve">same Title </t>
  </si>
  <si>
    <t>Amrita Kumari</t>
  </si>
  <si>
    <t>Kirori Mal College, Delhi (B.Sc Botany Hons)</t>
  </si>
  <si>
    <t>Dev Kumar Gupta</t>
  </si>
  <si>
    <t>Already reviewed</t>
  </si>
  <si>
    <t>St Francis College for Women, Hyderabad (B.Com Accounting and Finance)</t>
  </si>
  <si>
    <t>Ridhima Shah</t>
  </si>
  <si>
    <t xml:space="preserve">Coopied  Content </t>
  </si>
  <si>
    <t>Resham Kumari</t>
  </si>
  <si>
    <t xml:space="preserve">ID proof mismatch </t>
  </si>
  <si>
    <t>Archana</t>
  </si>
  <si>
    <t xml:space="preserve">name - email ID mismatched </t>
  </si>
  <si>
    <t>AbinayaC10</t>
  </si>
  <si>
    <t>Nehru Arts and Science College, Coimbatore (B.Sc Biotechnology)</t>
  </si>
  <si>
    <t>Kanimozhi</t>
  </si>
  <si>
    <t xml:space="preserve">Content Violation </t>
  </si>
  <si>
    <t>AbhishekC10</t>
  </si>
  <si>
    <t>Dr Shyama Prasad Mukherjee University, Ranchi (BBA Vocational)</t>
  </si>
  <si>
    <t>Sara Biswas</t>
  </si>
  <si>
    <t>Rakhi kumari</t>
  </si>
  <si>
    <t>Similar Content &amp; titles</t>
  </si>
  <si>
    <t>Sumit Kumar</t>
  </si>
  <si>
    <t>School of Open Learning, University of Delhi, Delhi (BA)</t>
  </si>
  <si>
    <t>Sanchayeeta</t>
  </si>
  <si>
    <t xml:space="preserve">name - email mismatch </t>
  </si>
  <si>
    <t>PritamMKC11</t>
  </si>
  <si>
    <t>Shri Vile Parle Kelavani Mandal's Institute of Technology, Dhule (B.Tech Computer Engineering)</t>
  </si>
  <si>
    <t>Harshada</t>
  </si>
  <si>
    <t>Similar Content</t>
  </si>
  <si>
    <t>Rudra kumar gupta</t>
  </si>
  <si>
    <t xml:space="preserve">written on behalf of others - need valid ID proof - Similar content </t>
  </si>
  <si>
    <t>Ram Krishna College, Madhubani (BA Psychology Hons)</t>
  </si>
  <si>
    <t>Shalini Gupta</t>
  </si>
  <si>
    <t>Chethru Mahto Janta College, Madhubani (B.Sc)</t>
  </si>
  <si>
    <t>Pooja Kumari</t>
  </si>
  <si>
    <t>Puja Kumari</t>
  </si>
  <si>
    <t>Mahima Kumari</t>
  </si>
  <si>
    <t>Sintu kumar</t>
  </si>
  <si>
    <t>Radhika Kumari</t>
  </si>
  <si>
    <t>Surya Pratap Singh Rathore</t>
  </si>
  <si>
    <t>Aayush Madhukar Kadam</t>
  </si>
  <si>
    <t xml:space="preserve">Fake reviews done by oneself </t>
  </si>
  <si>
    <t>Indian Institute of Technology Bombay (B.Tech Aerospace Engineering)</t>
  </si>
  <si>
    <t>Avnish Borade</t>
  </si>
  <si>
    <t>Sarthak kasar</t>
  </si>
  <si>
    <t>Dhananjay Jagatrao Patil</t>
  </si>
  <si>
    <t>Pritam Kasar</t>
  </si>
  <si>
    <t>Mayur Ukha Mahajan</t>
  </si>
  <si>
    <t>Shri Shivaji Vidya Prasarak Sanstha's Bhausaheb NS Patil Arts and MFMA Commerce College, Dhule (B.Com)</t>
  </si>
  <si>
    <t>Yogita Bhokare</t>
  </si>
  <si>
    <t>RH Sapat College of Engineering, Management Studies and Research, Nashik (BE Computer Engineering)</t>
  </si>
  <si>
    <t>Vaibhav S Patil</t>
  </si>
  <si>
    <t>YashviC11</t>
  </si>
  <si>
    <t>Divyanshu Chaubey</t>
  </si>
  <si>
    <t>DEBOPRIYOC10</t>
  </si>
  <si>
    <t>Techno India University, Kolkata (BBA)</t>
  </si>
  <si>
    <t>Debopriyo Mondal</t>
  </si>
  <si>
    <t xml:space="preserve"> AnamikaC96 </t>
  </si>
  <si>
    <t>Aarti kumari</t>
  </si>
  <si>
    <t xml:space="preserve">Reviewed on behalf of others </t>
  </si>
  <si>
    <t>Amity College of Commerce and Finance, Noida (B.Com Hons)</t>
  </si>
  <si>
    <t>Avinash Kumar</t>
  </si>
  <si>
    <t>Parul Institute of Engineering and Technology, Vadodara (B.Tech Computer Science and Engineering)</t>
  </si>
  <si>
    <t>MD Tufail Anwar</t>
  </si>
  <si>
    <t>Ram Krishna College, Madhubani (B.Sc Zoology Hons)</t>
  </si>
  <si>
    <t>Astik raj</t>
  </si>
  <si>
    <t>Kalinga Institute of Industrial Technology, Bhubaneswar (B.Tech Computer Science and System Engineering)</t>
  </si>
  <si>
    <t>vanshdeep singh</t>
  </si>
  <si>
    <t xml:space="preserve">Fake mail id </t>
  </si>
  <si>
    <t>AkhileshC11</t>
  </si>
  <si>
    <t>University Institute of Technology Rajiv Gandhi Proudyogiki Vishwavidyalaya, Bhopal (BE Computer Science and Engineering)</t>
  </si>
  <si>
    <t>UPENDRA VERMA</t>
  </si>
  <si>
    <t>Ramjas College, Delhi (B.Com Hons)</t>
  </si>
  <si>
    <t>Akshat Malhotra</t>
  </si>
  <si>
    <t>Insufficient Character</t>
  </si>
  <si>
    <t>Netaji Subhas University of Technology, New Delhi (B.Tech Computer Science and Engineering)</t>
  </si>
  <si>
    <t>MANISH SHAW</t>
  </si>
  <si>
    <t>DPG Institute of Technology and Management, Gurgaon (B.Tech Computer Science and Engineering)</t>
  </si>
  <si>
    <t>Mohit kumar</t>
  </si>
  <si>
    <t>Maharaja Agrasen Institute of Technology, Delhi (B.Tech Information Technology)</t>
  </si>
  <si>
    <t>YASH</t>
  </si>
  <si>
    <t>TSSM's Bhivarabai Sawant College of Engineering and Research, Pune (BE Computer Engineering)</t>
  </si>
  <si>
    <t>Mane Aditi Vitthal</t>
  </si>
  <si>
    <t>SwarnaliC10</t>
  </si>
  <si>
    <t>Jadavpur University, Kolkata (BE Production Engineering)</t>
  </si>
  <si>
    <t>Milan Hait</t>
  </si>
  <si>
    <t>DishaC10</t>
  </si>
  <si>
    <t>Banaras Hindu University, Varanasi (B.A Geography Hons)</t>
  </si>
  <si>
    <t>Swattik Sarkar</t>
  </si>
  <si>
    <t>RitikaC12</t>
  </si>
  <si>
    <t>St Stephens College, Delhi (BA)</t>
  </si>
  <si>
    <t>angel thomas</t>
  </si>
  <si>
    <t>YC12</t>
  </si>
  <si>
    <t>Synergy Degree College, Secunderabad (BBA)</t>
  </si>
  <si>
    <t>Tarun</t>
  </si>
  <si>
    <t xml:space="preserve">Similar titles </t>
  </si>
  <si>
    <t>Pendekanti Law College, Hyderabad (BA LLB)</t>
  </si>
  <si>
    <t>Ch rithik</t>
  </si>
  <si>
    <t>Indian Institute of Information Technology, Nagpur (B.Tech Electronics and Communication Engineering)</t>
  </si>
  <si>
    <t>ACHILLES</t>
  </si>
  <si>
    <t>Y Sanjana</t>
  </si>
  <si>
    <t>Sinhgad Institute of Technology, Lonavala (BE Computer Engineering)</t>
  </si>
  <si>
    <t>Tejas</t>
  </si>
  <si>
    <t xml:space="preserve">name- email mismatched </t>
  </si>
  <si>
    <t>Sinhgad Institute of Technology, Lonavala (BE Electronics and Telecommunication Engineering)</t>
  </si>
  <si>
    <t>Sakshi Madane</t>
  </si>
  <si>
    <t>Government College, Sheopur (B.Sc-Botany, Chemistry and Zoology)</t>
  </si>
  <si>
    <t>Praveena Bairva</t>
  </si>
  <si>
    <t xml:space="preserve">Duplicate reviews </t>
  </si>
  <si>
    <t>Gajra Raja Medical College, Gwalior (MBBS)</t>
  </si>
  <si>
    <t>Pranjal Rai</t>
  </si>
  <si>
    <t xml:space="preserve">AkhileshC11 </t>
  </si>
  <si>
    <t>Polytechnic College, Vadakkangulam (Diploma in Computer Science and Engineering)</t>
  </si>
  <si>
    <t>Kapil Tiwari</t>
  </si>
  <si>
    <t xml:space="preserve">Similar Title/ spam </t>
  </si>
  <si>
    <t>Sohel</t>
  </si>
  <si>
    <t>University Institute of Technology, Shivpuri (B.Tech Computer Science Engineering)</t>
  </si>
  <si>
    <t>Abhy</t>
  </si>
  <si>
    <t>People's College of Medical Sciences and Research Centre, Bhopal (MBBS)</t>
  </si>
  <si>
    <t>hemraj bairwa</t>
  </si>
  <si>
    <t>St Stephens College, Delhi (B.Sc Chemistry Hons)</t>
  </si>
  <si>
    <t>Ritika khess</t>
  </si>
  <si>
    <t>SaptarshiC12</t>
  </si>
  <si>
    <t>Baharagora College, Baharagora (B.Com)</t>
  </si>
  <si>
    <t>Adi</t>
  </si>
  <si>
    <t>NANAWARE GAURAV VIJAY</t>
  </si>
  <si>
    <t>Falgunitimande</t>
  </si>
  <si>
    <t xml:space="preserve">Invalid title </t>
  </si>
  <si>
    <t>Dadasaheb Mokashi College of Agricultural Engineering and Technology, Rajmachi (B.Tech Agricultural Engineering)</t>
  </si>
  <si>
    <t>vishwajeet kumbhar</t>
  </si>
  <si>
    <t>AmeyC05</t>
  </si>
  <si>
    <t>University of Delhi, Delhi (B.Sc Mathematics Hons)</t>
  </si>
  <si>
    <t>Shiksha</t>
  </si>
  <si>
    <t>Shambhawi Jha</t>
  </si>
  <si>
    <t>University of Delhi, Delhi (B.Sc Chemistry Hons)</t>
  </si>
  <si>
    <t>Joe Smith</t>
  </si>
  <si>
    <t>AsraC13</t>
  </si>
  <si>
    <t>The Graduate School College for Women, Jamshedpur (B.Sc)</t>
  </si>
  <si>
    <t>10_Asra Tahreem</t>
  </si>
  <si>
    <t>St Francis College for Women, Hyderabad (BA Economics, Political Science and Public Administration)</t>
  </si>
  <si>
    <t>Monica</t>
  </si>
  <si>
    <t>AyushC13</t>
  </si>
  <si>
    <t>Sobhasaria Group of Institutions, Sikar (BBA)</t>
  </si>
  <si>
    <t>Manan Agarwal</t>
  </si>
  <si>
    <t>Babu Banarasi Das University, Lucknow (BA LLB Integrated)</t>
  </si>
  <si>
    <t>Ananya Singh</t>
  </si>
  <si>
    <t>University Institute of Technology, Shivpuri (B.Tech Electrical and Electronics Engineering)</t>
  </si>
  <si>
    <t>Harsh Prajapati</t>
  </si>
  <si>
    <t>Ritik</t>
  </si>
  <si>
    <t>Content similar - Need ID proof</t>
  </si>
  <si>
    <t>Priyal Karnawat</t>
  </si>
  <si>
    <t>JK Lakshmipat University, Jaipur (BBA Banking and Fintech)</t>
  </si>
  <si>
    <t>BITS Pilani, Goa Campus (BE Computer Science Engineering)</t>
  </si>
  <si>
    <t>Samridhi Verma</t>
  </si>
  <si>
    <t>BITS Pilani, Goa Campus (BE Electronics and Instrumentation Engineering)</t>
  </si>
  <si>
    <t>Krish Mathur</t>
  </si>
  <si>
    <t xml:space="preserve">Invalid ID Proof </t>
  </si>
  <si>
    <t>IMS Engineering College, Ghaziabad (B.Tech Biotechnology)</t>
  </si>
  <si>
    <t>Kartik</t>
  </si>
  <si>
    <t>BS Abdur Rahman Crescent Institute of Science and Technology, Chennai (B.Tech Information Technology)</t>
  </si>
  <si>
    <t>mr interstellar</t>
  </si>
  <si>
    <t xml:space="preserve">fake Identification details </t>
  </si>
  <si>
    <t>Ramjas College, Delhi (BA English Hons)</t>
  </si>
  <si>
    <t>Abc</t>
  </si>
  <si>
    <t>St Francis College for Women, Hyderabad (BA Economics, Public Administration and Social Management)</t>
  </si>
  <si>
    <t xml:space="preserve">Say </t>
  </si>
  <si>
    <t>Invalid details</t>
  </si>
  <si>
    <t>SachinC14</t>
  </si>
  <si>
    <t>Delhi Technological University, Delhi (B.Tech Engineering Physics)</t>
  </si>
  <si>
    <t xml:space="preserve">Lost Network </t>
  </si>
  <si>
    <t>VIVEKC14</t>
  </si>
  <si>
    <t>Anurag University, Hyderabad (B.Tech Artificial Intelligence)</t>
  </si>
  <si>
    <t>Srichandana</t>
  </si>
  <si>
    <t xml:space="preserve">Copied content using AI tool </t>
  </si>
  <si>
    <t>PratikC10</t>
  </si>
  <si>
    <t>ITS Dental College Hospital and Research Centre, Greater Noida (BDS)</t>
  </si>
  <si>
    <t>pratikmarotisalve15</t>
  </si>
  <si>
    <t>Yeshwantrao Chavan College of Engineering, Nagpur (B.Tech Information Technology)</t>
  </si>
  <si>
    <t>BhavyaC12</t>
  </si>
  <si>
    <t>University of Delhi, Delhi (B.Com Hons)</t>
  </si>
  <si>
    <t>Kuhu kakkar</t>
  </si>
  <si>
    <t xml:space="preserve">Insufficient  Content </t>
  </si>
  <si>
    <t>Lakshika</t>
  </si>
  <si>
    <t>Shivaji College, Delhi (B.Com Hons)</t>
  </si>
  <si>
    <t>Chehak</t>
  </si>
  <si>
    <t>GreeshmaC09</t>
  </si>
  <si>
    <t>Vellore Institute of Technology, Chennai Campus (B.Tech Computer Science and Engineering)</t>
  </si>
  <si>
    <t>JayaRatnaUttam Appana</t>
  </si>
  <si>
    <t>Samrath Singh</t>
  </si>
  <si>
    <t>Jhalakc11</t>
  </si>
  <si>
    <t>Amity Institute of Biotechnology, Noida (B.Tech and M.Tech Biotechnology Integrated)</t>
  </si>
  <si>
    <t>shamiq ahmad</t>
  </si>
  <si>
    <t>SurajC15</t>
  </si>
  <si>
    <t>Kristu Jayanti College, Bengaluru (BBA)</t>
  </si>
  <si>
    <t>Vivek Kumar</t>
  </si>
  <si>
    <t xml:space="preserve">Similar reviews </t>
  </si>
  <si>
    <t>Kristu Jayanti College, Bengaluru (BBA Aviation Management)</t>
  </si>
  <si>
    <t>Suraj Kumar</t>
  </si>
  <si>
    <t>PushpakC15</t>
  </si>
  <si>
    <t>MIT Art Design and Technology University, Pune (B.Tech Computer and Information Technology)</t>
  </si>
  <si>
    <t>Pushpak Umesh Borse</t>
  </si>
  <si>
    <t>ArshitaC15</t>
  </si>
  <si>
    <t>Tara Devi Harahk Chand Kankaria Jain College, Kolkata (B.Sc Geography Hons)</t>
  </si>
  <si>
    <t>Jesika Thakur</t>
  </si>
  <si>
    <t xml:space="preserve">duplicate content </t>
  </si>
  <si>
    <t>PreetiC15</t>
  </si>
  <si>
    <t>DIT University, Dehradun (B.Pharma)</t>
  </si>
  <si>
    <t>Vrinda Poply</t>
  </si>
  <si>
    <t>TaniyaC15</t>
  </si>
  <si>
    <t>Rishav</t>
  </si>
  <si>
    <t>Ravindra College of Engineering for Women, Kurnool (B.Tech Computer Science and Engineering)</t>
  </si>
  <si>
    <t>Vennela Reddy</t>
  </si>
  <si>
    <t>AbhayC16</t>
  </si>
  <si>
    <t>Kurukshetra University, Kurukshetra (MBA)</t>
  </si>
  <si>
    <t>Sanjeev Kumar</t>
  </si>
  <si>
    <t>Guru Nanak Dev University, Amritsar (B.Tech Computer Science Engineering)</t>
  </si>
  <si>
    <t>KartikeyC15</t>
  </si>
  <si>
    <t>Maharaja Agrasen College, Delhi (B.Sc Electronics Hons)</t>
  </si>
  <si>
    <t>Manish Rustagi</t>
  </si>
  <si>
    <t>KushiC12</t>
  </si>
  <si>
    <t>MLR Institute of Technology, Dundigal (B.Tech Computer Science and Engineering)</t>
  </si>
  <si>
    <t>Sai Prakash</t>
  </si>
  <si>
    <t>Sahil Akhtar</t>
  </si>
  <si>
    <t>Maharishi Koutilya Academy, Bhopal (DCA)</t>
  </si>
  <si>
    <t>anjali prajapati</t>
  </si>
  <si>
    <t xml:space="preserve">Spam - One review posted multiple times. </t>
  </si>
  <si>
    <t>Sachdeva Institute of Management and Technology, New Delhi (DCA)</t>
  </si>
  <si>
    <t>vishal yadav</t>
  </si>
  <si>
    <t>Sony Computer Education, Chhindwara (DCA)</t>
  </si>
  <si>
    <t>Vaishnavi</t>
  </si>
  <si>
    <t>Khandelwal Computer Research Institute, Alwar (DCA)</t>
  </si>
  <si>
    <t>Tata Institute of Technology, Sidhi (DCA)</t>
  </si>
  <si>
    <t>Academy of Computer Science and Technology, Jabalpur (DCA)</t>
  </si>
  <si>
    <t>Bhartiya Institute of Professional Studies, Ujjain (DCA)</t>
  </si>
  <si>
    <t>Nistha Institute of Science and Technology, Azamgarh (DCA)</t>
  </si>
  <si>
    <t>Gyan Sagar Institute of Computer Science and Application, Jabalpur (DCA)</t>
  </si>
  <si>
    <t>Bhartiya Vidya Mandir Institute of Information Technology, Gwalior (DCA)</t>
  </si>
  <si>
    <t>deeksha devi yadav</t>
  </si>
  <si>
    <t>Srajan College, Chhatarpur (DCA)</t>
  </si>
  <si>
    <t>salvi jain</t>
  </si>
  <si>
    <t>megha nayak</t>
  </si>
  <si>
    <t>sradha raja bundela</t>
  </si>
  <si>
    <t>St Xaviers College, Ranchi (B.Com Accounts)</t>
  </si>
  <si>
    <t>Satwik Prasad</t>
  </si>
  <si>
    <t xml:space="preserve">Rating &amp; Review mismatch </t>
  </si>
  <si>
    <t>Mragendra Kumar Soni</t>
  </si>
  <si>
    <t>Santosh Dwivedi</t>
  </si>
  <si>
    <t xml:space="preserve">SuyashKC02 </t>
  </si>
  <si>
    <t>Samridhi sharma</t>
  </si>
  <si>
    <t>Usha Rani</t>
  </si>
  <si>
    <t>Kumari Yugratna</t>
  </si>
  <si>
    <t>SuyushKC02</t>
  </si>
  <si>
    <t>Central University of South Bihar, Patna (B.Sc and B.Ed Integrated)</t>
  </si>
  <si>
    <t>Akanksha gopal</t>
  </si>
  <si>
    <t>shradha raja bundela</t>
  </si>
  <si>
    <t xml:space="preserve">Spam - ID proof mismatch </t>
  </si>
  <si>
    <t>Rahul Kumhar</t>
  </si>
  <si>
    <t>Jai Singh Yadav</t>
  </si>
  <si>
    <t>Sana khatoon</t>
  </si>
  <si>
    <t>Suyash Computer Education, Dhamnod (DCA)</t>
  </si>
  <si>
    <t>Kalyan Singh Ghosh</t>
  </si>
  <si>
    <t>Rajendra Lodhi</t>
  </si>
  <si>
    <t>Diksha</t>
  </si>
  <si>
    <t>Bornali Saha</t>
  </si>
  <si>
    <t>Deeksha Ray</t>
  </si>
  <si>
    <t xml:space="preserve"> ArshitaC15 </t>
  </si>
  <si>
    <t>Gokhale Memorial Girls' College, Kolkata (BA English Hons)</t>
  </si>
  <si>
    <t>Sreya Ghosh</t>
  </si>
  <si>
    <t>Koushik Mandal</t>
  </si>
  <si>
    <t>Prachi kumari</t>
  </si>
  <si>
    <t xml:space="preserve">need valid ID proof </t>
  </si>
  <si>
    <t>Salvi jain</t>
  </si>
  <si>
    <t>Surendra Yadav</t>
  </si>
  <si>
    <t>Rahul Sahu</t>
  </si>
  <si>
    <t>Preeti Devi Yadav</t>
  </si>
  <si>
    <t>Devash Shridhar</t>
  </si>
  <si>
    <t>Dharmendra Goud</t>
  </si>
  <si>
    <t>TanyaC17</t>
  </si>
  <si>
    <t>Doon University, Dehradun (BBA)</t>
  </si>
  <si>
    <t>Tanya</t>
  </si>
  <si>
    <t>AnkitC17</t>
  </si>
  <si>
    <t>ARKA Jain University, Seraikela (BCA)</t>
  </si>
  <si>
    <t>Rahul</t>
  </si>
  <si>
    <t>Symbiosis Law School, Pune (BBA LLB Hons)</t>
  </si>
  <si>
    <t>C Gurumurthy</t>
  </si>
  <si>
    <t>ThajibaC17</t>
  </si>
  <si>
    <t>Indira College of Commerce and Science, Pune (B.Com)</t>
  </si>
  <si>
    <t>tiawrks@gmail.com</t>
  </si>
  <si>
    <t>Tia</t>
  </si>
  <si>
    <t>2nd Aug 2024</t>
  </si>
  <si>
    <t>Lakshmibai National Institute of Physical Education, Gwalior (M.P.Ed)</t>
  </si>
  <si>
    <t>Praveen singh</t>
  </si>
  <si>
    <t xml:space="preserve">Similar Content </t>
  </si>
  <si>
    <t>sanjeet pingua</t>
  </si>
  <si>
    <t>3rd Aug 2024</t>
  </si>
  <si>
    <t>Tirumala Engineering College, Narasaraopet (B.Tech Computer Science and Engineering)</t>
  </si>
  <si>
    <t xml:space="preserve">T.C09 </t>
  </si>
  <si>
    <t>Indian Institute of Management Rohtak (PGPM)</t>
  </si>
  <si>
    <t>aditya vats</t>
  </si>
  <si>
    <t xml:space="preserve">reviewed on behalf of others/ need a valid id proof </t>
  </si>
  <si>
    <t>Chulbulii</t>
  </si>
  <si>
    <t xml:space="preserve">ShwetaC18 </t>
  </si>
  <si>
    <t>Kashi Institute of Management and Science, Varanasi (BBA)</t>
  </si>
  <si>
    <t>Shweta Yadav</t>
  </si>
  <si>
    <t>Details Mismatched/ Similar Title / spam</t>
  </si>
  <si>
    <t>4th Aug 2024</t>
  </si>
  <si>
    <t>RitabrataC18</t>
  </si>
  <si>
    <t>Manipal University, Jaipur (B.Tech Electronics and Communication Engineering)</t>
  </si>
  <si>
    <t>ANIKET CHATTERJEE</t>
  </si>
  <si>
    <t>Career Computer Institute of Information Technology, Chhatarpur (DCA)</t>
  </si>
  <si>
    <t>Dharmendra Yadav</t>
  </si>
  <si>
    <t xml:space="preserve">Details mismatched </t>
  </si>
  <si>
    <t>Bharti Namdev</t>
  </si>
  <si>
    <t>5th Aug 2024</t>
  </si>
  <si>
    <t>JatinC15</t>
  </si>
  <si>
    <t>Walchand College of Engineering, Sangli (Diploma in Electrical Engineering)</t>
  </si>
  <si>
    <t>Akshay Patil</t>
  </si>
  <si>
    <t>Lovely Professional University, Phagwara (B.Sc Agriculture Hons)</t>
  </si>
  <si>
    <t>rifiweja</t>
  </si>
  <si>
    <t>SampadC17</t>
  </si>
  <si>
    <t>KIIT School of Management, Bhubaneswar (BBA)</t>
  </si>
  <si>
    <t>Gaming zone</t>
  </si>
  <si>
    <t>7th Aug 2024</t>
  </si>
  <si>
    <t xml:space="preserve">ShraddhaC14 </t>
  </si>
  <si>
    <t>BV Raju Institute of Technology, Narsapur (B.Tech Computer Science Engineering)</t>
  </si>
  <si>
    <t>Dheeraj</t>
  </si>
  <si>
    <t>Jyothi Swaroop</t>
  </si>
  <si>
    <t>GUMMADI MUKESH</t>
  </si>
  <si>
    <t>D KHIZER FARHAAN</t>
  </si>
  <si>
    <t>12th Aug 2024</t>
  </si>
  <si>
    <t xml:space="preserve"> MohdC18 </t>
  </si>
  <si>
    <t>Sharda University, Greater Noida (MBA International Business)</t>
  </si>
  <si>
    <t>Mohd Zaid</t>
  </si>
  <si>
    <t>Same person reviewed again &amp; again</t>
  </si>
  <si>
    <t>Ajay Kumar Garg Engineering College, Ghaziabad (B.Tech Mechanical Engineering)</t>
  </si>
  <si>
    <t>Amity University, Noida (BBA Marketing and Sales)</t>
  </si>
  <si>
    <t xml:space="preserve">TusharC19 </t>
  </si>
  <si>
    <t>Indore Institute of Science and Technology-II, Indore (BE Computer Science and Engineering)</t>
  </si>
  <si>
    <t>Tanvi Barhanpurkar</t>
  </si>
  <si>
    <t>Indore Institute of Science and Technology, Indore (B.Tech Computer Science and Engineering Data Science)</t>
  </si>
  <si>
    <t>Sujal Yadav</t>
  </si>
  <si>
    <t>Indore Institute of Science and Technology, Indore (B.Tech Computer Science and Engineering)</t>
  </si>
  <si>
    <t>Bhoomika Maheshwari</t>
  </si>
  <si>
    <t>Vitthal Upadhyay</t>
  </si>
  <si>
    <t xml:space="preserve">13th Aug 2024 </t>
  </si>
  <si>
    <t xml:space="preserve">JatinC15 </t>
  </si>
  <si>
    <t>Indian Institute of Technology Hyderabad (Ph.D Mathematics)</t>
  </si>
  <si>
    <t>G Sugirtha Gayathri</t>
  </si>
  <si>
    <t>Indian Institute of Information Technology, Bhopal (B.Tech Electronics and Communication Engineering)</t>
  </si>
  <si>
    <t>Terli Sasank</t>
  </si>
  <si>
    <t>Indian Institute of Information Technology, Bhopal (B.Tech Information Technology)</t>
  </si>
  <si>
    <t>Chalamalasetty Abhinav</t>
  </si>
  <si>
    <t>15th Aug 2024</t>
  </si>
  <si>
    <t>RajseeC19</t>
  </si>
  <si>
    <t>Gyan Ganga Institute of Technology and Sciences, Jabalpur (B.Pharma)</t>
  </si>
  <si>
    <t>Himanshu Patel</t>
  </si>
  <si>
    <t>16th Aug 2024</t>
  </si>
  <si>
    <t>MohdC18</t>
  </si>
  <si>
    <t>New Horizon College of Engineering, Bangalore (BE Computer Science and Engineering)</t>
  </si>
  <si>
    <t>Harshit Raj</t>
  </si>
  <si>
    <t>17th Aug 2024</t>
  </si>
  <si>
    <t xml:space="preserve">MohdC18 </t>
  </si>
  <si>
    <t>ITS Engineering College, Greater Noida (B.Tech Computer Science and Engineering)</t>
  </si>
  <si>
    <t>Shiv Nadar University, Greater Noida (B.Tech Civil Engineering)</t>
  </si>
  <si>
    <t>18th Aug 2024</t>
  </si>
  <si>
    <t>Birla Institute of Technology and Science, Pilani (BE Electrical and Electronics Engineering)</t>
  </si>
  <si>
    <t>25th Aug 2024</t>
  </si>
  <si>
    <t>ShineyC20</t>
  </si>
  <si>
    <t>Indira Gandhi National Open University, New Delhi (B.Com Accountancy and Finance Major)</t>
  </si>
  <si>
    <t>Parteek Wadhwa</t>
  </si>
  <si>
    <t>26th Aug 2024</t>
  </si>
  <si>
    <t>Rishi</t>
  </si>
  <si>
    <t>Amity University, Noida (BBA Family Business and Entrepreneurship)</t>
  </si>
  <si>
    <t>Radhika Bhatia</t>
  </si>
  <si>
    <t>27th Aug 2024</t>
  </si>
  <si>
    <t>BrajC19</t>
  </si>
  <si>
    <t>Abhishek kumar</t>
  </si>
  <si>
    <t>30th Aug 2024</t>
  </si>
  <si>
    <t>Indian Institute of Technology Guwahati (Ph.D Biosciences and Bioengineering)</t>
  </si>
  <si>
    <t>Angom Hiroshima</t>
  </si>
  <si>
    <t>31st Aug 2024</t>
  </si>
  <si>
    <t>Delhi Technological University, Delhi (B.Tech Civil Engineering)</t>
  </si>
  <si>
    <t>Anmol Anand</t>
  </si>
  <si>
    <t>2nd sept 2024</t>
  </si>
  <si>
    <t>AFROZC21</t>
  </si>
  <si>
    <t>Delhi Skill and Entrepreneurship University, New Delhi (BBA Banking, Financial Services and Insurance)</t>
  </si>
  <si>
    <t>ishaan sangwan</t>
  </si>
  <si>
    <t xml:space="preserve">3rd Sept 2024 </t>
  </si>
  <si>
    <t>Ruchi</t>
  </si>
  <si>
    <t>DSEU Pusa Campus II, New Delhi (BBA Retail Management)</t>
  </si>
  <si>
    <t>KAIF</t>
  </si>
  <si>
    <t>Rashi meena</t>
  </si>
  <si>
    <t>Delhi Skill and Entrepreneurship University, New Delhi (BBA Facilities and Hygiene Management)</t>
  </si>
  <si>
    <t>Shahbaz Alam</t>
  </si>
  <si>
    <t>Details Mismatched/ Similar Content</t>
  </si>
  <si>
    <t>Jyoti</t>
  </si>
  <si>
    <t>Pranay</t>
  </si>
  <si>
    <t>MehulC22</t>
  </si>
  <si>
    <t>Amity School of Engineering and Technology, Noida (B.Tech Computer Science and Engineering)</t>
  </si>
  <si>
    <t>kush gupta</t>
  </si>
  <si>
    <t>4th Sept 2024</t>
  </si>
  <si>
    <t xml:space="preserve">AFROZC21 </t>
  </si>
  <si>
    <t>Lalit Rohilla</t>
  </si>
  <si>
    <t>RCC Institute of Information Technology, Beliaghata (B.Tech Electrical Engineering)</t>
  </si>
  <si>
    <t>Ayushman Dam</t>
  </si>
  <si>
    <t>Tiksha madan</t>
  </si>
  <si>
    <t>Sadwika.vC21</t>
  </si>
  <si>
    <t>Avinash College of Commerce, Kukatpally (B.Com)</t>
  </si>
  <si>
    <t>Sadwika</t>
  </si>
  <si>
    <t>5th Sept 2024</t>
  </si>
  <si>
    <t>RakshitaC22</t>
  </si>
  <si>
    <t>Smt Kamala and Sri Venkappa M Agadi College of Engineering and Technology, Gadag (BE Information Science and Engineering)</t>
  </si>
  <si>
    <t>Rakshita N alur</t>
  </si>
  <si>
    <t>6th Sept 2024</t>
  </si>
  <si>
    <t xml:space="preserve"> AFROZC21 </t>
  </si>
  <si>
    <t>Delhi Skill and Entrepreneurship University, New Delhi (BCA)</t>
  </si>
  <si>
    <t>Mmta sharma</t>
  </si>
  <si>
    <t>Dhruv Kumar</t>
  </si>
  <si>
    <t>Vatsal</t>
  </si>
  <si>
    <t>Baba Mastnath University, Rohtak (Ph.D Education)</t>
  </si>
  <si>
    <t>Deepa taneja</t>
  </si>
  <si>
    <t>7th Sept 2024</t>
  </si>
  <si>
    <t>Delhi Skill and Entrepreneurship University, New Delhi (Diploma in Applied Arts)</t>
  </si>
  <si>
    <t>Shivam yadav</t>
  </si>
  <si>
    <t>Naman sharma</t>
  </si>
  <si>
    <t>Pooja yadav</t>
  </si>
  <si>
    <t>Monika</t>
  </si>
  <si>
    <t>Shivani Pal</t>
  </si>
  <si>
    <t>Manpreet Chandra</t>
  </si>
  <si>
    <t>Sachin Chauhan</t>
  </si>
  <si>
    <t>13th Sept 2024</t>
  </si>
  <si>
    <t xml:space="preserve"> AyushmanC25 </t>
  </si>
  <si>
    <t>Institute of Management Studies, Adhyatmik Nagar, Ghaziabad (BBA)</t>
  </si>
  <si>
    <t>Priyanshu Ritvik</t>
  </si>
  <si>
    <t>Institute of Management Studies, Adhyatmik Nagar, Ghaziabad (BCA)</t>
  </si>
  <si>
    <t>Sachin yadav</t>
  </si>
  <si>
    <t>Sanjeev Kumar Singh</t>
  </si>
  <si>
    <t>Ayushman Chaudhary</t>
  </si>
  <si>
    <t xml:space="preserve">21st Sept 2024 </t>
  </si>
  <si>
    <t xml:space="preserve">ShineyC20 </t>
  </si>
  <si>
    <t>MMH College, Ghaziabad (B.Com)</t>
  </si>
  <si>
    <t>JYOTI Jyoti thareja</t>
  </si>
  <si>
    <t xml:space="preserve">Similar Title/ reviewed on behalf of someone </t>
  </si>
  <si>
    <t>Symbiosis Center for Distance Learning, Pune (Post Graduate Diploma in Human Resource Management)</t>
  </si>
  <si>
    <t>Manika</t>
  </si>
  <si>
    <t>Saksham Arora</t>
  </si>
  <si>
    <t>Delhi Technological University, Delhi (B.Tech Computer Science and Engineering)</t>
  </si>
  <si>
    <t>ashmit</t>
  </si>
  <si>
    <t>Delhi Technological University, Delhi (B.Tech Biotechnology)</t>
  </si>
  <si>
    <t>Arjun Saho</t>
  </si>
  <si>
    <t>Aditya Jha</t>
  </si>
  <si>
    <t>Aditya agrawal</t>
  </si>
  <si>
    <t>Hemant Raheja</t>
  </si>
  <si>
    <t>Institute of Management Technology, Ghaziabad (PGDM)</t>
  </si>
  <si>
    <t>MMH College, Ghaziabad (M.Com)</t>
  </si>
  <si>
    <t>SanskarC27</t>
  </si>
  <si>
    <t>Dayanand Anglo Vedic PG College, Dehradun (B.Com)</t>
  </si>
  <si>
    <t>Jatin Singh Thapa</t>
  </si>
  <si>
    <t xml:space="preserve">22nd Sept 2024 </t>
  </si>
  <si>
    <t xml:space="preserve"> ShineyC20 </t>
  </si>
  <si>
    <t>Institute For Education and Technical Sciences, Ghaziabad (B.Ed)</t>
  </si>
  <si>
    <t>23rd Sept 2030</t>
  </si>
  <si>
    <t>DeepanshuC25</t>
  </si>
  <si>
    <t>Durga Prasad Baljeet Singh PG College, Anoopshahr (BA)</t>
  </si>
  <si>
    <t>Shalindra</t>
  </si>
  <si>
    <t>23rd Sept 2031</t>
  </si>
  <si>
    <t>Durga Prasad Baljeet Singh PG College, Anoopshahr (BCA Self Finance)</t>
  </si>
  <si>
    <t>Tushar</t>
  </si>
  <si>
    <t>23rd Sept 2032</t>
  </si>
  <si>
    <t>Durga Prasad Baljeet Singh PG College, Anoopshahr (B.Com Self Finance)</t>
  </si>
  <si>
    <t>AYUSH GAUR</t>
  </si>
  <si>
    <t>26th Sept 2024</t>
  </si>
  <si>
    <t>MilyC31</t>
  </si>
  <si>
    <t>Mahi tyagi</t>
  </si>
  <si>
    <t xml:space="preserve">SumitC31 </t>
  </si>
  <si>
    <t>ShriRam College of Engineering and Management, Banmore (B.Tech Computer Science and Engineering)</t>
  </si>
  <si>
    <t>Gourang Yadav</t>
  </si>
  <si>
    <t xml:space="preserve">Similar Title / reviewd on behalf of others </t>
  </si>
  <si>
    <t>ITM University, Gwalior (B.Tech Computer Science and Engineering)</t>
  </si>
  <si>
    <t>Sumit Rajput</t>
  </si>
  <si>
    <t xml:space="preserve"> KausthubaC30 </t>
  </si>
  <si>
    <t>Seshadripuram Degree College, Mysuru (B.Com)</t>
  </si>
  <si>
    <t>Deepika.m</t>
  </si>
  <si>
    <t>Same Review</t>
  </si>
  <si>
    <t xml:space="preserve">ManthanC31 </t>
  </si>
  <si>
    <t>ABES Institute of Technology, Ghaziabad (BBA)</t>
  </si>
  <si>
    <t>Manthan Idnani</t>
  </si>
  <si>
    <t xml:space="preserve"> AnkitC31 </t>
  </si>
  <si>
    <t>Parul University, Vadodara (MCA Integrated)</t>
  </si>
  <si>
    <t>Parul Institute of Technology, Vadodara (B.Tech Computer Science and Engineering)</t>
  </si>
  <si>
    <t>vivek kumar</t>
  </si>
  <si>
    <t>Ankit Kumar</t>
  </si>
  <si>
    <t>27th Sept 2024</t>
  </si>
  <si>
    <t xml:space="preserve">RituC30 </t>
  </si>
  <si>
    <t>Gandhi Institute for Technological Advancement, Bhubaneswar (B.Tech Computer Science and Engineering)</t>
  </si>
  <si>
    <t>Satyam singh</t>
  </si>
  <si>
    <t xml:space="preserve">Similar Content/ Similar Title </t>
  </si>
  <si>
    <t>Aditya kumar</t>
  </si>
  <si>
    <t>Prasann Samaiyar</t>
  </si>
  <si>
    <t>Hansikac360</t>
  </si>
  <si>
    <t>Indira Gandhi National Open University, New Delhi (B.Com)</t>
  </si>
  <si>
    <t>Ansh</t>
  </si>
  <si>
    <t>28th Sept 2024</t>
  </si>
  <si>
    <t>Avinash Raj</t>
  </si>
  <si>
    <t>LuckyC31</t>
  </si>
  <si>
    <t>BIT Sindri, Dhanbad (B.Tech Mechanical Engineering)</t>
  </si>
  <si>
    <t>SOURABH KUMAR</t>
  </si>
  <si>
    <t>29th Sept 2024</t>
  </si>
  <si>
    <t xml:space="preserve"> RituC30 </t>
  </si>
  <si>
    <t>Suvendu khuntia</t>
  </si>
  <si>
    <t>Ghanshyam</t>
  </si>
  <si>
    <t>Rupam Bhanja</t>
  </si>
  <si>
    <t>Sumit Jha</t>
  </si>
  <si>
    <t>RanjeetC31</t>
  </si>
  <si>
    <t>DY Patil International University, Akurdi (B.Tech Computer Science and Engineering)</t>
  </si>
  <si>
    <t>Bhuvan jadhav</t>
  </si>
  <si>
    <t>Piyush Mishra</t>
  </si>
  <si>
    <t>HansikaC30</t>
  </si>
  <si>
    <t>Goel Institute of Higher Studies Mahavidyalaya, Lucknow (BBA)</t>
  </si>
  <si>
    <t>Abhay</t>
  </si>
  <si>
    <t>University of Lucknow, Lucknow (B.Com)</t>
  </si>
  <si>
    <t>Mohd mazin</t>
  </si>
  <si>
    <t>30th Sept 2024</t>
  </si>
  <si>
    <t>Sribatsa Dhal</t>
  </si>
  <si>
    <t>Vivekananda Institute of Professional Studies, Delhi (BBA)</t>
  </si>
  <si>
    <t>Nishant Gautam</t>
  </si>
  <si>
    <t xml:space="preserve">SWATANTRAC34 </t>
  </si>
  <si>
    <t>harsh mishra</t>
  </si>
  <si>
    <t>LAKSHYA ASATI</t>
  </si>
  <si>
    <t>Krrish bardiya</t>
  </si>
  <si>
    <t>Vivek Yadav</t>
  </si>
  <si>
    <t>Tutor chotu</t>
  </si>
  <si>
    <t>1st Oct 2024</t>
  </si>
  <si>
    <t>SanikaC34</t>
  </si>
  <si>
    <t>Sinhgad College of Commerce, Pune (BBA Computer Application)</t>
  </si>
  <si>
    <t>Pratik Ugile</t>
  </si>
  <si>
    <t>4th Oct 2024</t>
  </si>
  <si>
    <t>Sir Parashurambhau College, Pune (B.Sc)</t>
  </si>
  <si>
    <t>Varode Surabhi</t>
  </si>
  <si>
    <t>7th Oct 2024</t>
  </si>
  <si>
    <t>Pradeepc37</t>
  </si>
  <si>
    <t>SSR College of Arts Commerce and Science, Silvassa (B.Sc Computer Science)</t>
  </si>
  <si>
    <t>Pradeep</t>
  </si>
  <si>
    <t>Angappa College of Arts and Science, Coimbatore (BBA)</t>
  </si>
  <si>
    <t>aparajitaC37</t>
  </si>
  <si>
    <t>Marwari College, Bhagalpur (BBA Hons)</t>
  </si>
  <si>
    <t>TNB College, Bhagalpur (BCA)</t>
  </si>
  <si>
    <t>Shivarsh</t>
  </si>
  <si>
    <t>Ajay Kumar Garg Engineering College, Ghaziabad (B.Tech Computer Science and Engineering)</t>
  </si>
  <si>
    <t>AwariC37</t>
  </si>
  <si>
    <t>Sinhgad Institute Management, Pune (MBA)</t>
  </si>
  <si>
    <t>Tejaswi Awari</t>
  </si>
  <si>
    <t>DHANSHREEC35</t>
  </si>
  <si>
    <t>Shri Shivaji Vidya Prasarak Sanstha's Bapusaheb Shivajirao Deore College of Engineering, Dhule (B.Tech Electronics Engineering)</t>
  </si>
  <si>
    <t>Dhanshree Mahale</t>
  </si>
  <si>
    <t>aparajita3C7</t>
  </si>
  <si>
    <t>Tilka Manjhi Bhagalpur University, Bhagalpur (MBA)</t>
  </si>
  <si>
    <t>Pallavi</t>
  </si>
  <si>
    <t>8th Oct 2024</t>
  </si>
  <si>
    <t>Aparajita</t>
  </si>
  <si>
    <t>Rajeshc37</t>
  </si>
  <si>
    <t>9th Oct 2024</t>
  </si>
  <si>
    <t>Haribhai V Desai College of Commerce Arts and Science, Pune (B.Com)</t>
  </si>
  <si>
    <t>Ronak Naik</t>
  </si>
  <si>
    <t>10th Oct 2024</t>
  </si>
  <si>
    <t xml:space="preserve">Details Mismatched/ Copied content </t>
  </si>
  <si>
    <t>11th Oct 2024</t>
  </si>
  <si>
    <t xml:space="preserve">SonaliC40 </t>
  </si>
  <si>
    <t>Government Engineering College, Vaishali (B.Tech Civil Engineering)</t>
  </si>
  <si>
    <t>Priya kumari</t>
  </si>
  <si>
    <t>Government Engineering College, Vaishali (B.Tech Computer Science and Engineering)</t>
  </si>
  <si>
    <t>Sonali kumari</t>
  </si>
  <si>
    <t>Vaish College of Engineering, Rohtak (B.Tech Computer Science and Engineering)</t>
  </si>
  <si>
    <t>13th Oct 2024</t>
  </si>
  <si>
    <t>AdnanC41</t>
  </si>
  <si>
    <t>Trikuta College of Education, Jammu (B.Ed)</t>
  </si>
  <si>
    <t>adnan wani</t>
  </si>
  <si>
    <t>AdnanC42</t>
  </si>
  <si>
    <t>SSR College of Pharmacy, Sayli Silvassa (B.Pharma)</t>
  </si>
  <si>
    <t>AdnanC43</t>
  </si>
  <si>
    <t>Faculty of Forestry, Sher-e-Kashmir University of Agricultural Sciences and Technology of Kashmir, Srinagar (B.Sc Forestry)</t>
  </si>
  <si>
    <t>AdnanC44</t>
  </si>
  <si>
    <t>Institute of Technology, University of Kashmir, Zakura Campus, Srinagar (B.Tech Electrical Engineering)</t>
  </si>
  <si>
    <t>Lavanya30</t>
  </si>
  <si>
    <t>ICG Institute of Educational Research and Development, Jaipur (B.Ed)</t>
  </si>
  <si>
    <t>Lavanya Nandwani</t>
  </si>
  <si>
    <t>14th Oct 2024</t>
  </si>
  <si>
    <t>SHINEYC20</t>
  </si>
  <si>
    <t>Lady Irwin College, New Delhi (B.Sc Food Technology Hons)</t>
  </si>
  <si>
    <t>Aastha Machiwal</t>
  </si>
  <si>
    <t>15th Oct 2024</t>
  </si>
  <si>
    <t xml:space="preserve"> mohdC40 </t>
  </si>
  <si>
    <t>Shri Ram College of Commerce, Delhi (B.Com Hons)</t>
  </si>
  <si>
    <t>Nomaan Ansari</t>
  </si>
  <si>
    <t>Shri Ram College of Commerce, Delhi (M.Com)</t>
  </si>
  <si>
    <t>Dyal Singh College, New Delhi (BA)</t>
  </si>
  <si>
    <t>16th Oct 2024</t>
  </si>
  <si>
    <t>AlokC44</t>
  </si>
  <si>
    <t>Uttar Pradesh University of Medical Sciences, Saifai (BPT)</t>
  </si>
  <si>
    <t>Aman Kumar Gupta</t>
  </si>
  <si>
    <t>17th Oct 2024</t>
  </si>
  <si>
    <t xml:space="preserve">ShubhC40 </t>
  </si>
  <si>
    <t>Damyanti Raj Anand Government Degree College, Budaun (MA English)</t>
  </si>
  <si>
    <t>Suryansh Singh</t>
  </si>
  <si>
    <t>mohdC40</t>
  </si>
  <si>
    <t>Shaheed Bhagat Singh State University, Ferozepur (B.Tech Computer Science and Engineering)</t>
  </si>
  <si>
    <t>Amandeep Singh</t>
  </si>
  <si>
    <t xml:space="preserve"> PrathamC45 </t>
  </si>
  <si>
    <t>Indian Institute of Technology Indore (B.Tech Computer Science and Engineering)</t>
  </si>
  <si>
    <t>Pratham Singh</t>
  </si>
  <si>
    <t>Noida International University, Greater Noida (B.Tech Computer Science and Engineering)</t>
  </si>
  <si>
    <t>North Eastern Regional Institute of Science and Technology, Nirjuli (B.Tech Civil Engineering)</t>
  </si>
  <si>
    <t xml:space="preserve">KadigariC45 </t>
  </si>
  <si>
    <t>Kadigari Bhavya</t>
  </si>
  <si>
    <t>ICFAI Tech, Hyderabad (B.Tech Computer Science and Engineering)</t>
  </si>
  <si>
    <t>18th Oct 2024</t>
  </si>
  <si>
    <t xml:space="preserve">RewantC45 </t>
  </si>
  <si>
    <t>Banasthali Vidyapith, Banasthali (BA)</t>
  </si>
  <si>
    <t>Radhika Agrawal</t>
  </si>
  <si>
    <t>18th Oct 2025</t>
  </si>
  <si>
    <t xml:space="preserve">AnshikaC45 </t>
  </si>
  <si>
    <t>Jabalpur Engineering College, Jabalpur (BE Electronics and Telecommunication Engineering)</t>
  </si>
  <si>
    <t>Anshika Tiwari</t>
  </si>
  <si>
    <t>18th Oct 2026</t>
  </si>
  <si>
    <t>18th Oct 2027</t>
  </si>
  <si>
    <t>Deshbandhu College, New Delhi (BA English Hons)</t>
  </si>
  <si>
    <t>mohammad alban</t>
  </si>
  <si>
    <t>19th Oct 2024</t>
  </si>
  <si>
    <t xml:space="preserve"> MittC43 </t>
  </si>
  <si>
    <t>suraj</t>
  </si>
  <si>
    <t>GaganC40</t>
  </si>
  <si>
    <t>Maharana Pratap Engineering College, Kanpur (B.Tech Computer Science and Engineering)</t>
  </si>
  <si>
    <t>Gagan Sahu</t>
  </si>
  <si>
    <t>20th Oct 2024</t>
  </si>
  <si>
    <t>21st Oct 2024</t>
  </si>
  <si>
    <t>22nd Oct 2024</t>
  </si>
  <si>
    <t>AnanyaC47</t>
  </si>
  <si>
    <t>Sri Venkateswara College, Delhi (B.Sc Life Sciences)</t>
  </si>
  <si>
    <t>Ananya Khemani</t>
  </si>
  <si>
    <t xml:space="preserve"> GhanatheC48 </t>
  </si>
  <si>
    <t>AVN Institute of Engineering and Technology, Hyderabad (B.Tech Mechanical Engineering)</t>
  </si>
  <si>
    <t>G vinay kumar</t>
  </si>
  <si>
    <t>Similar Review</t>
  </si>
  <si>
    <t>24th Oct 2024</t>
  </si>
  <si>
    <t xml:space="preserve">AnanyaC47 </t>
  </si>
  <si>
    <t>Daulat Ram College, Delhi (BA Psychology Hons)</t>
  </si>
  <si>
    <t>Dyal Singh College, New Delhi (B.Com Hons)</t>
  </si>
  <si>
    <t>Detail Mismatched</t>
  </si>
  <si>
    <t>Daulat Ram College, Delhi (B.Com Hons)</t>
  </si>
  <si>
    <t xml:space="preserve"> BishnuC43 </t>
  </si>
  <si>
    <t>Amity University, Lucknow Campus (B.Sc Biotechnology Hons)</t>
  </si>
  <si>
    <t>No Title</t>
  </si>
  <si>
    <t xml:space="preserve">AkshithaC50 </t>
  </si>
  <si>
    <t>Sphoorthy Engineering College, Hyderabad (B.Tech Electronics and Communication Engineering)</t>
  </si>
  <si>
    <t>Akshitha</t>
  </si>
  <si>
    <t>Sree Dattha Institute of Engineering and Sciences, Ibrahimpatnam (B.Tech Computer Science and Engineering)</t>
  </si>
  <si>
    <t>Sri Indu Institute of Engineering and Technology, Ibrahimpatnam (B.Tech Computer Science and Engineering)</t>
  </si>
  <si>
    <t>AVN Institute of Engineering and Technology, Hyderabad (B.Tech Electronics and Communication Engineering)</t>
  </si>
  <si>
    <t>CVR College of Engineering, Hyderabad (B.Tech Computer Science and Engineering)</t>
  </si>
  <si>
    <t>25th Oct 2024</t>
  </si>
  <si>
    <t>AkshithaC50</t>
  </si>
  <si>
    <t>Visvesvaraya College of Engineering and Technology, Ibrahimpatnam (B.Tech Computer Science and Engineering)</t>
  </si>
  <si>
    <t>Keshav Memorial Institute of Technology, Hyderabad (B.Tech Information Technology)</t>
  </si>
  <si>
    <t xml:space="preserve"> Thanushree.SC50 </t>
  </si>
  <si>
    <t>National Law School of India University, Bangalore (BA LLB Hons)</t>
  </si>
  <si>
    <t>Thanu Shrii</t>
  </si>
  <si>
    <t>Same review</t>
  </si>
  <si>
    <t xml:space="preserve">NC47 </t>
  </si>
  <si>
    <t>Madanapalle Institute of Technology and Science, Madanapalle (B.Tech Computer Science and Engineering)</t>
  </si>
  <si>
    <t>Kusuma Kavya</t>
  </si>
  <si>
    <t>26th Oct 2024</t>
  </si>
  <si>
    <t xml:space="preserve">KarthishaC51 </t>
  </si>
  <si>
    <t>Ch SD St Theresas Autonomous College for Women, Eluru (B.Sc Zoology Hons)</t>
  </si>
  <si>
    <t>Karthisha Chinthala</t>
  </si>
  <si>
    <t>KarrhishaC51</t>
  </si>
  <si>
    <t>Ramachandra College of Engineering, Eluru (B.Tech Computer Science and Engineering)</t>
  </si>
  <si>
    <t>Shaik rashees</t>
  </si>
  <si>
    <t xml:space="preserve">RiteshC52 </t>
  </si>
  <si>
    <t>Satpuda College of Engineering and Polytechnic, Balaghat (B.Tech Computer Science and Engineering)</t>
  </si>
  <si>
    <t>Ritesh Nagpure</t>
  </si>
  <si>
    <t>Lakshmi Narain College of Technology, Bhopal (BE Computer Science and Engineering)</t>
  </si>
  <si>
    <t>Sardar Patel College of Technology, Balaghat (B.Tech Computer Science and Engineering)</t>
  </si>
  <si>
    <t>Satpuda College of Engineering and Polytechnic, Balaghat (Diploma in Civil Engineering)</t>
  </si>
  <si>
    <t>Government Jatashankar Trivedi College, Balaghat (BA)</t>
  </si>
  <si>
    <t>ShaileshC51</t>
  </si>
  <si>
    <t>Nutan Maharashtra Institute of Engineering and Technology, Pune (BE Artificial Intelligence and Data Science)</t>
  </si>
  <si>
    <t>Shailesh Harkal</t>
  </si>
  <si>
    <t>27th Oct 2024</t>
  </si>
  <si>
    <t xml:space="preserve">JayeshC51 </t>
  </si>
  <si>
    <t>Barpeta Law College, Barpeta (LLB)</t>
  </si>
  <si>
    <t>s2r_in</t>
  </si>
  <si>
    <t>28th Oct 2024</t>
  </si>
  <si>
    <t xml:space="preserve">NunnaC52 </t>
  </si>
  <si>
    <t>Kakinada Institute of Engineering and Technology-II, Korangi (B.Tech Artificial Intelligence and Data Science)</t>
  </si>
  <si>
    <t>Siva Surya Manikanta Nunna</t>
  </si>
  <si>
    <t>Kakinada Institute of Engineering and Technology, Korangi (B.Tech Artificial Intelligence and Data Science)</t>
  </si>
  <si>
    <t>Adikavi Nannaya University, Rajahmundry (B.Tech Mechanical Engineering)</t>
  </si>
  <si>
    <t>Kakinada Institute of Engineering and Technology, Korangi (B.Tech Artificial Intelligence)</t>
  </si>
  <si>
    <t>29th Oct 2024</t>
  </si>
  <si>
    <t>Swami Ramanand Teerth Marathwada University, Nanded (M.Com)</t>
  </si>
  <si>
    <t>Krishna bhagwanrao harkal</t>
  </si>
  <si>
    <t xml:space="preserve">ThouheedC49 </t>
  </si>
  <si>
    <t>Sri Chaitanya Engineering College, Visakhapatnam (B.Tech Civil Engineering)</t>
  </si>
  <si>
    <t>Asifa</t>
  </si>
  <si>
    <t>International Institute of Information Technology, Hyderabad (MS Civil Engineering)</t>
  </si>
  <si>
    <t>Shri PD Patil College of Engineering, Paldhi (B.Tech Electronics and Telecommunication Engineering)</t>
  </si>
  <si>
    <t>Karimunnisa</t>
  </si>
  <si>
    <t>Jawaharlal Nehru Architecture and Fine Arts University, Hyderabad (BFA Sculpture)</t>
  </si>
  <si>
    <t>Apeejay Stya University, Sohna (BBA Marketing Hons)</t>
  </si>
  <si>
    <t>School of Planning and Architecture Vijayawada (Ph.D Planning)</t>
  </si>
  <si>
    <t>NunnaC52</t>
  </si>
  <si>
    <t>Kakinada Institute of Engineering and Technology for Women, Korangi (B.Tech Artificial Intelligence and Data Science)</t>
  </si>
  <si>
    <t>Thanushree.SC50</t>
  </si>
  <si>
    <t>30th Oct 2024</t>
  </si>
  <si>
    <t>IFTM University, Moradabad (B.Pharma)</t>
  </si>
  <si>
    <t>MIT University, Shillong (B.Com)</t>
  </si>
  <si>
    <t>Krishna Chaitanya Degree and PG College, Nellore (BCA Data Science)</t>
  </si>
  <si>
    <t>Indus International University, Una (B.Sc Chemistry)</t>
  </si>
  <si>
    <t>LipsarC253</t>
  </si>
  <si>
    <t>Radhakrishna Institute of Technology and Engineering, Bhubaneswar (B.Tech Computer Science and Engineering)</t>
  </si>
  <si>
    <t>Sagar Barada</t>
  </si>
  <si>
    <t>31st Oct 2024</t>
  </si>
  <si>
    <t>1st Nov 2024</t>
  </si>
  <si>
    <t>SiddharthC55</t>
  </si>
  <si>
    <t>Noida Institute of Engineering and Technology, Greater Noida (B.Tech Computer Science and Engineering)</t>
  </si>
  <si>
    <t>Arin kaushik</t>
  </si>
  <si>
    <t xml:space="preserve">SuhavaniC55 </t>
  </si>
  <si>
    <t>Deshbandhu College, New Delhi (BA Economics Hons)</t>
  </si>
  <si>
    <t>Parth Sarthi Chandna</t>
  </si>
  <si>
    <t>MAHAKC41</t>
  </si>
  <si>
    <t>Sw Sundar Lal Shivhare Degree College, Makrav (D.El.Ed)</t>
  </si>
  <si>
    <t>Nusrat</t>
  </si>
  <si>
    <t>ANUSHKAC55</t>
  </si>
  <si>
    <t>Netaji Subhas University of Technology, New Delhi (B.Tech Electrical Engineering)</t>
  </si>
  <si>
    <t>Ayush</t>
  </si>
  <si>
    <t>2nd Nov 2024</t>
  </si>
  <si>
    <t>DY Patil College of Engineering, Pune (BE Electronics and Telecommunication Engineering)</t>
  </si>
  <si>
    <t>geeta kadam</t>
  </si>
  <si>
    <t>DY Patil College of Engineering, Pune (BE Mechanical Engineering)</t>
  </si>
  <si>
    <t>Dhananjay shinde</t>
  </si>
  <si>
    <t xml:space="preserve"> AbhimanC55 </t>
  </si>
  <si>
    <t>NMAM Institute of Technology, Karkala Taluk (B.Tech Electrical and Electronics Engineering)</t>
  </si>
  <si>
    <t>Chetna Naik</t>
  </si>
  <si>
    <t>Wilson College, Mumbai (BMS)</t>
  </si>
  <si>
    <t>Prithviraj Mehta</t>
  </si>
  <si>
    <t xml:space="preserve">MahakC41 </t>
  </si>
  <si>
    <t>Indirapuram Institute of Higher Studies, Ghaziabad (B.Com)</t>
  </si>
  <si>
    <t>Khushboo khan</t>
  </si>
  <si>
    <t>3rd Nov 2024</t>
  </si>
  <si>
    <t>4th Nov 2024</t>
  </si>
  <si>
    <t xml:space="preserve"> LipsarC253 </t>
  </si>
  <si>
    <t>Vikram Deb Autonomous College, Koraput (BA)</t>
  </si>
  <si>
    <t>S Pawan Kumar</t>
  </si>
  <si>
    <t>Veer Surendra Sai University of Technology, Sambalpur (B.Tech Electrical Engineering)</t>
  </si>
  <si>
    <t>manishasahujnvs</t>
  </si>
  <si>
    <t>Khallikote University, Berhampur (M.Sc Electronics and Telecommunication)</t>
  </si>
  <si>
    <t>Arati Bhuyan</t>
  </si>
  <si>
    <t>Baby Manankuda</t>
  </si>
  <si>
    <t>Khallikote University, Berhampur (B.Com Hons)</t>
  </si>
  <si>
    <t>Sarat Jani</t>
  </si>
  <si>
    <t>Centurion University of Technology and Management, Rayagada (B.Pharma)</t>
  </si>
  <si>
    <t>Somya ranjan dash</t>
  </si>
  <si>
    <t>Presidency College, Berhampur (BCA)</t>
  </si>
  <si>
    <t>sanjeev parihar</t>
  </si>
  <si>
    <t>Indira Gandhi Institute of Technology, Sarang (B.Tech Computer Science Engineering)</t>
  </si>
  <si>
    <t>Banamali Patra</t>
  </si>
  <si>
    <t xml:space="preserve">NishanthiniC56 </t>
  </si>
  <si>
    <t>National Institute of Technology Tiruchirappalli (B.Tech Civil Engineering)</t>
  </si>
  <si>
    <t>Venisha M</t>
  </si>
  <si>
    <t>5th Nov 2024</t>
  </si>
  <si>
    <t xml:space="preserve">MittaC56 </t>
  </si>
  <si>
    <t>St Peter's Engineering College, Hyderabad (B.Tech Electronics and Communication Engineering)</t>
  </si>
  <si>
    <t>Mitta Ganesh</t>
  </si>
  <si>
    <t>Malla Reddy College of Engineering and Technology, Hyderabad (B.Tech Computer Science and Engineering)</t>
  </si>
  <si>
    <t xml:space="preserve">SulagnaC55 </t>
  </si>
  <si>
    <t>Institute of Pharmacy, Jalpaiguri (B.Pharma)</t>
  </si>
  <si>
    <t>Goutam Mitra</t>
  </si>
  <si>
    <t xml:space="preserve"> Gosu.UsharaniC56 </t>
  </si>
  <si>
    <t>Sri Indu College of Engineering and Technology, Ibrahimpatnam (B.Tech Computer Science and Engineering)</t>
  </si>
  <si>
    <t>Pranavi</t>
  </si>
  <si>
    <t>AyushiTC253</t>
  </si>
  <si>
    <t>Deen Dayal Upadhyaya Gorakhpur University, Gorakhpur (B.Sc-Botany, Zoology and Chemistry)</t>
  </si>
  <si>
    <t>Ayushi</t>
  </si>
  <si>
    <t>NishanthiniC56</t>
  </si>
  <si>
    <t>VO Chidambaram College, Tuticorin (BA Economics)</t>
  </si>
  <si>
    <t>Saharsh Kharat</t>
  </si>
  <si>
    <t>6th Nov 2024</t>
  </si>
  <si>
    <t xml:space="preserve">JahnaviC42 </t>
  </si>
  <si>
    <t>AGM Rural College of Engineering and Technology, Hubli (BE Computer Science and Engineering)</t>
  </si>
  <si>
    <t>Banashankari kadlewad</t>
  </si>
  <si>
    <t xml:space="preserve">Similar Title/ reviewed on behalf of others. </t>
  </si>
  <si>
    <t>Swati Kumathalli</t>
  </si>
  <si>
    <t>Laxmi kuravattigoudra</t>
  </si>
  <si>
    <t>Chaitra Kulkarni</t>
  </si>
  <si>
    <t>mehek bilagi</t>
  </si>
  <si>
    <t xml:space="preserve">VaishnaviC56 </t>
  </si>
  <si>
    <t>St Aloysius College, Jabalpur (B.Com-Accounting, Business Management and Computer Applications)</t>
  </si>
  <si>
    <t>Swayam Raikwar</t>
  </si>
  <si>
    <t>VimalC56</t>
  </si>
  <si>
    <t>Vision Institute of Technology, Aligarh (B.Tech Computer Science and Engineering)</t>
  </si>
  <si>
    <t>VIMAL SENGAR</t>
  </si>
  <si>
    <t>7th Nov 2024</t>
  </si>
  <si>
    <t>K. Vedha</t>
  </si>
  <si>
    <t>9th Nov 2024</t>
  </si>
  <si>
    <t xml:space="preserve"> SulagnaC55 </t>
  </si>
  <si>
    <t>University of Burdwan, Bardhaman (MA Political Science)</t>
  </si>
  <si>
    <t>Shampa Mitra</t>
  </si>
  <si>
    <t xml:space="preserve">PrateekC59 </t>
  </si>
  <si>
    <t>Vellore Institute of Technology, Vellore (B.Tech Computer Science and Engineering)</t>
  </si>
  <si>
    <t>prateekumarpal</t>
  </si>
  <si>
    <t>MittaC56</t>
  </si>
  <si>
    <t>St Peter's Engineering College, Hyderabad (B.Tech Artificial Intelligence and Machine Learning)</t>
  </si>
  <si>
    <t>10th Nov 2024</t>
  </si>
  <si>
    <t xml:space="preserve"> MahakC41 </t>
  </si>
  <si>
    <t>Pt Khushilal Sharma Government Autonomous Ayurveda College and Institute, Bhopal (BAMS)</t>
  </si>
  <si>
    <t>Shivam Gupta</t>
  </si>
  <si>
    <t>11th Nov 2024</t>
  </si>
  <si>
    <t>PrabhatC61</t>
  </si>
  <si>
    <t>Swami Shraddhanand College, Delhi (B.Com Hons)</t>
  </si>
  <si>
    <t>Deepak Kumar</t>
  </si>
  <si>
    <t>AI generated Content</t>
  </si>
  <si>
    <t>12th Nov 2024</t>
  </si>
  <si>
    <t>MahakC41</t>
  </si>
  <si>
    <t>Zila Parishad Agriculture College, Banda (B.Sc Agriculture)</t>
  </si>
  <si>
    <t>Samreen</t>
  </si>
  <si>
    <t>RohanC57</t>
  </si>
  <si>
    <t>National Institute of Fashion Technology, Mumbai (B.Des Fashion Communication)</t>
  </si>
  <si>
    <t>Aman sahni</t>
  </si>
  <si>
    <t>AI Generated Content</t>
  </si>
  <si>
    <t xml:space="preserve">PrabhatC61 </t>
  </si>
  <si>
    <t>Sri Aurobindo College Evening, New Delhi (B.Com)</t>
  </si>
  <si>
    <t>Ankur</t>
  </si>
  <si>
    <t>Details Missmatched</t>
  </si>
  <si>
    <t xml:space="preserve"> RiyaAC54 </t>
  </si>
  <si>
    <t>Jai Hind College, Mumbai (B.Com)</t>
  </si>
  <si>
    <t>yogeeni parekh</t>
  </si>
  <si>
    <t>HR College of Commerce and Economics, Mumbai (B.Com)</t>
  </si>
  <si>
    <t>Jugal sonpal</t>
  </si>
  <si>
    <t>SNDT Women's University Law School, Mumbai (BBA LLB)</t>
  </si>
  <si>
    <t>Avaneesh Rao</t>
  </si>
  <si>
    <t>Jawaharlal Nehru Architecture and Fine Arts University, Hyderabad (B.Arch)</t>
  </si>
  <si>
    <t>Jacob Mary</t>
  </si>
  <si>
    <t>Pravin Gandhi College of Law, Mumbai (BA LLB)</t>
  </si>
  <si>
    <t>Hem Raul</t>
  </si>
  <si>
    <t>Sejal Sharma</t>
  </si>
  <si>
    <t>Thakur Institute of Management Studies and Research, Mumbai (MBA Marketing Management)</t>
  </si>
  <si>
    <t>Danish Shaikh</t>
  </si>
  <si>
    <t>KashishC62</t>
  </si>
  <si>
    <t>Kalinga University, Raipur (BBA)</t>
  </si>
  <si>
    <t>Kashish gupta</t>
  </si>
  <si>
    <t xml:space="preserve">KashishC62 </t>
  </si>
  <si>
    <t>Marwari College, Ranchi (B.Com)</t>
  </si>
  <si>
    <t>Neha Gupta</t>
  </si>
  <si>
    <t>Similar Title / reveiwed on behalf of someone</t>
  </si>
  <si>
    <t>Ranchi University, Ranchi (B.Com Hons)</t>
  </si>
  <si>
    <t>S rithwik</t>
  </si>
  <si>
    <t>St Xaviers College, Ranchi (M.Com Accounts)</t>
  </si>
  <si>
    <t>Manshi Gupta</t>
  </si>
  <si>
    <t xml:space="preserve">S.PoomathiC56 </t>
  </si>
  <si>
    <t>Rajalakshmi Engineering College, Chennai (B.Tech Artificial Intelligence and Machine Learning)</t>
  </si>
  <si>
    <t>Jagadish arul</t>
  </si>
  <si>
    <t>13th Nov 2024</t>
  </si>
  <si>
    <t>Institute of Pharmacy, Bankura (D.Pharma)</t>
  </si>
  <si>
    <t>Arunima Sarkar</t>
  </si>
  <si>
    <t>Arka kar</t>
  </si>
  <si>
    <t>BCDA College of Pharmacy and Technology, Hridaypur (M.Pharma Pharmaceutics)</t>
  </si>
  <si>
    <t>Manjulika Mukherjee</t>
  </si>
  <si>
    <t>BCDA College of Pharmacy and Technology, Hridaypur (B.Pharma)</t>
  </si>
  <si>
    <t>Sayak Samanta</t>
  </si>
  <si>
    <t>Kamla Nehru Institute of Technology, Sultanpur (B.Tech Computer Science and Engineering)</t>
  </si>
  <si>
    <t>Alok Kumar Mishra</t>
  </si>
  <si>
    <t>SIES College of Arts Science and Commerce, Mumbai (B.Com)</t>
  </si>
  <si>
    <t>Priyam Ambalia</t>
  </si>
  <si>
    <t>Mithibai College of Arts, Chauhan Institute of Science and Amrutben Jivanlal College of Commerce and Economics, Mumbai (B.Com Banking and Insurance)</t>
  </si>
  <si>
    <t>HR College of Commerce and Economics, Mumbai (B.Com Accounting and Finance)</t>
  </si>
  <si>
    <t>Reyansh Singh</t>
  </si>
  <si>
    <t>Sophia College for Women, Mumbai (BA)</t>
  </si>
  <si>
    <t>Ayushi Pillai</t>
  </si>
  <si>
    <t>KPB Hinduja College of Commerce, Mumbai (BA Multimedia and Mass Communication)</t>
  </si>
  <si>
    <t>Param Dave</t>
  </si>
  <si>
    <t xml:space="preserve">AyushiTC253 </t>
  </si>
  <si>
    <t>Motilal Nehru College, New Delhi (BA Economics Hons)</t>
  </si>
  <si>
    <t>Jiya</t>
  </si>
  <si>
    <t>Maulana Azad National Institute of Technology Bhopal (B.Tech Electronics and Communication Engineering)</t>
  </si>
  <si>
    <t xml:space="preserve">KevinC63 </t>
  </si>
  <si>
    <t>Mithibai College of Arts, Chauhan Institute of Science and Amrutben Jivanlal College of Commerce and Economics, Mumbai (BMS)</t>
  </si>
  <si>
    <t>Kevin Aldrich</t>
  </si>
  <si>
    <t>14th Nov 2024</t>
  </si>
  <si>
    <t>AkashC57</t>
  </si>
  <si>
    <t>Dyal Singh Evening College, New Delhi (BA)</t>
  </si>
  <si>
    <t>Naziaa</t>
  </si>
  <si>
    <t>15th Nov 2024</t>
  </si>
  <si>
    <t>Praveen yadav</t>
  </si>
  <si>
    <t>Sameer</t>
  </si>
  <si>
    <t>Vidhii</t>
  </si>
  <si>
    <t>Miranda House, Delhi (BA English and Economics)</t>
  </si>
  <si>
    <t>Manpreet Kaur</t>
  </si>
  <si>
    <t>Deen Dayal Upadhyaya Gorakhpur University, Gorakhpur (B.Sc-Mathematics, Physics and Chemistry)</t>
  </si>
  <si>
    <t>Seema</t>
  </si>
  <si>
    <t>DSEU Okhla-II Campus, New Delhi (B.Tech Mechanical Engineering)</t>
  </si>
  <si>
    <t>Smart Buddhu</t>
  </si>
  <si>
    <t>Jayant Garg</t>
  </si>
  <si>
    <t>Delhi Institute of Tool Engineering, Delhi (B.Tech Computer Science Engineering)</t>
  </si>
  <si>
    <t>Anish Singh</t>
  </si>
  <si>
    <t>16th Nov 2024</t>
  </si>
  <si>
    <t xml:space="preserve">KumariC64 </t>
  </si>
  <si>
    <t>Anisha Kumari</t>
  </si>
  <si>
    <t>University of Delhi, Delhi (BA History Hons)</t>
  </si>
  <si>
    <t>Shaniya bakshi</t>
  </si>
  <si>
    <t>Sina</t>
  </si>
  <si>
    <t>Anurag Kumar Jha</t>
  </si>
  <si>
    <t>National Institute of Technology Patna (B.Tech Mechanical Engineering)</t>
  </si>
  <si>
    <t>Kumari Lakshmi</t>
  </si>
  <si>
    <t>17th Nov 2024</t>
  </si>
  <si>
    <t>JaiminC59</t>
  </si>
  <si>
    <t>Mithibai College of Arts, Chauhan Institute of Science and Amrutben Jivanlal College of Commerce and Economics, Mumbai (M.Sc Computer Science)</t>
  </si>
  <si>
    <t>riya mehta</t>
  </si>
  <si>
    <t>18th Nov 2024</t>
  </si>
  <si>
    <t xml:space="preserve"> ThouheedC49 </t>
  </si>
  <si>
    <t>Jawaharlal Nehru Architecture and Fine Arts University, Hyderabad (B.Des Interior Design)</t>
  </si>
  <si>
    <t>Naresh Selvam</t>
  </si>
  <si>
    <t>JAIC64</t>
  </si>
  <si>
    <t>Anil Surendra Modi School of Commerce, Mumbai (BBA)</t>
  </si>
  <si>
    <t>Aum Gupta</t>
  </si>
  <si>
    <t>19th Nov 2024</t>
  </si>
  <si>
    <t xml:space="preserve">LipsarC253 </t>
  </si>
  <si>
    <t>Rahul Gouda</t>
  </si>
  <si>
    <t>20th Nov 2024</t>
  </si>
  <si>
    <t>Indira Gandhi National Open University, New Delhi (M.Com)</t>
  </si>
  <si>
    <t>Sitapur Shiksha Sansthan Mahavidyalaya, Sitapur (BBA)</t>
  </si>
  <si>
    <t>Mahak Razzaq</t>
  </si>
  <si>
    <t xml:space="preserve">samridhiC66 </t>
  </si>
  <si>
    <t>Inderprastha Engineering College, Ghaziabad (BCA)</t>
  </si>
  <si>
    <t>Bhumika</t>
  </si>
  <si>
    <t xml:space="preserve"> SachiC61 </t>
  </si>
  <si>
    <t>GD Goenka School of Engineering and Sciences, Gurgaon (B.Sc Microbiology Hons)</t>
  </si>
  <si>
    <t>Sakshi Choudhary</t>
  </si>
  <si>
    <t>SuhavniC55</t>
  </si>
  <si>
    <t>Meyharaj Singh Duggal</t>
  </si>
  <si>
    <t>21st Nov 2024</t>
  </si>
  <si>
    <t xml:space="preserve"> VivekCMI276 </t>
  </si>
  <si>
    <t>Bhabha College of Education, Bhopal (B.Ed)</t>
  </si>
  <si>
    <t>vivek chandravanshi</t>
  </si>
  <si>
    <t>Narayana Pharmacy College, Chinthareddy Palem (Pharm.D)</t>
  </si>
  <si>
    <t>Prajan</t>
  </si>
  <si>
    <t xml:space="preserve">RiyaAC54 </t>
  </si>
  <si>
    <t>Priya Desai</t>
  </si>
  <si>
    <t>Thakur College of Science and Commerce, Mumbai (B.Com Hons)</t>
  </si>
  <si>
    <t>Manan Shah</t>
  </si>
  <si>
    <t>Bangalore Institute of Management Studies, Bangalore (B.Com)</t>
  </si>
  <si>
    <t>Rohit Deshmukh</t>
  </si>
  <si>
    <t>Jai Hind College, Mumbai (BMS Self Finance)</t>
  </si>
  <si>
    <t>Aishwarya Patil</t>
  </si>
  <si>
    <t xml:space="preserve">KirtiC66 </t>
  </si>
  <si>
    <t>Shyam Lal College, Delhi (B.Com Hons)</t>
  </si>
  <si>
    <t>Pratyush kumar arya</t>
  </si>
  <si>
    <t xml:space="preserve">AakritiC61 </t>
  </si>
  <si>
    <t>JSS Academy of Technical Education, Noida (B.Tech Computer Science and Engineering)</t>
  </si>
  <si>
    <t>Himanshu</t>
  </si>
  <si>
    <t>irrelevant Content</t>
  </si>
  <si>
    <t xml:space="preserve">LakshmiC67 </t>
  </si>
  <si>
    <t>Seshadri Rao Gudlavalleru Engineering College, Gudlavalleru (B.Tech Computer Science and Engineering)</t>
  </si>
  <si>
    <t>Kolla Pavani</t>
  </si>
  <si>
    <t>Manipal Centre for Business Practice, Bengaluru (Ph.D Management)</t>
  </si>
  <si>
    <t>ramesh</t>
  </si>
  <si>
    <t>Manipal Centre for Business Practice, Bengaluru (Integrated Program in Management)</t>
  </si>
  <si>
    <t>Seshadri Rao Gudlavalleru Engineering College, Gudlavalleru (B.Tech Electronics and Communication Engineering)</t>
  </si>
  <si>
    <t>yasa</t>
  </si>
  <si>
    <t>Dhanekula Institute of Engineering and Technology, Vijayawada (B.Tech Computer Science Engineering)</t>
  </si>
  <si>
    <t>Harini</t>
  </si>
  <si>
    <t xml:space="preserve">NidhiC67 </t>
  </si>
  <si>
    <t>KC College of Arts, Commerce and Science, Mumbai (B.Com)</t>
  </si>
  <si>
    <t>Neharika shah</t>
  </si>
  <si>
    <t>Anmol Yadav</t>
  </si>
  <si>
    <t>Nidhi Yadav</t>
  </si>
  <si>
    <t>Sri Venkateswara College, Delhi (BA)</t>
  </si>
  <si>
    <t>Varun Kumar</t>
  </si>
  <si>
    <t>22nd Nov 2024</t>
  </si>
  <si>
    <t xml:space="preserve">KratikaC67 </t>
  </si>
  <si>
    <t>KRISHNA KANHAIYA</t>
  </si>
  <si>
    <t>23rd Nov 2024</t>
  </si>
  <si>
    <t xml:space="preserve"> UjjwalC62 </t>
  </si>
  <si>
    <t>pranaya782008</t>
  </si>
  <si>
    <t>Arpita</t>
  </si>
  <si>
    <t xml:space="preserve">AshmitC63 </t>
  </si>
  <si>
    <t>Rajeev Chauhan</t>
  </si>
  <si>
    <t>Rajiv singh</t>
  </si>
  <si>
    <t>unknown</t>
  </si>
  <si>
    <t>Ravish</t>
  </si>
  <si>
    <t>Nikhil Gupta</t>
  </si>
  <si>
    <t xml:space="preserve">SubavaniC55 </t>
  </si>
  <si>
    <t>Tejpret Singh</t>
  </si>
  <si>
    <t xml:space="preserve">Naresh.SC68 </t>
  </si>
  <si>
    <t>Dayananda Sagar University, Bangalore (BCA)</t>
  </si>
  <si>
    <t>Dayalbagh Educational Institute, Agra (B.Tech Civil Engineering)</t>
  </si>
  <si>
    <t>Nikhil Chauhan</t>
  </si>
  <si>
    <t>24th Nov 2024</t>
  </si>
  <si>
    <t xml:space="preserve"> SuhavaniC55 </t>
  </si>
  <si>
    <t>Keshav Mahavidyalaya, Delhi (B.Com Hons)</t>
  </si>
  <si>
    <t>Madhav Gulati</t>
  </si>
  <si>
    <t xml:space="preserve">AbhimanC55 </t>
  </si>
  <si>
    <t>Universal College of Engineering, Thane (BE Information Technology)</t>
  </si>
  <si>
    <t>AakritiC61</t>
  </si>
  <si>
    <t>25th Nov 2024</t>
  </si>
  <si>
    <t xml:space="preserve">harnimarC43 </t>
  </si>
  <si>
    <t>Manya verma</t>
  </si>
  <si>
    <t>Arpita Tejpal</t>
  </si>
  <si>
    <t>Vishesh kumar Bansal</t>
  </si>
  <si>
    <t>Vidhu sarwal</t>
  </si>
  <si>
    <t>Jaiveer Singh</t>
  </si>
  <si>
    <t>Nirma University, Ahmedabad (B.Tech Computer Science Engineering)</t>
  </si>
  <si>
    <t>Diya shah</t>
  </si>
  <si>
    <t>Shiv patel</t>
  </si>
  <si>
    <t>Taksh shah</t>
  </si>
  <si>
    <t>Siddh doshi</t>
  </si>
  <si>
    <t>Dhruvin savla</t>
  </si>
  <si>
    <t>Darshil thakkar</t>
  </si>
  <si>
    <t>Naitik jain</t>
  </si>
  <si>
    <t>Thapar Institute of Engineering and Technology, Patiala (BE Electronics and Computer Engineering)</t>
  </si>
  <si>
    <t>Navya goyal</t>
  </si>
  <si>
    <t>Jaipuria Institute of Management, Indore (PGDM)</t>
  </si>
  <si>
    <t>Pragati Priya</t>
  </si>
  <si>
    <t xml:space="preserve">MTC32 </t>
  </si>
  <si>
    <t>Era University, Lucknow (B.Sc Physiotherapy)</t>
  </si>
  <si>
    <t>Neha jaiswal</t>
  </si>
  <si>
    <t>Nikki gupta</t>
  </si>
  <si>
    <t>Jeypore College of Pharmacy, Jeypore (B.Pharma)</t>
  </si>
  <si>
    <t>Hara Gowri mishra</t>
  </si>
  <si>
    <t xml:space="preserve">RohanC57 </t>
  </si>
  <si>
    <t>Shaheed Bhagat Singh College, Delhi (B.Com)</t>
  </si>
  <si>
    <t>Amber</t>
  </si>
  <si>
    <t>tanisha aggarwal</t>
  </si>
  <si>
    <t>Ishika</t>
  </si>
  <si>
    <t>Gargi yadav</t>
  </si>
  <si>
    <t>Ilma</t>
  </si>
  <si>
    <t>Priya yadav</t>
  </si>
  <si>
    <t>Surbhi</t>
  </si>
  <si>
    <t>hacer</t>
  </si>
  <si>
    <t xml:space="preserve">RahulKC67 </t>
  </si>
  <si>
    <t>Kiran</t>
  </si>
  <si>
    <t>Lingaya's Lalita Devi Institute of Management and Sciences, Delhi (BBA)</t>
  </si>
  <si>
    <t>Prarit sharma</t>
  </si>
  <si>
    <t>Somesh Sharma</t>
  </si>
  <si>
    <t xml:space="preserve">ADRISHC67 </t>
  </si>
  <si>
    <t>Nabagram Hiralal Paul College, Hooghly (BA)</t>
  </si>
  <si>
    <t>Suraj Harizan</t>
  </si>
  <si>
    <t>Serampore College, Serampore (B.Sc Botany Hons)</t>
  </si>
  <si>
    <t>Manish Yadav</t>
  </si>
  <si>
    <t>Bidhan Chandra College, Rishra (B.Com)</t>
  </si>
  <si>
    <t>Omshankar Shaw</t>
  </si>
  <si>
    <t>Nabagram Hiralal Paul College, Hooghly (B.Com)</t>
  </si>
  <si>
    <t>Raushan Prasad</t>
  </si>
  <si>
    <t>Technique Polytechnic Institute, Hooghly (Diploma in Electrical Engineering)</t>
  </si>
  <si>
    <t>Rahul Mishra</t>
  </si>
  <si>
    <t>Technique Polytechnic Institute, Hooghly (Diploma in Civil Engineering)</t>
  </si>
  <si>
    <t>Biplab Kundu</t>
  </si>
  <si>
    <t>Birla Institute of Technology, Mesra (B.Tech Electrical and Electronics Engineering)</t>
  </si>
  <si>
    <t>Deepsikha Oraon</t>
  </si>
  <si>
    <t>AbhimanC55</t>
  </si>
  <si>
    <t>SAM FF</t>
  </si>
  <si>
    <t xml:space="preserve">InshaC69 </t>
  </si>
  <si>
    <t>Shia Post Graduate College, Lucknow (BBA International Business Self Finance)</t>
  </si>
  <si>
    <t>Aman Kalwani</t>
  </si>
  <si>
    <t xml:space="preserve"> AshmitC63 </t>
  </si>
  <si>
    <t>Motherhood University, Roorkee (B.Com)</t>
  </si>
  <si>
    <t>Aman tyagi</t>
  </si>
  <si>
    <t>Institute of Engineering and Technology, Lucknow (B.Tech Computer Science and Engineering)</t>
  </si>
  <si>
    <t>Kunal Kumar</t>
  </si>
  <si>
    <t>Uttaranchal University, Dehradun (B.Sc Mathematics Hons With Research)</t>
  </si>
  <si>
    <t>Ashmit panwar</t>
  </si>
  <si>
    <t>Kunal</t>
  </si>
  <si>
    <t>COER University, Roorkee (BCA)</t>
  </si>
  <si>
    <t>Galgotias University, Greater Noida (B.Tech Electronics and Communication Engineering)</t>
  </si>
  <si>
    <t>Udit tyagi</t>
  </si>
  <si>
    <t>26th Nov 2024</t>
  </si>
  <si>
    <t>Suraj dilip pawar</t>
  </si>
  <si>
    <t>KIET Group of Institutions, Ghaziabad (B.Pharma)</t>
  </si>
  <si>
    <t>Khushboo Arora</t>
  </si>
  <si>
    <t xml:space="preserve">SachinC69 </t>
  </si>
  <si>
    <t>Sachin Yadav</t>
  </si>
  <si>
    <t>Indira Gandhi National Open University, New Delhi (BCA)</t>
  </si>
  <si>
    <t>GurleenC67</t>
  </si>
  <si>
    <t>Sri Guru Tegh Bahadur Khalsa College, New Delhi (B.Com)</t>
  </si>
  <si>
    <t>Bhumika singh</t>
  </si>
  <si>
    <t>GYANESHWARIC56</t>
  </si>
  <si>
    <t>Raghu Engineering College, Visakhapatnam (B.Tech Electronics and Communication Engineering)</t>
  </si>
  <si>
    <t>y gyani</t>
  </si>
  <si>
    <t xml:space="preserve">FehmeedaC67 </t>
  </si>
  <si>
    <t>Islamia Junior Degree and PG College, Hyderabad (B.Com Computers)</t>
  </si>
  <si>
    <t>Mohammed Mahmood Hussain</t>
  </si>
  <si>
    <t>27th Nov 2024</t>
  </si>
  <si>
    <t>NMAM Institute of Technology, Karkala Taluk (B.Tech Mechanical Engineering)</t>
  </si>
  <si>
    <t>Chinthan TH</t>
  </si>
  <si>
    <t>Title None</t>
  </si>
  <si>
    <t xml:space="preserve"> TusharC67 </t>
  </si>
  <si>
    <t>Aman Singh</t>
  </si>
  <si>
    <t>Similar Title/ Irrelevant Content</t>
  </si>
  <si>
    <t>Pranav</t>
  </si>
  <si>
    <t>Vansh</t>
  </si>
  <si>
    <t>Galgotias University, Greater Noida (MBA)</t>
  </si>
  <si>
    <t>Aarav Rawat</t>
  </si>
  <si>
    <t>SachiC61</t>
  </si>
  <si>
    <t>School of Business, UPES, Dehradun (BBA Finance Management)</t>
  </si>
  <si>
    <t>Sachi Jain</t>
  </si>
  <si>
    <t>28th Nov 2024</t>
  </si>
  <si>
    <t xml:space="preserve">RitikC70 </t>
  </si>
  <si>
    <t>Arpit kumar</t>
  </si>
  <si>
    <t>Maitreyi College, New Delhi (B.Sc Zoology Hons)</t>
  </si>
  <si>
    <t>Rizwana Tabasum</t>
  </si>
  <si>
    <t>Shashi Bala</t>
  </si>
  <si>
    <t>Nandini Bhattacharya</t>
  </si>
  <si>
    <t>Harmandeep Kaur</t>
  </si>
  <si>
    <t>Maitreyi College, New Delhi (B.Com)</t>
  </si>
  <si>
    <t>Shivani Singh</t>
  </si>
  <si>
    <t>Aryan Goel</t>
  </si>
  <si>
    <t>NareshC81</t>
  </si>
  <si>
    <t>SSMRV Degree College, Bangalore (B.Com)</t>
  </si>
  <si>
    <t>Karthik R</t>
  </si>
  <si>
    <t xml:space="preserve"> RahulKC67 </t>
  </si>
  <si>
    <t>Indira Gandhi National Open University, New Delhi (B.Sc General)</t>
  </si>
  <si>
    <t>Aman pandey</t>
  </si>
  <si>
    <t>KhushbuC71</t>
  </si>
  <si>
    <t>SH Jondhale Polytechnic, Thane (Diploma in Electronics and Telecommunication Engineering)</t>
  </si>
  <si>
    <t>Pratik</t>
  </si>
  <si>
    <t>Institute of Engineering and Management, Kolkata (M.Tech Electronics and Communication Engineering)</t>
  </si>
  <si>
    <t>DIPAN MUKHERJEE</t>
  </si>
  <si>
    <t xml:space="preserve"> Naresh.SC68 </t>
  </si>
  <si>
    <t>Government Ramnarayan Chellaram College of Commerce and Management, Bangalore (B.Com)</t>
  </si>
  <si>
    <t>Dr DY Patil Medical College, Navi Mumbai (MBBS)</t>
  </si>
  <si>
    <t>29th Nov 2024</t>
  </si>
  <si>
    <t>NMAM Institute of Technology, Karkala Taluk (M.Tech Computer Science and Engineering)</t>
  </si>
  <si>
    <t>N.hemanth kumar</t>
  </si>
  <si>
    <t>AJ Institute of Engineering and Technology, Mangalore (B.Tech Computer Science and Engineering)</t>
  </si>
  <si>
    <t>KAUSHIK NAYAK</t>
  </si>
  <si>
    <t xml:space="preserve"> VikrantMI270 </t>
  </si>
  <si>
    <t>Meerut Institute of Engineering and Technology, Meerut (MBA)</t>
  </si>
  <si>
    <t>Shivani nain</t>
  </si>
  <si>
    <t xml:space="preserve">ManishC67 </t>
  </si>
  <si>
    <t>Lovely Professional University, Phagwara (BA LLB Hons)</t>
  </si>
  <si>
    <t>Anurag</t>
  </si>
  <si>
    <t>Shri Ram College of Commerce, Delhi (Post Graduate Diploma in Global Business Operations)</t>
  </si>
  <si>
    <t>Gurrangi</t>
  </si>
  <si>
    <t>Chandigarh Engineering College, Jhanjeri (B.Tech Electronics and Communication Engineering)</t>
  </si>
  <si>
    <t>Shorav</t>
  </si>
  <si>
    <t>Maharshi Valmiki College of Education, Delhi (B.Ed)</t>
  </si>
  <si>
    <t>Chandra bandhu</t>
  </si>
  <si>
    <t>Chandigarh Engineering College, Jhanjeri (B.Tech Computer Science and Engineering)</t>
  </si>
  <si>
    <t>Shadab</t>
  </si>
  <si>
    <t>Ram</t>
  </si>
  <si>
    <t xml:space="preserve"> AyushiTC253 </t>
  </si>
  <si>
    <t xml:space="preserve"> AyushiTC254</t>
  </si>
  <si>
    <t xml:space="preserve"> AyushiTC255</t>
  </si>
  <si>
    <t>Amit Kumar Pandey</t>
  </si>
  <si>
    <t xml:space="preserve"> AyushiTC256</t>
  </si>
  <si>
    <t xml:space="preserve"> AyushiTC257</t>
  </si>
  <si>
    <t>Vidya Vikas Education Trust's Technical Campus, Thane (B. Tech Information Technology)</t>
  </si>
  <si>
    <t>Purnima Nahata</t>
  </si>
  <si>
    <t>30th Nov 2024</t>
  </si>
  <si>
    <t>Motilal Nehru College Evening, New Delhi (B.Com)</t>
  </si>
  <si>
    <t>Ambuj</t>
  </si>
  <si>
    <t>Sourabh sharma</t>
  </si>
  <si>
    <t>UEI Global, Rohini New Delhi (B.Voc Hospitality and Hotel Management)</t>
  </si>
  <si>
    <t>Manpreet singh</t>
  </si>
  <si>
    <t>Taniya Singh</t>
  </si>
  <si>
    <t>Vishnu Rathi</t>
  </si>
  <si>
    <t xml:space="preserve"> KirtiC66 </t>
  </si>
  <si>
    <t>Mata Sundri College for Women, New Delhi (B.Com Hons)</t>
  </si>
  <si>
    <t>Neha</t>
  </si>
  <si>
    <t xml:space="preserve">RishabhC71 </t>
  </si>
  <si>
    <t>Dr Virendra Swarup Institute of Computer Studies, Kanpur (BCA)</t>
  </si>
  <si>
    <t>Rishi Raj Srivastava</t>
  </si>
  <si>
    <t>Invalid email id/reviewed on behalf of others</t>
  </si>
  <si>
    <t>Apollo Institute of Technology, Kanpur (B.Tech Computer Science and Engineering)</t>
  </si>
  <si>
    <t>Deepak Awasthi</t>
  </si>
  <si>
    <t>Pratiksha Tripathi</t>
  </si>
  <si>
    <t>Rajat Singh</t>
  </si>
  <si>
    <t>Pushpanjali narayan deotale</t>
  </si>
  <si>
    <t>Axis Institute of Technology and Management, Kanpur (B.Tech Computer Science and Engineering)</t>
  </si>
  <si>
    <t>Aashcharya Tiwari</t>
  </si>
  <si>
    <t>Rohit Dubey</t>
  </si>
  <si>
    <t>Raj Shukla</t>
  </si>
  <si>
    <t>Patel Degree College, Kanpur (B.Sc)</t>
  </si>
  <si>
    <t>Ashi Singh</t>
  </si>
  <si>
    <t>KLE Societys S Nijalingappa College, Bengaluru (B.Com)</t>
  </si>
  <si>
    <t>Banti raj</t>
  </si>
  <si>
    <t>Seshadripuram First Grade College, Bangalore (B.Com)</t>
  </si>
  <si>
    <t>Selvam. M</t>
  </si>
  <si>
    <t>Dayananda Sagar University, Bangalore (B.Tech Mechanical Engineering)</t>
  </si>
  <si>
    <t>Shiva</t>
  </si>
  <si>
    <t>Oxford College of Engineering, Tiruvannamalai (BE Mechanical Engineering)</t>
  </si>
  <si>
    <t>Selva Kumar</t>
  </si>
  <si>
    <t>Kanaga.M</t>
  </si>
  <si>
    <t>Arul Denis</t>
  </si>
  <si>
    <t>Naresh.SC69</t>
  </si>
  <si>
    <t>Kamala College of Management Studies, Bangalore (B.Com)</t>
  </si>
  <si>
    <t>Piyush jain</t>
  </si>
  <si>
    <t>MKCG Medical College, Berhampur (MD Forensic Medicine)</t>
  </si>
  <si>
    <t>Sindu</t>
  </si>
  <si>
    <t xml:space="preserve"> MahakC14 </t>
  </si>
  <si>
    <t>SR Group of Institutions, Jhansi (BBA)</t>
  </si>
  <si>
    <t>Aditya Shukla</t>
  </si>
  <si>
    <t xml:space="preserve">LEKHAC72 </t>
  </si>
  <si>
    <t>Bapuji Institute of Engineering and Technology, Davangere (BE Electronics and Communication Engineering)</t>
  </si>
  <si>
    <t>Kushal M</t>
  </si>
  <si>
    <t xml:space="preserve">AsthaC71 </t>
  </si>
  <si>
    <t>Saraswati College of Commerce BBA and IT, Dhoraji (BCA)</t>
  </si>
  <si>
    <t>Astha sukhadiya</t>
  </si>
  <si>
    <t>Delhi College of Arts and Commerce, New Delhi (BA Economics Hons)</t>
  </si>
  <si>
    <t>Government Medical College, Kota (MS ENT)</t>
  </si>
  <si>
    <t>Similar Title/reviewed on behalf of others</t>
  </si>
  <si>
    <t>Shri KH Madhvani College, Porbandar (BA)</t>
  </si>
  <si>
    <t>AnumulaC72</t>
  </si>
  <si>
    <t>SR University, Warangal (B.Tech Electrical and Electronics Engineering)</t>
  </si>
  <si>
    <t>Kapa uday kumar</t>
  </si>
  <si>
    <t>AI Generated content</t>
  </si>
  <si>
    <t>1st Dec 2024</t>
  </si>
  <si>
    <t>Dr Virambhai R Godhaniya B Ed College, Porbandar (B.Ed)</t>
  </si>
  <si>
    <t>Amity University, Noida (B.Tech Computer Science and Engineering with Specialisation in Data Science)</t>
  </si>
  <si>
    <t>Anand garg</t>
  </si>
  <si>
    <t>Maharaja Agrasen Institute of Technology, Delhi (B.Tech Computer Science and Engineering)</t>
  </si>
  <si>
    <t>Ashmit garg</t>
  </si>
  <si>
    <t>Shruti Mehta</t>
  </si>
  <si>
    <t>Nikhil Savita</t>
  </si>
  <si>
    <t>Aditya Dwivedi</t>
  </si>
  <si>
    <t>Dr Virendra Swarup Institute of Computer Studies, Kanpur (MCA)</t>
  </si>
  <si>
    <t>Aditya Kaushal</t>
  </si>
  <si>
    <t>Devanshi Gupta</t>
  </si>
  <si>
    <t>Vinamra Mishra</t>
  </si>
  <si>
    <t>Vaishnavi Bajpai</t>
  </si>
  <si>
    <t>Priyanshi Gupta</t>
  </si>
  <si>
    <t>Saksham vilas Mane</t>
  </si>
  <si>
    <t>Rishabh kushwaha</t>
  </si>
  <si>
    <t>Riya Gautam</t>
  </si>
  <si>
    <t>Kanpur Institute of Technology, Kanpur (B.Tech Computer Science and Engineering)</t>
  </si>
  <si>
    <t>Vaibhav Trivedi</t>
  </si>
  <si>
    <t>Asmit Gupta</t>
  </si>
  <si>
    <t>Deependra Mishra</t>
  </si>
  <si>
    <t>Rishi Nigam</t>
  </si>
  <si>
    <t>Rishabh Singh</t>
  </si>
  <si>
    <t>Raghvendra Singh</t>
  </si>
  <si>
    <t>Captain Sukhwasi Singh Smarak Janta Mahavidyalaya, Ghatampur (B.Ed)</t>
  </si>
  <si>
    <t>Keshav Bajpai</t>
  </si>
  <si>
    <t>Vaishnavi Singh</t>
  </si>
  <si>
    <t xml:space="preserve">SONA01 </t>
  </si>
  <si>
    <t>St Xavier's College, Ahmedabad (BA Psychology Self-Financed)</t>
  </si>
  <si>
    <t>Harshal Achantani</t>
  </si>
  <si>
    <t>RishabhC</t>
  </si>
  <si>
    <t>Mahakc41</t>
  </si>
  <si>
    <t>Sacred Heart Degree College, Sitapur (BBA)</t>
  </si>
  <si>
    <t>Harshi tripathi</t>
  </si>
  <si>
    <t>2nd Dec 2024</t>
  </si>
  <si>
    <t>GD Goenka School of Engineering and Sciences, Gurgaon (B.Tech CSE specialization in Artificial Intelligence and Machine Learning in Association with IBM)</t>
  </si>
  <si>
    <t>School of Management, GD Goenka University, Gurgaon (B.Com Hons)</t>
  </si>
  <si>
    <t>3rd Dec 2024</t>
  </si>
  <si>
    <t>Jiyac73</t>
  </si>
  <si>
    <t>Amity Institute of Biotechnology, Noida (B.Tech Bioinformatics)</t>
  </si>
  <si>
    <t>Jiya Arora</t>
  </si>
  <si>
    <t>Dr BR Ambedkar University, Agra (B.Com Advertising Vocational)</t>
  </si>
  <si>
    <t>KM Alka</t>
  </si>
  <si>
    <t>Similar Title/ Details mismatched</t>
  </si>
  <si>
    <t xml:space="preserve">SnehaC68 </t>
  </si>
  <si>
    <t>Guru Gobind Singh Educational Society's Technical Campus, Seraikela (BBA)</t>
  </si>
  <si>
    <t>Shruti sinha</t>
  </si>
  <si>
    <t>Swami Vivekananda Institute of Science and Technology, Kolkata (B.Tech Electrical and Electronics Engineering)</t>
  </si>
  <si>
    <t>Pushpa kumari</t>
  </si>
  <si>
    <t xml:space="preserve"> RishabhC71 </t>
  </si>
  <si>
    <t>Similar title/ reviewed on behalf of others</t>
  </si>
  <si>
    <t>Details Mismatched/Similar title/ reviewed on behalf of others</t>
  </si>
  <si>
    <t>Sakshi yadav</t>
  </si>
  <si>
    <t xml:space="preserve"> DineshC74 </t>
  </si>
  <si>
    <t>RC Patel Institute Of Management Research and Development, Shirpur (BCA)</t>
  </si>
  <si>
    <t>Dinesh Shinde</t>
  </si>
  <si>
    <t>Royal College of Pharmacy and Health Sciences, Berhampur (M.Pharma Pharmacology)</t>
  </si>
  <si>
    <t>Deepankar Ratha</t>
  </si>
  <si>
    <t>Siksha 'O' Anusandhan, Bhubaneswar (B.Pharma)</t>
  </si>
  <si>
    <t>Central University of Odisha, Koraput (MA Sociology)</t>
  </si>
  <si>
    <t>Jyoti jinisha rath</t>
  </si>
  <si>
    <t>Khallikote Autonomous College, Berhampur (BA Anthropology)</t>
  </si>
  <si>
    <t xml:space="preserve"> TulsaMI279 </t>
  </si>
  <si>
    <t>JSS Academy of Technical Education, Noida (B.Tech Electrical and Electronics Engineering)</t>
  </si>
  <si>
    <t>aditya bapat</t>
  </si>
  <si>
    <t>Indian Institute of Technology Gandhinagar (M.Tech Electrical Engineering)</t>
  </si>
  <si>
    <t xml:space="preserve">AnushaMI276 </t>
  </si>
  <si>
    <t>Basaveshwar Commerce College, Bagalkot (B.Com)</t>
  </si>
  <si>
    <t>Manju</t>
  </si>
  <si>
    <t>4th Dec 2024</t>
  </si>
  <si>
    <t xml:space="preserve">SachiC61 </t>
  </si>
  <si>
    <t>Similar Title/Duplicate review</t>
  </si>
  <si>
    <t>Srishti madan</t>
  </si>
  <si>
    <t>Similar Title</t>
  </si>
  <si>
    <t>gaurav prajapati</t>
  </si>
  <si>
    <t xml:space="preserve"> SnehaC68 </t>
  </si>
  <si>
    <t>Namra</t>
  </si>
  <si>
    <t>Pratiksha Mishra</t>
  </si>
  <si>
    <t>IMS Engineering College, Ghaziabad (MBA)</t>
  </si>
  <si>
    <t>Ramsha waseem</t>
  </si>
  <si>
    <t>Lokmani Memorial Degree College, Bijnor (BBA)</t>
  </si>
  <si>
    <t>5th Dec 2024</t>
  </si>
  <si>
    <t xml:space="preserve"> Harshc75 </t>
  </si>
  <si>
    <t>Devi Ahilya Vishwavidyalaya, Indore (B.Com Accounting and Tax Management)</t>
  </si>
  <si>
    <t>Harsh Digodiya</t>
  </si>
  <si>
    <t>RishabC71</t>
  </si>
  <si>
    <t>Samriddhi</t>
  </si>
  <si>
    <t>6th Dec 2024</t>
  </si>
  <si>
    <t>KrishC76</t>
  </si>
  <si>
    <t>Jawaharlal Institute of Technology, Borawan (B.Tech Computer Science and Engineering)</t>
  </si>
  <si>
    <t>Krish</t>
  </si>
  <si>
    <t>7th Dec 2024</t>
  </si>
  <si>
    <t xml:space="preserve">KrishC76 </t>
  </si>
  <si>
    <t>Indian Institute of Information Technology, Kota (B.Tech Computer Science Engineering)</t>
  </si>
  <si>
    <t>Indira Gandhi Delhi Technical University for Women, Delhi (B.Tech Computer Science and Engineering)</t>
  </si>
  <si>
    <t>Aklank College of Education, Kota (B.Sc B.Ed Integrated)</t>
  </si>
  <si>
    <t xml:space="preserve">AsmaC78 </t>
  </si>
  <si>
    <t>Vivekanand Education Society's College of Arts, Science and Commerce, Mumbai (B.Com Finance Self Finance)</t>
  </si>
  <si>
    <t>Harshita Vikram Kothari</t>
  </si>
  <si>
    <t>Institute of Distance and Open Learning, University of Mumbai, Mumbai (BA)</t>
  </si>
  <si>
    <t>Khan Anam Maulana Abdul hai</t>
  </si>
  <si>
    <t xml:space="preserve">ShreyaC76 </t>
  </si>
  <si>
    <t>Bangalore University, Bangalore (M.Com)</t>
  </si>
  <si>
    <t>R.vedanth Gowda</t>
  </si>
  <si>
    <t xml:space="preserve">V.KushwanthC77 </t>
  </si>
  <si>
    <t>Maturi Venkata Subba Rao Engineering College, Hyderabad (B.Tech Information Technology)</t>
  </si>
  <si>
    <t>gillarohan12301</t>
  </si>
  <si>
    <t>8th Dec 2024</t>
  </si>
  <si>
    <t xml:space="preserve">AnushkaC77 </t>
  </si>
  <si>
    <t>Management Education and Research Institute, Delhi (BBA)</t>
  </si>
  <si>
    <t>manav khurana</t>
  </si>
  <si>
    <t xml:space="preserve">UdayaC77 </t>
  </si>
  <si>
    <t>Urumu Dhanalakshmi College, Tiruchirappalli (B.Com)</t>
  </si>
  <si>
    <t>Antony</t>
  </si>
  <si>
    <t xml:space="preserve">Details Mismatched / reviewed on behalf of others. </t>
  </si>
  <si>
    <t>CARE College of Engineering, Tiruchirappalli (B.Tech Artificial Intelligence and Data Science)</t>
  </si>
  <si>
    <t>Mohamad thariq</t>
  </si>
  <si>
    <t>HrishitaC74</t>
  </si>
  <si>
    <t>9th Dec 2024</t>
  </si>
  <si>
    <t xml:space="preserve"> khalisC78 </t>
  </si>
  <si>
    <t>Gandhi Memorial College, Srinagar (BA)</t>
  </si>
  <si>
    <t>Mohammad Labib Zargar</t>
  </si>
  <si>
    <t>Copied Content/ reviewed on behalf of others</t>
  </si>
  <si>
    <t>Islamia College of Science and Commerce, Srinagar (B.Com)</t>
  </si>
  <si>
    <t>Yawar Ayoub</t>
  </si>
  <si>
    <t>Islamia College of Science and Commerce, Srinagar (BBA)</t>
  </si>
  <si>
    <t>Sarib Ali</t>
  </si>
  <si>
    <t>Ambuj Verma</t>
  </si>
  <si>
    <t>UdayaC77</t>
  </si>
  <si>
    <t>Jamal Mohamed College, Tiruchirappalli (B.Com)</t>
  </si>
  <si>
    <t>Hemlata</t>
  </si>
  <si>
    <t>AsthaC71</t>
  </si>
  <si>
    <t>Vivekanand Education Society's College of Arts, Science and Commerce, Mumbai (B.Com Accounting and Finance Self Finance)</t>
  </si>
  <si>
    <t>Sohail</t>
  </si>
  <si>
    <t>Teerthanker Mahaveer College of Computing Sciences and Information Technology, Moradabad (B.Tech CSE Specialization in Artificial Intelligence, Machine Learning and Deep Learning)</t>
  </si>
  <si>
    <t>10th Dec 2024</t>
  </si>
  <si>
    <t xml:space="preserve">SONALC79 </t>
  </si>
  <si>
    <t>Christ University, Bangalore (BCA)</t>
  </si>
  <si>
    <t>Shrenik</t>
  </si>
  <si>
    <t>Christ Institute of Management, Ghaziabad (MMS)</t>
  </si>
  <si>
    <t>Aditya Prakash</t>
  </si>
  <si>
    <t>Christ University, Ghaziabad Campus (BBA LLB Hons)</t>
  </si>
  <si>
    <t>Sonali Rai</t>
  </si>
  <si>
    <t>MadhukarC79</t>
  </si>
  <si>
    <t>Abacus Institute of Engineering and Management, Hooghly (B.Tech Electronics and Communication Engineering)</t>
  </si>
  <si>
    <t>Aditya singh</t>
  </si>
  <si>
    <t>Nainika prajapati</t>
  </si>
  <si>
    <t>Integral University, Lucknow (MBA)</t>
  </si>
  <si>
    <t>Nikhat samreen</t>
  </si>
  <si>
    <t>Sw Sundar Lal Shivhare Degree College, Makrav (B.Sc-Botany, Zoology and Chemistry)</t>
  </si>
  <si>
    <t>Anusuiya namdev</t>
  </si>
  <si>
    <t xml:space="preserve">SujalC79 </t>
  </si>
  <si>
    <t>Symbiosis College of Arts and Commerce, Pune (B.Com)</t>
  </si>
  <si>
    <t>Nikunj Gupta</t>
  </si>
  <si>
    <t>AnshumanC80</t>
  </si>
  <si>
    <t>Rajarshi School of Management and Technology, Varanasi (BBA)</t>
  </si>
  <si>
    <t>Pratyaksh Baranwal</t>
  </si>
  <si>
    <t xml:space="preserve">DeborahC80 </t>
  </si>
  <si>
    <t>St Joseph's College of Engineering, Chennai (B.Tech Data Science with Artificial Intelligence)</t>
  </si>
  <si>
    <t>Ayush Bartwal</t>
  </si>
  <si>
    <t>11th Dec 2024</t>
  </si>
  <si>
    <t>PSIT College of Higher Education, Kanpur (BCA)</t>
  </si>
  <si>
    <t>Mohammad Zubair</t>
  </si>
  <si>
    <t>Abinaya KM</t>
  </si>
  <si>
    <t>Ansel Berdinant</t>
  </si>
  <si>
    <t>Ifthikaralikhan</t>
  </si>
  <si>
    <t>kuldeep</t>
  </si>
  <si>
    <t>Harshini M</t>
  </si>
  <si>
    <t>Devapriya R R</t>
  </si>
  <si>
    <t>Harshitha M</t>
  </si>
  <si>
    <t>Elakkiya B</t>
  </si>
  <si>
    <t>Akash R</t>
  </si>
  <si>
    <t>Angel Catherine M</t>
  </si>
  <si>
    <t>Claria Persy P</t>
  </si>
  <si>
    <t>Priyan Paul Ebenezer C</t>
  </si>
  <si>
    <t>St Joseph's Institute of Technology, Chennai (B.Tech Information Technology)</t>
  </si>
  <si>
    <t>Selva</t>
  </si>
  <si>
    <t xml:space="preserve"> SONALC79 </t>
  </si>
  <si>
    <t>Lipi Malhotra</t>
  </si>
  <si>
    <t>Vansh Tyagi</t>
  </si>
  <si>
    <t>Shaurya Kapoor</t>
  </si>
  <si>
    <t>UTKARSH CHAUDHARY</t>
  </si>
  <si>
    <t>ANANYA MISHRA</t>
  </si>
  <si>
    <t>Christ University, Bangalore (BBA Finance and International Business)</t>
  </si>
  <si>
    <t>Yeti Besain</t>
  </si>
  <si>
    <t>Pudhkar Rastogi</t>
  </si>
  <si>
    <t>Ivin Ivans</t>
  </si>
  <si>
    <t>Asmita Baa</t>
  </si>
  <si>
    <t>Manya</t>
  </si>
  <si>
    <t>Oshail Madan</t>
  </si>
  <si>
    <t xml:space="preserve"> SreejaC79 </t>
  </si>
  <si>
    <t>National Institute of Technology Calicut (B.Arch)</t>
  </si>
  <si>
    <t>Honey</t>
  </si>
  <si>
    <t xml:space="preserve">TamannaC79 </t>
  </si>
  <si>
    <t>VIT-AP University, Amaravati (M.Tech Computer Science and Engineering Integrated)</t>
  </si>
  <si>
    <t>Jaya Srivastava</t>
  </si>
  <si>
    <t>Amity University, Noida (BBA Financial Services and Markets)</t>
  </si>
  <si>
    <t>Shivam Chaturvedi</t>
  </si>
  <si>
    <t>Sacred Heart College, Kochi (BA Economics)</t>
  </si>
  <si>
    <t>Iladevi NM</t>
  </si>
  <si>
    <t>Indira Institute of Management, Pune (BBA Digital Business and Marketing)</t>
  </si>
  <si>
    <t>Tamanna Singh</t>
  </si>
  <si>
    <t>Sunbeam College for Women, Varanasi (BCA)</t>
  </si>
  <si>
    <t>AVNI CHOUDHARY</t>
  </si>
  <si>
    <t xml:space="preserve"> TamannaSC79 </t>
  </si>
  <si>
    <t>Indira Institute of Management, Pune (BBA Banking and Finance)</t>
  </si>
  <si>
    <t>Aditri Jha</t>
  </si>
  <si>
    <t xml:space="preserve">SattwikC64 </t>
  </si>
  <si>
    <t>JIS College of Engineering, Nadia (B.Tech Information Technology)</t>
  </si>
  <si>
    <t>Manikanchan Layek</t>
  </si>
  <si>
    <t>Details Mismatched/ Similar Title</t>
  </si>
  <si>
    <t>Sayan Das</t>
  </si>
  <si>
    <t>AnveshaC79</t>
  </si>
  <si>
    <t>Delhi Technological University, Delhi (B.Tech Information Technology)</t>
  </si>
  <si>
    <t>mk212785</t>
  </si>
  <si>
    <t>12th Dec 2024</t>
  </si>
  <si>
    <t>St Joseph's College of Engineering, Chennai (B.Tech Artificial Intelligence and Machine Learning)</t>
  </si>
  <si>
    <t>K Israel Paul</t>
  </si>
  <si>
    <t>Smilar Title/ Similar Content/ Reviewed on behalf of someone</t>
  </si>
  <si>
    <t>St Joseph's College of Engineering, Chennai (BE Electronics and Communication Engineering)</t>
  </si>
  <si>
    <t>Allan Samraj</t>
  </si>
  <si>
    <t>St Joseph's College of Engineering, Chennai (BE Mechanical Engineering)</t>
  </si>
  <si>
    <t>Godwin Joel GS</t>
  </si>
  <si>
    <t>Thulasi S</t>
  </si>
  <si>
    <t xml:space="preserve">Invalid email id/reviewed on behalf of others. </t>
  </si>
  <si>
    <t>DIVYANSHI BAJPAI</t>
  </si>
  <si>
    <t>Anvesha Nigam</t>
  </si>
  <si>
    <t>Suresh Anuragi</t>
  </si>
  <si>
    <t>Sanskar Gupta</t>
  </si>
  <si>
    <t>Sw Sundar Lal Shivhare Degree College, Makrav (B.Sc-Mathematics, Physics and Chemistry)</t>
  </si>
  <si>
    <t>hritik anand</t>
  </si>
  <si>
    <t>Tusheet Pal Singh</t>
  </si>
  <si>
    <t>Anand</t>
  </si>
  <si>
    <t>Sapna</t>
  </si>
  <si>
    <t>PES University Electronic City Campus, Bangalore (B.Tech Computer Science and Engineering Artificial Intelligence and Machine Learning)</t>
  </si>
  <si>
    <t>Nikhil Garuda</t>
  </si>
  <si>
    <t>PES University, Bangalore (B.Tech Computer Science and Engineering)</t>
  </si>
  <si>
    <t>Harsha Vardhan</t>
  </si>
  <si>
    <t>Mahindra</t>
  </si>
  <si>
    <t>Nikhisai</t>
  </si>
  <si>
    <t>13th Dec 2024</t>
  </si>
  <si>
    <t>SuhavaniC55</t>
  </si>
  <si>
    <t>Christ University, Bangalore (BBA Hons)</t>
  </si>
  <si>
    <t>Saarthak Ahuja</t>
  </si>
  <si>
    <t xml:space="preserve">AnveshaC79 </t>
  </si>
  <si>
    <t>Amitoj Singh</t>
  </si>
  <si>
    <t xml:space="preserve">SubhashiniC77 </t>
  </si>
  <si>
    <t>Vignan's Foundation for Science Technology and Research, Guntur (B.Tech Electrical and Electronics Engineering)</t>
  </si>
  <si>
    <t>Subhashini yedluri</t>
  </si>
  <si>
    <t>Vasireddy Venkatadri Institute of Technology, Guntur (B.Tech Information Technology)</t>
  </si>
  <si>
    <t>Vasireddy Venkatadri Institute of Technology, Guntur (B.Tech Electrical and Electronics Engineering)</t>
  </si>
  <si>
    <t xml:space="preserve"> ShubhangiC77 </t>
  </si>
  <si>
    <t>Sant Gadge Baba Amravati University, Amravati (M.Sc Biotechnology)</t>
  </si>
  <si>
    <t>Mansi mapari</t>
  </si>
  <si>
    <t>Deogiri College, Aurangabad (B.Sc Biotechnology)</t>
  </si>
  <si>
    <t>Rutuja Patil</t>
  </si>
  <si>
    <t>Saniya Bhandari</t>
  </si>
  <si>
    <t>vaishnavi ithape</t>
  </si>
  <si>
    <t>MrunalC82</t>
  </si>
  <si>
    <t>Datta Meghe College of Engineering, Navi Mumbai (BE Information Technology)</t>
  </si>
  <si>
    <t>Raj patil</t>
  </si>
  <si>
    <t xml:space="preserve">InjamulC82 </t>
  </si>
  <si>
    <t>Aliah University, Kolkata (B.Tech Computer Science and Engineering)</t>
  </si>
  <si>
    <t>Injamul Hoque</t>
  </si>
  <si>
    <t xml:space="preserve">EshaC82 </t>
  </si>
  <si>
    <t>Gargi College, Delhi (B.Sc Botany Hons)</t>
  </si>
  <si>
    <t>Eshani</t>
  </si>
  <si>
    <t>Gargi College, Delhi (B.Sc Life Science)</t>
  </si>
  <si>
    <t>Esha</t>
  </si>
  <si>
    <t>Sami</t>
  </si>
  <si>
    <t>Pranav Shetty</t>
  </si>
  <si>
    <t>St Joseph's University, Bengaluru (B.Sc-Environmental Science and Biology)</t>
  </si>
  <si>
    <t>Armaan Hussain</t>
  </si>
  <si>
    <t>sanjandeep7</t>
  </si>
  <si>
    <t>samarth totager</t>
  </si>
  <si>
    <t>Raghu Vamshi</t>
  </si>
  <si>
    <t>New Horizon College of Engineering, Bangalore (BE Computer Science and Engineering specializations in Data Science)</t>
  </si>
  <si>
    <t>syed uzzair</t>
  </si>
  <si>
    <t>14th Dec 2024</t>
  </si>
  <si>
    <t>Kamala Nehru College, Delhi (B.Com Hons)</t>
  </si>
  <si>
    <t>Shambhavi Sinha</t>
  </si>
  <si>
    <t xml:space="preserve"> ShreyaC76 </t>
  </si>
  <si>
    <t>Mounika BM</t>
  </si>
  <si>
    <t>University Women's Polytechnic, Aligarh Muslim University, Aligarh (Diploma in Computer Engineering)</t>
  </si>
  <si>
    <t>Iram noor</t>
  </si>
  <si>
    <t>Sw Sundar Lal Shivhare Degree College, Makrav (BA)</t>
  </si>
  <si>
    <t>Taifee Parveen</t>
  </si>
  <si>
    <t>BanuprakashreddyC83</t>
  </si>
  <si>
    <t>QIS College of Engineering and Technology, Ongole (B.Tech Electrical and Electronics Engineering)</t>
  </si>
  <si>
    <t>sonnapureddy banuprakash reddy</t>
  </si>
  <si>
    <t xml:space="preserve"> AshaC78 </t>
  </si>
  <si>
    <t>Vasireddy Venkatadri Institute of Technology, Guntur (B.Tech Mechanical Engineering)</t>
  </si>
  <si>
    <t>MOHAMMAD ASHA</t>
  </si>
  <si>
    <t>RishimaC83</t>
  </si>
  <si>
    <t>Vivekananda Institute of Professional Studies, Delhi (BJMC)</t>
  </si>
  <si>
    <t>Rishima</t>
  </si>
  <si>
    <t>15th Dec 2024</t>
  </si>
  <si>
    <t xml:space="preserve">BanuprakashreddyC83 </t>
  </si>
  <si>
    <t>Sri Venkateswara College of Engineering, Tirupati (B.Tech Electrical and Electronics Engineering)</t>
  </si>
  <si>
    <t>Veeraballi Nithinkumar Reddy</t>
  </si>
  <si>
    <t>Techno India University, Kolkata (M.Tech Computer Science and Engineering)</t>
  </si>
  <si>
    <t>Timir Baran</t>
  </si>
  <si>
    <t>Durgapur Government College, Durgapur (B.Sc)</t>
  </si>
  <si>
    <t>Dr BC Roy Engineering College, Durgapur (B.Tech Computer Science and Engineering)</t>
  </si>
  <si>
    <t>Dr BC Roy Polytechnic, Durgapur (Diploma in Computer Science and Technology)</t>
  </si>
  <si>
    <t>Maulana Abul Kalam Azad University of Technology, Kolkata (Ph.D Pharmaceutical Technology)</t>
  </si>
  <si>
    <t>Samir Sural</t>
  </si>
  <si>
    <t>Maulana Abul Kalam Azad University of Technology, Kolkata (M.Pharm Pharmaceutics)</t>
  </si>
  <si>
    <t>Ramananda College, Bankura (B.Sc)</t>
  </si>
  <si>
    <t>Institute of Engineering and Management, Kolkata (B.Tech Mechanical Engineering)</t>
  </si>
  <si>
    <t>Sudipta Sural</t>
  </si>
  <si>
    <t>IEM College of Management, Kolkata (MBA)</t>
  </si>
  <si>
    <t>16th Dec 2024</t>
  </si>
  <si>
    <t xml:space="preserve"> PriyamC78 </t>
  </si>
  <si>
    <t>Swami Vivekanand National Institute of Rehabilitation Training and Research, Cuttack (BPO)</t>
  </si>
  <si>
    <t xml:space="preserve"> BhavanaC82 </t>
  </si>
  <si>
    <t>Gayatri Vidya Parishad College for Degree and PG Courses, Visakhapatnam (B.Tech Computer Science and Engineering)</t>
  </si>
  <si>
    <t>L Madhavi</t>
  </si>
  <si>
    <t>G.SANJANA</t>
  </si>
  <si>
    <t>C.Sanyasarao</t>
  </si>
  <si>
    <t>Asuri kushal pavan</t>
  </si>
  <si>
    <t>P.Y.Pranav Patnaik</t>
  </si>
  <si>
    <t>Gayatri Vidya Parishad College for Degree and PG Courses, Visakhapatnam (B.Tech Civil Engineering)</t>
  </si>
  <si>
    <t>Vivek Vardhan</t>
  </si>
  <si>
    <t>pravallika</t>
  </si>
  <si>
    <t>Yashaswini jana</t>
  </si>
  <si>
    <t>University Women's Polytechnic, Aligarh Muslim University, Aligarh (Diploma in Secretarial Practice)</t>
  </si>
  <si>
    <t>Mahi</t>
  </si>
  <si>
    <t>Muskan</t>
  </si>
  <si>
    <t>University Women's Polytechnic, Aligarh Muslim University, Aligarh (Advance Diploma in Interior Decoration)</t>
  </si>
  <si>
    <t>University Women's Polytechnic, Aligarh Muslim University, Aligarh (Diploma in Communication Engineering)</t>
  </si>
  <si>
    <t>Sadiya</t>
  </si>
  <si>
    <t>Zakir Husain College of Engineering and Technology, Aligarh Muslim University, Aligarh (B.Tech Computer Engineering)</t>
  </si>
  <si>
    <t>Saniya</t>
  </si>
  <si>
    <t>suwarna bhosle</t>
  </si>
  <si>
    <t xml:space="preserve">Similar Title/ Reviewed on behalf of someone </t>
  </si>
  <si>
    <t>Shubham Anawade</t>
  </si>
  <si>
    <t>priya gutte</t>
  </si>
  <si>
    <t>Mahak C41</t>
  </si>
  <si>
    <t>University Women's Polytechnic, Aligarh Muslim University, Aligarh (Diploma in Costume Design and Garment Technology)</t>
  </si>
  <si>
    <t>17th Dec 2024</t>
  </si>
  <si>
    <t xml:space="preserve">BhavanaC82 </t>
  </si>
  <si>
    <t>Vamsikishnamurthych</t>
  </si>
  <si>
    <t>leelasowmyabera03</t>
  </si>
  <si>
    <t>Samata College, Visakhapatnam (BBA)</t>
  </si>
  <si>
    <t>NARAPADU VISHNU VARDHAN</t>
  </si>
  <si>
    <t>Chigurupalli Vamsi krishna murthy</t>
  </si>
  <si>
    <t>PURANAM SRAVYA SREE</t>
  </si>
  <si>
    <t>P. Durga Prasad</t>
  </si>
  <si>
    <t>Ch Vamsi krishna murthy</t>
  </si>
  <si>
    <t xml:space="preserve">SiddharthC82 </t>
  </si>
  <si>
    <t>Praveen kumar prajapati</t>
  </si>
  <si>
    <t>Suyash tripathi</t>
  </si>
  <si>
    <t>Vaibhav jain</t>
  </si>
  <si>
    <t>Galgotias University, Greater Noida (BCA)</t>
  </si>
  <si>
    <t>Deepak bhardwaj</t>
  </si>
  <si>
    <t>Gun soni</t>
  </si>
  <si>
    <t>Kashish singh</t>
  </si>
  <si>
    <t>Shivani chaudhary</t>
  </si>
  <si>
    <t>Tanisha</t>
  </si>
  <si>
    <t>Ayush rai</t>
  </si>
  <si>
    <t>Kuldeep Singh</t>
  </si>
  <si>
    <t>Prashant attri</t>
  </si>
  <si>
    <t>Anuj bisht</t>
  </si>
  <si>
    <t>18th Dec 2024</t>
  </si>
  <si>
    <t>Manish upreti</t>
  </si>
  <si>
    <t>Sunil paswan</t>
  </si>
  <si>
    <t>Madhav parashar</t>
  </si>
  <si>
    <t>Priyanshu giri</t>
  </si>
  <si>
    <t>Balvir singh rajput</t>
  </si>
  <si>
    <t>Deepak kumar</t>
  </si>
  <si>
    <t>raju kumar</t>
  </si>
  <si>
    <t>Nabarangpur College of Nursing, Nabarangpur (B.Sc Nursing)</t>
  </si>
  <si>
    <t>Isani zeba</t>
  </si>
  <si>
    <t>Deblina mishra</t>
  </si>
  <si>
    <t>K shyamsundar Rao</t>
  </si>
  <si>
    <t xml:space="preserve">PriyamC78 </t>
  </si>
  <si>
    <t>Indian Institute of Science Education and Research Bhopal (BS Economic Sciences)</t>
  </si>
  <si>
    <t>Rasesh ray</t>
  </si>
  <si>
    <t>Gayatri Vidya Parishad Institute of Health Care and Medical Technology, Visakhapatnam (MBBS)</t>
  </si>
  <si>
    <t>Ch Rajyalakshmi</t>
  </si>
  <si>
    <t>Shivang sharma</t>
  </si>
  <si>
    <t>KS Institute of Technology, Bangalore (BE Computer Science and Engineering)</t>
  </si>
  <si>
    <t>Niharika</t>
  </si>
  <si>
    <t>Namaala.Lohitha</t>
  </si>
  <si>
    <t>Sathwik</t>
  </si>
  <si>
    <t>Gayatri Vidya Parishad College of Engineering, Visakhapatnam (B.Tech Chemical Engineering)</t>
  </si>
  <si>
    <t>Alluri Lochann</t>
  </si>
  <si>
    <t>Sai Prasanthi</t>
  </si>
  <si>
    <t>Akkaraboina harshitha</t>
  </si>
  <si>
    <t>Avinash</t>
  </si>
  <si>
    <t>Koribilli Bhavya sree</t>
  </si>
  <si>
    <t>Fatema Jalnawala</t>
  </si>
  <si>
    <t>Korada Bhavana</t>
  </si>
  <si>
    <t>Kings Engineering College, Sriperumbudur (BE Computer Science and Engineering)</t>
  </si>
  <si>
    <t>Jakin K</t>
  </si>
  <si>
    <t>19th Dec 2024</t>
  </si>
  <si>
    <t xml:space="preserve">VidhiC84 </t>
  </si>
  <si>
    <t>Indian Institute of Teacher Education, Gandhinagar (B.Sc B.Ed Integrated)</t>
  </si>
  <si>
    <t>Patel Jahnavi Rajeshkumar</t>
  </si>
  <si>
    <t>Erada Pavan</t>
  </si>
  <si>
    <t>Kavya mayurbhai Patel</t>
  </si>
  <si>
    <t>Khushi Goswami</t>
  </si>
  <si>
    <t>Paresh Baria</t>
  </si>
  <si>
    <t>Riddhi Solanki</t>
  </si>
  <si>
    <t>Patel Krupa Pareshbhai</t>
  </si>
  <si>
    <t>Tanuja</t>
  </si>
  <si>
    <t>Routhu Mohan Rao</t>
  </si>
  <si>
    <t>Voona padmasri</t>
  </si>
  <si>
    <t>S. Akshay Reddy</t>
  </si>
  <si>
    <t>BOTU KEERTHI</t>
  </si>
  <si>
    <t xml:space="preserve"> SiddharthC82 </t>
  </si>
  <si>
    <t>Tatum Chauhan</t>
  </si>
  <si>
    <t>Ramjas College, Delhi (M.Com)</t>
  </si>
  <si>
    <t>Deen Dayal Upadhyaya College, New Delhi (B.Com Hons)</t>
  </si>
  <si>
    <t>20th Dec 2024</t>
  </si>
  <si>
    <t>Aryabhatta Knowledge University, Patna (B.Pharma)</t>
  </si>
  <si>
    <t>Vishal Raj</t>
  </si>
  <si>
    <t>Vaish College, Bhiwani (BCA Self-finance)</t>
  </si>
  <si>
    <t>Hitesh singh</t>
  </si>
  <si>
    <t>Centurion University of Technology and Management, Bhubaneswar (B.Pharma)</t>
  </si>
  <si>
    <t>Suraj prasad</t>
  </si>
  <si>
    <t>chandan sathua</t>
  </si>
  <si>
    <t>Berhampur University, Berhampur (LLM)</t>
  </si>
  <si>
    <t>SANTANU KUMAR BEHERA</t>
  </si>
  <si>
    <t>21st Dec 2024</t>
  </si>
  <si>
    <t xml:space="preserve"> TusharC82 </t>
  </si>
  <si>
    <t>BR Nahata College of Pharmacy, Mandsaur (B.Pharma)</t>
  </si>
  <si>
    <t>Prachi Nigam</t>
  </si>
  <si>
    <t>Science College, Hinjilicut (B.Sc Chemistry Hons)</t>
  </si>
  <si>
    <t>Rupesh swain</t>
  </si>
  <si>
    <t>Calcutta National Medical College, Kolkata (MBBS)</t>
  </si>
  <si>
    <t>Kasak Sharma</t>
  </si>
  <si>
    <t>School of Open Learning, University of Delhi, Delhi (B.Com Hons)</t>
  </si>
  <si>
    <t>Satvik shukla</t>
  </si>
  <si>
    <t>Banaras Hindu University, Varanasi (BA Social Sciences - Sociology Hons)</t>
  </si>
  <si>
    <t>Sanskreeti Taneja</t>
  </si>
  <si>
    <t>Kerala Agricultural University, Thrissur (B.Sc Agriculture Hons)</t>
  </si>
  <si>
    <t>Tanishq</t>
  </si>
  <si>
    <t>Sri Guru Nanak Dev Khalsa College, Delhi (BA English and Political Science)</t>
  </si>
  <si>
    <t>Aayush Jain</t>
  </si>
  <si>
    <t>Sri Guru Nanak Dev Khalsa College, Delhi (BA)</t>
  </si>
  <si>
    <t>Sunny</t>
  </si>
  <si>
    <t>TammanaSC79</t>
  </si>
  <si>
    <t>SAMS Institute of Hotel Management, Varanasi (BHMCT)</t>
  </si>
  <si>
    <t>Abhishek Rakshit</t>
  </si>
  <si>
    <t>Details Mismatched/Irrelevant Content</t>
  </si>
  <si>
    <t>22nd Dec 2024</t>
  </si>
  <si>
    <t>Harsh Singh</t>
  </si>
  <si>
    <t>23rd Dec 2024</t>
  </si>
  <si>
    <t xml:space="preserve"> YC82 </t>
  </si>
  <si>
    <t>RMK College of Engineering and Technology, Thiruvallur (BE Computer Science and Engineering)</t>
  </si>
  <si>
    <t>Pavithra</t>
  </si>
  <si>
    <t>TJS Polytechnic College, Thiruvallur (Diploma in Computer Engineering)</t>
  </si>
  <si>
    <t>RMK Engineering College, Thiruvallur (BE VLSI Design and Technology)</t>
  </si>
  <si>
    <t>Nalina S</t>
  </si>
  <si>
    <t>Sri Krishna College of Technology, Coimbatore (Ph.D Electronics and Communication Engineering)</t>
  </si>
  <si>
    <t>RITHIKA</t>
  </si>
  <si>
    <t>RMK Engineering College, Thiruvallur (ME Power Electronics and Drives)</t>
  </si>
  <si>
    <t>Z.RAYYAN SADHARAH</t>
  </si>
  <si>
    <t>RMK Engineering College, Thiruvallur (BE Electronics and Communication Engineering)</t>
  </si>
  <si>
    <t>TJS Polytechnic College, Thiruvallur (Diploma in Electronics and Communication Engineering)</t>
  </si>
  <si>
    <t>Y MADHUMITHA</t>
  </si>
  <si>
    <t>Sri Durgadevi Polytechnic College, Thiruvallur (Diploma in Electrical and Electronics Engineering)</t>
  </si>
  <si>
    <t>Panimalar Polytechnic College, Chennai (Diploma in Electronics and Communication Engineering)</t>
  </si>
  <si>
    <t>RMD Engineering College, Thiruvallur (BE Electronics and Communication Engineering)</t>
  </si>
  <si>
    <t xml:space="preserve">DARJADAC85 </t>
  </si>
  <si>
    <t>Noble University, Junagadh (MBA)</t>
  </si>
  <si>
    <t>Afjal darjada</t>
  </si>
  <si>
    <t>AI generated content</t>
  </si>
  <si>
    <t>Noble University, Junagadh (BBA Hons)</t>
  </si>
  <si>
    <t xml:space="preserve">AKANKSHAC85 </t>
  </si>
  <si>
    <t>Akanksha rai</t>
  </si>
  <si>
    <t>24th Dec 2024</t>
  </si>
  <si>
    <t xml:space="preserve">PriyeshaMI286 </t>
  </si>
  <si>
    <t>Rukmadevi Pannalal Laddha Maheshwari College, Indore (B.Com Tax)</t>
  </si>
  <si>
    <t>Parth Lalawat</t>
  </si>
  <si>
    <t xml:space="preserve">Details Mismatched/reviewed on behalf of others. </t>
  </si>
  <si>
    <t>Noble University, Junagadh (BCA)</t>
  </si>
  <si>
    <t xml:space="preserve">SujalC85 </t>
  </si>
  <si>
    <t>Dr Ambedkar Institute of Technology for Handicapped, Kanpur (B.Tech Artificial Intelligence and Machine Learning)</t>
  </si>
  <si>
    <t>Vijaya</t>
  </si>
  <si>
    <t>25th Dec 2024</t>
  </si>
  <si>
    <t>Sambalpur University, Sambalpur (MBA)</t>
  </si>
  <si>
    <t>Suraj kumar bhoi</t>
  </si>
  <si>
    <t>Science College, Hinjilicut (B.Sc Physics Hons)</t>
  </si>
  <si>
    <t>Abinash pradhan</t>
  </si>
  <si>
    <t>BJB Autonomous College, Bhubaneswar (B.Com Hons)</t>
  </si>
  <si>
    <t>silver batch</t>
  </si>
  <si>
    <t>Academy of Technocrats, Ganjam (MCA)</t>
  </si>
  <si>
    <t>Sonali gouda</t>
  </si>
  <si>
    <t>Rojalin dash</t>
  </si>
  <si>
    <t>TamannaSC79</t>
  </si>
  <si>
    <t>Symbiosis Skills and Professional University, Pune (BBA Digital Media and Marketing)</t>
  </si>
  <si>
    <t>Geeta Sonaram Choudhary</t>
  </si>
  <si>
    <t>26th Dec 2024</t>
  </si>
  <si>
    <t xml:space="preserve">AnshkumarC86 </t>
  </si>
  <si>
    <t>Alliance School of Business, Bangalore (BBA Hons)</t>
  </si>
  <si>
    <t>Goutham Krishna</t>
  </si>
  <si>
    <t>27th Dec 2024</t>
  </si>
  <si>
    <t xml:space="preserve">RisheeC85 </t>
  </si>
  <si>
    <t>Rukhsar Bano</t>
  </si>
  <si>
    <t>Rajveer Soni</t>
  </si>
  <si>
    <t>Ishan Gupta</t>
  </si>
  <si>
    <t>Rajat Mishra</t>
  </si>
  <si>
    <t xml:space="preserve">SarbatrikiC87 </t>
  </si>
  <si>
    <t>Institute of Engineering and Management, Kolkata (B.Tech Electronics and Communication Engineering)</t>
  </si>
  <si>
    <t>JHARESWAR JANA</t>
  </si>
  <si>
    <t>Kalam Institute of Technology, Berhampur (Diploma in Electrical Engineering)</t>
  </si>
  <si>
    <t>Sanu behera</t>
  </si>
  <si>
    <t>Gandhi Institute of Technology and Management, Bhubaneswar (B.Tech Computer Science and Engineering)</t>
  </si>
  <si>
    <t>Prayas Pariari</t>
  </si>
  <si>
    <t>Smruti Ranjan Sahoo</t>
  </si>
  <si>
    <t>SBR Government Autonomous Women's College, Berhampur (B.Sc Computer Science)</t>
  </si>
  <si>
    <t>Dibya Smita patra</t>
  </si>
  <si>
    <t>BJB Autonomous College, Bhubaneswar (B.Sc Computer Science Hons)</t>
  </si>
  <si>
    <t>SBR Government Autonomous Women's College, Berhampur (B.Sc Chemistry)</t>
  </si>
  <si>
    <t>Archana karadi</t>
  </si>
  <si>
    <t>Khallikote University, Berhampur (B.Sc Chemistry Hons)</t>
  </si>
  <si>
    <t>Premananda Swain</t>
  </si>
  <si>
    <t>Mahesh Dibyajyoti Nayak</t>
  </si>
  <si>
    <t>Model Degree College, Rayagada (B.Sc)</t>
  </si>
  <si>
    <t>POOJA PANDA</t>
  </si>
  <si>
    <t xml:space="preserve"> PushyaC87 </t>
  </si>
  <si>
    <t>PGDAV Evening College, New Delhi (BA Commerce and Economics)</t>
  </si>
  <si>
    <t>Pushya</t>
  </si>
  <si>
    <t>Moksha Jain</t>
  </si>
  <si>
    <t xml:space="preserve">HimaniC87 </t>
  </si>
  <si>
    <t>Sri Guru Nanak Dev Khalsa College, Delhi (BA English Hons)</t>
  </si>
  <si>
    <t>MEENALOSHINI.V</t>
  </si>
  <si>
    <t>28th Dec 2024</t>
  </si>
  <si>
    <t xml:space="preserve">LakshitaC87 </t>
  </si>
  <si>
    <t>NIMS University, Jaipur (BBA)</t>
  </si>
  <si>
    <t>Lakshita tiwari</t>
  </si>
  <si>
    <t>University of Kota, Kota (MA Geography)</t>
  </si>
  <si>
    <t>Medi-Caps University, Indore (B.Tech Computer Science and Engineering)</t>
  </si>
  <si>
    <t>Modi Institute of Technology, Kota (BBA)</t>
  </si>
  <si>
    <t>Berhampur University, Berhampur (M.Pharma Pharmaceutics Self-Finance)</t>
  </si>
  <si>
    <t>Babita Adhikari</t>
  </si>
  <si>
    <t>Gayatri Institute of Science and Technology, Rayagada (B.Pharma)</t>
  </si>
  <si>
    <t>RisheeC85</t>
  </si>
  <si>
    <t>Vinod Malage</t>
  </si>
  <si>
    <t xml:space="preserve">similar content/Reviewed on behalf of someone </t>
  </si>
  <si>
    <t>Ansh Soni</t>
  </si>
  <si>
    <t>Kushan Bhawnani</t>
  </si>
  <si>
    <t>ManjunathC03</t>
  </si>
  <si>
    <t>University of Burdwan, Bardhaman (BA Bengali Hons)</t>
  </si>
  <si>
    <t>Srijeet Manna</t>
  </si>
  <si>
    <t>29th Dec 2024</t>
  </si>
  <si>
    <t xml:space="preserve">ArmanC85 </t>
  </si>
  <si>
    <t>Post Graduate College, Ghazipur (B.Sc Bio Group)</t>
  </si>
  <si>
    <t>Post Graduate College, Ghazipur (BA)</t>
  </si>
  <si>
    <t>Praphool Kumar Yadav</t>
  </si>
  <si>
    <t>Talimuddin Niswan Mahavidyalaya, Mau (B.Sc)</t>
  </si>
  <si>
    <t>Nashita Parveen</t>
  </si>
  <si>
    <t>Mahatma Gandhi Kashi Vidyapith, Varanasi (B.Sc Self Finance)</t>
  </si>
  <si>
    <t>Shivam Kushwaha</t>
  </si>
  <si>
    <t>Post Graduate College, Ghazipur (B.Sc Maths Group)</t>
  </si>
  <si>
    <t>Nitish Maurya</t>
  </si>
  <si>
    <t>Vikash Chandra Chaudhary</t>
  </si>
  <si>
    <t xml:space="preserve">HIMANIC67 </t>
  </si>
  <si>
    <t>Sri Guru Nanak Dev Khalsa College, Delhi (BA Political Science Hons)</t>
  </si>
  <si>
    <t>meenakshi Meena</t>
  </si>
  <si>
    <t>30th Dec 2024</t>
  </si>
  <si>
    <t xml:space="preserve">LaxmiC87 </t>
  </si>
  <si>
    <t>National Institute of Technology Agartala (M.Tech Material Science and Engineering)</t>
  </si>
  <si>
    <t>Sunita</t>
  </si>
  <si>
    <t>Netaji Subhas University of Technology, New Delhi (B.Tech Biotechnology)</t>
  </si>
  <si>
    <t>Rahul Kewat</t>
  </si>
  <si>
    <t>National Institute of Technology Uttarakhand (B.Tech Mechanical Engineering)</t>
  </si>
  <si>
    <t>Rupesh Kumar</t>
  </si>
  <si>
    <t>Shivam</t>
  </si>
  <si>
    <t>Afreen</t>
  </si>
  <si>
    <t>Netaji Subhas University of Technology, New Delhi (B.Tech Information Technology)</t>
  </si>
  <si>
    <t>Ashfaq Ali</t>
  </si>
  <si>
    <t xml:space="preserve">KshitijC83 </t>
  </si>
  <si>
    <t>Satyawati College, Delhi (BA Economics Hons)</t>
  </si>
  <si>
    <t>Samantha</t>
  </si>
  <si>
    <t>Deatils Mismatched</t>
  </si>
  <si>
    <t>Tushar Chovatiya</t>
  </si>
  <si>
    <t>Prince Kathrotiya</t>
  </si>
  <si>
    <t>Odedara kalpesh balubhai</t>
  </si>
  <si>
    <t>Noble University, Junagadh (MBA Integrated)</t>
  </si>
  <si>
    <t>Aayushi</t>
  </si>
  <si>
    <t xml:space="preserve">AbhimanC555 </t>
  </si>
  <si>
    <t>KES' BK Shroff College of Arts and MH Shroff College of Commerce, Mumbai (B.Com Financial Markets)</t>
  </si>
  <si>
    <t>Samruddh</t>
  </si>
  <si>
    <t>31st Dec 2024</t>
  </si>
  <si>
    <t xml:space="preserve">LekhaC72 </t>
  </si>
  <si>
    <t>Harshitha K</t>
  </si>
  <si>
    <t xml:space="preserve">Similar Content/reviewed on behalf of others. </t>
  </si>
  <si>
    <t>JSS Shri Manjunatheshwara Institute of UG and PG Studies, Dharwad (BCA)</t>
  </si>
  <si>
    <t>Anushree Jambagi</t>
  </si>
  <si>
    <t>UpasanaC88</t>
  </si>
  <si>
    <t>Arya Vidyapeeth College, Guwahati (BA Political Science Hons)</t>
  </si>
  <si>
    <t>Subhankar Sen</t>
  </si>
  <si>
    <t>1st Jan 2025</t>
  </si>
  <si>
    <t>Dharanidhar Medical College and Hospital, Keonjhar (MBBS)</t>
  </si>
  <si>
    <t>Kanha</t>
  </si>
  <si>
    <t>SCS Autonomous College, Puri (BA English Hons)</t>
  </si>
  <si>
    <t>Pradipta Kumar Sahoo</t>
  </si>
  <si>
    <t>2nd Jan 20225</t>
  </si>
  <si>
    <t>Sacred Heart College, Kochi (B.Com Finance &amp; Accounting Self Finance)</t>
  </si>
  <si>
    <t>Preetha</t>
  </si>
  <si>
    <t>Miranda House, Delhi (B.Sc Mathematics Hons)</t>
  </si>
  <si>
    <t>Tamanna singh</t>
  </si>
  <si>
    <t>Indian Institute of Technology Madras (B.Tech Aerospace Engineering)</t>
  </si>
  <si>
    <t>Shrivastava gowri</t>
  </si>
  <si>
    <t>Parul University, Vadodara (BBA Aviation, Hospitality, Travel and Tourism Management)</t>
  </si>
  <si>
    <t>Aadi Narayanan</t>
  </si>
  <si>
    <t xml:space="preserve">ShridharMI286 </t>
  </si>
  <si>
    <t>BVV Sangha's Institute of Management Studies, Bagalkot (MBA)</t>
  </si>
  <si>
    <t>Abhilash Badiger</t>
  </si>
  <si>
    <t>BLDEA's Commerce BHS Arts and TGP Science College, Jamkhandi (B.Com)</t>
  </si>
  <si>
    <t>Odisha University of Technology and Research, Bhubaneswar (M.Sc Mathematics and Computing Integrated)</t>
  </si>
  <si>
    <t>Sanjib Sarmah</t>
  </si>
  <si>
    <t>HARSH JHA</t>
  </si>
  <si>
    <t>Netaji Subhas University of Technology, New Delhi (B.Tech Electronics and Communication Engineering Internet of Things)</t>
  </si>
  <si>
    <t>Devanshi Pant</t>
  </si>
  <si>
    <t>3rd Jan 2025</t>
  </si>
  <si>
    <t xml:space="preserve"> ArmanC85 </t>
  </si>
  <si>
    <t>Priya Jaiswal</t>
  </si>
  <si>
    <t>University of Lucknow, Lucknow (M.Com)</t>
  </si>
  <si>
    <t>Ayushi Dubey</t>
  </si>
  <si>
    <t>Riya Paul</t>
  </si>
  <si>
    <t>Veermata Jijabai Technological Institute, Mumbai (B.Tech Electrical Engineering)</t>
  </si>
  <si>
    <t>Manish</t>
  </si>
  <si>
    <t>Veermata Jijabai Technological Institute, Mumbai (B.Tech Textile Technology)</t>
  </si>
  <si>
    <t>SHIKHAR TEMBHARE</t>
  </si>
  <si>
    <t>8th Jan 2025</t>
  </si>
  <si>
    <t xml:space="preserve"> JinalC89 </t>
  </si>
  <si>
    <t>Institute of Design, Nirma University, Ahmedabad (B.Des Communication Design)</t>
  </si>
  <si>
    <t>Saptarshi Kalita</t>
  </si>
  <si>
    <t>details mismatched</t>
  </si>
  <si>
    <t xml:space="preserve"> THANUSHC89 </t>
  </si>
  <si>
    <t>Kumaraguru College of Technology, Coimbatore (BE Electrical and Electronics Engineering)</t>
  </si>
  <si>
    <t>S.Thanush</t>
  </si>
  <si>
    <t xml:space="preserve">similar Ttle /reviewed on behalf of others. </t>
  </si>
  <si>
    <t>Parthiban</t>
  </si>
  <si>
    <t>Manoj S</t>
  </si>
  <si>
    <t>M Kumarasamy College of Engineering, Karur (B.Tech Information Technology)</t>
  </si>
  <si>
    <t>THANUSH S</t>
  </si>
  <si>
    <t>9th Jan 2025</t>
  </si>
  <si>
    <t xml:space="preserve">RakeshC90 </t>
  </si>
  <si>
    <t>MOHIT KUMAR ROY</t>
  </si>
  <si>
    <t>Gaming Guru</t>
  </si>
  <si>
    <t>Details mismatched</t>
  </si>
  <si>
    <t>10th Jan 2025</t>
  </si>
  <si>
    <t xml:space="preserve">MishikaaC89 </t>
  </si>
  <si>
    <t>Rohit bhardwaj</t>
  </si>
  <si>
    <t xml:space="preserve">SanyaC89 </t>
  </si>
  <si>
    <t>Samrat Ashok Technological Institute, Vidisha (B.Tech Computer Science and Engineering)</t>
  </si>
  <si>
    <t>Anamika Sharma</t>
  </si>
  <si>
    <t xml:space="preserve">HIMANIC87 </t>
  </si>
  <si>
    <t>Bhai Parmanand Institute of Business Studies, Delhi (B.Tech Artificial Intelligence)</t>
  </si>
  <si>
    <t>Alok</t>
  </si>
  <si>
    <t>11th Jan 2025</t>
  </si>
  <si>
    <t>Siddarth S</t>
  </si>
  <si>
    <t>Sri Ramakrishna Institute of Technology, Coimbatore (B.Tech Information Technology)</t>
  </si>
  <si>
    <t>Poonkawin Saravanan</t>
  </si>
  <si>
    <t xml:space="preserve"> SuryaC91 </t>
  </si>
  <si>
    <t>Vignan's Institute of Information Technology, Visakhapatnam (B.Tech Computer Science and Engineering)</t>
  </si>
  <si>
    <t>Surya Mohan</t>
  </si>
  <si>
    <t>Raghu Institute of Technology, Visakhapatnam (B.Tech Computer Science Engineering)</t>
  </si>
  <si>
    <t>Andhra University College of Engineering, Visakhapatnam (B.Tech Computer Science and Engineering)</t>
  </si>
  <si>
    <t>12th Jan 2025</t>
  </si>
  <si>
    <t xml:space="preserve">VijaylaxmiC90 </t>
  </si>
  <si>
    <t>Kamala Nehru College, Delhi (BA)</t>
  </si>
  <si>
    <t>Saroja</t>
  </si>
  <si>
    <t xml:space="preserve">AI Generated Content </t>
  </si>
  <si>
    <t xml:space="preserve">SuryaC91 </t>
  </si>
  <si>
    <t>Sandip Institute of Technology and Research Center, Nashik (B.Tech Computer Engineering)</t>
  </si>
  <si>
    <t>Anil Neerukonda Institute of Technology and Sciences, Visakhapatnam (B.Tech Computer Science and Engineering)</t>
  </si>
  <si>
    <t>13th Jan 2025</t>
  </si>
  <si>
    <t xml:space="preserve">MilanC90 </t>
  </si>
  <si>
    <t>SS Jain Subodh PG Autonomous College, Jaipur (Ph.D Physics)</t>
  </si>
  <si>
    <t>niharika jain</t>
  </si>
  <si>
    <t>invalid email ids/ reviewed on behalf of someone</t>
  </si>
  <si>
    <t>SS Jain Subodh PG Autonomous College, Jaipur (M.Sc Physics)</t>
  </si>
  <si>
    <t>SS Jain Subodh PG Autonomous College, Jaipur (B.Sc)</t>
  </si>
  <si>
    <t>SS Jain Subodh PG Autonomous College, Jaipur (Ph.D Computer Science)</t>
  </si>
  <si>
    <t>DHRUV SINGH</t>
  </si>
  <si>
    <t>SS Jain Subodh PG Autonomous College, Jaipur (MCA)</t>
  </si>
  <si>
    <t>SS Jain Subodh PG Autonomous College, Jaipur (BA)</t>
  </si>
  <si>
    <t>Hitesh Kumar</t>
  </si>
  <si>
    <t>SS Jain Subodh PG Autonomous College, Jaipur (BCA)</t>
  </si>
  <si>
    <t>aaditya sharma</t>
  </si>
  <si>
    <t>bhuvan singh</t>
  </si>
  <si>
    <t xml:space="preserve"> RiyankaC89 </t>
  </si>
  <si>
    <t>Law School, The Northcap University, Gurugram (LLB)</t>
  </si>
  <si>
    <t>Tapash Paul</t>
  </si>
  <si>
    <t>MITCON Institute of Management, Pune (PGDM Agribusiness and Management)</t>
  </si>
  <si>
    <t>Prince Kumar</t>
  </si>
  <si>
    <t>NSHM Knowledge Campus, Durgapur (BBA)</t>
  </si>
  <si>
    <t>14th Jan 2025</t>
  </si>
  <si>
    <t>VijaylaxmiC90</t>
  </si>
  <si>
    <t>Mata Sundri College for Women, New Delhi</t>
  </si>
  <si>
    <t>Toshika</t>
  </si>
  <si>
    <t>SanyaC89</t>
  </si>
  <si>
    <t>Samrat Ashok Technological Institute, Vidisha</t>
  </si>
  <si>
    <t>Anjali Sahu</t>
  </si>
  <si>
    <t>15th Jan 2025</t>
  </si>
  <si>
    <t>Aadi Narayanan NM</t>
  </si>
  <si>
    <t>SarbatrikiC87</t>
  </si>
  <si>
    <t>Institute of Engineering and Management, Kolkata (B.Tech Computer Science and Engineering)</t>
  </si>
  <si>
    <t>Samanwayee Jana</t>
  </si>
  <si>
    <t>Nilratan Sircar Medical College, Kolkata (MBBS)</t>
  </si>
  <si>
    <t>ArmanC85</t>
  </si>
  <si>
    <t>University of Delhi, Delhi (B.Sc Statistics Hons)</t>
  </si>
  <si>
    <t>Unknown</t>
  </si>
  <si>
    <t>Government Girls PG College, Ghazipur (BA)</t>
  </si>
  <si>
    <t>Nazz Parveen</t>
  </si>
  <si>
    <t>Gopinath</t>
  </si>
  <si>
    <t>RashiC90</t>
  </si>
  <si>
    <t>Lloyd Institute of Engineering and Technology, Greater Noida (B.Tech Computer Science and Engineering)</t>
  </si>
  <si>
    <t>Rashi Singh</t>
  </si>
  <si>
    <t>16th Jan 2025</t>
  </si>
  <si>
    <t>THANUSHC89</t>
  </si>
  <si>
    <t>nandhakumar11062006</t>
  </si>
  <si>
    <t>Not Verified/reviewed on behalf of someone</t>
  </si>
  <si>
    <t>Sharvesh S</t>
  </si>
  <si>
    <t>Chandigarh University Online (Online MBA)</t>
  </si>
  <si>
    <t>Aniket Gupta</t>
  </si>
  <si>
    <t>17th Jan 2025</t>
  </si>
  <si>
    <t>Nandha Kumar S</t>
  </si>
  <si>
    <t>college faculty cannot review</t>
  </si>
  <si>
    <t>Indian Institute of Technology Jammu (Ph.D Computer Science and Engineering)</t>
  </si>
  <si>
    <t>Raj uttkrash singh</t>
  </si>
  <si>
    <t>copied review</t>
  </si>
  <si>
    <t>Faculty of Management Studies, University of Delhi, Delhi (MBA)</t>
  </si>
  <si>
    <t>Shaik showkath</t>
  </si>
  <si>
    <t>ShatakshiC90</t>
  </si>
  <si>
    <t>Teerthanker Mahaveer Dental College and Research Centre, Moradabad (BDS)</t>
  </si>
  <si>
    <t>Shubhexa Yadav</t>
  </si>
  <si>
    <t>18th Jan 2025</t>
  </si>
  <si>
    <t>KAVIYA S</t>
  </si>
  <si>
    <t>United Institute of Technology, Allahabad (B.Tech Computer Science and Engineering)</t>
  </si>
  <si>
    <t>Tejaswwi Saroj</t>
  </si>
  <si>
    <t>name and verification doesnt match</t>
  </si>
  <si>
    <t>Vikash Yadav</t>
  </si>
  <si>
    <t>Not Verified</t>
  </si>
  <si>
    <t>AyushC90</t>
  </si>
  <si>
    <t>Ayush Bhat</t>
  </si>
  <si>
    <t>Government College of Engineering and Technology, Jammu (BE Electronics and Communication Engineering)</t>
  </si>
  <si>
    <t>Model Institute of Engineering and Technology, Jammu (BE Computer Science and Engineering)</t>
  </si>
  <si>
    <t>19th Jan 2025</t>
  </si>
  <si>
    <t>harsh kulthe</t>
  </si>
  <si>
    <t>details mismatch</t>
  </si>
  <si>
    <t>Indian Institute of Science Education and Research Mohali</t>
  </si>
  <si>
    <t>cannot review different colleges</t>
  </si>
  <si>
    <t>LNM Institute of Information Technology, Jaipur</t>
  </si>
  <si>
    <t>Koneru Lakshmaiah Education Foundation, Guntur (B.Tech Biotechnology)</t>
  </si>
  <si>
    <t>Odisha University of Agriculture and Technology, Bhubaneswar (B.Sc Horticulture Hons)</t>
  </si>
  <si>
    <t>Dr MGR Educational and Research Institute, Chennai (B.Tech Electronics and Communication Engineering)</t>
  </si>
  <si>
    <t>Shoolini University of Biotechnology and Management Sciences, Solan (M.Sc Microbiology)</t>
  </si>
  <si>
    <t>Baddi University of Emerging Sciences and Technology, Baddi (M.Pharma Pharmaceutics)</t>
  </si>
  <si>
    <t>CMJ University, Shillong (B.Sc-Physics, Chemistry and Mathematics)</t>
  </si>
  <si>
    <t>Indus International University, Una (BBA)</t>
  </si>
  <si>
    <t>MIT University, Shillong (BA Journalism and Mass Communication)</t>
  </si>
  <si>
    <t>Apeejay Stya University, Sohna (BBA Human Resources Hons)</t>
  </si>
  <si>
    <t>MVR College of Engineering, Visakhapatnam (B.Tech Electrical and Electronics Engineering)</t>
  </si>
  <si>
    <t>Vel's Institute of Science Technology and Advanced Studies, Chennai (M.Sc Biotechnology)</t>
  </si>
  <si>
    <t>Nightingale Institute of Technology, Coimbatore (BE Mechanical Engineering)</t>
  </si>
  <si>
    <t>Lingaya's Vidyapeeth, Faridabad (B.Tech Electronics and Communication Engineering)</t>
  </si>
  <si>
    <t>SanyaC88</t>
  </si>
  <si>
    <t>Shyama Prasad Mukherji College For Women, New Delhi (BA)</t>
  </si>
  <si>
    <t>level up</t>
  </si>
  <si>
    <t>Apeejay Stya University, Sohna (B.Ed)</t>
  </si>
  <si>
    <t>BS Abdur Rahman Crescent Institute of Science and Technology, Chennai (B.Tech Electrical and Electronics Engineering)</t>
  </si>
  <si>
    <t>Vivekanand Education Society's Institute of Technology, Chembur (BE Computer Engineering)</t>
  </si>
  <si>
    <t>Noida International University, Greater Noida (BBA LLB)</t>
  </si>
  <si>
    <t>BS Abdur Rahman Crescent Institute of Science and Technology, Chennai (B.Tech Civil Engineering)</t>
  </si>
  <si>
    <t>Babin Basak</t>
  </si>
  <si>
    <t>Rajiv Gandhi University, Itanagar (BCA)</t>
  </si>
  <si>
    <t>Vellore Institute of Technology, Vellore (B.Tech Electronics and Communication Engineering)</t>
  </si>
  <si>
    <t>IFTM University, Moradabad (B.Tech Civil Engineering)</t>
  </si>
  <si>
    <t>DasariC91</t>
  </si>
  <si>
    <t>GITAM School of Technology, Hyderabad (B.Tech Computer Science and Business Systems)</t>
  </si>
  <si>
    <t>Dasari.l c n bhavani sankar</t>
  </si>
  <si>
    <t>20th Jan 2025</t>
  </si>
  <si>
    <t>Amar Singh College, Srinagar (BA History Hons)</t>
  </si>
  <si>
    <t>Indian Institute of Technology Banaras Hindu University Varanasi</t>
  </si>
  <si>
    <t>KNN College and School of Nursing, Bangalore (B.Sc Nursing)</t>
  </si>
  <si>
    <t>Adithya Ajith</t>
  </si>
  <si>
    <t>Saloni Bhati</t>
  </si>
  <si>
    <t>RakeshC90</t>
  </si>
  <si>
    <t>Dr BC Roy Engineering College, Durgapur (B.Tech Computer Science and Design)</t>
  </si>
  <si>
    <t>Indian Agricultural Research Institute, New Delhi (Ph.D Soil Science and Agricultural Chemistry)</t>
  </si>
  <si>
    <t>Sudhir Bhinchar</t>
  </si>
  <si>
    <t>Hindu College, Amritsar (BCA)</t>
  </si>
  <si>
    <t>Hindu College, Delhi (BA English Hons)</t>
  </si>
  <si>
    <t>Hindu College, Delhi (B.Sc Zoology Hons)</t>
  </si>
  <si>
    <t>Hindu College, Delhi (B.Com Hons)</t>
  </si>
  <si>
    <t>Hindu College, Delhi (BA Hindi Hons)</t>
  </si>
  <si>
    <t>Hindu College, Delhi (BA Economics Hons)</t>
  </si>
  <si>
    <t>Shri Ram College of Commerce, Delhi (ARPIT Refresher Course in Economics)</t>
  </si>
  <si>
    <t>Shri Ram College of Commerce, Delhi (ARPIT Refresher Course In Commerce)</t>
  </si>
  <si>
    <t>Shri Ram College of Commerce, Delhi (MA Economics)</t>
  </si>
  <si>
    <t>Shri Ram College of Commerce, Delhi (BA Economics Hons)</t>
  </si>
  <si>
    <t>Biju Patnaik University of Technology, Rourkela (M.Tech Electrical Engineering)</t>
  </si>
  <si>
    <t>The NorthCap University, Gurgaon (BA Economics Hons)</t>
  </si>
  <si>
    <t>21st Jan 2025</t>
  </si>
  <si>
    <t>Government Girls Post Graduate College, Rewa (B.Com)</t>
  </si>
  <si>
    <t>Vineeta Tiwari</t>
  </si>
  <si>
    <t>Government Girls Post Graduate College, Rewa (B.Sc-Chemistry, Mathematics and Physics)</t>
  </si>
  <si>
    <t>Shivani Dwivedi</t>
  </si>
  <si>
    <t>Government Girls Post Graduate College, Rewa (B.Sc-Botany, Chemistry and Zoology)</t>
  </si>
  <si>
    <t>Vaishnavi Dwivedi</t>
  </si>
  <si>
    <t>Ramanujan College, New Delhi (B.Sc Statistics Hons)</t>
  </si>
  <si>
    <t>Arya Singh</t>
  </si>
  <si>
    <t>ShubhangiC77</t>
  </si>
  <si>
    <t>sakshi nirmalsona</t>
  </si>
  <si>
    <t>Samrat Ashok Technological Institute, Vidisha (B.Tech Information Technology)</t>
  </si>
  <si>
    <t>gauravo3010</t>
  </si>
  <si>
    <t>Akanksha Lodhi</t>
  </si>
  <si>
    <t>Samrat Ashok Technological Institute, Vidisha (B.Tech Internet of Things)</t>
  </si>
  <si>
    <t>Disha Nathani</t>
  </si>
  <si>
    <t>MANVI SHEODE</t>
  </si>
  <si>
    <t>Symbiosis Institute of Technology, Pune (B.Tech Computer Science and Engineering)</t>
  </si>
  <si>
    <t>Komal Singh</t>
  </si>
  <si>
    <t>Kristu Jayanti College, Bengaluru (BA History and Political Science)</t>
  </si>
  <si>
    <t>Ankita</t>
  </si>
  <si>
    <t>23rd Jan 2025</t>
  </si>
  <si>
    <t>Gauri Gaikwad</t>
  </si>
  <si>
    <t>pgaware59</t>
  </si>
  <si>
    <t>LekhaC72</t>
  </si>
  <si>
    <t>College of Horticulture, Sirsi (B.Sc Horticulture)</t>
  </si>
  <si>
    <t>Navyathri N A</t>
  </si>
  <si>
    <t>Sri Arali Siddlingappa Basappa Government First Grade College, Sunakalbidari (BA)</t>
  </si>
  <si>
    <t>Priyanka Bannihatti</t>
  </si>
  <si>
    <t>AJIT KUMAR</t>
  </si>
  <si>
    <t>aditya kumar pandey</t>
  </si>
  <si>
    <t>24th Jan 2025</t>
  </si>
  <si>
    <t>National B Ed College, Rewa (B.Ed)</t>
  </si>
  <si>
    <t>rating and content mismatch</t>
  </si>
  <si>
    <t>sahil naik</t>
  </si>
  <si>
    <t>Ritesh Kumar Ray</t>
  </si>
  <si>
    <t>Harshit Deo</t>
  </si>
  <si>
    <t>Dr BC Roy Engineering College, Durgapur (B.Tech Electrical Engineering)</t>
  </si>
  <si>
    <t>Shivam kumar sinha</t>
  </si>
  <si>
    <t>University of Rajasthan, Jaipur (B.Sc)</t>
  </si>
  <si>
    <t>University of Calicut, Malappuram (MCA)</t>
  </si>
  <si>
    <t>25th Jan 2025</t>
  </si>
  <si>
    <t>Dr BC Roy Engineering College, Durgapur (B.Tech Electronics and Communication Engineering)</t>
  </si>
  <si>
    <t>Rohit Kumar Mandal</t>
  </si>
  <si>
    <t>Fake - details mismatch</t>
  </si>
  <si>
    <t>Arpit Anand</t>
  </si>
  <si>
    <t>26th Jan 2026</t>
  </si>
  <si>
    <t>PODILIC93</t>
  </si>
  <si>
    <t>Sri Venkateswara Arts College, Tirupati (B.Com Computer Applications)</t>
  </si>
  <si>
    <t>Rakesh Yadav</t>
  </si>
  <si>
    <t>27th Jan 2025</t>
  </si>
  <si>
    <t>Government Sri Krishnarajendra Silver Jubilee Technological Institute, Bangalore (BE Civil Engineering)</t>
  </si>
  <si>
    <t>Sharath m</t>
  </si>
  <si>
    <t>reviewed diff colleges &amp; courses</t>
  </si>
  <si>
    <t>Jawaharlal Nehru National College of Engineering, Shimoga (BE Artificial Intelligence and Machine Learning)</t>
  </si>
  <si>
    <t>Usha.M.L</t>
  </si>
  <si>
    <t>Government First Grade College, Shikaripura (BCA)</t>
  </si>
  <si>
    <t>Megha Chandrappa manera</t>
  </si>
  <si>
    <t>University BDT College of Engineering, Davangere (BE Civil Engineering)</t>
  </si>
  <si>
    <t>Yeshwant R</t>
  </si>
  <si>
    <t>VardhiniC83</t>
  </si>
  <si>
    <t>Koneru Lakshmaiah Education Foundation, Guntu</t>
  </si>
  <si>
    <t>Rudhra Narayana</t>
  </si>
  <si>
    <t>28th Jan 2025</t>
  </si>
  <si>
    <t>M Kumarasamy College of Engineering, Karur (BE Civil Engineering)</t>
  </si>
  <si>
    <t>Sreejith</t>
  </si>
  <si>
    <t>Monish K</t>
  </si>
  <si>
    <t>Sachin A</t>
  </si>
  <si>
    <t>M Kumarasamy College of Engineering, Karur (BE Mechanical Engineering)</t>
  </si>
  <si>
    <t>Vishnu D</t>
  </si>
  <si>
    <t>29th Jan 2025</t>
  </si>
  <si>
    <t xml:space="preserve">SaiC94 </t>
  </si>
  <si>
    <t>Lakireddy Bali Reddy College of Engineering, Mylavaram (B.Tech Electrical and Electronics Engineering)</t>
  </si>
  <si>
    <t>Sai Surya Hemanth Sanapathi</t>
  </si>
  <si>
    <t>SRK Institute of Technology, Vijayawada (B.Tech Information Technology)</t>
  </si>
  <si>
    <t>30th Jan 2025</t>
  </si>
  <si>
    <t xml:space="preserve">LakkojuC95 </t>
  </si>
  <si>
    <t>Aditya Institute of Technology and Management, Tekkali (B.Tech Computer Science and Engineering)</t>
  </si>
  <si>
    <t>Lakkoju Eswarasai</t>
  </si>
  <si>
    <t>Lakkoju Eswara Sai</t>
  </si>
  <si>
    <t xml:space="preserve"> RahulC94 </t>
  </si>
  <si>
    <t>SR Group of Institutions, Jhansi (B.Tech Computer Science and Engineering)</t>
  </si>
  <si>
    <t>Mala Verma</t>
  </si>
  <si>
    <t>RohiniC95</t>
  </si>
  <si>
    <t>GITAM University, Visakhapatnam (M.Sc Data Science)</t>
  </si>
  <si>
    <t>Lokesh T</t>
  </si>
  <si>
    <t>Gayatri Vidya Parishad College for Degree and PG Courses, Visakhapatnam (BCA)</t>
  </si>
  <si>
    <t>Nimmi</t>
  </si>
  <si>
    <t>vijay Raj</t>
  </si>
  <si>
    <t>rohini ragha lata</t>
  </si>
  <si>
    <t>VKR, VNB and AGK College of Engineering, Krishna (B.Tech Mechanical Engineering)</t>
  </si>
  <si>
    <t>Malleda venkata vamsi</t>
  </si>
  <si>
    <t>VKR, VNB and AGK College of Engineering, Krishna (B.Tech Artificial Intelligence and Data Science)</t>
  </si>
  <si>
    <t>Sneha sri</t>
  </si>
  <si>
    <t>Lakireddy Bali Reddy College of Engineering, Mylavaram (B.Tech Aerospace Engineering)</t>
  </si>
  <si>
    <t>NRI Institute of Technology, Agiripalli (B.Tech Electronics and Communication Engineering)</t>
  </si>
  <si>
    <t>NRI Institute of Technology, Agiripalli (B.Tech Computer Science and Engineering)</t>
  </si>
  <si>
    <t>Aditya College of Engineering, Surampalem (B.Tech Computer Science and Engineering)</t>
  </si>
  <si>
    <t>SRK Institute of Technology, Vijayawada (B.Tech VLSI Design and Technology)</t>
  </si>
  <si>
    <t>Lakireddy Bali Reddy College of Engineering, Mylavaram (B.Tech Mechanical Engineering)</t>
  </si>
  <si>
    <t>Dhanekula Institute of Engineering and Technology, Vijayawada (B.Tech Electrical and Electronics Engineering)</t>
  </si>
  <si>
    <t xml:space="preserve">surbhiC94 </t>
  </si>
  <si>
    <t>Dimpal Madhwani</t>
  </si>
  <si>
    <t>sablaniyash03</t>
  </si>
  <si>
    <t>Ayush soni</t>
  </si>
  <si>
    <t xml:space="preserve">AryanC94 </t>
  </si>
  <si>
    <t>Vishwakarma College of Arts Commerce and Science, Pune (BBA)</t>
  </si>
  <si>
    <t>Aqsa</t>
  </si>
  <si>
    <t>Vishwakarma University, Pune (BBA International Business Hons)</t>
  </si>
  <si>
    <t>Yohan Watchmaker</t>
  </si>
  <si>
    <t>Ness Wadia College of Commerce, Pune (BBA)</t>
  </si>
  <si>
    <t>Gaurav Bajaj</t>
  </si>
  <si>
    <t xml:space="preserve">Irrelevant Content/ reviewed on behalf of someone </t>
  </si>
  <si>
    <t>Ansh Chaudhary</t>
  </si>
  <si>
    <t>Sakshi Phad</t>
  </si>
  <si>
    <t>Nida</t>
  </si>
  <si>
    <t>Madiha Modi</t>
  </si>
  <si>
    <t>Komal vinodkumar Agarwal</t>
  </si>
  <si>
    <t>TazeenC94</t>
  </si>
  <si>
    <t>Swami Shraddhanand College, Delhi (B.Com)</t>
  </si>
  <si>
    <t>Sam Anwar</t>
  </si>
  <si>
    <t>31st Jan 2025</t>
  </si>
  <si>
    <t>Vijaya Institute of Technology for Women, Vijayawada (B.Tech Electrical and Electronics Engineering)</t>
  </si>
  <si>
    <t>M ASRITHA</t>
  </si>
  <si>
    <t>VKR, VNB and AGK College of Engineering, Krishna (B.Tech Computer Science and Engineering)</t>
  </si>
  <si>
    <t>Pavan kumar Pamarthi</t>
  </si>
  <si>
    <t>Dilwar basha</t>
  </si>
  <si>
    <t>VKR, VNB and AGK College of Engineering, Krishna (B.Tech Electronics and Communication Engineering)</t>
  </si>
  <si>
    <t>Neha jamitireddy</t>
  </si>
  <si>
    <t>susmitha Makkena</t>
  </si>
  <si>
    <t>Ede heman narasimha sai</t>
  </si>
  <si>
    <t>Gayathri</t>
  </si>
  <si>
    <t>Pujitha</t>
  </si>
  <si>
    <t xml:space="preserve"> VardhiniC83 </t>
  </si>
  <si>
    <t>Gayatri Vidya Parishad College of Engineering, Visakhapatnam (B.Tech Electronics and Communication Engineering)</t>
  </si>
  <si>
    <t>Dilip Kumar Y</t>
  </si>
  <si>
    <t xml:space="preserve"> AnshkumarC86 </t>
  </si>
  <si>
    <t>Agrima Shree</t>
  </si>
  <si>
    <t>Anchal Sharma</t>
  </si>
  <si>
    <t>Bundelkhand University, Jhansi (B.Sc Geology Hons)</t>
  </si>
  <si>
    <t>Ayush Verma</t>
  </si>
  <si>
    <t>no title</t>
  </si>
  <si>
    <t>University Institute of Engineering and Technology, Panjab University, Chandigarh (BE Biotechnology)</t>
  </si>
  <si>
    <t>Upadhyay Ji</t>
  </si>
  <si>
    <t>Rajdeep</t>
  </si>
  <si>
    <t>1st Feb 2025</t>
  </si>
  <si>
    <t>Bundelkhand University, Jhansi (BBA Hons)</t>
  </si>
  <si>
    <t>rahul verma</t>
  </si>
  <si>
    <t xml:space="preserve"> THANUSHC89</t>
  </si>
  <si>
    <t>gokulcr434</t>
  </si>
  <si>
    <t>Sriram Krishna</t>
  </si>
  <si>
    <t xml:space="preserve">IchhaC96 </t>
  </si>
  <si>
    <t>Birla Institute of Technology and Science, Pilani (BE Mechanical Engineering)</t>
  </si>
  <si>
    <t>Shahid</t>
  </si>
  <si>
    <t xml:space="preserve">Details Mismached </t>
  </si>
  <si>
    <t xml:space="preserve">TarunC96 </t>
  </si>
  <si>
    <t>IEC College of Engineering and Technology, Greater Noida (B.Tech Computer Science and Engineering)</t>
  </si>
  <si>
    <t>Aishwarya Sudeep</t>
  </si>
  <si>
    <t xml:space="preserve">SourodeepC96 </t>
  </si>
  <si>
    <t>Assam Engineering College, Guwahati (BE Electronics and Telecommunication Engineering)</t>
  </si>
  <si>
    <t>Subhashish Paul</t>
  </si>
  <si>
    <t>Assam Engineering College, Guwahati (BE Instrumentation Engineering)</t>
  </si>
  <si>
    <t>Suchibrata Gogoi</t>
  </si>
  <si>
    <t>2nd Feb 2025</t>
  </si>
  <si>
    <t xml:space="preserve">RahulC94 </t>
  </si>
  <si>
    <t>Institute of Engineering and Technology, Lucknow (B.Tech Chemical Engineering)</t>
  </si>
  <si>
    <t xml:space="preserve">reviewed on behalf of others/ Details Mismatched </t>
  </si>
  <si>
    <t>Bipin Bihari College, Jhansi (B.Sc)</t>
  </si>
  <si>
    <t>3rd Feb 2025</t>
  </si>
  <si>
    <t xml:space="preserve">AahanC96 </t>
  </si>
  <si>
    <t>K R Mangalam University, Gurugram (B.Tech Computer Science and Engineering)</t>
  </si>
  <si>
    <t>Similar Title/ reviewed on behalf of someone</t>
  </si>
  <si>
    <t>Om Mishra</t>
  </si>
  <si>
    <t>Pulkit Pandey</t>
  </si>
  <si>
    <t>Alluri Sitaramaraju Academy of Medical Sciences, Eluru (MBBS)</t>
  </si>
  <si>
    <t>Chaduvula Devaki</t>
  </si>
  <si>
    <t>Disha sharma</t>
  </si>
  <si>
    <t>Princy</t>
  </si>
  <si>
    <t>Padma sri pati</t>
  </si>
  <si>
    <t xml:space="preserve">SuchitaC96 </t>
  </si>
  <si>
    <t>Palak Jain</t>
  </si>
  <si>
    <t>4th Feb 2025</t>
  </si>
  <si>
    <t>Jawaharlal Nehru Krishi Vishwavidyalaya, Jabalpur (B.Sc Agriculture Hons)</t>
  </si>
  <si>
    <t>Abhishek Patidar</t>
  </si>
  <si>
    <t>Indian Agricultural Research Institute, New Delhi (M.Sc Agronomy)</t>
  </si>
  <si>
    <t>Ansh Pateriya</t>
  </si>
  <si>
    <t>Riya Verma</t>
  </si>
  <si>
    <t>Similar Title/ Similar content</t>
  </si>
  <si>
    <t>Himanshu Tripathi</t>
  </si>
  <si>
    <t>RahulC94</t>
  </si>
  <si>
    <t>Love Verma</t>
  </si>
  <si>
    <t>5th Feb 2025</t>
  </si>
  <si>
    <t>Neel Patel</t>
  </si>
  <si>
    <t>Ishikaa gupta</t>
  </si>
  <si>
    <t xml:space="preserve">SuryanshC97 </t>
  </si>
  <si>
    <t>MLV Government Textile and Engineering College, Bhilwara (B.Tech Textile Technology)</t>
  </si>
  <si>
    <t>Shlok</t>
  </si>
  <si>
    <t>Details Mismached/ reviewed on behalf of someone</t>
  </si>
  <si>
    <t>Surya Vamsi</t>
  </si>
  <si>
    <t>Nihal patel</t>
  </si>
  <si>
    <t>ARSALAN</t>
  </si>
  <si>
    <t>SurabhiC98</t>
  </si>
  <si>
    <t>Lakshmibai College, Delhi (BA Philosophy Hons)</t>
  </si>
  <si>
    <t>Surabhi</t>
  </si>
  <si>
    <t>6th Feb 2025</t>
  </si>
  <si>
    <t>Miranda House, Delhi (BA English Hons)</t>
  </si>
  <si>
    <t>Institute of Economics and Finance, Bundelkhand University, Jhansi (B.Com Hons)</t>
  </si>
  <si>
    <t>Rishant</t>
  </si>
  <si>
    <t>Tanmaya Sahoo</t>
  </si>
  <si>
    <t>7th Feb 2026</t>
  </si>
  <si>
    <t xml:space="preserve">THANUSHC89 </t>
  </si>
  <si>
    <t>M Kumarasamy College of Engineering, Karur (BE Electrical and Electronics Engineering)</t>
  </si>
  <si>
    <t>Yuvaraj</t>
  </si>
  <si>
    <t>7th Feb 2027</t>
  </si>
  <si>
    <t>Indian Statistical Institute Kolkata (Bachelor of Statistical Data Science Hons)</t>
  </si>
  <si>
    <t>Gurman Avtar</t>
  </si>
  <si>
    <t>Komineni Dhanunjaya Naidu</t>
  </si>
  <si>
    <t>Mangala Mahavidyalaya, Kakatpur (B.Sc)</t>
  </si>
  <si>
    <t>Omm prakash sahoo</t>
  </si>
  <si>
    <t>Omm Soumyajit Swain</t>
  </si>
  <si>
    <t>Shubhrajeet Biswas</t>
  </si>
  <si>
    <t>Rajesh Kumar Verma</t>
  </si>
  <si>
    <t>Government PG Autonomous College, Datia (B.Sc Bio Group)</t>
  </si>
  <si>
    <t>Institute of Professional Education Research, Bhopal (MBA)</t>
  </si>
  <si>
    <t>Saurabh kumar</t>
  </si>
  <si>
    <t>Veerangana Jhalkari Bai Government Girls Polytechnic, Jhansi (Diploma in Electrical Engineering)</t>
  </si>
  <si>
    <t>Nandini Yadav</t>
  </si>
  <si>
    <t>Rishav Yadav</t>
  </si>
  <si>
    <t>Saksham Agarwal</t>
  </si>
  <si>
    <t>Institute of Management Studies, Bundelkhand University, Jhansi (MBA)</t>
  </si>
  <si>
    <t>Asif khan</t>
  </si>
  <si>
    <t>Harsh Kk</t>
  </si>
  <si>
    <t>Nimisha Gupta</t>
  </si>
  <si>
    <t xml:space="preserve"> SurabhiC98 </t>
  </si>
  <si>
    <t>Prachi Ramchandra Mane</t>
  </si>
  <si>
    <t xml:space="preserve">VishnuC99 </t>
  </si>
  <si>
    <t>The Apollo University, Chittoor (B.Sc Emergency Medical Technology)</t>
  </si>
  <si>
    <t>Ben beckham Mulakalapally</t>
  </si>
  <si>
    <t>The Apollo University, Chittoor (B.Tech Artificial Intelligence and Machine Learning)</t>
  </si>
  <si>
    <t>RANA PAIDI</t>
  </si>
  <si>
    <t>Apollo Institute of Medical Sciences and Research, Chittoor (MBBS)</t>
  </si>
  <si>
    <t>sreedurgavenkat Adithya</t>
  </si>
  <si>
    <t xml:space="preserve"> TanishaC99 </t>
  </si>
  <si>
    <t>GLS University, Ahmedabad (BBA)</t>
  </si>
  <si>
    <t>Vrunda jivani</t>
  </si>
  <si>
    <t>Amity Global Business School, Ahmedabad (GDBA and BBA)</t>
  </si>
  <si>
    <t>Riddhi Rajai</t>
  </si>
  <si>
    <t>BK School of Business Management, Gujarat University, Ahmedabad (MBA)</t>
  </si>
  <si>
    <t>AmaniC99</t>
  </si>
  <si>
    <t>Jamia Hamdard, New Delhi (BBA)</t>
  </si>
  <si>
    <t>Deepti Gola</t>
  </si>
  <si>
    <t xml:space="preserve">Details mismachted </t>
  </si>
  <si>
    <t xml:space="preserve"> AnushreeC99 </t>
  </si>
  <si>
    <t>Michael Madhusudan Memorial College, Durgapur (B.Com Accountancy Hons)</t>
  </si>
  <si>
    <t>Nandini kumari Sah</t>
  </si>
  <si>
    <t>Bakreswar College of Education, Birbhum (B.Ed)</t>
  </si>
  <si>
    <t>Annesha Chatterjee</t>
  </si>
  <si>
    <t>Bhawanipur Education Society College, Kolkata (B.Com Hons)</t>
  </si>
  <si>
    <t>ANURUPA CHATTERJEE</t>
  </si>
  <si>
    <t>Anushree chatterjee</t>
  </si>
  <si>
    <t xml:space="preserve">SuryaC94 </t>
  </si>
  <si>
    <t>Amrita Vishwa Vidyapeetham, Bengaluru Campus (M.Tech Data Science)</t>
  </si>
  <si>
    <t>Keerthiragav</t>
  </si>
  <si>
    <t>Amrita Vishwa Vidyapeetham, Bengaluru Campus (M.Tech Computer Science and Engineering)</t>
  </si>
  <si>
    <t>Adina Utham Kumar</t>
  </si>
  <si>
    <t>Amrita School of Engineering, Bengaluru (B.Tech Computer Science and Engineering)</t>
  </si>
  <si>
    <t>Shreyas D</t>
  </si>
  <si>
    <t>Amrita School of Engineering, Bengaluru (B.Tech Electronics and Computer Engineering)</t>
  </si>
  <si>
    <t>Paru Facts</t>
  </si>
  <si>
    <t>Amrita Vishwa Vidyapeetham, Bengaluru Campus (B.Tech Artificial Intelligence and Data Science)</t>
  </si>
  <si>
    <t>nivasreddy.gpr</t>
  </si>
  <si>
    <t>shyam</t>
  </si>
  <si>
    <t>PratimC99</t>
  </si>
  <si>
    <t>Punjab Engineering College, Chandigarh (BE Computer Science and Engineering)</t>
  </si>
  <si>
    <t>pratim2907</t>
  </si>
  <si>
    <t>NavyanshC98</t>
  </si>
  <si>
    <t>Indian Institute of Management Rohtak (Integrated Programme in Management)</t>
  </si>
  <si>
    <t>Advik Mudgal</t>
  </si>
  <si>
    <t>8th Feb 2025</t>
  </si>
  <si>
    <t xml:space="preserve"> AnjaliC99 </t>
  </si>
  <si>
    <t>Indian Institute of Psychology and Research, Bangalore (B.Sc-Psychology, Economics and Computer Science)</t>
  </si>
  <si>
    <t xml:space="preserve"> VrundaC300 </t>
  </si>
  <si>
    <t>Afreen Malik</t>
  </si>
  <si>
    <t>Details Mismached</t>
  </si>
  <si>
    <t>Deen Dayal Upadhyaya College, New Delhi (BMS)</t>
  </si>
  <si>
    <t>K.yamini</t>
  </si>
  <si>
    <t>9th Feb 2025</t>
  </si>
  <si>
    <t xml:space="preserve">LovedeepC300 </t>
  </si>
  <si>
    <t>Amandeep College of Nursing, Amritsar (B.Sc Nursing)</t>
  </si>
  <si>
    <t>Lovedeep</t>
  </si>
  <si>
    <t>Amit Kumar Tiwari</t>
  </si>
  <si>
    <t>Ramdayalu Singh College, Muzaffarpur (B.Sc Zoology)</t>
  </si>
  <si>
    <t>10th Feb 2025</t>
  </si>
  <si>
    <t>Love verma</t>
  </si>
  <si>
    <t>Aman rajak</t>
  </si>
  <si>
    <t>Aradhy Tiwari</t>
  </si>
  <si>
    <t xml:space="preserve"> SaiC94 </t>
  </si>
  <si>
    <t>Mandada Satya Narayana</t>
  </si>
  <si>
    <t>Jawaharlal Nehru Technological University, Kakinada (B.Tech Electrical and Electronics Engineering)</t>
  </si>
  <si>
    <t>nagapraveena eedara</t>
  </si>
  <si>
    <t>ABC abcd</t>
  </si>
  <si>
    <t xml:space="preserve">Details Mismachted </t>
  </si>
  <si>
    <t xml:space="preserve">AnushreeC99 </t>
  </si>
  <si>
    <t>PUJA KUMARI</t>
  </si>
  <si>
    <t xml:space="preserve"> ShushantC99 </t>
  </si>
  <si>
    <t>Government Engineering College, Sheohar (B.Tech Electrical Engineering)</t>
  </si>
  <si>
    <t>Cricket facts</t>
  </si>
  <si>
    <t xml:space="preserve">ShwetC99 </t>
  </si>
  <si>
    <t>Visvesvaraya National Institute of Technology Nagpur (B.Tech Electronics and Communication Engineering)</t>
  </si>
  <si>
    <t>Shubham Saini</t>
  </si>
  <si>
    <t>Details Mismachted / reviewed on behalf of someone</t>
  </si>
  <si>
    <t xml:space="preserve">DeepikaC300 </t>
  </si>
  <si>
    <t>Satyawati College, Delhi (B.Com Hons)</t>
  </si>
  <si>
    <t>Fino Payment Bank LTD</t>
  </si>
  <si>
    <t>Nandini Nandini</t>
  </si>
  <si>
    <t xml:space="preserve">VrundaC300 </t>
  </si>
  <si>
    <t>KunalC01</t>
  </si>
  <si>
    <t>Bhilai Institute of Technology, Durg (B.Tech Computer Science and Engineering)</t>
  </si>
  <si>
    <t>Devansh pandey</t>
  </si>
  <si>
    <t xml:space="preserve">DEVC97 </t>
  </si>
  <si>
    <t>Dr Akhilesh Das Gupta Institute of Professional Studies, New Delhi (B.Tech Information Technology)</t>
  </si>
  <si>
    <t>Doc Ox</t>
  </si>
  <si>
    <t>Kongu Engineering College, Erode (BE Mechanical Engineering)</t>
  </si>
  <si>
    <t>Sujith S</t>
  </si>
  <si>
    <t>11th Feb 2025</t>
  </si>
  <si>
    <t xml:space="preserve">AkshitC01 </t>
  </si>
  <si>
    <t>Hemvati Nandan Bahuguna Garhwal University, Pauri Garhwal (MA English)</t>
  </si>
  <si>
    <t>Koushik MP</t>
  </si>
  <si>
    <t>Meerut College, Meerut (M.Sc Statistics)</t>
  </si>
  <si>
    <t>Vaibhav Bhatt</t>
  </si>
  <si>
    <t>Meerut College, Meerut (B.Sc Statistics)</t>
  </si>
  <si>
    <t>College of Engineering Roorkee, Roorkee (B.Tech Mechanical Engineering)</t>
  </si>
  <si>
    <t>Deepanshu Sharma</t>
  </si>
  <si>
    <t>Pt Deen Dayal Upadhyay Management College, Meerut (BCA)</t>
  </si>
  <si>
    <t>Akshit</t>
  </si>
  <si>
    <t>Pt Deen Dayal Upadhyay Management College, Meerut (BBA)</t>
  </si>
  <si>
    <t>ayan jain</t>
  </si>
  <si>
    <t>Aditi kailas farkandkar</t>
  </si>
  <si>
    <t xml:space="preserve"> LavkushC300 </t>
  </si>
  <si>
    <t>Government Polytechnic, Lucknow (Diploma in Electrical Engineering)</t>
  </si>
  <si>
    <t>Amit Kumar Sharma</t>
  </si>
  <si>
    <t>Government Polytechnic, Lucknow (Diploma in Mechanical Production Engineering)</t>
  </si>
  <si>
    <t>Soni Chaudhari</t>
  </si>
  <si>
    <t>Anirudh Chaurasiya</t>
  </si>
  <si>
    <t>Vishesh kumar verma</t>
  </si>
  <si>
    <t>Priyanshu maheshwari</t>
  </si>
  <si>
    <t>Priyal Maheshwari</t>
  </si>
  <si>
    <t xml:space="preserve">VC300 </t>
  </si>
  <si>
    <t>Haindavi PG College, Hyderabad (MCA)</t>
  </si>
  <si>
    <t>Revathi Vishwanath</t>
  </si>
  <si>
    <t>St Peter's Institute of Higher Education and Research, Chennai (BE Civil Engineering)</t>
  </si>
  <si>
    <t>VC300</t>
  </si>
  <si>
    <t>St Joseph's Institute of Management, Bangalore (Ph.D Management)</t>
  </si>
  <si>
    <t>12th Feb 2025</t>
  </si>
  <si>
    <t>SS Jain Subodh PG Autonomous College, Jaipur (M.Com Business Administration)</t>
  </si>
  <si>
    <t>Shubham sharma</t>
  </si>
  <si>
    <t>SS Jain Subodh PG Autonomous College, Jaipur (B.Com)</t>
  </si>
  <si>
    <t>SS Jain Subodh PG Autonomous College, Jaipur (M.Com Accountancy and Business Statistics)</t>
  </si>
  <si>
    <t>Anuj modi</t>
  </si>
  <si>
    <t>SS Jain Subodh PG Autonomous College, Jaipur (M.Com Economic Administration and Financial Management)</t>
  </si>
  <si>
    <t>punit agrawal</t>
  </si>
  <si>
    <t>Shambhu Acharya</t>
  </si>
  <si>
    <t>SS Jain Subodh PG Autonomous College, Jaipur (B.Com Accountancy and Business Statistics Hons)</t>
  </si>
  <si>
    <t>SS Jain Subodh PG Autonomous College, Jaipur (M.Sc Information Technology)</t>
  </si>
  <si>
    <t>narendra singh sekhawat</t>
  </si>
  <si>
    <t>Suresh Maddi</t>
  </si>
  <si>
    <t>Lakireddy Bali Reddy College of Engineering, Mylavaram (B.Tech Electronics and Communication Engineering)</t>
  </si>
  <si>
    <t>Yarlagadda Harshitha</t>
  </si>
  <si>
    <t>Thanuj Chowdary</t>
  </si>
  <si>
    <t>Kakaraparti Bhavanarayana College PG Centre, Vijayawada (MCA)</t>
  </si>
  <si>
    <t>SAI CHAND OLUPALLI</t>
  </si>
  <si>
    <t>Usha Rama College of Engineering and Technology, Krishna (B.Tech Electronics and Communication Engineering)</t>
  </si>
  <si>
    <t>Owaish raza</t>
  </si>
  <si>
    <t xml:space="preserve">AnimeshC01 </t>
  </si>
  <si>
    <t>ARKA Jain University, Seraikela (BBA)</t>
  </si>
  <si>
    <t>Priyanka J Hembram</t>
  </si>
  <si>
    <t>Tata College, Chaibasa (B.Sc)</t>
  </si>
  <si>
    <t xml:space="preserve">SULEKHC300 </t>
  </si>
  <si>
    <t>Modern Education Society's Wadia College of Engineering, Pune (BE Electronics and Telecommunication Engineering)</t>
  </si>
  <si>
    <t>Harshad kadam</t>
  </si>
  <si>
    <t>13th Feb 2025</t>
  </si>
  <si>
    <t>Alliance College of Engineering and Design, Bangalore (B.Tech Mechanical Engineering)</t>
  </si>
  <si>
    <t>Bfdx</t>
  </si>
  <si>
    <t>Alliance College of Engineering and Design, Bangalore (B.Tech Computer Science and Engineering)</t>
  </si>
  <si>
    <t>suraj alias Harsh Sujay Shirodkar</t>
  </si>
  <si>
    <t>Barun Singh</t>
  </si>
  <si>
    <t>Deepti chauhan</t>
  </si>
  <si>
    <t>College of Vocational Studies, New Delhi (B.Com Hons)</t>
  </si>
  <si>
    <t>Yukti thakur</t>
  </si>
  <si>
    <t>Vansh verma</t>
  </si>
  <si>
    <t>Noida College of Physical Education, Dadri (B.P.E.S)</t>
  </si>
  <si>
    <t>Mahima verma</t>
  </si>
  <si>
    <t>Mohit chandra</t>
  </si>
  <si>
    <t>Rudrakash Bhatnagar</t>
  </si>
  <si>
    <t>Bhupal Nobles' University, Udaipur (B.Pharma)</t>
  </si>
  <si>
    <t>Ananya dikshit</t>
  </si>
  <si>
    <t>Story</t>
  </si>
  <si>
    <t>Vignan Institute of Technology and Science, Nalgonda (B.Tech Artificial Intelligence and Machine Learning)</t>
  </si>
  <si>
    <t>Maheshwar Reddy</t>
  </si>
  <si>
    <t>14th Feb 2025</t>
  </si>
  <si>
    <t>Indian Institute of Technology Bombay (B.Tech Electrical Engineering)</t>
  </si>
  <si>
    <t>Vipul Rathore</t>
  </si>
  <si>
    <t>Indian Institute of Science, Bangalore (M.Tech Computational and Data Science)</t>
  </si>
  <si>
    <t>Indian Institute of Technology Delhi (Ph.D Computer Science and Engineering)</t>
  </si>
  <si>
    <t>Birla Institute of Technology, Mesra (Ph.D Computer Science and Engineering)</t>
  </si>
  <si>
    <t>Akanksha Mrinali</t>
  </si>
  <si>
    <t>Oriental Institute of Science and Technology, Bhopal (M.Tech Computer Science and Engineering)</t>
  </si>
  <si>
    <t>Bansal Institute of Research Technology and Science, Bhopal (BE Computer Science and Engineering)</t>
  </si>
  <si>
    <t xml:space="preserve">PradhyumnC04 </t>
  </si>
  <si>
    <t>Institute of Hotel Management Catering Technology and Applied Nutrition, Mumbai (Diploma in Food and Beverage Service)</t>
  </si>
  <si>
    <t>PRADHYUMN KUMAR</t>
  </si>
  <si>
    <t>Doranda College, Ranchi (B.Sc)</t>
  </si>
  <si>
    <t>Institute of Hotel Management Catering Technology and Applied Nutrition, Mumbai (Diploma in Food Production)</t>
  </si>
  <si>
    <t>Institute of Hotel Management Catering Technology and Applied Nutrition, Mumbai (B.Sc Hospitality and Hotel Administration)</t>
  </si>
  <si>
    <t xml:space="preserve"> RayiC04 </t>
  </si>
  <si>
    <t>Sree Venkateswara College of Engineering, Nellore (B.Tech Artificial intelligence and Data Science)</t>
  </si>
  <si>
    <t>Kavya</t>
  </si>
  <si>
    <t>JNTUA College of Engineering, Pulivendula (B.Tech Civil Engineering)</t>
  </si>
  <si>
    <t>Nissi Ethel</t>
  </si>
  <si>
    <t xml:space="preserve">Moleec04 </t>
  </si>
  <si>
    <t>Magadh Mahila College, Patna (B.Sc Botany Hons)</t>
  </si>
  <si>
    <t>Molee jhunjhunwala</t>
  </si>
  <si>
    <t>15th Feb 2025</t>
  </si>
  <si>
    <t xml:space="preserve"> Anshkumarc86 </t>
  </si>
  <si>
    <t>Sheela Singh</t>
  </si>
  <si>
    <t>Alliance School of Business, Bangalore (MBA)</t>
  </si>
  <si>
    <t>UTKARSH SRIVASTAVA</t>
  </si>
  <si>
    <t>Alliance College of Engineering and Design, Bangalore (B.Tech Electronics and Communication Engineering)</t>
  </si>
  <si>
    <t>eswarnaidukaranam</t>
  </si>
  <si>
    <t xml:space="preserve">SC04 </t>
  </si>
  <si>
    <t>JIMS Engineering Management Technical Campus, Greater Noida (B.Tech Artificial Intelligence and Machine Learning)</t>
  </si>
  <si>
    <t>Kanishk</t>
  </si>
  <si>
    <t>Indian Institute of Management Sirmaur (MBA)</t>
  </si>
  <si>
    <t>ankit kumar</t>
  </si>
  <si>
    <t xml:space="preserve">Irrelevant Content/reviewed on behalf of others. </t>
  </si>
  <si>
    <t>Institute of Hotel Management Catering Technology and Applied Nutrition, Kolkata (B.Sc Hospitality and Hotel Administration)</t>
  </si>
  <si>
    <t>Indian Institute of Technology Roorkee (M.Tech Communication Systems)</t>
  </si>
  <si>
    <t>Pradeep Larka</t>
  </si>
  <si>
    <t>National Institute of Technology Goa (B.Tech Electrical and Electronics Engineering)</t>
  </si>
  <si>
    <t>Indian Institute of Technology Roorkee (M.Tech Renewable and Hydro Energy)</t>
  </si>
  <si>
    <t>vishnu singh</t>
  </si>
  <si>
    <t>National Institute of Technology Jamshedpur (B.Tech Electrical Engineering)</t>
  </si>
  <si>
    <t>abhijeet singh</t>
  </si>
  <si>
    <t>AKASH KUMAR</t>
  </si>
  <si>
    <t>FORE School of Management, Delhi (PGDM)</t>
  </si>
  <si>
    <t>pradhyumn monu</t>
  </si>
  <si>
    <t xml:space="preserve">PRARTHANAC97 </t>
  </si>
  <si>
    <t>Aniket</t>
  </si>
  <si>
    <t>Ramanujan College, New Delhi (B.Com)</t>
  </si>
  <si>
    <t>Komalverma</t>
  </si>
  <si>
    <t>Shaheed Bhagat Singh College, Delhi (B.Com Hons)</t>
  </si>
  <si>
    <t>Kanika</t>
  </si>
  <si>
    <t>Krishna Shah</t>
  </si>
  <si>
    <t>Deshbandhu College, New Delhi (B.Com Hons)</t>
  </si>
  <si>
    <t>Somya singh</t>
  </si>
  <si>
    <t>16th Feb 2025</t>
  </si>
  <si>
    <t xml:space="preserve">YarasaniC04 </t>
  </si>
  <si>
    <t>Yarasani Nagasujani</t>
  </si>
  <si>
    <t>University of Allahabad Allahabad (BCA)</t>
  </si>
  <si>
    <t>Saurabh Rai</t>
  </si>
  <si>
    <t xml:space="preserve">AishwaryaC04 </t>
  </si>
  <si>
    <t>Handique Girls College, Guwahati (BA Economics Hons)</t>
  </si>
  <si>
    <t>Sharda Kumari</t>
  </si>
  <si>
    <t>17th Feb 2025</t>
  </si>
  <si>
    <t>Mohammad Afsal</t>
  </si>
  <si>
    <t>reviewed wrong college</t>
  </si>
  <si>
    <t>ChinnamollaC05</t>
  </si>
  <si>
    <t>Narsimha Reddy Engineering College, Ranga Reddy (B.Tech Computer Science and Engineering)</t>
  </si>
  <si>
    <t>Chinnamolla shivani</t>
  </si>
  <si>
    <t>MilanC90</t>
  </si>
  <si>
    <t>SS Jain Subodh PG Autonomous College, Jaipur (Ph.D Business Administration)</t>
  </si>
  <si>
    <t>Nikita agarwal</t>
  </si>
  <si>
    <t>wrong course reviewed</t>
  </si>
  <si>
    <t>SS Jain Subodh PG Autonomous College, Jaipur (BBA)</t>
  </si>
  <si>
    <t>Malla Reddy College of Engineering and Technology, Hyderabad (B.Tech Artificial Intelligence and Machine Learning)</t>
  </si>
  <si>
    <t>AishwaryaC04</t>
  </si>
  <si>
    <t>Handique Girls College, Guwahati (BA History Hons)</t>
  </si>
  <si>
    <t>Lol Lol</t>
  </si>
  <si>
    <t>Malla Reddy College of Engineering and Technology, Hyderabad (B.Tech Electronics and Communication Engineering)</t>
  </si>
  <si>
    <t>B Borooah College, Guwahati (BA Geography Hons)</t>
  </si>
  <si>
    <t>Ash Hoax</t>
  </si>
  <si>
    <t>Sudhanshu sharma</t>
  </si>
  <si>
    <t>course not verified</t>
  </si>
  <si>
    <t>AnshkumarC86</t>
  </si>
  <si>
    <t>Gowtham Reddy</t>
  </si>
  <si>
    <t>Duddukunta Vignesh</t>
  </si>
  <si>
    <t>YarasaniC04</t>
  </si>
  <si>
    <t>Madanapalle Institute of Technology and Science, Madanapalle (M.Tech Computer Science and Engineering)</t>
  </si>
  <si>
    <t>PrateekC05</t>
  </si>
  <si>
    <t>Babu Udrej Shikshan Sansthan, Jaunpur (MA Hindi)</t>
  </si>
  <si>
    <t>Prateek Vishwakarma</t>
  </si>
  <si>
    <t>18th Feb 2025</t>
  </si>
  <si>
    <t>Rupal saini</t>
  </si>
  <si>
    <t>SS Jain Subodh PG Autonomous College, Jaipur (Ph.D Computer Application)</t>
  </si>
  <si>
    <t>Himanshu pareek</t>
  </si>
  <si>
    <t>palak goyal</t>
  </si>
  <si>
    <t>himanshu saini</t>
  </si>
  <si>
    <t xml:space="preserve">ChinnamollaC05 </t>
  </si>
  <si>
    <t>Malla Reddy College of Engineering and Technology, Hyderabad (MBA)</t>
  </si>
  <si>
    <t>Depika Rao</t>
  </si>
  <si>
    <t>Mounika Pawar</t>
  </si>
  <si>
    <t>Narsimha Reddy Engineering College, Ranga Reddy (B.Tech Electronics and Communication Engineering)</t>
  </si>
  <si>
    <t>Thammanaboina prasanna</t>
  </si>
  <si>
    <t xml:space="preserve"> MuskanMI289 </t>
  </si>
  <si>
    <t>Greater Noida Institute of Technology Engineering Institute, Greater Noida (MBA)</t>
  </si>
  <si>
    <t>Pragati Singh</t>
  </si>
  <si>
    <t>Harish Chandra Post Graduate College, Varanasi (BBA)</t>
  </si>
  <si>
    <t>vigneshwaran s</t>
  </si>
  <si>
    <t>Priyadharshini N</t>
  </si>
  <si>
    <t>GIRI CREATIONS</t>
  </si>
  <si>
    <t>Vikram S</t>
  </si>
  <si>
    <t>19th Feb 2025</t>
  </si>
  <si>
    <t xml:space="preserve">KunjirC88 </t>
  </si>
  <si>
    <t>Shradha takawane</t>
  </si>
  <si>
    <t>Dattakala College of Pharmacy, Daund (B.Pharma)</t>
  </si>
  <si>
    <t>Sneha Shende</t>
  </si>
  <si>
    <t>Chaitali Sonawane</t>
  </si>
  <si>
    <t>Mayur chavan</t>
  </si>
  <si>
    <t>Shivaji University, Kolhapur (M.Sc Mathematics)</t>
  </si>
  <si>
    <t>Prerna Kisave</t>
  </si>
  <si>
    <t>Dattakala College of Pharmacy, Daund (D.Pharma)</t>
  </si>
  <si>
    <t>Omkar baradkar</t>
  </si>
  <si>
    <t>Sarala Birla University, Ranchi (Ph.D Computer Science Engineering)</t>
  </si>
  <si>
    <t>Lady Irwin College, New Delhi (Ph.D Food and Nutrition)</t>
  </si>
  <si>
    <t>Meggha Malpotra</t>
  </si>
  <si>
    <t xml:space="preserve">SanjeevC06  </t>
  </si>
  <si>
    <t>Mahatma Gandhi Memorial Medical College and Hospital, Jamshedpur (MBBS)</t>
  </si>
  <si>
    <t>devirita4932</t>
  </si>
  <si>
    <t>20th Feb 2025</t>
  </si>
  <si>
    <t xml:space="preserve"> DidhaC06 </t>
  </si>
  <si>
    <t>Indian Institute of Technology Madras (B.Tech Computer Science and Engineering)</t>
  </si>
  <si>
    <t>Ajay Kumar Prajapati</t>
  </si>
  <si>
    <t xml:space="preserve"> YuhansaC06 </t>
  </si>
  <si>
    <t>Asian Academy of Film and Television, Noida (B.Sc Digital Marketing)</t>
  </si>
  <si>
    <t>Tamanna</t>
  </si>
  <si>
    <t xml:space="preserve">DhruvC05 </t>
  </si>
  <si>
    <t>Faculty of Business Administration, GLS University, Ahmedabad (BBA)</t>
  </si>
  <si>
    <t>Purva Deliwala</t>
  </si>
  <si>
    <t xml:space="preserve">Insufficiant content/ no title </t>
  </si>
  <si>
    <t xml:space="preserve">prarthanac97 </t>
  </si>
  <si>
    <t>Chandigarh University Online (Online BBA)</t>
  </si>
  <si>
    <t>sahil</t>
  </si>
  <si>
    <t>Teerthanker Mahaveer University, Moradabad (BBA)</t>
  </si>
  <si>
    <t>Moradabad Institute of Technology, Moradabad (B.Tech Civil Engineering)</t>
  </si>
  <si>
    <t>varun katyal</t>
  </si>
  <si>
    <t>21st Feb 2025</t>
  </si>
  <si>
    <t xml:space="preserve">YuhansaC06 </t>
  </si>
  <si>
    <t>Chaudhary Charan Singh University, Meerut (MA Geography Self Finance)</t>
  </si>
  <si>
    <t>Deepanshu</t>
  </si>
  <si>
    <t xml:space="preserve"> SanjeevC06 </t>
  </si>
  <si>
    <t>Rajeev kumar</t>
  </si>
  <si>
    <t xml:space="preserve"> PRARTHANAC97 </t>
  </si>
  <si>
    <t>University of Delhi, Delhi (B.Com)</t>
  </si>
  <si>
    <t>akshita</t>
  </si>
  <si>
    <t>Aishwarya Saikia</t>
  </si>
  <si>
    <t>AishwaryaC05</t>
  </si>
  <si>
    <t>Handique Girls College, Guwahati (BA English Hons)</t>
  </si>
  <si>
    <t>Shireen Ahmed</t>
  </si>
  <si>
    <t>AishwaryaC06</t>
  </si>
  <si>
    <t>Lovely Gogoi</t>
  </si>
  <si>
    <t>University School of Information Communication and Technology, Delhi (M.Tech Information Technology)</t>
  </si>
  <si>
    <t>Shiksha Gupta</t>
  </si>
  <si>
    <t>University Institute of Engineering and Technology, Kurukshetra University, Kurukshetra (B.Tech Computer Science and Engineering)</t>
  </si>
  <si>
    <t>Department of Computer Science, University of Delhi, Delhi (Ph.D Computer Science)</t>
  </si>
  <si>
    <t>International Institute of Information Technology, Hyderabad (Ph.D Computer Science and Engineering)</t>
  </si>
  <si>
    <t>Shodasakshari Vidya</t>
  </si>
  <si>
    <t>Srinivasa Ramanujan Center, Kumbakonam (M.Sc Mathematics)</t>
  </si>
  <si>
    <t>Srinivasa Ramanujan Center, Kumbakonam (B.Sc Mathematics and Computer Science)</t>
  </si>
  <si>
    <t>Ankit Agrawal</t>
  </si>
  <si>
    <t>Thapar Institute of Engineering and Technology, Patiala (ME Computer Science and Engineering)</t>
  </si>
  <si>
    <t>Birla Institute of Technology and Science, Pilani (Ph.D Computer Science and Information Systems)</t>
  </si>
  <si>
    <t>22nd Feb 2025</t>
  </si>
  <si>
    <t xml:space="preserve"> YaasmeenC06 </t>
  </si>
  <si>
    <t>Vaagdevi College of Engineering, Warangal (B.Tech Civil Engineering)</t>
  </si>
  <si>
    <t>Mahewish kubra</t>
  </si>
  <si>
    <t>23rd Feb 2025</t>
  </si>
  <si>
    <t>Amity University, Noida (BBA and MBA Integrated)</t>
  </si>
  <si>
    <t>Rishit</t>
  </si>
  <si>
    <t>Details Mismachted</t>
  </si>
  <si>
    <t>Graphic Era Hill University, Dehradun (BBA LLB)</t>
  </si>
  <si>
    <t>24th Feb 2025</t>
  </si>
  <si>
    <t xml:space="preserve"> ShikhaC07 </t>
  </si>
  <si>
    <t>Hansraj College, Delhi (B.Sc Chemistry Hons)</t>
  </si>
  <si>
    <t>Ankita Singh</t>
  </si>
  <si>
    <t>Hansraj College, Delhi (BA Philosophy and Physical Education)</t>
  </si>
  <si>
    <t>Mohammad Wajid Ansari</t>
  </si>
  <si>
    <t>25th Feb 2025</t>
  </si>
  <si>
    <t xml:space="preserve">AryanC08 </t>
  </si>
  <si>
    <t>Aryan Jaiswal</t>
  </si>
  <si>
    <t>Narula Institute of Technology, Agarpara (B.Tech Electronics and Communication Engineering)</t>
  </si>
  <si>
    <t>Lord Buddha Koshi Medical College and Hospital, Saharsa (MBBS)</t>
  </si>
  <si>
    <t>annjali2004</t>
  </si>
  <si>
    <t xml:space="preserve">SreelakshmiC05 </t>
  </si>
  <si>
    <t>Tata Institute of Social Sciences, Mumbai (MA Labour Studies and Practice)</t>
  </si>
  <si>
    <t>Niranj P Anil</t>
  </si>
  <si>
    <t>Rajiv Gandhi Institute of Technology, Kottayam (B.Tech Mechanical Engineering)</t>
  </si>
  <si>
    <t>Deepak Jacob Jays</t>
  </si>
  <si>
    <t xml:space="preserve">SanjeevC06 </t>
  </si>
  <si>
    <t>Different course review</t>
  </si>
  <si>
    <t xml:space="preserve">NishiC09 </t>
  </si>
  <si>
    <t>Navsari Agricultural University, Navsari (M.Sc Agriculture Agronomy)</t>
  </si>
  <si>
    <t>Rame</t>
  </si>
  <si>
    <t xml:space="preserve"> HiteshC09 </t>
  </si>
  <si>
    <t>Dr BR Ambedkar National Law University, Sonipat (BA LLB Hons)</t>
  </si>
  <si>
    <t>LEGEND LEGEND</t>
  </si>
  <si>
    <t xml:space="preserve">HarshitaC09 </t>
  </si>
  <si>
    <t>Mahaveer College of Commerce, Jaipur (BCA)</t>
  </si>
  <si>
    <t>Sumit Minocha</t>
  </si>
  <si>
    <t>Mahaveer College of Commerce, Jaipur (BVA Applied Arts)</t>
  </si>
  <si>
    <t>harshita chhabra</t>
  </si>
  <si>
    <t>26th Feb 2025</t>
  </si>
  <si>
    <t>Dhina K</t>
  </si>
  <si>
    <t>Hariharan</t>
  </si>
  <si>
    <t>Dheepanraj</t>
  </si>
  <si>
    <t xml:space="preserve">HiteshC09 </t>
  </si>
  <si>
    <t>Chaudhary Charan Singh Haryana Agricultural University, Hisar (B.Sc Agricultural Hons)</t>
  </si>
  <si>
    <t>hitesh</t>
  </si>
  <si>
    <t xml:space="preserve">SimranC04 </t>
  </si>
  <si>
    <t>North Eastern Regional Institute of Science and Technology, Nirjuli (M.Tech Computer Integrated Manufacturing)</t>
  </si>
  <si>
    <t>Rajender Singh</t>
  </si>
  <si>
    <t>Birla Institute of Technology, Mesra (B.Tech Computer Science Engineering)</t>
  </si>
  <si>
    <t>Kusham Chand</t>
  </si>
  <si>
    <t>Birla Institute of Management Technology, Greater Noida (Executive Certificate Program in Disruptive Entrepreneurship)</t>
  </si>
  <si>
    <t>prakash chand</t>
  </si>
  <si>
    <t>H Harigovind</t>
  </si>
  <si>
    <t>27th Feb 2025</t>
  </si>
  <si>
    <t xml:space="preserve">SiddhiC10 </t>
  </si>
  <si>
    <t>Lovely Professional University, Phagwara (BBA and MBA Integrated)</t>
  </si>
  <si>
    <t xml:space="preserve"> SyedC10 </t>
  </si>
  <si>
    <t>Bhawanipur Education Society College, Kolkata (BBA Hons)</t>
  </si>
  <si>
    <t>Afra Khatoon</t>
  </si>
  <si>
    <t>Meraj Fatma</t>
  </si>
  <si>
    <t>J D Birla Institute, Kolkata (B.Com Hons)</t>
  </si>
  <si>
    <t>Heena Imam</t>
  </si>
  <si>
    <t>St Xavier's University, Kolkata (B.Com Day Shift Hons)</t>
  </si>
  <si>
    <t>Syed Rizvi</t>
  </si>
  <si>
    <t>Dr MGR Educational and Research Institute, Chennai (B.Tech Electrical and Electronics Engineering)</t>
  </si>
  <si>
    <t>Aditya Pandey</t>
  </si>
  <si>
    <t>Prince Yadav</t>
  </si>
  <si>
    <t>Rajiv Gandhi University of Knowledge Technologies, RK Valley Campus, Kadapa (B.Tech Mechanical Engineering Integrated)</t>
  </si>
  <si>
    <t>Priyesh Kumar Singh</t>
  </si>
  <si>
    <t>28th Feb 2025</t>
  </si>
  <si>
    <t>MohdC10</t>
  </si>
  <si>
    <t>Kamala Nehru College, Delhi (BA Political Science Hons)</t>
  </si>
  <si>
    <t>Anshika Upadhyay</t>
  </si>
  <si>
    <t xml:space="preserve"> irrelevant Content </t>
  </si>
  <si>
    <t xml:space="preserve">RanjanC10 </t>
  </si>
  <si>
    <t>Walchand College of Engineering, Sangli (B.Tech Civil Engineering)</t>
  </si>
  <si>
    <t>Rohit</t>
  </si>
  <si>
    <t>Bipul Gourav</t>
  </si>
  <si>
    <t>DhruvC05</t>
  </si>
  <si>
    <t>St Xavier's College, Ahmedabad (BA English)</t>
  </si>
  <si>
    <t>patel dhruv</t>
  </si>
  <si>
    <t>Indra Patel</t>
  </si>
  <si>
    <t>ShikhaC07</t>
  </si>
  <si>
    <t>PVGs College of Engineering and Technology and GK Pate Wani Institute of Management, Pune (BE Computer Engineering)</t>
  </si>
  <si>
    <t>Aditi</t>
  </si>
  <si>
    <t xml:space="preserve"> RanjanaC05  </t>
  </si>
  <si>
    <t>Rajarshi Shahu College, Latur (B.Com Accounts and Finance Hons with Research)</t>
  </si>
  <si>
    <t>Ranjana Arora</t>
  </si>
  <si>
    <t>1st March 2025</t>
  </si>
  <si>
    <t xml:space="preserve">ChetanC11 </t>
  </si>
  <si>
    <t>Sagar Institute of Research Technology and Science, Bhopal (B.Tech Computer Science and Engineering)</t>
  </si>
  <si>
    <t>Chetan mohane</t>
  </si>
  <si>
    <t>Deatils Mismachted</t>
  </si>
  <si>
    <t>The NorthCap University, Gurgaon (BBA)</t>
  </si>
  <si>
    <t>2nd March 2025</t>
  </si>
  <si>
    <t>Ashok M</t>
  </si>
  <si>
    <t>Aadhi S</t>
  </si>
  <si>
    <t>Ajay</t>
  </si>
  <si>
    <t>nandha R</t>
  </si>
  <si>
    <t>Vijay M</t>
  </si>
  <si>
    <t>Kowshik</t>
  </si>
  <si>
    <t>Arun</t>
  </si>
  <si>
    <t>Balaji S</t>
  </si>
  <si>
    <t>Pragadesh Vijayaragavan</t>
  </si>
  <si>
    <t>Arvind</t>
  </si>
  <si>
    <t>Rudrapur Institute of Technology, Rudrapur (Diploma in Civil Engineering)</t>
  </si>
  <si>
    <t>rohit</t>
  </si>
  <si>
    <t>3rd March 2025</t>
  </si>
  <si>
    <t>Hansraj College, Delhi (BA)</t>
  </si>
  <si>
    <t>Pragati Goutam</t>
  </si>
  <si>
    <t>Sourav Sharma</t>
  </si>
  <si>
    <t>Hansraj College, Delhi (BA Physical Education and Hindi)</t>
  </si>
  <si>
    <t>Prince Ghosh</t>
  </si>
  <si>
    <t>saniya</t>
  </si>
  <si>
    <t>Similar Title/ Reviewed on behlaf of someone</t>
  </si>
  <si>
    <t>Lingaya's Vidyapeeth, Faridabad (MBA)</t>
  </si>
  <si>
    <t>Simran Verma</t>
  </si>
  <si>
    <t>Karunakaran C</t>
  </si>
  <si>
    <t>Latha K</t>
  </si>
  <si>
    <t>Gomathi S</t>
  </si>
  <si>
    <t>Rajeshwari P</t>
  </si>
  <si>
    <t>Senthil Kumar G</t>
  </si>
  <si>
    <t>SreelakshmiC05</t>
  </si>
  <si>
    <t>4th March 2025</t>
  </si>
  <si>
    <t xml:space="preserve">ShikhaC07 </t>
  </si>
  <si>
    <t>Miranda House, Delhi (B.Sc Botany Hons)</t>
  </si>
  <si>
    <t>Krishna</t>
  </si>
  <si>
    <t>Hansraj College, Delhi (BA Economics and History)</t>
  </si>
  <si>
    <t>Akshit Singh</t>
  </si>
  <si>
    <t>Hansraj College, Delhi (BA Economics Hons)</t>
  </si>
  <si>
    <t>Jagriti Patel</t>
  </si>
  <si>
    <t>Hansraj College, Delhi (BA English Hons)</t>
  </si>
  <si>
    <t>Nikita Gupta</t>
  </si>
  <si>
    <t>Hansraj College, Delhi (BA History Hons)</t>
  </si>
  <si>
    <t>Pranshi Sant</t>
  </si>
  <si>
    <t>Hansraj College, Delhi (BA Sanskrit and Philosophy)</t>
  </si>
  <si>
    <t>khushi</t>
  </si>
  <si>
    <t>Hansraj College, Delhi (BA Sanskrit Hons)</t>
  </si>
  <si>
    <t>Nidhi pande</t>
  </si>
  <si>
    <t xml:space="preserve">Prarthanac97 </t>
  </si>
  <si>
    <t>Noida International University, Greater Noida (B.Sc Biotechnology Hons)</t>
  </si>
  <si>
    <t>Adhiraj</t>
  </si>
  <si>
    <t xml:space="preserve">UditC12 </t>
  </si>
  <si>
    <t>Kanchan Kangal</t>
  </si>
  <si>
    <t>Dharun S</t>
  </si>
  <si>
    <t>Mavaneedham P</t>
  </si>
  <si>
    <t>Vinova S</t>
  </si>
  <si>
    <t>5th March 2025</t>
  </si>
  <si>
    <t xml:space="preserve">RayanollaC12 </t>
  </si>
  <si>
    <t>St Anns College for Women, Hyderabad (B.Com)</t>
  </si>
  <si>
    <t>Sara Nakshatra goud</t>
  </si>
  <si>
    <t>Narayana Engineering and Technical Campus, Hayathnagar (M.Tech Computer Science and Engineering)</t>
  </si>
  <si>
    <t>Shekar</t>
  </si>
  <si>
    <t>Rayanolla Sharath</t>
  </si>
  <si>
    <t>ShorTrek</t>
  </si>
  <si>
    <t>Ramjas College, Delhi (B.Sc Botany Hons)</t>
  </si>
  <si>
    <t>Abel The legend tesfaye</t>
  </si>
  <si>
    <t>Kirori Mal College, Delhi (BA English Hons)</t>
  </si>
  <si>
    <t>Apratim Vatsal</t>
  </si>
  <si>
    <t>PalackC12</t>
  </si>
  <si>
    <t>Vallabh Government College, Mandi (B.Sc)</t>
  </si>
  <si>
    <t>Palavi Thakur</t>
  </si>
  <si>
    <t>6th March 2025</t>
  </si>
  <si>
    <t>RayanollaC12</t>
  </si>
  <si>
    <t>St Anns College for Women, Hyderabad (B.Sc-Mathematics, Physics and Computer Science)</t>
  </si>
  <si>
    <t>Snehalika</t>
  </si>
  <si>
    <t xml:space="preserve">VishuGoyalC08 </t>
  </si>
  <si>
    <t>Harman</t>
  </si>
  <si>
    <t>Kartik Bhatia</t>
  </si>
  <si>
    <t>7th March 2025</t>
  </si>
  <si>
    <t xml:space="preserve">LAKSHC12 </t>
  </si>
  <si>
    <t>Jai Hind College, Mumbai (B.Com Financial Markets)</t>
  </si>
  <si>
    <t>swara rane</t>
  </si>
  <si>
    <t>Revati Bansode</t>
  </si>
  <si>
    <t>Naruto Uzumaki</t>
  </si>
  <si>
    <t>Daniya Khan</t>
  </si>
  <si>
    <t>Rishitaa Chawla</t>
  </si>
  <si>
    <t>Jai Hind College, Mumbai (B.Sc Biotechnology Self Finance)</t>
  </si>
  <si>
    <t>Ramya Vatsa</t>
  </si>
  <si>
    <t>Jai Hind College, Mumbai (B.Sc Information Technology Self Finance)</t>
  </si>
  <si>
    <t>Qainan Kudrati</t>
  </si>
  <si>
    <t>Jai Hind College, Mumbai (B.Sc)</t>
  </si>
  <si>
    <t>Ansari roha</t>
  </si>
  <si>
    <t>Sahil Deorukhkar</t>
  </si>
  <si>
    <t>Jai Hind College, Mumbai (B.Sc Computer Science)</t>
  </si>
  <si>
    <t>SOHAM ARADHYE</t>
  </si>
  <si>
    <t xml:space="preserve"> RayanollaC12 </t>
  </si>
  <si>
    <t>St Anns College for Women, Hyderabad (B.Sc-Mathematics, Statistics and Computer Science)</t>
  </si>
  <si>
    <t>M. Ratna Kumari</t>
  </si>
  <si>
    <t>St Anns College for Women, Hyderabad (B.Sc-Genetics, Chemistry and Microbiology)</t>
  </si>
  <si>
    <t>R Niharika Yadav</t>
  </si>
  <si>
    <t>Divya Gangula</t>
  </si>
  <si>
    <t>Jessica Anthamgari</t>
  </si>
  <si>
    <t>Jai Hind College, Mumbai (BA)</t>
  </si>
  <si>
    <t>Vanshita Choudhary</t>
  </si>
  <si>
    <t>manas nandwani</t>
  </si>
  <si>
    <t>Ramaiah Institute of Technology, Bangalore (BE Civil Engineering)</t>
  </si>
  <si>
    <t>Varun Reddi</t>
  </si>
  <si>
    <t>Sunakshi</t>
  </si>
  <si>
    <t>RV College of Engineering, Bangalore (BE Civil Engineering)</t>
  </si>
  <si>
    <t>BMS College of Engineering, Bangalore (BE Mechanical Engineering)</t>
  </si>
  <si>
    <t>Arun Reddi</t>
  </si>
  <si>
    <t>Nizam College, Hyderabad (BA-History, Sociology and Geography)</t>
  </si>
  <si>
    <t>Sakshi Mathur</t>
  </si>
  <si>
    <t>Mathi R</t>
  </si>
  <si>
    <t>Giri A</t>
  </si>
  <si>
    <t>Rajkumar S</t>
  </si>
  <si>
    <t>Nithish R</t>
  </si>
  <si>
    <t>Sreejith M</t>
  </si>
  <si>
    <t>Vinoth E</t>
  </si>
  <si>
    <t>Hanish S</t>
  </si>
  <si>
    <t>Ravi K</t>
  </si>
  <si>
    <t>SurajC11</t>
  </si>
  <si>
    <t>Dewan Institute of Management Studies, Partapur (BCA)</t>
  </si>
  <si>
    <t>Sanju kashyap</t>
  </si>
  <si>
    <t>7th March 2026</t>
  </si>
  <si>
    <t>Bharat Institute of Technology, Meerut (B.Tech Computer Science and Engineering)</t>
  </si>
  <si>
    <t>Aashish choudhary</t>
  </si>
  <si>
    <t>8th March 2025</t>
  </si>
  <si>
    <t xml:space="preserve">AryanC14 </t>
  </si>
  <si>
    <t>Indian Institute of Technology Jodhpur (M.Tech Data and Computational Science)</t>
  </si>
  <si>
    <t>time Pass</t>
  </si>
  <si>
    <t>Verification violation</t>
  </si>
  <si>
    <t>BMS College of Engineering, Bangalore (BE Electronics and Telecommunication Engineering)</t>
  </si>
  <si>
    <t>Michael Jonathan A</t>
  </si>
  <si>
    <t>BNM Institute of Technology, Bangalore (BE Mechanical Engineering)</t>
  </si>
  <si>
    <t xml:space="preserve">LakshmiC13 </t>
  </si>
  <si>
    <t>Pittu ramsai</t>
  </si>
  <si>
    <t xml:space="preserve">Invalid Title </t>
  </si>
  <si>
    <t>Lokesh Rekulara</t>
  </si>
  <si>
    <t>Seshadri Rao Gudlavalleru Engineering College, Gudlavalleru (B.Tech Information Technology)</t>
  </si>
  <si>
    <t>Navaneeth</t>
  </si>
  <si>
    <t xml:space="preserve">SatyajeetC14 </t>
  </si>
  <si>
    <t>Central University of Punjab, Bathinda (BA LLB Hons)</t>
  </si>
  <si>
    <t>Vishweshwar Bhardwaj</t>
  </si>
  <si>
    <t xml:space="preserve">SaniyaC12 </t>
  </si>
  <si>
    <t>Maulana Mukhtar Ahmad Nadvi Technical Campus, Nashik (Diploma in Computer Engineering)</t>
  </si>
  <si>
    <t>Alam K</t>
  </si>
  <si>
    <t>details mismachted</t>
  </si>
  <si>
    <t>KJ Somaiya College of Arts Commerce and Science, Kopargaon (BA)</t>
  </si>
  <si>
    <t>Saniya SALIM Khatri</t>
  </si>
  <si>
    <t xml:space="preserve">AdityaC13 </t>
  </si>
  <si>
    <t>NMAM Institute of Technology, Karkala Taluk (B.Tech Computer Science and Engineering)</t>
  </si>
  <si>
    <t>Tarun Shankar U</t>
  </si>
  <si>
    <t>Udit</t>
  </si>
  <si>
    <t>Devi Ahilya Vishwavidyalaya, Indore (BA Journalism)</t>
  </si>
  <si>
    <t>Rishi Kumar</t>
  </si>
  <si>
    <t>Bhopal Degree College, Bhopal (BA)</t>
  </si>
  <si>
    <t>Rajiv Chauhan</t>
  </si>
  <si>
    <t>Krishna Singh</t>
  </si>
  <si>
    <t>Raju Yadav</t>
  </si>
  <si>
    <t xml:space="preserve">RuturajC06 </t>
  </si>
  <si>
    <t>Pimpri Chinchwad College of Engineering, Pune (B.Tech Civil Engineering)</t>
  </si>
  <si>
    <t>Vedant Kumbhar</t>
  </si>
  <si>
    <t>9th March 2025</t>
  </si>
  <si>
    <t>Ramniranjan Jhunjhunwala College, Mumbai (BA)</t>
  </si>
  <si>
    <t>Juveriya khan</t>
  </si>
  <si>
    <t>K J Somaiya College of Arts and Commerce, Mumbai (BA)</t>
  </si>
  <si>
    <t>Siddh Shah</t>
  </si>
  <si>
    <t>MH Saboo Siddik Polytechnic, Mumbai (Diploma in Computer Engineering)</t>
  </si>
  <si>
    <t>Maharashtra College of Arts Science and Commerce, Mumbai (B.Com)</t>
  </si>
  <si>
    <t>Ansari Mariam Bi Ali Imran</t>
  </si>
  <si>
    <t>10th March 2025</t>
  </si>
  <si>
    <t xml:space="preserve">MohdC10 </t>
  </si>
  <si>
    <t>Indira Gandhi Delhi Technical University for Women, Delhi (B.Tech Information Technology)</t>
  </si>
  <si>
    <t>anshi.ps06</t>
  </si>
  <si>
    <t>Pragati Jha</t>
  </si>
  <si>
    <t>Palak Arora</t>
  </si>
  <si>
    <t>Vijeta Kanwar</t>
  </si>
  <si>
    <t>sharmavarnika34</t>
  </si>
  <si>
    <t>Navyugta Bist</t>
  </si>
  <si>
    <t>Sir Vithaldas Thackersey College of Home Science, Santacruz (B.Sc Food Nutrition and Dietetics)</t>
  </si>
  <si>
    <t>Afshin Sayyed</t>
  </si>
  <si>
    <t xml:space="preserve">VaibhaviC07 </t>
  </si>
  <si>
    <t>Hansraj College, Delhi (M.Com)</t>
  </si>
  <si>
    <t>Babbli Rastogi</t>
  </si>
  <si>
    <t>Lakshmibai College, Delhi (B.Com Hons)</t>
  </si>
  <si>
    <t>Atma Ram Sanatan Dharma College, New Delhi (MA English)</t>
  </si>
  <si>
    <t>Sangam rastogi</t>
  </si>
  <si>
    <t>Mata Sundri College for Women, New Delhi (BA English Hons)</t>
  </si>
  <si>
    <t>Deshbandhu College, New Delhi (M.Com)</t>
  </si>
  <si>
    <t>Sonika Rastogi</t>
  </si>
  <si>
    <t>Atul Rastogi</t>
  </si>
  <si>
    <t>Zakir Husain Delhi College, Delhi (B.Com)</t>
  </si>
  <si>
    <t>Lakshmibai College, Delhi (B.Com)</t>
  </si>
  <si>
    <t xml:space="preserve">yasC15 </t>
  </si>
  <si>
    <t>Ayesha</t>
  </si>
  <si>
    <t xml:space="preserve">No Title </t>
  </si>
  <si>
    <t>Suhani Jain</t>
  </si>
  <si>
    <t xml:space="preserve">VarunC15 </t>
  </si>
  <si>
    <t>Shree Swaminarayan College of Computer Science, Bhavnagar (BCA)</t>
  </si>
  <si>
    <t>Varun Vadhavani</t>
  </si>
  <si>
    <t>IshitaC12</t>
  </si>
  <si>
    <t>Moksh Kumar</t>
  </si>
  <si>
    <t>AdityaC13</t>
  </si>
  <si>
    <t>Deen Dayal Upadhyaya Gorakhpur University, Gorakhpur (BBA)</t>
  </si>
  <si>
    <t>Mohan singh</t>
  </si>
  <si>
    <t>Chandra Mohan</t>
  </si>
  <si>
    <t>Rudra Mishra</t>
  </si>
  <si>
    <t>Sarthak</t>
  </si>
  <si>
    <t>Deen Dayal Upadhyaya Gorakhpur University, Gorakhpur (MBA)</t>
  </si>
  <si>
    <t>Ambrish Dubey</t>
  </si>
  <si>
    <t>Divya paswan</t>
  </si>
  <si>
    <t>11th March 2025</t>
  </si>
  <si>
    <t>VishuGoyalC08</t>
  </si>
  <si>
    <t>Irrelevant Content/ AI copied content</t>
  </si>
  <si>
    <t>rabbika azmi</t>
  </si>
  <si>
    <t>palak mahajan</t>
  </si>
  <si>
    <t>Namrata Sahu</t>
  </si>
  <si>
    <t xml:space="preserve">OjasC16 </t>
  </si>
  <si>
    <t>Prerna Sagar</t>
  </si>
  <si>
    <t xml:space="preserve">SamayC16 </t>
  </si>
  <si>
    <t>S K</t>
  </si>
  <si>
    <t>Indus University, Ahmedabad (Ph.D Design Management)</t>
  </si>
  <si>
    <t>Gopi patel</t>
  </si>
  <si>
    <t>Sabarmati University, Ahmedabad (MA English)</t>
  </si>
  <si>
    <t>Ashok Patel</t>
  </si>
  <si>
    <t>Sabarmati University, Ahmedabad (MBA)</t>
  </si>
  <si>
    <t>Ayush Jain</t>
  </si>
  <si>
    <t>12th March 2025</t>
  </si>
  <si>
    <t>K J Somaiya College of Arts and Commerce, Mumbai (B.Com)</t>
  </si>
  <si>
    <t>Satyam Gaud</t>
  </si>
  <si>
    <t>Thakur College of Science and Commerce, Mumbai (B.Com)</t>
  </si>
  <si>
    <t>Meeta</t>
  </si>
  <si>
    <t xml:space="preserve">ParulC16 </t>
  </si>
  <si>
    <t>School of Engineering and Technology, Manav Rachna International Institute of Research and Studies, Faridabad (B.Tech Computer Science and Engineering)</t>
  </si>
  <si>
    <t>dev Carnit</t>
  </si>
  <si>
    <t>Pradeep Kumar</t>
  </si>
  <si>
    <t>Mukesh Bhaiya</t>
  </si>
  <si>
    <t xml:space="preserve"> PULLAGURAC16 </t>
  </si>
  <si>
    <t>Sahithya Alladi</t>
  </si>
  <si>
    <t>Rajiv Gandhi University of Knowledge Technologies, Ongole Campus (B.Tech Computer Science and Engineering Integrated)</t>
  </si>
  <si>
    <t>Greeshma Jagarapu</t>
  </si>
  <si>
    <t>Rajiv Gandhi University of Knowledge Technologies, Ongole Campus (B.Tech Electronics and Communications Engineering Integrated)</t>
  </si>
  <si>
    <t>thanvi thaticharla</t>
  </si>
  <si>
    <t>PITCHUKA ANJANI SIDDARTHA</t>
  </si>
  <si>
    <t>Leela Sathish kumar</t>
  </si>
  <si>
    <t>Naomivictoriarani</t>
  </si>
  <si>
    <t>Mani kishore</t>
  </si>
  <si>
    <t>sriramgaddam8823</t>
  </si>
  <si>
    <t>Aswini.Y</t>
  </si>
  <si>
    <t>Sowmya</t>
  </si>
  <si>
    <t xml:space="preserve"> HASINIC16 </t>
  </si>
  <si>
    <t>Stanley College of Engineering and Technology for Women, Hyderabad (BE Artificial Intelligence and Data Science)</t>
  </si>
  <si>
    <t>Vyshnavi</t>
  </si>
  <si>
    <t>Tapasya College of Commerce and Management, Hyderabad (BBA)</t>
  </si>
  <si>
    <t>HASINI RATHNAVATH</t>
  </si>
  <si>
    <t>Similar Title/ Reviewed on behlaf of someone/ AI generated Content</t>
  </si>
  <si>
    <t xml:space="preserve"> AkshuC16 </t>
  </si>
  <si>
    <t>Indira Gandhi National Open University, New Delhi (BA)</t>
  </si>
  <si>
    <t>Tractor</t>
  </si>
  <si>
    <t xml:space="preserve">  SamayC16 </t>
  </si>
  <si>
    <t>All India Institute of Medical Sciences New Delhi (MBBS)</t>
  </si>
  <si>
    <t>Naitik lal</t>
  </si>
  <si>
    <t>Indus University, Ahmedabad (Ph.D English)</t>
  </si>
  <si>
    <t>Priyank kaila</t>
  </si>
  <si>
    <t>Sabarmati University, Ahmedabad (MA History)</t>
  </si>
  <si>
    <t>Indus University, Ahmedabad (Ph.D Commerce)</t>
  </si>
  <si>
    <t>Arti patel</t>
  </si>
  <si>
    <t>Indus University, Ahmedabad (Ph.D Business Strategy)</t>
  </si>
  <si>
    <t>Ayush panchal</t>
  </si>
  <si>
    <t>Indus University, Ahmedabad (Ph.D Tourism and Hospitality)</t>
  </si>
  <si>
    <t>Ayush jain</t>
  </si>
  <si>
    <t>Indus University, Ahmedabad (Ph.D Retail Management)</t>
  </si>
  <si>
    <t>Indus University, Ahmedabad (Ph.D Finance)</t>
  </si>
  <si>
    <t>13th March 2025</t>
  </si>
  <si>
    <t xml:space="preserve">PULLAGURAC16 </t>
  </si>
  <si>
    <t>Bhaskar Babu</t>
  </si>
  <si>
    <t>hemalatha saridi</t>
  </si>
  <si>
    <t>Similar Title/ Reviewed on behalf of someone</t>
  </si>
  <si>
    <t>Rajiv Gandhi University of Knowledge Technologies, Ongole Campus (B.Tech Civil Engineering Integrated)</t>
  </si>
  <si>
    <t>Varalakshmi Batthala</t>
  </si>
  <si>
    <t>I Guru Pravalika</t>
  </si>
  <si>
    <t>Yamparala Jeevitha</t>
  </si>
  <si>
    <t>Jahnavi Pusapati</t>
  </si>
  <si>
    <t>jakkava gayathri</t>
  </si>
  <si>
    <t>Ande Hema Sri Satya Latha</t>
  </si>
  <si>
    <t xml:space="preserve">SanyamC16 </t>
  </si>
  <si>
    <t>Sri Aurobindo College Evening, New Delhi (BA History and Political Science)</t>
  </si>
  <si>
    <t>Adarsh Srivastav</t>
  </si>
  <si>
    <t>14th March 2025</t>
  </si>
  <si>
    <t>Shaheed Bhagat Singh College, Delhi (BA Political Science Hons)</t>
  </si>
  <si>
    <t>Piyush chaudhary</t>
  </si>
  <si>
    <t>AI Gnerated Content</t>
  </si>
  <si>
    <t>15th March 2025</t>
  </si>
  <si>
    <t>Soham Patel</t>
  </si>
  <si>
    <t>Silver Oak Institute of Management, Ahmedabad (MBA)</t>
  </si>
  <si>
    <t>Parul Institute of Management and Research, Vadodara (BBA Business Analytics)</t>
  </si>
  <si>
    <t>Silver Oak University, Ahmedabad (Ph.D Management)</t>
  </si>
  <si>
    <t>Jignesh Patel</t>
  </si>
  <si>
    <t>Indian Institute of Management Ahmedabad (MBA)</t>
  </si>
  <si>
    <t>NandaniC16</t>
  </si>
  <si>
    <t>Jaspreet Kaur</t>
  </si>
  <si>
    <t>16th March 2025</t>
  </si>
  <si>
    <t xml:space="preserve">KC13 </t>
  </si>
  <si>
    <t>Saveetha Engineering College, Chennai (B.Tech Information Technology)</t>
  </si>
  <si>
    <t>Haritha K</t>
  </si>
  <si>
    <t>Deekshitha</t>
  </si>
  <si>
    <t>Ghanshyam Koli</t>
  </si>
  <si>
    <t>Daulat Ram College, Delhi (BA Hindi Hons)</t>
  </si>
  <si>
    <t>Bhawna Mahour</t>
  </si>
  <si>
    <t>17th March 2025</t>
  </si>
  <si>
    <t>Ayush Vasu Sharma</t>
  </si>
  <si>
    <t>Sri Aurobindo College, New Delhi (B.Com)</t>
  </si>
  <si>
    <t>Daksh Maheshwari</t>
  </si>
  <si>
    <t>18th March 2025</t>
  </si>
  <si>
    <t xml:space="preserve">NiharikaC17 </t>
  </si>
  <si>
    <t>NEHAA</t>
  </si>
  <si>
    <t>Vedant Lohia</t>
  </si>
  <si>
    <t>Pulak Aggarwal</t>
  </si>
  <si>
    <t>Zakir Husain Delhi College, Delhi (BA)</t>
  </si>
  <si>
    <t>Shilpi Verma</t>
  </si>
  <si>
    <t>Rajdhani College, New Delhi (BA Economics Hons)</t>
  </si>
  <si>
    <t>Mithas Jain</t>
  </si>
  <si>
    <t>Vivekananda College, Delhi (B.Com)</t>
  </si>
  <si>
    <t>Pranjavi Shukla</t>
  </si>
  <si>
    <t>Christ University, Ghaziabad Campus (BA LLB Hons)</t>
  </si>
  <si>
    <t>Ruhi Verma</t>
  </si>
  <si>
    <t xml:space="preserve"> KajalC17 </t>
  </si>
  <si>
    <t>Acropolis Institute of Technology and Research, Indore (MBA)</t>
  </si>
  <si>
    <t>AB CD</t>
  </si>
  <si>
    <t xml:space="preserve">PolimatiC17 </t>
  </si>
  <si>
    <t>Polimati Siri vardhani</t>
  </si>
  <si>
    <t>Shri Vishnu Engineering College for Women, Bhimavaram (B.Tech Computer Science and Engineering)</t>
  </si>
  <si>
    <t>19th March 2025</t>
  </si>
  <si>
    <t xml:space="preserve">AnujaC17 </t>
  </si>
  <si>
    <t>GLS University, Ahmedabad (MBA)</t>
  </si>
  <si>
    <t>Kabir singh Chauhan</t>
  </si>
  <si>
    <t xml:space="preserve">AsmiC13 </t>
  </si>
  <si>
    <t>K R Mangalam University, Gurugram (BBA International Business)</t>
  </si>
  <si>
    <t>Mohit Gulia</t>
  </si>
  <si>
    <t>Vedaan Sharma</t>
  </si>
  <si>
    <t>K R Mangalam University, Gurugram (BBA Human Resource)</t>
  </si>
  <si>
    <t>Vedika Raghav</t>
  </si>
  <si>
    <t xml:space="preserve"> VishuGoyalC08 </t>
  </si>
  <si>
    <t>GLS University, Ahmedabad (B.Com)</t>
  </si>
  <si>
    <t>Anuja Singh</t>
  </si>
  <si>
    <t xml:space="preserve">VeerellaC15 </t>
  </si>
  <si>
    <t>Koneru Lakshmaiah Education Foundation, Guntur (B.Com Computer Applications)</t>
  </si>
  <si>
    <t>Dadi Hemanth Anjani Kumar</t>
  </si>
  <si>
    <t>Government Siddhartha Medical College, Vijayawada (MBBS)</t>
  </si>
  <si>
    <t>Vivek</t>
  </si>
  <si>
    <t>Sanskriti University, Mathura (B.Sc Agriculture Hons)</t>
  </si>
  <si>
    <t>Ravi</t>
  </si>
  <si>
    <t xml:space="preserve"> ISHITAC12 </t>
  </si>
  <si>
    <t>gkhushal005</t>
  </si>
  <si>
    <t>Anushka Gupta</t>
  </si>
  <si>
    <t>sarthak</t>
  </si>
  <si>
    <t>Anju khanna</t>
  </si>
  <si>
    <t>Kritti yadav</t>
  </si>
  <si>
    <t>Kavya Verma</t>
  </si>
  <si>
    <t>Indian Institute of Technology Delhi (B.Tech Electrical Engineering)</t>
  </si>
  <si>
    <t>Vishv Singh</t>
  </si>
  <si>
    <t xml:space="preserve"> TejuC18 </t>
  </si>
  <si>
    <t>Bhivrabai Sawant Polytechnic, Pune (Diploma in Computer Engineering)</t>
  </si>
  <si>
    <t>Awari Tejaswi Dilip</t>
  </si>
  <si>
    <t>Hon Balasaheb Jadhav Arts Commerce and Science College, Junnar (M.Com)</t>
  </si>
  <si>
    <t>Akash hadawale</t>
  </si>
  <si>
    <t>Hon Balasaheb Jadhav Arts Commerce and Science College, Junnar (B.Com)</t>
  </si>
  <si>
    <t>20th March 2025</t>
  </si>
  <si>
    <t>Gandrala Bhanu</t>
  </si>
  <si>
    <t>Shaik dilshan</t>
  </si>
  <si>
    <t>Yalnati Aswini</t>
  </si>
  <si>
    <t xml:space="preserve">KajalC17 </t>
  </si>
  <si>
    <t>IPS Academy, College of Pharmacy, Indore (M.Pharma Pharmaceutics)</t>
  </si>
  <si>
    <t>Satendra</t>
  </si>
  <si>
    <t>St Paul Institute of Professional Studies, Indore (B.Com Hons)</t>
  </si>
  <si>
    <t>Chinki</t>
  </si>
  <si>
    <t>Manvi Pawar</t>
  </si>
  <si>
    <t>Tanisha Dagaria</t>
  </si>
  <si>
    <t>Neha choudhary</t>
  </si>
  <si>
    <t>Chetna Chouhan</t>
  </si>
  <si>
    <t>Sonal Kumari</t>
  </si>
  <si>
    <t>Alifya nawab</t>
  </si>
  <si>
    <t>Acropolis Faculty of Management and Research, Indore (MBA)</t>
  </si>
  <si>
    <t>Aryaman</t>
  </si>
  <si>
    <t>Devagya Kansal</t>
  </si>
  <si>
    <t>Sarvagya Kansal</t>
  </si>
  <si>
    <t>BHUMI PARIHAR</t>
  </si>
  <si>
    <t>Rajveer</t>
  </si>
  <si>
    <t>Himesh</t>
  </si>
  <si>
    <t>Tanisha Yadav</t>
  </si>
  <si>
    <t>Swati shah</t>
  </si>
  <si>
    <t>aashvi vira</t>
  </si>
  <si>
    <t>Shruti vishvakarma</t>
  </si>
  <si>
    <t xml:space="preserve"> TC19 </t>
  </si>
  <si>
    <t>Siksha 'O' Anusandhan, Bhubaneswar (B.Tech Computer Science and Information Technology)</t>
  </si>
  <si>
    <t>Swayam Tripathy</t>
  </si>
  <si>
    <t>Siksha 'O' Anusandhan, Bhubaneswar (B.Tech Computer Science and Engineering)</t>
  </si>
  <si>
    <t>Dhruv</t>
  </si>
  <si>
    <t xml:space="preserve"> TonmoiC13 </t>
  </si>
  <si>
    <t>Darrang College, Tezpur (BA)</t>
  </si>
  <si>
    <t>LIZa Kakaty</t>
  </si>
  <si>
    <t xml:space="preserve">NITINC17 </t>
  </si>
  <si>
    <t>Government Engineering College, Raipur (BE Electronics and Telecommunications Engineering)</t>
  </si>
  <si>
    <t>Gaurav Singh</t>
  </si>
  <si>
    <t>Government Engineering College, Raipur (BE Mechanical Engineering)</t>
  </si>
  <si>
    <t>Tulseedas navre</t>
  </si>
  <si>
    <t>Government Digvijay Autonomous College, Rajnandgaon (B.Sc)</t>
  </si>
  <si>
    <t>SнᎥᦔɪɴ ɢᴀᴍɪɴɢ</t>
  </si>
  <si>
    <t>Government Rani Avanti Bai Lodhi College, Ghumka (BA)</t>
  </si>
  <si>
    <t>Dikesh Kumar</t>
  </si>
  <si>
    <t>Government Rani Avanti Bai Lodhi College, Ghumka (B.Sc Maths Group)</t>
  </si>
  <si>
    <t>Tarun Kumar</t>
  </si>
  <si>
    <t xml:space="preserve"> IshanC19 </t>
  </si>
  <si>
    <t>School of Computer Science, UPES, Dehradun (B.Tech CSE Hons with Specialization in Cloud Computing and Virtualization Technology)</t>
  </si>
  <si>
    <t>Devansh Tomar</t>
  </si>
  <si>
    <t xml:space="preserve"> ParulC16 </t>
  </si>
  <si>
    <t>Amity School of Fine Arts, Noida (MFA Applied Arts)</t>
  </si>
  <si>
    <t>rishab</t>
  </si>
  <si>
    <t xml:space="preserve"> AsmiC13 </t>
  </si>
  <si>
    <t>Maharaja Surajmal Institute, New Delhi (BBA)</t>
  </si>
  <si>
    <t>21st March 2025</t>
  </si>
  <si>
    <t xml:space="preserve">MahathyC19 </t>
  </si>
  <si>
    <t>Ponnaiyah Ramajayam Institute of Science and Technology, Thanjavur (M.Sc Microbiology)</t>
  </si>
  <si>
    <t>Lohitha Ramya</t>
  </si>
  <si>
    <t>Deatils Miamachted</t>
  </si>
  <si>
    <t>Amrita School of Biotechnology, Amritapuri (B.Sc Biotechnology)</t>
  </si>
  <si>
    <t>Infamous King</t>
  </si>
  <si>
    <t xml:space="preserve">AnushkaC17 </t>
  </si>
  <si>
    <t>GL Bajaj Institute of Technology and Management, Greater Noida (B.Tech Computer Science and Engineering)</t>
  </si>
  <si>
    <t>Aditya Junior</t>
  </si>
  <si>
    <t>22nd March 2025</t>
  </si>
  <si>
    <t>NikitaC19</t>
  </si>
  <si>
    <t>Lala Lajpatrai College of Commerce and Economics, Mumbai (B.Com)</t>
  </si>
  <si>
    <t>Niyati Santosh Singh</t>
  </si>
  <si>
    <t xml:space="preserve">punyaC20 </t>
  </si>
  <si>
    <t>Maharaja Agrasen Institute of Management Studies, Delhi (BA Journalism and Mass Communication)</t>
  </si>
  <si>
    <t xml:space="preserve">RAJAVARAPUC20 </t>
  </si>
  <si>
    <t>Dr B R Ambedkar National Institute of Technology Jalandhar (B.Tech Mechanical Engineering)</t>
  </si>
  <si>
    <t>Darkx</t>
  </si>
  <si>
    <t>Dr B R Ambedkar National Institute of Technology Jalandhar (B.Tech Civil Engineering)</t>
  </si>
  <si>
    <t>Abhay Kumar Singh</t>
  </si>
  <si>
    <t xml:space="preserve">Keerthi.DC18 </t>
  </si>
  <si>
    <t>Mahendra Institute of Technology, Tiruchengode (B.Tech Artificial Intelligence and Machine Learning)</t>
  </si>
  <si>
    <t>MARABATHINI VENKATESWARLU</t>
  </si>
  <si>
    <t>Kumba.gopi</t>
  </si>
  <si>
    <t>23rd March 2025</t>
  </si>
  <si>
    <t xml:space="preserve"> vamsiC20 </t>
  </si>
  <si>
    <t>Rahul Karanam</t>
  </si>
  <si>
    <t>Sasi Institute of Technology and Engineering, Tadepalligudem (B.Tech Computer Science and Engineering)</t>
  </si>
  <si>
    <t>vamsi merla</t>
  </si>
  <si>
    <t xml:space="preserve"> NikitaC19 </t>
  </si>
  <si>
    <t>KC College of Arts, Commerce and Science, Mumbai (BMS)</t>
  </si>
  <si>
    <t>Ya P</t>
  </si>
  <si>
    <t xml:space="preserve"> kudipudiC20 </t>
  </si>
  <si>
    <t>Aditya College of Engineering and Technology, Surampalem (B.Tech Computer Science and Engineering)</t>
  </si>
  <si>
    <t>dharma teja</t>
  </si>
  <si>
    <t>vijay</t>
  </si>
  <si>
    <t>Madhav Debbata</t>
  </si>
  <si>
    <t>aditya</t>
  </si>
  <si>
    <t>24th March 2025</t>
  </si>
  <si>
    <t xml:space="preserve">PranavC99 </t>
  </si>
  <si>
    <t>Krupanidhi College of Physiotherapy, Bangalore (BPT)</t>
  </si>
  <si>
    <t>shravani surve</t>
  </si>
  <si>
    <t>Vansh Yadav</t>
  </si>
  <si>
    <t>Divya patel</t>
  </si>
  <si>
    <t>Mahi Nigam</t>
  </si>
  <si>
    <t>vaibhav</t>
  </si>
  <si>
    <t>Riya Patel</t>
  </si>
  <si>
    <t>Bhavya sawlani</t>
  </si>
  <si>
    <t>Purnima</t>
  </si>
  <si>
    <t>Mrigshira Tiwari</t>
  </si>
  <si>
    <t>Harsh</t>
  </si>
  <si>
    <t>Abhay Harode</t>
  </si>
  <si>
    <t>Shûbhãm</t>
  </si>
  <si>
    <t xml:space="preserve">MDC20 </t>
  </si>
  <si>
    <t>RSR Rungta College of Engineering and Technology, Bhilai (B.Tech Electrical Engineering)</t>
  </si>
  <si>
    <t>Naresh chauhan</t>
  </si>
  <si>
    <t>Rungta College of Engineering and Technology, Bhilai (B.Tech Computer Science and Engineering)</t>
  </si>
  <si>
    <t>Vikram Singh</t>
  </si>
  <si>
    <t>RSR Rungta College of Engineering and Technology, Bhilai (B.Tech Computer Science Engineering)</t>
  </si>
  <si>
    <t>Aakash Yadav</t>
  </si>
  <si>
    <t>Injamamul Haque</t>
  </si>
  <si>
    <t xml:space="preserve">NikitaC19 </t>
  </si>
  <si>
    <t>St Xaviers College, Mumbai (B.Com)</t>
  </si>
  <si>
    <t>Aditya pawar</t>
  </si>
  <si>
    <t xml:space="preserve">TanpreetC21 </t>
  </si>
  <si>
    <t>Guru Tegh Bahadur Institute of Technology, Delhi (B.Tech Computer Science and Engineering)</t>
  </si>
  <si>
    <t>Abhirup</t>
  </si>
  <si>
    <t>Apollo Institute of Medical Sciences and Research, Hyderabad (MBBS)</t>
  </si>
  <si>
    <t>gaganjeetsingh121</t>
  </si>
  <si>
    <t>Shally narang</t>
  </si>
  <si>
    <t>Parleen Kaur</t>
  </si>
  <si>
    <t>Guru Tegh Bahadur Institute of Technology, Delhi (B.Tech Artificial Intelligence and Machine Learning)</t>
  </si>
  <si>
    <t>Tanpreet</t>
  </si>
  <si>
    <t xml:space="preserve"> VeerellaC15 </t>
  </si>
  <si>
    <t>venkatsumanthgarapati2005</t>
  </si>
  <si>
    <t>Similar Content/ Reviewed on behalf of someone</t>
  </si>
  <si>
    <t>Syed Mohammed Shahid Ali</t>
  </si>
  <si>
    <t>Harshavardha</t>
  </si>
  <si>
    <t>DakshC20</t>
  </si>
  <si>
    <t>Keshav aggaarwal</t>
  </si>
  <si>
    <t>Anubhav</t>
  </si>
  <si>
    <t>25th March 2025</t>
  </si>
  <si>
    <t>DHANRAJ DEWANGAN</t>
  </si>
  <si>
    <t>Amity School of Fine Arts, Noida (MFA Visual Communication)</t>
  </si>
  <si>
    <t>Rishika</t>
  </si>
  <si>
    <t xml:space="preserve">AyushC19 </t>
  </si>
  <si>
    <t>K R Mangalam University, Gurugram (BBA Hons with Research Business Intelligence and Analytics with academic Support of Samatrix and IBM)</t>
  </si>
  <si>
    <t>ayush sharma</t>
  </si>
  <si>
    <t>Zuned Ali khan</t>
  </si>
  <si>
    <t>Aaditya Yadav</t>
  </si>
  <si>
    <t>fearless creep</t>
  </si>
  <si>
    <t>Irrelevant Cotent</t>
  </si>
  <si>
    <t>Kushagra Mehta</t>
  </si>
  <si>
    <t>BHUMIKA SONI</t>
  </si>
  <si>
    <t>Radhika Motwani</t>
  </si>
  <si>
    <t xml:space="preserve">DakshC20 </t>
  </si>
  <si>
    <t>Sathwik Gudivada</t>
  </si>
  <si>
    <t>26th March 2025</t>
  </si>
  <si>
    <t>VAMAN KUMAR</t>
  </si>
  <si>
    <t>Ruchi singh</t>
  </si>
  <si>
    <t>Prabhjyot Surinder</t>
  </si>
  <si>
    <t>KC College of Arts, Commerce and Science, Mumbai (B.Com Financial Markets)</t>
  </si>
  <si>
    <t>Vivek Pandey</t>
  </si>
  <si>
    <t>Kishinchand Chellaram College, Mumbai (B.Com Financial Markets)</t>
  </si>
  <si>
    <t>Ishant Maninathan</t>
  </si>
  <si>
    <t>Kishinchand Chellaram College, Mumbai (B.Com Banking Insurance)</t>
  </si>
  <si>
    <t>Tilak Jha</t>
  </si>
  <si>
    <t>Kishinchand Chellaram College, Mumbai (B.Com Accounting and Finance)</t>
  </si>
  <si>
    <t>Aliya</t>
  </si>
  <si>
    <t xml:space="preserve"> IshitaC12 </t>
  </si>
  <si>
    <t>Motilal Nehru College, New Delhi (B.Com)</t>
  </si>
  <si>
    <t>Pooja Arora</t>
  </si>
  <si>
    <t>Riddhi Rana</t>
  </si>
  <si>
    <t>Geet malhotra</t>
  </si>
  <si>
    <t xml:space="preserve">AkashC20 </t>
  </si>
  <si>
    <t>Sinhgad College of Engineering, Pune (MBA)</t>
  </si>
  <si>
    <t>Amruta patil</t>
  </si>
  <si>
    <t>Piyush patil</t>
  </si>
  <si>
    <t>Sinhgad Institute of Business Administration and Research, Pune (MBA)</t>
  </si>
  <si>
    <t>Ajinkya gaikwad</t>
  </si>
  <si>
    <t xml:space="preserve"> VarunC19 </t>
  </si>
  <si>
    <t>Mulund College of Commerce, Mumbai (BBA)</t>
  </si>
  <si>
    <t>naman bant</t>
  </si>
  <si>
    <t>Anisha</t>
  </si>
  <si>
    <t>27th March 2025</t>
  </si>
  <si>
    <t xml:space="preserve">VarunC19 </t>
  </si>
  <si>
    <t>Shathvika Ravikumar</t>
  </si>
  <si>
    <t>KC College of Arts, Commerce and Science, Mumbai (BA)</t>
  </si>
  <si>
    <t>Anuj Singh</t>
  </si>
  <si>
    <t>Anshika Galani</t>
  </si>
  <si>
    <t>KC College of Arts, Commerce and Science, Mumbai (B.Com Banking and Insurance)</t>
  </si>
  <si>
    <t xml:space="preserve">PulkitC23 </t>
  </si>
  <si>
    <t>School of Open Learning, University of Delhi, Delhi (B.Com)</t>
  </si>
  <si>
    <t>PULKIT PAL</t>
  </si>
  <si>
    <t>28th March 2025</t>
  </si>
  <si>
    <t>Harshit Gond</t>
  </si>
  <si>
    <t>Kishinchand Chellaram College, Mumbai (B.Sc)</t>
  </si>
  <si>
    <t>Riya</t>
  </si>
  <si>
    <t>KC College of Arts, Commerce and Science, Mumbai (B.Sc)</t>
  </si>
  <si>
    <t>Khushbu Suthar</t>
  </si>
  <si>
    <t>Shakti Singh Rathore</t>
  </si>
  <si>
    <t>adityazarapkar650</t>
  </si>
  <si>
    <t>Prisha Panchal</t>
  </si>
  <si>
    <t>Md Sufiyan</t>
  </si>
  <si>
    <t>AyushC14</t>
  </si>
  <si>
    <t>University Commerce College, Jaipur (B.Com)</t>
  </si>
  <si>
    <t>amant khandelwal</t>
  </si>
  <si>
    <t>KajalC17</t>
  </si>
  <si>
    <t>Kajal Patel</t>
  </si>
  <si>
    <t>29th March 2025</t>
  </si>
  <si>
    <t xml:space="preserve"> YashikaC18 </t>
  </si>
  <si>
    <t>Indira Gandhi National Open University, New Delhi (MA Economics)</t>
  </si>
  <si>
    <t>Indira Gandhi National Open University, New Delhi (MA Psychology)</t>
  </si>
  <si>
    <t>vasu aggarwal</t>
  </si>
  <si>
    <t>Jaypee Institute of Information Technology, Noida (B.Tech Computer Science and Engineering)</t>
  </si>
  <si>
    <t>30th March 2025</t>
  </si>
  <si>
    <t xml:space="preserve">LankalapalliC23 </t>
  </si>
  <si>
    <t>Swarupa</t>
  </si>
  <si>
    <t>Lakshmi prasanna</t>
  </si>
  <si>
    <t>Siva Kumar</t>
  </si>
  <si>
    <t>Lakshmi priya</t>
  </si>
  <si>
    <t>31st March 2025</t>
  </si>
  <si>
    <t>Sanskriti Bansal</t>
  </si>
  <si>
    <t>Maitri Bansal</t>
  </si>
  <si>
    <t>Bennett University, Greater Noida (BA LLB Hons)</t>
  </si>
  <si>
    <t>Hardik upmanyu</t>
  </si>
  <si>
    <t>Hitakshi</t>
  </si>
  <si>
    <t>daksh chaudhary</t>
  </si>
  <si>
    <t>VeerellaC15</t>
  </si>
  <si>
    <t>Saatwik</t>
  </si>
  <si>
    <t>1st April 2025</t>
  </si>
  <si>
    <t>KC College of Arts, Commerce and Science, Mumbai (M.Sc Data Science)</t>
  </si>
  <si>
    <t>Sonoriya Manna</t>
  </si>
  <si>
    <t xml:space="preserve">YashikaC18 </t>
  </si>
  <si>
    <t>Noida International University, Greater Noida (M.Tech Computer Science and Engineering)</t>
  </si>
  <si>
    <t>Seema gupta</t>
  </si>
  <si>
    <t>NiharikaC24</t>
  </si>
  <si>
    <t>Shri Shankaracharya Technical Campus, Bhilai (B.Tech Computer Science and Engineering)</t>
  </si>
  <si>
    <t>Akshat</t>
  </si>
  <si>
    <t>2nd April 2025</t>
  </si>
  <si>
    <t xml:space="preserve"> MDC20 </t>
  </si>
  <si>
    <t>RSR Rungta College of Engineering and Technology, Bhilai (MBA)</t>
  </si>
  <si>
    <t>Md. Mustaquim Sheikh</t>
  </si>
  <si>
    <t>Rungta College of Engineering and Technology, Bhilai (B.Tech Information Technology)</t>
  </si>
  <si>
    <t>Rebel</t>
  </si>
  <si>
    <t>Rungta College of Engineering and Technology, Bhilai (M.Tech Computer Science Engineering)</t>
  </si>
  <si>
    <t>Junaid Khan</t>
  </si>
  <si>
    <t>GD Rungta College of Engineering and Technology, Bhilai (BE Electrical and Electronics Engineering)</t>
  </si>
  <si>
    <t>Ahad Iraqui</t>
  </si>
  <si>
    <t>Farhana Begam</t>
  </si>
  <si>
    <t xml:space="preserve"> JananiC21 </t>
  </si>
  <si>
    <t>Kumaraguru College of Technology, Coimbatore (BE Electronics and Communication Engineering)</t>
  </si>
  <si>
    <t>Rishwanthan Udayakumar</t>
  </si>
  <si>
    <t xml:space="preserve"> LankalapalliC23 </t>
  </si>
  <si>
    <t>Harshitha</t>
  </si>
  <si>
    <t>CMR Institute of Technology, Hyderabad (B.Tech Computer Science and Engineering)</t>
  </si>
  <si>
    <t>Seshu</t>
  </si>
  <si>
    <t>Jyothi</t>
  </si>
  <si>
    <t>Sravanthi</t>
  </si>
  <si>
    <t>Gayatri</t>
  </si>
  <si>
    <t>Chandu</t>
  </si>
  <si>
    <t>Vishnu</t>
  </si>
  <si>
    <t>D. Sameera</t>
  </si>
  <si>
    <t>Vasanthi</t>
  </si>
  <si>
    <t>Gv rohit babu</t>
  </si>
  <si>
    <t>Chakri</t>
  </si>
  <si>
    <t>4th April 2025</t>
  </si>
  <si>
    <t>Aditya Bhise</t>
  </si>
  <si>
    <t xml:space="preserve"> NITINC17 </t>
  </si>
  <si>
    <t xml:space="preserve">HARSHAC326 </t>
  </si>
  <si>
    <t>Lachoo Memorial College of Science and Technology, Jodhpur (B.Com Management Studies)</t>
  </si>
  <si>
    <t>Rohit Singh</t>
  </si>
  <si>
    <t>Bhilai Institute of Technology, Raipur (B.Tech Electronics and Computer Engineering)</t>
  </si>
  <si>
    <t>Aryan Gupta</t>
  </si>
  <si>
    <t>RSR Rungta College of Engineering and Technology, Bhilai (B.Tech Mechanical Engineering)</t>
  </si>
  <si>
    <t>Masum Iraqi</t>
  </si>
  <si>
    <t>Rungta College of Engineering and Technology, Bhilai (B.Tech Civil Engineering)</t>
  </si>
  <si>
    <t>MD NUMAN</t>
  </si>
  <si>
    <t>GD Rungta College of Engineering and Technology, Bhilai (B.Tech Information Technology)</t>
  </si>
  <si>
    <t>APURVC25</t>
  </si>
  <si>
    <t>Jamia Millia Islamia, New Delhi (B.Tech Electronics and Communication Engineering)</t>
  </si>
  <si>
    <t>Abhay Kaushik</t>
  </si>
  <si>
    <t>5th April 2025</t>
  </si>
  <si>
    <t xml:space="preserve">DEVSHYAC327 </t>
  </si>
  <si>
    <t>Parul Institute of Pharmacy and Research, Waghodia (B.Pharma)</t>
  </si>
  <si>
    <t>Suraj Sahu</t>
  </si>
  <si>
    <t>6th April 2025</t>
  </si>
  <si>
    <t xml:space="preserve">APURVC25 </t>
  </si>
  <si>
    <t>SHIVAM BHARDWAJ</t>
  </si>
  <si>
    <t>Dr Ram Manohar Lohia Avadh University, Faizabad (B.Tech Information Technology)</t>
  </si>
  <si>
    <t>Apurv</t>
  </si>
  <si>
    <t xml:space="preserve"> KripaC326 </t>
  </si>
  <si>
    <t>Amal Jyothi College of Engineering, Kottayam (B.Tech Computer Science and Engineering)</t>
  </si>
  <si>
    <t>Leeza Elias</t>
  </si>
  <si>
    <t>Avanthika Binu</t>
  </si>
  <si>
    <t>Liya Biju</t>
  </si>
  <si>
    <t>Government Medical College, Virudhunagar (MBBS)</t>
  </si>
  <si>
    <t>Ifra Fathima</t>
  </si>
  <si>
    <t>Rungta College of Engineering and Technology, Bhilai (B.Tech Electrical Engineering)</t>
  </si>
  <si>
    <t>Study Study</t>
  </si>
  <si>
    <t>GD Rungta College of Science and Technology, Bhilai (B.Sc-Physics, Chemistry and Mathematics)</t>
  </si>
  <si>
    <t>MD TAUSEEF ANWAR</t>
  </si>
  <si>
    <t>7th April 2025</t>
  </si>
  <si>
    <t xml:space="preserve">KripaC326 </t>
  </si>
  <si>
    <t>kevgeorgutty</t>
  </si>
  <si>
    <t>Misha Johnson</t>
  </si>
  <si>
    <t xml:space="preserve">AyushC14 </t>
  </si>
  <si>
    <t>Santosh Verma</t>
  </si>
  <si>
    <t>Nafisa muskan</t>
  </si>
  <si>
    <t>Joel Blesson</t>
  </si>
  <si>
    <t>Aditya Sarang</t>
  </si>
  <si>
    <t>8th April 2025</t>
  </si>
  <si>
    <t xml:space="preserve">DeepakC32 </t>
  </si>
  <si>
    <t>Rupam</t>
  </si>
  <si>
    <t>KC College of Arts, Commerce and Science, Mumbai (B.Com Financial Accounting and Auditing)</t>
  </si>
  <si>
    <t>Drishti Choudhary</t>
  </si>
  <si>
    <t xml:space="preserve"> APURVC25 </t>
  </si>
  <si>
    <t>Noida International University, Greater Noida (MFA Painting)</t>
  </si>
  <si>
    <t xml:space="preserve"> GhanchiC25 </t>
  </si>
  <si>
    <t>B J Medical College, Ahmedabad (MBBS)</t>
  </si>
  <si>
    <t>Ayman Ansari</t>
  </si>
  <si>
    <t>KripaC326</t>
  </si>
  <si>
    <t>MES Medical College, Perinthalmanna (MBBS)</t>
  </si>
  <si>
    <t>Rida</t>
  </si>
  <si>
    <t>Jacob Josey</t>
  </si>
  <si>
    <t>Karthik KM</t>
  </si>
  <si>
    <t xml:space="preserve">Joe Joseph </t>
  </si>
  <si>
    <t>KEVIN</t>
  </si>
  <si>
    <t>9th April 2025</t>
  </si>
  <si>
    <t>MitanshiC328</t>
  </si>
  <si>
    <t>Parul Institute of Management and Research, Vadodara (BBA Marketing)</t>
  </si>
  <si>
    <t>Nakul Patidar</t>
  </si>
  <si>
    <t>NITINC17</t>
  </si>
  <si>
    <t>Gaurav</t>
  </si>
  <si>
    <t>Atul</t>
  </si>
  <si>
    <t>ai generated content</t>
  </si>
  <si>
    <t>APURV BHARDWAJ</t>
  </si>
  <si>
    <t>Amal Jyothi College of Engineering, Kottayam (B.Tech Automobile)</t>
  </si>
  <si>
    <t>Jacob Tom</t>
  </si>
  <si>
    <t>Amal Jyothi College of Engineering, Kottayam (B.Tech Artificial Intelligence and Data Science)</t>
  </si>
  <si>
    <t>Amy Maria Mathew</t>
  </si>
  <si>
    <t>10th April 2025</t>
  </si>
  <si>
    <t>ujjwalC328</t>
  </si>
  <si>
    <t>yatishraj2003</t>
  </si>
  <si>
    <t>RaghavC328</t>
  </si>
  <si>
    <t>IIMT University, Meerut (BBA)</t>
  </si>
  <si>
    <t>Avanish Mishra</t>
  </si>
  <si>
    <t>Raj Kumar Goel Institute of Technology, Ghaziabad (MBA)</t>
  </si>
  <si>
    <t>11th April 2025</t>
  </si>
  <si>
    <t>University College of Medical Sciences, University of Delhi, Delhi (B.Sc Medical Technology Radiography)</t>
  </si>
  <si>
    <t>Fizza Naqvi</t>
  </si>
  <si>
    <t>College of Engineering, Trivandrum (B.Tech Electrical and Electronics Engineering)</t>
  </si>
  <si>
    <t>Gowri Krishna</t>
  </si>
  <si>
    <t>Josh Shenny</t>
  </si>
  <si>
    <t>13th April 2025</t>
  </si>
  <si>
    <t>Vel's Institute of Science Technology and Advanced Studies, Chennai (B.Sc Biochemistry)</t>
  </si>
  <si>
    <t>Ravi kumar</t>
  </si>
  <si>
    <t>not as per the rating</t>
  </si>
  <si>
    <t>15th April 2025</t>
  </si>
  <si>
    <t>GD Rungta College of Science and Technology, Bhilai (BBA)</t>
  </si>
  <si>
    <t>Meet Agrawal</t>
  </si>
  <si>
    <t>image voilation</t>
  </si>
  <si>
    <t>Angel Anna Roy</t>
  </si>
  <si>
    <t>GhanchiC25</t>
  </si>
  <si>
    <t>Suryodaya College of Engineering and Technology, Nagpur (BE Electrical Engineering)</t>
  </si>
  <si>
    <t>Diya Dilip Chepte</t>
  </si>
  <si>
    <t>irrelevent content</t>
  </si>
  <si>
    <t>Indira Gandhi National Open University, New Delhi (MA Hindi)</t>
  </si>
  <si>
    <t>Shivam Thakur</t>
  </si>
  <si>
    <t>Indira Gandhi National Open University, New Delhi (BA Hindi Major)</t>
  </si>
  <si>
    <t>Indira Gandhi National Open University, New Delhi (MA English)</t>
  </si>
  <si>
    <t>Sourabh thakur Sourabh thakur</t>
  </si>
  <si>
    <t>Indira Gandhi National Open University, New Delhi (BA English Major)</t>
  </si>
  <si>
    <t>Salman</t>
  </si>
  <si>
    <t>University College of Medical Sciences, University of Delhi, Delhi (M.Sc Medical Imaging Technology Radiography)</t>
  </si>
  <si>
    <t>nitish bhardwaj</t>
  </si>
  <si>
    <t>Diwakar Kaushik</t>
  </si>
  <si>
    <t>Arpit</t>
  </si>
  <si>
    <t>Saloni Thakur</t>
  </si>
  <si>
    <t xml:space="preserve">AdityaC25 </t>
  </si>
  <si>
    <t>Dr MGR Educational and Research Institute, Chennai (B.Tech Computer Science and Engineering)</t>
  </si>
  <si>
    <t>Manshi Singh</t>
  </si>
  <si>
    <t>Shri Ramswaroop Memorial College of Management, Lucknow (BBA)</t>
  </si>
  <si>
    <t>Shri Ramswaroop Memorial University, Barabanki (B.Tech Computer Science and Engineering)</t>
  </si>
  <si>
    <t>Galgotias University, Greater Noida (BCA Multimedia and Animation Hons)</t>
  </si>
  <si>
    <t>16th April 2025</t>
  </si>
  <si>
    <t>kunal panchal</t>
  </si>
  <si>
    <t>Akshit Khandelwal</t>
  </si>
  <si>
    <t>17th April 2025</t>
  </si>
  <si>
    <t xml:space="preserve">DivyaC328 </t>
  </si>
  <si>
    <t>Fortune Institute of International Business, Delhi (PGDM)</t>
  </si>
  <si>
    <t>Daksh chaudhary</t>
  </si>
  <si>
    <t>Meerut Institute of Technology, Meerut (BBA)</t>
  </si>
  <si>
    <t>University of Allahabad Allahabad (BA)</t>
  </si>
  <si>
    <t>Sandhya Singh</t>
  </si>
  <si>
    <t>Footwear Design and Development Institute Noida (MBA Retail and Fashion Merchandise)</t>
  </si>
  <si>
    <t>Galgotias University, Greater Noida (B.Tech Civil Engineering)</t>
  </si>
  <si>
    <t>Jamia Millia Islamia, New Delhi (M.Sc Biosciences)</t>
  </si>
  <si>
    <t>Hansraj College, Delhi (B.Sc Life Sciences)</t>
  </si>
  <si>
    <t>YMT College of Management, Navi Mumbai (MMS)</t>
  </si>
  <si>
    <t>Rakesh Murali</t>
  </si>
  <si>
    <t>Irrelevanrt Content</t>
  </si>
  <si>
    <t xml:space="preserve"> AdityaPC25  </t>
  </si>
  <si>
    <t>Indira Gandhi National Tribal University, Amarkantak (B.Voc Tourism and Hospitality Management)</t>
  </si>
  <si>
    <t>Prateek singh</t>
  </si>
  <si>
    <t>Indira Gandhi National Tribal University, Amarkantak (D.Pharma)</t>
  </si>
  <si>
    <t>Dhananjay Jaiswal</t>
  </si>
  <si>
    <t>Hemchandra Vineet</t>
  </si>
  <si>
    <t>18th April 2025</t>
  </si>
  <si>
    <t xml:space="preserve"> AdityaPC25 </t>
  </si>
  <si>
    <t>Indira Gandhi National Tribal University, Amarkantak (BA Political Science)</t>
  </si>
  <si>
    <t>MOHD SHAD</t>
  </si>
  <si>
    <t>Aditya Pathak</t>
  </si>
  <si>
    <t>Vaishnavi singh parihar</t>
  </si>
  <si>
    <t>Indira Gandhi National Tribal University, Amarkantak (B.Voc Film Production and Media Technology)</t>
  </si>
  <si>
    <t>Sheikh Amaan</t>
  </si>
  <si>
    <t>Rajeev patnaha</t>
  </si>
  <si>
    <t>Indira Gandhi National Tribal University, Amarkantak (BBA)</t>
  </si>
  <si>
    <t>Parveen Chaudhary</t>
  </si>
  <si>
    <t>UPASANA MISHRA</t>
  </si>
  <si>
    <t xml:space="preserve">YaasmeenC06 </t>
  </si>
  <si>
    <t>SR University, Warangal (B.Tech Computer Science and Engineering)</t>
  </si>
  <si>
    <t>Aman nehal</t>
  </si>
  <si>
    <t>SVS Group of institution, Warangal (B.Tech Electronics and Communication Engineering)</t>
  </si>
  <si>
    <t>Fayaz ahmed</t>
  </si>
  <si>
    <t>21st April 2025</t>
  </si>
  <si>
    <t>MMH College, Ghaziabad (MA Political Science)</t>
  </si>
  <si>
    <t>Savita Bhardwaj</t>
  </si>
  <si>
    <t>23rd April 2025</t>
  </si>
  <si>
    <t>TKM College of Arts and Science, Kollam (B.Sc Zoology)</t>
  </si>
  <si>
    <t>KAVYA. B</t>
  </si>
  <si>
    <t xml:space="preserve">ParokshC329 </t>
  </si>
  <si>
    <t>Palaksh Sharma</t>
  </si>
  <si>
    <t>25th April 2025</t>
  </si>
  <si>
    <t xml:space="preserve">PranavC330 </t>
  </si>
  <si>
    <t>Amity University, Jaipur (B.Tech Computer Science and Engineering)</t>
  </si>
  <si>
    <t>Ritesh</t>
  </si>
  <si>
    <t>Adarsh Kumar</t>
  </si>
  <si>
    <t>Harshit Munjal</t>
  </si>
  <si>
    <t>mahesh bishnoi</t>
  </si>
  <si>
    <t>akash</t>
  </si>
  <si>
    <t>sachin jaglan</t>
  </si>
  <si>
    <t>26th April 2025</t>
  </si>
  <si>
    <t>ChinmayC329</t>
  </si>
  <si>
    <t>NB Navale Sinhgad College of Engineering, Solapur (B.Tech Computer Science and Engineering)</t>
  </si>
  <si>
    <t>Piyush Sathe</t>
  </si>
  <si>
    <t>30th April 2025</t>
  </si>
  <si>
    <t xml:space="preserve">NaveenaC331 </t>
  </si>
  <si>
    <t>Aditya College of Engineering and Technology, Surampalem (B.Tech Information Technology)</t>
  </si>
  <si>
    <t>Nani vardhineedi</t>
  </si>
  <si>
    <t>Gowri Alekya peddimsetti</t>
  </si>
  <si>
    <t>Aditya College of Engineering, Surampalem (B.Tech Electronics and Communication Engineering)</t>
  </si>
  <si>
    <t>J.Jahnavi Lakshmi</t>
  </si>
  <si>
    <t>Maha Lakshmi Sathi</t>
  </si>
  <si>
    <t>Peddimsetti Prudhvi Manikanta</t>
  </si>
  <si>
    <t>1st May 2025</t>
  </si>
  <si>
    <t>TanviC332</t>
  </si>
  <si>
    <t>DY Patil International University, Akurdi (BCA)</t>
  </si>
  <si>
    <t>Mehul Muley</t>
  </si>
  <si>
    <t>Galgotias College of Engineering and Technology, Greater Noida (B.Tech Electronics and Communication Engineering)</t>
  </si>
  <si>
    <t>Ujjwal</t>
  </si>
  <si>
    <t>TKM College of Engineering, Kollam (B.Tech Electrical and Electronics Engineering)</t>
  </si>
  <si>
    <t>Arya</t>
  </si>
  <si>
    <t>Elvis Saiju</t>
  </si>
  <si>
    <t>Godwin Joseph</t>
  </si>
  <si>
    <t>Sneha Rose Vinod</t>
  </si>
  <si>
    <t>Shimoga Institute of Medical Sciences, Shimoga (MBBS)</t>
  </si>
  <si>
    <t>Alvy Sabu</t>
  </si>
  <si>
    <t>Amritha Jayakrishnan</t>
  </si>
  <si>
    <t xml:space="preserve">palakC332 </t>
  </si>
  <si>
    <t>Chaudhary Devi Lal University, Sirsa (B.Tech Computer Science and Engineering)</t>
  </si>
  <si>
    <t>Vansh kocher</t>
  </si>
  <si>
    <t>2nd May 2025</t>
  </si>
  <si>
    <t>Vaishnavi Rawat</t>
  </si>
  <si>
    <t xml:space="preserve">Shaikc332 </t>
  </si>
  <si>
    <t>Rajeev Gandhi Memorial College of Engineering and Technology, Kurnool (B.Tech Electronics and Communication Engineering)</t>
  </si>
  <si>
    <t>Mushkan.k</t>
  </si>
  <si>
    <t>Mubina Shaik</t>
  </si>
  <si>
    <t>Mahitha.G</t>
  </si>
  <si>
    <t>Shanti kumari</t>
  </si>
  <si>
    <t>Yashaswini</t>
  </si>
  <si>
    <t>Jogendra Reddy</t>
  </si>
  <si>
    <t>3rd May 2025</t>
  </si>
  <si>
    <t xml:space="preserve">SuhaniC328 </t>
  </si>
  <si>
    <t>DAV Girls College, Rewari (BA)</t>
  </si>
  <si>
    <t>Ishita jain</t>
  </si>
  <si>
    <t>Mata Sundri College for Women, New Delhi (BA)</t>
  </si>
  <si>
    <t>Priya dawar</t>
  </si>
  <si>
    <t>Sarthak jain</t>
  </si>
  <si>
    <t>Simran wason</t>
  </si>
  <si>
    <t>Rukmini Devi Institute of Advanced Studies, Delhi (BBA)</t>
  </si>
  <si>
    <t>Tanishka jain</t>
  </si>
  <si>
    <t>School of Open Learning, University of Delhi, Delhi (M.Com)</t>
  </si>
  <si>
    <t>Gungun verma</t>
  </si>
  <si>
    <t>Shaikc332</t>
  </si>
  <si>
    <t>Rajeev Gandhi Memorial College of Engineering and Technology, Kurnool (B.Tech Computer Science and Engineering)</t>
  </si>
  <si>
    <t>Poojitha Goud</t>
  </si>
  <si>
    <t>AI Generated Content/Reviewed on behalf of someone</t>
  </si>
  <si>
    <t>P.meghana</t>
  </si>
  <si>
    <t xml:space="preserve">SheetalC333 </t>
  </si>
  <si>
    <t>IFTM University, Moradabad (B.Tech Mechanical Engineering)</t>
  </si>
  <si>
    <t>Chief</t>
  </si>
  <si>
    <t>AMC Engineering College, Bangalore (BE Electronics and Communication Engineering)</t>
  </si>
  <si>
    <t>Careers</t>
  </si>
  <si>
    <t>Details Mismatchted</t>
  </si>
  <si>
    <t>BMS Institute of Technology and Management, Bangalore (B.Tech Computer Science and Engineering)</t>
  </si>
  <si>
    <t>saurabh swain</t>
  </si>
  <si>
    <t>Matli C331</t>
  </si>
  <si>
    <t>Sri Padmavati Mahila Visvavidyalayam, Tirupati (B.Tech Electrical and Electronics Engineering)</t>
  </si>
  <si>
    <t>Vemana pavani ganga sushitha</t>
  </si>
  <si>
    <t>4th May 2025</t>
  </si>
  <si>
    <t>Sambhav jain</t>
  </si>
  <si>
    <t>Galgotias University, Greater Noida (B.Com Hons)</t>
  </si>
  <si>
    <t>Prachi jain</t>
  </si>
  <si>
    <t>Neha jain</t>
  </si>
  <si>
    <t xml:space="preserve"> KoyelC334 </t>
  </si>
  <si>
    <t>Paras dubey</t>
  </si>
  <si>
    <t>5th May 2025</t>
  </si>
  <si>
    <t>Kartik G</t>
  </si>
  <si>
    <t>KoyelC334</t>
  </si>
  <si>
    <t>Ganpat University Institute of Computer Technology, Mehsana (B.Tech Big Data and Analytics)</t>
  </si>
  <si>
    <t xml:space="preserve"> Santhiram Engineering College, Kurnool (B.Tech Computer Science and Engineering)</t>
  </si>
  <si>
    <t>Shaik Ruhan</t>
  </si>
  <si>
    <t>sahith reddy</t>
  </si>
  <si>
    <t>Lavanya.M</t>
  </si>
  <si>
    <t>IIMT University, Meerut (M.Sc Biotechnology)</t>
  </si>
  <si>
    <t>Meghna</t>
  </si>
  <si>
    <t>Aisha</t>
  </si>
  <si>
    <t>ManishC333</t>
  </si>
  <si>
    <t>Mahi Chaursiya</t>
  </si>
  <si>
    <t>mismatched details</t>
  </si>
  <si>
    <t>PranavC330</t>
  </si>
  <si>
    <t>APOCALYPSE</t>
  </si>
  <si>
    <t>6th May 2025</t>
  </si>
  <si>
    <t>ParokshC329</t>
  </si>
  <si>
    <t>Indraprastha Institute of Information Technology, Delhi (B.Tech Computer Science and Engineering)</t>
  </si>
  <si>
    <t>Anish Kapoor</t>
  </si>
  <si>
    <t>7th may 2025</t>
  </si>
  <si>
    <t>SuhaniC328</t>
  </si>
  <si>
    <t>Bharati Vidyapeeth Deemed University Institute of Management and Research, New Delhi (BCA)</t>
  </si>
  <si>
    <t>Atishay Jain</t>
  </si>
  <si>
    <t>8th May 2025</t>
  </si>
  <si>
    <t>VIT University, Bhopal (B.Tech Computer Science and Engineering)</t>
  </si>
  <si>
    <t>Aditya Jain</t>
  </si>
  <si>
    <t>Anju jain</t>
  </si>
  <si>
    <t>9th May 2025</t>
  </si>
  <si>
    <t>Indian Institute of Information Technology Allahabad (M.Tech Electronics and Communication Engineering with Microelectronics)</t>
  </si>
  <si>
    <t>Meenu shukla</t>
  </si>
  <si>
    <t>Banaras Hindu University, Varanasi (M.Sc Applied Microbiology)</t>
  </si>
  <si>
    <t>KPB Hinduja College of Commerce, Mumbai (M.Com Accountancy)</t>
  </si>
  <si>
    <t>Abdul</t>
  </si>
  <si>
    <t xml:space="preserve">P.AkshithaC335 </t>
  </si>
  <si>
    <t>Woxsen University, Hyderabad (BBA Data Science and Artificial Intelligence Hons)</t>
  </si>
  <si>
    <t>Vishwanath Reddy</t>
  </si>
  <si>
    <t>YENDLURI NIKITHA</t>
  </si>
  <si>
    <t>Vidya Jyothi Institute of Technology, Hyderabad (B.Tech Electronics and Communication Engineering)</t>
  </si>
  <si>
    <t>Tellapuram Navya Reddy</t>
  </si>
  <si>
    <t>BV Raju Institute of Technology, Narsapur (B.Tech Chemical Engineering)</t>
  </si>
  <si>
    <t>Akshitha reddy .p</t>
  </si>
  <si>
    <t>Vivek vardhan Reddy</t>
  </si>
  <si>
    <t>Woxsen University, Hyderabad (BBA Entrepreneurship Development Hons)</t>
  </si>
  <si>
    <t>10th May 2025</t>
  </si>
  <si>
    <t xml:space="preserve">SumiranC335 </t>
  </si>
  <si>
    <t>V G Vaze College of Arts Science and Commerce, Mumbai (B.Com)</t>
  </si>
  <si>
    <t>Sumiran Gujja</t>
  </si>
  <si>
    <t xml:space="preserve"> VanshikaC335 </t>
  </si>
  <si>
    <t>Satyawati College, Delhi (BA Economics and Mathematics)</t>
  </si>
  <si>
    <t>Vanshika</t>
  </si>
  <si>
    <t xml:space="preserve">RavindharC335 </t>
  </si>
  <si>
    <t>Malla Reddy University, Hyderabad (B.Tech Internet of Things)</t>
  </si>
  <si>
    <t>Ravinder</t>
  </si>
  <si>
    <t>Ravindhar vanjari</t>
  </si>
  <si>
    <t xml:space="preserve">SatyamC336 </t>
  </si>
  <si>
    <t>SSR College of Arts Commerce and Science, Silvassa (B.Com)</t>
  </si>
  <si>
    <t>Duet Studio STATUS</t>
  </si>
  <si>
    <t>Ashu Singh</t>
  </si>
  <si>
    <t xml:space="preserve"> AnushaC336 </t>
  </si>
  <si>
    <t>NMAM Institute of Technology, Karkala Taluk (B.Tech Computer and Communication Engineering)</t>
  </si>
  <si>
    <t>11th May 2025</t>
  </si>
  <si>
    <t>Guru Tegh Bahadur Institute of Technology, Delhi (B.Tech Electronics and Communication Engineering)</t>
  </si>
  <si>
    <t>Lakshay</t>
  </si>
  <si>
    <t xml:space="preserve"> MugadaC336 </t>
  </si>
  <si>
    <t>Mugada Srinivas</t>
  </si>
  <si>
    <t>Parul Institute of Engineering and Technology, Vadodara (B.Tech Computer Science and Engineering Artificial Intelligence and Machine Learning)</t>
  </si>
  <si>
    <t>Harsha vardhan Reddy</t>
  </si>
  <si>
    <t>Raghav Gangwar</t>
  </si>
  <si>
    <t>Jeetu Yadav</t>
  </si>
  <si>
    <t xml:space="preserve">RaghavC328 </t>
  </si>
  <si>
    <t>DN College, Meerut (B.Com)</t>
  </si>
  <si>
    <t>Ayushi Jain</t>
  </si>
  <si>
    <t>12th May 2025</t>
  </si>
  <si>
    <t xml:space="preserve">AnushaC336 </t>
  </si>
  <si>
    <t>Priyadarshana K</t>
  </si>
  <si>
    <t>13th May 2025</t>
  </si>
  <si>
    <t xml:space="preserve">NidhiC336 </t>
  </si>
  <si>
    <t>Birla Institute of Technology, Patna (Bachelor of Business Administration)</t>
  </si>
  <si>
    <t xml:space="preserve">DibyajyotiC337 </t>
  </si>
  <si>
    <t>Assam Engineering College, Guwahati (B.Tech Chemical Engineering)</t>
  </si>
  <si>
    <t>Manalisha Kashyap</t>
  </si>
  <si>
    <t>Assam Engineering College, Guwahati (BE Electrical Engineering)</t>
  </si>
  <si>
    <t>choudhurysnehatez</t>
  </si>
  <si>
    <t>14th May 2025</t>
  </si>
  <si>
    <t>Saptadeepa Das</t>
  </si>
  <si>
    <t>15th May 2025</t>
  </si>
  <si>
    <t>Amity University, Jaipur (BHM)</t>
  </si>
  <si>
    <t>Madhuram krishan kaushik</t>
  </si>
  <si>
    <t>Kaushik Bhadouria</t>
  </si>
  <si>
    <t>Alka sharma</t>
  </si>
  <si>
    <t>Dipika Singh</t>
  </si>
  <si>
    <t>Amity University, Jaipur (MTTM)</t>
  </si>
  <si>
    <t>Ekta upadhayay</t>
  </si>
  <si>
    <t>Sapam Sanathoi Devi</t>
  </si>
  <si>
    <t>Amity University, Jaipur (B.Tech Bioinformatics)</t>
  </si>
  <si>
    <t>Ekta Sharma</t>
  </si>
  <si>
    <t>vaishnavee parashar</t>
  </si>
  <si>
    <t>Amity University, Jaipur (B.Com Hons)</t>
  </si>
  <si>
    <t>bhanupriya</t>
  </si>
  <si>
    <t>suchit</t>
  </si>
  <si>
    <t xml:space="preserve">KIRANC336 </t>
  </si>
  <si>
    <t>SRM Institute of Science and Technology, Ramapuram Campus (B.Tech Computer Science and Engineering)</t>
  </si>
  <si>
    <t>KIRAN KUMAR BEHERA</t>
  </si>
  <si>
    <t xml:space="preserve">MugadaC336 </t>
  </si>
  <si>
    <t>Anil Neerukonda Institute of Technology and Sciences, Visakhapatnam (B.Tech Electrical and Electronics Engineering)</t>
  </si>
  <si>
    <t>Ganesh Madem</t>
  </si>
  <si>
    <t>Dead Pool</t>
  </si>
  <si>
    <t xml:space="preserve"> DHEERAJC337 </t>
  </si>
  <si>
    <t>Hima karan Pusarla</t>
  </si>
  <si>
    <t>GITAM Institute of Technology, Visakhapatnam (B.Tech Computer Science and Engineering)</t>
  </si>
  <si>
    <t>Likhith</t>
  </si>
  <si>
    <t>GITAM School of Business, Visakhapatnam (BBA)</t>
  </si>
  <si>
    <t>Bs vyshnavi</t>
  </si>
  <si>
    <t>16th May 2025</t>
  </si>
  <si>
    <t xml:space="preserve"> SaiC337 </t>
  </si>
  <si>
    <t>Aditya Engineering College, Surampalem (B.Tech Computer Science and Engineering)</t>
  </si>
  <si>
    <t>V Durga Sai Gangireddy</t>
  </si>
  <si>
    <t>Aditya Engineering College, Surampalem (MBA)</t>
  </si>
  <si>
    <t>Nagi Reddy</t>
  </si>
  <si>
    <t>A Venkat Durga Prasad</t>
  </si>
  <si>
    <t>Dwarampudi Lakshmana Reddy College, Gollala Mamidada (B.Com)</t>
  </si>
  <si>
    <t>Sai Jagadeeswarreddy N</t>
  </si>
  <si>
    <t xml:space="preserve"> PranavC330 </t>
  </si>
  <si>
    <t>Soumya Sharma</t>
  </si>
  <si>
    <t>Amity University, Jaipur (BA English Hons)</t>
  </si>
  <si>
    <t>Shinjini Chakravarthy</t>
  </si>
  <si>
    <t>Amity University, Jaipur (B.Tech Mechanical and Automation Engineering)</t>
  </si>
  <si>
    <t>Yashveer Khatana</t>
  </si>
  <si>
    <t>Shagun Patidar</t>
  </si>
  <si>
    <t>Soumya Patidar</t>
  </si>
  <si>
    <t xml:space="preserve"> MariyaC331 </t>
  </si>
  <si>
    <t>MJ College of Engineering and Technology, Hyderabad (BE Mechanical Engineering)</t>
  </si>
  <si>
    <t>Mariya Maheen</t>
  </si>
  <si>
    <t>Shadan Degree College for Women, Hyderabad (BA-Psychology, Sociology and Modern Language)</t>
  </si>
  <si>
    <t>Deccan College of Engineering and Technology, Hyderabad (BE Civil Engineering)</t>
  </si>
  <si>
    <t>17th May 2025</t>
  </si>
  <si>
    <t xml:space="preserve">DhruvC337 </t>
  </si>
  <si>
    <t>Lala Lajpat Rai College of Commerce and Economics, Mumbai (B.Com Accounting and Finance)</t>
  </si>
  <si>
    <t>netal bhandari</t>
  </si>
  <si>
    <t>Same Content</t>
  </si>
  <si>
    <t>Jeet Patel</t>
  </si>
  <si>
    <t>Same Content/Irrelevant Content</t>
  </si>
  <si>
    <t>Maharaj Vijayaram Gajapathi Raj College of Engineering, Vizianagaram (B.Tech Chemical Engineering)</t>
  </si>
  <si>
    <t>charishma mugada</t>
  </si>
  <si>
    <t>reviewed on behalf of others/Irrelevant Content</t>
  </si>
  <si>
    <t>18th May 2025</t>
  </si>
  <si>
    <t>Rehan Khan</t>
  </si>
  <si>
    <t>G NAGABUSHAN</t>
  </si>
  <si>
    <t>COpied Content</t>
  </si>
  <si>
    <t>20th May 2025</t>
  </si>
  <si>
    <t>Anusha</t>
  </si>
  <si>
    <t xml:space="preserve"> TanviC332 </t>
  </si>
  <si>
    <t>Prathamesh Pramod Patil</t>
  </si>
  <si>
    <t>Valia Chhaganlal Laljibahai College of Commerce and Valia Lilavantiben Chhaganlal College of Arts, Mumbai (B.Com Accounting and Finance)</t>
  </si>
  <si>
    <t>SPIDER</t>
  </si>
  <si>
    <t>Army Institute of Technology, Pune (BE Information Technology)</t>
  </si>
  <si>
    <t>Anuj Chaudhary</t>
  </si>
  <si>
    <t xml:space="preserve"> DhruvC337 </t>
  </si>
  <si>
    <t>Vidhi Chendvankar</t>
  </si>
  <si>
    <t>Similar Title/ Similar Review</t>
  </si>
  <si>
    <t xml:space="preserve">DHEERAJC337 </t>
  </si>
  <si>
    <t>Geeta Manyam</t>
  </si>
  <si>
    <t>GITAM Institute of Technology, Visakhapatnam (B.Tech Cyber Security)</t>
  </si>
  <si>
    <t>Eswar Srinadh</t>
  </si>
  <si>
    <t>Nainala Geeth sowri</t>
  </si>
  <si>
    <t>GITAM University, Visakhapatnam (BA Psychology)</t>
  </si>
  <si>
    <t>Hanita</t>
  </si>
  <si>
    <t>23rd May 2025</t>
  </si>
  <si>
    <t>Lala Lajpat Rai College of Commerce and Economics, Mumbai (BMS)</t>
  </si>
  <si>
    <t>Jatin Darji</t>
  </si>
  <si>
    <t xml:space="preserve"> RaghavC328 </t>
  </si>
  <si>
    <t>Bharat Institute of Technology, Meerut (BCA)</t>
  </si>
  <si>
    <t>Abhinav Arya</t>
  </si>
  <si>
    <t>Dhruva Singh</t>
  </si>
  <si>
    <t>Meerut Institute of Engineering and Technology, Meerut (MCA)</t>
  </si>
  <si>
    <t>Andhra University College of Arts and Commerce, Visakhapatnam (MBA)</t>
  </si>
  <si>
    <t>Navish P</t>
  </si>
  <si>
    <t xml:space="preserve"> SaiC338</t>
  </si>
  <si>
    <t>JNTUK University College of Engineering, Vizianagaram (B.Tech Mechanical Engineering)</t>
  </si>
  <si>
    <t xml:space="preserve"> SaiC339</t>
  </si>
  <si>
    <t>Andhra University College of Engineering, Visakhapatnam (M.Tech Heat Power Engineering)</t>
  </si>
  <si>
    <t>MariyaC331</t>
  </si>
  <si>
    <t>Deccan College of Engineering and Technology, Hyderabad (BE Mechanical Engineering)</t>
  </si>
  <si>
    <t>24th May 2025</t>
  </si>
  <si>
    <t xml:space="preserve">RavindharC339 </t>
  </si>
  <si>
    <t>26th May 2025</t>
  </si>
  <si>
    <t>K.GopinadhReddy</t>
  </si>
  <si>
    <t>29th May 2029</t>
  </si>
  <si>
    <t>Maharaja Agrasen Himalayan Garhwal University, Pauri (B.Sc)</t>
  </si>
  <si>
    <t>Kashish Raghuvanshi</t>
  </si>
  <si>
    <t>Radha Govind Group of Institutions, Meerut (BCA)</t>
  </si>
  <si>
    <t>Tanu Sharma</t>
  </si>
  <si>
    <t>Bharat Institute of Technology, Meerut (MCA)</t>
  </si>
  <si>
    <t>Vinayak Vidyapeeth, Meerut (BCA)</t>
  </si>
  <si>
    <t>Vikas kumar</t>
  </si>
  <si>
    <t>Meerut College, Meerut (M.Com)</t>
  </si>
  <si>
    <t>30th May 2025</t>
  </si>
  <si>
    <t>RavindharC339</t>
  </si>
  <si>
    <t>Gokaraju Rangaraju Institute of Engineering and Technology, Hyderabad (B.Tech Computer Science and Engineering)</t>
  </si>
  <si>
    <t>Dinesh</t>
  </si>
  <si>
    <t>CMR Institute of Technology, Hyderabad (B.Tech Computer Science Engineering Artificial Intelligence and Machine Learning)</t>
  </si>
  <si>
    <t>Sai kirit</t>
  </si>
  <si>
    <t>CMR College of Engineering and Technology, Hyderabad (B.Tech Computer Science and Engineering Artificial Intelligence and Machine Learning)</t>
  </si>
  <si>
    <t>Binusha</t>
  </si>
  <si>
    <t>VNR Vignana Jyothi Institute of Engineering and Technology, Hyderabad (B.Tech Information Technology)</t>
  </si>
  <si>
    <t>Srivaishnavi Bondugula</t>
  </si>
  <si>
    <t>Anurag University, Hyderabad (B.Tech Artificial Intelligence and Machine Learning)</t>
  </si>
  <si>
    <t>Karthik</t>
  </si>
  <si>
    <t>VNR Vignana Jyothi Institute of Engineering and Technology, Hyderabad (B.Tech Computer Science and Engineering)</t>
  </si>
  <si>
    <t>Sharanya chilari</t>
  </si>
  <si>
    <t>Spandana maddeveni</t>
  </si>
  <si>
    <t>Anurag University, Hyderabad (B.Tech Mechanical Engineering)</t>
  </si>
  <si>
    <t>Sai pavan</t>
  </si>
  <si>
    <t>Shravya gaddam</t>
  </si>
  <si>
    <t>Rajiv Gandhi University of Knowledge Technologies, Basar (B.Tech Computer Science and Engineering Integrated)</t>
  </si>
  <si>
    <t>kavya</t>
  </si>
  <si>
    <t xml:space="preserve"> NidhiC336</t>
  </si>
  <si>
    <t>Vandana Azad</t>
  </si>
  <si>
    <t>Krishna Bohra</t>
  </si>
  <si>
    <t>Aditya chauhan</t>
  </si>
  <si>
    <t>Nishant Soni</t>
  </si>
  <si>
    <t>Mitali kumari</t>
  </si>
  <si>
    <t>Arya singh</t>
  </si>
  <si>
    <t xml:space="preserve">OmkarC339 </t>
  </si>
  <si>
    <t>Galgotias College of Engineering and Technology, Greater Noida (MBA Logistics and Supply Chain Management)</t>
  </si>
  <si>
    <t>Itz Franky</t>
  </si>
  <si>
    <t>Elisha Shree</t>
  </si>
  <si>
    <t>Harshitha patel</t>
  </si>
  <si>
    <t>Shaili</t>
  </si>
  <si>
    <t>Aishwarya</t>
  </si>
  <si>
    <t>Preethi Koppula</t>
  </si>
  <si>
    <t>varshini</t>
  </si>
  <si>
    <t>Indian Institute of Technology Madras (B.Tech Engineering Design and M.Tech Biomedical Design Dual Degree)</t>
  </si>
  <si>
    <t>Medha sri</t>
  </si>
  <si>
    <t>Yamini</t>
  </si>
  <si>
    <t>Brilliant Institute of Engineering and Technology, Hayathnagar (B.Tech Computer Science and Engineering)</t>
  </si>
  <si>
    <t>Abhi kotee</t>
  </si>
  <si>
    <t xml:space="preserve"> BhuvanC339 </t>
  </si>
  <si>
    <t>Bhandarkars Arts and Science College, Kundapura (BCA)</t>
  </si>
  <si>
    <t>Vishesh g poojary</t>
  </si>
  <si>
    <t>Fake reviews</t>
  </si>
  <si>
    <t>Poornaprajna Institute of Management, Udupi (MCA)</t>
  </si>
  <si>
    <t>Vishesh Poojary</t>
  </si>
  <si>
    <t>Sumukha</t>
  </si>
  <si>
    <t>Suraj</t>
  </si>
  <si>
    <t>NMAM Institute of Technology, Karkala Taluk (B.Tech Electronics and Communication Engineering)</t>
  </si>
  <si>
    <t xml:space="preserve">Vishesh g poojary </t>
  </si>
  <si>
    <t>Udit Tyagi</t>
  </si>
  <si>
    <t>Divya Jain</t>
  </si>
  <si>
    <t>Bharat Institute of Technology, Meerut (MBA)</t>
  </si>
  <si>
    <t>Mugada Vijaya</t>
  </si>
  <si>
    <t>Dhanashri</t>
  </si>
  <si>
    <t>Rajinikanth</t>
  </si>
  <si>
    <t>sri ram</t>
  </si>
  <si>
    <t>31st May 2025</t>
  </si>
  <si>
    <t>Meerut College, Meerut (B.Com)</t>
  </si>
  <si>
    <t>Mansi Tripathi</t>
  </si>
  <si>
    <t>Dewan VS Institute of Engineering and Technology, Meerut (MBA)</t>
  </si>
  <si>
    <t>Tanisha Singh</t>
  </si>
  <si>
    <t>Chaudhary Charan Singh University, Meerut (MBA Self Finance)</t>
  </si>
  <si>
    <t>Janki Devi Memorial College, New Delhi (BA Economics and History)</t>
  </si>
  <si>
    <t>Samashti Sharma</t>
  </si>
  <si>
    <t>Meerut College, Meerut (B.Sc Physics)</t>
  </si>
  <si>
    <t>Aayushi Dhama</t>
  </si>
  <si>
    <t>Dewan VS Institute of Engineering and Technology, Meerut (MCA)</t>
  </si>
  <si>
    <t>2nd June 2025</t>
  </si>
  <si>
    <t xml:space="preserve"> NidhiC336 </t>
  </si>
  <si>
    <t>Ravi singh</t>
  </si>
  <si>
    <t>Pratik mohan</t>
  </si>
  <si>
    <t>3rd June 2025</t>
  </si>
  <si>
    <t>Preethesh</t>
  </si>
  <si>
    <t>MugadaC336</t>
  </si>
  <si>
    <t>Avanthi Institute of Engineering and Technology, Visakhapatnam (B.Tech Computer Science and Engineering)</t>
  </si>
  <si>
    <t>Home TV</t>
  </si>
  <si>
    <t>4th June 2025</t>
  </si>
  <si>
    <t>Amity University, Lucknow Campus (BA LLB Hons)</t>
  </si>
  <si>
    <t>Omkar Soni</t>
  </si>
  <si>
    <t xml:space="preserve">ArpitC339 </t>
  </si>
  <si>
    <t>Ujjwal sahu</t>
  </si>
  <si>
    <t>Indian Institute of Technology Delhi (M.Tech Computer Technology)</t>
  </si>
  <si>
    <t>Noida International University, Greater Noida (Ph.D Computer Science Engineering)</t>
  </si>
  <si>
    <t>Nayan vishwakarma</t>
  </si>
  <si>
    <t>Kerala University of Health Sciences, Thrissur (B.Sc Nursing)</t>
  </si>
  <si>
    <t>Rajveer dangi</t>
  </si>
  <si>
    <t>Indian Institute of Technology Delhi (M.Tech Computer Science and Engineering)</t>
  </si>
  <si>
    <t>National Institute of Technology Goa (Ph.D Computer Science and Engineering)</t>
  </si>
  <si>
    <t>Rekha Tiwari</t>
  </si>
  <si>
    <t>National Institute of Technology Goa (M.Tech Computer Science and Engineering)</t>
  </si>
  <si>
    <t>National Institute of Technology Goa (B.Tech Computer Science and Engineering)</t>
  </si>
  <si>
    <t>5th June 2025</t>
  </si>
  <si>
    <t>Institute for Excellence in Higher Education, Bhopal (B.Sc Chemistry Major)</t>
  </si>
  <si>
    <t>koyal mishra</t>
  </si>
  <si>
    <t>ArpitC340</t>
  </si>
  <si>
    <t>Indian Institute of Technology Indore (Ph.D Computer Science and Engineering)</t>
  </si>
  <si>
    <t>Srijal Tiwari</t>
  </si>
  <si>
    <t>ArpitC341</t>
  </si>
  <si>
    <t>Indian Institute of Technology Indore (M.Tech Communication and Signal Processing)</t>
  </si>
  <si>
    <t>ArpitC342</t>
  </si>
  <si>
    <t>Raghu Engineering College, Visakhapatnam (B.Tech Mechanical Engineering)</t>
  </si>
  <si>
    <t>Mugada Charan</t>
  </si>
  <si>
    <t>Satya Institute of Technology and Management, Vizianagaram (B.Tech Computer Science and Engineering)</t>
  </si>
  <si>
    <t>Raghu Engineering College, Visakhapatnam (B.Tech Computer Science and Engineering)</t>
  </si>
  <si>
    <t>Kumar</t>
  </si>
  <si>
    <t>Arcade Business College, Saguna More, Patna (BCA)</t>
  </si>
  <si>
    <t>Abhishek Anand</t>
  </si>
  <si>
    <t>Arcade Business College, Rajendra Nagar, Patna (BBA)</t>
  </si>
  <si>
    <t>Nisha Niharika</t>
  </si>
  <si>
    <t>College of Commerce, Arts and Science, Patna (B.Sc)</t>
  </si>
  <si>
    <t xml:space="preserve">ChiragC341 </t>
  </si>
  <si>
    <t>Aligarh Muslim University, Aligarh (M.Sc Industrial Chemistry)</t>
  </si>
  <si>
    <t>Aligarh Muslim University, Aligarh (Ph.D Sociology)</t>
  </si>
  <si>
    <t>Narender Kumar</t>
  </si>
  <si>
    <t>Faculty of Law, Aligarh Muslim University, Aligarh (BA LLB)</t>
  </si>
  <si>
    <t>Khushi Tomar</t>
  </si>
  <si>
    <t>Aligarh Muslim University, Aligarh (BA History Hons)</t>
  </si>
  <si>
    <t>Chirag Kumar Tomar</t>
  </si>
  <si>
    <t xml:space="preserve"> AnathalakshmiC341 </t>
  </si>
  <si>
    <t>Rajiv Gandhi University of Knowledge Technologies, Nuzvid (B.Tech Electronics and Communication Engineering Integrated)</t>
  </si>
  <si>
    <t>Vineela Tkr</t>
  </si>
  <si>
    <t>6th June 2025</t>
  </si>
  <si>
    <t>Zakir Husain College of Engineering and Technology, Aligarh Muslim University, Aligarh (B.Tech Electrical Engineering)</t>
  </si>
  <si>
    <t>Anubha Singhal</t>
  </si>
  <si>
    <t>Shri Varshney College, Aligarh (B.Sc)</t>
  </si>
  <si>
    <t xml:space="preserve">KhushiC341 </t>
  </si>
  <si>
    <t>Madan Mohan Malaviya University of Technology, Gorakhpur (B.Tech Civil Engineering)</t>
  </si>
  <si>
    <t>Shreya Mishra</t>
  </si>
  <si>
    <t>Feroze Gandhi Institute of Engineering and Technology, Raebareli (B.Tech Computer Science and Engineering)</t>
  </si>
  <si>
    <t>Muskan Srivastava</t>
  </si>
  <si>
    <t>Tarun Singh</t>
  </si>
  <si>
    <t>School of Business, Galgotias University, Greater Noida (BBA Marketing and Automobile Management)</t>
  </si>
  <si>
    <t>ASHUTOSH RANJAN</t>
  </si>
  <si>
    <t>Vishwajeet Kumar</t>
  </si>
  <si>
    <t>School of Business, Galgotias University, Greater Noida (BBA Logistics and Supply Chain Management)</t>
  </si>
  <si>
    <t>Saumya Agarwal</t>
  </si>
  <si>
    <t>7th June 2025</t>
  </si>
  <si>
    <t xml:space="preserve"> SonaliC341 </t>
  </si>
  <si>
    <t>Banasthali Vidyapith, Banasthali (B.Tech Electronics and Communication Engineering)</t>
  </si>
  <si>
    <t>Arshiya sharma</t>
  </si>
  <si>
    <t>suhani varshney</t>
  </si>
  <si>
    <t>Banasthali Vidyapith, Banasthali (B.Tech Electronics and Instrumentation Engineering)</t>
  </si>
  <si>
    <t>Palak Jha</t>
  </si>
  <si>
    <t xml:space="preserve"> VisheshC341 </t>
  </si>
  <si>
    <t>shelton</t>
  </si>
  <si>
    <t>Pranathi shanubhag</t>
  </si>
  <si>
    <t>10th June 2025</t>
  </si>
  <si>
    <t>Patna Women's College, Patna (B.Com Accounting and Finance Hons)</t>
  </si>
  <si>
    <t>Swastika Dey Biswas</t>
  </si>
  <si>
    <t>Akash Sharma</t>
  </si>
  <si>
    <t>Patna Law College, Patna (LLB)</t>
  </si>
  <si>
    <t>Ritika Raj</t>
  </si>
  <si>
    <t>Patna Science College, Patna (B.Sc Geology Hons)</t>
  </si>
  <si>
    <t>Aman Raj</t>
  </si>
  <si>
    <t xml:space="preserve">shrashtiC342 </t>
  </si>
  <si>
    <t>Dr Vishwanath Karad MIT World Peace University, Pune (Integrated BBA and MBA)</t>
  </si>
  <si>
    <t>Sania Khan</t>
  </si>
  <si>
    <t>Lohitakshac342</t>
  </si>
  <si>
    <t>Amrita Vishwa Vidyapeetham, Bengaluru Campus (B.Tech Robotics and Artificial Intelligence)</t>
  </si>
  <si>
    <t>Chinnu</t>
  </si>
  <si>
    <t xml:space="preserve">KunalC342 </t>
  </si>
  <si>
    <t>GNIOT Institute of Professional Studies, Greater Noida (B.Com Hons)</t>
  </si>
  <si>
    <t>Pukhraj Soni</t>
  </si>
  <si>
    <t xml:space="preserve">SharvarishC342 </t>
  </si>
  <si>
    <t>Lady Brabourne College, Kolkata (B.Sc Economics Hons)</t>
  </si>
  <si>
    <t>Protyasha Saha</t>
  </si>
  <si>
    <t>Rama Das</t>
  </si>
  <si>
    <t>Ayantrika Pachal</t>
  </si>
  <si>
    <t>Tanisha Dhar</t>
  </si>
  <si>
    <t>ATLAS SkillTech University, Mumbai (B.Des Fashion Design)</t>
  </si>
  <si>
    <t>Sharvarish Das</t>
  </si>
  <si>
    <t>11st June 2025</t>
  </si>
  <si>
    <t xml:space="preserve">DishaC342 </t>
  </si>
  <si>
    <t>Sahil Sadhwani</t>
  </si>
  <si>
    <t xml:space="preserve"> KunalC342 </t>
  </si>
  <si>
    <t>Satyug Darshan Institute of Engineering and Technology, Faridabad (BBA Industry Integrated Financial Services and Banking)</t>
  </si>
  <si>
    <t>Harsh Vardhan</t>
  </si>
  <si>
    <t>Satyug Darshan Institute of Engineering and Technology, Faridabad (BBA Digital Marketing)</t>
  </si>
  <si>
    <t>Aman Kain</t>
  </si>
  <si>
    <t xml:space="preserve">SudarshanC342 </t>
  </si>
  <si>
    <t>Basavakalyan Engineering College, Bidar (B.Tech Computer Science)</t>
  </si>
  <si>
    <t>Sudarshan</t>
  </si>
  <si>
    <t>Basavakalyan Engineering College, Bidar (B.Tech Electronics and Communication Engineering)</t>
  </si>
  <si>
    <t>12th June 2025</t>
  </si>
  <si>
    <t xml:space="preserve"> NITISHC341 </t>
  </si>
  <si>
    <t>Government Engineering College, West Champaran (B.Tech Civil Engineering)</t>
  </si>
  <si>
    <t>ROSHANI KUMARI</t>
  </si>
  <si>
    <t>SACHIN KUMAR</t>
  </si>
  <si>
    <t>Government Engineering College, West Champaran (B.Tech Computer Science and Engineering)</t>
  </si>
  <si>
    <t>ARCHANA KUMARI</t>
  </si>
  <si>
    <t>Government Engineering College, West Champaran (B.Tech Cyber Security)</t>
  </si>
  <si>
    <t>ANJALI KUMARI</t>
  </si>
  <si>
    <t>NITISH KUMAR PASWAN</t>
  </si>
  <si>
    <t xml:space="preserve">KilliC343 </t>
  </si>
  <si>
    <t>NS Raju Institute of Engineering and Technology, Bheemunipatnam (B.Tech Computer Science and Engineering Artificial Intelligence and Machine Learning)</t>
  </si>
  <si>
    <t>Teja Killada</t>
  </si>
  <si>
    <t>Gompa Sandeep</t>
  </si>
  <si>
    <t>Pallela Tanuja</t>
  </si>
  <si>
    <t>Manasa killi</t>
  </si>
  <si>
    <t xml:space="preserve"> DishaC342 </t>
  </si>
  <si>
    <t>Vellore Institute of Technology, Vellore (B.Tech Information Technology)</t>
  </si>
  <si>
    <t>Preetham H</t>
  </si>
  <si>
    <t>13th June 2025</t>
  </si>
  <si>
    <t xml:space="preserve">DeyaC343 </t>
  </si>
  <si>
    <t>Deys kangnoo</t>
  </si>
  <si>
    <t>LNM Institute of Information Technology, Jaipur (B.Tech Electronics and Communication Engineering)</t>
  </si>
  <si>
    <t>Arihant Singi</t>
  </si>
  <si>
    <t xml:space="preserve"> KritikaC342 </t>
  </si>
  <si>
    <t>Khushi yadav</t>
  </si>
  <si>
    <t>TNG gaming</t>
  </si>
  <si>
    <t>14th June 2025</t>
  </si>
  <si>
    <t xml:space="preserve">ManasC341 </t>
  </si>
  <si>
    <t>College of Engineering and Technology, IILM Academy of Higher Learning, Greater Noida (B.Tech Computer Science and Engineering)</t>
  </si>
  <si>
    <t>Shreyanshu sharma</t>
  </si>
  <si>
    <t xml:space="preserve"> YatiC343 </t>
  </si>
  <si>
    <t>Zee College of Pharmacy, Unnao (D.Pharma)</t>
  </si>
  <si>
    <t>Satyam Shukla</t>
  </si>
  <si>
    <t>King George's Medical University, Lucknow (MD Anaesthesiology)</t>
  </si>
  <si>
    <t xml:space="preserve">KushagraC341 </t>
  </si>
  <si>
    <t>Harcourt Butler Technical University, Kanpur (Ph.D Electrical Engineering)</t>
  </si>
  <si>
    <t>Shresth Shrivastava</t>
  </si>
  <si>
    <t xml:space="preserve">NiharikaC344 </t>
  </si>
  <si>
    <t>Patna Women's College, Patna (BCA)</t>
  </si>
  <si>
    <t>Shreya Ghoshal</t>
  </si>
  <si>
    <t>Akanksha Singh</t>
  </si>
  <si>
    <t>Niharika Nischal</t>
  </si>
  <si>
    <t xml:space="preserve">PriyaC344 </t>
  </si>
  <si>
    <t>Vishwakarma University, Pune (B.Tech Computer Engineering)</t>
  </si>
  <si>
    <t>Manasi Salunkhe</t>
  </si>
  <si>
    <t>Priya Ingle</t>
  </si>
  <si>
    <t>Vishwakarma Institute of Technology, Pune (B.Tech Computer Engineering)</t>
  </si>
  <si>
    <t>Astha Chaudhari</t>
  </si>
  <si>
    <t>Shah and Anchor Kutchhi Engineering College, Mumbai (B.Tech Computer Engineering)</t>
  </si>
  <si>
    <t>Palak Baraliya</t>
  </si>
  <si>
    <t>RMD Sinhgad School of Engineering, Warje (BE Electronics and Telecommunication Engineering)</t>
  </si>
  <si>
    <t>Atharva Paithankar</t>
  </si>
  <si>
    <t xml:space="preserve">DashmeetC343 </t>
  </si>
  <si>
    <t>Manipal University, Jaipur (BCA)</t>
  </si>
  <si>
    <t>narsi jangid</t>
  </si>
  <si>
    <t>15th June 2025</t>
  </si>
  <si>
    <t xml:space="preserve"> ManasC341 </t>
  </si>
  <si>
    <t>Banasthali Vidyapith, Banasthali (B.Tech Information Technology)</t>
  </si>
  <si>
    <t>Arittra Singh</t>
  </si>
  <si>
    <t>National Forensic Sciences University, Gandhinagar (B.B.A, LL.B Hons)</t>
  </si>
  <si>
    <t>IILM University, Greater Noida (B.Tech CSE AI and ML)</t>
  </si>
  <si>
    <t>GIRISH KUMAR YADAV</t>
  </si>
  <si>
    <t>16th June 2025</t>
  </si>
  <si>
    <t xml:space="preserve"> AnshumanC345 </t>
  </si>
  <si>
    <t>Maharishi University of Information Technology, Lucknow (BCA)</t>
  </si>
  <si>
    <t>Anshuman</t>
  </si>
  <si>
    <t>Maharishi University of Information Technology, Lucknow (MBA)</t>
  </si>
  <si>
    <t>Maharishi University of Information Technology, Lucknow (BBA)</t>
  </si>
  <si>
    <t>Amit Pandit</t>
  </si>
  <si>
    <t>Gautam Pandit</t>
  </si>
  <si>
    <t>Lala Lajpatrai College of Commerce and Economics, Mumbai (B.Com Financial Management)</t>
  </si>
  <si>
    <t>Lina Kharvi</t>
  </si>
  <si>
    <t>Lilavati Lalji Dayal Night College Of Commerce, Mumbai (BMS)</t>
  </si>
  <si>
    <t>Sahil Soni</t>
  </si>
  <si>
    <t>JayketuC345</t>
  </si>
  <si>
    <t>Tatyasaheb Kore Institute of Engineering and Technology, Kolhapur (B.Tech Computer Science and Engineering)</t>
  </si>
  <si>
    <t>Om Anil Dangare</t>
  </si>
  <si>
    <t>Dhruv C337</t>
  </si>
  <si>
    <t>Rekha</t>
  </si>
  <si>
    <t>17th June 2025</t>
  </si>
  <si>
    <t xml:space="preserve">AnshumanC345 </t>
  </si>
  <si>
    <t>Maharishi University of Information Technology, Lucknow (B.Com)</t>
  </si>
  <si>
    <t>Lala Lajpat Rai College of Commerce and Economics, Mumbai (B.Com)</t>
  </si>
  <si>
    <t>Pari Darji</t>
  </si>
  <si>
    <t>Khan mohaddisha khatun</t>
  </si>
  <si>
    <t>Sanchita Patil</t>
  </si>
  <si>
    <t>18th June 2025</t>
  </si>
  <si>
    <t>YatiC343</t>
  </si>
  <si>
    <t>The Study Hall College, Lucknow (BBA)</t>
  </si>
  <si>
    <t>Aryan mishra</t>
  </si>
  <si>
    <t>Written in hindi</t>
  </si>
  <si>
    <t>Written in hindi/ similar Title</t>
  </si>
  <si>
    <t xml:space="preserve">NIYATIC346 </t>
  </si>
  <si>
    <t>Nagindas Khandwala College, Mumbai (BMS)</t>
  </si>
  <si>
    <t>Manan Maheshwari</t>
  </si>
  <si>
    <t xml:space="preserve">NidhiC346 </t>
  </si>
  <si>
    <t>Nidhi Rawat</t>
  </si>
  <si>
    <t>same people writing same review</t>
  </si>
  <si>
    <t>Harshita</t>
  </si>
  <si>
    <t>Tejaswini Kapasiya</t>
  </si>
  <si>
    <t>19th June 2025</t>
  </si>
  <si>
    <t xml:space="preserve">NishantC346 </t>
  </si>
  <si>
    <t>KIIT School of Management, Bhubaneswar (MBA)</t>
  </si>
  <si>
    <t>Shreya Agrawal</t>
  </si>
  <si>
    <t>Motilal Nehru College, New Delhi (BA Political Science Hons)</t>
  </si>
  <si>
    <t>Shinchan</t>
  </si>
  <si>
    <t xml:space="preserve"> AayushiC346 </t>
  </si>
  <si>
    <t>Management Education and Research Institute, Delhi (B.Com Hons)</t>
  </si>
  <si>
    <t xml:space="preserve"> DeekshaC347 </t>
  </si>
  <si>
    <t>Maitreyi College, New Delhi (B.Sc Physical Science with Chemistry)</t>
  </si>
  <si>
    <t>Nishika</t>
  </si>
  <si>
    <t xml:space="preserve">AhmedC347 </t>
  </si>
  <si>
    <t>God Of war</t>
  </si>
  <si>
    <t>SonalC346</t>
  </si>
  <si>
    <t>Jesus and Mary College, Delhi (B.Com Hons)</t>
  </si>
  <si>
    <t>Suman</t>
  </si>
  <si>
    <t>AayushiC46</t>
  </si>
  <si>
    <t>sajal sadana</t>
  </si>
  <si>
    <t>20th June 2025</t>
  </si>
  <si>
    <t xml:space="preserve"> NidhiC346 </t>
  </si>
  <si>
    <t>PGDAV College, Delhi (B.Com)</t>
  </si>
  <si>
    <t>Shivendra Tiwari</t>
  </si>
  <si>
    <t>21st June 2025</t>
  </si>
  <si>
    <t xml:space="preserve"> SakshiC346 </t>
  </si>
  <si>
    <t>Dr GY Pathrikar College of Computer Science and Information Technology, Aurangabad (BCA Hons)</t>
  </si>
  <si>
    <t>Soham Bihade</t>
  </si>
  <si>
    <t>Ayushi Kashyap</t>
  </si>
  <si>
    <t>Payal Singh</t>
  </si>
  <si>
    <t>AnshumanC345</t>
  </si>
  <si>
    <t>22nd June 2025</t>
  </si>
  <si>
    <t xml:space="preserve"> AnushkaC347 </t>
  </si>
  <si>
    <t>Kritanya pandey</t>
  </si>
  <si>
    <t>23rd June 2025</t>
  </si>
  <si>
    <t>25th June 2025</t>
  </si>
  <si>
    <t>Shri Murli Manohar Town Post Graduate College, Ballia (B.Com)</t>
  </si>
  <si>
    <t>Rameshwari Devi Girls College, Bharatpur (BA)</t>
  </si>
  <si>
    <t>Anika</t>
  </si>
  <si>
    <t>Rameshwari Devi Girls College, Bharatpur (MA Sociology)</t>
  </si>
  <si>
    <t>Shareen</t>
  </si>
  <si>
    <t>Vardhman Mahaveer Open University, Kota (B.Lib.I.Sc)</t>
  </si>
  <si>
    <t>MSJ College, Bharatpur (B.Com)</t>
  </si>
  <si>
    <t>PGS National College of Law, Mathura (BA LLB)</t>
  </si>
  <si>
    <t>Sadaf</t>
  </si>
  <si>
    <t xml:space="preserve"> PinkyC348 </t>
  </si>
  <si>
    <t>Indian Institute of Technology Hyderabad (M.Tech Smart Mobility)</t>
  </si>
  <si>
    <t>English and Foreign Languages University, Hyderabad (BA English Hons)</t>
  </si>
  <si>
    <t>Aparna M Rajesh</t>
  </si>
  <si>
    <t>English and Foreign Languages University, Hyderabad (BA Italian Hons)</t>
  </si>
  <si>
    <t>Arbaz Aman</t>
  </si>
  <si>
    <t>English and Foreign Languages University, Hyderabad (BA Japanese Hons)</t>
  </si>
  <si>
    <t>Archana Raj</t>
  </si>
  <si>
    <t>English and Foreign Languages University, Hyderabad (BA Digital Communication Hons)</t>
  </si>
  <si>
    <t>Aathira</t>
  </si>
  <si>
    <t>English and Foreign Languages University, Hyderabad (MA Arabic Language and Literature)</t>
  </si>
  <si>
    <t>Saiful Molla</t>
  </si>
  <si>
    <t>Jyotisatyam Panda</t>
  </si>
  <si>
    <t>English and Foreign Languages University, Hyderabad (BA German Hons)</t>
  </si>
  <si>
    <t>Kirtiman Kumar</t>
  </si>
  <si>
    <t>English and Foreign Languages University, Hyderabad (BA Arabic Hons)</t>
  </si>
  <si>
    <t>MINNATULLAH</t>
  </si>
  <si>
    <t>Sunny kumar</t>
  </si>
  <si>
    <t>College of Commerce, Arts and Science, Patna (BBA)</t>
  </si>
  <si>
    <t>Anshuman Maji</t>
  </si>
  <si>
    <t>ANAND MANJHI</t>
  </si>
  <si>
    <t>English and Foreign Languages University, Hyderabad (BA Russian Hons)</t>
  </si>
  <si>
    <t>Priyanshu upadhyay</t>
  </si>
  <si>
    <t>English and Foreign Languages University, Hyderabad (BA Chinese Hons)</t>
  </si>
  <si>
    <t>Gautam kumar</t>
  </si>
  <si>
    <t>Maharghya Saha</t>
  </si>
  <si>
    <t xml:space="preserve">OmC346 </t>
  </si>
  <si>
    <t>Smt Maherbanu College of Science and Commerce, Akola (BCA)</t>
  </si>
  <si>
    <t>Om Shyamsunder Sharma</t>
  </si>
  <si>
    <t xml:space="preserve"> YarneniC342 </t>
  </si>
  <si>
    <t>Malla Reddy Institute of Technology and Sciences, Secunderabad (B.Tech Civil Engineering)</t>
  </si>
  <si>
    <t>sravankumar ganta</t>
  </si>
  <si>
    <t>26th June 2025</t>
  </si>
  <si>
    <t>Jai Narain Vyas University, Jodhpur (BA)</t>
  </si>
  <si>
    <t>Jayesh soni</t>
  </si>
  <si>
    <t xml:space="preserve"> OmC346 </t>
  </si>
  <si>
    <t>Saraswati College, Shegaon (BCA)</t>
  </si>
  <si>
    <t>Sitabai Arts Commerce and Science College, Akola (B.Com)</t>
  </si>
  <si>
    <t>Smt Laxmibai Radhakisan Toshniwal College of Commerce, Akola (B.Com)</t>
  </si>
  <si>
    <t>Smt Maherbanu College of Science and Commerce, Akola (BBA)</t>
  </si>
  <si>
    <t>Kuldip Patil</t>
  </si>
  <si>
    <t>Shankarlal Khandelwal Arts Science and Commerce College, Akola (BCA)</t>
  </si>
  <si>
    <t xml:space="preserve">SaiyyamjotC348 </t>
  </si>
  <si>
    <t>Sri Guru Gobind Singh College of Commerce, Delhi (B.Com Hons)</t>
  </si>
  <si>
    <t>Harshdeep singh Chadha</t>
  </si>
  <si>
    <t>27th June 2025</t>
  </si>
  <si>
    <t xml:space="preserve">JayketuC235 </t>
  </si>
  <si>
    <t>KIT's College of Engineering, Kolhapur (B.Tech Civil Engineering)</t>
  </si>
  <si>
    <t>Parth Bhoi</t>
  </si>
  <si>
    <t xml:space="preserve">JayketuC345 </t>
  </si>
  <si>
    <t>Sharad Institute of Technology, College of Engineering, Yadrav (B.Tech Computer Science and Engineering)</t>
  </si>
  <si>
    <t>Dah</t>
  </si>
  <si>
    <t>Manipal Institute of Technology, Manipal (B.Tech Mechatronics Engineering)</t>
  </si>
  <si>
    <t>Wadood Shaikh</t>
  </si>
  <si>
    <t>College of Commerce, Arts and Science, Patna (BA</t>
  </si>
  <si>
    <t>Varun Raj</t>
  </si>
  <si>
    <t>28th June 2025</t>
  </si>
  <si>
    <t xml:space="preserve">KrishC347 </t>
  </si>
  <si>
    <t>K J Somaiya Institute of Management, Mumbai (MBA)</t>
  </si>
  <si>
    <t>Ashutosh Rawat</t>
  </si>
  <si>
    <t xml:space="preserve"> SarthikC349 </t>
  </si>
  <si>
    <t>Khandelwal College of Management Science and Technology, Bareilly (MBA)</t>
  </si>
  <si>
    <t>Nihal Singh</t>
  </si>
  <si>
    <t>RKDF University, Bhopal (B.Sc Agriculture Hons)</t>
  </si>
  <si>
    <t>Aviral gupta</t>
  </si>
  <si>
    <t>Sant Hirdaram Institute of Management for Women, Bhopal (MBA)</t>
  </si>
  <si>
    <t>Rama University, Kanpur (BBA Digital Marketing)</t>
  </si>
  <si>
    <t>Mulund College of Commerce, Mumbai (B.Sc Data Science Self Finance)</t>
  </si>
  <si>
    <t>Jaypee University of Information Technology, Solan (B.Tech Computer Science and Engineering)</t>
  </si>
  <si>
    <t>Varunesh RV</t>
  </si>
  <si>
    <t xml:space="preserve">MuwaazC349 </t>
  </si>
  <si>
    <t>Rishi Dayaram and Seth Hassaram National College and Seth Wassiamull Assomull Science College, Mumbai (B.Com)</t>
  </si>
  <si>
    <t>Madiya Shaikh</t>
  </si>
  <si>
    <t xml:space="preserve"> SimantaC350 </t>
  </si>
  <si>
    <t>Shaheed Sukhdev College of Business Studies, Delhi (BMS)</t>
  </si>
  <si>
    <t>Devid Boro</t>
  </si>
  <si>
    <t xml:space="preserve"> HarshnoorC350 </t>
  </si>
  <si>
    <t>Gaurav prit Singh</t>
  </si>
  <si>
    <t>29th June 2025</t>
  </si>
  <si>
    <t xml:space="preserve">MisthiC349 </t>
  </si>
  <si>
    <t>Chaudhary Ranbir Singh University, Jind (MBA)</t>
  </si>
  <si>
    <t>MAYANK</t>
  </si>
  <si>
    <t>Chaudhary Ranbir Singh University, Jind (BA English)</t>
  </si>
  <si>
    <t>Vinay tawerw</t>
  </si>
  <si>
    <t>College of Engineering and Technology, Moradabad (B.Tech Mechanical Engineering)</t>
  </si>
  <si>
    <t>IFTM University, Moradabad (B.Tech Computer Science and Engineering)</t>
  </si>
  <si>
    <t>Neetu</t>
  </si>
  <si>
    <t>Avi</t>
  </si>
  <si>
    <t>Manipal Institute of Technology, Manipal (B.Tech Aeronautical Engineering)</t>
  </si>
  <si>
    <t>Meerut Institute of Technology, Meerut (B.Tech Computer Science and Engineering)</t>
  </si>
  <si>
    <t>Riya Malik</t>
  </si>
  <si>
    <t>Shri PD Patil College of Engineering, Paldhi (B.Tech Computer Engineering)</t>
  </si>
  <si>
    <t>St RC College of Higher Education, Shamli (B.Ed)</t>
  </si>
  <si>
    <t>Manit Panwar</t>
  </si>
  <si>
    <t>Aastha</t>
  </si>
  <si>
    <t>Chaudhary Aryan</t>
  </si>
  <si>
    <t>Shri Sant Gajanan Maharaj College of Engineering, Shegaon (ME Computer Engineering)</t>
  </si>
  <si>
    <t>Similaar Content/ Smilar title</t>
  </si>
  <si>
    <t>Shri Sant Gajanan Maharaj College of Engineering, Shegaon (BE Mechanical Engineering)</t>
  </si>
  <si>
    <t>Shankarlal Khandelwal Arts Science and Commerce College, Akola (MA English)</t>
  </si>
  <si>
    <t xml:space="preserve">AayushiC346 </t>
  </si>
  <si>
    <t>30th June 2025</t>
  </si>
  <si>
    <t>Birla Institute of Technology, Mesra (B.Tech Information Technology)</t>
  </si>
  <si>
    <t xml:space="preserve"> PoleboinaC350 </t>
  </si>
  <si>
    <t>St Peter's Engineering College, Hyderabad (B.Tech Computer Science and Engineering)</t>
  </si>
  <si>
    <t>Poleboina Sathwik</t>
  </si>
  <si>
    <t xml:space="preserve">SnehaC347 </t>
  </si>
  <si>
    <t>Vidyalankar School of Information Technology, Mumbai (B.Com Banking and Insurance)</t>
  </si>
  <si>
    <t>Neha vadlakonda</t>
  </si>
  <si>
    <t>Saraswati College of Engineering, Navi Mumbai (BE Computer Engineering)</t>
  </si>
  <si>
    <t>vinit surve</t>
  </si>
  <si>
    <t>Vidyalankar Institute of Technology, Mumbai (BE Electronics and Telecommunication Engineering)</t>
  </si>
  <si>
    <t>liza simon</t>
  </si>
  <si>
    <t>K J Somaiya Institute of Technology, Mumbai (BE Computer Engineering)</t>
  </si>
  <si>
    <t>vikshita vadlakonda</t>
  </si>
  <si>
    <t>Kirti M Doongursee College of Arts Science and Commerce, Mumbai (BMS Self Finance)</t>
  </si>
  <si>
    <t>Kashish ayare</t>
  </si>
  <si>
    <t>Nupur shinde</t>
  </si>
  <si>
    <t>rishi mhamunkar</t>
  </si>
  <si>
    <t>1st July 2025</t>
  </si>
  <si>
    <t xml:space="preserve"> JayketuC345 </t>
  </si>
  <si>
    <t>Sanjay Ghodawat University, Kolhapur (B.Tech Computer Science Engineering)</t>
  </si>
  <si>
    <t>Sanmegh Chavan</t>
  </si>
  <si>
    <t xml:space="preserve">HarshnoorC350 </t>
  </si>
  <si>
    <t>Khalsa College for Women, Ludhiana (B.Com)</t>
  </si>
  <si>
    <t>Gursirat</t>
  </si>
  <si>
    <t>Gauhati Commerce College, Guwahati (B.Com Hons)</t>
  </si>
  <si>
    <t>Alpa Bania</t>
  </si>
  <si>
    <t>OmC346</t>
  </si>
  <si>
    <t>Government Polytechnic, Khamgaon (Diploma in Mechanical Engineering)</t>
  </si>
  <si>
    <t>Dharampeth Education Society's Dharampeth Polytechnic, Nagpur (Diploma in Computer Technology)</t>
  </si>
  <si>
    <t>om5443858</t>
  </si>
  <si>
    <t>2nd July 2025</t>
  </si>
  <si>
    <t>Rashtrasant Tukadoji Maharaj Nagpur University, Nagpur (B.Sc)</t>
  </si>
  <si>
    <t xml:space="preserve"> MeetC351 </t>
  </si>
  <si>
    <t>SNJB's Late Sau Kantabai Bhavarlalji Jain College of Engineering, Nashik (BE Artificial Intelligence and Data Science)</t>
  </si>
  <si>
    <t>same review</t>
  </si>
  <si>
    <t>3rd July 2025</t>
  </si>
  <si>
    <t xml:space="preserve"> RachnaC351 </t>
  </si>
  <si>
    <t>Mahaveer Institute of Engineering and Technology, Meerut (B.Tech Mechanical Engineering)</t>
  </si>
  <si>
    <t>Rachna Chhimpa</t>
  </si>
  <si>
    <t>Shri Shyam Mahila College, Hanumangarh (B.Sc)</t>
  </si>
  <si>
    <t>Mahaveer Institute of Technology, Meerut (B.Sc-Zoology, Botony and Chemistry)</t>
  </si>
  <si>
    <t>ankit</t>
  </si>
  <si>
    <t xml:space="preserve"> FaizanC351 </t>
  </si>
  <si>
    <t>JaganNath Institute of Management Sciences, Rohini (BBA)</t>
  </si>
  <si>
    <t xml:space="preserve"> AbdulC348 </t>
  </si>
  <si>
    <t>AYUSH</t>
  </si>
  <si>
    <t xml:space="preserve">DhruvC350 </t>
  </si>
  <si>
    <t>Vivekananda Global University, Jaipur (B.Tech Computer Science and Engineering)</t>
  </si>
  <si>
    <t>Swami Keshvanand Institute of Technology, Management and Gramothan, Jaipur (MBA)</t>
  </si>
  <si>
    <t xml:space="preserve"> SrishtiC351 </t>
  </si>
  <si>
    <t>Aman Nautiyal</t>
  </si>
  <si>
    <t>DAV Centenary College, Faridabad (BCA)</t>
  </si>
  <si>
    <t>Khushboo Rawat</t>
  </si>
  <si>
    <t>GH Raisoni Law School, Nagpur (LLB)</t>
  </si>
  <si>
    <t>Jadhav Vishwaket Sanjay</t>
  </si>
  <si>
    <t>Alefiyah kapadiya</t>
  </si>
  <si>
    <t>MGM Institute of Physiotherapy, Aurangabad (BPT)</t>
  </si>
  <si>
    <t>Riddhi Agrawal</t>
  </si>
  <si>
    <t>Krushna Agrawal</t>
  </si>
  <si>
    <t xml:space="preserve"> KritikaC351 </t>
  </si>
  <si>
    <t>University of Lucknow, Lucknow (BA Economics Hons)</t>
  </si>
  <si>
    <t>Rohit Sharma</t>
  </si>
  <si>
    <t>Babasaheb Bhimrao Ambedkar University, Lucknow (B.Com Hons)</t>
  </si>
  <si>
    <t>IILM University, Gurugram (BBA Banking and Finance Hons)</t>
  </si>
  <si>
    <t>Himachal Pradesh Technical University, Hamirpur (BBA)</t>
  </si>
  <si>
    <t>Himachal Pradesh Technical University, Hamirpur (B.Tech Electrical Engineering)</t>
  </si>
  <si>
    <t>International Institute of Information Technology, Hyderabad (B.Tech Electronics and Communication Engineering)</t>
  </si>
  <si>
    <t>HLM Management College, Ghaziabad (BCA)</t>
  </si>
  <si>
    <t>Deepanshu Badola</t>
  </si>
  <si>
    <t>4th July 2025</t>
  </si>
  <si>
    <t>GH Raisoni College of Engineering and Management, Amravati (BE Mechanical Engineering)</t>
  </si>
  <si>
    <t>Om Sharma</t>
  </si>
  <si>
    <t>Shri Shivaji Arts Commerce and Science College, Akot (BA)</t>
  </si>
  <si>
    <t xml:space="preserve">AnkitaC352 </t>
  </si>
  <si>
    <t>St Xaviers College, Ranchi (MA Political Science)</t>
  </si>
  <si>
    <t>Anjali Kumari</t>
  </si>
  <si>
    <t>Jharkhand Rai University, Ranchi (BCA)</t>
  </si>
  <si>
    <t>Anushka</t>
  </si>
  <si>
    <t>Gyan Deepika</t>
  </si>
  <si>
    <t>Jharkhand Rai University, Ranchi (BA LLB)</t>
  </si>
  <si>
    <t>Vandna Kumari</t>
  </si>
  <si>
    <t xml:space="preserve">MuskanC352 </t>
  </si>
  <si>
    <t>Shivaam pathak</t>
  </si>
  <si>
    <t xml:space="preserve"> KhushiYC350 </t>
  </si>
  <si>
    <t>Motilal Nehru College, New Delhi (BA)</t>
  </si>
  <si>
    <t>Manshi priya</t>
  </si>
  <si>
    <t>College of Vocational Studies, New Delhi (B.Sc Computer Science Hons)</t>
  </si>
  <si>
    <t>Hulshit</t>
  </si>
  <si>
    <t>5th July 2025</t>
  </si>
  <si>
    <t>Khushi Kumari</t>
  </si>
  <si>
    <t xml:space="preserve">VibhaC347 </t>
  </si>
  <si>
    <t>Varsha bihani</t>
  </si>
  <si>
    <t xml:space="preserve">ShinyC352 </t>
  </si>
  <si>
    <t>Siliguri Institute of Technology, Darjeeling (B.Tech Electronics and Communication Engineering)</t>
  </si>
  <si>
    <t>Souvik Nag</t>
  </si>
  <si>
    <t xml:space="preserve"> NitinC351 </t>
  </si>
  <si>
    <t>Sri Venkateswara College, Delhi (BA History Hons)</t>
  </si>
  <si>
    <t>Kashish Prajapati</t>
  </si>
  <si>
    <t xml:space="preserve"> nishthaC352 </t>
  </si>
  <si>
    <t>Don Bosco Institute of Technology, New Delhi (BBA)</t>
  </si>
  <si>
    <t>Harsh Kaushik</t>
  </si>
  <si>
    <t>6th July 2025</t>
  </si>
  <si>
    <t>Future Business School, Kolkata (M.Sc Media Science)</t>
  </si>
  <si>
    <t>Rajorshi Ray</t>
  </si>
  <si>
    <t>Future Business School, Kolkata (B.Sc Media Science)</t>
  </si>
  <si>
    <t>Future Institute of Engineering and Management, Kolkata (B.Tech Electrical Engineering)</t>
  </si>
  <si>
    <t>Nihal Bara</t>
  </si>
  <si>
    <t>Shri Shivaji College of Arts Commerce and Science, Akola (M.Sc Chemistry)</t>
  </si>
  <si>
    <t>Shri Shivaji College of Arts Commerce and Science, Akola (B.Sc)</t>
  </si>
  <si>
    <t>Saraswati College, Shegaon (MCA)</t>
  </si>
  <si>
    <t>Shyamsunder Sharma</t>
  </si>
  <si>
    <t xml:space="preserve"> NihmaC352 </t>
  </si>
  <si>
    <t>Yenepoya School of Allied Health Sciences, Mangaluru (B.Sc Medical Imaging Technology)</t>
  </si>
  <si>
    <t>Nihma Aneena</t>
  </si>
  <si>
    <t>AbhinavC352</t>
  </si>
  <si>
    <t>Ashu pakhre</t>
  </si>
  <si>
    <t>7th July 2025</t>
  </si>
  <si>
    <t xml:space="preserve">PoushaliC349 </t>
  </si>
  <si>
    <t>Harsha Talks</t>
  </si>
  <si>
    <t xml:space="preserve">AyushiC346 </t>
  </si>
  <si>
    <t>Institute of Information Technology and Management, Delhi (B.Com Hons)</t>
  </si>
  <si>
    <t>Kaanha Grover</t>
  </si>
  <si>
    <t>GS Science Arts and Commerce College, Khamgaon (B.Sc-Computer Science, Physics and Electronics)</t>
  </si>
  <si>
    <t>Dr Panjabrao Deshmukh Krishi Vidyapeeth, Akola (B.Sc Agriculture Hons)</t>
  </si>
  <si>
    <t xml:space="preserve">DikshaC351 </t>
  </si>
  <si>
    <t>College of Vocational Studies, New Delhi (BA Human Resource Management Vocational Studies)</t>
  </si>
  <si>
    <t>Mahi Ranjan</t>
  </si>
  <si>
    <t>Black Clover Fan club</t>
  </si>
  <si>
    <t xml:space="preserve">AyushiC353 </t>
  </si>
  <si>
    <t>gunjan munjal</t>
  </si>
  <si>
    <t xml:space="preserve">ShreetejC350 </t>
  </si>
  <si>
    <t>Sir Parashurambhau College, Pune (MA Geography)</t>
  </si>
  <si>
    <t>Rutuja Paygude</t>
  </si>
  <si>
    <t>Tilak Maharashtra Vidyapeeth, Pune (MSW Professional)</t>
  </si>
  <si>
    <t>Prajwal Bunge</t>
  </si>
  <si>
    <t>Modern College of Arts, Science and Commerce, Ganeshkhind, Pune (M.Sc Computer Science)</t>
  </si>
  <si>
    <t>Shubham Kapre</t>
  </si>
  <si>
    <t>8th July 2025</t>
  </si>
  <si>
    <t xml:space="preserve">SnehaC353 </t>
  </si>
  <si>
    <t>University of Delhi, Delhi (BA)</t>
  </si>
  <si>
    <t>Prakriti Priyal</t>
  </si>
  <si>
    <t>Janki Devi Memorial College, New Delhi (BA English Hons)</t>
  </si>
  <si>
    <t>Pragya Singh</t>
  </si>
  <si>
    <t xml:space="preserve"> PoushaliC349 </t>
  </si>
  <si>
    <t>Madhumalar R</t>
  </si>
  <si>
    <t>Shiv Nadar University, Chennai (B.Sc Economics- Data Science)</t>
  </si>
  <si>
    <t>Jaisimhan H</t>
  </si>
  <si>
    <t>Khushi Jha</t>
  </si>
  <si>
    <t>Arya Anand</t>
  </si>
  <si>
    <t>Jansi Kumari</t>
  </si>
  <si>
    <t>9th July 2025</t>
  </si>
  <si>
    <t xml:space="preserve">NitinC351 </t>
  </si>
  <si>
    <t>Surendranath College, Kolkata (B.Sc Economics Hons)</t>
  </si>
  <si>
    <t>Dhriti Biswas</t>
  </si>
  <si>
    <t>Jawaharlal Nehru University, New Delhi (Ph.D Economics)</t>
  </si>
  <si>
    <t>Prarthana Agrwal</t>
  </si>
  <si>
    <t>Manav Rachna University, Faridabad (Ph.D Management)</t>
  </si>
  <si>
    <t>Aditi Khanna</t>
  </si>
  <si>
    <t>Sangam University, Bhilwara (B.Tech Computer Science Engineering)</t>
  </si>
  <si>
    <t>Gunjan Jathliya</t>
  </si>
  <si>
    <t xml:space="preserve"> BalashanmugamC353 </t>
  </si>
  <si>
    <t>Builders Engineering College, Tirupur (ME Computer Science and Engineering)</t>
  </si>
  <si>
    <t>Janani</t>
  </si>
  <si>
    <t>Builders Engineering College, Tirupur (BE Electronics and Communication Engineering)</t>
  </si>
  <si>
    <t>Jai Shriram Engineering College, Tirupur (ME Computer Science and Engineering)</t>
  </si>
  <si>
    <t>Builders Engineering College, Tirupur (BE Electrical and Electronics Engineering)</t>
  </si>
  <si>
    <t>Inbarasi</t>
  </si>
  <si>
    <t>Builders Engineering College, Tirupur (BE Computer Science and Engineering)</t>
  </si>
  <si>
    <t>Kongunadu Arts and Science College, Coimbatore (M.Sc Mathematics)</t>
  </si>
  <si>
    <t>Joshna</t>
  </si>
  <si>
    <t>Santhoshkumar J</t>
  </si>
  <si>
    <t>Senthilragav</t>
  </si>
  <si>
    <t>Kongunadu Arts and Science College, Coimbatore (B.Sc Mathematics)</t>
  </si>
  <si>
    <t xml:space="preserve"> BalashanmugamC354</t>
  </si>
  <si>
    <t>Builders Engineering College, Tirupur (B.Tech Artificial Intelligence and Data Science)</t>
  </si>
  <si>
    <t>Divya</t>
  </si>
  <si>
    <t xml:space="preserve"> BalashanmugamC355</t>
  </si>
  <si>
    <t>Sahaana</t>
  </si>
  <si>
    <t xml:space="preserve"> BalashanmugamC356</t>
  </si>
  <si>
    <t>Alfina</t>
  </si>
  <si>
    <t xml:space="preserve"> BalashanmugamC357</t>
  </si>
  <si>
    <t>Yogesh Waran</t>
  </si>
  <si>
    <t xml:space="preserve"> BalashanmugamC358</t>
  </si>
  <si>
    <t>Bhubanesh D</t>
  </si>
  <si>
    <t>St RC College of Higher Education, Shamli (BA)</t>
  </si>
  <si>
    <t>Ansh Malik</t>
  </si>
  <si>
    <t>Chirag Malik</t>
  </si>
  <si>
    <t>Rajan Malik</t>
  </si>
  <si>
    <t>Badal Rana</t>
  </si>
  <si>
    <t xml:space="preserve"> TrushaliMI319 </t>
  </si>
  <si>
    <t>Sushilabai Ramchandrarao Mamidwar College of Social Work, Chandrapur (MSW)</t>
  </si>
  <si>
    <t>Damini Ravindra Burande</t>
  </si>
  <si>
    <t>Sushilabai Ramchandrarao Mamidwar College of Social Work, Chandrapur (BSW)</t>
  </si>
  <si>
    <t>Sardar Patel Mahavidyalaya, Chandrapur (MA Sociology)</t>
  </si>
  <si>
    <t>Kunda Tanle</t>
  </si>
  <si>
    <t>College of Commerce, Arts and Science, Patna (BCA)</t>
  </si>
  <si>
    <t>Rahul Kumar</t>
  </si>
  <si>
    <t xml:space="preserve">AishwaryaMI320 </t>
  </si>
  <si>
    <t>PES Institute of Technology and Management, Shimoga (MBA)</t>
  </si>
  <si>
    <t>Aishwarya B S</t>
  </si>
  <si>
    <t xml:space="preserve">ArunabhMI320 </t>
  </si>
  <si>
    <t>Arunabh vindra</t>
  </si>
  <si>
    <t>10th July 2025</t>
  </si>
  <si>
    <t xml:space="preserve">ShashankaC351 </t>
  </si>
  <si>
    <t>Guru Nanak Institutions Technical Campus, Ibrahimpatnam (B.Tech Computer Science and Engineering)</t>
  </si>
  <si>
    <t>Varshith</t>
  </si>
  <si>
    <t xml:space="preserve">nishthaC352  </t>
  </si>
  <si>
    <t>Ram Lal Anand College, New Delhi (BA)</t>
  </si>
  <si>
    <t>Aakarshit Mehra</t>
  </si>
  <si>
    <t>Doon University, Dehradun (BA English Hons)</t>
  </si>
  <si>
    <t>Ritika Chaturvedi</t>
  </si>
  <si>
    <t>Doon University, Dehradun (MA English)</t>
  </si>
  <si>
    <t>Rajdhani College, New Delhi (B.Com Hons)</t>
  </si>
  <si>
    <t>Hardik Sundriyal</t>
  </si>
  <si>
    <t>Tejas Nagpal</t>
  </si>
  <si>
    <t>Denali</t>
  </si>
  <si>
    <t xml:space="preserve">AbhinavC352 </t>
  </si>
  <si>
    <t>Ajay Kumar Garg Engineering College, Ghaziabad (B.Tech Information Technology)</t>
  </si>
  <si>
    <t>Janvi Singh</t>
  </si>
  <si>
    <t xml:space="preserve">avneetC354 </t>
  </si>
  <si>
    <t>PGDAV College, Delhi (BA Computer Applications and Mathematics)</t>
  </si>
  <si>
    <t>Pritish Pratap singh</t>
  </si>
  <si>
    <t>Irrelevant words</t>
  </si>
  <si>
    <t>Patna Women's College, Patna (BBA)</t>
  </si>
  <si>
    <t>11th July 2025</t>
  </si>
  <si>
    <t>Prateek Marwah</t>
  </si>
  <si>
    <t>Krishna Srivastava</t>
  </si>
  <si>
    <t>Maharaja Agrasen Institute of Management Studies, Delhi (BBA LLB)</t>
  </si>
  <si>
    <t>SHATAKSHI RASTOGI</t>
  </si>
  <si>
    <t>South Asian University, New Delhi (MA Economics with Specialization in Economic Development)</t>
  </si>
  <si>
    <t>Prab Jot Kaur</t>
  </si>
  <si>
    <t>Mata Sundri College for Women, New Delhi (BA Political Science Hons)</t>
  </si>
  <si>
    <t>Tavneet Kaur</t>
  </si>
  <si>
    <t>Reindeer</t>
  </si>
  <si>
    <t>Bhim Rao Ambedkar College, Delhi (BA)</t>
  </si>
  <si>
    <t>Pr</t>
  </si>
  <si>
    <t>Shaheed Bhagat Singh Evening College, New Delhi (B.Com Hons)</t>
  </si>
  <si>
    <t>Saanidhya</t>
  </si>
  <si>
    <t xml:space="preserve"> DevathiC353 </t>
  </si>
  <si>
    <t>Shaheed Rajguru College of Applied Science for Women, Delhi (BA Psychology Hons)</t>
  </si>
  <si>
    <t>Lakshmi Narasimha Swami</t>
  </si>
  <si>
    <t>12th July 2025</t>
  </si>
  <si>
    <t>Department of Management Studies, Indian Institute of Technology, Madras (Ph.D Operations Management)</t>
  </si>
  <si>
    <t>Mayank Pathak</t>
  </si>
  <si>
    <t>National Law University, New Delhi (PG Diploma in Urban Environmental Management and Law)</t>
  </si>
  <si>
    <t>National Law University, New Delhi (PG Diploma in Tourism and Environmental Law)</t>
  </si>
  <si>
    <t>Indira Gandhi National Open University, New Delhi (MA Political Science)</t>
  </si>
  <si>
    <t>Indira Gandhi National Open University, New Delhi (Master of Tourism and Travel Management)</t>
  </si>
  <si>
    <t>Government College, Kullu (BA Tourism and Travel Management)</t>
  </si>
  <si>
    <t>Hemanth</t>
  </si>
  <si>
    <t>Dhruv Kundra</t>
  </si>
  <si>
    <t>JN Kapoor DAV Centenary Dental College, Yamuna Nagar (BDS)</t>
  </si>
  <si>
    <t>Sri Guru Tegh Bahadur Khalsa College, New Delhi (BA Economics Hons)</t>
  </si>
  <si>
    <t>Harman singh</t>
  </si>
  <si>
    <t>Delhi Technological University, Delhi (BA Economics Hons)</t>
  </si>
  <si>
    <t>Dev Tomar</t>
  </si>
  <si>
    <t>Kamla Nehru College for Women, Phagwara (BA)</t>
  </si>
  <si>
    <t>Priyanshi k</t>
  </si>
  <si>
    <t>Hansraj College, Delhi (B.Sc Physical Sciences With Computer Science)</t>
  </si>
  <si>
    <t>kartik singh</t>
  </si>
  <si>
    <t>Ankur Singh</t>
  </si>
  <si>
    <t>Hemant</t>
  </si>
  <si>
    <t xml:space="preserve"> SounavC355 </t>
  </si>
  <si>
    <t>Surendranath College, Kolkata (B.Sc Chemistry Hons)</t>
  </si>
  <si>
    <t>Sounav Sadhukhan</t>
  </si>
  <si>
    <t>Irrelevant content/ reviewed on behalf of others</t>
  </si>
  <si>
    <t>Swami Vivekananda University, Kolkata (BBA Agriculture Business Management)</t>
  </si>
  <si>
    <t>Regent Education and Research Foundation Group of Institutions, South 24 Parganas (B.Tech Electrical and Electronics Engineering)</t>
  </si>
  <si>
    <t xml:space="preserve">FAIZANC351 </t>
  </si>
  <si>
    <t>Jagannath University, Jhajjar (BBA Logistics and Supply Chain Management)</t>
  </si>
  <si>
    <t>Jagannath University, Jhajjar (BCA)</t>
  </si>
  <si>
    <t>Sanjay Prasad</t>
  </si>
  <si>
    <t>JaganNath Institute of Management Sciences, Rohini (BCA)</t>
  </si>
  <si>
    <t>Kaif ansari</t>
  </si>
  <si>
    <t>Ishan Jain</t>
  </si>
  <si>
    <t xml:space="preserve"> JyotishkaC355 </t>
  </si>
  <si>
    <t>Isha Chandra</t>
  </si>
  <si>
    <t xml:space="preserve"> NishantC346 </t>
  </si>
  <si>
    <t>Meerut Institute of Technology, Meerut (B.Tech Civil Engineering)</t>
  </si>
  <si>
    <t>Nishant Malik</t>
  </si>
  <si>
    <t>NavyaC355</t>
  </si>
  <si>
    <t>Navya Gupta</t>
  </si>
  <si>
    <t>13th July 2025</t>
  </si>
  <si>
    <t xml:space="preserve">PushkinC354 </t>
  </si>
  <si>
    <t>Sri Aurobindo College of Commerce and Management, Ludhiana (B.Com)</t>
  </si>
  <si>
    <t>Harshit</t>
  </si>
  <si>
    <t xml:space="preserve"> SuhaniC355 </t>
  </si>
  <si>
    <t>Panipat Institute of Engineering and Technology, Panipat (B.Tech Computer Science and Engineering)</t>
  </si>
  <si>
    <t>Bhavya Sehgal</t>
  </si>
  <si>
    <t xml:space="preserve"> avneetC354 </t>
  </si>
  <si>
    <t>Amrinder Singh Virk</t>
  </si>
  <si>
    <t>Sri Guru Tegh Bahadur Khalsa College, New Delhi (BA Economics and History)</t>
  </si>
  <si>
    <t>Prabeer Singh Nayar</t>
  </si>
  <si>
    <t>Indian Institute of Technology Delhi (Ph.D Mathematics)</t>
  </si>
  <si>
    <t>Arshi</t>
  </si>
  <si>
    <t>Indian Institute of Technology Mandi (M.Sc Applied Mathematics)</t>
  </si>
  <si>
    <t>Urvashi</t>
  </si>
  <si>
    <t>Indian Institute of Technology Kanpur (M.Sc Mathematics)</t>
  </si>
  <si>
    <t>Ramjas College, Delhi (B.Sc Mathematics Hons)</t>
  </si>
  <si>
    <t>Amrit Kumar</t>
  </si>
  <si>
    <t>Indian Institute of Technology Hyderabad (M.Sc Mathematics)</t>
  </si>
  <si>
    <t>Ramanujan College, New Delhi (B.Sc Mathematics Hons)</t>
  </si>
  <si>
    <t xml:space="preserve">SounavC355 </t>
  </si>
  <si>
    <t xml:space="preserve"> FAIZANC351 </t>
  </si>
  <si>
    <t>Jagannath University, Jhajjar (BA Journalism and Mass Communication)</t>
  </si>
  <si>
    <t>Sangeeta</t>
  </si>
  <si>
    <t>Anshika</t>
  </si>
  <si>
    <t xml:space="preserve">SiddhiC355 </t>
  </si>
  <si>
    <t>Fergusson College, Pune (B.Sc Computer Science Self Financed)</t>
  </si>
  <si>
    <t>shradha</t>
  </si>
  <si>
    <t>details mistchted</t>
  </si>
  <si>
    <t>Ruchika Kathraji</t>
  </si>
  <si>
    <t>Kakatiya University, Warangal (M.Sc Mathematics)</t>
  </si>
  <si>
    <t>Panineeya Mahavidyalaya College of Education, Hyderabad (B.Ed)</t>
  </si>
  <si>
    <t>Pingle Government Degree College for Women, Warangal (B.Sc-Mathematics, Physics and Chemistry)</t>
  </si>
  <si>
    <t>Lal Bahadur College, Warangal (B.Sc-Mathematics, Physics and Chemistry)</t>
  </si>
  <si>
    <t>srinivas muddasani</t>
  </si>
  <si>
    <t>14th July 2025</t>
  </si>
  <si>
    <t xml:space="preserve">Meghanakandukuri </t>
  </si>
  <si>
    <t>same content /similar title</t>
  </si>
  <si>
    <t>Kavide Navya</t>
  </si>
  <si>
    <t>GOLLE AKHILA</t>
  </si>
  <si>
    <t xml:space="preserve">NavyaC355 </t>
  </si>
  <si>
    <t>Aashu K</t>
  </si>
  <si>
    <t>Deakin University, Melbourne (Bachelor of Information Technology)</t>
  </si>
  <si>
    <t>Dev Gupta</t>
  </si>
  <si>
    <t>Suhani Srivastava</t>
  </si>
  <si>
    <t>Indian Institute of Management Bangalore (Online BBA)</t>
  </si>
  <si>
    <t>SimantaC350</t>
  </si>
  <si>
    <t>Lakshmibai College, Delhi (BA English Hons)</t>
  </si>
  <si>
    <t>Anjali Rani</t>
  </si>
  <si>
    <t>15th July 2025</t>
  </si>
  <si>
    <t xml:space="preserve"> DikshaC351 </t>
  </si>
  <si>
    <t>College of Vocational Studies, New Delhi (BA Tourism Management Vocational Studies)</t>
  </si>
  <si>
    <t>Khushi Singh</t>
  </si>
  <si>
    <t xml:space="preserve">written in hindi </t>
  </si>
  <si>
    <t xml:space="preserve">GunikaC353 </t>
  </si>
  <si>
    <t>Manmeet Kaur</t>
  </si>
  <si>
    <t>PushkarSC355</t>
  </si>
  <si>
    <t>Brainware University, Kolkata (B.Com Finance and Banking Hons)</t>
  </si>
  <si>
    <t>Pushkar Sikari</t>
  </si>
  <si>
    <t>Amity University, Kolkata (B.Com Hons)</t>
  </si>
  <si>
    <t>Kalyani Mahavidyalaya, Nadia (B.Com)</t>
  </si>
  <si>
    <t>St Xavier's University, Kolkata (B.Com Hons)</t>
  </si>
  <si>
    <t>JaganNath Institute of Management Sciences, Rohini (B.Com)</t>
  </si>
  <si>
    <t>Ankit</t>
  </si>
  <si>
    <t>Divyanshi Jain</t>
  </si>
  <si>
    <t xml:space="preserve">Tenzin </t>
  </si>
  <si>
    <t>Krish Goyal</t>
  </si>
  <si>
    <t>Netflix tv</t>
  </si>
  <si>
    <t>Details Mimachted</t>
  </si>
  <si>
    <t>Jagannath University, Jhajjar (BBA)</t>
  </si>
  <si>
    <t>Jigisha Sharma</t>
  </si>
  <si>
    <t>Yash Kashyap</t>
  </si>
  <si>
    <t>Priyanshu bisht</t>
  </si>
  <si>
    <t>Jagannath University, Jhajjar (BBA Entrepreneurship)</t>
  </si>
  <si>
    <t>Tanya Singh</t>
  </si>
  <si>
    <t>Hardik Gupta</t>
  </si>
  <si>
    <t>Himanshu Prajapati</t>
  </si>
  <si>
    <t>Anupriya Kashyap</t>
  </si>
  <si>
    <t>Kartik Gupta</t>
  </si>
  <si>
    <t xml:space="preserve">Chhavi </t>
  </si>
  <si>
    <t>Meerut Institute of Technology, Meerut (MCA)</t>
  </si>
  <si>
    <t xml:space="preserve">DivyaC355 </t>
  </si>
  <si>
    <t>University Institute of Engineering and Technology, Panjab University, Chandigarh (BE Information Technology)</t>
  </si>
  <si>
    <t>Divya Verma</t>
  </si>
  <si>
    <t>Brainware University, Kolkata (MCA)</t>
  </si>
  <si>
    <t>16th July 2025</t>
  </si>
  <si>
    <t>Animesh Meru Jain</t>
  </si>
  <si>
    <t>Ankit Goswami</t>
  </si>
  <si>
    <t xml:space="preserve">wariting about diff course </t>
  </si>
  <si>
    <t>V K</t>
  </si>
  <si>
    <t xml:space="preserve">SaambaviC355 </t>
  </si>
  <si>
    <t>K Ramakrishnan College of Engineering, Tiruchirappalli (BE Artificial Intelligence and Data Science)</t>
  </si>
  <si>
    <t>SHERLIN HELENAA J</t>
  </si>
  <si>
    <t>K Ramakrishnan College of Engineering, Tiruchirappalli (BE Artificial Intelligence and Machine Learning)</t>
  </si>
  <si>
    <t>PAVITHRA D M</t>
  </si>
  <si>
    <t>MAM College of Engineering and Technology, Tiruchirappalli (BE Computer Science and Engineering)</t>
  </si>
  <si>
    <t>Roshan</t>
  </si>
  <si>
    <t>MAM College of Engineering and Technology, Tiruchirappalli (B.Tech Artificial Intelligence and Data Science)</t>
  </si>
  <si>
    <t>Rohith Rohith</t>
  </si>
  <si>
    <t>NARESH RENGARAJAN</t>
  </si>
  <si>
    <t>K Ramakrishnan College of Engineering, Tiruchirappalli (ME Computer Science and Engineering)</t>
  </si>
  <si>
    <t>Sherwin A</t>
  </si>
  <si>
    <t xml:space="preserve"> OmC356 </t>
  </si>
  <si>
    <t>Lakshya Varshney</t>
  </si>
  <si>
    <t xml:space="preserve">TarunC356 </t>
  </si>
  <si>
    <t>San Fransisco</t>
  </si>
  <si>
    <t>Jagannath University, Jhajjar (BBA Aviation Management)</t>
  </si>
  <si>
    <t>Tarun Sharma</t>
  </si>
  <si>
    <t xml:space="preserve">PushkarSC355 </t>
  </si>
  <si>
    <t>Supriya Shikari</t>
  </si>
  <si>
    <t>same person wrot review about two colleges</t>
  </si>
  <si>
    <t>Sister Nivedita University, Kolkata (B.Com Hons)</t>
  </si>
  <si>
    <t xml:space="preserve"> Sd.RizwanaC355 </t>
  </si>
  <si>
    <t>Kavitha Degree and PG College, Khammam (B.Sc-Mathematics, Statistics and Computer Science)</t>
  </si>
  <si>
    <t>Duganti Srija</t>
  </si>
  <si>
    <t>College of Agriculture, Rajendranagar (B.Sc Agriculture Hons)</t>
  </si>
  <si>
    <t>Sk yasmeen</t>
  </si>
  <si>
    <t>Jyoti Bisht</t>
  </si>
  <si>
    <t>deatils mismachted</t>
  </si>
  <si>
    <t>17th July 2025</t>
  </si>
  <si>
    <t xml:space="preserve"> SaambaviC355 </t>
  </si>
  <si>
    <t>DHARINI K</t>
  </si>
  <si>
    <t>PRASHANT</t>
  </si>
  <si>
    <t xml:space="preserve"> AadishC356 </t>
  </si>
  <si>
    <t>Indira Gandhi Medical College, Shimla (MBBS)</t>
  </si>
  <si>
    <t>Aadish Sharma</t>
  </si>
  <si>
    <t>18th July 2025</t>
  </si>
  <si>
    <t xml:space="preserve">JyotishkaC355 </t>
  </si>
  <si>
    <t>Paritosh Patil</t>
  </si>
  <si>
    <t>AadishC356</t>
  </si>
  <si>
    <t>Lakshay Kumar</t>
  </si>
  <si>
    <t>Satyug Darshan Institute of Engineering and Technology, Faridabad (BCA Data Science)</t>
  </si>
  <si>
    <t>Gulshan Rai</t>
  </si>
  <si>
    <t>Netaji Subhash Engineering College, Garia (B.Tech Computer Science and Engineering)</t>
  </si>
  <si>
    <t>Sampreet</t>
  </si>
  <si>
    <t>19th July 2025</t>
  </si>
  <si>
    <t>Galgotias University, Greater Noida (B.Tech Computer Science and Engineering with Specialization in Business Analytics and Optimization)</t>
  </si>
  <si>
    <t>Papa Petrol</t>
  </si>
  <si>
    <t>Government Degree College, Sanjauli (B.Sc)</t>
  </si>
  <si>
    <t>Vanshika Sharma</t>
  </si>
  <si>
    <t>Adarsh Gora</t>
  </si>
  <si>
    <t>Vishwakarma Institute of Technology, Pune (B.Tech Information Technology)</t>
  </si>
  <si>
    <t>Poornima University, Jaipur (BBA)</t>
  </si>
  <si>
    <t xml:space="preserve"> ArpitC339 </t>
  </si>
  <si>
    <t>University Institute of Technology Rajiv Gandhi Proudyogiki Vishwavidyalaya, Bhopal (ME Computer Science and Engineering)</t>
  </si>
  <si>
    <t>Yogesh sahani</t>
  </si>
  <si>
    <t>Aman</t>
  </si>
  <si>
    <t>20th July 2025</t>
  </si>
  <si>
    <t>Abhishek C348</t>
  </si>
  <si>
    <t>Datta Meghe College of Engineering, Navi Mumbai (BE Artificial Intelligence and Data Science)</t>
  </si>
  <si>
    <t>pradnyaa Randive</t>
  </si>
  <si>
    <t>Shiv Nadar University, Chennai (B.Tech CSE Cyber Security)</t>
  </si>
  <si>
    <t>Bhavashruthi Mylsamy</t>
  </si>
  <si>
    <t>Nithyashree Elumalai</t>
  </si>
  <si>
    <t>Aggarwal College, Ballabgarh (BCA)</t>
  </si>
  <si>
    <t>Gaurav kumar pal</t>
  </si>
  <si>
    <t>21st July 2025</t>
  </si>
  <si>
    <t xml:space="preserve">SaambaaviC355 </t>
  </si>
  <si>
    <t>Barthipa Sarathi</t>
  </si>
  <si>
    <t xml:space="preserve">Babyc355 </t>
  </si>
  <si>
    <t>KCS Kasi Nadar College of Arts and Science, Chennai (B.Sc Computer Science)</t>
  </si>
  <si>
    <t>Ksh</t>
  </si>
  <si>
    <t>details mismatchted</t>
  </si>
  <si>
    <t>Patrician College of Arts and Science, Chennai (B.Com Corporate Secretaryship)</t>
  </si>
  <si>
    <t>Prasanna</t>
  </si>
  <si>
    <t xml:space="preserve"> ShashankaC351 </t>
  </si>
  <si>
    <t>Kakatiya Institute of Technology and Science, Warangal (B.Tech Computer Science and Engineering)</t>
  </si>
  <si>
    <t>kaushik</t>
  </si>
  <si>
    <t>JITHIN SAI</t>
  </si>
  <si>
    <t>shivasairam</t>
  </si>
  <si>
    <t>BVRIT Hyderabad College of Engineering for Women, Hyderabad (B.Tech Computer Science and Engineering)</t>
  </si>
  <si>
    <t>praveena bolishetti</t>
  </si>
  <si>
    <t>PSIT-Pranveer Singh Institute of Technology, Kanpur (MBA)</t>
  </si>
  <si>
    <t>22nd July 2025</t>
  </si>
  <si>
    <t>Sri Sivasubramaniya Nadar College of Engineering, Kalavakkam (BE Electrical and Electronics Engineering)</t>
  </si>
  <si>
    <t>M. Shreemathi</t>
  </si>
  <si>
    <t>Acropolis Institute of Technology and Research, Indore (B.Tech Computer Science and Information Technology)</t>
  </si>
  <si>
    <t>Indian Institute of Management Shillong (Ph.D Management)</t>
  </si>
  <si>
    <t>Dayanand Sagar College of Management and Information Technology, Bangalore (MBA)</t>
  </si>
  <si>
    <t>Kristu Jayanti College, Bengaluru (BA English Literature)</t>
  </si>
  <si>
    <t>Bengaluru North University, Kolar (MBA)</t>
  </si>
  <si>
    <t>Chaudhary Charan Singh University, Meerut (BBA Self Finance)</t>
  </si>
  <si>
    <t>IP College, Bulandshahr (B.Com)</t>
  </si>
  <si>
    <t>priyanka pareek</t>
  </si>
  <si>
    <t>Ramaiah Institute of Technology, Bangalore (BE Computer Science and Engineering)</t>
  </si>
  <si>
    <t>Sarita Jangid</t>
  </si>
  <si>
    <t>23rd July 2025</t>
  </si>
  <si>
    <t xml:space="preserve">KIRTIC357 </t>
  </si>
  <si>
    <t>Ajeenkya DY Patil University, Pune (B.Tech Computer Science and Engineering)</t>
  </si>
  <si>
    <t>dev jaiswal</t>
  </si>
  <si>
    <t>Mister chamar</t>
  </si>
  <si>
    <t>AkankshaC357</t>
  </si>
  <si>
    <t>Deen Dayal Upadhyaya Gorakhpur University, Gorakhpur (B.Sc Home Science Group)</t>
  </si>
  <si>
    <t>Preeti Yadav</t>
  </si>
  <si>
    <t>GovardhanC344</t>
  </si>
  <si>
    <t>Akshita Heera</t>
  </si>
  <si>
    <t>24th July 2025</t>
  </si>
  <si>
    <t xml:space="preserve"> Babyc355 </t>
  </si>
  <si>
    <t>Quaid-E-Millath Government College for Women, Chennai (B.Com Corporate Secretaryship)</t>
  </si>
  <si>
    <t>Devadharshini</t>
  </si>
  <si>
    <t>Thiruthangal Nadar College, Chennai (B.Com Corporate Secretaryship)</t>
  </si>
  <si>
    <t>M. Sanjay</t>
  </si>
  <si>
    <t>Dr MGR Janaki College of Arts and Science for Women, Chennai (B.Com Bank Management)</t>
  </si>
  <si>
    <t>Subashree</t>
  </si>
  <si>
    <t>Mansi</t>
  </si>
  <si>
    <t>Raunak Singh Sehgal</t>
  </si>
  <si>
    <t xml:space="preserve">SahilaC357 </t>
  </si>
  <si>
    <t>Drona College of Education, Gurgaon (B.Ed)</t>
  </si>
  <si>
    <t>SDMS Sahila Khan</t>
  </si>
  <si>
    <t>Government College, Sector 9 Gurgaon (B.Sc Life Science)</t>
  </si>
  <si>
    <t>Yashika</t>
  </si>
  <si>
    <t xml:space="preserve"> BhoomiSC346 </t>
  </si>
  <si>
    <t>Lovely Professional University, Phagwara (BBA LLB Hons)</t>
  </si>
  <si>
    <t>Sweety Bansal</t>
  </si>
  <si>
    <t>Guru Jambheshwar University of Science and Technology, Hisar (M.Tech Printing Technology)</t>
  </si>
  <si>
    <t xml:space="preserve"> NishaC357 </t>
  </si>
  <si>
    <t>Government College for Girls Sector 14, Panchkula (BA)</t>
  </si>
  <si>
    <t>Suhaga</t>
  </si>
  <si>
    <t>Nisha rajput</t>
  </si>
  <si>
    <t xml:space="preserve">SanskarC357 </t>
  </si>
  <si>
    <t>PSIT-Pranveer Singh Institute of Technology, Kanpur (B.Tech Computer Science and Engineering)</t>
  </si>
  <si>
    <t>Haya Exo</t>
  </si>
  <si>
    <t>invalid details</t>
  </si>
  <si>
    <t>Harsh Sharma</t>
  </si>
  <si>
    <t xml:space="preserve">NAVYAC355 </t>
  </si>
  <si>
    <t>Harshit garg</t>
  </si>
  <si>
    <t>online course</t>
  </si>
  <si>
    <t>Miranda House, Delhi (B.Sc Physics Hons)</t>
  </si>
  <si>
    <t>Archit Sinha</t>
  </si>
  <si>
    <t>G PRAVEENKUMAR</t>
  </si>
  <si>
    <t>25th July 2025</t>
  </si>
  <si>
    <t>Sri Aurobindo College, New Delhi (B.Com Hons)</t>
  </si>
  <si>
    <t>Aarushi mareja</t>
  </si>
  <si>
    <t xml:space="preserve">invalid verification </t>
  </si>
  <si>
    <t>Lady Shriram College for Women, New Delhi (B.Com Hons)</t>
  </si>
  <si>
    <t>Neeru garg</t>
  </si>
  <si>
    <t xml:space="preserve"> TalhaC358 </t>
  </si>
  <si>
    <t>Amity University, Kolkata (BBA)</t>
  </si>
  <si>
    <t>Sheikh Aryan</t>
  </si>
  <si>
    <t>Similar Title/ Reviewed on behalf of someone/details mismachted</t>
  </si>
  <si>
    <t>Institute of Leadership Entrepreneurship and Development, Kolkata (BCA)</t>
  </si>
  <si>
    <t>Talha Abedin</t>
  </si>
  <si>
    <t xml:space="preserve">KoppisettiC358 </t>
  </si>
  <si>
    <t>JNTUH College of Engineering, Hyderabad (B.Tech and M.Tech Electrical and Electronics Engineering Integrated)</t>
  </si>
  <si>
    <t>pritin</t>
  </si>
  <si>
    <t>JNTUH College of Engineering, Hyderabad (B.Tech Electrical and Electronics Engineering)</t>
  </si>
  <si>
    <t>VIVEK OFFICAL</t>
  </si>
  <si>
    <t>koppisetti sri veera vivek</t>
  </si>
  <si>
    <t xml:space="preserve"> IshaC358 </t>
  </si>
  <si>
    <t>Gargi College, Delhi (B.Com)</t>
  </si>
  <si>
    <t>Kanisha Malik</t>
  </si>
  <si>
    <t>26th July 2025</t>
  </si>
  <si>
    <t>Poornima University, Jaipur (BCA)</t>
  </si>
  <si>
    <t>Tanish</t>
  </si>
  <si>
    <t>Swami Keshvanand Institute of Technology, Management and Gramothan, Jaipur (B.Tech Civil Engineering)</t>
  </si>
  <si>
    <t>HimAnshu Vijayvargia</t>
  </si>
  <si>
    <t xml:space="preserve"> AmandeepC358 </t>
  </si>
  <si>
    <t>John Doe II</t>
  </si>
  <si>
    <t>Anshprabh Kaur</t>
  </si>
  <si>
    <t xml:space="preserve">VISHNUC357 </t>
  </si>
  <si>
    <t>Sagar Institute of Technology and Management, Barabanki (B.Tech Computer Science and Engineering)</t>
  </si>
  <si>
    <t>Shubham Chaurasiya</t>
  </si>
  <si>
    <t>KIRTIC357</t>
  </si>
  <si>
    <t>School Of Advanced Engineering, UPES, Dehradun (B.Tech Aerospace Engineering)</t>
  </si>
  <si>
    <t>Aditya Rawat Noddy</t>
  </si>
  <si>
    <t>27th July 2025</t>
  </si>
  <si>
    <t xml:space="preserve">IshaC358 </t>
  </si>
  <si>
    <t>Sri Guru Nanak Dev Khalsa College, Delhi (B.Sc Mathematics Hons)</t>
  </si>
  <si>
    <t>kavya sharma</t>
  </si>
  <si>
    <t>Abhishek Upadhyay</t>
  </si>
  <si>
    <t>Vaishnavi Sinha</t>
  </si>
  <si>
    <t xml:space="preserve">SurabhiC356 </t>
  </si>
  <si>
    <t>Daulat Ram College, Delhi (B.Sc Botany Hons)</t>
  </si>
  <si>
    <t>Swasti Anand</t>
  </si>
  <si>
    <t xml:space="preserve">DevanshC358 </t>
  </si>
  <si>
    <t>Malout Institute of Management and Information Technology, Muktsar (B.Tech Mechanical Engineering)</t>
  </si>
  <si>
    <t>Sunny pahlawat</t>
  </si>
  <si>
    <t xml:space="preserve"> VISHNUC357 </t>
  </si>
  <si>
    <t>Deshbandhu College, New Delhi (B.Sc Physical Science and Chemistry)</t>
  </si>
  <si>
    <t>Chirag Sethi</t>
  </si>
  <si>
    <t>ABHAYC357</t>
  </si>
  <si>
    <t>Babu Banarasi Das University, Lucknow (BBA Logistics and Supply Chain Management)</t>
  </si>
  <si>
    <t>Arpit Verma</t>
  </si>
  <si>
    <t>28th July 2025</t>
  </si>
  <si>
    <t>AISSMS College of Engineering, Pune (BE Computer Engineering)</t>
  </si>
  <si>
    <t>vedant kondejkar</t>
  </si>
  <si>
    <t>Himachal Pradesh Technical University, Hamirpur (B.Tech Civil Engineering)</t>
  </si>
  <si>
    <t>Mrunmay Deshpande</t>
  </si>
  <si>
    <t>Vrushali Rajguru</t>
  </si>
  <si>
    <t xml:space="preserve">NishaC357 </t>
  </si>
  <si>
    <t>Amandeep Kaur</t>
  </si>
  <si>
    <t>Kurukshetra University, Kurukshetra (MA English)</t>
  </si>
  <si>
    <t>Aashiyana</t>
  </si>
  <si>
    <t>Babita</t>
  </si>
  <si>
    <t>Ashiya</t>
  </si>
  <si>
    <t>SR Engineering College, Warangal (B.Tech Mechanical Engineering)</t>
  </si>
  <si>
    <t>AYYAN MOHAMMED</t>
  </si>
  <si>
    <t>Padmavathi Degree College for Women, Warangal (B.Com)</t>
  </si>
  <si>
    <t>ashmita</t>
  </si>
  <si>
    <t>shivani</t>
  </si>
  <si>
    <t>KANDARI SATHVIK</t>
  </si>
  <si>
    <t>LAVUDYA SHAILAJA</t>
  </si>
  <si>
    <t>Nagasri agaboina</t>
  </si>
  <si>
    <t>CHANDANA AMANCHA</t>
  </si>
  <si>
    <t>Deeksha Madishetti</t>
  </si>
  <si>
    <t xml:space="preserve">  UppalaC358 </t>
  </si>
  <si>
    <t>Uppala Vara Lakshmi</t>
  </si>
  <si>
    <t xml:space="preserve"> AnushaC359 </t>
  </si>
  <si>
    <t>Anjali Gupta</t>
  </si>
  <si>
    <t>Sri Guru Tegh Bahadur Khalsa College, New Delhi (B.Sc Mathematics Hons)</t>
  </si>
  <si>
    <t>Divjyot kaur</t>
  </si>
  <si>
    <t xml:space="preserve">AnjaliC359 </t>
  </si>
  <si>
    <t>S K Somaiya Degree College Of Arts, Science and Commerce, Mumbai (B.Com)</t>
  </si>
  <si>
    <t>RAVI VADHWANA</t>
  </si>
  <si>
    <t>Mulund College of Commerce, Mumbai (B.Com)</t>
  </si>
  <si>
    <t>Deeksha Shetty</t>
  </si>
  <si>
    <t>29th July 2025</t>
  </si>
  <si>
    <t xml:space="preserve">ReshmaC359 </t>
  </si>
  <si>
    <t>PB Siddhartha College of Arts and Science, Vijayawada (B.Com Hons)</t>
  </si>
  <si>
    <t>B.sony</t>
  </si>
  <si>
    <t>North Eastern Regional Institute of Science and Technology, Nirjuli (B.Tech Mechanical Engineering)</t>
  </si>
  <si>
    <t>Soniya Avatade</t>
  </si>
  <si>
    <t>Galgotias University, Greater Noida (B.Tech Electrical Engineering)</t>
  </si>
  <si>
    <t>Prachi Mali</t>
  </si>
  <si>
    <t>BS Abdur Rahman Crescent Institute of Science and Technology, Chennai (B.Tech Computer Science and Engineering)</t>
  </si>
  <si>
    <t>Pranav shinde</t>
  </si>
  <si>
    <t>Noida International University, Greater Noida (B.Tech Mechanical Engineering)</t>
  </si>
  <si>
    <t>Gaurav Taralkar</t>
  </si>
  <si>
    <t xml:space="preserve">KrishnaC359 </t>
  </si>
  <si>
    <t>RR Institute of Modern Technology, Lucknow (B.Tech Civil Engineering)</t>
  </si>
  <si>
    <t>Abhish Rathore</t>
  </si>
  <si>
    <t>Pari Bansal</t>
  </si>
  <si>
    <t>30th July 2025</t>
  </si>
  <si>
    <t xml:space="preserve">RishikaC351 </t>
  </si>
  <si>
    <t>IFTM University, Moradabad (M.Tech Biotechnology Engineering)</t>
  </si>
  <si>
    <t>Vishal</t>
  </si>
  <si>
    <t>Similar Title/ Reviewed on behalf of someone/ details Mismachted</t>
  </si>
  <si>
    <t>31st July 2025</t>
  </si>
  <si>
    <t xml:space="preserve"> avneetc354 </t>
  </si>
  <si>
    <t>Anhad Kaur</t>
  </si>
  <si>
    <t xml:space="preserve">ChandruC359 </t>
  </si>
  <si>
    <t>Chennai Dr Ambedkar Government Law College, Pudupakkam (BA LLB Hons)</t>
  </si>
  <si>
    <t>Jaisakthi K</t>
  </si>
  <si>
    <t>Incomplete Content</t>
  </si>
  <si>
    <t>Apeejay Stya University, Sohna (Ph.D Computer Science and Engineering)</t>
  </si>
  <si>
    <t xml:space="preserve">VishalC359 </t>
  </si>
  <si>
    <t>Lachoo Memorial College of Science and Technology, Jodhpur (BBA)</t>
  </si>
  <si>
    <t>Sunil singh</t>
  </si>
  <si>
    <t xml:space="preserve"> DIVYAMI321 </t>
  </si>
  <si>
    <t>Dr MPS Group of Institutions College of Business Studies, Agra (BBA)</t>
  </si>
  <si>
    <t>Kratika chaudhary</t>
  </si>
  <si>
    <t xml:space="preserve"> Akanksha C375 </t>
  </si>
  <si>
    <t>KIPM College of Engineering and Technology, Gorakhpur (B.Tech Artificial Intelligence and Machine Learning)</t>
  </si>
  <si>
    <t>Sanchita Shukla</t>
  </si>
  <si>
    <t>2nd Aug 2025</t>
  </si>
  <si>
    <t xml:space="preserve">RishikeshC361 </t>
  </si>
  <si>
    <t>University of Allahabad Allahabad (B.Com)</t>
  </si>
  <si>
    <t>Arjit Gupta</t>
  </si>
  <si>
    <t xml:space="preserve">ShubhamC361 </t>
  </si>
  <si>
    <t>Shubham Prajapati</t>
  </si>
  <si>
    <t>3rd Aug 2025</t>
  </si>
  <si>
    <t xml:space="preserve">SimranC357 </t>
  </si>
  <si>
    <t>Bharati College, New Delhi (BA Hindi Hons)</t>
  </si>
  <si>
    <t>Arushi Thakur</t>
  </si>
  <si>
    <t>Similar Title/ Reviewed on behalf of someone/ Copied Content</t>
  </si>
  <si>
    <t>Bharati College, New Delhi (B.Com Hons)</t>
  </si>
  <si>
    <t>Geeta</t>
  </si>
  <si>
    <t>Nidhi Thakur</t>
  </si>
  <si>
    <t xml:space="preserve"> ABHAYC361 </t>
  </si>
  <si>
    <t xml:space="preserve">NandiniC361 </t>
  </si>
  <si>
    <t>Dr Virendra Swarup Institute of Computer Studies, Kanpur (BBA)</t>
  </si>
  <si>
    <t>I Himanshu Kushwaha</t>
  </si>
  <si>
    <t>Insufficiant content</t>
  </si>
  <si>
    <t xml:space="preserve"> ShreetejC350 </t>
  </si>
  <si>
    <t>Dr Vishwanath Karad MIT World Peace University, Pune (M.Sc Biotechnology)</t>
  </si>
  <si>
    <t>ABHIJIT KADAM</t>
  </si>
  <si>
    <t>MES Abasaheb Garware College, Pune (BCA)</t>
  </si>
  <si>
    <t>Omkar Bharti</t>
  </si>
  <si>
    <t>Om Sonalkar</t>
  </si>
  <si>
    <t>soham kapale</t>
  </si>
  <si>
    <t>JSPM Narhe Technical Campus, Pune (BE Computer Engineering)</t>
  </si>
  <si>
    <t>Atharva patil</t>
  </si>
  <si>
    <t>JSPM University, Pune (B.Tech Computer Science and Engineering)</t>
  </si>
  <si>
    <t>Divya Singh</t>
  </si>
  <si>
    <t>DikshaC361</t>
  </si>
  <si>
    <t>PGDAV Evening College, New Delhi (BA)</t>
  </si>
  <si>
    <t>RAHUL KUMAR GUPTA</t>
  </si>
  <si>
    <t>4th Aug 2025</t>
  </si>
  <si>
    <t xml:space="preserve">UpasnaC361 </t>
  </si>
  <si>
    <t>Sri Venkateshwara College of Engineering, Bangalore (BE Computer Science and Engineering)</t>
  </si>
  <si>
    <t>Upasna Sharma</t>
  </si>
  <si>
    <t>Darbhanga College of Engineering, Darbhanga (B.Tech Computer Science and Engineering)</t>
  </si>
  <si>
    <t>DPG Degree College, Gurgaon (B.Com)</t>
  </si>
  <si>
    <t>College of Vocational Studies, New Delhi (BA History Hons)</t>
  </si>
  <si>
    <t xml:space="preserve">AadishC356 </t>
  </si>
  <si>
    <t>Himachal Pradesh University, Shimla (M.Sc Chemistry)</t>
  </si>
  <si>
    <t>Shimla College of Education, Shimla (B.Ed)</t>
  </si>
  <si>
    <t>National Institute of Technology Uttarakhand (M.Tech Communication Systems)</t>
  </si>
  <si>
    <t>Jayesh</t>
  </si>
  <si>
    <t>National Institute of Technology Hamirpur (B.Tech Computer Science and Engineering)</t>
  </si>
  <si>
    <t>DY Patil College of Engineering, Pune (ME Environmental Engineering)</t>
  </si>
  <si>
    <t>Syraj</t>
  </si>
  <si>
    <t>Pt Jawahar Lal Nehru Government Medical College and Hospital, Chamba (MBBS)</t>
  </si>
  <si>
    <t>Shreya Sahjeta</t>
  </si>
  <si>
    <t>Government Medical College, Patiala (MS Anatomy)</t>
  </si>
  <si>
    <t>Arushi Mahajan</t>
  </si>
  <si>
    <t>Government Medical College, Amritsar (MS Anatomy</t>
  </si>
  <si>
    <t>lakshya27042004</t>
  </si>
  <si>
    <t>Sawai Man Singh Medical College, Jaipur (MBBS)</t>
  </si>
  <si>
    <t>Indira Gandhi Medical College, Shimla (MD Forensic Medicine)</t>
  </si>
  <si>
    <t>Lady Hardinge Medical College for Women, New Delhi (MD Radiodiagnosis)</t>
  </si>
  <si>
    <t>navi choudhary</t>
  </si>
  <si>
    <t>Maulana Azad Medical College, New Delhi (MBBS)</t>
  </si>
  <si>
    <t>Indira Gandhi Medical College, Shimla (MD General Medicine)</t>
  </si>
  <si>
    <t>Rejul</t>
  </si>
  <si>
    <t>Government Medical College, Amritsar (MBBS)</t>
  </si>
  <si>
    <t>Hindu College, Delhi (MA English)</t>
  </si>
  <si>
    <t>Deen Dayal Upadhyaya College, New Delhi (BA English Hons)</t>
  </si>
  <si>
    <t>National Institute of Technology Hamirpur (M.Tech Computer Science and Engineering)</t>
  </si>
  <si>
    <t xml:space="preserve"> VishalC359 </t>
  </si>
  <si>
    <t>Jay Singh</t>
  </si>
  <si>
    <t>The Heritage College, Kolkata (B.Com Accounting and Finance Hons)</t>
  </si>
  <si>
    <t>Aditya Majumdar</t>
  </si>
  <si>
    <t xml:space="preserve">ABHAYC361 </t>
  </si>
  <si>
    <t>Indian Institute of Technology Banaras Hindu University Varanasi (B.Tech Chemical Engineering)</t>
  </si>
  <si>
    <t>Indian Institute of Technology Kharagpur (B.Tech Ocean Engineering and Naval Architecture)</t>
  </si>
  <si>
    <t>Rushil Sinha</t>
  </si>
  <si>
    <t>5th Aug 2025</t>
  </si>
  <si>
    <t>Heritage Law College, Kolkata (BA LLB)</t>
  </si>
  <si>
    <t>Piyasha Halder</t>
  </si>
  <si>
    <t>Siliguri College, Siliguri (BA English Hons)</t>
  </si>
  <si>
    <t>Oishee Guin</t>
  </si>
  <si>
    <t>Future Business School, Kolkata (BBA)</t>
  </si>
  <si>
    <t>Details Mismachtef</t>
  </si>
  <si>
    <t>Tisa Dutta</t>
  </si>
  <si>
    <t>Himachal Pradesh University, Shimla (B.Ed)</t>
  </si>
  <si>
    <t>Dr Rajendra Prasad Government Medical College, Tanda (MD Pharmacology)</t>
  </si>
  <si>
    <t>College of Applied Science, Vadakkencherry (B.Com Finance Hons)</t>
  </si>
  <si>
    <t>Infas Malik</t>
  </si>
  <si>
    <t>Jamia Millia Islamia, New Delhi (M.Com Business Management)</t>
  </si>
  <si>
    <t>Delhi School of Economics, University of Delhi, Delhi (M.Phil Economics)</t>
  </si>
  <si>
    <t>Delhi School of Economics, University of Delhi, Delhi (Ph.D Economics)</t>
  </si>
  <si>
    <t xml:space="preserve"> ChandruC359 </t>
  </si>
  <si>
    <t>St Joseph's College of Engineering, Chennai (B.Tech Information Technology)</t>
  </si>
  <si>
    <t>Chandru K</t>
  </si>
  <si>
    <t xml:space="preserve">OliviaC363 </t>
  </si>
  <si>
    <t>Olivia Chowdhury</t>
  </si>
  <si>
    <t xml:space="preserve">MahfuzC362 </t>
  </si>
  <si>
    <t>Dr B R Ambedkar National Institute of Technology Jalandhar (B.Tech Chemical Engineering)</t>
  </si>
  <si>
    <t>MAHFUZ AHMAD</t>
  </si>
  <si>
    <t>Lucknow Institute of Technology, Lucknow (B.Tech Computer Science and Engineering)</t>
  </si>
  <si>
    <t>Azad Institute of Engineering and Technology, Lucknow (B.Tech Computer Science and Engineering)</t>
  </si>
  <si>
    <t>Hansraj College, Delhi (BA Hindi Hons)</t>
  </si>
  <si>
    <t>Satish Kumar</t>
  </si>
  <si>
    <t>Balasubramanian V</t>
  </si>
  <si>
    <t>Arya College of Engineering and IT, Jaipur (B.Tech Artificial Intelligence and Data Science)</t>
  </si>
  <si>
    <t>Aryan Jangir</t>
  </si>
  <si>
    <t>ShinyC352</t>
  </si>
  <si>
    <t>6th Aug 2025</t>
  </si>
  <si>
    <t xml:space="preserve"> OliviaC362 </t>
  </si>
  <si>
    <t>Shouvik</t>
  </si>
  <si>
    <t xml:space="preserve"> MahfuzC362 </t>
  </si>
  <si>
    <t>Assam Down Town University, Guwahati (B.Sc Medical Laboratory Technology)</t>
  </si>
  <si>
    <t>Vellore Institute of Technology, Vellore (B.Tech Biotechnology)</t>
  </si>
  <si>
    <t>Noida International University, Greater Noida (B.Tech Civil Engineering)</t>
  </si>
  <si>
    <t xml:space="preserve"> VijayasriC362 </t>
  </si>
  <si>
    <t>SRM University AP, Amaravati (B.Tech Electronics and Communication Engineering)</t>
  </si>
  <si>
    <t>GOWTHAM KUMAR</t>
  </si>
  <si>
    <t xml:space="preserve">MohdC362 </t>
  </si>
  <si>
    <t>Dev Bhoomi Group of Institutions, Saharanpur (BCA)</t>
  </si>
  <si>
    <t>Kunal parjapati</t>
  </si>
  <si>
    <t xml:space="preserve">RejuC359 </t>
  </si>
  <si>
    <t>Kazi Nazrul University, Burdwan (BA LLB)</t>
  </si>
  <si>
    <t>Afridi hoosain</t>
  </si>
  <si>
    <t>Rahim mia</t>
  </si>
  <si>
    <t>Kazi Nazrul University, Burdwan (B.Tech Computer Science and Engineering Data Science)</t>
  </si>
  <si>
    <t>Bakul Mondal</t>
  </si>
  <si>
    <t>Kazi Nazrul University, Burdwan (B.Tech Metallurgical and Materials Engineering)</t>
  </si>
  <si>
    <t>Rupsa Hazra</t>
  </si>
  <si>
    <t>Bhumi Kumari Mahato</t>
  </si>
  <si>
    <t>Dinesh Madhan</t>
  </si>
  <si>
    <t>King King</t>
  </si>
  <si>
    <t>Balanithi Gnanavel</t>
  </si>
  <si>
    <t xml:space="preserve">OjasC362 </t>
  </si>
  <si>
    <t>Meerut Institute of Engineering and Technology, Meerut (B.Tech Computer Science and Engineering)</t>
  </si>
  <si>
    <t>Janhvi</t>
  </si>
  <si>
    <t>Amity University elearning, Greater Noida (Professional Certificate in Customer Relationship Management)</t>
  </si>
  <si>
    <t>Tips And Challenges</t>
  </si>
  <si>
    <t>7th Aug 2025</t>
  </si>
  <si>
    <t xml:space="preserve"> MuhammedC363 </t>
  </si>
  <si>
    <t>Walchand Institute of Technology, Solapur (B.Tech Computer Science and Engineering)</t>
  </si>
  <si>
    <t>AFFAN</t>
  </si>
  <si>
    <t xml:space="preserve">RitikaC363 </t>
  </si>
  <si>
    <t>HEC Group of Institutions, Haridwar (BBA)</t>
  </si>
  <si>
    <t>Yashika Negi</t>
  </si>
  <si>
    <t>Gurukula Kangri Vishwavidyalaya, Haridwar (BA)</t>
  </si>
  <si>
    <t>monty</t>
  </si>
  <si>
    <t>Gurukula Kangri Vishwavidyalaya, Haridwar (BBA)</t>
  </si>
  <si>
    <t>Ritika negi</t>
  </si>
  <si>
    <t>Same person wrote 2 reviews of same course</t>
  </si>
  <si>
    <t>Details Mismachted/Same person wrote 2 reviews of same course</t>
  </si>
  <si>
    <t xml:space="preserve"> AsmitaC363 </t>
  </si>
  <si>
    <t>Ritikac363</t>
  </si>
  <si>
    <t>Mukesh Joshi</t>
  </si>
  <si>
    <t>Copied Content/Irrelevant Title</t>
  </si>
  <si>
    <t>8th Aug 2025</t>
  </si>
  <si>
    <t>School of Management, GD Goenka University, Gurgaon (MBA)</t>
  </si>
  <si>
    <t>Rahul singh</t>
  </si>
  <si>
    <t>St RC College of Higher Education, Shamli (BBA)</t>
  </si>
  <si>
    <t>Bharat malik</t>
  </si>
  <si>
    <t>Bablu malik</t>
  </si>
  <si>
    <t>Sagar Tomar</t>
  </si>
  <si>
    <t xml:space="preserve">OliviaC362 </t>
  </si>
  <si>
    <t>Netaji Nagar Day College, Kolkata (B.Com Hons)</t>
  </si>
  <si>
    <t>Achyut Chakrabortt</t>
  </si>
  <si>
    <t>Vidyasagar College, Kolkata (BA)</t>
  </si>
  <si>
    <t>Subhradeep Chakraborty</t>
  </si>
  <si>
    <t>Manish Das</t>
  </si>
  <si>
    <t>Tanisha Ghosh</t>
  </si>
  <si>
    <t>Calcutta Institute of Engineering and Management, Kolkata (B.Tech Electronics and Communication Engineering)</t>
  </si>
  <si>
    <t>sagnikmukherjee190</t>
  </si>
  <si>
    <t>Future Institute of Engineering and Management, Kolkata (MCA)</t>
  </si>
  <si>
    <t>Debomita Sanyal</t>
  </si>
  <si>
    <t>Soham Mitra</t>
  </si>
  <si>
    <t>Abhik Halder</t>
  </si>
  <si>
    <t>Anushrita Goswami</t>
  </si>
  <si>
    <t>Isha payra</t>
  </si>
  <si>
    <t>Shuvomita Mitra</t>
  </si>
  <si>
    <t xml:space="preserve">VIJETHC363 </t>
  </si>
  <si>
    <t>Dayananda Sagar College of Engineering, Bangalore (BE Computer Science and Design)</t>
  </si>
  <si>
    <t>Ankush N.</t>
  </si>
  <si>
    <t>9th Aug 2025</t>
  </si>
  <si>
    <t>OliviaC362</t>
  </si>
  <si>
    <t>Test Subjects</t>
  </si>
  <si>
    <t>Deatils Mimsachted</t>
  </si>
  <si>
    <t>Netaji Subhash Engineering College, Garia (B.Tech Cyber Security)</t>
  </si>
  <si>
    <t>ankush mondal</t>
  </si>
  <si>
    <t xml:space="preserve">BhoomiSC346 </t>
  </si>
  <si>
    <t>MIT Art Design and Technology University, Pune (B.Tech Computer Science and Engineering)</t>
  </si>
  <si>
    <t>Cutie Playz</t>
  </si>
  <si>
    <t>WPU School of Business, Pune (BBA)</t>
  </si>
  <si>
    <t>Pranav Pandit</t>
  </si>
  <si>
    <t>Sher-e-Kashmir University of Agricultural Sciences and Technology of Jammu, Jammu (B.Sc Agriculture Hons)</t>
  </si>
  <si>
    <t>Meerut Institute of Technology, Meerut (MBA)</t>
  </si>
  <si>
    <t>Kahana</t>
  </si>
  <si>
    <t xml:space="preserve"> ShinyC352 </t>
  </si>
  <si>
    <t>Siliguri Institute of Technology, Darjeeling (B.Tech Electrical Engineering)</t>
  </si>
  <si>
    <t>Subhashree Dey</t>
  </si>
  <si>
    <t xml:space="preserve">UppalaC358 </t>
  </si>
  <si>
    <t>Vignana Bharathi Institute of Technology, Ghatkesar (B.Tech Computer Science and Engineering)</t>
  </si>
  <si>
    <t>10th Aug 2025</t>
  </si>
  <si>
    <t xml:space="preserve"> AdwiteeyC359 </t>
  </si>
  <si>
    <t>Sarthak patil</t>
  </si>
  <si>
    <t>University of Delhi, Delhi (BA Business Economics Hons)</t>
  </si>
  <si>
    <t>Purvi Tiwari</t>
  </si>
  <si>
    <t>Awadhesh Pratap Singh University, Rewa (B.Com Hons)</t>
  </si>
  <si>
    <t>Shaban ansari</t>
  </si>
  <si>
    <t>sunita pal</t>
  </si>
  <si>
    <t>Garima Thakur</t>
  </si>
  <si>
    <t>Annamalai University, Annamalai Nagar (MA Tamil)</t>
  </si>
  <si>
    <t>Cyber Phoenix</t>
  </si>
  <si>
    <t>11th Aug 2025</t>
  </si>
  <si>
    <t xml:space="preserve">AdwiteeyC359 </t>
  </si>
  <si>
    <t>chhatrapati Shahu Ji Maharaj University, Kanpur (B.Sc Biotechnology)</t>
  </si>
  <si>
    <t>Anshi singh</t>
  </si>
  <si>
    <t>IILM University, Greater Noida (M.Tech Biotechnology)</t>
  </si>
  <si>
    <t>Sandeep tripathi</t>
  </si>
  <si>
    <t>Oriental College of Technology, Bhopal (B.Tech Civil Engineering)</t>
  </si>
  <si>
    <t>Shaily tiwari</t>
  </si>
  <si>
    <t>Asha Tiwari</t>
  </si>
  <si>
    <t xml:space="preserve">ShouvikC358 </t>
  </si>
  <si>
    <t>Roopsha Ain</t>
  </si>
  <si>
    <t>Future Institute of Engineering and Management, Kolkata (MBA)</t>
  </si>
  <si>
    <t>roy</t>
  </si>
  <si>
    <t>Similar Title/ Reviewed on behalf of someone/details mismatched</t>
  </si>
  <si>
    <t>12th Aug 2025</t>
  </si>
  <si>
    <t>Yuvraj Malik</t>
  </si>
  <si>
    <t>Gautam Buddha University, Greater Noida (B.Tech Information Technology)</t>
  </si>
  <si>
    <t>Divya Malik</t>
  </si>
  <si>
    <t>Rishika Girotra</t>
  </si>
  <si>
    <t>BitupanC364</t>
  </si>
  <si>
    <t>Icon Commerce College, Guwahati (BCA)</t>
  </si>
  <si>
    <t>S Pragya Devi Singha Choudhury</t>
  </si>
  <si>
    <t>13 th Aug 2025</t>
  </si>
  <si>
    <t>Koneru Lakshmaiah Education Foundation, Guntur (B.Tech Mechanical Engineering)</t>
  </si>
  <si>
    <t>Shiva Krishna yadav Dhuddu</t>
  </si>
  <si>
    <t>Vignan's Foundation for Science Technology and Research, Guntur (B.Sc Mathematics, Statistics and Computer Science)</t>
  </si>
  <si>
    <t>BHUKYA RAJA MAHESH</t>
  </si>
  <si>
    <t>MVR College of Engineering, Visakhapatnam (B.Tech Mechanacal Engineering)</t>
  </si>
  <si>
    <t>Rahul channamolla</t>
  </si>
  <si>
    <t xml:space="preserve">AnanyaMI317 </t>
  </si>
  <si>
    <t>Meghanshi Dubey</t>
  </si>
  <si>
    <t>Dinabandhu Andrews Institute of Technology and Management, Kolkata (BCA)</t>
  </si>
  <si>
    <t>Mithu Dey</t>
  </si>
  <si>
    <t>Basanti Devi College, Kolkata (BA Bengali Hons)</t>
  </si>
  <si>
    <t>Mina Sen</t>
  </si>
  <si>
    <t>Netaji Nagar College, Kolkata (BA Journalism and Mass Communication Hons)</t>
  </si>
  <si>
    <t xml:space="preserve">Sriti Dhar </t>
  </si>
  <si>
    <t>Swapnil Dutta</t>
  </si>
  <si>
    <t xml:space="preserve">RanjithaC363 </t>
  </si>
  <si>
    <t>Theivanai Ammal College for Women, Chennai (B.Com Computer Applications)</t>
  </si>
  <si>
    <t>Kaviya</t>
  </si>
  <si>
    <t>Hemalatha</t>
  </si>
  <si>
    <t>PGP College of Engineering and Technology, Namakkal (BE Computer Science and Engineering)</t>
  </si>
  <si>
    <t>Theivanai Ammal College for Women, Chennai (BBA)</t>
  </si>
  <si>
    <t>Rahila afsar.A</t>
  </si>
  <si>
    <t>Jayasri</t>
  </si>
  <si>
    <t>15th Aug 2025</t>
  </si>
  <si>
    <t>Rajalakshmi Engineering College, Chennai (BE Aeronautical Engineering)</t>
  </si>
  <si>
    <t>Muduli s</t>
  </si>
  <si>
    <t xml:space="preserve"> NavneetC362 </t>
  </si>
  <si>
    <t>Haldia Institute of Technology, Haldia (B.Tech Electronics and Communication Engineering)</t>
  </si>
  <si>
    <t>Prashant Kumar</t>
  </si>
  <si>
    <t>nitishkumarbgs632</t>
  </si>
  <si>
    <t>Sri Guru Gobind Singh College, Patna (B.Com Hons)</t>
  </si>
  <si>
    <t>Abhijeet Kumar</t>
  </si>
  <si>
    <t>Mayank Malviya</t>
  </si>
  <si>
    <t xml:space="preserve"> Bikramc364 </t>
  </si>
  <si>
    <t>Future Institute of Engineering and Management, Kolkata (B.Tech Computer Science and Engineering)</t>
  </si>
  <si>
    <t>Arpith Chatterjee</t>
  </si>
  <si>
    <t xml:space="preserve">avneetC345 </t>
  </si>
  <si>
    <t>Divyanshu Agarwal</t>
  </si>
  <si>
    <t>16th Aug 2025</t>
  </si>
  <si>
    <t xml:space="preserve">ManishC364 </t>
  </si>
  <si>
    <t>Dinabandhu Andrews College, Baishnabghata (BA English Hons)</t>
  </si>
  <si>
    <t>Kakoli chakraborty</t>
  </si>
  <si>
    <t>Netaji Nagar Day College, Kolkata (BA English Hons)</t>
  </si>
  <si>
    <t>Atashi Chakraborty</t>
  </si>
  <si>
    <t>Netaji Subhash Open University, Kolkata (BA Sociology)</t>
  </si>
  <si>
    <t>Aditi chakraborty ghosh</t>
  </si>
  <si>
    <t>Netaji Nagar College For Women, Kolkata (BA History Hons)</t>
  </si>
  <si>
    <t>Anjali Dutta</t>
  </si>
  <si>
    <t>Galgotias University, Greater Noida (Diploma in Mechanical Engineering)</t>
  </si>
  <si>
    <t>Preeti Khandelwal</t>
  </si>
  <si>
    <t>Same person wrote multiple reviews</t>
  </si>
  <si>
    <t>Indian Institute of Technology Delhi (M.Sc Mathematics)</t>
  </si>
  <si>
    <t>Indian Institute of Technology Delhi (B.Tech and M.Tech Computer Science and Engineering)</t>
  </si>
  <si>
    <t>17th Aug 2025</t>
  </si>
  <si>
    <t>JECRC University, Jaipur (Ph.D Mathematics)</t>
  </si>
  <si>
    <t>Uma kanta</t>
  </si>
  <si>
    <t>JECRC University, Jaipur (M.Sc Mathematics)</t>
  </si>
  <si>
    <t>JECRC University, Jaipur (BBA)</t>
  </si>
  <si>
    <t>North Eastern Regional Institute of Science and Technology, Nirjuli (Diploma in Electrical Engineering)</t>
  </si>
  <si>
    <t>Naveen gupta</t>
  </si>
  <si>
    <t>Narsee Monjee Institute of Management Studies, Mumbai (Certificate Program in Project Management)</t>
  </si>
  <si>
    <t>Arnav Gaur</t>
  </si>
  <si>
    <t>Noida International University, Greater Noida (Diploma in Mechanical Engineering)</t>
  </si>
  <si>
    <t>Dd</t>
  </si>
  <si>
    <t xml:space="preserve"> SattineniC361 </t>
  </si>
  <si>
    <t>Satish</t>
  </si>
  <si>
    <t>Santosh kothapalli</t>
  </si>
  <si>
    <t>Harvish</t>
  </si>
  <si>
    <t>Sir CR Reddy College of Engineering, Eluru (B.Tech Mechanical Engineering)</t>
  </si>
  <si>
    <t>DURGA PRASAD</t>
  </si>
  <si>
    <t>Sri Kinjarapu Yerran Naidu College of Agricultural Sciences, Srikakulam (B.Sc Agricultural Science Hons)</t>
  </si>
  <si>
    <t>gowthim</t>
  </si>
  <si>
    <t>ajay</t>
  </si>
  <si>
    <t>Lokesh Sattineni</t>
  </si>
  <si>
    <t>Sir CR Reddy College of Engineering, Eluru (B.Tech Cyber Security)</t>
  </si>
  <si>
    <t>Siddu Dannana</t>
  </si>
  <si>
    <t>Sir CR Reddy College of Engineering, Eluru (B.Tech Computer Science and Engineering)</t>
  </si>
  <si>
    <t>Vinay Bali</t>
  </si>
  <si>
    <t>Kukkala srilakshmi joshnaa</t>
  </si>
  <si>
    <t>Sri Chandrasekharendra Saraswathi Viswa Mahavidyalaya, Kanchipuram (BE Computer Science and Engineering)</t>
  </si>
  <si>
    <t>Naren</t>
  </si>
  <si>
    <t>alok kumar</t>
  </si>
  <si>
    <t>Bindhuu</t>
  </si>
  <si>
    <t>18th Aug 2025</t>
  </si>
  <si>
    <t xml:space="preserve">SattineniC361 </t>
  </si>
  <si>
    <t>Tamarakonda rahul vamsi</t>
  </si>
  <si>
    <t xml:space="preserve">SrishtiC351 </t>
  </si>
  <si>
    <t>Rajdhani College, New Delhi (BA)</t>
  </si>
  <si>
    <t xml:space="preserve">ShreyaCC362 </t>
  </si>
  <si>
    <t>Kirori Mal College, Delhi (B.Sc Chemistry Hons)</t>
  </si>
  <si>
    <t>Ankur jha</t>
  </si>
  <si>
    <t>Saurabh Yadav</t>
  </si>
  <si>
    <t>Rahul Dutttt</t>
  </si>
  <si>
    <t>Delhi School of Communication, New Delhi (BA Media and Marketing Communication)</t>
  </si>
  <si>
    <t>Kritika verma</t>
  </si>
  <si>
    <t>Sachin Gupta</t>
  </si>
  <si>
    <t>Gargi</t>
  </si>
  <si>
    <t>19th Aug 2025</t>
  </si>
  <si>
    <t>Zakir Husain Delhi College, Delhi (B.Sc Chemistry Hons)</t>
  </si>
  <si>
    <t>Deshbandhu College, New Delhi (B.Sc Botany Hons)</t>
  </si>
  <si>
    <t>Dronacharya Group of Institutions, Greater Noida (B.Tech Computer Science and Engineering)</t>
  </si>
  <si>
    <t>Robin Negi</t>
  </si>
  <si>
    <t>Charit Yadav</t>
  </si>
  <si>
    <t xml:space="preserve"> SrishtiC351</t>
  </si>
  <si>
    <t>Kalindi College, New Delhi (BA)</t>
  </si>
  <si>
    <t xml:space="preserve">ShivamC365 </t>
  </si>
  <si>
    <t>Adarsh Raj</t>
  </si>
  <si>
    <t xml:space="preserve">DikshaC361 </t>
  </si>
  <si>
    <t>VIT University, Bhopal (B.Tech Computer Science and Engineering in Cloud Computing and Automation)</t>
  </si>
  <si>
    <t>Marut Prishat</t>
  </si>
  <si>
    <t>Harsh Aditya</t>
  </si>
  <si>
    <t>VIT University, Bhopal (B.Tech Computer Science and Engineering in Cyber Security and Digital Forensics)</t>
  </si>
  <si>
    <t>Aman Deep Singh</t>
  </si>
  <si>
    <t>VIT University, Bhopal (B.Tech Computer Science and Engineering in Gaming Technology)</t>
  </si>
  <si>
    <t>20th Aug 2025</t>
  </si>
  <si>
    <t xml:space="preserve"> ArshanC365 </t>
  </si>
  <si>
    <t>Brahmdevdada Mane Institute of Technology, Solapur (BE Computer Science and Engineering)</t>
  </si>
  <si>
    <t>Yashraj Shirke</t>
  </si>
  <si>
    <t>Samir Galate</t>
  </si>
  <si>
    <t>Ubed Altaf Taranaik</t>
  </si>
  <si>
    <t>Abhishek Basayya Mathapati</t>
  </si>
  <si>
    <t xml:space="preserve"> PaturiC362 </t>
  </si>
  <si>
    <t>Rajiv Gandhi University of Knowledge Technologies, Nuzvid (B.Tech Computer Science and Engineering Integrated)</t>
  </si>
  <si>
    <t>Jagadeeswari Musirika</t>
  </si>
  <si>
    <t>Amrutha</t>
  </si>
  <si>
    <t>Varalakshmi</t>
  </si>
  <si>
    <t>dhanalakshmi.kola3</t>
  </si>
  <si>
    <t>Pavani</t>
  </si>
  <si>
    <t>Heritage Institute of Technology, Kolkata (B.Tech Chemical Engineering)</t>
  </si>
  <si>
    <t>Aditya Paul</t>
  </si>
  <si>
    <t>Abdul kamil K</t>
  </si>
  <si>
    <t>Danvin V</t>
  </si>
  <si>
    <t>PSG College of Technology, Coimbatore (BE Civil Engineering)</t>
  </si>
  <si>
    <t>V.HarishKumar</t>
  </si>
  <si>
    <t>Jawaharlal Nehru Technological University, Kakinada (B.Tech Civil Engineering)</t>
  </si>
  <si>
    <t>Joshit Vantaku</t>
  </si>
  <si>
    <t>Majji Somesh</t>
  </si>
  <si>
    <t>Shiva Kadali</t>
  </si>
  <si>
    <t>Pardhu Maddirala</t>
  </si>
  <si>
    <t>Vardhan</t>
  </si>
  <si>
    <t>dasaradhi Karri</t>
  </si>
  <si>
    <t>BIT Sindri, Dhanbad (B.Tech Mining Engineering)</t>
  </si>
  <si>
    <t>Rakesh Kumar</t>
  </si>
  <si>
    <t>Prajjwal</t>
  </si>
  <si>
    <t>BIT Sindri, Dhanbad (B.Tech Electronics and Communication Engineering)</t>
  </si>
  <si>
    <t>abhijeetkumargpt45</t>
  </si>
  <si>
    <t>adarsh jha</t>
  </si>
  <si>
    <t xml:space="preserve"> BikramC364 </t>
  </si>
  <si>
    <t xml:space="preserve"> SurabhiC356 </t>
  </si>
  <si>
    <t>Daulat Ram College, Delhi (BA English Hons)</t>
  </si>
  <si>
    <t>Unknown User</t>
  </si>
  <si>
    <t>Invalid user details</t>
  </si>
  <si>
    <t xml:space="preserve"> ShivamC365 </t>
  </si>
  <si>
    <t>Shivam Singh</t>
  </si>
  <si>
    <t>21st Aug 2025</t>
  </si>
  <si>
    <t xml:space="preserve"> RanjithaC363 </t>
  </si>
  <si>
    <t>Theivanai Ammal College for Women, Chennai (B.Com)</t>
  </si>
  <si>
    <t>details mismtched</t>
  </si>
  <si>
    <t>Abinaya</t>
  </si>
  <si>
    <t>Nivetha</t>
  </si>
  <si>
    <t>Saranya</t>
  </si>
  <si>
    <t>Amrin</t>
  </si>
  <si>
    <t>Monisha sri</t>
  </si>
  <si>
    <t xml:space="preserve">KavyaC365 </t>
  </si>
  <si>
    <t>Thapar Institute of Engineering and Technology, Patiala (BE Electrical and Computer Engineering)</t>
  </si>
  <si>
    <t>Kavya Ahuja</t>
  </si>
  <si>
    <t xml:space="preserve"> HarshC365 </t>
  </si>
  <si>
    <t>Geeta Kumar</t>
  </si>
  <si>
    <t>23rd Aug 2025</t>
  </si>
  <si>
    <t>Asutosh College, Kolkata (BA)</t>
  </si>
  <si>
    <t>Dinabandhu Andrews College, Baishnabghata (B.Sc Physics Hons)</t>
  </si>
  <si>
    <t>Subhasis Das</t>
  </si>
  <si>
    <t>Future Business School, Kolkata (BCA)</t>
  </si>
  <si>
    <t>Soumodip Ghosh</t>
  </si>
  <si>
    <t xml:space="preserve"> SamarthC365 </t>
  </si>
  <si>
    <t>Dr KN Modi Institute of Engineering and Technology, Modinagar (B.Tech Computer Science and Engineering)</t>
  </si>
  <si>
    <t>Friday</t>
  </si>
  <si>
    <t>Details mismachted</t>
  </si>
  <si>
    <t xml:space="preserve"> NavyaC355 </t>
  </si>
  <si>
    <t>RV University, Bangalore (B.Tech Computer Science and Engineering)</t>
  </si>
  <si>
    <t>Gautam Sanghvi</t>
  </si>
  <si>
    <t xml:space="preserve">TusharC366 </t>
  </si>
  <si>
    <t>Zagdu Singh Charitable Trust's, Thakur Shyamnarayan Degree College, Mumbai (B.Sc Data Science)</t>
  </si>
  <si>
    <t>Tushar Kashyap</t>
  </si>
  <si>
    <t>Thakur Shyamnarayan College of Education and Research, Mumbai (B.Ed)</t>
  </si>
  <si>
    <t>Avinash Chauhan</t>
  </si>
  <si>
    <t>Anirudh Mishra</t>
  </si>
  <si>
    <t>Thakur College of Science and Commerce, Mumbai (B.Sc Data Science)</t>
  </si>
  <si>
    <t xml:space="preserve"> AmitC366 </t>
  </si>
  <si>
    <t>NIMS School of Computer and Artificial Intelligence, NIMS University, Jaipur (B.Tech Computer Science Engineering)</t>
  </si>
  <si>
    <t>XBLADE GAMER</t>
  </si>
  <si>
    <t xml:space="preserve"> VatsalC365 </t>
  </si>
  <si>
    <t>Daulat Ram College, Delhi (B.Com)</t>
  </si>
  <si>
    <t>Shreyanshi Chaubey</t>
  </si>
  <si>
    <t xml:space="preserve">Pradeep Kumar c110 </t>
  </si>
  <si>
    <t>Bapatla Engineering College, Bapatla (B.Tech Electrical and Electronics Engineering)</t>
  </si>
  <si>
    <t>Pranaya Raj</t>
  </si>
  <si>
    <t>Ishita Saini</t>
  </si>
  <si>
    <t>Smt Kumudben Darbar College of Commerce, Science and Management Studies, Bijapur (BCA)</t>
  </si>
  <si>
    <t>Pubg Lover</t>
  </si>
  <si>
    <t>24th Aug 2025</t>
  </si>
  <si>
    <t xml:space="preserve"> GaganpreetC366 </t>
  </si>
  <si>
    <t>Mata Sundri College for Women, New Delhi (B.Com)</t>
  </si>
  <si>
    <t>Manpreet Kaur Anand.</t>
  </si>
  <si>
    <t>aparajita sahoo</t>
  </si>
  <si>
    <t xml:space="preserve"> SimranC357 </t>
  </si>
  <si>
    <t>Rani</t>
  </si>
  <si>
    <t>Ragni</t>
  </si>
  <si>
    <t>Rebecca</t>
  </si>
  <si>
    <t>Rebecca R</t>
  </si>
  <si>
    <t>Future Institute of Engineering and Management, Kolkata (B.Tech Electronics and Communication Engineering)</t>
  </si>
  <si>
    <t>Bhumika Das</t>
  </si>
  <si>
    <t>25th Aug 2025</t>
  </si>
  <si>
    <t>26th Aug 2025</t>
  </si>
  <si>
    <t>Makhanlal Chaturvedi National University of Journalism and Communication, Bhopal (BCA)</t>
  </si>
  <si>
    <t>Mo sameem khan</t>
  </si>
  <si>
    <t xml:space="preserve">SunanC364 </t>
  </si>
  <si>
    <t>Amity University, Kolkata (B.Tech Computer Science and Engineering)</t>
  </si>
  <si>
    <t>Ishika Chakraborty</t>
  </si>
  <si>
    <t xml:space="preserve">DiyaC363 </t>
  </si>
  <si>
    <t>Jesus and Mary College, Delhi (B.Com)</t>
  </si>
  <si>
    <t>Nikita Nagar</t>
  </si>
  <si>
    <t>27th Aug 2025</t>
  </si>
  <si>
    <t>Shivaji College, Delhi (B.Sc Mathematics Hons)</t>
  </si>
  <si>
    <t>Diya Nagpal</t>
  </si>
  <si>
    <t>Lingaya's Vidyapeeth, Faridabad (M.Sc Mathematics)</t>
  </si>
  <si>
    <t>Galgotias Institute of Management and Technology, Greater Noida (MBA)</t>
  </si>
  <si>
    <t>Atma Ram Sanatan Dharma College, New Delhi (B.Com Hons)</t>
  </si>
  <si>
    <t>Pro T Gamerz</t>
  </si>
  <si>
    <t>Faculty of Law, University of Delhi, Delhi (LLB)</t>
  </si>
  <si>
    <t>Lloyd Law College, Greater Noida (LLM)</t>
  </si>
  <si>
    <t>Jyoti gulati</t>
  </si>
  <si>
    <t xml:space="preserve">same person wrote 3 reviews </t>
  </si>
  <si>
    <t>Aditya Mishra</t>
  </si>
  <si>
    <t xml:space="preserve">Suraj C64 </t>
  </si>
  <si>
    <t>Rawal Institute of Engineering and Technology, Faridabad (B.Tech Mechanical Engineering)</t>
  </si>
  <si>
    <t>Nivedit Singh</t>
  </si>
  <si>
    <t>Invalid title</t>
  </si>
  <si>
    <t>28th Aug 2025</t>
  </si>
  <si>
    <t>Atma Ram Sanatan Dharma College, New Delhi (B.Sc Physical Science with Computer Science)</t>
  </si>
  <si>
    <t>khushi Rawat</t>
  </si>
  <si>
    <t>College of Technology, GB Pant University of Agriculture and Technology, Pantnagar (MCA)</t>
  </si>
  <si>
    <t>Delhi School of Economics, University of Delhi, Delhi (MA Economics)</t>
  </si>
  <si>
    <t>Priyansh Saxena</t>
  </si>
  <si>
    <t>Aryabhatta College, New Delhi (BA Economics Hons)</t>
  </si>
  <si>
    <t>Emon Mondal</t>
  </si>
  <si>
    <t>similar title / Copied Content</t>
  </si>
  <si>
    <t>Sudipto Roy</t>
  </si>
  <si>
    <t>Bikash Tiwari</t>
  </si>
  <si>
    <t>Noufil syed Jahgirdar</t>
  </si>
  <si>
    <t>Anjuman-E-Islam's College of Education, Vijayapura (B.Ed)</t>
  </si>
  <si>
    <t>Sayeda Rumana Quadari</t>
  </si>
  <si>
    <t>Ram Lal Anand College, New Delhi (B.Com Hons)</t>
  </si>
  <si>
    <t>Okok Okok</t>
  </si>
  <si>
    <t>Invalid Title</t>
  </si>
  <si>
    <t>Atma Ram Sanatan Dharma College, New Delhi (B.Com)</t>
  </si>
  <si>
    <t>Nishant</t>
  </si>
  <si>
    <t>Shubham Jangir</t>
  </si>
  <si>
    <t>Invaid id proof</t>
  </si>
  <si>
    <t>29th Aug 2025</t>
  </si>
  <si>
    <t>Akash agnihotri</t>
  </si>
  <si>
    <t xml:space="preserve">Similar Content/ Reviewed on behalf of someone else </t>
  </si>
  <si>
    <t>MIT WPU School of Commerce, Pune (B.Com Advanced Accounting and Auditing)</t>
  </si>
  <si>
    <t>Riya Toplani</t>
  </si>
  <si>
    <t>Kanishk shukla</t>
  </si>
  <si>
    <t>Kunal tripathi</t>
  </si>
  <si>
    <t>Piyush Kumar pandey</t>
  </si>
  <si>
    <t>Ramjas College, Delhi (B.Sc Physics Hons)</t>
  </si>
  <si>
    <t>Mubashara Rahman</t>
  </si>
  <si>
    <t>KCC Institute of Technology and Management, Greater Noida (B.Tech Computer Science and Engineering)</t>
  </si>
  <si>
    <t>Sunny shekh</t>
  </si>
  <si>
    <t>KCC Institute of Technology and Management, Greater Noida (B.Tech Computer Science)</t>
  </si>
  <si>
    <t>Tarun Saroj</t>
  </si>
  <si>
    <t>Lado saroj</t>
  </si>
  <si>
    <t>Parth AGGARWAL</t>
  </si>
  <si>
    <t>Deepanshu sharma</t>
  </si>
  <si>
    <t>Rudraksh Pathak</t>
  </si>
  <si>
    <t>Jashandeep singh</t>
  </si>
  <si>
    <t>Rishav kumar</t>
  </si>
  <si>
    <t>Lakshay Tanwer</t>
  </si>
  <si>
    <t>K Ramakrishnan College of Engineering, Tiruchirappalli (BE Computer Science and Business System)</t>
  </si>
  <si>
    <t>Saravanakumar T</t>
  </si>
  <si>
    <t xml:space="preserve">Copied Content/reviewed on behalf of others. </t>
  </si>
  <si>
    <t>Sri HariKrishnan</t>
  </si>
  <si>
    <t>Suraj Selvam</t>
  </si>
  <si>
    <t>Savitha</t>
  </si>
  <si>
    <t>dharani</t>
  </si>
  <si>
    <t>KIRTHIKA S</t>
  </si>
  <si>
    <t>Dhana Shree</t>
  </si>
  <si>
    <t>Manoranjan .K</t>
  </si>
  <si>
    <t>Purvasha Naidar</t>
  </si>
  <si>
    <t>Daulat Ram College, Delhi (BA Mathematics and Economics)</t>
  </si>
  <si>
    <t>Tvarita Meena</t>
  </si>
  <si>
    <t>Sri Venkateswara College, Delhi (BA Economics and Political Science)</t>
  </si>
  <si>
    <t>VIT University, Bhopal (B.Tech Electronics and Communication Engineering)</t>
  </si>
  <si>
    <t>Tejashvi Raj</t>
  </si>
  <si>
    <t>Ashu</t>
  </si>
  <si>
    <t>Dyal Singh Evening College, New Delhi (B.Com)</t>
  </si>
  <si>
    <t xml:space="preserve">details mismachted/Copied Content/reviewed on behalf of others. </t>
  </si>
  <si>
    <t>Muskaan</t>
  </si>
  <si>
    <t>Aryan Verma</t>
  </si>
  <si>
    <t>Rishabh</t>
  </si>
  <si>
    <t>Archit</t>
  </si>
  <si>
    <t>StyleoPrince India</t>
  </si>
  <si>
    <t xml:space="preserve">Invalid user name </t>
  </si>
  <si>
    <t>Shri Shikshayatan College, Kolkata (B.Com Accounting and Finance Hons with Research)</t>
  </si>
  <si>
    <t>Ankita Majumder</t>
  </si>
  <si>
    <t>30th Aug 2025</t>
  </si>
  <si>
    <t>Indian Institute of Technology Banaras Hindu University Varanasi (M.Tech Electrical Machines and Drives)</t>
  </si>
  <si>
    <t>Sohan Paul</t>
  </si>
  <si>
    <t>Siliguri Institute of Technology, Darjeeling (B.Tech Computer Science and Engineering)</t>
  </si>
  <si>
    <t>Medha Ghosh</t>
  </si>
  <si>
    <t>St Xavier's University, Kolkata (BA Economics Hons)</t>
  </si>
  <si>
    <t>Future Institute of Engineering and Management, Kolkata (B.Tech Data Science)</t>
  </si>
  <si>
    <t>prattay sarkar</t>
  </si>
  <si>
    <t>Jadavpur University, Kolkata (BE Electrical Engineering)</t>
  </si>
  <si>
    <t>Prattay Sarkar</t>
  </si>
  <si>
    <t>Amity Global Business School, Kolkata (GDBA and BBA)</t>
  </si>
  <si>
    <t>Sayantika Banarjee</t>
  </si>
  <si>
    <t>JC Bose University of Science and Technology, YMCA, Faridabad (Ph.D Management Studies)</t>
  </si>
  <si>
    <t>Saif</t>
  </si>
  <si>
    <t>Sharda University, Greater Noida (MBA Banking and Finance)</t>
  </si>
  <si>
    <t>Vanshika Tomar</t>
  </si>
  <si>
    <t>Trisha Yadav</t>
  </si>
  <si>
    <t>Shubham Kotiya</t>
  </si>
  <si>
    <t>Sri Venkateswara College, Delhi (B.Com Hons)</t>
  </si>
  <si>
    <t>Sarvesh Pahilajani</t>
  </si>
  <si>
    <t>Sri Guru Tegh Bahadur Khalsa College, New Delhi (BA Business Economics Hons)</t>
  </si>
  <si>
    <t>Ekam Singh</t>
  </si>
  <si>
    <t>Ash</t>
  </si>
  <si>
    <t>Lakshita jain</t>
  </si>
  <si>
    <t>1st Sept 2025</t>
  </si>
  <si>
    <t xml:space="preserve"> AbdulC368 </t>
  </si>
  <si>
    <t>Abdul Hadi</t>
  </si>
  <si>
    <t>Shaheed Bhagat Singh Evening College, New Delhi (B.Com)</t>
  </si>
  <si>
    <t>Rishi Sethia</t>
  </si>
  <si>
    <t>Ruby Moiz</t>
  </si>
  <si>
    <t xml:space="preserve"> SaurabhC368 </t>
  </si>
  <si>
    <t>Roorkee Institute of Technology, Roorkee (B.Tech Computer Science and Engineering)</t>
  </si>
  <si>
    <t xml:space="preserve"> MANISH KUMAR THAKUR </t>
  </si>
  <si>
    <t>2nd Sept 2025</t>
  </si>
  <si>
    <t>Garv Nagpal</t>
  </si>
  <si>
    <t>Ujjawal Kapri</t>
  </si>
  <si>
    <t xml:space="preserve">same review posted </t>
  </si>
  <si>
    <t>Sri Guru Tegh Bahadur Khalsa College, New Delhi (Bachelor Business Economics)</t>
  </si>
  <si>
    <t xml:space="preserve">BharadwajC366 </t>
  </si>
  <si>
    <t>Bapatla Engineering College, Bapatla (B.Tech Cyber Security)</t>
  </si>
  <si>
    <t>Dileep Meesala</t>
  </si>
  <si>
    <t>Walchand College of Arts and Science, Solapur (BA)</t>
  </si>
  <si>
    <t>Baba Jakler</t>
  </si>
  <si>
    <t>Invalid username</t>
  </si>
  <si>
    <t>AG Patil Institute of Technology, Solapur (B.Tech Electronics and Telecommunication Engineering)</t>
  </si>
  <si>
    <t>Shaikh Sabir</t>
  </si>
  <si>
    <t>deatils Mismachted</t>
  </si>
  <si>
    <t>S N R</t>
  </si>
  <si>
    <t>3rd Sept 2025</t>
  </si>
  <si>
    <t xml:space="preserve">DushyantC368 </t>
  </si>
  <si>
    <t>BSA College of Engineering and Technology, Mathura (B.Tech Computer Science and Engineering)</t>
  </si>
  <si>
    <t>Prachi</t>
  </si>
  <si>
    <t>Institute of Technology and Management, Aligarh (B.Tech Information Technology)</t>
  </si>
  <si>
    <t>Gyanisharma</t>
  </si>
  <si>
    <t>Institute of Technology and Management, Aligarh (B.Tech Computer Science)</t>
  </si>
  <si>
    <t>Shivam chaudhary</t>
  </si>
  <si>
    <t>rishabh</t>
  </si>
  <si>
    <t>Vivekananda College of Technology and Management, Aligarh (B.Tech Computer Science and Engineering)</t>
  </si>
  <si>
    <t>Kuldeep Saraswat</t>
  </si>
  <si>
    <t>ITM College of Education, Aligarh (B.Ed)</t>
  </si>
  <si>
    <t>Sondev Kumar</t>
  </si>
  <si>
    <t>Institute of Technology and Management, Aligarh (B.Ed)</t>
  </si>
  <si>
    <t>Pallavi Saraswat</t>
  </si>
  <si>
    <t>Sauniya kumari</t>
  </si>
  <si>
    <t>Lavi kumar</t>
  </si>
  <si>
    <t>College of Engineering Roorkee, Roorkee (B.Tech Information Technology)</t>
  </si>
  <si>
    <t>Hemant Kumar COER</t>
  </si>
  <si>
    <t xml:space="preserve"> DiyaC363 </t>
  </si>
  <si>
    <t>Radhika Sharma</t>
  </si>
  <si>
    <t xml:space="preserve">same person wrote 3 review </t>
  </si>
  <si>
    <t>Institute of Law and Research, Faridabad (LLB)</t>
  </si>
  <si>
    <t>dandu teja</t>
  </si>
  <si>
    <t>Bapatla Engineering College, Bapatla (B.Tech Mechanical Engineering)</t>
  </si>
  <si>
    <t>Jupalli Prabha</t>
  </si>
  <si>
    <t>Godavari Global University, Rajahmundry (B.Tech Computer Science and Engineering)</t>
  </si>
  <si>
    <t>KOYYA PRADEEP CHANDRA</t>
  </si>
  <si>
    <t>Maharaj Vijayaram Gajapathi Raj College of Engineering, Vizianagaram (B.Tech Information Technology)</t>
  </si>
  <si>
    <t>Sneha Ratti</t>
  </si>
  <si>
    <t>Bapatla Engineering College, Bapatla (B.Tech Computer Science and Engineering Artificial Intelligence and Machine Learning)</t>
  </si>
  <si>
    <t>Harsha Batna</t>
  </si>
  <si>
    <t xml:space="preserve">SyedC368 </t>
  </si>
  <si>
    <t>Techno International New Town, Kolkata (B.Tech Artificial intelligence and Machine Learning)</t>
  </si>
  <si>
    <t>shadab khan</t>
  </si>
  <si>
    <t xml:space="preserve"> SaniaC368 </t>
  </si>
  <si>
    <t>Integral University, Lucknow (B.Tech Biotechnology)</t>
  </si>
  <si>
    <t>XYZ</t>
  </si>
  <si>
    <t xml:space="preserve">Diksha361 </t>
  </si>
  <si>
    <t>Lady Shriram College for Women, New Delhi (BA Computer Applications and Economics)</t>
  </si>
  <si>
    <t>Prakriti Gupta</t>
  </si>
  <si>
    <t>Lakshmi Narain College of Technology and Science, Bhopal (B.Tech Artificial Intelligence and Machine Learning)</t>
  </si>
  <si>
    <t>Ashutosh Mishra</t>
  </si>
  <si>
    <t>4th Sept 2025</t>
  </si>
  <si>
    <t>DAV Centenary College, Faridabad (MA English)</t>
  </si>
  <si>
    <t>Pallavi Kataria</t>
  </si>
  <si>
    <t>KL Mehta Dayanand College for Women, Faridabad (BA)</t>
  </si>
  <si>
    <t>Lingaya's Vidyapeeth, Faridabad (M.Sc Chemistry)</t>
  </si>
  <si>
    <t>Keshav Singh</t>
  </si>
  <si>
    <t>Aggarwal College, Ballabgarh (B.Sc Chemistry Hons)</t>
  </si>
  <si>
    <t>Diksha 361</t>
  </si>
  <si>
    <t>Lady Shriram College for Women, New Delhi (BA Economics and Mathematics)</t>
  </si>
  <si>
    <t>Bhumi Bansal</t>
  </si>
  <si>
    <t xml:space="preserve"> SohitC367 </t>
  </si>
  <si>
    <t>Gyan Ganga College of Excellence, Jabalpur (B.Com)</t>
  </si>
  <si>
    <t>sohit patel</t>
  </si>
  <si>
    <t>Gyan Ganga College of Technology, Jabalpur (B.Tech Computer Science and Engineering)</t>
  </si>
  <si>
    <t xml:space="preserve"> BharadwajC366 </t>
  </si>
  <si>
    <t>Indhu</t>
  </si>
  <si>
    <t>N.Harivardhan Reddy</t>
  </si>
  <si>
    <t>5th Sept 2025</t>
  </si>
  <si>
    <t xml:space="preserve">VinayC368 </t>
  </si>
  <si>
    <t>Smt SM Shah Pharmacy College, Aamsaran (B.Pharma)</t>
  </si>
  <si>
    <t>Yash Shukla</t>
  </si>
  <si>
    <t xml:space="preserve">AlokC367 </t>
  </si>
  <si>
    <t>ACE Engineering College, Ghatkesar (B.Tech Computer Science and Engineering)</t>
  </si>
  <si>
    <t>Deekonda Renusree</t>
  </si>
  <si>
    <t xml:space="preserve">same person wrote 4 reviews </t>
  </si>
  <si>
    <t xml:space="preserve"> RenusreeC367 </t>
  </si>
  <si>
    <t>Pramitha Bonaboina</t>
  </si>
  <si>
    <t>ACE Engineering College, Ghatkesar (B.Tech Data Science)</t>
  </si>
  <si>
    <t xml:space="preserve"> KunalC369 </t>
  </si>
  <si>
    <t>Somany PG Institute of Technology and Management, Rewari (B.Tech Mechanical Engineering)</t>
  </si>
  <si>
    <t>Ankit kumar</t>
  </si>
  <si>
    <t>Copied Content/ Irrelevant Content</t>
  </si>
  <si>
    <t>Kishan Lal Public College, Rewari (B.Sc Medical)</t>
  </si>
  <si>
    <t>Vineeta</t>
  </si>
  <si>
    <t xml:space="preserve"> N.VikasC367 </t>
  </si>
  <si>
    <t>Manipal University, Jaipur (B.Tech Computer Science and Engineering Data Science)</t>
  </si>
  <si>
    <t>Sri Venkateswara College of Engineering and Technology, Chittoor (B.Tech Artificial Intelligence and Machine Learning)</t>
  </si>
  <si>
    <t>Capital Degree College, Medchal (BBA)</t>
  </si>
  <si>
    <t>GW CHERRY</t>
  </si>
  <si>
    <t xml:space="preserve"> SmileC369 </t>
  </si>
  <si>
    <t>Govind Ballabh Pant Institute of Engineering and Technology, Pauri Garhwal (B.Tech Civil Engineering)</t>
  </si>
  <si>
    <t>Mayank Latwal</t>
  </si>
  <si>
    <t>Govind Ballabh Pant Institute of Engineering and Technology, Pauri Garhwal (B.Tech Computer Science and Engineering)</t>
  </si>
  <si>
    <t>Vaibhav Pokhriyal</t>
  </si>
  <si>
    <t>Ashish Singh</t>
  </si>
  <si>
    <t>Govind Ballabh Pant Institute of Engineering and Technology, Pauri Garhwal (B.Tech Mechanical Engineering)</t>
  </si>
  <si>
    <t>Rfan Ali</t>
  </si>
  <si>
    <t>SuMiT SINGH</t>
  </si>
  <si>
    <t>kumaiyasaurav05</t>
  </si>
  <si>
    <t>Utkarsh Rawat</t>
  </si>
  <si>
    <t xml:space="preserve">DivyanshC369 </t>
  </si>
  <si>
    <t>Global Institute of Technology, Jaipur (B.Tech Computer Science and Engineering)</t>
  </si>
  <si>
    <t>Adarsh Choudhary</t>
  </si>
  <si>
    <t>6th Sept 2025</t>
  </si>
  <si>
    <t>Harshita Khullar</t>
  </si>
  <si>
    <t>Shivaji College, Delhi (B.Sc Zoology Hons)</t>
  </si>
  <si>
    <t>atulkushwaha3141</t>
  </si>
  <si>
    <t xml:space="preserve"> SHUBHAMC369 </t>
  </si>
  <si>
    <t>Invertis Institute of Engineering and Technology, Bareilly (B.Tech Computer Science and Engineering)</t>
  </si>
  <si>
    <t>Alok Ranjan</t>
  </si>
  <si>
    <t>Similar Content/ written in hindi</t>
  </si>
  <si>
    <t xml:space="preserve">SmileC369 </t>
  </si>
  <si>
    <t>Uuff Tyi</t>
  </si>
  <si>
    <t>Rean Sean</t>
  </si>
  <si>
    <t xml:space="preserve">KavitaC353 </t>
  </si>
  <si>
    <t>Satyam College of Education for Women, Jind (B.Ed)</t>
  </si>
  <si>
    <t>Priyanka Gupta Priyanka Gupta</t>
  </si>
  <si>
    <t>HIERANK Business School, Noida (BCA)</t>
  </si>
  <si>
    <t>Kavita Gupta</t>
  </si>
  <si>
    <t xml:space="preserve"> AdarshC369 </t>
  </si>
  <si>
    <t>Noida International University, Greater Noida (MCA)</t>
  </si>
  <si>
    <t>details Mismachted</t>
  </si>
  <si>
    <t>Aadarsh Yadav</t>
  </si>
  <si>
    <t xml:space="preserve">ShushantC370 </t>
  </si>
  <si>
    <t>King India</t>
  </si>
  <si>
    <t xml:space="preserve">KunalC369 </t>
  </si>
  <si>
    <t>Army College of Medical Sciences, Delhi (MBBS)</t>
  </si>
  <si>
    <t>pawan chetiwal</t>
  </si>
  <si>
    <t>Indian Institute of Information Technology, Vadodara (B.Tech Computer Science and Engineering)</t>
  </si>
  <si>
    <t>himanshukhanna152</t>
  </si>
  <si>
    <t>7th Sept 2025</t>
  </si>
  <si>
    <t xml:space="preserve">AkramC370 </t>
  </si>
  <si>
    <t>Shreya Dwivedi</t>
  </si>
  <si>
    <t>8th Sept 2025</t>
  </si>
  <si>
    <t xml:space="preserve"> KavitaC353 </t>
  </si>
  <si>
    <t>Indira Gandhi National Open University, New Delhi (BA Political Science Major)</t>
  </si>
  <si>
    <t>Neelam</t>
  </si>
  <si>
    <t>distance course</t>
  </si>
  <si>
    <t xml:space="preserve">SharvarishC370 </t>
  </si>
  <si>
    <t>Sonarpur Mahavidyalaya, South 24 Parganas (BA English Hons)</t>
  </si>
  <si>
    <t>Mita Roy</t>
  </si>
  <si>
    <t>TECH SAMACHAR</t>
  </si>
  <si>
    <t xml:space="preserve"> VinayC368 </t>
  </si>
  <si>
    <t>Mehsana Urban Institute of Sciences, Ganpat University, Mehsana (M.Sc Biotechnology)</t>
  </si>
  <si>
    <t>BT_31 komal Sharma</t>
  </si>
  <si>
    <t>Gujarat University, Ahmedabad (B.Com LLB)</t>
  </si>
  <si>
    <t>monika sharma</t>
  </si>
  <si>
    <t>MK Amin Arts, Science and Commerce College, Padra (B.Sc Microbiology Hons)</t>
  </si>
  <si>
    <t xml:space="preserve"> ShushantC370 </t>
  </si>
  <si>
    <t>IILM University, Greater Noida (B.Tech Computer Science Engineering)</t>
  </si>
  <si>
    <t>9th Sept 2025</t>
  </si>
  <si>
    <t>OJASC362</t>
  </si>
  <si>
    <t>Invalid username / distance course</t>
  </si>
  <si>
    <t>10th Sept 2025</t>
  </si>
  <si>
    <t xml:space="preserve"> AashiyanaC367 </t>
  </si>
  <si>
    <t xml:space="preserve">Asishc371 </t>
  </si>
  <si>
    <t>Disha College of Management and Technology, Ganjam (BBA)</t>
  </si>
  <si>
    <t>Asish kumar Patro</t>
  </si>
  <si>
    <t>Kalam Institute of Technology, Berhampur (MBA)</t>
  </si>
  <si>
    <t>Presidency College, Berhampur (BBA)</t>
  </si>
  <si>
    <t>Pillai's Institute of Management, Navi Mumbai (MBA Executive)</t>
  </si>
  <si>
    <t>National Institute of Science and Technology, Berhampur (MBA)</t>
  </si>
  <si>
    <t>G Pulla Reddy Engineering College, Kurnool (B.Tech Computer Science and Technology)</t>
  </si>
  <si>
    <t xml:space="preserve">DevlinaC371 </t>
  </si>
  <si>
    <t>Surendranath Law College, Kolkata (BA LLB)</t>
  </si>
  <si>
    <t>Manishita Sahu</t>
  </si>
  <si>
    <t>GitaRam Institute of Management, Berhampore (BBA)</t>
  </si>
  <si>
    <t>Sayan Ghosh</t>
  </si>
  <si>
    <t>GitaRam Institute of Management, Berhampore (BCA Hons)</t>
  </si>
  <si>
    <t>Chaiti saha</t>
  </si>
  <si>
    <t>AbdullahC371</t>
  </si>
  <si>
    <t>Rai University, Ahmedabad (BCA)</t>
  </si>
  <si>
    <t>Abdullah Sajjan</t>
  </si>
  <si>
    <t xml:space="preserve">Invalid title/irrelevant content </t>
  </si>
  <si>
    <t>11th Sept 2025</t>
  </si>
  <si>
    <t xml:space="preserve"> Asishc371 </t>
  </si>
  <si>
    <t>National Institute of Science and Technology, Berhampur (B.Tech Information Technology)</t>
  </si>
  <si>
    <t xml:space="preserve"> AshiyaC371 </t>
  </si>
  <si>
    <t>Government Polytechnic, Panchkula (Diploma in Mechanical Engineering)</t>
  </si>
  <si>
    <t>ArsheAzam</t>
  </si>
  <si>
    <t>Guru Gobind Singh College for Women, Chandigarh (B.Com)</t>
  </si>
  <si>
    <t>Prabhjot Kaur</t>
  </si>
  <si>
    <t>Swami Devi Dyal College of Law, Panchkula (BA LLB)</t>
  </si>
  <si>
    <t>Ranjana</t>
  </si>
  <si>
    <t>Government PG College Sector 1, Panchkula (BA)</t>
  </si>
  <si>
    <t>Divya Jakhar</t>
  </si>
  <si>
    <t>Government College for Girls Sector- 14, Gurgaon (BA)</t>
  </si>
  <si>
    <t xml:space="preserve">AashiyanaC367 </t>
  </si>
  <si>
    <t>Sweety</t>
  </si>
  <si>
    <t>Vinay Satish Sharma</t>
  </si>
  <si>
    <t>G Pulla Reddy Engineering College, Kurnool (B.Tech Computer Science and Engineering)</t>
  </si>
  <si>
    <t>Niketh</t>
  </si>
  <si>
    <t>G Pulla Reddy Engineering College, Kurnool (B.Tech Electronics and Communication Engineering)</t>
  </si>
  <si>
    <t>Nethi Hitesh</t>
  </si>
  <si>
    <t>karapakula</t>
  </si>
  <si>
    <t xml:space="preserve">SmitC372 </t>
  </si>
  <si>
    <t>Vishwakarma Government Engineering College, Ahmedabad (B.Tech Information and Communication Technology)</t>
  </si>
  <si>
    <t>Smit Chaudhari</t>
  </si>
  <si>
    <t xml:space="preserve">NavyaC372 </t>
  </si>
  <si>
    <t>Godavari Global University, Rajahmundry (B.Tech Electrical and Electronics Engineering)</t>
  </si>
  <si>
    <t>Sowmya sri</t>
  </si>
  <si>
    <t>Navya sri Maridi</t>
  </si>
  <si>
    <t xml:space="preserve"> KHUSHIC372 </t>
  </si>
  <si>
    <t>Swami Sahajanand College, Jehanabad (BA Economics Hons)</t>
  </si>
  <si>
    <t>Aniket Ranjan</t>
  </si>
  <si>
    <t>written in hindi</t>
  </si>
  <si>
    <t>Ranchi Women's College, Ranchi (MA Political Science)</t>
  </si>
  <si>
    <t>Aryan</t>
  </si>
  <si>
    <t xml:space="preserve">RukhsarC372 </t>
  </si>
  <si>
    <t>Karimganj College, Karimganj (BA Political Science Hons)</t>
  </si>
  <si>
    <t>Nazma Begam</t>
  </si>
  <si>
    <t>12th Sept 2025</t>
  </si>
  <si>
    <t xml:space="preserve">CHANDRAC371 </t>
  </si>
  <si>
    <t>Annamacharya University, Rajampet (B.Tech Computer Science and Engineering)</t>
  </si>
  <si>
    <t>Archana reddy</t>
  </si>
  <si>
    <t>ITM Vocational University, Vadodara (B.Tech Mechanical Engineering)</t>
  </si>
  <si>
    <t>Hitarth panchal</t>
  </si>
  <si>
    <t xml:space="preserve">N.VikasC367 </t>
  </si>
  <si>
    <t>University of Delhi, Delhi (B.Sc Botany Hons)</t>
  </si>
  <si>
    <t>14th Sept 2025</t>
  </si>
  <si>
    <t xml:space="preserve"> ShreyaJC371 </t>
  </si>
  <si>
    <t>Parth Bhardwaj</t>
  </si>
  <si>
    <t xml:space="preserve"> ChetanC371 </t>
  </si>
  <si>
    <t>Upadhi Mahavidyalaya, Pilibhit (B.Com)</t>
  </si>
  <si>
    <t>Arvind singh panchpal</t>
  </si>
  <si>
    <t>Gujarat Vidyapith, Ahmedabad (B.Ed)</t>
  </si>
  <si>
    <t>Vinay Sharma</t>
  </si>
  <si>
    <t>Drs Kiran and Pallavi Patel Global University, Vadodara (MBA)</t>
  </si>
  <si>
    <t>Maharaja Sayajirao University of Baroda, Vadodara (B.Com)</t>
  </si>
  <si>
    <t>Daulat Ram College, Delhi (B.Sc Life Sciences)</t>
  </si>
  <si>
    <t>Khyati</t>
  </si>
  <si>
    <t xml:space="preserve">ArshanC365 </t>
  </si>
  <si>
    <t>RV College of Engineering, Bangalore (M.Tech Structural Engineering)</t>
  </si>
  <si>
    <t>Ahmed Shaikh</t>
  </si>
  <si>
    <t>KLE Technological University, Hubballi (BE Civil Engineering)</t>
  </si>
  <si>
    <t>KK Wagh Polytechnic, Nashik (Diploma in Civil Engineering)</t>
  </si>
  <si>
    <t>15th Sept 2025</t>
  </si>
  <si>
    <t>Daulat Ram College, Delhi (BA Philosophy Hons)</t>
  </si>
  <si>
    <t>Ariza fatima</t>
  </si>
  <si>
    <t>Sunil Verma</t>
  </si>
  <si>
    <t xml:space="preserve">AmmireddyC368 </t>
  </si>
  <si>
    <t>Abhilash</t>
  </si>
  <si>
    <t>Chandu kola</t>
  </si>
  <si>
    <t>JNTUH College of Engineering, Karimnagar (B.Tech Electrical and Electronics Engineering)</t>
  </si>
  <si>
    <t>Arisella Madhumitha</t>
  </si>
  <si>
    <t>Vishnu Thammadaboina</t>
  </si>
  <si>
    <t>JNTUH College of Engineering, Karimnagar (B.Tech Information Technology)</t>
  </si>
  <si>
    <t>Paidipala Anusha</t>
  </si>
  <si>
    <t>JNTUH College of Engineering, Karimnagar (B.Tech Computer Science and Engineering)</t>
  </si>
  <si>
    <t>Dasari Rashmi</t>
  </si>
  <si>
    <t>Gokaraju Rangaraju Institute of Engineering and Technology, Hyderabad (B.Tech Artificial Intelligence and Machine Learning)</t>
  </si>
  <si>
    <t>Perala Rajashekar</t>
  </si>
  <si>
    <t>Sahithi Alladi</t>
  </si>
  <si>
    <t>Jagadish Kolluri</t>
  </si>
  <si>
    <t>Triveni Jorige</t>
  </si>
  <si>
    <t>Kanchu laharitha</t>
  </si>
  <si>
    <t>Pranith Kurra</t>
  </si>
  <si>
    <t>Institute of Aeronautical Engineering, Dundigal (B.Tech Computer Science and Information Technology)</t>
  </si>
  <si>
    <t>Nariveddi Karthikeya</t>
  </si>
  <si>
    <t>Pavan Sai Bommala</t>
  </si>
  <si>
    <t>Parul University, Vadodara (B.Sc Medical Laboratory Technology)</t>
  </si>
  <si>
    <t>Ritika Sharma</t>
  </si>
  <si>
    <t>16th Sept 2025</t>
  </si>
  <si>
    <t xml:space="preserve"> AmmireddyC368 </t>
  </si>
  <si>
    <t>JntuhCSE</t>
  </si>
  <si>
    <t>Gone Siri Varshini</t>
  </si>
  <si>
    <t>Jabili malluri</t>
  </si>
  <si>
    <t>Karre Sri Harini</t>
  </si>
  <si>
    <t>Archishma Rao Kalakuntla</t>
  </si>
  <si>
    <t>Ashwitha Kandi</t>
  </si>
  <si>
    <t>JNTUH College of Engineering, Karimnagar (B.Tech Electronics and Communication Engineering)</t>
  </si>
  <si>
    <t>Yamuna Boina</t>
  </si>
  <si>
    <t>Swathi Sandela</t>
  </si>
  <si>
    <t>Eppakayala Snehitha</t>
  </si>
  <si>
    <t>JNTUH College of Engineering, Karimnagar (M.Tech Computer Science and Engineering)</t>
  </si>
  <si>
    <t>Vinay</t>
  </si>
  <si>
    <t xml:space="preserve">VinayakC371 </t>
  </si>
  <si>
    <t>Bhupendra Narayan Mandal University, Madhepura (BA)</t>
  </si>
  <si>
    <t>Saloni</t>
  </si>
  <si>
    <t>17th Sept 2025</t>
  </si>
  <si>
    <t>Christ University, Ghaziabad Campus (BBA Marketing and Supply Chain Management Hons)</t>
  </si>
  <si>
    <t>Zero</t>
  </si>
  <si>
    <t>18th Sept 2025</t>
  </si>
  <si>
    <t xml:space="preserve"> LizaC373 </t>
  </si>
  <si>
    <t>Bharati Vidyapeeth's Institute of Management and Entrepreneurship Development, Pune (BBA)</t>
  </si>
  <si>
    <t>Ibrahim</t>
  </si>
  <si>
    <t>Manale</t>
  </si>
  <si>
    <t>Mukarram Kothawala</t>
  </si>
  <si>
    <t>Rushikesh Bhondve</t>
  </si>
  <si>
    <t>Kirori Mal College, Delhi (B.Sc Physics Hons)</t>
  </si>
  <si>
    <t>Rishu Mishra</t>
  </si>
  <si>
    <t>Popular Yadav</t>
  </si>
  <si>
    <t>19th Sept 2025</t>
  </si>
  <si>
    <t>20th Sept 2025</t>
  </si>
  <si>
    <t>National Institute of Technology Uttarakhand (Ph.D Mechanical Engineering)</t>
  </si>
  <si>
    <t>Arham Khan</t>
  </si>
  <si>
    <t xml:space="preserve"> DiyaC363</t>
  </si>
  <si>
    <t>21st Sept 2025</t>
  </si>
  <si>
    <t>Kommuri Pratap Reddy Institute of Technology, Ghatkesar (B.Tech Electronics and Communication Engineering)</t>
  </si>
  <si>
    <t>Akhilreddy</t>
  </si>
  <si>
    <t>Bandari Siri vaishnavi</t>
  </si>
  <si>
    <t>Anjalireddy Aleti</t>
  </si>
  <si>
    <t>Priyanka Rathod</t>
  </si>
  <si>
    <t>Ajmera Ankitha</t>
  </si>
  <si>
    <t>Govind Ballabh Pant Institute of Engineering and Technology, Pauri Garhwal (B.Tech Artificial Intelligence and Machine Learning)</t>
  </si>
  <si>
    <t>Avdesh World Gaming</t>
  </si>
  <si>
    <t>IFTM University, Moradabad (LLB)</t>
  </si>
  <si>
    <t>Indian Institute of Technology Delhi (MS Research Telecommunication Technology and Management)</t>
  </si>
  <si>
    <t>22nd Sept 2025</t>
  </si>
  <si>
    <t>Priyanshu Gusain</t>
  </si>
  <si>
    <t xml:space="preserve"> OjasC362 </t>
  </si>
  <si>
    <t>23rd Sept 2025</t>
  </si>
  <si>
    <t xml:space="preserve">AbhishekC375 </t>
  </si>
  <si>
    <t>Indira Gandhi Engineering College, Sagar (BE Electronics and Communication Engineering)</t>
  </si>
  <si>
    <t>Samar Thakur</t>
  </si>
  <si>
    <t>Abhishek vishwakarma</t>
  </si>
  <si>
    <t xml:space="preserve"> BabulC375 </t>
  </si>
  <si>
    <t>AS College, Deoghar (BA English Hons)</t>
  </si>
  <si>
    <t>Suman Roy</t>
  </si>
  <si>
    <t>AS College, Deoghar (BA Hindi Hons)</t>
  </si>
  <si>
    <t>Aman Raj Pandey</t>
  </si>
  <si>
    <t>24th Sept 2025</t>
  </si>
  <si>
    <t xml:space="preserve"> ABHAYC375 </t>
  </si>
  <si>
    <t>ABHAY SHUKLA</t>
  </si>
  <si>
    <t>School of Pharmacy Devi Ahilya Vishwavidyalaya, Indore (B.Pharma)</t>
  </si>
  <si>
    <t>AYUSHMATHI</t>
  </si>
  <si>
    <t>Details Mismatchted/fake review</t>
  </si>
  <si>
    <t>ATCHAYA M</t>
  </si>
  <si>
    <t>ANGELA SHYLYN P</t>
  </si>
  <si>
    <t>ANU ISVARYA A</t>
  </si>
  <si>
    <t>ANN RHAYAN M S</t>
  </si>
  <si>
    <t>AKSHAYA M</t>
  </si>
  <si>
    <t>ANANDHALAKSHMI E</t>
  </si>
  <si>
    <t>Akash M S</t>
  </si>
  <si>
    <t>Ajay C</t>
  </si>
  <si>
    <t>Sujitvinu R R</t>
  </si>
  <si>
    <t>Umeshwaran</t>
  </si>
  <si>
    <t>Awadhesh Pratap Singh University, Rewa (MBA Human Resource Development)</t>
  </si>
  <si>
    <t>HITLER Gaming</t>
  </si>
  <si>
    <t xml:space="preserve">invalid username </t>
  </si>
  <si>
    <t>MIT WPU School of Commerce, Pune (B.Com)</t>
  </si>
  <si>
    <t xml:space="preserve"> AyushC375 </t>
  </si>
  <si>
    <t>National Dairy Research Institute, Karnal (B.Tech Dairy Technology)</t>
  </si>
  <si>
    <t>Golu Meena</t>
  </si>
  <si>
    <t>Abid</t>
  </si>
  <si>
    <t>National Dairy Research Institute, Karnal (M.Tech Dairy Technology)</t>
  </si>
  <si>
    <t>Deepanshu kumar</t>
  </si>
  <si>
    <t>Karan Nihlani</t>
  </si>
  <si>
    <t>Haldia Institute of Technology, Haldia (B.Tech Civil Engineering)</t>
  </si>
  <si>
    <t>Rishu Gupta</t>
  </si>
  <si>
    <t xml:space="preserve">SaurabhC368 </t>
  </si>
  <si>
    <t>duiop</t>
  </si>
  <si>
    <t>similar title/details mismatched</t>
  </si>
  <si>
    <t>deepa raj</t>
  </si>
  <si>
    <t>fioQ KJDKQW</t>
  </si>
  <si>
    <t>raj kumar</t>
  </si>
  <si>
    <t>saurabh Kumar</t>
  </si>
  <si>
    <t>Galgotias College of Engineering and Technology, Greater Noida (MBA)</t>
  </si>
  <si>
    <t>26th Sept 2025</t>
  </si>
  <si>
    <t>ABHAYC375</t>
  </si>
  <si>
    <t>Hemvati Nandan Bahuguna Garhwal University, Pauri Garhwal (B.Sc Defence and Strategic Studies)</t>
  </si>
  <si>
    <t>27th Sept 2025</t>
  </si>
  <si>
    <t>Amita mishra</t>
  </si>
  <si>
    <t>Similar Title/ Details Mismatched</t>
  </si>
  <si>
    <t xml:space="preserve">SimranC376 </t>
  </si>
  <si>
    <t>Banasthali Vidyapith, Banasthali (BA Hons.)</t>
  </si>
  <si>
    <t>avadacadabra</t>
  </si>
  <si>
    <t xml:space="preserve">ABHAYC375 </t>
  </si>
  <si>
    <t>Central University of Andhra Pradesh, Anantapur (BA Political Science Hons)</t>
  </si>
  <si>
    <t>DiyaC363</t>
  </si>
  <si>
    <t>Shiv College of Education, Faridabad (B.Ed)</t>
  </si>
  <si>
    <t>KL Mehta Dayanand College for Women, Faridabad (M.Sc Mathematics)</t>
  </si>
  <si>
    <t>29th Sept 2025</t>
  </si>
  <si>
    <t xml:space="preserve"> SnehaC374 </t>
  </si>
  <si>
    <t>Ram Dulari Sharda Prasad Indra Bhagra Singh Mahila Mahavidyalaya, Sultanpur (B.Sc)</t>
  </si>
  <si>
    <t>Suryansh Mishra</t>
  </si>
  <si>
    <t>Dr Ram Manohar Lohia Avadh University, Faizabad (MBA)</t>
  </si>
  <si>
    <t>Sarvendra kumar</t>
  </si>
  <si>
    <t>NAINSI KASAUDHAN</t>
  </si>
  <si>
    <t>Jaypee Institute of Information Technology, Noida (B.Tech Electronics and Communication Engineering)</t>
  </si>
  <si>
    <t>30th Sept 2025</t>
  </si>
  <si>
    <t>KUZHALARASU S</t>
  </si>
  <si>
    <t>Anandhalakshmi E</t>
  </si>
  <si>
    <t>Harikrishnah S</t>
  </si>
  <si>
    <t>Dhinesh R</t>
  </si>
  <si>
    <t>Jaypee Institute of Information Technology, Noida (M.Tech Data Analytics)</t>
  </si>
  <si>
    <t>Vishal Chaudhary</t>
  </si>
  <si>
    <t>Similat Content</t>
  </si>
  <si>
    <t>Ojas</t>
  </si>
  <si>
    <t xml:space="preserve">ShreyaC377 </t>
  </si>
  <si>
    <t>Guru Jambheshwar University of Science and Technology, Hisar (B.Tech Computer Science and Engineering)</t>
  </si>
  <si>
    <t>KRISH SAINI</t>
  </si>
  <si>
    <t>1st Oct 2025</t>
  </si>
  <si>
    <t>Jaypee Institute of Information Technology, Noida (M.Tech Computer Science and Engineering)</t>
  </si>
  <si>
    <t>details Mismatchted</t>
  </si>
  <si>
    <t>3rd Oct 2025</t>
  </si>
  <si>
    <t xml:space="preserve"> SimranC376 </t>
  </si>
  <si>
    <t>Vishveshwarya Group of Institutions, Gautam Buddha Nagar (B.Tech Computer Science and Engineering)</t>
  </si>
  <si>
    <t>Saksham</t>
  </si>
  <si>
    <t xml:space="preserve">BhumiC378 </t>
  </si>
  <si>
    <t>Khalsa College for Women, Ludhiana (BA)</t>
  </si>
  <si>
    <t>Khushi Kunwar</t>
  </si>
  <si>
    <t xml:space="preserve"> mehetabC377 </t>
  </si>
  <si>
    <t>Rabindra Mahavidyalaya, Hooghly (B.Com Accountancy Major)</t>
  </si>
  <si>
    <t>Mehetab Hossain Molla</t>
  </si>
  <si>
    <t>details mismatched/ reviewd on behalf of someone</t>
  </si>
  <si>
    <t>YugC378</t>
  </si>
  <si>
    <t>Utkarsh G</t>
  </si>
  <si>
    <t>4th Oct 2025</t>
  </si>
  <si>
    <t>Dheeru</t>
  </si>
  <si>
    <t>Similar title / Copied Content</t>
  </si>
  <si>
    <t>Prachi Mittal</t>
  </si>
  <si>
    <t>Siddhi Khandelwal</t>
  </si>
  <si>
    <t>Parul Tyagi</t>
  </si>
  <si>
    <t>Ojaswi yadav</t>
  </si>
  <si>
    <t>BMS School of Architecture, Bangalore (B.Arch)</t>
  </si>
  <si>
    <t>P.piyush prasula</t>
  </si>
  <si>
    <t>Khushi chaudhary</t>
  </si>
  <si>
    <t>Vishveshwarya Institute of Polytechnic, Dadri (Diploma in Electrical Engineering)</t>
  </si>
  <si>
    <t>Priyanshu kumar</t>
  </si>
  <si>
    <t>Similar title / Copied Content/ details mimschated</t>
  </si>
  <si>
    <t>Ankit Kumar Tiwari</t>
  </si>
  <si>
    <t>Vishveshwarya Institute of Engineering and Technology, Ghaziabad (B.Sc Agriculture)</t>
  </si>
  <si>
    <t>Satya salona</t>
  </si>
  <si>
    <t>Akshay sanjay patil</t>
  </si>
  <si>
    <t>Bengal School of Technology, Hooghly (B.Pharma)</t>
  </si>
  <si>
    <t>Shreya mehra</t>
  </si>
  <si>
    <t>Amity University, Greater Noida Campus (B.Sc Information Technology)</t>
  </si>
  <si>
    <t>Dhruv Sinha</t>
  </si>
  <si>
    <t>Banasthali Vidyapith, Banasthali (B.Com)</t>
  </si>
  <si>
    <t>Shreya sharma</t>
  </si>
  <si>
    <t>Anugrah Narayan College, Patna (B.Com)</t>
  </si>
  <si>
    <t>Nitish Kumar</t>
  </si>
  <si>
    <t>Banasthali Vidyapith, Banasthali (BA and B.Ed Integrated)</t>
  </si>
  <si>
    <t>Riya Garbyal</t>
  </si>
  <si>
    <t>Khushi Jakhmola</t>
  </si>
  <si>
    <t>Travel</t>
  </si>
  <si>
    <t xml:space="preserve">Invalid username </t>
  </si>
  <si>
    <t>Vaish College of Education, Bhiwani (B.Ed)</t>
  </si>
  <si>
    <t>Nidhi mittal</t>
  </si>
  <si>
    <t>Chitkara College of Sales and Marketing, Jhansla (MBA Banking Financial Services and Insurance)</t>
  </si>
  <si>
    <t>Vidyam jain</t>
  </si>
  <si>
    <t>Punjabi University, Patiala (MBA Financial Markets and Applied Management Integrated)</t>
  </si>
  <si>
    <t>Vinod</t>
  </si>
  <si>
    <t>5th Oct 2025</t>
  </si>
  <si>
    <t xml:space="preserve">ShaikC376 </t>
  </si>
  <si>
    <t>Nimra Institute of Medical Sciences, Vijayawada (MBBS)</t>
  </si>
  <si>
    <t>Sana</t>
  </si>
  <si>
    <t>Sarah</t>
  </si>
  <si>
    <t>Hothwika</t>
  </si>
  <si>
    <t>Sadiya shaik</t>
  </si>
  <si>
    <t>Taziha firdous</t>
  </si>
  <si>
    <t>Khan Ayesha</t>
  </si>
  <si>
    <t>Mumayaz Ahmed</t>
  </si>
  <si>
    <t>Shaik Juhi suhana</t>
  </si>
  <si>
    <t>shamshimehak</t>
  </si>
  <si>
    <t>Lamiya Shihab Ahamed</t>
  </si>
  <si>
    <t>Dudekula Nafreen</t>
  </si>
  <si>
    <t>Nimra Institute of Dental Sciences, Vijayawada (BDS)</t>
  </si>
  <si>
    <t>Afnaan Fatima</t>
  </si>
  <si>
    <t>Zainab</t>
  </si>
  <si>
    <t>Ammara Shaikh</t>
  </si>
  <si>
    <t>Simrah Sayed</t>
  </si>
  <si>
    <t>SHAIK ANWAR BASHA</t>
  </si>
  <si>
    <t>Alfia Shah</t>
  </si>
  <si>
    <t>Yasmeen shaik</t>
  </si>
  <si>
    <t>St Ann's College of Engineering and Technology, Chirala (B.Tech Civil Engineering)</t>
  </si>
  <si>
    <t>Akhil</t>
  </si>
  <si>
    <t>Illinois Institute of Technology, Chicago (MS Computer Science)</t>
  </si>
  <si>
    <t>Nafisa shaik</t>
  </si>
  <si>
    <t>Andhra University College of Engineering, Visakhapatnam (Ph.D Electronics and Communication Engineering)</t>
  </si>
  <si>
    <t>ZAKIRA BANU SHAIK</t>
  </si>
  <si>
    <t>ayisharisthaa</t>
  </si>
  <si>
    <t>Aza fathima</t>
  </si>
  <si>
    <t>Zeenath nisha</t>
  </si>
  <si>
    <t>Sheha ziyad</t>
  </si>
  <si>
    <t>Fathima</t>
  </si>
  <si>
    <t>Shada Fathima</t>
  </si>
  <si>
    <t>JECRC University, Jaipur (BCA with Specialization in Data Science and Data Analytics in Association with Samatrix)</t>
  </si>
  <si>
    <t>Megha</t>
  </si>
  <si>
    <t>MS Ramaiah University of Applied Sciences, Bangalore (B.Tech Civil Engineering)</t>
  </si>
  <si>
    <t>Yash kumar agarwal</t>
  </si>
  <si>
    <t>Pratishtha Tyagi</t>
  </si>
  <si>
    <t>Palak choudhary</t>
  </si>
  <si>
    <t>6th Oct 2025</t>
  </si>
  <si>
    <t xml:space="preserve"> YugC378 </t>
  </si>
  <si>
    <t>Zakir Husain Delhi College, Delhi (BA Political Science Hons)</t>
  </si>
  <si>
    <t>Tech Guru</t>
  </si>
  <si>
    <t>Vishveshwarya Institute of Technology, Gautam Buddh Nagar (B.Tech Electronics and Communication Engineering)</t>
  </si>
  <si>
    <t>Vishveshwarya Institute of Technology, Gautam Buddh Nagar (B.Tech Mechanical Engineering)</t>
  </si>
  <si>
    <t>Aaquib jamal khan</t>
  </si>
  <si>
    <t xml:space="preserve">PragatiC378 </t>
  </si>
  <si>
    <t>Indira Gandhi National Open University, New Delhi (BBA)</t>
  </si>
  <si>
    <t>Shashank Verma</t>
  </si>
  <si>
    <t xml:space="preserve">AvinashC378 </t>
  </si>
  <si>
    <t>National Institute of Technology Tiruchirappalli (B.Tech Computer Science and Engineering)</t>
  </si>
  <si>
    <r>
      <rPr>
        <rFont val="Roboto"/>
        <color rgb="FF000000"/>
        <sz val="11.0"/>
      </rPr>
      <t>Copied Content/reviewed on behalf of others</t>
    </r>
    <r>
      <rPr>
        <rFont val="Roboto"/>
        <color rgb="FF333333"/>
        <sz val="11.0"/>
      </rPr>
      <t xml:space="preserve">. </t>
    </r>
  </si>
  <si>
    <t>Indian Institute of Technology Guwahati (B.Tech Computer Science and Engineering)</t>
  </si>
  <si>
    <r>
      <rPr>
        <rFont val="Roboto"/>
        <color rgb="FF000000"/>
        <sz val="11.0"/>
      </rPr>
      <t>Copied Content/reviewed on behalf of others</t>
    </r>
    <r>
      <rPr>
        <rFont val="Roboto"/>
        <color rgb="FF333333"/>
        <sz val="11.0"/>
      </rPr>
      <t xml:space="preserve">. </t>
    </r>
  </si>
  <si>
    <r>
      <rPr>
        <rFont val="Roboto"/>
        <color rgb="FF000000"/>
        <sz val="11.0"/>
      </rPr>
      <t>Copied Content/reviewed on behalf of others</t>
    </r>
    <r>
      <rPr>
        <rFont val="Roboto"/>
        <color rgb="FF333333"/>
        <sz val="11.0"/>
      </rPr>
      <t xml:space="preserve">. </t>
    </r>
  </si>
  <si>
    <t>Indian Institute of Technology Kanpur (B.Tech Computer Science and Engineering)</t>
  </si>
  <si>
    <r>
      <rPr>
        <rFont val="Roboto"/>
        <color rgb="FF000000"/>
        <sz val="11.0"/>
      </rPr>
      <t>Copied Content/reviewed on behalf of others</t>
    </r>
    <r>
      <rPr>
        <rFont val="Roboto"/>
        <color rgb="FF333333"/>
        <sz val="11.0"/>
      </rPr>
      <t xml:space="preserve">. </t>
    </r>
  </si>
  <si>
    <t>Indian Institute of Technology Bombay (B.Tech Computer Science and Engineering)</t>
  </si>
  <si>
    <r>
      <rPr>
        <rFont val="Roboto"/>
        <color rgb="FF000000"/>
        <sz val="11.0"/>
      </rPr>
      <t>Copied Content/reviewed on behalf of others</t>
    </r>
    <r>
      <rPr>
        <rFont val="Roboto"/>
        <color rgb="FF333333"/>
        <sz val="11.0"/>
      </rPr>
      <t xml:space="preserve">. </t>
    </r>
  </si>
  <si>
    <r>
      <rPr>
        <rFont val="Roboto"/>
        <color rgb="FF000000"/>
        <sz val="11.0"/>
      </rPr>
      <t>Copied Content/reviewed on behalf of others</t>
    </r>
    <r>
      <rPr>
        <rFont val="Roboto"/>
        <color rgb="FF333333"/>
        <sz val="11.0"/>
      </rPr>
      <t xml:space="preserve">. </t>
    </r>
  </si>
  <si>
    <t xml:space="preserve"> ShaikC376 </t>
  </si>
  <si>
    <t>Kallam Haranadha Reddy Institute of Technology, Guntur (B.Tech Civil Engineering)</t>
  </si>
  <si>
    <t>Pabolu L S N Lokesh</t>
  </si>
  <si>
    <t xml:space="preserve">AshmitC379 </t>
  </si>
  <si>
    <t>Ram Lal Anand College, New Delhi (BA English Hons)</t>
  </si>
  <si>
    <t>Pavil Singh</t>
  </si>
  <si>
    <t>Ram Lal Anand College, New Delhi (BMS)</t>
  </si>
  <si>
    <t xml:space="preserve"> ShlokC379 </t>
  </si>
  <si>
    <t>SRM Institute of Science and Technology, NCR Campus, Ghaziabad (B.Tech Computer Science and Engineering with Specialization in Artificial Intelligence and Machine Learning)</t>
  </si>
  <si>
    <t>Prakhar Joshi</t>
  </si>
  <si>
    <t>details mimschated</t>
  </si>
  <si>
    <t>7th Oct 2025</t>
  </si>
  <si>
    <t xml:space="preserve"> AshmitC379 </t>
  </si>
  <si>
    <t>Ram Lal Anand College, New Delhi (B.Sc Computer Science Hons)</t>
  </si>
  <si>
    <t xml:space="preserve"> PriyanshuC379 </t>
  </si>
  <si>
    <t>Koshi College, Khagaria (B.Com Managerial Economics)</t>
  </si>
  <si>
    <t>The Perfectivity shayari</t>
  </si>
  <si>
    <t>Ganesh Dutt College, Begusarai (BA History Hons)</t>
  </si>
  <si>
    <t>PratikMI334</t>
  </si>
  <si>
    <t>Sydenham Institute of Management Studies, Research and Entrepreneurship Education, Mumbai (MMS)</t>
  </si>
  <si>
    <t>Fitbuzz Tv</t>
  </si>
  <si>
    <t>Vishveshwarya Group of Institutions, Gautam Buddha Nagar (B.Pharma)</t>
  </si>
  <si>
    <t>Shashi Prakash</t>
  </si>
  <si>
    <t xml:space="preserve"> PragatiC378 </t>
  </si>
  <si>
    <t>City College of Commerce and Business Administration, Kolkata (B.Com Hons)</t>
  </si>
  <si>
    <t>Anurag Kumar</t>
  </si>
  <si>
    <t>8th Oct 2025</t>
  </si>
  <si>
    <t xml:space="preserve">PriyanshuC379 </t>
  </si>
  <si>
    <t>Mahila College Khagaria, Munger (BA Hindi)</t>
  </si>
  <si>
    <t>The Perfectivity</t>
  </si>
  <si>
    <t>Koshi College, Khagaria (BA Hindi)</t>
  </si>
  <si>
    <t>Kashish Sehrawat</t>
  </si>
  <si>
    <t>Khushi Jasrotia</t>
  </si>
  <si>
    <t>Anuj Tokhi</t>
  </si>
  <si>
    <t xml:space="preserve">ShivamC378 </t>
  </si>
  <si>
    <t>GH Raisoni Institute of Engineering and Technology, Nagpur (BCA)</t>
  </si>
  <si>
    <t>Priyam Singh</t>
  </si>
  <si>
    <t>Tuli College of Hotel Management, Nagpur (B.Sc Hospitality Studies)</t>
  </si>
  <si>
    <t>Shabaj Ali</t>
  </si>
  <si>
    <t xml:space="preserve">BiruC378 </t>
  </si>
  <si>
    <t>Government Engineering College, Buxar (B.Tech Computer Science and Engineering)</t>
  </si>
  <si>
    <t>Ayush Bharti</t>
  </si>
  <si>
    <t>KonatalaC380</t>
  </si>
  <si>
    <t>Kakaraparti Bhavnarayana College, Vijayawada (B.Com Hons)</t>
  </si>
  <si>
    <t>Mohan Krishna</t>
  </si>
  <si>
    <t>invalid title/ details mismachted</t>
  </si>
  <si>
    <t>Andhra Loyola Institute of Engineering and Technology, Vijayawada (B.Tech Computer Science and Engineering)</t>
  </si>
  <si>
    <t>Coc Master</t>
  </si>
  <si>
    <t>Andhra Loyola Institute of Engineering and Technology, Vijayawada (B.Tech Information Technology)</t>
  </si>
  <si>
    <t>Chaithanya Kumar</t>
  </si>
  <si>
    <t xml:space="preserve"> UMESHWARANC380 </t>
  </si>
  <si>
    <t>CK College of Engineering and Technology, Cuddalore (BE Electronics and Communication Engineering)</t>
  </si>
  <si>
    <t>ABINAYASRI</t>
  </si>
  <si>
    <t>CK College of Engineering and Technology, Cuddalore (B.Tech Artificial Intelligence and Data Science)</t>
  </si>
  <si>
    <t>ABISHEK</t>
  </si>
  <si>
    <t>STEFFI</t>
  </si>
  <si>
    <t>sanjay</t>
  </si>
  <si>
    <t xml:space="preserve">BitthalC380 </t>
  </si>
  <si>
    <t>Poornima College of Engineering, Jaipur (B.Tech Artificial Intelligence and Data Science)</t>
  </si>
  <si>
    <t>bitthal paliwal</t>
  </si>
  <si>
    <t>Swami Keshvanand Institute of Technology, Management and Gramothan, Jaipur (B.Tech Mechanical Engineering)</t>
  </si>
  <si>
    <t>9th Oct 2025</t>
  </si>
  <si>
    <t xml:space="preserve">NitinTC379 </t>
  </si>
  <si>
    <t>Lamrin Tech Skills University, SBS Nagar (B.Tech Computer Science Engineering)</t>
  </si>
  <si>
    <t>Ravindra Singh</t>
  </si>
  <si>
    <t>Ohh No</t>
  </si>
  <si>
    <t>invalid username</t>
  </si>
  <si>
    <t xml:space="preserve"> AashiC378 </t>
  </si>
  <si>
    <t>Madhusudan Law University, Cuttack (BA LLB Hons)</t>
  </si>
  <si>
    <t>SoLo DeMon BoiYT</t>
  </si>
  <si>
    <t xml:space="preserve"> HARSHITC381 </t>
  </si>
  <si>
    <t>Technical Education and Research Institute Post Graduate College, Ghazipur (BBA)</t>
  </si>
  <si>
    <t>HARSHIT SHARMA</t>
  </si>
  <si>
    <t>Babu Banarasi Das University, Lucknow (B.Tech Computer Science and Engineering)</t>
  </si>
  <si>
    <t>Technical Education and Research Institute Post Graduate College, Ghazipur (BCA)</t>
  </si>
  <si>
    <t xml:space="preserve">ChetanC379 </t>
  </si>
  <si>
    <t>Yash Singh</t>
  </si>
  <si>
    <t>invalid verification documents/ deatils mismachted</t>
  </si>
  <si>
    <t>sujit patel</t>
  </si>
  <si>
    <t>Amrit Varshney</t>
  </si>
  <si>
    <t>Ritik roshan</t>
  </si>
  <si>
    <t>Md Chotu</t>
  </si>
  <si>
    <t xml:space="preserve"> AparajitaC381  </t>
  </si>
  <si>
    <t>Heramba Chandra College, Kolkata (B.Com)</t>
  </si>
  <si>
    <t>Sampreet Dalal</t>
  </si>
  <si>
    <t>Behala College, Kolkata (B.Sc Chemistry Hons)</t>
  </si>
  <si>
    <t>Abhishek Samaddar</t>
  </si>
  <si>
    <t>St Xavier's University, Kolkata (BA Mass Communication Hons)</t>
  </si>
  <si>
    <t>MS</t>
  </si>
  <si>
    <t>Asutosh College, Kolkata (B.Sc Economics Hons)</t>
  </si>
  <si>
    <t>Abhinaba Samaddar</t>
  </si>
  <si>
    <t>10th Oct 2025</t>
  </si>
  <si>
    <t>Janki Devi Memorial College, New Delhi (BA Political Science Hons)</t>
  </si>
  <si>
    <t xml:space="preserve">DhatchayiniC380 </t>
  </si>
  <si>
    <t>Chengalpattu Medical College, Chengalpattu (MBBS)</t>
  </si>
  <si>
    <t>Krithika Arun</t>
  </si>
  <si>
    <t>deatils mismatched</t>
  </si>
  <si>
    <t xml:space="preserve">HARSHITC381 </t>
  </si>
  <si>
    <t>Technical Education and Research Institute Post Graduate College, Ghazipur (MBA)</t>
  </si>
  <si>
    <t>Harshit Sharma</t>
  </si>
  <si>
    <t>Technical Education and Research Institute Post Graduate College, Ghazipur (MCA)</t>
  </si>
  <si>
    <t>12th Oct 2025</t>
  </si>
  <si>
    <t>Tanush kumar</t>
  </si>
  <si>
    <t>Similar Content/ details mismatched</t>
  </si>
  <si>
    <t>saurav suman</t>
  </si>
  <si>
    <t>Sugam kumar</t>
  </si>
  <si>
    <t>Shailendra kumar Yadav</t>
  </si>
  <si>
    <t>Government Engineering College, Buxar (B.Tech Electronics and Communication Engineering)</t>
  </si>
  <si>
    <t>Alfardan alam</t>
  </si>
  <si>
    <t>Agnel Polytechnic, Vashi (Diploma in Civil Engineering)</t>
  </si>
  <si>
    <t>Shubham Patil</t>
  </si>
  <si>
    <t>New Horizon College, Kasturinagar (B.Com)</t>
  </si>
  <si>
    <t>Nix</t>
  </si>
  <si>
    <t>Lovely Professional University, Phagwara (BCA)</t>
  </si>
  <si>
    <t>Utsav Arora</t>
  </si>
  <si>
    <t xml:space="preserve">BarkhaC382 </t>
  </si>
  <si>
    <t>University Institute of Engineering and Technology, Kurukshetra University, Kurukshetra (B.Tech Mechanical Engineering)</t>
  </si>
  <si>
    <t>YO BEAST GAMING</t>
  </si>
  <si>
    <t>Irrelevant content/invalid username</t>
  </si>
  <si>
    <t>AparajitaC381</t>
  </si>
  <si>
    <t>Acharya Girish Chandra Bose College, Kolkata (B.Com)</t>
  </si>
  <si>
    <t>Moumita Majumder</t>
  </si>
  <si>
    <t>Techno India University, Kolkata (B.Tech Electrical Engineering)</t>
  </si>
  <si>
    <t>Subham Majumder</t>
  </si>
  <si>
    <t>Shri Shikshayatan College, Kolkata (BA Journalism and Mass Communication Hons)</t>
  </si>
  <si>
    <t>NABANITA MONDAL</t>
  </si>
  <si>
    <t>Women's College, Agartala (B.Sc Physics Major)</t>
  </si>
  <si>
    <t>Riya Debbarma</t>
  </si>
  <si>
    <t>Daniel Debbarma</t>
  </si>
  <si>
    <t>College of Agriculture, Tripura (B.Sc Agriculture Hons)</t>
  </si>
  <si>
    <t>Manudevi Debbarma</t>
  </si>
  <si>
    <t>13th Oct 2025</t>
  </si>
  <si>
    <t xml:space="preserve"> VivekC379 </t>
  </si>
  <si>
    <t>Deen Bandhu Chhotu Ram University of Science and Technology, Murthal (BA English Hons and MA English Dual Degree)</t>
  </si>
  <si>
    <t>Ammyyy</t>
  </si>
  <si>
    <t xml:space="preserve"> KrishnanshuC382 </t>
  </si>
  <si>
    <t>Shri Ramswaroop Memorial University, Barabanki (BBA)</t>
  </si>
  <si>
    <t xml:space="preserve"> BarkhaC382 </t>
  </si>
  <si>
    <t>Copied Content/online course</t>
  </si>
  <si>
    <t xml:space="preserve">DESHAWATHC382 </t>
  </si>
  <si>
    <t>Vardhaman College of Engineering, Hyderabad (B.Tech Computer Science and Engineering)</t>
  </si>
  <si>
    <t>Rehan Oz</t>
  </si>
  <si>
    <t>Irrelevant Content/ details mismachted</t>
  </si>
  <si>
    <t>KG Reddy College of Engineering and Technology, Moinabad (B.Tech Computer Science and Engineering)</t>
  </si>
  <si>
    <t>Feelingshuz</t>
  </si>
  <si>
    <t>Vardhaman College of Engineering, Hyderabad (B.Tech Computer Science Engineering Artificial Intelligence and Machine Learning)</t>
  </si>
  <si>
    <t>MrBin</t>
  </si>
  <si>
    <t>14th Oct 2025</t>
  </si>
  <si>
    <t xml:space="preserve">AishwaryC383 </t>
  </si>
  <si>
    <t>Ashish Raj</t>
  </si>
  <si>
    <t>Abhi Kashi</t>
  </si>
  <si>
    <t>Abhishek Jakhmola</t>
  </si>
  <si>
    <t>Aditya Kumar</t>
  </si>
  <si>
    <t xml:space="preserve"> ShreyaC377 </t>
  </si>
  <si>
    <t>Chaudhary Devi Lal University, Sirsa (MPA Music Vocal)</t>
  </si>
  <si>
    <t>Nimisha</t>
  </si>
  <si>
    <t>Copied Content/ Details Mismachted</t>
  </si>
  <si>
    <t>Banwari Lal Jindal Suiwala College, Bhiwani (B.Com)</t>
  </si>
  <si>
    <t>Shaurya</t>
  </si>
  <si>
    <t>Hansraj College, Delhi (B.Sc Physics Hons)</t>
  </si>
  <si>
    <t>Bhiwani Institute of Technology and Sciences, Bhiwani (M.Tech Computer Science and Engineering)</t>
  </si>
  <si>
    <t>Anil</t>
  </si>
  <si>
    <t>Vaish College, Bhiwani (BA)</t>
  </si>
  <si>
    <t>Aakash</t>
  </si>
  <si>
    <t>Alisha</t>
  </si>
  <si>
    <t>Banwari Lal Jindal Suiwala College, Bhiwani (BA)</t>
  </si>
  <si>
    <t>sanyam</t>
  </si>
  <si>
    <t>Dayanand College, Hisar (B.Com)</t>
  </si>
  <si>
    <t>kashish</t>
  </si>
  <si>
    <t>SGT Institute of Engineering and Technology, Gurgaon (B.Tech Computer Science and Engineering)</t>
  </si>
  <si>
    <t>Sonal</t>
  </si>
  <si>
    <t>Chhaju Ram Memorial Jat College, Hisar (BA)</t>
  </si>
  <si>
    <t>Vidyam Jain</t>
  </si>
  <si>
    <t>Jindal Global Business School, Sonipat (BBA Hons)</t>
  </si>
  <si>
    <t>Aashna</t>
  </si>
  <si>
    <t>JK Lakshmipat University, Jaipur (B.Des Interaction Design)</t>
  </si>
  <si>
    <t>Bhavishya Kathpalia</t>
  </si>
  <si>
    <t>Parnika</t>
  </si>
  <si>
    <t>AkshayaC383</t>
  </si>
  <si>
    <t>Indian Institute of Technology Madras (Online BS Data Science and Applications)</t>
  </si>
  <si>
    <t>Akshaya Rayi</t>
  </si>
  <si>
    <t xml:space="preserve">SaniaC381 </t>
  </si>
  <si>
    <t>Bir Bikram Memorial College, Agartala (BA)</t>
  </si>
  <si>
    <t>Uliem Debbarma</t>
  </si>
  <si>
    <t xml:space="preserve"> UMESHWARANC377 </t>
  </si>
  <si>
    <t>Lakshitha R E</t>
  </si>
  <si>
    <t>Sudhaa</t>
  </si>
  <si>
    <t>Shriwanth P</t>
  </si>
  <si>
    <t>RATHIN RAJ</t>
  </si>
  <si>
    <t>PRADEESH</t>
  </si>
  <si>
    <t>RUTHRAVEL</t>
  </si>
  <si>
    <t>ALI ABBAS</t>
  </si>
  <si>
    <t>15th Oct 2025</t>
  </si>
  <si>
    <t xml:space="preserve">SMRITIC383 </t>
  </si>
  <si>
    <t>National Institute of Advanced Manufacturing Technology, Ranchi (B.Tech Metallurgical and Materials Engineering)</t>
  </si>
  <si>
    <t>Sweetyshaw</t>
  </si>
  <si>
    <t>Semantika Das</t>
  </si>
  <si>
    <t>POUSHALI MAITI</t>
  </si>
  <si>
    <t>Rajshree</t>
  </si>
  <si>
    <t>National Institute of Advanced Manufacturing Technology, Ranchi (B.Tech Production and Industrial Engineering)</t>
  </si>
  <si>
    <t>Aayushi Kumari</t>
  </si>
  <si>
    <t>ADIBA AAFRIN</t>
  </si>
  <si>
    <t>National Institute of Advanced Manufacturing Technology, Ranchi (B.Tech Mechanical Engineering)</t>
  </si>
  <si>
    <t>Echelon Institute of Technology, Faridabad (B.Tech Computer Science and Engineering)</t>
  </si>
  <si>
    <t>Dipendra</t>
  </si>
  <si>
    <t xml:space="preserve"> AparajitaC381 </t>
  </si>
  <si>
    <t>Acharya Girish Chandra Bose College, Kolkata (B.Com Hons)</t>
  </si>
  <si>
    <t>Payal Das</t>
  </si>
  <si>
    <t>Details mismatched/ reviewed on behalf of someone</t>
  </si>
  <si>
    <t>Rudrani Sanyal</t>
  </si>
  <si>
    <t>KSS B Ed and M Ed College, Davangere (M.Ed)</t>
  </si>
  <si>
    <t>Saba Naz Quadri</t>
  </si>
  <si>
    <t>Anjuman-E-Islam's Anjuman Arts, Science and Commerce College, Vijayapura (B.Sc)</t>
  </si>
  <si>
    <t>Abhinav Education Society's College of Education, Pune (D.El.Ed)</t>
  </si>
  <si>
    <t>16th Oct 2025</t>
  </si>
  <si>
    <t xml:space="preserve">ChinthalaC382 </t>
  </si>
  <si>
    <t>Osmania University, Hyderabad (B.Com Hons)</t>
  </si>
  <si>
    <t>KOTHA PADMA</t>
  </si>
  <si>
    <t>Md moin ali</t>
  </si>
  <si>
    <t>Mohan</t>
  </si>
  <si>
    <t>University College of Engineering, Osmania University, Hyderabad (BE Civil Engineering)</t>
  </si>
  <si>
    <t>Sinduja Kethavath</t>
  </si>
  <si>
    <t>University College of Engineering, Osmania University, Hyderabad (BE Computer Science and Engineering)</t>
  </si>
  <si>
    <t>Hasini</t>
  </si>
  <si>
    <t>University College of Engineering, Osmania University, Hyderabad (BE Electronics and Communication Engineering)</t>
  </si>
  <si>
    <t>J Harshini</t>
  </si>
  <si>
    <t>University College of Engineering, Osmania University, Hyderabad (BE Electrical and Electronics Engineering)</t>
  </si>
  <si>
    <t>Manisha</t>
  </si>
  <si>
    <t>University College of Engineering, Osmania University, Hyderabad (BE Mining Engineering)</t>
  </si>
  <si>
    <t>Banoth shailaja</t>
  </si>
  <si>
    <t>Meera</t>
  </si>
  <si>
    <t>Satya swarupa</t>
  </si>
  <si>
    <t>Kodari varshitha</t>
  </si>
  <si>
    <t>Srinidhi thaduri</t>
  </si>
  <si>
    <t>University College of Engineering, Osmania University, Hyderabad (BE Biomedical Engineering)</t>
  </si>
  <si>
    <t>muskaan</t>
  </si>
  <si>
    <t>Tejaswini Adhanki</t>
  </si>
  <si>
    <t>Jella Srichaithanya</t>
  </si>
  <si>
    <t>Modala Sruthi</t>
  </si>
  <si>
    <t>Ankathi Spoorthi</t>
  </si>
  <si>
    <t>MAMATHA GADDALA</t>
  </si>
  <si>
    <t>University College of Engineering, Osmania University, Hyderabad (BE Mechanical Engineering)</t>
  </si>
  <si>
    <t>Vaishnavi Bade</t>
  </si>
  <si>
    <t>Nikitha</t>
  </si>
  <si>
    <t>Rakshitha</t>
  </si>
  <si>
    <t>Usha</t>
  </si>
  <si>
    <t xml:space="preserve">SupritiC384 </t>
  </si>
  <si>
    <t>Kalyani Government Engineering College, Nadia (B.Tech Electronics and Communication Engineering)</t>
  </si>
  <si>
    <t>Tuhin</t>
  </si>
  <si>
    <t>Brainware University, Kolkata (B.Tech CSE Artificial Intelligence and Machine Learning)</t>
  </si>
  <si>
    <t>Sarbajit Sarkar</t>
  </si>
  <si>
    <t>Kalyani Government Engineering College, Nadia (B.Tech Computer Science and Engineering)</t>
  </si>
  <si>
    <t>Nitesh Barnwal</t>
  </si>
  <si>
    <t>Copied Contant</t>
  </si>
  <si>
    <t>17th Oct 2025</t>
  </si>
  <si>
    <t xml:space="preserve">RudraC384 </t>
  </si>
  <si>
    <t>Shri Ramswaroop Memorial University, Barabanki (BA Political Science Hons)</t>
  </si>
  <si>
    <t>Nilam Singh</t>
  </si>
  <si>
    <t>RudraC385</t>
  </si>
  <si>
    <t>Shri Ramswaroop Memorial University, Barabanki (BA English Hons)</t>
  </si>
  <si>
    <t>AVADHESH PRATAP SINGH</t>
  </si>
  <si>
    <t xml:space="preserve"> ChinthalaC382 </t>
  </si>
  <si>
    <t>Indian Institute of Technology Kanpur (M.Tech Chemical Engineering)</t>
  </si>
  <si>
    <t>Santhosh Goparaju</t>
  </si>
  <si>
    <t>Indian Institute of Technology Kanpur (BS Physics)</t>
  </si>
  <si>
    <t>Banoth Tejaswini</t>
  </si>
  <si>
    <t>Indian Institute of Technology Kanpur (B.Tech Mechanical Engineering)</t>
  </si>
  <si>
    <t>Harika</t>
  </si>
  <si>
    <t>Likhitha Talakola</t>
  </si>
  <si>
    <t>Indian Institute of Technology Kanpur (B.Tech Civil Engineering)</t>
  </si>
  <si>
    <t>Kalavatala sowmya</t>
  </si>
  <si>
    <t>Boddu Meghana</t>
  </si>
  <si>
    <t>Kanthi Ashwini</t>
  </si>
  <si>
    <t>Madigundu Sarayu</t>
  </si>
  <si>
    <t>University College of Engineering, Osmania University, Hyderabad (ME Power Systems)</t>
  </si>
  <si>
    <t>Pochaiah</t>
  </si>
  <si>
    <t xml:space="preserve"> SupritiC384 </t>
  </si>
  <si>
    <t>Sister Nivedita University, Kolkata (B.Tech Computer Science and Engineering)</t>
  </si>
  <si>
    <t>madhuri Devi</t>
  </si>
  <si>
    <t>JenilC384</t>
  </si>
  <si>
    <t>SVKM's Shri Bhagubhai Mafatlal Polytechnic and College of Engineering, Mumbai (B.Tech Computer Science and Engineering)</t>
  </si>
  <si>
    <t>Kailash</t>
  </si>
  <si>
    <t>Soumadip Dey</t>
  </si>
  <si>
    <t>22nd Oct 2025</t>
  </si>
  <si>
    <t>University College of Engineering, Osmania University, Hyderabad (M.Tech Digital Systems Part Time)</t>
  </si>
  <si>
    <t>University College of Engineering, Osmania University, Hyderabad (ME Power System Part Time)</t>
  </si>
  <si>
    <t>Rathna</t>
  </si>
  <si>
    <t>University College of Engineering, Osmania University, Hyderabad (ME Industrial Drives and Control)</t>
  </si>
  <si>
    <t>M tharun</t>
  </si>
  <si>
    <t>Varun Gulati</t>
  </si>
  <si>
    <t>Indian Institute of Management Mumbai (Fellow Program in Management)</t>
  </si>
  <si>
    <t>Eerie Dark Suspense</t>
  </si>
  <si>
    <t>Weezy Wenz  Email: jojoshynia@gmail.com</t>
  </si>
  <si>
    <t>Anjuman-E-Islam's College of Education, Vijayapura (B.Ed.)</t>
  </si>
  <si>
    <t>23rd Oct 2025</t>
  </si>
  <si>
    <t>ArshanC365</t>
  </si>
  <si>
    <t>Walchand Institute of Technology, Solapur (M.Tech Computer Science and Engineering)</t>
  </si>
  <si>
    <t>Marwan Hashmi</t>
  </si>
  <si>
    <t>Savitribai Phule Pune University, Pune (MCA)</t>
  </si>
  <si>
    <t>Bharati Vidyapeeth Abhijit Kadam Institute of Management and Social Sciences, Solapur (BCA)</t>
  </si>
  <si>
    <t>Government Polytechnic, Amravati (Diploma in Computer Engineering)</t>
  </si>
  <si>
    <t>Ramaiah Institute of Technology, Bangalore (M.Tech Computer Science and Engineering)</t>
  </si>
  <si>
    <t>Abdul Rehman Kazi</t>
  </si>
  <si>
    <t>JSS Science and Technology University, Mysuru (MCA)</t>
  </si>
  <si>
    <t>AS Patil College of Commerce, Vijayapur (BCA)</t>
  </si>
  <si>
    <t>BLDE Association's Shri Sanganabasav Mahaswamiji Polytechnic, Vijayapura (Diploma in Computer Science and Engineering)</t>
  </si>
  <si>
    <t>Dasaratha Deb Memorial College, Khowai (BA)</t>
  </si>
  <si>
    <t>Saimon Debbarma</t>
  </si>
  <si>
    <t>Jenish Debbarma</t>
  </si>
  <si>
    <t>Ajit Debbarma</t>
  </si>
  <si>
    <t>Nippon Debbarma</t>
  </si>
  <si>
    <t>HA College of Commerce, Ahmedabad (M.Com)</t>
  </si>
  <si>
    <t>chintan soni</t>
  </si>
  <si>
    <t>24th Oct 2025</t>
  </si>
  <si>
    <t>Somaiya School of Humanities and Social Sciences, Somaiya Vidyavihar University, Mumbai (BA Mass Communication and Journalism Honours)</t>
  </si>
  <si>
    <t>Time Pass</t>
  </si>
  <si>
    <t>Invalid name</t>
  </si>
  <si>
    <t>St Thomas College, Bhilai (BBA)</t>
  </si>
  <si>
    <t>Newton Kujur</t>
  </si>
  <si>
    <t xml:space="preserve">MohanC385 </t>
  </si>
  <si>
    <t>Irrelevant / Copied Content</t>
  </si>
  <si>
    <t>Ranga Raya Medical College, Kakinada (MBBS)</t>
  </si>
  <si>
    <t>HRUSHIKESH PATRO</t>
  </si>
  <si>
    <t>25th Oct 2025</t>
  </si>
  <si>
    <t>Oindrila Hazra</t>
  </si>
  <si>
    <t xml:space="preserve">ManshiC385 </t>
  </si>
  <si>
    <t>Ayush kumar</t>
  </si>
  <si>
    <t>Distance / online course</t>
  </si>
  <si>
    <t>26th Oct 2025</t>
  </si>
  <si>
    <t xml:space="preserve"> MohanC385 </t>
  </si>
  <si>
    <t>Agar</t>
  </si>
  <si>
    <t xml:space="preserve"> AkramC370 </t>
  </si>
  <si>
    <t>Raj Kumar</t>
  </si>
  <si>
    <t>Mohd Yahya</t>
  </si>
  <si>
    <t xml:space="preserve">Anika Bushan </t>
  </si>
  <si>
    <t>Sri Aurobindo College, New Delhi (BA)</t>
  </si>
  <si>
    <t>Anika Bushan</t>
  </si>
  <si>
    <t>Zakir Husain Delhi College, Delhi (B.Sc Life Sciences)</t>
  </si>
  <si>
    <t>Priya Kumari</t>
  </si>
  <si>
    <t>Zakir Husain Delhi College, Delhi (B.Sc Botany Hons)</t>
  </si>
  <si>
    <t>Rishab Rawat</t>
  </si>
  <si>
    <t>Velammal Engineering College, Chennai (BE Computer Science and Engineering)</t>
  </si>
  <si>
    <t>KIRUBA</t>
  </si>
  <si>
    <t>THIRUMURUGAN</t>
  </si>
  <si>
    <t>yogesh</t>
  </si>
  <si>
    <t>27th Oct 2025</t>
  </si>
  <si>
    <t xml:space="preserve"> ManishC383 </t>
  </si>
  <si>
    <t>Madhu</t>
  </si>
  <si>
    <t>Details mismachted/ Similar Content</t>
  </si>
  <si>
    <t>Mandeep SIngh</t>
  </si>
  <si>
    <t>Kishu Thakran</t>
  </si>
  <si>
    <t xml:space="preserve"> Chitransh </t>
  </si>
  <si>
    <t>mahi raj</t>
  </si>
  <si>
    <t>Ajit Dikshit</t>
  </si>
  <si>
    <t>Government Polytechnic, Ahmedabad (Diploma in Computer Engineering)</t>
  </si>
  <si>
    <t>Tanveer Junaidi</t>
  </si>
  <si>
    <t>SECAB Institute of Engineering and Technology, Bijapur (BE Computer Science and Engineering)</t>
  </si>
  <si>
    <t>Government Polytechnic, Pune (Diploma in Computer Engineering)</t>
  </si>
  <si>
    <t>Disha Bukhredia</t>
  </si>
  <si>
    <t>Amity University, Gurugram (BID)</t>
  </si>
  <si>
    <t xml:space="preserve">Aahana Naugain </t>
  </si>
  <si>
    <t xml:space="preserve"> MohtashimC386 </t>
  </si>
  <si>
    <t>Bojjam Narasimhulu Pharmacy College for Women, Saidabad (B.Pharma)</t>
  </si>
  <si>
    <t>Mahjabeen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</si>
</sst>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m yyyy"/>
    <numFmt numFmtId="165" formatCode="mmmm d, yyyy"/>
    <numFmt numFmtId="166" formatCode="m/d/yyyy"/>
    <numFmt numFmtId="167" formatCode="mmmm d,yyyy"/>
    <numFmt numFmtId="168" formatCode="d mmmm"/>
    <numFmt numFmtId="169" formatCode="dd/mm/yyyy"/>
    <numFmt numFmtId="170" formatCode="mm/dd/yyyy"/>
  </numFmts>
  <fonts count="31">
    <font>
      <sz val="10.0"/>
      <color rgb="FF000000"/>
      <name val="Arial"/>
      <scheme val="minor"/>
    </font>
    <font>
      <b/>
      <sz val="10.0"/>
      <color rgb="FF000000"/>
      <name val="Roboto"/>
    </font>
    <font>
      <color theme="1"/>
      <name val="Arial"/>
    </font>
    <font>
      <color theme="1"/>
      <name val="Arial"/>
      <scheme val="minor"/>
    </font>
    <font>
      <sz val="9.0"/>
      <color rgb="FF000000"/>
      <name val="&quot;Google Sans Mono&quot;"/>
    </font>
    <font>
      <sz val="11.0"/>
      <color theme="1"/>
      <name val="Calibri"/>
    </font>
    <font>
      <color theme="1"/>
      <name val="Rubik"/>
    </font>
    <font>
      <sz val="12.0"/>
      <color theme="1"/>
      <name val="Rubik"/>
    </font>
    <font>
      <sz val="11.0"/>
      <color theme="1"/>
      <name val="Roboto"/>
    </font>
    <font>
      <sz val="12.0"/>
      <color theme="1"/>
      <name val="Roboto"/>
    </font>
    <font>
      <sz val="12.0"/>
      <color rgb="FF333333"/>
      <name val="Roboto"/>
    </font>
    <font>
      <sz val="11.0"/>
      <color theme="1"/>
      <name val="Arial"/>
    </font>
    <font>
      <sz val="11.0"/>
      <color rgb="FF333333"/>
      <name val="Rubik"/>
    </font>
    <font>
      <sz val="12.0"/>
      <color rgb="FF000000"/>
      <name val="Docs-Rubik"/>
    </font>
    <font>
      <sz val="11.0"/>
      <color rgb="FF333333"/>
      <name val="Docs-Rubik"/>
    </font>
    <font>
      <sz val="12.0"/>
      <color rgb="FF000000"/>
      <name val="Rubik"/>
    </font>
    <font>
      <sz val="11.0"/>
      <color theme="1"/>
      <name val="Rubik"/>
    </font>
    <font>
      <sz val="11.0"/>
      <color rgb="FF000000"/>
      <name val="Rubik"/>
    </font>
    <font>
      <b/>
      <sz val="11.0"/>
      <color theme="1"/>
      <name val="Rubik"/>
    </font>
    <font>
      <b/>
      <sz val="11.0"/>
      <color rgb="FF333333"/>
      <name val="Rubik"/>
    </font>
    <font>
      <color rgb="FF000000"/>
      <name val="Arial"/>
    </font>
    <font>
      <sz val="8.0"/>
      <color theme="1"/>
      <name val="Arial"/>
    </font>
    <font>
      <sz val="12.0"/>
      <color theme="1"/>
      <name val="Docs-Rubik"/>
    </font>
    <font>
      <sz val="11.0"/>
      <color rgb="FF333333"/>
      <name val="Arial"/>
    </font>
    <font>
      <sz val="13.0"/>
      <color theme="1"/>
      <name val="Arial"/>
    </font>
    <font>
      <sz val="12.0"/>
      <color theme="1"/>
      <name val="Arial"/>
    </font>
    <font>
      <sz val="12.0"/>
      <color rgb="FF333333"/>
      <name val="Rubik"/>
    </font>
    <font>
      <sz val="13.0"/>
      <color theme="1"/>
      <name val="Rubik"/>
    </font>
    <font>
      <color rgb="FF333333"/>
      <name val="Rubik"/>
    </font>
    <font>
      <sz val="11.0"/>
      <color rgb="FF333333"/>
      <name val="Roboto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8EAF0"/>
        <bgColor rgb="FFE8EAF0"/>
      </patternFill>
    </fill>
  </fills>
  <borders count="10">
    <border/>
    <border>
      <top style="thin">
        <color rgb="FFF3F1F1"/>
      </top>
    </border>
    <border>
      <bottom style="thin">
        <color rgb="FFF3F1F1"/>
      </bottom>
    </border>
    <border>
      <top style="thin">
        <color rgb="FF000000"/>
      </top>
      <bottom style="thin">
        <color rgb="FFF3F1F1"/>
      </bottom>
    </border>
    <border>
      <top style="thin">
        <color rgb="FF000000"/>
      </top>
    </border>
    <border>
      <top style="thin">
        <color rgb="FFF3F1F1"/>
      </top>
      <bottom style="thin">
        <color rgb="FFF3F1F1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3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 vertical="bottom"/>
    </xf>
    <xf borderId="0" fillId="3" fontId="6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1" fillId="3" fontId="10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3" fontId="12" numFmtId="165" xfId="0" applyAlignment="1" applyFont="1" applyNumberFormat="1">
      <alignment horizontal="center" shrinkToFit="0" vertical="bottom" wrapText="1"/>
    </xf>
    <xf borderId="0" fillId="3" fontId="7" numFmtId="0" xfId="0" applyAlignment="1" applyFont="1">
      <alignment horizontal="center" shrinkToFit="0" vertical="bottom" wrapText="1"/>
    </xf>
    <xf borderId="2" fillId="3" fontId="12" numFmtId="0" xfId="0" applyAlignment="1" applyBorder="1" applyFont="1">
      <alignment shrinkToFit="0" vertical="top" wrapText="1"/>
    </xf>
    <xf borderId="0" fillId="3" fontId="7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2" fillId="0" fontId="2" numFmtId="0" xfId="0" applyAlignment="1" applyBorder="1" applyFont="1">
      <alignment shrinkToFit="0" vertical="bottom" wrapText="1"/>
    </xf>
    <xf borderId="2" fillId="3" fontId="12" numFmtId="0" xfId="0" applyAlignment="1" applyBorder="1" applyFont="1">
      <alignment horizontal="center" shrinkToFit="0" vertical="top" wrapText="1"/>
    </xf>
    <xf borderId="0" fillId="3" fontId="12" numFmtId="0" xfId="0" applyAlignment="1" applyFont="1">
      <alignment horizontal="center" shrinkToFit="0" vertical="top" wrapText="1"/>
    </xf>
    <xf borderId="2" fillId="3" fontId="7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shrinkToFit="0" wrapText="1"/>
    </xf>
    <xf borderId="0" fillId="0" fontId="3" numFmtId="165" xfId="0" applyAlignment="1" applyFont="1" applyNumberFormat="1">
      <alignment readingOrder="0" shrinkToFit="0" wrapText="1"/>
    </xf>
    <xf borderId="0" fillId="3" fontId="13" numFmtId="0" xfId="0" applyAlignment="1" applyFont="1">
      <alignment horizontal="center" readingOrder="0"/>
    </xf>
    <xf borderId="0" fillId="3" fontId="14" numFmtId="0" xfId="0" applyAlignment="1" applyFont="1">
      <alignment horizontal="center" readingOrder="0"/>
    </xf>
    <xf borderId="0" fillId="3" fontId="13" numFmtId="0" xfId="0" applyAlignment="1" applyFont="1">
      <alignment horizontal="left" readingOrder="0"/>
    </xf>
    <xf borderId="0" fillId="3" fontId="15" numFmtId="0" xfId="0" applyAlignment="1" applyFont="1">
      <alignment horizontal="center" readingOrder="0"/>
    </xf>
    <xf borderId="1" fillId="3" fontId="12" numFmtId="0" xfId="0" applyAlignment="1" applyBorder="1" applyFont="1">
      <alignment horizontal="center" readingOrder="0" shrinkToFit="0" vertical="top" wrapText="1"/>
    </xf>
    <xf borderId="0" fillId="3" fontId="15" numFmtId="0" xfId="0" applyAlignment="1" applyFont="1">
      <alignment horizontal="left" readingOrder="0"/>
    </xf>
    <xf borderId="0" fillId="3" fontId="7" numFmtId="0" xfId="0" applyAlignment="1" applyFont="1">
      <alignment horizontal="center" vertical="bottom"/>
    </xf>
    <xf borderId="3" fillId="3" fontId="12" numFmtId="0" xfId="0" applyAlignment="1" applyBorder="1" applyFont="1">
      <alignment vertical="top"/>
    </xf>
    <xf borderId="2" fillId="3" fontId="7" numFmtId="0" xfId="0" applyAlignment="1" applyBorder="1" applyFont="1">
      <alignment vertical="bottom"/>
    </xf>
    <xf borderId="0" fillId="3" fontId="12" numFmtId="0" xfId="0" applyAlignment="1" applyFont="1">
      <alignment shrinkToFit="0" vertical="top" wrapText="0"/>
    </xf>
    <xf borderId="0" fillId="3" fontId="2" numFmtId="0" xfId="0" applyAlignment="1" applyFont="1">
      <alignment vertical="top"/>
    </xf>
    <xf borderId="4" fillId="3" fontId="16" numFmtId="0" xfId="0" applyAlignment="1" applyBorder="1" applyFont="1">
      <alignment horizontal="center" vertical="bottom"/>
    </xf>
    <xf borderId="0" fillId="3" fontId="12" numFmtId="0" xfId="0" applyAlignment="1" applyFont="1">
      <alignment horizontal="center" vertical="top"/>
    </xf>
    <xf borderId="0" fillId="3" fontId="16" numFmtId="0" xfId="0" applyAlignment="1" applyFont="1">
      <alignment horizontal="center" vertical="bottom"/>
    </xf>
    <xf borderId="2" fillId="3" fontId="12" numFmtId="0" xfId="0" applyAlignment="1" applyBorder="1" applyFont="1">
      <alignment horizontal="center" vertical="top"/>
    </xf>
    <xf borderId="2" fillId="3" fontId="14" numFmtId="0" xfId="0" applyAlignment="1" applyBorder="1" applyFont="1">
      <alignment horizontal="center" shrinkToFit="0" vertical="bottom" wrapText="1"/>
    </xf>
    <xf borderId="0" fillId="3" fontId="14" numFmtId="165" xfId="0" applyAlignment="1" applyFont="1" applyNumberFormat="1">
      <alignment horizontal="center"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5" xfId="0" applyAlignment="1" applyFont="1" applyNumberFormat="1">
      <alignment horizontal="center" readingOrder="0"/>
    </xf>
    <xf borderId="0" fillId="3" fontId="12" numFmtId="0" xfId="0" applyAlignment="1" applyFont="1">
      <alignment horizontal="center" readingOrder="0" shrinkToFit="0" vertical="top" wrapText="1"/>
    </xf>
    <xf borderId="0" fillId="3" fontId="12" numFmtId="165" xfId="0" applyAlignment="1" applyFont="1" applyNumberFormat="1">
      <alignment horizontal="center" vertical="bottom"/>
    </xf>
    <xf borderId="2" fillId="3" fontId="14" numFmtId="0" xfId="0" applyAlignment="1" applyBorder="1" applyFont="1">
      <alignment horizontal="center" vertical="bottom"/>
    </xf>
    <xf borderId="3" fillId="3" fontId="12" numFmtId="0" xfId="0" applyAlignment="1" applyBorder="1" applyFont="1">
      <alignment horizontal="center" vertical="top"/>
    </xf>
    <xf borderId="0" fillId="3" fontId="7" numFmtId="0" xfId="0" applyAlignment="1" applyFont="1">
      <alignment shrinkToFit="0" vertical="bottom" wrapText="0"/>
    </xf>
    <xf borderId="5" fillId="3" fontId="12" numFmtId="0" xfId="0" applyAlignment="1" applyBorder="1" applyFont="1">
      <alignment horizontal="center" vertical="top"/>
    </xf>
    <xf borderId="0" fillId="3" fontId="14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3" fontId="12" numFmtId="166" xfId="0" applyAlignment="1" applyFont="1" applyNumberFormat="1">
      <alignment horizontal="center" readingOrder="0"/>
    </xf>
    <xf borderId="4" fillId="0" fontId="2" numFmtId="0" xfId="0" applyAlignment="1" applyBorder="1" applyFont="1">
      <alignment vertical="bottom"/>
    </xf>
    <xf borderId="0" fillId="3" fontId="12" numFmtId="0" xfId="0" applyAlignment="1" applyFont="1">
      <alignment horizontal="center" readingOrder="0" vertical="bottom"/>
    </xf>
    <xf borderId="0" fillId="3" fontId="14" numFmtId="166" xfId="0" applyAlignment="1" applyFont="1" applyNumberFormat="1">
      <alignment horizontal="center" readingOrder="0"/>
    </xf>
    <xf borderId="0" fillId="3" fontId="16" numFmtId="0" xfId="0" applyAlignment="1" applyFont="1">
      <alignment vertical="bottom"/>
    </xf>
    <xf borderId="2" fillId="3" fontId="16" numFmtId="0" xfId="0" applyAlignment="1" applyBorder="1" applyFont="1">
      <alignment vertical="bottom"/>
    </xf>
    <xf borderId="0" fillId="3" fontId="12" numFmtId="0" xfId="0" applyAlignment="1" applyFont="1">
      <alignment horizontal="center" vertical="bottom"/>
    </xf>
    <xf borderId="0" fillId="3" fontId="17" numFmtId="0" xfId="0" applyAlignment="1" applyFont="1">
      <alignment horizontal="left" readingOrder="0"/>
    </xf>
    <xf borderId="1" fillId="3" fontId="12" numFmtId="0" xfId="0" applyAlignment="1" applyBorder="1" applyFont="1">
      <alignment horizontal="center" vertical="top"/>
    </xf>
    <xf borderId="0" fillId="0" fontId="3" numFmtId="167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0" fillId="3" fontId="18" numFmtId="0" xfId="0" applyAlignment="1" applyFont="1">
      <alignment shrinkToFit="0" vertical="bottom" wrapText="1"/>
    </xf>
    <xf borderId="1" fillId="3" fontId="19" numFmtId="0" xfId="0" applyAlignment="1" applyBorder="1" applyFont="1">
      <alignment horizontal="center" vertical="top"/>
    </xf>
    <xf borderId="6" fillId="3" fontId="18" numFmtId="0" xfId="0" applyAlignment="1" applyBorder="1" applyFont="1">
      <alignment shrinkToFit="0" vertical="bottom" wrapText="1"/>
    </xf>
    <xf borderId="7" fillId="3" fontId="18" numFmtId="0" xfId="0" applyAlignment="1" applyBorder="1" applyFont="1">
      <alignment shrinkToFit="0" vertical="bottom" wrapText="1"/>
    </xf>
    <xf borderId="8" fillId="3" fontId="18" numFmtId="0" xfId="0" applyAlignment="1" applyBorder="1" applyFont="1">
      <alignment horizontal="center" shrinkToFit="0" vertical="bottom" wrapText="1"/>
    </xf>
    <xf borderId="0" fillId="3" fontId="3" numFmtId="0" xfId="0" applyAlignment="1" applyFont="1">
      <alignment shrinkToFit="0" wrapText="1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3" fontId="20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3" fontId="12" numFmtId="165" xfId="0" applyAlignment="1" applyFont="1" applyNumberFormat="1">
      <alignment horizontal="center" readingOrder="0" shrinkToFit="0" vertical="bottom" wrapText="1"/>
    </xf>
    <xf borderId="9" fillId="3" fontId="21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readingOrder="0" vertical="top"/>
    </xf>
    <xf borderId="0" fillId="3" fontId="22" numFmtId="0" xfId="0" applyAlignment="1" applyFont="1">
      <alignment horizontal="center" vertical="bottom"/>
    </xf>
    <xf borderId="0" fillId="3" fontId="20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3" fontId="2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3" fontId="12" numFmtId="0" xfId="0" applyAlignment="1" applyBorder="1" applyFont="1">
      <alignment horizontal="center" shrinkToFit="0" vertical="top" wrapText="0"/>
    </xf>
    <xf borderId="0" fillId="3" fontId="23" numFmtId="165" xfId="0" applyAlignment="1" applyFont="1" applyNumberFormat="1">
      <alignment horizontal="center" vertical="bottom"/>
    </xf>
    <xf borderId="0" fillId="0" fontId="2" numFmtId="0" xfId="0" applyAlignment="1" applyFont="1">
      <alignment shrinkToFit="0" vertical="bottom" wrapText="0"/>
    </xf>
    <xf borderId="0" fillId="3" fontId="2" numFmtId="165" xfId="0" applyAlignment="1" applyFont="1" applyNumberFormat="1">
      <alignment horizontal="right" vertical="bottom"/>
    </xf>
    <xf borderId="4" fillId="3" fontId="7" numFmtId="0" xfId="0" applyAlignment="1" applyBorder="1" applyFont="1">
      <alignment vertical="bottom"/>
    </xf>
    <xf borderId="0" fillId="3" fontId="2" numFmtId="165" xfId="0" applyAlignment="1" applyFont="1" applyNumberFormat="1">
      <alignment horizontal="right" readingOrder="0" vertical="bottom"/>
    </xf>
    <xf borderId="0" fillId="0" fontId="3" numFmtId="168" xfId="0" applyAlignment="1" applyFont="1" applyNumberFormat="1">
      <alignment readingOrder="0" shrinkToFit="0" wrapText="1"/>
    </xf>
    <xf borderId="0" fillId="0" fontId="2" numFmtId="0" xfId="0" applyAlignment="1" applyFont="1">
      <alignment horizontal="center" readingOrder="0"/>
    </xf>
    <xf borderId="0" fillId="3" fontId="2" numFmtId="169" xfId="0" applyAlignment="1" applyFont="1" applyNumberFormat="1">
      <alignment horizontal="right" vertical="bottom"/>
    </xf>
    <xf borderId="0" fillId="3" fontId="22" numFmtId="0" xfId="0" applyAlignment="1" applyFont="1">
      <alignment vertical="bottom"/>
    </xf>
    <xf borderId="0" fillId="3" fontId="2" numFmtId="0" xfId="0" applyAlignment="1" applyFont="1">
      <alignment horizontal="center" vertical="top"/>
    </xf>
    <xf borderId="0" fillId="3" fontId="3" numFmtId="0" xfId="0" applyFont="1"/>
    <xf borderId="0" fillId="3" fontId="20" numFmtId="170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vertical="bottom"/>
    </xf>
    <xf borderId="0" fillId="3" fontId="20" numFmtId="0" xfId="0" applyAlignment="1" applyFont="1">
      <alignment horizontal="right" readingOrder="0"/>
    </xf>
    <xf borderId="2" fillId="3" fontId="2" numFmtId="0" xfId="0" applyAlignment="1" applyBorder="1" applyFont="1">
      <alignment vertical="bottom"/>
    </xf>
    <xf borderId="2" fillId="3" fontId="12" numFmtId="0" xfId="0" applyAlignment="1" applyBorder="1" applyFont="1">
      <alignment vertical="top"/>
    </xf>
    <xf borderId="5" fillId="3" fontId="12" numFmtId="165" xfId="0" applyAlignment="1" applyBorder="1" applyFont="1" applyNumberFormat="1">
      <alignment horizontal="center" vertical="top"/>
    </xf>
    <xf borderId="2" fillId="3" fontId="12" numFmtId="165" xfId="0" applyAlignment="1" applyBorder="1" applyFont="1" applyNumberFormat="1">
      <alignment horizontal="center" vertical="top"/>
    </xf>
    <xf borderId="0" fillId="3" fontId="12" numFmtId="165" xfId="0" applyAlignment="1" applyFont="1" applyNumberFormat="1">
      <alignment horizontal="center" vertical="top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shrinkToFit="0" vertical="bottom" wrapText="0"/>
    </xf>
    <xf borderId="0" fillId="3" fontId="6" numFmtId="0" xfId="0" applyAlignment="1" applyFont="1">
      <alignment vertical="bottom"/>
    </xf>
    <xf borderId="5" fillId="3" fontId="12" numFmtId="0" xfId="0" applyAlignment="1" applyBorder="1" applyFont="1">
      <alignment vertical="top"/>
    </xf>
    <xf borderId="0" fillId="3" fontId="12" numFmtId="0" xfId="0" applyAlignment="1" applyFont="1">
      <alignment vertical="top"/>
    </xf>
    <xf borderId="0" fillId="3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/>
    </xf>
    <xf borderId="5" fillId="3" fontId="12" numFmtId="0" xfId="0" applyAlignment="1" applyBorder="1" applyFont="1">
      <alignment horizontal="center" shrinkToFit="0" vertical="top" wrapText="0"/>
    </xf>
    <xf borderId="2" fillId="3" fontId="12" numFmtId="0" xfId="0" applyAlignment="1" applyBorder="1" applyFont="1">
      <alignment horizontal="center" shrinkToFit="0" vertical="top" wrapText="0"/>
    </xf>
    <xf borderId="0" fillId="3" fontId="12" numFmtId="0" xfId="0" applyAlignment="1" applyFont="1">
      <alignment horizontal="center" shrinkToFit="0" vertical="top" wrapText="0"/>
    </xf>
    <xf borderId="1" fillId="3" fontId="12" numFmtId="0" xfId="0" applyAlignment="1" applyBorder="1" applyFont="1">
      <alignment vertical="top"/>
    </xf>
    <xf borderId="5" fillId="0" fontId="23" numFmtId="0" xfId="0" applyAlignment="1" applyBorder="1" applyFont="1">
      <alignment vertical="top"/>
    </xf>
    <xf borderId="2" fillId="0" fontId="23" numFmtId="0" xfId="0" applyAlignment="1" applyBorder="1" applyFont="1">
      <alignment vertical="top"/>
    </xf>
    <xf borderId="0" fillId="0" fontId="23" numFmtId="0" xfId="0" applyAlignment="1" applyFont="1">
      <alignment vertical="top"/>
    </xf>
    <xf borderId="2" fillId="0" fontId="2" numFmtId="0" xfId="0" applyAlignment="1" applyBorder="1" applyFont="1">
      <alignment shrinkToFit="0" vertical="bottom" wrapText="0"/>
    </xf>
    <xf borderId="0" fillId="3" fontId="12" numFmtId="0" xfId="0" applyAlignment="1" applyFont="1">
      <alignment shrinkToFit="0" vertical="bottom" wrapText="0"/>
    </xf>
    <xf borderId="0" fillId="3" fontId="6" numFmtId="164" xfId="0" applyAlignment="1" applyFont="1" applyNumberFormat="1">
      <alignment horizontal="right" vertical="bottom"/>
    </xf>
    <xf borderId="0" fillId="0" fontId="24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2" fillId="0" fontId="25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25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2" fillId="0" fontId="11" numFmtId="0" xfId="0" applyAlignment="1" applyBorder="1" applyFont="1">
      <alignment vertical="bottom"/>
    </xf>
    <xf borderId="2" fillId="0" fontId="16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vertical="bottom"/>
    </xf>
    <xf borderId="2" fillId="0" fontId="16" numFmtId="0" xfId="0" applyAlignment="1" applyBorder="1" applyFont="1">
      <alignment vertical="bottom"/>
    </xf>
    <xf borderId="0" fillId="3" fontId="16" numFmtId="164" xfId="0" applyAlignment="1" applyFont="1" applyNumberFormat="1">
      <alignment horizontal="right" vertical="bottom"/>
    </xf>
    <xf borderId="5" fillId="3" fontId="26" numFmtId="0" xfId="0" applyAlignment="1" applyBorder="1" applyFont="1">
      <alignment horizontal="center" vertical="top"/>
    </xf>
    <xf borderId="2" fillId="3" fontId="26" numFmtId="0" xfId="0" applyAlignment="1" applyBorder="1" applyFont="1">
      <alignment horizontal="center" vertical="top"/>
    </xf>
    <xf borderId="0" fillId="3" fontId="26" numFmtId="0" xfId="0" applyAlignment="1" applyFont="1">
      <alignment horizontal="center" vertical="top"/>
    </xf>
    <xf borderId="2" fillId="0" fontId="7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0" fillId="3" fontId="2" numFmtId="164" xfId="0" applyAlignment="1" applyFont="1" applyNumberFormat="1">
      <alignment vertical="bottom"/>
    </xf>
    <xf borderId="0" fillId="0" fontId="27" numFmtId="0" xfId="0" applyAlignment="1" applyFont="1">
      <alignment vertical="bottom"/>
    </xf>
    <xf borderId="5" fillId="3" fontId="28" numFmtId="0" xfId="0" applyAlignment="1" applyBorder="1" applyFont="1">
      <alignment shrinkToFit="0" vertical="top" wrapText="0"/>
    </xf>
    <xf borderId="2" fillId="3" fontId="28" numFmtId="0" xfId="0" applyAlignment="1" applyBorder="1" applyFont="1">
      <alignment shrinkToFit="0" vertical="top" wrapText="0"/>
    </xf>
    <xf borderId="5" fillId="3" fontId="28" numFmtId="0" xfId="0" applyAlignment="1" applyBorder="1" applyFont="1">
      <alignment horizontal="center" vertical="top"/>
    </xf>
    <xf borderId="2" fillId="3" fontId="28" numFmtId="0" xfId="0" applyAlignment="1" applyBorder="1" applyFont="1">
      <alignment horizontal="center" vertical="top"/>
    </xf>
    <xf borderId="0" fillId="3" fontId="28" numFmtId="0" xfId="0" applyAlignment="1" applyFont="1">
      <alignment horizontal="center" vertical="top"/>
    </xf>
    <xf borderId="2" fillId="0" fontId="2" numFmtId="0" xfId="0" applyAlignment="1" applyBorder="1" applyFont="1">
      <alignment horizontal="center" vertical="bottom"/>
    </xf>
    <xf borderId="5" fillId="3" fontId="12" numFmtId="0" xfId="0" applyAlignment="1" applyBorder="1" applyFont="1">
      <alignment shrinkToFit="0" vertical="top" wrapText="0"/>
    </xf>
    <xf borderId="2" fillId="3" fontId="12" numFmtId="0" xfId="0" applyAlignment="1" applyBorder="1" applyFont="1">
      <alignment shrinkToFit="0" vertical="top" wrapText="0"/>
    </xf>
    <xf borderId="0" fillId="0" fontId="8" numFmtId="164" xfId="0" applyAlignment="1" applyFont="1" applyNumberFormat="1">
      <alignment vertical="bottom"/>
    </xf>
    <xf borderId="1" fillId="3" fontId="29" numFmtId="0" xfId="0" applyAlignment="1" applyBorder="1" applyFont="1">
      <alignment horizontal="center" vertical="top"/>
    </xf>
    <xf borderId="0" fillId="3" fontId="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3" fontId="12" numFmtId="0" xfId="0" applyAlignment="1" applyFont="1">
      <alignment horizontal="center" readingOrder="0" vertical="top"/>
    </xf>
    <xf borderId="0" fillId="3" fontId="8" numFmtId="164" xfId="0" applyAlignment="1" applyFont="1" applyNumberFormat="1">
      <alignment vertical="bottom"/>
    </xf>
    <xf borderId="1" fillId="3" fontId="2" numFmtId="0" xfId="0" applyAlignment="1" applyBorder="1" applyFont="1">
      <alignment vertical="top"/>
    </xf>
    <xf borderId="0" fillId="3" fontId="6" numFmtId="0" xfId="0" applyAlignment="1" applyFont="1">
      <alignment shrinkToFit="0" vertical="bottom" wrapText="1"/>
    </xf>
    <xf borderId="0" fillId="3" fontId="16" numFmtId="0" xfId="0" applyAlignment="1" applyFont="1">
      <alignment shrinkToFit="0" vertical="bottom" wrapText="1"/>
    </xf>
    <xf borderId="0" fillId="4" fontId="16" numFmtId="0" xfId="0" applyAlignment="1" applyFill="1" applyFont="1">
      <alignment vertical="bottom"/>
    </xf>
    <xf borderId="1" fillId="3" fontId="12" numFmtId="0" xfId="0" applyAlignment="1" applyBorder="1" applyFont="1">
      <alignment horizontal="center" shrinkToFit="0" vertical="top" wrapText="1"/>
    </xf>
    <xf borderId="0" fillId="3" fontId="6" numFmtId="0" xfId="0" applyAlignment="1" applyFont="1">
      <alignment readingOrder="0" vertical="bottom"/>
    </xf>
    <xf borderId="0" fillId="3" fontId="10" numFmtId="0" xfId="0" applyAlignment="1" applyFont="1">
      <alignment horizontal="center" vertical="top"/>
    </xf>
    <xf borderId="0" fillId="0" fontId="30" numFmtId="0" xfId="0" applyAlignment="1" applyFont="1">
      <alignment vertical="bottom"/>
    </xf>
    <xf borderId="1" fillId="3" fontId="10" numFmtId="0" xfId="0" applyAlignment="1" applyBorder="1" applyFont="1">
      <alignment vertical="top"/>
    </xf>
    <xf borderId="1" fillId="3" fontId="29" numFmtId="0" xfId="0" applyAlignment="1" applyBorder="1" applyFont="1">
      <alignment vertical="top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>
        <v>9.0</v>
      </c>
      <c r="B1" s="2" t="s">
        <v>0</v>
      </c>
      <c r="C1" s="3" t="s">
        <v>1</v>
      </c>
      <c r="D1" s="3" t="s">
        <v>2</v>
      </c>
    </row>
    <row r="2">
      <c r="A2" s="4" t="str">
        <f>IFERROR(__xludf.DUMMYFUNCTION("IMPORTRANGE(""https://docs.google.com/spreadsheets/d/1e6LHlUPIFOwu9NTBPwZ7CqzBz59k0sl0nQjPxrv-A-4/edit#gid=0"", ""C2:C20000"")"),"Batch 154")</f>
        <v>Batch 154</v>
      </c>
      <c r="B2" s="5" t="str">
        <f>IFERROR(__xludf.DUMMYFUNCTION("IMPORTRANGE(""https://docs.google.com/spreadsheets/d/1e6LHlUPIFOwu9NTBPwZ7CqzBz59k0sl0nQjPxrv-A-4/edit#gid=0"", ""E2:E20000"")"),"SahilYC54")</f>
        <v>SahilYC54</v>
      </c>
      <c r="C2" s="5">
        <f>IFERROR(__xludf.DUMMYFUNCTION("IMPORTRANGE(""https://docs.google.com/spreadsheets/d/1e6LHlUPIFOwu9NTBPwZ7CqzBz59k0sl0nQjPxrv-A-4/edit#gid=0"", ""H2:H20000"")"),0.0)</f>
        <v>0</v>
      </c>
      <c r="D2" s="5">
        <f>IFERROR(__xludf.DUMMYFUNCTION("IMPORTRANGE(""https://docs.google.com/spreadsheets/d/1e6LHlUPIFOwu9NTBPwZ7CqzBz59k0sl0nQjPxrv-A-4/edit#gid=0"", ""I2:I20000"")"),0.0)</f>
        <v>0</v>
      </c>
    </row>
    <row r="3">
      <c r="A3" s="6" t="str">
        <f>IFERROR(__xludf.DUMMYFUNCTION("""COMPUTED_VALUE"""),"Batch 154")</f>
        <v>Batch 154</v>
      </c>
      <c r="B3" s="7" t="str">
        <f>IFERROR(__xludf.DUMMYFUNCTION("""COMPUTED_VALUE"""),"RakeshBC54")</f>
        <v>RakeshBC54</v>
      </c>
      <c r="C3" s="5">
        <f>IFERROR(__xludf.DUMMYFUNCTION("""COMPUTED_VALUE"""),1.0)</f>
        <v>1</v>
      </c>
      <c r="D3" s="8">
        <f>IFERROR(__xludf.DUMMYFUNCTION("""COMPUTED_VALUE"""),2.0)</f>
        <v>2</v>
      </c>
    </row>
    <row r="4">
      <c r="A4" s="6" t="str">
        <f>IFERROR(__xludf.DUMMYFUNCTION("""COMPUTED_VALUE"""),"Batch 154")</f>
        <v>Batch 154</v>
      </c>
      <c r="B4" s="7" t="str">
        <f>IFERROR(__xludf.DUMMYFUNCTION("""COMPUTED_VALUE"""),"GaurangMC54")</f>
        <v>GaurangMC54</v>
      </c>
      <c r="C4" s="5">
        <f>IFERROR(__xludf.DUMMYFUNCTION("""COMPUTED_VALUE"""),1.0)</f>
        <v>1</v>
      </c>
      <c r="D4" s="8">
        <f>IFERROR(__xludf.DUMMYFUNCTION("""COMPUTED_VALUE"""),2.0)</f>
        <v>2</v>
      </c>
    </row>
    <row r="5">
      <c r="A5" s="6" t="str">
        <f>IFERROR(__xludf.DUMMYFUNCTION("""COMPUTED_VALUE"""),"Batch 154")</f>
        <v>Batch 154</v>
      </c>
      <c r="B5" s="7" t="str">
        <f>IFERROR(__xludf.DUMMYFUNCTION("""COMPUTED_VALUE"""),"PasupathiRC54")</f>
        <v>PasupathiRC54</v>
      </c>
      <c r="C5" s="5">
        <f>IFERROR(__xludf.DUMMYFUNCTION("""COMPUTED_VALUE"""),0.0)</f>
        <v>0</v>
      </c>
      <c r="D5" s="8">
        <f>IFERROR(__xludf.DUMMYFUNCTION("""COMPUTED_VALUE"""),0.0)</f>
        <v>0</v>
      </c>
    </row>
    <row r="6">
      <c r="A6" s="6" t="str">
        <f>IFERROR(__xludf.DUMMYFUNCTION("""COMPUTED_VALUE"""),"Batch 154")</f>
        <v>Batch 154</v>
      </c>
      <c r="B6" s="7" t="str">
        <f>IFERROR(__xludf.DUMMYFUNCTION("""COMPUTED_VALUE"""),"DevAroraC54")</f>
        <v>DevAroraC54</v>
      </c>
      <c r="C6" s="5">
        <f>IFERROR(__xludf.DUMMYFUNCTION("""COMPUTED_VALUE"""),0.0)</f>
        <v>0</v>
      </c>
      <c r="D6" s="8">
        <f>IFERROR(__xludf.DUMMYFUNCTION("""COMPUTED_VALUE"""),0.0)</f>
        <v>0</v>
      </c>
    </row>
    <row r="7">
      <c r="A7" s="6" t="str">
        <f>IFERROR(__xludf.DUMMYFUNCTION("""COMPUTED_VALUE"""),"Batch 154")</f>
        <v>Batch 154</v>
      </c>
      <c r="B7" s="7" t="str">
        <f>IFERROR(__xludf.DUMMYFUNCTION("""COMPUTED_VALUE"""),"DeveshDC54")</f>
        <v>DeveshDC54</v>
      </c>
      <c r="C7" s="5">
        <f>IFERROR(__xludf.DUMMYFUNCTION("""COMPUTED_VALUE"""),0.0)</f>
        <v>0</v>
      </c>
      <c r="D7" s="8">
        <f>IFERROR(__xludf.DUMMYFUNCTION("""COMPUTED_VALUE"""),0.0)</f>
        <v>0</v>
      </c>
    </row>
    <row r="8">
      <c r="A8" s="6" t="str">
        <f>IFERROR(__xludf.DUMMYFUNCTION("""COMPUTED_VALUE"""),"Batch 154")</f>
        <v>Batch 154</v>
      </c>
      <c r="B8" s="7" t="str">
        <f>IFERROR(__xludf.DUMMYFUNCTION("""COMPUTED_VALUE"""),"GavaraRC54")</f>
        <v>GavaraRC54</v>
      </c>
      <c r="C8" s="5">
        <f>IFERROR(__xludf.DUMMYFUNCTION("""COMPUTED_VALUE"""),0.0)</f>
        <v>0</v>
      </c>
      <c r="D8" s="8">
        <f>IFERROR(__xludf.DUMMYFUNCTION("""COMPUTED_VALUE"""),0.0)</f>
        <v>0</v>
      </c>
    </row>
    <row r="9">
      <c r="A9" s="6" t="str">
        <f>IFERROR(__xludf.DUMMYFUNCTION("""COMPUTED_VALUE"""),"Batch 154")</f>
        <v>Batch 154</v>
      </c>
      <c r="B9" s="7" t="str">
        <f>IFERROR(__xludf.DUMMYFUNCTION("""COMPUTED_VALUE"""),"GauravRC54")</f>
        <v>GauravRC54</v>
      </c>
      <c r="C9" s="5">
        <f>IFERROR(__xludf.DUMMYFUNCTION("""COMPUTED_VALUE"""),0.0)</f>
        <v>0</v>
      </c>
      <c r="D9" s="8">
        <f>IFERROR(__xludf.DUMMYFUNCTION("""COMPUTED_VALUE"""),0.0)</f>
        <v>0</v>
      </c>
    </row>
    <row r="10">
      <c r="A10" s="6" t="str">
        <f>IFERROR(__xludf.DUMMYFUNCTION("""COMPUTED_VALUE"""),"Batch 154")</f>
        <v>Batch 154</v>
      </c>
      <c r="B10" s="7" t="str">
        <f>IFERROR(__xludf.DUMMYFUNCTION("""COMPUTED_VALUE"""),"KandhasamyVC54")</f>
        <v>KandhasamyVC54</v>
      </c>
      <c r="C10" s="5">
        <f>IFERROR(__xludf.DUMMYFUNCTION("""COMPUTED_VALUE"""),2.0)</f>
        <v>2</v>
      </c>
      <c r="D10" s="8">
        <f>IFERROR(__xludf.DUMMYFUNCTION("""COMPUTED_VALUE"""),1.0)</f>
        <v>1</v>
      </c>
    </row>
    <row r="11">
      <c r="A11" s="6" t="str">
        <f>IFERROR(__xludf.DUMMYFUNCTION("""COMPUTED_VALUE"""),"Batch 154")</f>
        <v>Batch 154</v>
      </c>
      <c r="B11" s="7" t="str">
        <f>IFERROR(__xludf.DUMMYFUNCTION("""COMPUTED_VALUE"""),"TharneeshC54")</f>
        <v>TharneeshC54</v>
      </c>
      <c r="C11" s="5">
        <f>IFERROR(__xludf.DUMMYFUNCTION("""COMPUTED_VALUE"""),0.0)</f>
        <v>0</v>
      </c>
      <c r="D11" s="8">
        <f>IFERROR(__xludf.DUMMYFUNCTION("""COMPUTED_VALUE"""),0.0)</f>
        <v>0</v>
      </c>
    </row>
    <row r="12">
      <c r="A12" s="6" t="str">
        <f>IFERROR(__xludf.DUMMYFUNCTION("""COMPUTED_VALUE"""),"Batch 154")</f>
        <v>Batch 154</v>
      </c>
      <c r="B12" s="7" t="str">
        <f>IFERROR(__xludf.DUMMYFUNCTION("""COMPUTED_VALUE"""),"DharsiniRC54")</f>
        <v>DharsiniRC54</v>
      </c>
      <c r="C12" s="5">
        <f>IFERROR(__xludf.DUMMYFUNCTION("""COMPUTED_VALUE"""),0.0)</f>
        <v>0</v>
      </c>
      <c r="D12" s="8">
        <f>IFERROR(__xludf.DUMMYFUNCTION("""COMPUTED_VALUE"""),0.0)</f>
        <v>0</v>
      </c>
    </row>
    <row r="13">
      <c r="A13" s="6" t="str">
        <f>IFERROR(__xludf.DUMMYFUNCTION("""COMPUTED_VALUE"""),"Batch 154")</f>
        <v>Batch 154</v>
      </c>
      <c r="B13" s="7" t="str">
        <f>IFERROR(__xludf.DUMMYFUNCTION("""COMPUTED_VALUE"""),"MadhuBC54")</f>
        <v>MadhuBC54</v>
      </c>
      <c r="C13" s="5">
        <f>IFERROR(__xludf.DUMMYFUNCTION("""COMPUTED_VALUE"""),0.0)</f>
        <v>0</v>
      </c>
      <c r="D13" s="8">
        <f>IFERROR(__xludf.DUMMYFUNCTION("""COMPUTED_VALUE"""),0.0)</f>
        <v>0</v>
      </c>
    </row>
    <row r="14">
      <c r="A14" s="6" t="str">
        <f>IFERROR(__xludf.DUMMYFUNCTION("""COMPUTED_VALUE"""),"Batch 154")</f>
        <v>Batch 154</v>
      </c>
      <c r="B14" s="7" t="str">
        <f>IFERROR(__xludf.DUMMYFUNCTION("""COMPUTED_VALUE"""),"AdeebaHC54")</f>
        <v>AdeebaHC54</v>
      </c>
      <c r="C14" s="5">
        <f>IFERROR(__xludf.DUMMYFUNCTION("""COMPUTED_VALUE"""),0.0)</f>
        <v>0</v>
      </c>
      <c r="D14" s="8">
        <f>IFERROR(__xludf.DUMMYFUNCTION("""COMPUTED_VALUE"""),0.0)</f>
        <v>0</v>
      </c>
    </row>
    <row r="15">
      <c r="A15" s="6" t="str">
        <f>IFERROR(__xludf.DUMMYFUNCTION("""COMPUTED_VALUE"""),"Batch 154")</f>
        <v>Batch 154</v>
      </c>
      <c r="B15" s="7" t="str">
        <f>IFERROR(__xludf.DUMMYFUNCTION("""COMPUTED_VALUE"""),"HarshitCC54")</f>
        <v>HarshitCC54</v>
      </c>
      <c r="C15" s="5">
        <f>IFERROR(__xludf.DUMMYFUNCTION("""COMPUTED_VALUE"""),0.0)</f>
        <v>0</v>
      </c>
      <c r="D15" s="8">
        <f>IFERROR(__xludf.DUMMYFUNCTION("""COMPUTED_VALUE"""),0.0)</f>
        <v>0</v>
      </c>
    </row>
    <row r="16">
      <c r="A16" s="6" t="str">
        <f>IFERROR(__xludf.DUMMYFUNCTION("""COMPUTED_VALUE"""),"Batch 154")</f>
        <v>Batch 154</v>
      </c>
      <c r="B16" s="7" t="str">
        <f>IFERROR(__xludf.DUMMYFUNCTION("""COMPUTED_VALUE"""),"DivyaRC54")</f>
        <v>DivyaRC54</v>
      </c>
      <c r="C16" s="5">
        <f>IFERROR(__xludf.DUMMYFUNCTION("""COMPUTED_VALUE"""),0.0)</f>
        <v>0</v>
      </c>
      <c r="D16" s="8">
        <f>IFERROR(__xludf.DUMMYFUNCTION("""COMPUTED_VALUE"""),0.0)</f>
        <v>0</v>
      </c>
    </row>
    <row r="17">
      <c r="A17" s="6" t="str">
        <f>IFERROR(__xludf.DUMMYFUNCTION("""COMPUTED_VALUE"""),"Batch 154")</f>
        <v>Batch 154</v>
      </c>
      <c r="B17" s="7" t="str">
        <f>IFERROR(__xludf.DUMMYFUNCTION("""COMPUTED_VALUE"""),"AanchalAC54")</f>
        <v>AanchalAC54</v>
      </c>
      <c r="C17" s="5">
        <f>IFERROR(__xludf.DUMMYFUNCTION("""COMPUTED_VALUE"""),10.0)</f>
        <v>10</v>
      </c>
      <c r="D17" s="8">
        <f>IFERROR(__xludf.DUMMYFUNCTION("""COMPUTED_VALUE"""),9.0)</f>
        <v>9</v>
      </c>
    </row>
    <row r="18">
      <c r="A18" s="6" t="str">
        <f>IFERROR(__xludf.DUMMYFUNCTION("""COMPUTED_VALUE"""),"Batch 154")</f>
        <v>Batch 154</v>
      </c>
      <c r="B18" s="7" t="str">
        <f>IFERROR(__xludf.DUMMYFUNCTION("""COMPUTED_VALUE"""),"Elamparithi.SC54")</f>
        <v>Elamparithi.SC54</v>
      </c>
      <c r="C18" s="5">
        <f>IFERROR(__xludf.DUMMYFUNCTION("""COMPUTED_VALUE"""),0.0)</f>
        <v>0</v>
      </c>
      <c r="D18" s="8">
        <f>IFERROR(__xludf.DUMMYFUNCTION("""COMPUTED_VALUE"""),0.0)</f>
        <v>0</v>
      </c>
    </row>
    <row r="19">
      <c r="A19" s="6" t="str">
        <f>IFERROR(__xludf.DUMMYFUNCTION("""COMPUTED_VALUE"""),"Batch 154")</f>
        <v>Batch 154</v>
      </c>
      <c r="B19" s="7" t="str">
        <f>IFERROR(__xludf.DUMMYFUNCTION("""COMPUTED_VALUE"""),"AbhayC54")</f>
        <v>AbhayC54</v>
      </c>
      <c r="C19" s="5">
        <f>IFERROR(__xludf.DUMMYFUNCTION("""COMPUTED_VALUE"""),0.0)</f>
        <v>0</v>
      </c>
      <c r="D19" s="8">
        <f>IFERROR(__xludf.DUMMYFUNCTION("""COMPUTED_VALUE"""),0.0)</f>
        <v>0</v>
      </c>
    </row>
    <row r="20">
      <c r="A20" s="6" t="str">
        <f>IFERROR(__xludf.DUMMYFUNCTION("""COMPUTED_VALUE"""),"Batch 154")</f>
        <v>Batch 154</v>
      </c>
      <c r="B20" s="7" t="str">
        <f>IFERROR(__xludf.DUMMYFUNCTION("""COMPUTED_VALUE"""),"PRAVEENKUMARAC54")</f>
        <v>PRAVEENKUMARAC54</v>
      </c>
      <c r="C20" s="5">
        <f>IFERROR(__xludf.DUMMYFUNCTION("""COMPUTED_VALUE"""),0.0)</f>
        <v>0</v>
      </c>
      <c r="D20" s="8">
        <f>IFERROR(__xludf.DUMMYFUNCTION("""COMPUTED_VALUE"""),0.0)</f>
        <v>0</v>
      </c>
    </row>
    <row r="21">
      <c r="A21" s="6" t="str">
        <f>IFERROR(__xludf.DUMMYFUNCTION("""COMPUTED_VALUE"""),"Batch 154")</f>
        <v>Batch 154</v>
      </c>
      <c r="B21" s="7" t="str">
        <f>IFERROR(__xludf.DUMMYFUNCTION("""COMPUTED_VALUE"""),"A.P.THIVAGARC54")</f>
        <v>A.P.THIVAGARC54</v>
      </c>
      <c r="C21" s="5">
        <f>IFERROR(__xludf.DUMMYFUNCTION("""COMPUTED_VALUE"""),0.0)</f>
        <v>0</v>
      </c>
      <c r="D21" s="8">
        <f>IFERROR(__xludf.DUMMYFUNCTION("""COMPUTED_VALUE"""),0.0)</f>
        <v>0</v>
      </c>
    </row>
    <row r="22">
      <c r="A22" s="6" t="str">
        <f>IFERROR(__xludf.DUMMYFUNCTION("""COMPUTED_VALUE"""),"Batch 154")</f>
        <v>Batch 154</v>
      </c>
      <c r="B22" s="7" t="str">
        <f>IFERROR(__xludf.DUMMYFUNCTION("""COMPUTED_VALUE"""),"HariharanBC54")</f>
        <v>HariharanBC54</v>
      </c>
      <c r="C22" s="5">
        <f>IFERROR(__xludf.DUMMYFUNCTION("""COMPUTED_VALUE"""),0.0)</f>
        <v>0</v>
      </c>
      <c r="D22" s="8">
        <f>IFERROR(__xludf.DUMMYFUNCTION("""COMPUTED_VALUE"""),0.0)</f>
        <v>0</v>
      </c>
    </row>
    <row r="23">
      <c r="A23" s="6" t="str">
        <f>IFERROR(__xludf.DUMMYFUNCTION("""COMPUTED_VALUE"""),"Batch 154")</f>
        <v>Batch 154</v>
      </c>
      <c r="B23" s="7" t="str">
        <f>IFERROR(__xludf.DUMMYFUNCTION("""COMPUTED_VALUE"""),"ShreySC54")</f>
        <v>ShreySC54</v>
      </c>
      <c r="C23" s="5">
        <f>IFERROR(__xludf.DUMMYFUNCTION("""COMPUTED_VALUE"""),0.0)</f>
        <v>0</v>
      </c>
      <c r="D23" s="8">
        <f>IFERROR(__xludf.DUMMYFUNCTION("""COMPUTED_VALUE"""),1.0)</f>
        <v>1</v>
      </c>
    </row>
    <row r="24">
      <c r="A24" s="6" t="str">
        <f>IFERROR(__xludf.DUMMYFUNCTION("""COMPUTED_VALUE"""),"Batch 154")</f>
        <v>Batch 154</v>
      </c>
      <c r="B24" s="7" t="str">
        <f>IFERROR(__xludf.DUMMYFUNCTION("""COMPUTED_VALUE"""),"KKumarC54")</f>
        <v>KKumarC54</v>
      </c>
      <c r="C24" s="5">
        <f>IFERROR(__xludf.DUMMYFUNCTION("""COMPUTED_VALUE"""),116.0)</f>
        <v>116</v>
      </c>
      <c r="D24" s="8">
        <f>IFERROR(__xludf.DUMMYFUNCTION("""COMPUTED_VALUE"""),7.0)</f>
        <v>7</v>
      </c>
    </row>
    <row r="25">
      <c r="A25" s="6" t="str">
        <f>IFERROR(__xludf.DUMMYFUNCTION("""COMPUTED_VALUE"""),"Batch 154")</f>
        <v>Batch 154</v>
      </c>
      <c r="B25" s="7" t="str">
        <f>IFERROR(__xludf.DUMMYFUNCTION("""COMPUTED_VALUE"""),"PrathapEC54")</f>
        <v>PrathapEC54</v>
      </c>
      <c r="C25" s="5">
        <f>IFERROR(__xludf.DUMMYFUNCTION("""COMPUTED_VALUE"""),0.0)</f>
        <v>0</v>
      </c>
      <c r="D25" s="8">
        <f>IFERROR(__xludf.DUMMYFUNCTION("""COMPUTED_VALUE"""),0.0)</f>
        <v>0</v>
      </c>
    </row>
    <row r="26">
      <c r="A26" s="6" t="str">
        <f>IFERROR(__xludf.DUMMYFUNCTION("""COMPUTED_VALUE"""),"Batch 154")</f>
        <v>Batch 154</v>
      </c>
      <c r="B26" s="7" t="str">
        <f>IFERROR(__xludf.DUMMYFUNCTION("""COMPUTED_VALUE"""),"AnuC54")</f>
        <v>AnuC54</v>
      </c>
      <c r="C26" s="5">
        <f>IFERROR(__xludf.DUMMYFUNCTION("""COMPUTED_VALUE"""),0.0)</f>
        <v>0</v>
      </c>
      <c r="D26" s="8">
        <f>IFERROR(__xludf.DUMMYFUNCTION("""COMPUTED_VALUE"""),0.0)</f>
        <v>0</v>
      </c>
    </row>
    <row r="27">
      <c r="A27" s="6" t="str">
        <f>IFERROR(__xludf.DUMMYFUNCTION("""COMPUTED_VALUE"""),"Batch 154")</f>
        <v>Batch 154</v>
      </c>
      <c r="B27" s="7" t="str">
        <f>IFERROR(__xludf.DUMMYFUNCTION("""COMPUTED_VALUE"""),"NitinYC54")</f>
        <v>NitinYC54</v>
      </c>
      <c r="C27" s="5">
        <f>IFERROR(__xludf.DUMMYFUNCTION("""COMPUTED_VALUE"""),0.0)</f>
        <v>0</v>
      </c>
      <c r="D27" s="8">
        <f>IFERROR(__xludf.DUMMYFUNCTION("""COMPUTED_VALUE"""),0.0)</f>
        <v>0</v>
      </c>
    </row>
    <row r="28">
      <c r="A28" s="6" t="str">
        <f>IFERROR(__xludf.DUMMYFUNCTION("""COMPUTED_VALUE"""),"Batch 154")</f>
        <v>Batch 154</v>
      </c>
      <c r="B28" s="7" t="str">
        <f>IFERROR(__xludf.DUMMYFUNCTION("""COMPUTED_VALUE"""),"BhagyashriAC54")</f>
        <v>BhagyashriAC54</v>
      </c>
      <c r="C28" s="5">
        <f>IFERROR(__xludf.DUMMYFUNCTION("""COMPUTED_VALUE"""),0.0)</f>
        <v>0</v>
      </c>
      <c r="D28" s="8">
        <f>IFERROR(__xludf.DUMMYFUNCTION("""COMPUTED_VALUE"""),0.0)</f>
        <v>0</v>
      </c>
    </row>
    <row r="29">
      <c r="A29" s="6" t="str">
        <f>IFERROR(__xludf.DUMMYFUNCTION("""COMPUTED_VALUE"""),"Batch 154")</f>
        <v>Batch 154</v>
      </c>
      <c r="B29" s="7" t="str">
        <f>IFERROR(__xludf.DUMMYFUNCTION("""COMPUTED_VALUE"""),"BikashBC54")</f>
        <v>BikashBC54</v>
      </c>
      <c r="C29" s="5">
        <f>IFERROR(__xludf.DUMMYFUNCTION("""COMPUTED_VALUE"""),0.0)</f>
        <v>0</v>
      </c>
      <c r="D29" s="8">
        <f>IFERROR(__xludf.DUMMYFUNCTION("""COMPUTED_VALUE"""),0.0)</f>
        <v>0</v>
      </c>
    </row>
    <row r="30">
      <c r="A30" s="6" t="str">
        <f>IFERROR(__xludf.DUMMYFUNCTION("""COMPUTED_VALUE"""),"Batch 154")</f>
        <v>Batch 154</v>
      </c>
      <c r="B30" s="7" t="str">
        <f>IFERROR(__xludf.DUMMYFUNCTION("""COMPUTED_VALUE"""),"AashiAC54")</f>
        <v>AashiAC54</v>
      </c>
      <c r="C30" s="5">
        <f>IFERROR(__xludf.DUMMYFUNCTION("""COMPUTED_VALUE"""),0.0)</f>
        <v>0</v>
      </c>
      <c r="D30" s="8">
        <f>IFERROR(__xludf.DUMMYFUNCTION("""COMPUTED_VALUE"""),0.0)</f>
        <v>0</v>
      </c>
    </row>
    <row r="31">
      <c r="A31" s="6" t="str">
        <f>IFERROR(__xludf.DUMMYFUNCTION("""COMPUTED_VALUE"""),"Batch 154")</f>
        <v>Batch 154</v>
      </c>
      <c r="B31" s="7" t="str">
        <f>IFERROR(__xludf.DUMMYFUNCTION("""COMPUTED_VALUE"""),"MervinMC54")</f>
        <v>MervinMC54</v>
      </c>
      <c r="C31" s="5">
        <f>IFERROR(__xludf.DUMMYFUNCTION("""COMPUTED_VALUE"""),0.0)</f>
        <v>0</v>
      </c>
      <c r="D31" s="8">
        <f>IFERROR(__xludf.DUMMYFUNCTION("""COMPUTED_VALUE"""),0.0)</f>
        <v>0</v>
      </c>
    </row>
    <row r="32">
      <c r="A32" s="6" t="str">
        <f>IFERROR(__xludf.DUMMYFUNCTION("""COMPUTED_VALUE"""),"Batch 154")</f>
        <v>Batch 154</v>
      </c>
      <c r="B32" s="7" t="str">
        <f>IFERROR(__xludf.DUMMYFUNCTION("""COMPUTED_VALUE"""),"DivyanshSC54")</f>
        <v>DivyanshSC54</v>
      </c>
      <c r="C32" s="5">
        <f>IFERROR(__xludf.DUMMYFUNCTION("""COMPUTED_VALUE"""),0.0)</f>
        <v>0</v>
      </c>
      <c r="D32" s="8">
        <f>IFERROR(__xludf.DUMMYFUNCTION("""COMPUTED_VALUE"""),0.0)</f>
        <v>0</v>
      </c>
    </row>
    <row r="33">
      <c r="A33" s="6" t="str">
        <f>IFERROR(__xludf.DUMMYFUNCTION("""COMPUTED_VALUE"""),"Batch 154")</f>
        <v>Batch 154</v>
      </c>
      <c r="B33" s="7" t="str">
        <f>IFERROR(__xludf.DUMMYFUNCTION("""COMPUTED_VALUE"""),"PrasannakumarC54")</f>
        <v>PrasannakumarC54</v>
      </c>
      <c r="C33" s="5">
        <f>IFERROR(__xludf.DUMMYFUNCTION("""COMPUTED_VALUE"""),0.0)</f>
        <v>0</v>
      </c>
      <c r="D33" s="8">
        <f>IFERROR(__xludf.DUMMYFUNCTION("""COMPUTED_VALUE"""),0.0)</f>
        <v>0</v>
      </c>
    </row>
    <row r="34">
      <c r="A34" s="6" t="str">
        <f>IFERROR(__xludf.DUMMYFUNCTION("""COMPUTED_VALUE"""),"Batch 154")</f>
        <v>Batch 154</v>
      </c>
      <c r="B34" s="7" t="str">
        <f>IFERROR(__xludf.DUMMYFUNCTION("""COMPUTED_VALUE"""),"KAVINYAM.CC54")</f>
        <v>KAVINYAM.CC54</v>
      </c>
      <c r="C34" s="5">
        <f>IFERROR(__xludf.DUMMYFUNCTION("""COMPUTED_VALUE"""),2.0)</f>
        <v>2</v>
      </c>
      <c r="D34" s="8">
        <f>IFERROR(__xludf.DUMMYFUNCTION("""COMPUTED_VALUE"""),2.0)</f>
        <v>2</v>
      </c>
    </row>
    <row r="35">
      <c r="A35" s="6" t="str">
        <f>IFERROR(__xludf.DUMMYFUNCTION("""COMPUTED_VALUE"""),"Batch 154")</f>
        <v>Batch 154</v>
      </c>
      <c r="B35" s="7" t="str">
        <f>IFERROR(__xludf.DUMMYFUNCTION("""COMPUTED_VALUE"""),"Vignesh.MC54")</f>
        <v>Vignesh.MC54</v>
      </c>
      <c r="C35" s="5">
        <f>IFERROR(__xludf.DUMMYFUNCTION("""COMPUTED_VALUE"""),0.0)</f>
        <v>0</v>
      </c>
      <c r="D35" s="8">
        <f>IFERROR(__xludf.DUMMYFUNCTION("""COMPUTED_VALUE"""),0.0)</f>
        <v>0</v>
      </c>
    </row>
    <row r="36">
      <c r="A36" s="6" t="str">
        <f>IFERROR(__xludf.DUMMYFUNCTION("""COMPUTED_VALUE"""),"Batch 154")</f>
        <v>Batch 154</v>
      </c>
      <c r="B36" s="7" t="str">
        <f>IFERROR(__xludf.DUMMYFUNCTION("""COMPUTED_VALUE"""),"BanikaC54")</f>
        <v>BanikaC54</v>
      </c>
      <c r="C36" s="5">
        <f>IFERROR(__xludf.DUMMYFUNCTION("""COMPUTED_VALUE"""),0.0)</f>
        <v>0</v>
      </c>
      <c r="D36" s="8">
        <f>IFERROR(__xludf.DUMMYFUNCTION("""COMPUTED_VALUE"""),0.0)</f>
        <v>0</v>
      </c>
    </row>
    <row r="37">
      <c r="A37" s="6" t="str">
        <f>IFERROR(__xludf.DUMMYFUNCTION("""COMPUTED_VALUE"""),"Batch 154")</f>
        <v>Batch 154</v>
      </c>
      <c r="B37" s="7" t="str">
        <f>IFERROR(__xludf.DUMMYFUNCTION("""COMPUTED_VALUE"""),"NITINC54")</f>
        <v>NITINC54</v>
      </c>
      <c r="C37" s="5">
        <f>IFERROR(__xludf.DUMMYFUNCTION("""COMPUTED_VALUE"""),0.0)</f>
        <v>0</v>
      </c>
      <c r="D37" s="8">
        <f>IFERROR(__xludf.DUMMYFUNCTION("""COMPUTED_VALUE"""),0.0)</f>
        <v>0</v>
      </c>
    </row>
    <row r="38">
      <c r="A38" s="6" t="str">
        <f>IFERROR(__xludf.DUMMYFUNCTION("""COMPUTED_VALUE"""),"Batch 154")</f>
        <v>Batch 154</v>
      </c>
      <c r="B38" s="7" t="str">
        <f>IFERROR(__xludf.DUMMYFUNCTION("""COMPUTED_VALUE"""),"ShyamalenduNC54")</f>
        <v>ShyamalenduNC54</v>
      </c>
      <c r="C38" s="5">
        <f>IFERROR(__xludf.DUMMYFUNCTION("""COMPUTED_VALUE"""),0.0)</f>
        <v>0</v>
      </c>
      <c r="D38" s="8">
        <f>IFERROR(__xludf.DUMMYFUNCTION("""COMPUTED_VALUE"""),0.0)</f>
        <v>0</v>
      </c>
    </row>
    <row r="39">
      <c r="A39" s="6" t="str">
        <f>IFERROR(__xludf.DUMMYFUNCTION("""COMPUTED_VALUE"""),"Batch 154")</f>
        <v>Batch 154</v>
      </c>
      <c r="B39" s="7" t="str">
        <f>IFERROR(__xludf.DUMMYFUNCTION("""COMPUTED_VALUE"""),"SameerDC54")</f>
        <v>SameerDC54</v>
      </c>
      <c r="C39" s="5">
        <f>IFERROR(__xludf.DUMMYFUNCTION("""COMPUTED_VALUE"""),0.0)</f>
        <v>0</v>
      </c>
      <c r="D39" s="8">
        <f>IFERROR(__xludf.DUMMYFUNCTION("""COMPUTED_VALUE"""),0.0)</f>
        <v>0</v>
      </c>
    </row>
    <row r="40">
      <c r="A40" s="6" t="str">
        <f>IFERROR(__xludf.DUMMYFUNCTION("""COMPUTED_VALUE"""),"Batch 154")</f>
        <v>Batch 154</v>
      </c>
      <c r="B40" s="7" t="str">
        <f>IFERROR(__xludf.DUMMYFUNCTION("""COMPUTED_VALUE"""),"NithishRC54")</f>
        <v>NithishRC54</v>
      </c>
      <c r="C40" s="5">
        <f>IFERROR(__xludf.DUMMYFUNCTION("""COMPUTED_VALUE"""),0.0)</f>
        <v>0</v>
      </c>
      <c r="D40" s="8">
        <f>IFERROR(__xludf.DUMMYFUNCTION("""COMPUTED_VALUE"""),0.0)</f>
        <v>0</v>
      </c>
    </row>
    <row r="41">
      <c r="A41" s="6" t="str">
        <f>IFERROR(__xludf.DUMMYFUNCTION("""COMPUTED_VALUE"""),"Batch 154")</f>
        <v>Batch 154</v>
      </c>
      <c r="B41" s="7" t="str">
        <f>IFERROR(__xludf.DUMMYFUNCTION("""COMPUTED_VALUE"""),"RomanikaEC54")</f>
        <v>RomanikaEC54</v>
      </c>
      <c r="C41" s="5">
        <f>IFERROR(__xludf.DUMMYFUNCTION("""COMPUTED_VALUE"""),0.0)</f>
        <v>0</v>
      </c>
      <c r="D41" s="8">
        <f>IFERROR(__xludf.DUMMYFUNCTION("""COMPUTED_VALUE"""),0.0)</f>
        <v>0</v>
      </c>
    </row>
    <row r="42">
      <c r="A42" s="6" t="str">
        <f>IFERROR(__xludf.DUMMYFUNCTION("""COMPUTED_VALUE"""),"Batch 154")</f>
        <v>Batch 154</v>
      </c>
      <c r="B42" s="7" t="str">
        <f>IFERROR(__xludf.DUMMYFUNCTION("""COMPUTED_VALUE"""),"SowmiyaC54")</f>
        <v>SowmiyaC54</v>
      </c>
      <c r="C42" s="5">
        <f>IFERROR(__xludf.DUMMYFUNCTION("""COMPUTED_VALUE"""),0.0)</f>
        <v>0</v>
      </c>
      <c r="D42" s="8">
        <f>IFERROR(__xludf.DUMMYFUNCTION("""COMPUTED_VALUE"""),0.0)</f>
        <v>0</v>
      </c>
    </row>
    <row r="43">
      <c r="A43" s="6" t="str">
        <f>IFERROR(__xludf.DUMMYFUNCTION("""COMPUTED_VALUE"""),"Batch 154")</f>
        <v>Batch 154</v>
      </c>
      <c r="B43" s="7" t="str">
        <f>IFERROR(__xludf.DUMMYFUNCTION("""COMPUTED_VALUE"""),"Pooja.NC54")</f>
        <v>Pooja.NC54</v>
      </c>
      <c r="C43" s="5">
        <f>IFERROR(__xludf.DUMMYFUNCTION("""COMPUTED_VALUE"""),0.0)</f>
        <v>0</v>
      </c>
      <c r="D43" s="8">
        <f>IFERROR(__xludf.DUMMYFUNCTION("""COMPUTED_VALUE"""),0.0)</f>
        <v>0</v>
      </c>
    </row>
    <row r="44">
      <c r="A44" s="6" t="str">
        <f>IFERROR(__xludf.DUMMYFUNCTION("""COMPUTED_VALUE"""),"Batch 154")</f>
        <v>Batch 154</v>
      </c>
      <c r="B44" s="7" t="str">
        <f>IFERROR(__xludf.DUMMYFUNCTION("""COMPUTED_VALUE"""),"SavitriPC54")</f>
        <v>SavitriPC54</v>
      </c>
      <c r="C44" s="5">
        <f>IFERROR(__xludf.DUMMYFUNCTION("""COMPUTED_VALUE"""),0.0)</f>
        <v>0</v>
      </c>
      <c r="D44" s="8">
        <f>IFERROR(__xludf.DUMMYFUNCTION("""COMPUTED_VALUE"""),0.0)</f>
        <v>0</v>
      </c>
    </row>
    <row r="45">
      <c r="A45" s="6" t="str">
        <f>IFERROR(__xludf.DUMMYFUNCTION("""COMPUTED_VALUE"""),"Batch 154")</f>
        <v>Batch 154</v>
      </c>
      <c r="B45" s="7" t="str">
        <f>IFERROR(__xludf.DUMMYFUNCTION("""COMPUTED_VALUE"""),"NidhiBC54")</f>
        <v>NidhiBC54</v>
      </c>
      <c r="C45" s="5">
        <f>IFERROR(__xludf.DUMMYFUNCTION("""COMPUTED_VALUE"""),1.0)</f>
        <v>1</v>
      </c>
      <c r="D45" s="8">
        <f>IFERROR(__xludf.DUMMYFUNCTION("""COMPUTED_VALUE"""),0.0)</f>
        <v>0</v>
      </c>
    </row>
    <row r="46">
      <c r="A46" s="6" t="str">
        <f>IFERROR(__xludf.DUMMYFUNCTION("""COMPUTED_VALUE"""),"Batch 154")</f>
        <v>Batch 154</v>
      </c>
      <c r="B46" s="7" t="str">
        <f>IFERROR(__xludf.DUMMYFUNCTION("""COMPUTED_VALUE"""),"DhruvYC54")</f>
        <v>DhruvYC54</v>
      </c>
      <c r="C46" s="5">
        <f>IFERROR(__xludf.DUMMYFUNCTION("""COMPUTED_VALUE"""),3.0)</f>
        <v>3</v>
      </c>
      <c r="D46" s="8">
        <f>IFERROR(__xludf.DUMMYFUNCTION("""COMPUTED_VALUE"""),0.0)</f>
        <v>0</v>
      </c>
    </row>
    <row r="47">
      <c r="A47" s="6" t="str">
        <f>IFERROR(__xludf.DUMMYFUNCTION("""COMPUTED_VALUE"""),"Batch 154")</f>
        <v>Batch 154</v>
      </c>
      <c r="B47" s="7" t="str">
        <f>IFERROR(__xludf.DUMMYFUNCTION("""COMPUTED_VALUE"""),"SelvaLC54")</f>
        <v>SelvaLC54</v>
      </c>
      <c r="C47" s="5">
        <f>IFERROR(__xludf.DUMMYFUNCTION("""COMPUTED_VALUE"""),0.0)</f>
        <v>0</v>
      </c>
      <c r="D47" s="8">
        <f>IFERROR(__xludf.DUMMYFUNCTION("""COMPUTED_VALUE"""),0.0)</f>
        <v>0</v>
      </c>
    </row>
    <row r="48">
      <c r="A48" s="6" t="str">
        <f>IFERROR(__xludf.DUMMYFUNCTION("""COMPUTED_VALUE"""),"Batch 154")</f>
        <v>Batch 154</v>
      </c>
      <c r="B48" s="7" t="str">
        <f>IFERROR(__xludf.DUMMYFUNCTION("""COMPUTED_VALUE"""),"Avandhika.C54")</f>
        <v>Avandhika.C54</v>
      </c>
      <c r="C48" s="5">
        <f>IFERROR(__xludf.DUMMYFUNCTION("""COMPUTED_VALUE"""),0.0)</f>
        <v>0</v>
      </c>
      <c r="D48" s="8">
        <f>IFERROR(__xludf.DUMMYFUNCTION("""COMPUTED_VALUE"""),0.0)</f>
        <v>0</v>
      </c>
      <c r="E48" s="8">
        <v>0.0</v>
      </c>
    </row>
    <row r="49">
      <c r="A49" s="6" t="str">
        <f>IFERROR(__xludf.DUMMYFUNCTION("""COMPUTED_VALUE"""),"Batch 154")</f>
        <v>Batch 154</v>
      </c>
      <c r="B49" s="7" t="str">
        <f>IFERROR(__xludf.DUMMYFUNCTION("""COMPUTED_VALUE"""),"SumanKC54")</f>
        <v>SumanKC54</v>
      </c>
      <c r="C49" s="5">
        <f>IFERROR(__xludf.DUMMYFUNCTION("""COMPUTED_VALUE"""),0.0)</f>
        <v>0</v>
      </c>
      <c r="D49" s="8">
        <f>IFERROR(__xludf.DUMMYFUNCTION("""COMPUTED_VALUE"""),0.0)</f>
        <v>0</v>
      </c>
    </row>
    <row r="50">
      <c r="A50" s="6" t="str">
        <f>IFERROR(__xludf.DUMMYFUNCTION("""COMPUTED_VALUE"""),"Batch 154")</f>
        <v>Batch 154</v>
      </c>
      <c r="B50" s="7" t="str">
        <f>IFERROR(__xludf.DUMMYFUNCTION("""COMPUTED_VALUE"""),"PADALASC54")</f>
        <v>PADALASC54</v>
      </c>
      <c r="C50" s="5">
        <f>IFERROR(__xludf.DUMMYFUNCTION("""COMPUTED_VALUE"""),0.0)</f>
        <v>0</v>
      </c>
      <c r="D50" s="8">
        <f>IFERROR(__xludf.DUMMYFUNCTION("""COMPUTED_VALUE"""),0.0)</f>
        <v>0</v>
      </c>
    </row>
    <row r="51">
      <c r="A51" s="6" t="str">
        <f>IFERROR(__xludf.DUMMYFUNCTION("""COMPUTED_VALUE"""),"Batch 154")</f>
        <v>Batch 154</v>
      </c>
      <c r="B51" s="7" t="str">
        <f>IFERROR(__xludf.DUMMYFUNCTION("""COMPUTED_VALUE"""),"AyushSC54")</f>
        <v>AyushSC54</v>
      </c>
      <c r="C51" s="5">
        <f>IFERROR(__xludf.DUMMYFUNCTION("""COMPUTED_VALUE"""),0.0)</f>
        <v>0</v>
      </c>
      <c r="D51" s="8">
        <f>IFERROR(__xludf.DUMMYFUNCTION("""COMPUTED_VALUE"""),0.0)</f>
        <v>0</v>
      </c>
    </row>
    <row r="52">
      <c r="A52" s="6" t="str">
        <f>IFERROR(__xludf.DUMMYFUNCTION("""COMPUTED_VALUE"""),"Batch 154")</f>
        <v>Batch 154</v>
      </c>
      <c r="B52" s="7" t="str">
        <f>IFERROR(__xludf.DUMMYFUNCTION("""COMPUTED_VALUE"""),"SiddanthRC54")</f>
        <v>SiddanthRC54</v>
      </c>
      <c r="C52" s="5">
        <f>IFERROR(__xludf.DUMMYFUNCTION("""COMPUTED_VALUE"""),1.0)</f>
        <v>1</v>
      </c>
      <c r="D52" s="8">
        <f>IFERROR(__xludf.DUMMYFUNCTION("""COMPUTED_VALUE"""),0.0)</f>
        <v>0</v>
      </c>
    </row>
    <row r="53">
      <c r="A53" s="9"/>
      <c r="B53" s="7"/>
      <c r="C53" s="8">
        <f>IFERROR(__xludf.DUMMYFUNCTION("""COMPUTED_VALUE"""),0.0)</f>
        <v>0</v>
      </c>
      <c r="D53" s="8"/>
    </row>
    <row r="54">
      <c r="A54" s="6" t="str">
        <f>IFERROR(__xludf.DUMMYFUNCTION("""COMPUTED_VALUE"""),"Batch 155")</f>
        <v>Batch 155</v>
      </c>
      <c r="B54" s="7" t="str">
        <f>IFERROR(__xludf.DUMMYFUNCTION("""COMPUTED_VALUE"""),"Pradeep.PC55")</f>
        <v>Pradeep.PC55</v>
      </c>
      <c r="C54" s="8">
        <f>IFERROR(__xludf.DUMMYFUNCTION("""COMPUTED_VALUE"""),0.0)</f>
        <v>0</v>
      </c>
      <c r="D54" s="8">
        <f>IFERROR(__xludf.DUMMYFUNCTION("""COMPUTED_VALUE"""),0.0)</f>
        <v>0</v>
      </c>
    </row>
    <row r="55">
      <c r="A55" s="6" t="str">
        <f>IFERROR(__xludf.DUMMYFUNCTION("""COMPUTED_VALUE"""),"Batch 155")</f>
        <v>Batch 155</v>
      </c>
      <c r="B55" s="7" t="str">
        <f>IFERROR(__xludf.DUMMYFUNCTION("""COMPUTED_VALUE"""),"SandeepC55")</f>
        <v>SandeepC55</v>
      </c>
      <c r="C55" s="8">
        <f>IFERROR(__xludf.DUMMYFUNCTION("""COMPUTED_VALUE"""),0.0)</f>
        <v>0</v>
      </c>
      <c r="D55" s="8">
        <f>IFERROR(__xludf.DUMMYFUNCTION("""COMPUTED_VALUE"""),0.0)</f>
        <v>0</v>
      </c>
    </row>
    <row r="56">
      <c r="A56" s="6" t="str">
        <f>IFERROR(__xludf.DUMMYFUNCTION("""COMPUTED_VALUE"""),"Batch 155")</f>
        <v>Batch 155</v>
      </c>
      <c r="B56" s="7" t="str">
        <f>IFERROR(__xludf.DUMMYFUNCTION("""COMPUTED_VALUE"""),"HIMANSHUC55")</f>
        <v>HIMANSHUC55</v>
      </c>
      <c r="C56" s="8">
        <f>IFERROR(__xludf.DUMMYFUNCTION("""COMPUTED_VALUE"""),0.0)</f>
        <v>0</v>
      </c>
      <c r="D56" s="8">
        <f>IFERROR(__xludf.DUMMYFUNCTION("""COMPUTED_VALUE"""),0.0)</f>
        <v>0</v>
      </c>
    </row>
    <row r="57">
      <c r="A57" s="6" t="str">
        <f>IFERROR(__xludf.DUMMYFUNCTION("""COMPUTED_VALUE"""),"Batch 155")</f>
        <v>Batch 155</v>
      </c>
      <c r="B57" s="7" t="str">
        <f>IFERROR(__xludf.DUMMYFUNCTION("""COMPUTED_VALUE"""),"HimangshuRC55")</f>
        <v>HimangshuRC55</v>
      </c>
      <c r="C57" s="8">
        <f>IFERROR(__xludf.DUMMYFUNCTION("""COMPUTED_VALUE"""),0.0)</f>
        <v>0</v>
      </c>
      <c r="D57" s="8">
        <f>IFERROR(__xludf.DUMMYFUNCTION("""COMPUTED_VALUE"""),0.0)</f>
        <v>0</v>
      </c>
    </row>
    <row r="58">
      <c r="A58" s="6" t="str">
        <f>IFERROR(__xludf.DUMMYFUNCTION("""COMPUTED_VALUE"""),"Batch 155")</f>
        <v>Batch 155</v>
      </c>
      <c r="B58" s="7" t="str">
        <f>IFERROR(__xludf.DUMMYFUNCTION("""COMPUTED_VALUE"""),"CC55")</f>
        <v>CC55</v>
      </c>
      <c r="C58" s="8">
        <f>IFERROR(__xludf.DUMMYFUNCTION("""COMPUTED_VALUE"""),0.0)</f>
        <v>0</v>
      </c>
      <c r="D58" s="8">
        <f>IFERROR(__xludf.DUMMYFUNCTION("""COMPUTED_VALUE"""),0.0)</f>
        <v>0</v>
      </c>
    </row>
    <row r="59">
      <c r="A59" s="6" t="str">
        <f>IFERROR(__xludf.DUMMYFUNCTION("""COMPUTED_VALUE"""),"Batch 155")</f>
        <v>Batch 155</v>
      </c>
      <c r="B59" s="7" t="str">
        <f>IFERROR(__xludf.DUMMYFUNCTION("""COMPUTED_VALUE"""),"AyushC55")</f>
        <v>AyushC55</v>
      </c>
      <c r="C59" s="8">
        <f>IFERROR(__xludf.DUMMYFUNCTION("""COMPUTED_VALUE"""),0.0)</f>
        <v>0</v>
      </c>
      <c r="D59" s="8">
        <f>IFERROR(__xludf.DUMMYFUNCTION("""COMPUTED_VALUE"""),0.0)</f>
        <v>0</v>
      </c>
    </row>
    <row r="60">
      <c r="A60" s="6" t="str">
        <f>IFERROR(__xludf.DUMMYFUNCTION("""COMPUTED_VALUE"""),"Batch 155")</f>
        <v>Batch 155</v>
      </c>
      <c r="B60" s="7" t="str">
        <f>IFERROR(__xludf.DUMMYFUNCTION("""COMPUTED_VALUE"""),"RituC55")</f>
        <v>RituC55</v>
      </c>
      <c r="C60" s="8">
        <f>IFERROR(__xludf.DUMMYFUNCTION("""COMPUTED_VALUE"""),0.0)</f>
        <v>0</v>
      </c>
      <c r="D60" s="8">
        <f>IFERROR(__xludf.DUMMYFUNCTION("""COMPUTED_VALUE"""),0.0)</f>
        <v>0</v>
      </c>
    </row>
    <row r="61">
      <c r="A61" s="6" t="str">
        <f>IFERROR(__xludf.DUMMYFUNCTION("""COMPUTED_VALUE"""),"Batch 155")</f>
        <v>Batch 155</v>
      </c>
      <c r="B61" s="7" t="str">
        <f>IFERROR(__xludf.DUMMYFUNCTION("""COMPUTED_VALUE"""),"Kameshkumar.C55")</f>
        <v>Kameshkumar.C55</v>
      </c>
      <c r="C61" s="8">
        <f>IFERROR(__xludf.DUMMYFUNCTION("""COMPUTED_VALUE"""),0.0)</f>
        <v>0</v>
      </c>
      <c r="D61" s="8">
        <f>IFERROR(__xludf.DUMMYFUNCTION("""COMPUTED_VALUE"""),0.0)</f>
        <v>0</v>
      </c>
    </row>
    <row r="62">
      <c r="A62" s="6" t="str">
        <f>IFERROR(__xludf.DUMMYFUNCTION("""COMPUTED_VALUE"""),"Batch 155")</f>
        <v>Batch 155</v>
      </c>
      <c r="B62" s="7" t="str">
        <f>IFERROR(__xludf.DUMMYFUNCTION("""COMPUTED_VALUE"""),"G.N.VenkatC55")</f>
        <v>G.N.VenkatC55</v>
      </c>
      <c r="C62" s="8">
        <f>IFERROR(__xludf.DUMMYFUNCTION("""COMPUTED_VALUE"""),0.0)</f>
        <v>0</v>
      </c>
      <c r="D62" s="8">
        <f>IFERROR(__xludf.DUMMYFUNCTION("""COMPUTED_VALUE"""),0.0)</f>
        <v>0</v>
      </c>
    </row>
    <row r="63">
      <c r="A63" s="6" t="str">
        <f>IFERROR(__xludf.DUMMYFUNCTION("""COMPUTED_VALUE"""),"Batch 155")</f>
        <v>Batch 155</v>
      </c>
      <c r="B63" s="7" t="str">
        <f>IFERROR(__xludf.DUMMYFUNCTION("""COMPUTED_VALUE"""),"AkashC55")</f>
        <v>AkashC55</v>
      </c>
      <c r="C63" s="8">
        <f>IFERROR(__xludf.DUMMYFUNCTION("""COMPUTED_VALUE"""),5.0)</f>
        <v>5</v>
      </c>
      <c r="D63" s="8">
        <f>IFERROR(__xludf.DUMMYFUNCTION("""COMPUTED_VALUE"""),0.0)</f>
        <v>0</v>
      </c>
    </row>
    <row r="64">
      <c r="A64" s="6" t="str">
        <f>IFERROR(__xludf.DUMMYFUNCTION("""COMPUTED_VALUE"""),"Batch 155")</f>
        <v>Batch 155</v>
      </c>
      <c r="B64" s="7" t="str">
        <f>IFERROR(__xludf.DUMMYFUNCTION("""COMPUTED_VALUE"""),"DurgadeviC55")</f>
        <v>DurgadeviC55</v>
      </c>
      <c r="C64" s="8">
        <f>IFERROR(__xludf.DUMMYFUNCTION("""COMPUTED_VALUE"""),0.0)</f>
        <v>0</v>
      </c>
      <c r="D64" s="8">
        <f>IFERROR(__xludf.DUMMYFUNCTION("""COMPUTED_VALUE"""),0.0)</f>
        <v>0</v>
      </c>
    </row>
    <row r="65">
      <c r="A65" s="6" t="str">
        <f>IFERROR(__xludf.DUMMYFUNCTION("""COMPUTED_VALUE"""),"Batch 155")</f>
        <v>Batch 155</v>
      </c>
      <c r="B65" s="7" t="str">
        <f>IFERROR(__xludf.DUMMYFUNCTION("""COMPUTED_VALUE"""),"HimanshuC55")</f>
        <v>HimanshuC55</v>
      </c>
      <c r="C65" s="8">
        <f>IFERROR(__xludf.DUMMYFUNCTION("""COMPUTED_VALUE"""),0.0)</f>
        <v>0</v>
      </c>
      <c r="D65" s="8">
        <f>IFERROR(__xludf.DUMMYFUNCTION("""COMPUTED_VALUE"""),0.0)</f>
        <v>0</v>
      </c>
    </row>
    <row r="66">
      <c r="A66" s="6" t="str">
        <f>IFERROR(__xludf.DUMMYFUNCTION("""COMPUTED_VALUE"""),"Batch 155")</f>
        <v>Batch 155</v>
      </c>
      <c r="B66" s="7" t="str">
        <f>IFERROR(__xludf.DUMMYFUNCTION("""COMPUTED_VALUE"""),"NITINC55")</f>
        <v>NITINC55</v>
      </c>
      <c r="C66" s="8">
        <f>IFERROR(__xludf.DUMMYFUNCTION("""COMPUTED_VALUE"""),0.0)</f>
        <v>0</v>
      </c>
      <c r="D66" s="8">
        <f>IFERROR(__xludf.DUMMYFUNCTION("""COMPUTED_VALUE"""),0.0)</f>
        <v>0</v>
      </c>
    </row>
    <row r="67">
      <c r="A67" s="6" t="str">
        <f>IFERROR(__xludf.DUMMYFUNCTION("""COMPUTED_VALUE"""),"Batch 155")</f>
        <v>Batch 155</v>
      </c>
      <c r="B67" s="7" t="str">
        <f>IFERROR(__xludf.DUMMYFUNCTION("""COMPUTED_VALUE"""),"R.SaranyaC55")</f>
        <v>R.SaranyaC55</v>
      </c>
      <c r="C67" s="8">
        <f>IFERROR(__xludf.DUMMYFUNCTION("""COMPUTED_VALUE"""),0.0)</f>
        <v>0</v>
      </c>
      <c r="D67" s="8">
        <f>IFERROR(__xludf.DUMMYFUNCTION("""COMPUTED_VALUE"""),0.0)</f>
        <v>0</v>
      </c>
    </row>
    <row r="68">
      <c r="A68" s="6" t="str">
        <f>IFERROR(__xludf.DUMMYFUNCTION("""COMPUTED_VALUE"""),"Batch 155")</f>
        <v>Batch 155</v>
      </c>
      <c r="B68" s="7" t="str">
        <f>IFERROR(__xludf.DUMMYFUNCTION("""COMPUTED_VALUE"""),"AasifC55")</f>
        <v>AasifC55</v>
      </c>
      <c r="C68" s="8">
        <f>IFERROR(__xludf.DUMMYFUNCTION("""COMPUTED_VALUE"""),0.0)</f>
        <v>0</v>
      </c>
      <c r="D68" s="8">
        <f>IFERROR(__xludf.DUMMYFUNCTION("""COMPUTED_VALUE"""),0.0)</f>
        <v>0</v>
      </c>
    </row>
    <row r="69">
      <c r="A69" s="6" t="str">
        <f>IFERROR(__xludf.DUMMYFUNCTION("""COMPUTED_VALUE"""),"Batch 155")</f>
        <v>Batch 155</v>
      </c>
      <c r="B69" s="7" t="str">
        <f>IFERROR(__xludf.DUMMYFUNCTION("""COMPUTED_VALUE"""),"HarikrishnanC55")</f>
        <v>HarikrishnanC55</v>
      </c>
      <c r="C69" s="8">
        <f>IFERROR(__xludf.DUMMYFUNCTION("""COMPUTED_VALUE"""),0.0)</f>
        <v>0</v>
      </c>
      <c r="D69" s="8">
        <f>IFERROR(__xludf.DUMMYFUNCTION("""COMPUTED_VALUE"""),0.0)</f>
        <v>0</v>
      </c>
    </row>
    <row r="70">
      <c r="A70" s="6" t="str">
        <f>IFERROR(__xludf.DUMMYFUNCTION("""COMPUTED_VALUE"""),"Batch 155")</f>
        <v>Batch 155</v>
      </c>
      <c r="B70" s="7" t="str">
        <f>IFERROR(__xludf.DUMMYFUNCTION("""COMPUTED_VALUE"""),"HetC55")</f>
        <v>HetC55</v>
      </c>
      <c r="C70" s="8">
        <f>IFERROR(__xludf.DUMMYFUNCTION("""COMPUTED_VALUE"""),0.0)</f>
        <v>0</v>
      </c>
      <c r="D70" s="8">
        <f>IFERROR(__xludf.DUMMYFUNCTION("""COMPUTED_VALUE"""),0.0)</f>
        <v>0</v>
      </c>
    </row>
    <row r="71">
      <c r="A71" s="6" t="str">
        <f>IFERROR(__xludf.DUMMYFUNCTION("""COMPUTED_VALUE"""),"Batch 155")</f>
        <v>Batch 155</v>
      </c>
      <c r="B71" s="7" t="str">
        <f>IFERROR(__xludf.DUMMYFUNCTION("""COMPUTED_VALUE"""),"MonarkC55")</f>
        <v>MonarkC55</v>
      </c>
      <c r="C71" s="8">
        <f>IFERROR(__xludf.DUMMYFUNCTION("""COMPUTED_VALUE"""),0.0)</f>
        <v>0</v>
      </c>
      <c r="D71" s="8">
        <f>IFERROR(__xludf.DUMMYFUNCTION("""COMPUTED_VALUE"""),0.0)</f>
        <v>0</v>
      </c>
    </row>
    <row r="72">
      <c r="A72" s="6" t="str">
        <f>IFERROR(__xludf.DUMMYFUNCTION("""COMPUTED_VALUE"""),"Batch 155")</f>
        <v>Batch 155</v>
      </c>
      <c r="B72" s="7" t="str">
        <f>IFERROR(__xludf.DUMMYFUNCTION("""COMPUTED_VALUE"""),"SriC55")</f>
        <v>SriC55</v>
      </c>
      <c r="C72" s="8">
        <f>IFERROR(__xludf.DUMMYFUNCTION("""COMPUTED_VALUE"""),0.0)</f>
        <v>0</v>
      </c>
      <c r="D72" s="8">
        <f>IFERROR(__xludf.DUMMYFUNCTION("""COMPUTED_VALUE"""),0.0)</f>
        <v>0</v>
      </c>
    </row>
    <row r="73">
      <c r="A73" s="6" t="str">
        <f>IFERROR(__xludf.DUMMYFUNCTION("""COMPUTED_VALUE"""),"Batch 155")</f>
        <v>Batch 155</v>
      </c>
      <c r="B73" s="7" t="str">
        <f>IFERROR(__xludf.DUMMYFUNCTION("""COMPUTED_VALUE"""),"RajakumarC55")</f>
        <v>RajakumarC55</v>
      </c>
      <c r="C73" s="8">
        <f>IFERROR(__xludf.DUMMYFUNCTION("""COMPUTED_VALUE"""),0.0)</f>
        <v>0</v>
      </c>
      <c r="D73" s="8">
        <f>IFERROR(__xludf.DUMMYFUNCTION("""COMPUTED_VALUE"""),0.0)</f>
        <v>0</v>
      </c>
    </row>
    <row r="74">
      <c r="A74" s="6" t="str">
        <f>IFERROR(__xludf.DUMMYFUNCTION("""COMPUTED_VALUE"""),"Batch 155")</f>
        <v>Batch 155</v>
      </c>
      <c r="B74" s="7" t="str">
        <f>IFERROR(__xludf.DUMMYFUNCTION("""COMPUTED_VALUE"""),"CSelvam55")</f>
        <v>CSelvam55</v>
      </c>
      <c r="C74" s="8">
        <f>IFERROR(__xludf.DUMMYFUNCTION("""COMPUTED_VALUE"""),0.0)</f>
        <v>0</v>
      </c>
      <c r="D74" s="8">
        <f>IFERROR(__xludf.DUMMYFUNCTION("""COMPUTED_VALUE"""),0.0)</f>
        <v>0</v>
      </c>
    </row>
    <row r="75">
      <c r="A75" s="6" t="str">
        <f>IFERROR(__xludf.DUMMYFUNCTION("""COMPUTED_VALUE"""),"Batch 155")</f>
        <v>Batch 155</v>
      </c>
      <c r="B75" s="7" t="str">
        <f>IFERROR(__xludf.DUMMYFUNCTION("""COMPUTED_VALUE"""),"AmbavaramC55")</f>
        <v>AmbavaramC55</v>
      </c>
      <c r="C75" s="8">
        <f>IFERROR(__xludf.DUMMYFUNCTION("""COMPUTED_VALUE"""),0.0)</f>
        <v>0</v>
      </c>
      <c r="D75" s="8">
        <f>IFERROR(__xludf.DUMMYFUNCTION("""COMPUTED_VALUE"""),0.0)</f>
        <v>0</v>
      </c>
    </row>
    <row r="76">
      <c r="A76" s="6" t="str">
        <f>IFERROR(__xludf.DUMMYFUNCTION("""COMPUTED_VALUE"""),"Batch 155")</f>
        <v>Batch 155</v>
      </c>
      <c r="B76" s="7" t="str">
        <f>IFERROR(__xludf.DUMMYFUNCTION("""COMPUTED_VALUE"""),"JasjotC55")</f>
        <v>JasjotC55</v>
      </c>
      <c r="C76" s="8">
        <f>IFERROR(__xludf.DUMMYFUNCTION("""COMPUTED_VALUE"""),0.0)</f>
        <v>0</v>
      </c>
      <c r="D76" s="8">
        <f>IFERROR(__xludf.DUMMYFUNCTION("""COMPUTED_VALUE"""),0.0)</f>
        <v>0</v>
      </c>
    </row>
    <row r="77">
      <c r="A77" s="6" t="str">
        <f>IFERROR(__xludf.DUMMYFUNCTION("""COMPUTED_VALUE"""),"Batch 155")</f>
        <v>Batch 155</v>
      </c>
      <c r="B77" s="7" t="str">
        <f>IFERROR(__xludf.DUMMYFUNCTION("""COMPUTED_VALUE"""),"RUBHINIC55")</f>
        <v>RUBHINIC55</v>
      </c>
      <c r="C77" s="8">
        <f>IFERROR(__xludf.DUMMYFUNCTION("""COMPUTED_VALUE"""),0.0)</f>
        <v>0</v>
      </c>
      <c r="D77" s="8">
        <f>IFERROR(__xludf.DUMMYFUNCTION("""COMPUTED_VALUE"""),0.0)</f>
        <v>0</v>
      </c>
    </row>
    <row r="78">
      <c r="A78" s="6" t="str">
        <f>IFERROR(__xludf.DUMMYFUNCTION("""COMPUTED_VALUE"""),"Batch 155")</f>
        <v>Batch 155</v>
      </c>
      <c r="B78" s="7" t="str">
        <f>IFERROR(__xludf.DUMMYFUNCTION("""COMPUTED_VALUE"""),"KubendiranC55")</f>
        <v>KubendiranC55</v>
      </c>
      <c r="C78" s="8">
        <f>IFERROR(__xludf.DUMMYFUNCTION("""COMPUTED_VALUE"""),0.0)</f>
        <v>0</v>
      </c>
      <c r="D78" s="8">
        <f>IFERROR(__xludf.DUMMYFUNCTION("""COMPUTED_VALUE"""),0.0)</f>
        <v>0</v>
      </c>
    </row>
    <row r="79">
      <c r="A79" s="6" t="str">
        <f>IFERROR(__xludf.DUMMYFUNCTION("""COMPUTED_VALUE"""),"Batch 155")</f>
        <v>Batch 155</v>
      </c>
      <c r="B79" s="7" t="str">
        <f>IFERROR(__xludf.DUMMYFUNCTION("""COMPUTED_VALUE"""),"M.Prasanth C55")</f>
        <v>M.Prasanth C55</v>
      </c>
      <c r="C79" s="8">
        <f>IFERROR(__xludf.DUMMYFUNCTION("""COMPUTED_VALUE"""),0.0)</f>
        <v>0</v>
      </c>
      <c r="D79" s="8" t="str">
        <f>IFERROR(__xludf.DUMMYFUNCTION("""COMPUTED_VALUE""")," ")</f>
        <v> </v>
      </c>
    </row>
    <row r="80">
      <c r="A80" s="6" t="str">
        <f>IFERROR(__xludf.DUMMYFUNCTION("""COMPUTED_VALUE"""),"Batch 155")</f>
        <v>Batch 155</v>
      </c>
      <c r="B80" s="7" t="str">
        <f>IFERROR(__xludf.DUMMYFUNCTION("""COMPUTED_VALUE"""),"AdityaC55")</f>
        <v>AdityaC55</v>
      </c>
      <c r="C80" s="8">
        <f>IFERROR(__xludf.DUMMYFUNCTION("""COMPUTED_VALUE"""),0.0)</f>
        <v>0</v>
      </c>
      <c r="D80" s="8">
        <f>IFERROR(__xludf.DUMMYFUNCTION("""COMPUTED_VALUE"""),0.0)</f>
        <v>0</v>
      </c>
    </row>
    <row r="81">
      <c r="A81" s="6" t="str">
        <f>IFERROR(__xludf.DUMMYFUNCTION("""COMPUTED_VALUE"""),"Batch 155")</f>
        <v>Batch 155</v>
      </c>
      <c r="B81" s="7" t="str">
        <f>IFERROR(__xludf.DUMMYFUNCTION("""COMPUTED_VALUE"""),"AshishC55")</f>
        <v>AshishC55</v>
      </c>
      <c r="C81" s="8">
        <f>IFERROR(__xludf.DUMMYFUNCTION("""COMPUTED_VALUE"""),0.0)</f>
        <v>0</v>
      </c>
      <c r="D81" s="8">
        <f>IFERROR(__xludf.DUMMYFUNCTION("""COMPUTED_VALUE"""),1.0)</f>
        <v>1</v>
      </c>
    </row>
    <row r="82">
      <c r="A82" s="6" t="str">
        <f>IFERROR(__xludf.DUMMYFUNCTION("""COMPUTED_VALUE"""),"Batch 155")</f>
        <v>Batch 155</v>
      </c>
      <c r="B82" s="7" t="str">
        <f>IFERROR(__xludf.DUMMYFUNCTION("""COMPUTED_VALUE"""),"RICHARDC55")</f>
        <v>RICHARDC55</v>
      </c>
      <c r="C82" s="8">
        <f>IFERROR(__xludf.DUMMYFUNCTION("""COMPUTED_VALUE"""),0.0)</f>
        <v>0</v>
      </c>
      <c r="D82" s="8">
        <f>IFERROR(__xludf.DUMMYFUNCTION("""COMPUTED_VALUE"""),0.0)</f>
        <v>0</v>
      </c>
    </row>
    <row r="83">
      <c r="A83" s="6" t="str">
        <f>IFERROR(__xludf.DUMMYFUNCTION("""COMPUTED_VALUE"""),"Batch 155")</f>
        <v>Batch 155</v>
      </c>
      <c r="B83" s="7" t="str">
        <f>IFERROR(__xludf.DUMMYFUNCTION("""COMPUTED_VALUE"""),"BhavyaC55")</f>
        <v>BhavyaC55</v>
      </c>
      <c r="C83" s="8">
        <f>IFERROR(__xludf.DUMMYFUNCTION("""COMPUTED_VALUE"""),0.0)</f>
        <v>0</v>
      </c>
      <c r="D83" s="8">
        <f>IFERROR(__xludf.DUMMYFUNCTION("""COMPUTED_VALUE"""),0.0)</f>
        <v>0</v>
      </c>
    </row>
    <row r="84">
      <c r="A84" s="6" t="str">
        <f>IFERROR(__xludf.DUMMYFUNCTION("""COMPUTED_VALUE"""),"Batch 155")</f>
        <v>Batch 155</v>
      </c>
      <c r="B84" s="7" t="str">
        <f>IFERROR(__xludf.DUMMYFUNCTION("""COMPUTED_VALUE"""),"NandiniC55")</f>
        <v>NandiniC55</v>
      </c>
      <c r="C84" s="8">
        <f>IFERROR(__xludf.DUMMYFUNCTION("""COMPUTED_VALUE"""),0.0)</f>
        <v>0</v>
      </c>
      <c r="D84" s="8">
        <f>IFERROR(__xludf.DUMMYFUNCTION("""COMPUTED_VALUE"""),0.0)</f>
        <v>0</v>
      </c>
    </row>
    <row r="85">
      <c r="A85" s="6" t="str">
        <f>IFERROR(__xludf.DUMMYFUNCTION("""COMPUTED_VALUE"""),"Batch 155")</f>
        <v>Batch 155</v>
      </c>
      <c r="B85" s="8" t="str">
        <f>IFERROR(__xludf.DUMMYFUNCTION("""COMPUTED_VALUE"""),"RomilC55")</f>
        <v>RomilC55</v>
      </c>
      <c r="C85" s="8">
        <f>IFERROR(__xludf.DUMMYFUNCTION("""COMPUTED_VALUE"""),1.0)</f>
        <v>1</v>
      </c>
      <c r="D85" s="8">
        <f>IFERROR(__xludf.DUMMYFUNCTION("""COMPUTED_VALUE"""),0.0)</f>
        <v>0</v>
      </c>
    </row>
    <row r="86">
      <c r="A86" s="6" t="str">
        <f>IFERROR(__xludf.DUMMYFUNCTION("""COMPUTED_VALUE"""),"Batch 155")</f>
        <v>Batch 155</v>
      </c>
      <c r="B86" s="7" t="str">
        <f>IFERROR(__xludf.DUMMYFUNCTION("""COMPUTED_VALUE"""),"MohammadC55")</f>
        <v>MohammadC55</v>
      </c>
      <c r="C86" s="8">
        <f>IFERROR(__xludf.DUMMYFUNCTION("""COMPUTED_VALUE"""),0.0)</f>
        <v>0</v>
      </c>
      <c r="D86" s="8">
        <f>IFERROR(__xludf.DUMMYFUNCTION("""COMPUTED_VALUE"""),0.0)</f>
        <v>0</v>
      </c>
    </row>
    <row r="87">
      <c r="A87" s="6" t="str">
        <f>IFERROR(__xludf.DUMMYFUNCTION("""COMPUTED_VALUE"""),"Batch 155")</f>
        <v>Batch 155</v>
      </c>
      <c r="B87" s="7" t="str">
        <f>IFERROR(__xludf.DUMMYFUNCTION("""COMPUTED_VALUE"""),"VaibhavC55")</f>
        <v>VaibhavC55</v>
      </c>
      <c r="C87" s="8">
        <f>IFERROR(__xludf.DUMMYFUNCTION("""COMPUTED_VALUE"""),0.0)</f>
        <v>0</v>
      </c>
      <c r="D87" s="8">
        <f>IFERROR(__xludf.DUMMYFUNCTION("""COMPUTED_VALUE"""),0.0)</f>
        <v>0</v>
      </c>
    </row>
    <row r="88">
      <c r="A88" s="6" t="str">
        <f>IFERROR(__xludf.DUMMYFUNCTION("""COMPUTED_VALUE"""),"Batch 155")</f>
        <v>Batch 155</v>
      </c>
      <c r="B88" s="7" t="str">
        <f>IFERROR(__xludf.DUMMYFUNCTION("""COMPUTED_VALUE"""),"YashC55")</f>
        <v>YashC55</v>
      </c>
      <c r="C88" s="8">
        <f>IFERROR(__xludf.DUMMYFUNCTION("""COMPUTED_VALUE"""),0.0)</f>
        <v>0</v>
      </c>
      <c r="D88" s="8">
        <f>IFERROR(__xludf.DUMMYFUNCTION("""COMPUTED_VALUE"""),0.0)</f>
        <v>0</v>
      </c>
    </row>
    <row r="89">
      <c r="A89" s="6" t="str">
        <f>IFERROR(__xludf.DUMMYFUNCTION("""COMPUTED_VALUE"""),"Batch 155")</f>
        <v>Batch 155</v>
      </c>
      <c r="B89" s="7" t="str">
        <f>IFERROR(__xludf.DUMMYFUNCTION("""COMPUTED_VALUE"""),"MohammadC55")</f>
        <v>MohammadC55</v>
      </c>
      <c r="C89" s="8">
        <f>IFERROR(__xludf.DUMMYFUNCTION("""COMPUTED_VALUE"""),0.0)</f>
        <v>0</v>
      </c>
      <c r="D89" s="8">
        <f>IFERROR(__xludf.DUMMYFUNCTION("""COMPUTED_VALUE"""),0.0)</f>
        <v>0</v>
      </c>
    </row>
    <row r="90">
      <c r="A90" s="6" t="str">
        <f>IFERROR(__xludf.DUMMYFUNCTION("""COMPUTED_VALUE"""),"Batch 155")</f>
        <v>Batch 155</v>
      </c>
      <c r="B90" s="7" t="str">
        <f>IFERROR(__xludf.DUMMYFUNCTION("""COMPUTED_VALUE"""),"GauravC55")</f>
        <v>GauravC55</v>
      </c>
      <c r="C90" s="8">
        <f>IFERROR(__xludf.DUMMYFUNCTION("""COMPUTED_VALUE"""),0.0)</f>
        <v>0</v>
      </c>
      <c r="D90" s="8">
        <f>IFERROR(__xludf.DUMMYFUNCTION("""COMPUTED_VALUE"""),0.0)</f>
        <v>0</v>
      </c>
    </row>
    <row r="91">
      <c r="A91" s="6" t="str">
        <f>IFERROR(__xludf.DUMMYFUNCTION("""COMPUTED_VALUE"""),"Batch 155")</f>
        <v>Batch 155</v>
      </c>
      <c r="B91" s="7" t="str">
        <f>IFERROR(__xludf.DUMMYFUNCTION("""COMPUTED_VALUE"""),"HarshC55")</f>
        <v>HarshC55</v>
      </c>
      <c r="C91" s="8">
        <f>IFERROR(__xludf.DUMMYFUNCTION("""COMPUTED_VALUE"""),0.0)</f>
        <v>0</v>
      </c>
      <c r="D91" s="8">
        <f>IFERROR(__xludf.DUMMYFUNCTION("""COMPUTED_VALUE"""),0.0)</f>
        <v>0</v>
      </c>
    </row>
    <row r="92">
      <c r="A92" s="6" t="str">
        <f>IFERROR(__xludf.DUMMYFUNCTION("""COMPUTED_VALUE"""),"Batch 155")</f>
        <v>Batch 155</v>
      </c>
      <c r="B92" s="7" t="str">
        <f>IFERROR(__xludf.DUMMYFUNCTION("""COMPUTED_VALUE"""),"SanyaC55")</f>
        <v>SanyaC55</v>
      </c>
      <c r="C92" s="8">
        <f>IFERROR(__xludf.DUMMYFUNCTION("""COMPUTED_VALUE"""),0.0)</f>
        <v>0</v>
      </c>
      <c r="D92" s="8">
        <f>IFERROR(__xludf.DUMMYFUNCTION("""COMPUTED_VALUE"""),0.0)</f>
        <v>0</v>
      </c>
    </row>
    <row r="93">
      <c r="A93" s="6" t="str">
        <f>IFERROR(__xludf.DUMMYFUNCTION("""COMPUTED_VALUE"""),"Batch 155")</f>
        <v>Batch 155</v>
      </c>
      <c r="B93" s="7" t="str">
        <f>IFERROR(__xludf.DUMMYFUNCTION("""COMPUTED_VALUE"""),"AkshatC55")</f>
        <v>AkshatC55</v>
      </c>
      <c r="C93" s="8">
        <f>IFERROR(__xludf.DUMMYFUNCTION("""COMPUTED_VALUE"""),0.0)</f>
        <v>0</v>
      </c>
      <c r="D93" s="8">
        <f>IFERROR(__xludf.DUMMYFUNCTION("""COMPUTED_VALUE"""),0.0)</f>
        <v>0</v>
      </c>
    </row>
    <row r="94">
      <c r="A94" s="6" t="str">
        <f>IFERROR(__xludf.DUMMYFUNCTION("""COMPUTED_VALUE"""),"Batch 155")</f>
        <v>Batch 155</v>
      </c>
      <c r="B94" s="7" t="str">
        <f>IFERROR(__xludf.DUMMYFUNCTION("""COMPUTED_VALUE"""),"VaibhaviC55")</f>
        <v>VaibhaviC55</v>
      </c>
      <c r="C94" s="8">
        <f>IFERROR(__xludf.DUMMYFUNCTION("""COMPUTED_VALUE"""),0.0)</f>
        <v>0</v>
      </c>
      <c r="D94" s="8">
        <f>IFERROR(__xludf.DUMMYFUNCTION("""COMPUTED_VALUE"""),0.0)</f>
        <v>0</v>
      </c>
    </row>
    <row r="95">
      <c r="A95" s="6" t="str">
        <f>IFERROR(__xludf.DUMMYFUNCTION("""COMPUTED_VALUE"""),"Batch 155")</f>
        <v>Batch 155</v>
      </c>
      <c r="B95" s="7" t="str">
        <f>IFERROR(__xludf.DUMMYFUNCTION("""COMPUTED_VALUE"""),"T.SafrinC55")</f>
        <v>T.SafrinC55</v>
      </c>
      <c r="C95" s="8">
        <f>IFERROR(__xludf.DUMMYFUNCTION("""COMPUTED_VALUE"""),0.0)</f>
        <v>0</v>
      </c>
      <c r="D95" s="8">
        <f>IFERROR(__xludf.DUMMYFUNCTION("""COMPUTED_VALUE"""),0.0)</f>
        <v>0</v>
      </c>
    </row>
    <row r="96">
      <c r="A96" s="6" t="str">
        <f>IFERROR(__xludf.DUMMYFUNCTION("""COMPUTED_VALUE"""),"Batch 155")</f>
        <v>Batch 155</v>
      </c>
      <c r="B96" s="7" t="str">
        <f>IFERROR(__xludf.DUMMYFUNCTION("""COMPUTED_VALUE"""),"HritikC55")</f>
        <v>HritikC55</v>
      </c>
      <c r="C96" s="8">
        <f>IFERROR(__xludf.DUMMYFUNCTION("""COMPUTED_VALUE"""),0.0)</f>
        <v>0</v>
      </c>
      <c r="D96" s="8">
        <f>IFERROR(__xludf.DUMMYFUNCTION("""COMPUTED_VALUE"""),0.0)</f>
        <v>0</v>
      </c>
    </row>
    <row r="97">
      <c r="A97" s="6" t="str">
        <f>IFERROR(__xludf.DUMMYFUNCTION("""COMPUTED_VALUE"""),"Batch 155")</f>
        <v>Batch 155</v>
      </c>
      <c r="B97" s="7" t="str">
        <f>IFERROR(__xludf.DUMMYFUNCTION("""COMPUTED_VALUE"""),"PavniC55")</f>
        <v>PavniC55</v>
      </c>
      <c r="C97" s="8">
        <f>IFERROR(__xludf.DUMMYFUNCTION("""COMPUTED_VALUE"""),0.0)</f>
        <v>0</v>
      </c>
      <c r="D97" s="8">
        <f>IFERROR(__xludf.DUMMYFUNCTION("""COMPUTED_VALUE"""),0.0)</f>
        <v>0</v>
      </c>
    </row>
    <row r="98">
      <c r="A98" s="6" t="str">
        <f>IFERROR(__xludf.DUMMYFUNCTION("""COMPUTED_VALUE"""),"Batch 155")</f>
        <v>Batch 155</v>
      </c>
      <c r="B98" s="7" t="str">
        <f>IFERROR(__xludf.DUMMYFUNCTION("""COMPUTED_VALUE"""),"poojaC55")</f>
        <v>poojaC55</v>
      </c>
      <c r="C98" s="8">
        <f>IFERROR(__xludf.DUMMYFUNCTION("""COMPUTED_VALUE"""),1.0)</f>
        <v>1</v>
      </c>
      <c r="D98" s="8">
        <f>IFERROR(__xludf.DUMMYFUNCTION("""COMPUTED_VALUE"""),1.0)</f>
        <v>1</v>
      </c>
    </row>
    <row r="99">
      <c r="A99" s="6" t="str">
        <f>IFERROR(__xludf.DUMMYFUNCTION("""COMPUTED_VALUE"""),"Batch 155")</f>
        <v>Batch 155</v>
      </c>
      <c r="B99" s="7" t="str">
        <f>IFERROR(__xludf.DUMMYFUNCTION("""COMPUTED_VALUE"""),"PoorviC55")</f>
        <v>PoorviC55</v>
      </c>
      <c r="C99" s="8">
        <f>IFERROR(__xludf.DUMMYFUNCTION("""COMPUTED_VALUE"""),0.0)</f>
        <v>0</v>
      </c>
      <c r="D99" s="8">
        <f>IFERROR(__xludf.DUMMYFUNCTION("""COMPUTED_VALUE"""),0.0)</f>
        <v>0</v>
      </c>
    </row>
    <row r="100">
      <c r="A100" s="6" t="str">
        <f>IFERROR(__xludf.DUMMYFUNCTION("""COMPUTED_VALUE"""),"Batch 155")</f>
        <v>Batch 155</v>
      </c>
      <c r="B100" s="7" t="str">
        <f>IFERROR(__xludf.DUMMYFUNCTION("""COMPUTED_VALUE"""),"MokshaC55")</f>
        <v>MokshaC55</v>
      </c>
      <c r="C100" s="8">
        <f>IFERROR(__xludf.DUMMYFUNCTION("""COMPUTED_VALUE"""),0.0)</f>
        <v>0</v>
      </c>
      <c r="D100" s="8">
        <f>IFERROR(__xludf.DUMMYFUNCTION("""COMPUTED_VALUE"""),0.0)</f>
        <v>0</v>
      </c>
    </row>
    <row r="101">
      <c r="A101" s="6" t="str">
        <f>IFERROR(__xludf.DUMMYFUNCTION("""COMPUTED_VALUE"""),"Batch 155")</f>
        <v>Batch 155</v>
      </c>
      <c r="B101" s="7" t="str">
        <f>IFERROR(__xludf.DUMMYFUNCTION("""COMPUTED_VALUE"""),"ShivamC55")</f>
        <v>ShivamC55</v>
      </c>
      <c r="C101" s="8">
        <f>IFERROR(__xludf.DUMMYFUNCTION("""COMPUTED_VALUE"""),0.0)</f>
        <v>0</v>
      </c>
      <c r="D101" s="8">
        <f>IFERROR(__xludf.DUMMYFUNCTION("""COMPUTED_VALUE"""),0.0)</f>
        <v>0</v>
      </c>
    </row>
    <row r="102">
      <c r="A102" s="6" t="str">
        <f>IFERROR(__xludf.DUMMYFUNCTION("""COMPUTED_VALUE"""),"Batch 155")</f>
        <v>Batch 155</v>
      </c>
      <c r="B102" s="7" t="str">
        <f>IFERROR(__xludf.DUMMYFUNCTION("""COMPUTED_VALUE"""),"mahimaC55")</f>
        <v>mahimaC55</v>
      </c>
      <c r="C102" s="8">
        <f>IFERROR(__xludf.DUMMYFUNCTION("""COMPUTED_VALUE"""),0.0)</f>
        <v>0</v>
      </c>
      <c r="D102" s="8">
        <f>IFERROR(__xludf.DUMMYFUNCTION("""COMPUTED_VALUE"""),0.0)</f>
        <v>0</v>
      </c>
    </row>
    <row r="103">
      <c r="A103" s="9"/>
      <c r="B103" s="7"/>
      <c r="C103" s="8">
        <f>IFERROR(__xludf.DUMMYFUNCTION("""COMPUTED_VALUE"""),0.0)</f>
        <v>0</v>
      </c>
      <c r="D103" s="8"/>
    </row>
    <row r="104">
      <c r="A104" s="6" t="str">
        <f>IFERROR(__xludf.DUMMYFUNCTION("""COMPUTED_VALUE"""),"Batch 156")</f>
        <v>Batch 156</v>
      </c>
      <c r="B104" s="7" t="str">
        <f>IFERROR(__xludf.DUMMYFUNCTION("""COMPUTED_VALUE"""),"JasleenC56")</f>
        <v>JasleenC56</v>
      </c>
      <c r="C104" s="8">
        <f>IFERROR(__xludf.DUMMYFUNCTION("""COMPUTED_VALUE"""),5.0)</f>
        <v>5</v>
      </c>
      <c r="D104" s="8">
        <f>IFERROR(__xludf.DUMMYFUNCTION("""COMPUTED_VALUE"""),0.0)</f>
        <v>0</v>
      </c>
    </row>
    <row r="105">
      <c r="A105" s="6" t="str">
        <f>IFERROR(__xludf.DUMMYFUNCTION("""COMPUTED_VALUE"""),"Batch 156")</f>
        <v>Batch 156</v>
      </c>
      <c r="B105" s="7" t="str">
        <f>IFERROR(__xludf.DUMMYFUNCTION("""COMPUTED_VALUE"""),"PrashantC56")</f>
        <v>PrashantC56</v>
      </c>
      <c r="C105" s="8">
        <f>IFERROR(__xludf.DUMMYFUNCTION("""COMPUTED_VALUE"""),0.0)</f>
        <v>0</v>
      </c>
      <c r="D105" s="8">
        <f>IFERROR(__xludf.DUMMYFUNCTION("""COMPUTED_VALUE"""),0.0)</f>
        <v>0</v>
      </c>
    </row>
    <row r="106">
      <c r="A106" s="6" t="str">
        <f>IFERROR(__xludf.DUMMYFUNCTION("""COMPUTED_VALUE"""),"Batch 156")</f>
        <v>Batch 156</v>
      </c>
      <c r="B106" s="7" t="str">
        <f>IFERROR(__xludf.DUMMYFUNCTION("""COMPUTED_VALUE"""),"MurshidC56")</f>
        <v>MurshidC56</v>
      </c>
      <c r="C106" s="8">
        <f>IFERROR(__xludf.DUMMYFUNCTION("""COMPUTED_VALUE"""),0.0)</f>
        <v>0</v>
      </c>
      <c r="D106" s="8">
        <f>IFERROR(__xludf.DUMMYFUNCTION("""COMPUTED_VALUE"""),0.0)</f>
        <v>0</v>
      </c>
    </row>
    <row r="107">
      <c r="A107" s="6" t="str">
        <f>IFERROR(__xludf.DUMMYFUNCTION("""COMPUTED_VALUE"""),"Batch 156")</f>
        <v>Batch 156</v>
      </c>
      <c r="B107" s="7" t="str">
        <f>IFERROR(__xludf.DUMMYFUNCTION("""COMPUTED_VALUE"""),"SulabhC56")</f>
        <v>SulabhC56</v>
      </c>
      <c r="C107" s="8">
        <f>IFERROR(__xludf.DUMMYFUNCTION("""COMPUTED_VALUE"""),0.0)</f>
        <v>0</v>
      </c>
      <c r="D107" s="8">
        <f>IFERROR(__xludf.DUMMYFUNCTION("""COMPUTED_VALUE"""),0.0)</f>
        <v>0</v>
      </c>
    </row>
    <row r="108">
      <c r="A108" s="6" t="str">
        <f>IFERROR(__xludf.DUMMYFUNCTION("""COMPUTED_VALUE"""),"Batch 156")</f>
        <v>Batch 156</v>
      </c>
      <c r="B108" s="7" t="str">
        <f>IFERROR(__xludf.DUMMYFUNCTION("""COMPUTED_VALUE"""),"MYTHILIC56")</f>
        <v>MYTHILIC56</v>
      </c>
      <c r="C108" s="8">
        <f>IFERROR(__xludf.DUMMYFUNCTION("""COMPUTED_VALUE"""),0.0)</f>
        <v>0</v>
      </c>
      <c r="D108" s="8">
        <f>IFERROR(__xludf.DUMMYFUNCTION("""COMPUTED_VALUE"""),0.0)</f>
        <v>0</v>
      </c>
    </row>
    <row r="109">
      <c r="A109" s="6" t="str">
        <f>IFERROR(__xludf.DUMMYFUNCTION("""COMPUTED_VALUE"""),"Batch 156")</f>
        <v>Batch 156</v>
      </c>
      <c r="B109" s="7" t="str">
        <f>IFERROR(__xludf.DUMMYFUNCTION("""COMPUTED_VALUE"""),"KhushiC56")</f>
        <v>KhushiC56</v>
      </c>
      <c r="C109" s="8">
        <f>IFERROR(__xludf.DUMMYFUNCTION("""COMPUTED_VALUE"""),0.0)</f>
        <v>0</v>
      </c>
      <c r="D109" s="8">
        <f>IFERROR(__xludf.DUMMYFUNCTION("""COMPUTED_VALUE"""),0.0)</f>
        <v>0</v>
      </c>
    </row>
    <row r="110">
      <c r="A110" s="6" t="str">
        <f>IFERROR(__xludf.DUMMYFUNCTION("""COMPUTED_VALUE"""),"Batch 156")</f>
        <v>Batch 156</v>
      </c>
      <c r="B110" s="7" t="str">
        <f>IFERROR(__xludf.DUMMYFUNCTION("""COMPUTED_VALUE"""),"BaddipadigeC56")</f>
        <v>BaddipadigeC56</v>
      </c>
      <c r="C110" s="8">
        <f>IFERROR(__xludf.DUMMYFUNCTION("""COMPUTED_VALUE"""),0.0)</f>
        <v>0</v>
      </c>
      <c r="D110" s="8">
        <f>IFERROR(__xludf.DUMMYFUNCTION("""COMPUTED_VALUE"""),0.0)</f>
        <v>0</v>
      </c>
    </row>
    <row r="111">
      <c r="A111" s="6" t="str">
        <f>IFERROR(__xludf.DUMMYFUNCTION("""COMPUTED_VALUE"""),"Batch 156")</f>
        <v>Batch 156</v>
      </c>
      <c r="B111" s="7" t="str">
        <f>IFERROR(__xludf.DUMMYFUNCTION("""COMPUTED_VALUE"""),"TejaswiniC56")</f>
        <v>TejaswiniC56</v>
      </c>
      <c r="C111" s="8">
        <f>IFERROR(__xludf.DUMMYFUNCTION("""COMPUTED_VALUE"""),0.0)</f>
        <v>0</v>
      </c>
      <c r="D111" s="8">
        <f>IFERROR(__xludf.DUMMYFUNCTION("""COMPUTED_VALUE"""),0.0)</f>
        <v>0</v>
      </c>
    </row>
    <row r="112">
      <c r="A112" s="6" t="str">
        <f>IFERROR(__xludf.DUMMYFUNCTION("""COMPUTED_VALUE"""),"Batch 156")</f>
        <v>Batch 156</v>
      </c>
      <c r="B112" s="7" t="str">
        <f>IFERROR(__xludf.DUMMYFUNCTION("""COMPUTED_VALUE"""),"MansoorC56")</f>
        <v>MansoorC56</v>
      </c>
      <c r="C112" s="8">
        <f>IFERROR(__xludf.DUMMYFUNCTION("""COMPUTED_VALUE"""),0.0)</f>
        <v>0</v>
      </c>
      <c r="D112" s="8">
        <f>IFERROR(__xludf.DUMMYFUNCTION("""COMPUTED_VALUE"""),0.0)</f>
        <v>0</v>
      </c>
    </row>
    <row r="113">
      <c r="A113" s="6" t="str">
        <f>IFERROR(__xludf.DUMMYFUNCTION("""COMPUTED_VALUE"""),"Batch 156")</f>
        <v>Batch 156</v>
      </c>
      <c r="B113" s="7" t="str">
        <f>IFERROR(__xludf.DUMMYFUNCTION("""COMPUTED_VALUE"""),"prashantC56")</f>
        <v>prashantC56</v>
      </c>
      <c r="C113" s="8">
        <f>IFERROR(__xludf.DUMMYFUNCTION("""COMPUTED_VALUE"""),0.0)</f>
        <v>0</v>
      </c>
      <c r="D113" s="8">
        <f>IFERROR(__xludf.DUMMYFUNCTION("""COMPUTED_VALUE"""),0.0)</f>
        <v>0</v>
      </c>
    </row>
    <row r="114">
      <c r="A114" s="6" t="str">
        <f>IFERROR(__xludf.DUMMYFUNCTION("""COMPUTED_VALUE"""),"Batch 156")</f>
        <v>Batch 156</v>
      </c>
      <c r="B114" s="7" t="str">
        <f>IFERROR(__xludf.DUMMYFUNCTION("""COMPUTED_VALUE"""),"AbhilashaC56")</f>
        <v>AbhilashaC56</v>
      </c>
      <c r="C114" s="8">
        <f>IFERROR(__xludf.DUMMYFUNCTION("""COMPUTED_VALUE"""),0.0)</f>
        <v>0</v>
      </c>
      <c r="D114" s="8">
        <f>IFERROR(__xludf.DUMMYFUNCTION("""COMPUTED_VALUE"""),0.0)</f>
        <v>0</v>
      </c>
    </row>
    <row r="115">
      <c r="A115" s="6" t="str">
        <f>IFERROR(__xludf.DUMMYFUNCTION("""COMPUTED_VALUE"""),"Batch 156")</f>
        <v>Batch 156</v>
      </c>
      <c r="B115" s="7" t="str">
        <f>IFERROR(__xludf.DUMMYFUNCTION("""COMPUTED_VALUE"""),"VinishaC56")</f>
        <v>VinishaC56</v>
      </c>
      <c r="C115" s="8">
        <f>IFERROR(__xludf.DUMMYFUNCTION("""COMPUTED_VALUE"""),0.0)</f>
        <v>0</v>
      </c>
      <c r="D115" s="8">
        <f>IFERROR(__xludf.DUMMYFUNCTION("""COMPUTED_VALUE"""),0.0)</f>
        <v>0</v>
      </c>
    </row>
    <row r="116">
      <c r="A116" s="6" t="str">
        <f>IFERROR(__xludf.DUMMYFUNCTION("""COMPUTED_VALUE"""),"Batch 156")</f>
        <v>Batch 156</v>
      </c>
      <c r="B116" s="7" t="str">
        <f>IFERROR(__xludf.DUMMYFUNCTION("""COMPUTED_VALUE"""),"AnjaliC56")</f>
        <v>AnjaliC56</v>
      </c>
      <c r="C116" s="8">
        <f>IFERROR(__xludf.DUMMYFUNCTION("""COMPUTED_VALUE"""),0.0)</f>
        <v>0</v>
      </c>
      <c r="D116" s="8">
        <f>IFERROR(__xludf.DUMMYFUNCTION("""COMPUTED_VALUE"""),0.0)</f>
        <v>0</v>
      </c>
    </row>
    <row r="117">
      <c r="A117" s="6" t="str">
        <f>IFERROR(__xludf.DUMMYFUNCTION("""COMPUTED_VALUE"""),"Batch 156")</f>
        <v>Batch 156</v>
      </c>
      <c r="B117" s="7" t="str">
        <f>IFERROR(__xludf.DUMMYFUNCTION("""COMPUTED_VALUE"""),"DebanjanaC56")</f>
        <v>DebanjanaC56</v>
      </c>
      <c r="C117" s="8">
        <f>IFERROR(__xludf.DUMMYFUNCTION("""COMPUTED_VALUE"""),0.0)</f>
        <v>0</v>
      </c>
      <c r="D117" s="8">
        <f>IFERROR(__xludf.DUMMYFUNCTION("""COMPUTED_VALUE"""),0.0)</f>
        <v>0</v>
      </c>
    </row>
    <row r="118">
      <c r="A118" s="6" t="str">
        <f>IFERROR(__xludf.DUMMYFUNCTION("""COMPUTED_VALUE"""),"Batch 156")</f>
        <v>Batch 156</v>
      </c>
      <c r="B118" s="7" t="str">
        <f>IFERROR(__xludf.DUMMYFUNCTION("""COMPUTED_VALUE"""),"AnjaliC56")</f>
        <v>AnjaliC56</v>
      </c>
      <c r="C118" s="8">
        <f>IFERROR(__xludf.DUMMYFUNCTION("""COMPUTED_VALUE"""),0.0)</f>
        <v>0</v>
      </c>
      <c r="D118" s="8">
        <f>IFERROR(__xludf.DUMMYFUNCTION("""COMPUTED_VALUE"""),0.0)</f>
        <v>0</v>
      </c>
    </row>
    <row r="119">
      <c r="A119" s="6" t="str">
        <f>IFERROR(__xludf.DUMMYFUNCTION("""COMPUTED_VALUE"""),"Batch 156")</f>
        <v>Batch 156</v>
      </c>
      <c r="B119" s="7" t="str">
        <f>IFERROR(__xludf.DUMMYFUNCTION("""COMPUTED_VALUE"""),"AryanC56")</f>
        <v>AryanC56</v>
      </c>
      <c r="C119" s="8">
        <f>IFERROR(__xludf.DUMMYFUNCTION("""COMPUTED_VALUE"""),0.0)</f>
        <v>0</v>
      </c>
      <c r="D119" s="8">
        <f>IFERROR(__xludf.DUMMYFUNCTION("""COMPUTED_VALUE"""),0.0)</f>
        <v>0</v>
      </c>
    </row>
    <row r="120">
      <c r="A120" s="6" t="str">
        <f>IFERROR(__xludf.DUMMYFUNCTION("""COMPUTED_VALUE"""),"Batch 156")</f>
        <v>Batch 156</v>
      </c>
      <c r="B120" s="7" t="str">
        <f>IFERROR(__xludf.DUMMYFUNCTION("""COMPUTED_VALUE"""),"VikramC56")</f>
        <v>VikramC56</v>
      </c>
      <c r="C120" s="8">
        <f>IFERROR(__xludf.DUMMYFUNCTION("""COMPUTED_VALUE"""),0.0)</f>
        <v>0</v>
      </c>
      <c r="D120" s="8">
        <f>IFERROR(__xludf.DUMMYFUNCTION("""COMPUTED_VALUE"""),0.0)</f>
        <v>0</v>
      </c>
    </row>
    <row r="121">
      <c r="A121" s="6" t="str">
        <f>IFERROR(__xludf.DUMMYFUNCTION("""COMPUTED_VALUE"""),"Batch 156")</f>
        <v>Batch 156</v>
      </c>
      <c r="B121" s="7" t="str">
        <f>IFERROR(__xludf.DUMMYFUNCTION("""COMPUTED_VALUE"""),"PragatiC56")</f>
        <v>PragatiC56</v>
      </c>
      <c r="C121" s="8">
        <f>IFERROR(__xludf.DUMMYFUNCTION("""COMPUTED_VALUE"""),0.0)</f>
        <v>0</v>
      </c>
      <c r="D121" s="8">
        <f>IFERROR(__xludf.DUMMYFUNCTION("""COMPUTED_VALUE"""),0.0)</f>
        <v>0</v>
      </c>
    </row>
    <row r="122">
      <c r="A122" s="6" t="str">
        <f>IFERROR(__xludf.DUMMYFUNCTION("""COMPUTED_VALUE"""),"Batch 156")</f>
        <v>Batch 156</v>
      </c>
      <c r="B122" s="7" t="str">
        <f>IFERROR(__xludf.DUMMYFUNCTION("""COMPUTED_VALUE"""),"SumitC56")</f>
        <v>SumitC56</v>
      </c>
      <c r="C122" s="8">
        <f>IFERROR(__xludf.DUMMYFUNCTION("""COMPUTED_VALUE"""),0.0)</f>
        <v>0</v>
      </c>
      <c r="D122" s="8">
        <f>IFERROR(__xludf.DUMMYFUNCTION("""COMPUTED_VALUE"""),0.0)</f>
        <v>0</v>
      </c>
    </row>
    <row r="123">
      <c r="A123" s="6" t="str">
        <f>IFERROR(__xludf.DUMMYFUNCTION("""COMPUTED_VALUE"""),"Batch 156")</f>
        <v>Batch 156</v>
      </c>
      <c r="B123" s="7" t="str">
        <f>IFERROR(__xludf.DUMMYFUNCTION("""COMPUTED_VALUE"""),"IkmandeepC56")</f>
        <v>IkmandeepC56</v>
      </c>
      <c r="C123" s="8">
        <f>IFERROR(__xludf.DUMMYFUNCTION("""COMPUTED_VALUE"""),0.0)</f>
        <v>0</v>
      </c>
      <c r="D123" s="8" t="str">
        <f>IFERROR(__xludf.DUMMYFUNCTION("""COMPUTED_VALUE""")," ")</f>
        <v> </v>
      </c>
    </row>
    <row r="124">
      <c r="A124" s="6" t="str">
        <f>IFERROR(__xludf.DUMMYFUNCTION("""COMPUTED_VALUE"""),"Batch 156")</f>
        <v>Batch 156</v>
      </c>
      <c r="B124" s="7" t="str">
        <f>IFERROR(__xludf.DUMMYFUNCTION("""COMPUTED_VALUE"""),"RhythmpreetC56")</f>
        <v>RhythmpreetC56</v>
      </c>
      <c r="C124" s="8">
        <f>IFERROR(__xludf.DUMMYFUNCTION("""COMPUTED_VALUE"""),0.0)</f>
        <v>0</v>
      </c>
      <c r="D124" s="8">
        <f>IFERROR(__xludf.DUMMYFUNCTION("""COMPUTED_VALUE"""),0.0)</f>
        <v>0</v>
      </c>
    </row>
    <row r="125">
      <c r="A125" s="6" t="str">
        <f>IFERROR(__xludf.DUMMYFUNCTION("""COMPUTED_VALUE"""),"Batch 156")</f>
        <v>Batch 156</v>
      </c>
      <c r="B125" s="7" t="str">
        <f>IFERROR(__xludf.DUMMYFUNCTION("""COMPUTED_VALUE"""),"ShivamC56")</f>
        <v>ShivamC56</v>
      </c>
      <c r="C125" s="8">
        <f>IFERROR(__xludf.DUMMYFUNCTION("""COMPUTED_VALUE"""),1.0)</f>
        <v>1</v>
      </c>
      <c r="D125" s="8">
        <f>IFERROR(__xludf.DUMMYFUNCTION("""COMPUTED_VALUE"""),0.0)</f>
        <v>0</v>
      </c>
    </row>
    <row r="126">
      <c r="A126" s="6" t="str">
        <f>IFERROR(__xludf.DUMMYFUNCTION("""COMPUTED_VALUE"""),"Batch 156")</f>
        <v>Batch 156</v>
      </c>
      <c r="B126" s="7" t="str">
        <f>IFERROR(__xludf.DUMMYFUNCTION("""COMPUTED_VALUE"""),"AdarshC56")</f>
        <v>AdarshC56</v>
      </c>
      <c r="C126" s="8">
        <f>IFERROR(__xludf.DUMMYFUNCTION("""COMPUTED_VALUE"""),0.0)</f>
        <v>0</v>
      </c>
      <c r="D126" s="8">
        <f>IFERROR(__xludf.DUMMYFUNCTION("""COMPUTED_VALUE"""),0.0)</f>
        <v>0</v>
      </c>
    </row>
    <row r="127">
      <c r="A127" s="6" t="str">
        <f>IFERROR(__xludf.DUMMYFUNCTION("""COMPUTED_VALUE"""),"Batch 156")</f>
        <v>Batch 156</v>
      </c>
      <c r="B127" s="7" t="str">
        <f>IFERROR(__xludf.DUMMYFUNCTION("""COMPUTED_VALUE"""),"Abilash.mC56")</f>
        <v>Abilash.mC56</v>
      </c>
      <c r="C127" s="8">
        <f>IFERROR(__xludf.DUMMYFUNCTION("""COMPUTED_VALUE"""),0.0)</f>
        <v>0</v>
      </c>
      <c r="D127" s="8">
        <f>IFERROR(__xludf.DUMMYFUNCTION("""COMPUTED_VALUE"""),0.0)</f>
        <v>0</v>
      </c>
    </row>
    <row r="128">
      <c r="A128" s="6" t="str">
        <f>IFERROR(__xludf.DUMMYFUNCTION("""COMPUTED_VALUE"""),"Batch 156")</f>
        <v>Batch 156</v>
      </c>
      <c r="B128" s="7" t="str">
        <f>IFERROR(__xludf.DUMMYFUNCTION("""COMPUTED_VALUE"""),"YashC56")</f>
        <v>YashC56</v>
      </c>
      <c r="C128" s="8">
        <f>IFERROR(__xludf.DUMMYFUNCTION("""COMPUTED_VALUE"""),0.0)</f>
        <v>0</v>
      </c>
      <c r="D128" s="8">
        <f>IFERROR(__xludf.DUMMYFUNCTION("""COMPUTED_VALUE"""),0.0)</f>
        <v>0</v>
      </c>
    </row>
    <row r="129">
      <c r="A129" s="6" t="str">
        <f>IFERROR(__xludf.DUMMYFUNCTION("""COMPUTED_VALUE"""),"Batch 156")</f>
        <v>Batch 156</v>
      </c>
      <c r="B129" s="7" t="str">
        <f>IFERROR(__xludf.DUMMYFUNCTION("""COMPUTED_VALUE"""),"PriyankaC56")</f>
        <v>PriyankaC56</v>
      </c>
      <c r="C129" s="8">
        <f>IFERROR(__xludf.DUMMYFUNCTION("""COMPUTED_VALUE"""),0.0)</f>
        <v>0</v>
      </c>
      <c r="D129" s="8">
        <f>IFERROR(__xludf.DUMMYFUNCTION("""COMPUTED_VALUE"""),0.0)</f>
        <v>0</v>
      </c>
    </row>
    <row r="130">
      <c r="A130" s="6" t="str">
        <f>IFERROR(__xludf.DUMMYFUNCTION("""COMPUTED_VALUE"""),"Batch 156")</f>
        <v>Batch 156</v>
      </c>
      <c r="B130" s="7" t="str">
        <f>IFERROR(__xludf.DUMMYFUNCTION("""COMPUTED_VALUE"""),"AshwaniC56")</f>
        <v>AshwaniC56</v>
      </c>
      <c r="C130" s="8">
        <f>IFERROR(__xludf.DUMMYFUNCTION("""COMPUTED_VALUE"""),1.0)</f>
        <v>1</v>
      </c>
      <c r="D130" s="8">
        <f>IFERROR(__xludf.DUMMYFUNCTION("""COMPUTED_VALUE"""),0.0)</f>
        <v>0</v>
      </c>
    </row>
    <row r="131">
      <c r="A131" s="6" t="str">
        <f>IFERROR(__xludf.DUMMYFUNCTION("""COMPUTED_VALUE"""),"Batch 156")</f>
        <v>Batch 156</v>
      </c>
      <c r="B131" s="7" t="str">
        <f>IFERROR(__xludf.DUMMYFUNCTION("""COMPUTED_VALUE"""),"SulabhC56")</f>
        <v>SulabhC56</v>
      </c>
      <c r="C131" s="8">
        <f>IFERROR(__xludf.DUMMYFUNCTION("""COMPUTED_VALUE"""),0.0)</f>
        <v>0</v>
      </c>
      <c r="D131" s="8">
        <f>IFERROR(__xludf.DUMMYFUNCTION("""COMPUTED_VALUE"""),0.0)</f>
        <v>0</v>
      </c>
    </row>
    <row r="132">
      <c r="A132" s="6" t="str">
        <f>IFERROR(__xludf.DUMMYFUNCTION("""COMPUTED_VALUE"""),"Batch 156")</f>
        <v>Batch 156</v>
      </c>
      <c r="B132" s="7" t="str">
        <f>IFERROR(__xludf.DUMMYFUNCTION("""COMPUTED_VALUE"""),"GopalC56")</f>
        <v>GopalC56</v>
      </c>
      <c r="C132" s="8">
        <f>IFERROR(__xludf.DUMMYFUNCTION("""COMPUTED_VALUE"""),0.0)</f>
        <v>0</v>
      </c>
      <c r="D132" s="8">
        <f>IFERROR(__xludf.DUMMYFUNCTION("""COMPUTED_VALUE"""),0.0)</f>
        <v>0</v>
      </c>
    </row>
    <row r="133">
      <c r="A133" s="6" t="str">
        <f>IFERROR(__xludf.DUMMYFUNCTION("""COMPUTED_VALUE"""),"Batch 156")</f>
        <v>Batch 156</v>
      </c>
      <c r="B133" s="7" t="str">
        <f>IFERROR(__xludf.DUMMYFUNCTION("""COMPUTED_VALUE"""),"ShubhC56")</f>
        <v>ShubhC56</v>
      </c>
      <c r="C133" s="8">
        <f>IFERROR(__xludf.DUMMYFUNCTION("""COMPUTED_VALUE"""),0.0)</f>
        <v>0</v>
      </c>
      <c r="D133" s="8">
        <f>IFERROR(__xludf.DUMMYFUNCTION("""COMPUTED_VALUE"""),0.0)</f>
        <v>0</v>
      </c>
    </row>
    <row r="134">
      <c r="A134" s="6" t="str">
        <f>IFERROR(__xludf.DUMMYFUNCTION("""COMPUTED_VALUE"""),"Batch 156")</f>
        <v>Batch 156</v>
      </c>
      <c r="B134" s="7" t="str">
        <f>IFERROR(__xludf.DUMMYFUNCTION("""COMPUTED_VALUE"""),"HarshC56")</f>
        <v>HarshC56</v>
      </c>
      <c r="C134" s="8">
        <f>IFERROR(__xludf.DUMMYFUNCTION("""COMPUTED_VALUE"""),0.0)</f>
        <v>0</v>
      </c>
      <c r="D134" s="8">
        <f>IFERROR(__xludf.DUMMYFUNCTION("""COMPUTED_VALUE"""),0.0)</f>
        <v>0</v>
      </c>
    </row>
    <row r="135">
      <c r="A135" s="6" t="str">
        <f>IFERROR(__xludf.DUMMYFUNCTION("""COMPUTED_VALUE"""),"Batch 156")</f>
        <v>Batch 156</v>
      </c>
      <c r="B135" s="7" t="str">
        <f>IFERROR(__xludf.DUMMYFUNCTION("""COMPUTED_VALUE"""),"ShreyaC56")</f>
        <v>ShreyaC56</v>
      </c>
      <c r="C135" s="8">
        <f>IFERROR(__xludf.DUMMYFUNCTION("""COMPUTED_VALUE"""),1.0)</f>
        <v>1</v>
      </c>
      <c r="D135" s="8">
        <f>IFERROR(__xludf.DUMMYFUNCTION("""COMPUTED_VALUE"""),0.0)</f>
        <v>0</v>
      </c>
    </row>
    <row r="136">
      <c r="A136" s="6" t="str">
        <f>IFERROR(__xludf.DUMMYFUNCTION("""COMPUTED_VALUE"""),"Batch 156")</f>
        <v>Batch 156</v>
      </c>
      <c r="B136" s="7" t="str">
        <f>IFERROR(__xludf.DUMMYFUNCTION("""COMPUTED_VALUE"""),"ShivamC56")</f>
        <v>ShivamC56</v>
      </c>
      <c r="C136" s="8">
        <f>IFERROR(__xludf.DUMMYFUNCTION("""COMPUTED_VALUE"""),0.0)</f>
        <v>0</v>
      </c>
      <c r="D136" s="8">
        <f>IFERROR(__xludf.DUMMYFUNCTION("""COMPUTED_VALUE"""),0.0)</f>
        <v>0</v>
      </c>
    </row>
    <row r="137">
      <c r="A137" s="6" t="str">
        <f>IFERROR(__xludf.DUMMYFUNCTION("""COMPUTED_VALUE"""),"Batch 156")</f>
        <v>Batch 156</v>
      </c>
      <c r="B137" s="7" t="str">
        <f>IFERROR(__xludf.DUMMYFUNCTION("""COMPUTED_VALUE"""),"BaddipadigeC56")</f>
        <v>BaddipadigeC56</v>
      </c>
      <c r="C137" s="8">
        <f>IFERROR(__xludf.DUMMYFUNCTION("""COMPUTED_VALUE"""),0.0)</f>
        <v>0</v>
      </c>
      <c r="D137" s="8">
        <f>IFERROR(__xludf.DUMMYFUNCTION("""COMPUTED_VALUE"""),0.0)</f>
        <v>0</v>
      </c>
    </row>
    <row r="138">
      <c r="A138" s="6" t="str">
        <f>IFERROR(__xludf.DUMMYFUNCTION("""COMPUTED_VALUE"""),"Batch 156")</f>
        <v>Batch 156</v>
      </c>
      <c r="B138" s="7" t="str">
        <f>IFERROR(__xludf.DUMMYFUNCTION("""COMPUTED_VALUE"""),"FatimaC56")</f>
        <v>FatimaC56</v>
      </c>
      <c r="C138" s="8">
        <f>IFERROR(__xludf.DUMMYFUNCTION("""COMPUTED_VALUE"""),0.0)</f>
        <v>0</v>
      </c>
      <c r="D138" s="8">
        <f>IFERROR(__xludf.DUMMYFUNCTION("""COMPUTED_VALUE"""),0.0)</f>
        <v>0</v>
      </c>
    </row>
    <row r="139">
      <c r="A139" s="6" t="str">
        <f>IFERROR(__xludf.DUMMYFUNCTION("""COMPUTED_VALUE"""),"Batch 156")</f>
        <v>Batch 156</v>
      </c>
      <c r="B139" s="7" t="str">
        <f>IFERROR(__xludf.DUMMYFUNCTION("""COMPUTED_VALUE"""),"AshwaniC56")</f>
        <v>AshwaniC56</v>
      </c>
      <c r="C139" s="8">
        <f>IFERROR(__xludf.DUMMYFUNCTION("""COMPUTED_VALUE"""),0.0)</f>
        <v>0</v>
      </c>
      <c r="D139" s="8">
        <f>IFERROR(__xludf.DUMMYFUNCTION("""COMPUTED_VALUE"""),0.0)</f>
        <v>0</v>
      </c>
    </row>
    <row r="140">
      <c r="A140" s="6" t="str">
        <f>IFERROR(__xludf.DUMMYFUNCTION("""COMPUTED_VALUE"""),"Batch 156")</f>
        <v>Batch 156</v>
      </c>
      <c r="B140" s="7" t="str">
        <f>IFERROR(__xludf.DUMMYFUNCTION("""COMPUTED_VALUE"""),"MohammadC56")</f>
        <v>MohammadC56</v>
      </c>
      <c r="C140" s="8">
        <f>IFERROR(__xludf.DUMMYFUNCTION("""COMPUTED_VALUE"""),0.0)</f>
        <v>0</v>
      </c>
      <c r="D140" s="8">
        <f>IFERROR(__xludf.DUMMYFUNCTION("""COMPUTED_VALUE"""),0.0)</f>
        <v>0</v>
      </c>
    </row>
    <row r="141">
      <c r="A141" s="6" t="str">
        <f>IFERROR(__xludf.DUMMYFUNCTION("""COMPUTED_VALUE"""),"Batch 156")</f>
        <v>Batch 156</v>
      </c>
      <c r="B141" s="7" t="str">
        <f>IFERROR(__xludf.DUMMYFUNCTION("""COMPUTED_VALUE"""),"PalakC56")</f>
        <v>PalakC56</v>
      </c>
      <c r="C141" s="8">
        <f>IFERROR(__xludf.DUMMYFUNCTION("""COMPUTED_VALUE"""),0.0)</f>
        <v>0</v>
      </c>
      <c r="D141" s="8">
        <f>IFERROR(__xludf.DUMMYFUNCTION("""COMPUTED_VALUE"""),0.0)</f>
        <v>0</v>
      </c>
    </row>
    <row r="142">
      <c r="A142" s="6" t="str">
        <f>IFERROR(__xludf.DUMMYFUNCTION("""COMPUTED_VALUE"""),"Batch 156")</f>
        <v>Batch 156</v>
      </c>
      <c r="B142" s="7" t="str">
        <f>IFERROR(__xludf.DUMMYFUNCTION("""COMPUTED_VALUE"""),"SANJAYC56")</f>
        <v>SANJAYC56</v>
      </c>
      <c r="C142" s="8">
        <f>IFERROR(__xludf.DUMMYFUNCTION("""COMPUTED_VALUE"""),0.0)</f>
        <v>0</v>
      </c>
      <c r="D142" s="8">
        <f>IFERROR(__xludf.DUMMYFUNCTION("""COMPUTED_VALUE"""),0.0)</f>
        <v>0</v>
      </c>
    </row>
    <row r="143">
      <c r="A143" s="6"/>
      <c r="B143" s="7"/>
      <c r="C143" s="8">
        <f>IFERROR(__xludf.DUMMYFUNCTION("""COMPUTED_VALUE"""),0.0)</f>
        <v>0</v>
      </c>
      <c r="D143" s="8"/>
    </row>
    <row r="144">
      <c r="A144" s="6" t="str">
        <f>IFERROR(__xludf.DUMMYFUNCTION("""COMPUTED_VALUE"""),"Batch 157")</f>
        <v>Batch 157</v>
      </c>
      <c r="B144" s="7" t="str">
        <f>IFERROR(__xludf.DUMMYFUNCTION("""COMPUTED_VALUE"""),"SaniyaC57")</f>
        <v>SaniyaC57</v>
      </c>
      <c r="C144" s="8">
        <f>IFERROR(__xludf.DUMMYFUNCTION("""COMPUTED_VALUE"""),0.0)</f>
        <v>0</v>
      </c>
      <c r="D144" s="8">
        <f>IFERROR(__xludf.DUMMYFUNCTION("""COMPUTED_VALUE"""),0.0)</f>
        <v>0</v>
      </c>
    </row>
    <row r="145">
      <c r="A145" s="6" t="str">
        <f>IFERROR(__xludf.DUMMYFUNCTION("""COMPUTED_VALUE"""),"Batch 157")</f>
        <v>Batch 157</v>
      </c>
      <c r="B145" s="7" t="str">
        <f>IFERROR(__xludf.DUMMYFUNCTION("""COMPUTED_VALUE"""),"DikshaC57")</f>
        <v>DikshaC57</v>
      </c>
      <c r="C145" s="8">
        <f>IFERROR(__xludf.DUMMYFUNCTION("""COMPUTED_VALUE"""),0.0)</f>
        <v>0</v>
      </c>
      <c r="D145" s="8">
        <f>IFERROR(__xludf.DUMMYFUNCTION("""COMPUTED_VALUE"""),0.0)</f>
        <v>0</v>
      </c>
    </row>
    <row r="146">
      <c r="A146" s="6" t="str">
        <f>IFERROR(__xludf.DUMMYFUNCTION("""COMPUTED_VALUE"""),"Batch 157")</f>
        <v>Batch 157</v>
      </c>
      <c r="B146" s="7" t="str">
        <f>IFERROR(__xludf.DUMMYFUNCTION("""COMPUTED_VALUE"""),"MonishC57")</f>
        <v>MonishC57</v>
      </c>
      <c r="C146" s="8">
        <f>IFERROR(__xludf.DUMMYFUNCTION("""COMPUTED_VALUE"""),1.0)</f>
        <v>1</v>
      </c>
      <c r="D146" s="8">
        <f>IFERROR(__xludf.DUMMYFUNCTION("""COMPUTED_VALUE"""),0.0)</f>
        <v>0</v>
      </c>
    </row>
    <row r="147">
      <c r="A147" s="6" t="str">
        <f>IFERROR(__xludf.DUMMYFUNCTION("""COMPUTED_VALUE"""),"Batch 157")</f>
        <v>Batch 157</v>
      </c>
      <c r="B147" s="7" t="str">
        <f>IFERROR(__xludf.DUMMYFUNCTION("""COMPUTED_VALUE"""),"AmiteshC57")</f>
        <v>AmiteshC57</v>
      </c>
      <c r="C147" s="8">
        <f>IFERROR(__xludf.DUMMYFUNCTION("""COMPUTED_VALUE"""),0.0)</f>
        <v>0</v>
      </c>
      <c r="D147" s="8">
        <f>IFERROR(__xludf.DUMMYFUNCTION("""COMPUTED_VALUE"""),0.0)</f>
        <v>0</v>
      </c>
    </row>
    <row r="148">
      <c r="A148" s="6" t="str">
        <f>IFERROR(__xludf.DUMMYFUNCTION("""COMPUTED_VALUE"""),"Batch 157")</f>
        <v>Batch 157</v>
      </c>
      <c r="B148" s="7" t="str">
        <f>IFERROR(__xludf.DUMMYFUNCTION("""COMPUTED_VALUE"""),"SudeshnaC57")</f>
        <v>SudeshnaC57</v>
      </c>
      <c r="C148" s="8">
        <f>IFERROR(__xludf.DUMMYFUNCTION("""COMPUTED_VALUE"""),5.0)</f>
        <v>5</v>
      </c>
      <c r="D148" s="8">
        <f>IFERROR(__xludf.DUMMYFUNCTION("""COMPUTED_VALUE"""),1.0)</f>
        <v>1</v>
      </c>
    </row>
    <row r="149">
      <c r="A149" s="6" t="str">
        <f>IFERROR(__xludf.DUMMYFUNCTION("""COMPUTED_VALUE"""),"Batch 157")</f>
        <v>Batch 157</v>
      </c>
      <c r="B149" s="7" t="str">
        <f>IFERROR(__xludf.DUMMYFUNCTION("""COMPUTED_VALUE"""),"SahinC57")</f>
        <v>SahinC57</v>
      </c>
      <c r="C149" s="8">
        <f>IFERROR(__xludf.DUMMYFUNCTION("""COMPUTED_VALUE"""),0.0)</f>
        <v>0</v>
      </c>
      <c r="D149" s="8">
        <f>IFERROR(__xludf.DUMMYFUNCTION("""COMPUTED_VALUE"""),0.0)</f>
        <v>0</v>
      </c>
    </row>
    <row r="150">
      <c r="A150" s="6" t="str">
        <f>IFERROR(__xludf.DUMMYFUNCTION("""COMPUTED_VALUE"""),"Batch 157")</f>
        <v>Batch 157</v>
      </c>
      <c r="B150" s="7" t="str">
        <f>IFERROR(__xludf.DUMMYFUNCTION("""COMPUTED_VALUE"""),"SwatiC57")</f>
        <v>SwatiC57</v>
      </c>
      <c r="C150" s="8">
        <f>IFERROR(__xludf.DUMMYFUNCTION("""COMPUTED_VALUE"""),0.0)</f>
        <v>0</v>
      </c>
      <c r="D150" s="8">
        <f>IFERROR(__xludf.DUMMYFUNCTION("""COMPUTED_VALUE"""),0.0)</f>
        <v>0</v>
      </c>
    </row>
    <row r="151">
      <c r="A151" s="6" t="str">
        <f>IFERROR(__xludf.DUMMYFUNCTION("""COMPUTED_VALUE"""),"Batch 157")</f>
        <v>Batch 157</v>
      </c>
      <c r="B151" s="7" t="str">
        <f>IFERROR(__xludf.DUMMYFUNCTION("""COMPUTED_VALUE"""),"DhyeyC57")</f>
        <v>DhyeyC57</v>
      </c>
      <c r="C151" s="8">
        <f>IFERROR(__xludf.DUMMYFUNCTION("""COMPUTED_VALUE"""),9.0)</f>
        <v>9</v>
      </c>
      <c r="D151" s="8">
        <f>IFERROR(__xludf.DUMMYFUNCTION("""COMPUTED_VALUE"""),0.0)</f>
        <v>0</v>
      </c>
    </row>
    <row r="152">
      <c r="A152" s="6" t="str">
        <f>IFERROR(__xludf.DUMMYFUNCTION("""COMPUTED_VALUE"""),"Batch 157")</f>
        <v>Batch 157</v>
      </c>
      <c r="B152" s="7" t="str">
        <f>IFERROR(__xludf.DUMMYFUNCTION("""COMPUTED_VALUE"""),"MuskanC57")</f>
        <v>MuskanC57</v>
      </c>
      <c r="C152" s="8">
        <f>IFERROR(__xludf.DUMMYFUNCTION("""COMPUTED_VALUE"""),0.0)</f>
        <v>0</v>
      </c>
      <c r="D152" s="8">
        <f>IFERROR(__xludf.DUMMYFUNCTION("""COMPUTED_VALUE"""),0.0)</f>
        <v>0</v>
      </c>
    </row>
    <row r="153">
      <c r="A153" s="6" t="str">
        <f>IFERROR(__xludf.DUMMYFUNCTION("""COMPUTED_VALUE"""),"Batch 157")</f>
        <v>Batch 157</v>
      </c>
      <c r="B153" s="7" t="str">
        <f>IFERROR(__xludf.DUMMYFUNCTION("""COMPUTED_VALUE"""),"AbhayC57")</f>
        <v>AbhayC57</v>
      </c>
      <c r="C153" s="8">
        <f>IFERROR(__xludf.DUMMYFUNCTION("""COMPUTED_VALUE"""),0.0)</f>
        <v>0</v>
      </c>
      <c r="D153" s="8">
        <f>IFERROR(__xludf.DUMMYFUNCTION("""COMPUTED_VALUE"""),0.0)</f>
        <v>0</v>
      </c>
    </row>
    <row r="154">
      <c r="A154" s="6" t="str">
        <f>IFERROR(__xludf.DUMMYFUNCTION("""COMPUTED_VALUE"""),"Batch 157")</f>
        <v>Batch 157</v>
      </c>
      <c r="B154" s="7" t="str">
        <f>IFERROR(__xludf.DUMMYFUNCTION("""COMPUTED_VALUE"""),"RishavC57")</f>
        <v>RishavC57</v>
      </c>
      <c r="C154" s="8">
        <f>IFERROR(__xludf.DUMMYFUNCTION("""COMPUTED_VALUE"""),0.0)</f>
        <v>0</v>
      </c>
      <c r="D154" s="8">
        <f>IFERROR(__xludf.DUMMYFUNCTION("""COMPUTED_VALUE"""),0.0)</f>
        <v>0</v>
      </c>
    </row>
    <row r="155">
      <c r="A155" s="6" t="str">
        <f>IFERROR(__xludf.DUMMYFUNCTION("""COMPUTED_VALUE"""),"Batch 157")</f>
        <v>Batch 157</v>
      </c>
      <c r="B155" s="7" t="str">
        <f>IFERROR(__xludf.DUMMYFUNCTION("""COMPUTED_VALUE"""),"SanahC57")</f>
        <v>SanahC57</v>
      </c>
      <c r="C155" s="8">
        <f>IFERROR(__xludf.DUMMYFUNCTION("""COMPUTED_VALUE"""),0.0)</f>
        <v>0</v>
      </c>
      <c r="D155" s="8">
        <f>IFERROR(__xludf.DUMMYFUNCTION("""COMPUTED_VALUE"""),0.0)</f>
        <v>0</v>
      </c>
    </row>
    <row r="156">
      <c r="A156" s="6" t="str">
        <f>IFERROR(__xludf.DUMMYFUNCTION("""COMPUTED_VALUE"""),"Batch 157")</f>
        <v>Batch 157</v>
      </c>
      <c r="B156" s="7" t="str">
        <f>IFERROR(__xludf.DUMMYFUNCTION("""COMPUTED_VALUE"""),"CathinaC57")</f>
        <v>CathinaC57</v>
      </c>
      <c r="C156" s="8">
        <f>IFERROR(__xludf.DUMMYFUNCTION("""COMPUTED_VALUE"""),0.0)</f>
        <v>0</v>
      </c>
      <c r="D156" s="8">
        <f>IFERROR(__xludf.DUMMYFUNCTION("""COMPUTED_VALUE"""),0.0)</f>
        <v>0</v>
      </c>
    </row>
    <row r="157">
      <c r="A157" s="6" t="str">
        <f>IFERROR(__xludf.DUMMYFUNCTION("""COMPUTED_VALUE"""),"Batch 157")</f>
        <v>Batch 157</v>
      </c>
      <c r="B157" s="7" t="str">
        <f>IFERROR(__xludf.DUMMYFUNCTION("""COMPUTED_VALUE"""),"HARSHALC57")</f>
        <v>HARSHALC57</v>
      </c>
      <c r="C157" s="8">
        <f>IFERROR(__xludf.DUMMYFUNCTION("""COMPUTED_VALUE"""),0.0)</f>
        <v>0</v>
      </c>
      <c r="D157" s="8">
        <f>IFERROR(__xludf.DUMMYFUNCTION("""COMPUTED_VALUE"""),1.0)</f>
        <v>1</v>
      </c>
    </row>
    <row r="158">
      <c r="A158" s="6" t="str">
        <f>IFERROR(__xludf.DUMMYFUNCTION("""COMPUTED_VALUE"""),"Batch 157")</f>
        <v>Batch 157</v>
      </c>
      <c r="B158" s="7" t="str">
        <f>IFERROR(__xludf.DUMMYFUNCTION("""COMPUTED_VALUE"""),"NehaC57")</f>
        <v>NehaC57</v>
      </c>
      <c r="C158" s="8">
        <f>IFERROR(__xludf.DUMMYFUNCTION("""COMPUTED_VALUE"""),2.0)</f>
        <v>2</v>
      </c>
      <c r="D158" s="8">
        <f>IFERROR(__xludf.DUMMYFUNCTION("""COMPUTED_VALUE"""),0.0)</f>
        <v>0</v>
      </c>
    </row>
    <row r="159">
      <c r="A159" s="6" t="str">
        <f>IFERROR(__xludf.DUMMYFUNCTION("""COMPUTED_VALUE"""),"Batch 157")</f>
        <v>Batch 157</v>
      </c>
      <c r="B159" s="7" t="str">
        <f>IFERROR(__xludf.DUMMYFUNCTION("""COMPUTED_VALUE"""),"DivyanshC57")</f>
        <v>DivyanshC57</v>
      </c>
      <c r="C159" s="8">
        <f>IFERROR(__xludf.DUMMYFUNCTION("""COMPUTED_VALUE"""),0.0)</f>
        <v>0</v>
      </c>
      <c r="D159" s="8">
        <f>IFERROR(__xludf.DUMMYFUNCTION("""COMPUTED_VALUE"""),1.0)</f>
        <v>1</v>
      </c>
    </row>
    <row r="160">
      <c r="A160" s="6" t="str">
        <f>IFERROR(__xludf.DUMMYFUNCTION("""COMPUTED_VALUE"""),"Batch 157")</f>
        <v>Batch 157</v>
      </c>
      <c r="B160" s="7" t="str">
        <f>IFERROR(__xludf.DUMMYFUNCTION("""COMPUTED_VALUE"""),"MohammadC57")</f>
        <v>MohammadC57</v>
      </c>
      <c r="C160" s="8">
        <f>IFERROR(__xludf.DUMMYFUNCTION("""COMPUTED_VALUE"""),0.0)</f>
        <v>0</v>
      </c>
      <c r="D160" s="8">
        <f>IFERROR(__xludf.DUMMYFUNCTION("""COMPUTED_VALUE"""),0.0)</f>
        <v>0</v>
      </c>
    </row>
    <row r="161">
      <c r="A161" s="6" t="str">
        <f>IFERROR(__xludf.DUMMYFUNCTION("""COMPUTED_VALUE"""),"Batch 157")</f>
        <v>Batch 157</v>
      </c>
      <c r="B161" s="7" t="str">
        <f>IFERROR(__xludf.DUMMYFUNCTION("""COMPUTED_VALUE"""),"MitanshC57")</f>
        <v>MitanshC57</v>
      </c>
      <c r="C161" s="8">
        <f>IFERROR(__xludf.DUMMYFUNCTION("""COMPUTED_VALUE"""),3.0)</f>
        <v>3</v>
      </c>
      <c r="D161" s="8">
        <f>IFERROR(__xludf.DUMMYFUNCTION("""COMPUTED_VALUE"""),0.0)</f>
        <v>0</v>
      </c>
    </row>
    <row r="162">
      <c r="A162" s="6" t="str">
        <f>IFERROR(__xludf.DUMMYFUNCTION("""COMPUTED_VALUE"""),"Batch 157")</f>
        <v>Batch 157</v>
      </c>
      <c r="B162" s="7" t="str">
        <f>IFERROR(__xludf.DUMMYFUNCTION("""COMPUTED_VALUE"""),"AnmolC57")</f>
        <v>AnmolC57</v>
      </c>
      <c r="C162" s="8">
        <f>IFERROR(__xludf.DUMMYFUNCTION("""COMPUTED_VALUE"""),3.0)</f>
        <v>3</v>
      </c>
      <c r="D162" s="8">
        <f>IFERROR(__xludf.DUMMYFUNCTION("""COMPUTED_VALUE"""),0.0)</f>
        <v>0</v>
      </c>
    </row>
    <row r="163">
      <c r="A163" s="6" t="str">
        <f>IFERROR(__xludf.DUMMYFUNCTION("""COMPUTED_VALUE"""),"Batch 157")</f>
        <v>Batch 157</v>
      </c>
      <c r="B163" s="7" t="str">
        <f>IFERROR(__xludf.DUMMYFUNCTION("""COMPUTED_VALUE"""),"MohammadC57")</f>
        <v>MohammadC57</v>
      </c>
      <c r="C163" s="8">
        <f>IFERROR(__xludf.DUMMYFUNCTION("""COMPUTED_VALUE"""),0.0)</f>
        <v>0</v>
      </c>
      <c r="D163" s="8">
        <f>IFERROR(__xludf.DUMMYFUNCTION("""COMPUTED_VALUE"""),0.0)</f>
        <v>0</v>
      </c>
    </row>
    <row r="164">
      <c r="A164" s="6" t="str">
        <f>IFERROR(__xludf.DUMMYFUNCTION("""COMPUTED_VALUE"""),"Batch 157")</f>
        <v>Batch 157</v>
      </c>
      <c r="B164" s="7" t="str">
        <f>IFERROR(__xludf.DUMMYFUNCTION("""COMPUTED_VALUE"""),"AishaniC57")</f>
        <v>AishaniC57</v>
      </c>
      <c r="C164" s="8">
        <f>IFERROR(__xludf.DUMMYFUNCTION("""COMPUTED_VALUE"""),1.0)</f>
        <v>1</v>
      </c>
      <c r="D164" s="8">
        <f>IFERROR(__xludf.DUMMYFUNCTION("""COMPUTED_VALUE"""),0.0)</f>
        <v>0</v>
      </c>
    </row>
    <row r="165">
      <c r="A165" s="6" t="str">
        <f>IFERROR(__xludf.DUMMYFUNCTION("""COMPUTED_VALUE"""),"Batch 157")</f>
        <v>Batch 157</v>
      </c>
      <c r="B165" s="7" t="str">
        <f>IFERROR(__xludf.DUMMYFUNCTION("""COMPUTED_VALUE"""),"GarvC57")</f>
        <v>GarvC57</v>
      </c>
      <c r="C165" s="8">
        <f>IFERROR(__xludf.DUMMYFUNCTION("""COMPUTED_VALUE"""),0.0)</f>
        <v>0</v>
      </c>
      <c r="D165" s="8">
        <f>IFERROR(__xludf.DUMMYFUNCTION("""COMPUTED_VALUE"""),0.0)</f>
        <v>0</v>
      </c>
    </row>
    <row r="166">
      <c r="A166" s="6" t="str">
        <f>IFERROR(__xludf.DUMMYFUNCTION("""COMPUTED_VALUE"""),"Batch 157")</f>
        <v>Batch 157</v>
      </c>
      <c r="B166" s="7" t="str">
        <f>IFERROR(__xludf.DUMMYFUNCTION("""COMPUTED_VALUE"""),"HimanshuC57")</f>
        <v>HimanshuC57</v>
      </c>
      <c r="C166" s="8">
        <f>IFERROR(__xludf.DUMMYFUNCTION("""COMPUTED_VALUE"""),0.0)</f>
        <v>0</v>
      </c>
      <c r="D166" s="8">
        <f>IFERROR(__xludf.DUMMYFUNCTION("""COMPUTED_VALUE"""),0.0)</f>
        <v>0</v>
      </c>
    </row>
    <row r="167">
      <c r="A167" s="6" t="str">
        <f>IFERROR(__xludf.DUMMYFUNCTION("""COMPUTED_VALUE"""),"Batch 157")</f>
        <v>Batch 157</v>
      </c>
      <c r="B167" s="7" t="str">
        <f>IFERROR(__xludf.DUMMYFUNCTION("""COMPUTED_VALUE"""),"SimranC57")</f>
        <v>SimranC57</v>
      </c>
      <c r="C167" s="8">
        <f>IFERROR(__xludf.DUMMYFUNCTION("""COMPUTED_VALUE"""),0.0)</f>
        <v>0</v>
      </c>
      <c r="D167" s="8">
        <f>IFERROR(__xludf.DUMMYFUNCTION("""COMPUTED_VALUE"""),0.0)</f>
        <v>0</v>
      </c>
    </row>
    <row r="168">
      <c r="A168" s="6" t="str">
        <f>IFERROR(__xludf.DUMMYFUNCTION("""COMPUTED_VALUE"""),"Batch 157")</f>
        <v>Batch 157</v>
      </c>
      <c r="B168" s="7" t="str">
        <f>IFERROR(__xludf.DUMMYFUNCTION("""COMPUTED_VALUE"""),"MuskanC57")</f>
        <v>MuskanC57</v>
      </c>
      <c r="C168" s="8">
        <f>IFERROR(__xludf.DUMMYFUNCTION("""COMPUTED_VALUE"""),0.0)</f>
        <v>0</v>
      </c>
      <c r="D168" s="8">
        <f>IFERROR(__xludf.DUMMYFUNCTION("""COMPUTED_VALUE"""),0.0)</f>
        <v>0</v>
      </c>
    </row>
    <row r="169">
      <c r="A169" s="6" t="str">
        <f>IFERROR(__xludf.DUMMYFUNCTION("""COMPUTED_VALUE"""),"Batch 157")</f>
        <v>Batch 157</v>
      </c>
      <c r="B169" s="7" t="str">
        <f>IFERROR(__xludf.DUMMYFUNCTION("""COMPUTED_VALUE"""),"KamatchiC57")</f>
        <v>KamatchiC57</v>
      </c>
      <c r="C169" s="8">
        <f>IFERROR(__xludf.DUMMYFUNCTION("""COMPUTED_VALUE"""),0.0)</f>
        <v>0</v>
      </c>
      <c r="D169" s="8">
        <f>IFERROR(__xludf.DUMMYFUNCTION("""COMPUTED_VALUE"""),0.0)</f>
        <v>0</v>
      </c>
    </row>
    <row r="170">
      <c r="A170" s="6" t="str">
        <f>IFERROR(__xludf.DUMMYFUNCTION("""COMPUTED_VALUE"""),"Batch 157")</f>
        <v>Batch 157</v>
      </c>
      <c r="B170" s="7" t="str">
        <f>IFERROR(__xludf.DUMMYFUNCTION("""COMPUTED_VALUE"""),"ShivaniC57")</f>
        <v>ShivaniC57</v>
      </c>
      <c r="C170" s="8">
        <f>IFERROR(__xludf.DUMMYFUNCTION("""COMPUTED_VALUE"""),0.0)</f>
        <v>0</v>
      </c>
      <c r="D170" s="8">
        <f>IFERROR(__xludf.DUMMYFUNCTION("""COMPUTED_VALUE"""),0.0)</f>
        <v>0</v>
      </c>
    </row>
    <row r="171">
      <c r="A171" s="6" t="str">
        <f>IFERROR(__xludf.DUMMYFUNCTION("""COMPUTED_VALUE"""),"Batch 157")</f>
        <v>Batch 157</v>
      </c>
      <c r="B171" s="7" t="str">
        <f>IFERROR(__xludf.DUMMYFUNCTION("""COMPUTED_VALUE"""),"AayushC57")</f>
        <v>AayushC57</v>
      </c>
      <c r="C171" s="8">
        <f>IFERROR(__xludf.DUMMYFUNCTION("""COMPUTED_VALUE"""),0.0)</f>
        <v>0</v>
      </c>
      <c r="D171" s="8">
        <f>IFERROR(__xludf.DUMMYFUNCTION("""COMPUTED_VALUE"""),0.0)</f>
        <v>0</v>
      </c>
    </row>
    <row r="172">
      <c r="A172" s="6" t="str">
        <f>IFERROR(__xludf.DUMMYFUNCTION("""COMPUTED_VALUE"""),"Batch 157")</f>
        <v>Batch 157</v>
      </c>
      <c r="B172" s="7" t="str">
        <f>IFERROR(__xludf.DUMMYFUNCTION("""COMPUTED_VALUE"""),"HiyaC57")</f>
        <v>HiyaC57</v>
      </c>
      <c r="C172" s="8">
        <f>IFERROR(__xludf.DUMMYFUNCTION("""COMPUTED_VALUE"""),0.0)</f>
        <v>0</v>
      </c>
      <c r="D172" s="8">
        <f>IFERROR(__xludf.DUMMYFUNCTION("""COMPUTED_VALUE"""),0.0)</f>
        <v>0</v>
      </c>
    </row>
    <row r="173">
      <c r="A173" s="6" t="str">
        <f>IFERROR(__xludf.DUMMYFUNCTION("""COMPUTED_VALUE"""),"Batch 157")</f>
        <v>Batch 157</v>
      </c>
      <c r="B173" s="7" t="str">
        <f>IFERROR(__xludf.DUMMYFUNCTION("""COMPUTED_VALUE"""),"PriyaC57")</f>
        <v>PriyaC57</v>
      </c>
      <c r="C173" s="8">
        <f>IFERROR(__xludf.DUMMYFUNCTION("""COMPUTED_VALUE"""),0.0)</f>
        <v>0</v>
      </c>
      <c r="D173" s="8">
        <f>IFERROR(__xludf.DUMMYFUNCTION("""COMPUTED_VALUE"""),0.0)</f>
        <v>0</v>
      </c>
    </row>
    <row r="174">
      <c r="A174" s="6" t="str">
        <f>IFERROR(__xludf.DUMMYFUNCTION("""COMPUTED_VALUE"""),"Batch 157")</f>
        <v>Batch 157</v>
      </c>
      <c r="B174" s="7" t="str">
        <f>IFERROR(__xludf.DUMMYFUNCTION("""COMPUTED_VALUE"""),"NavaneethanC57")</f>
        <v>NavaneethanC57</v>
      </c>
      <c r="C174" s="8">
        <f>IFERROR(__xludf.DUMMYFUNCTION("""COMPUTED_VALUE"""),0.0)</f>
        <v>0</v>
      </c>
      <c r="D174" s="8">
        <f>IFERROR(__xludf.DUMMYFUNCTION("""COMPUTED_VALUE"""),0.0)</f>
        <v>0</v>
      </c>
    </row>
    <row r="175">
      <c r="A175" s="6" t="str">
        <f>IFERROR(__xludf.DUMMYFUNCTION("""COMPUTED_VALUE"""),"Batch 157")</f>
        <v>Batch 157</v>
      </c>
      <c r="B175" s="7" t="str">
        <f>IFERROR(__xludf.DUMMYFUNCTION("""COMPUTED_VALUE"""),"AshweenC57")</f>
        <v>AshweenC57</v>
      </c>
      <c r="C175" s="8">
        <f>IFERROR(__xludf.DUMMYFUNCTION("""COMPUTED_VALUE"""),0.0)</f>
        <v>0</v>
      </c>
      <c r="D175" s="8">
        <f>IFERROR(__xludf.DUMMYFUNCTION("""COMPUTED_VALUE"""),0.0)</f>
        <v>0</v>
      </c>
    </row>
    <row r="176">
      <c r="A176" s="6" t="str">
        <f>IFERROR(__xludf.DUMMYFUNCTION("""COMPUTED_VALUE"""),"Batch 157")</f>
        <v>Batch 157</v>
      </c>
      <c r="B176" s="7" t="str">
        <f>IFERROR(__xludf.DUMMYFUNCTION("""COMPUTED_VALUE"""),"PriyanshuC57")</f>
        <v>PriyanshuC57</v>
      </c>
      <c r="C176" s="8">
        <f>IFERROR(__xludf.DUMMYFUNCTION("""COMPUTED_VALUE"""),0.0)</f>
        <v>0</v>
      </c>
      <c r="D176" s="8">
        <f>IFERROR(__xludf.DUMMYFUNCTION("""COMPUTED_VALUE"""),0.0)</f>
        <v>0</v>
      </c>
    </row>
    <row r="177">
      <c r="A177" s="6" t="str">
        <f>IFERROR(__xludf.DUMMYFUNCTION("""COMPUTED_VALUE"""),"Batch 157")</f>
        <v>Batch 157</v>
      </c>
      <c r="B177" s="7" t="str">
        <f>IFERROR(__xludf.DUMMYFUNCTION("""COMPUTED_VALUE"""),"JyotishreeC57")</f>
        <v>JyotishreeC57</v>
      </c>
      <c r="C177" s="8">
        <f>IFERROR(__xludf.DUMMYFUNCTION("""COMPUTED_VALUE"""),0.0)</f>
        <v>0</v>
      </c>
      <c r="D177" s="8">
        <f>IFERROR(__xludf.DUMMYFUNCTION("""COMPUTED_VALUE"""),0.0)</f>
        <v>0</v>
      </c>
    </row>
    <row r="178">
      <c r="A178" s="6" t="str">
        <f>IFERROR(__xludf.DUMMYFUNCTION("""COMPUTED_VALUE"""),"Batch 157")</f>
        <v>Batch 157</v>
      </c>
      <c r="B178" s="7" t="str">
        <f>IFERROR(__xludf.DUMMYFUNCTION("""COMPUTED_VALUE"""),"BhoomikaChauhanC57")</f>
        <v>BhoomikaChauhanC57</v>
      </c>
      <c r="C178" s="8">
        <f>IFERROR(__xludf.DUMMYFUNCTION("""COMPUTED_VALUE"""),0.0)</f>
        <v>0</v>
      </c>
      <c r="D178" s="8">
        <f>IFERROR(__xludf.DUMMYFUNCTION("""COMPUTED_VALUE"""),0.0)</f>
        <v>0</v>
      </c>
    </row>
    <row r="179">
      <c r="A179" s="6" t="str">
        <f>IFERROR(__xludf.DUMMYFUNCTION("""COMPUTED_VALUE"""),"Batch 157")</f>
        <v>Batch 157</v>
      </c>
      <c r="B179" s="7" t="str">
        <f>IFERROR(__xludf.DUMMYFUNCTION("""COMPUTED_VALUE"""),"ManishC57")</f>
        <v>ManishC57</v>
      </c>
      <c r="C179" s="8">
        <f>IFERROR(__xludf.DUMMYFUNCTION("""COMPUTED_VALUE"""),2.0)</f>
        <v>2</v>
      </c>
      <c r="D179" s="8">
        <f>IFERROR(__xludf.DUMMYFUNCTION("""COMPUTED_VALUE"""),0.0)</f>
        <v>0</v>
      </c>
    </row>
    <row r="180">
      <c r="A180" s="6" t="str">
        <f>IFERROR(__xludf.DUMMYFUNCTION("""COMPUTED_VALUE"""),"Batch 157")</f>
        <v>Batch 157</v>
      </c>
      <c r="B180" s="7" t="str">
        <f>IFERROR(__xludf.DUMMYFUNCTION("""COMPUTED_VALUE"""),"TapanC57")</f>
        <v>TapanC57</v>
      </c>
      <c r="C180" s="8">
        <f>IFERROR(__xludf.DUMMYFUNCTION("""COMPUTED_VALUE"""),0.0)</f>
        <v>0</v>
      </c>
      <c r="D180" s="8">
        <f>IFERROR(__xludf.DUMMYFUNCTION("""COMPUTED_VALUE"""),0.0)</f>
        <v>0</v>
      </c>
    </row>
    <row r="181">
      <c r="A181" s="6" t="str">
        <f>IFERROR(__xludf.DUMMYFUNCTION("""COMPUTED_VALUE"""),"Batch 157")</f>
        <v>Batch 157</v>
      </c>
      <c r="B181" s="7" t="str">
        <f>IFERROR(__xludf.DUMMYFUNCTION("""COMPUTED_VALUE"""),"PRIYANSHUC57")</f>
        <v>PRIYANSHUC57</v>
      </c>
      <c r="C181" s="8">
        <f>IFERROR(__xludf.DUMMYFUNCTION("""COMPUTED_VALUE"""),0.0)</f>
        <v>0</v>
      </c>
      <c r="D181" s="8">
        <f>IFERROR(__xludf.DUMMYFUNCTION("""COMPUTED_VALUE"""),0.0)</f>
        <v>0</v>
      </c>
    </row>
    <row r="182">
      <c r="A182" s="6" t="str">
        <f>IFERROR(__xludf.DUMMYFUNCTION("""COMPUTED_VALUE"""),"Batch 157")</f>
        <v>Batch 157</v>
      </c>
      <c r="B182" s="7" t="str">
        <f>IFERROR(__xludf.DUMMYFUNCTION("""COMPUTED_VALUE"""),"AbhishekC57")</f>
        <v>AbhishekC57</v>
      </c>
      <c r="C182" s="8">
        <f>IFERROR(__xludf.DUMMYFUNCTION("""COMPUTED_VALUE"""),0.0)</f>
        <v>0</v>
      </c>
      <c r="D182" s="8">
        <f>IFERROR(__xludf.DUMMYFUNCTION("""COMPUTED_VALUE"""),0.0)</f>
        <v>0</v>
      </c>
    </row>
    <row r="183">
      <c r="A183" s="6" t="str">
        <f>IFERROR(__xludf.DUMMYFUNCTION("""COMPUTED_VALUE"""),"Batch 157")</f>
        <v>Batch 157</v>
      </c>
      <c r="B183" s="7" t="str">
        <f>IFERROR(__xludf.DUMMYFUNCTION("""COMPUTED_VALUE"""),"JanviC57")</f>
        <v>JanviC57</v>
      </c>
      <c r="C183" s="8">
        <f>IFERROR(__xludf.DUMMYFUNCTION("""COMPUTED_VALUE"""),0.0)</f>
        <v>0</v>
      </c>
      <c r="D183" s="8">
        <f>IFERROR(__xludf.DUMMYFUNCTION("""COMPUTED_VALUE"""),0.0)</f>
        <v>0</v>
      </c>
    </row>
    <row r="184">
      <c r="A184" s="6" t="str">
        <f>IFERROR(__xludf.DUMMYFUNCTION("""COMPUTED_VALUE"""),"Batch 157")</f>
        <v>Batch 157</v>
      </c>
      <c r="B184" s="7" t="str">
        <f>IFERROR(__xludf.DUMMYFUNCTION("""COMPUTED_VALUE"""),"priyanshC57")</f>
        <v>priyanshC57</v>
      </c>
      <c r="C184" s="8">
        <f>IFERROR(__xludf.DUMMYFUNCTION("""COMPUTED_VALUE"""),0.0)</f>
        <v>0</v>
      </c>
      <c r="D184" s="8">
        <f>IFERROR(__xludf.DUMMYFUNCTION("""COMPUTED_VALUE"""),0.0)</f>
        <v>0</v>
      </c>
    </row>
    <row r="185">
      <c r="A185" s="6" t="str">
        <f>IFERROR(__xludf.DUMMYFUNCTION("""COMPUTED_VALUE"""),"Batch 157")</f>
        <v>Batch 157</v>
      </c>
      <c r="B185" s="7" t="str">
        <f>IFERROR(__xludf.DUMMYFUNCTION("""COMPUTED_VALUE"""),"ShreyC57")</f>
        <v>ShreyC57</v>
      </c>
      <c r="C185" s="8">
        <f>IFERROR(__xludf.DUMMYFUNCTION("""COMPUTED_VALUE"""),3.0)</f>
        <v>3</v>
      </c>
      <c r="D185" s="8">
        <f>IFERROR(__xludf.DUMMYFUNCTION("""COMPUTED_VALUE"""),0.0)</f>
        <v>0</v>
      </c>
    </row>
    <row r="186">
      <c r="A186" s="6" t="str">
        <f>IFERROR(__xludf.DUMMYFUNCTION("""COMPUTED_VALUE"""),"Batch 157")</f>
        <v>Batch 157</v>
      </c>
      <c r="B186" s="7" t="str">
        <f>IFERROR(__xludf.DUMMYFUNCTION("""COMPUTED_VALUE"""),"GodaseC57")</f>
        <v>GodaseC57</v>
      </c>
      <c r="C186" s="8">
        <f>IFERROR(__xludf.DUMMYFUNCTION("""COMPUTED_VALUE"""),0.0)</f>
        <v>0</v>
      </c>
      <c r="D186" s="8">
        <f>IFERROR(__xludf.DUMMYFUNCTION("""COMPUTED_VALUE"""),0.0)</f>
        <v>0</v>
      </c>
    </row>
    <row r="187">
      <c r="A187" s="6" t="str">
        <f>IFERROR(__xludf.DUMMYFUNCTION("""COMPUTED_VALUE"""),"Batch 157")</f>
        <v>Batch 157</v>
      </c>
      <c r="B187" s="7" t="str">
        <f>IFERROR(__xludf.DUMMYFUNCTION("""COMPUTED_VALUE"""),"SumanC57")</f>
        <v>SumanC57</v>
      </c>
      <c r="C187" s="8">
        <f>IFERROR(__xludf.DUMMYFUNCTION("""COMPUTED_VALUE"""),0.0)</f>
        <v>0</v>
      </c>
      <c r="D187" s="8">
        <f>IFERROR(__xludf.DUMMYFUNCTION("""COMPUTED_VALUE"""),0.0)</f>
        <v>0</v>
      </c>
    </row>
    <row r="188">
      <c r="A188" s="6" t="str">
        <f>IFERROR(__xludf.DUMMYFUNCTION("""COMPUTED_VALUE"""),"Batch 157")</f>
        <v>Batch 157</v>
      </c>
      <c r="B188" s="7" t="str">
        <f>IFERROR(__xludf.DUMMYFUNCTION("""COMPUTED_VALUE"""),"GunjaC57")</f>
        <v>GunjaC57</v>
      </c>
      <c r="C188" s="8">
        <f>IFERROR(__xludf.DUMMYFUNCTION("""COMPUTED_VALUE"""),0.0)</f>
        <v>0</v>
      </c>
      <c r="D188" s="8">
        <f>IFERROR(__xludf.DUMMYFUNCTION("""COMPUTED_VALUE"""),0.0)</f>
        <v>0</v>
      </c>
    </row>
    <row r="189">
      <c r="A189" s="6" t="str">
        <f>IFERROR(__xludf.DUMMYFUNCTION("""COMPUTED_VALUE"""),"Batch 157")</f>
        <v>Batch 157</v>
      </c>
      <c r="B189" s="7" t="str">
        <f>IFERROR(__xludf.DUMMYFUNCTION("""COMPUTED_VALUE"""),"TanyaC57")</f>
        <v>TanyaC57</v>
      </c>
      <c r="C189" s="8">
        <f>IFERROR(__xludf.DUMMYFUNCTION("""COMPUTED_VALUE"""),21.0)</f>
        <v>21</v>
      </c>
      <c r="D189" s="8">
        <f>IFERROR(__xludf.DUMMYFUNCTION("""COMPUTED_VALUE"""),0.0)</f>
        <v>0</v>
      </c>
    </row>
    <row r="190">
      <c r="A190" s="6" t="str">
        <f>IFERROR(__xludf.DUMMYFUNCTION("""COMPUTED_VALUE"""),"Batch 157")</f>
        <v>Batch 157</v>
      </c>
      <c r="B190" s="7" t="str">
        <f>IFERROR(__xludf.DUMMYFUNCTION("""COMPUTED_VALUE"""),"ChandC57")</f>
        <v>ChandC57</v>
      </c>
      <c r="C190" s="8">
        <f>IFERROR(__xludf.DUMMYFUNCTION("""COMPUTED_VALUE"""),0.0)</f>
        <v>0</v>
      </c>
      <c r="D190" s="8">
        <f>IFERROR(__xludf.DUMMYFUNCTION("""COMPUTED_VALUE"""),0.0)</f>
        <v>0</v>
      </c>
    </row>
    <row r="191">
      <c r="A191" s="6" t="str">
        <f>IFERROR(__xludf.DUMMYFUNCTION("""COMPUTED_VALUE"""),"Batch 157")</f>
        <v>Batch 157</v>
      </c>
      <c r="B191" s="7" t="str">
        <f>IFERROR(__xludf.DUMMYFUNCTION("""COMPUTED_VALUE"""),"MehakC57")</f>
        <v>MehakC57</v>
      </c>
      <c r="C191" s="8">
        <f>IFERROR(__xludf.DUMMYFUNCTION("""COMPUTED_VALUE"""),0.0)</f>
        <v>0</v>
      </c>
      <c r="D191" s="8">
        <f>IFERROR(__xludf.DUMMYFUNCTION("""COMPUTED_VALUE"""),0.0)</f>
        <v>0</v>
      </c>
    </row>
    <row r="192">
      <c r="A192" s="6" t="str">
        <f>IFERROR(__xludf.DUMMYFUNCTION("""COMPUTED_VALUE"""),"Batch 157")</f>
        <v>Batch 157</v>
      </c>
      <c r="B192" s="10" t="str">
        <f>IFERROR(__xludf.DUMMYFUNCTION("""COMPUTED_VALUE"""),"PARMUGILANC57")</f>
        <v>PARMUGILANC57</v>
      </c>
      <c r="C192" s="8">
        <f>IFERROR(__xludf.DUMMYFUNCTION("""COMPUTED_VALUE"""),44.0)</f>
        <v>44</v>
      </c>
      <c r="D192" s="8">
        <f>IFERROR(__xludf.DUMMYFUNCTION("""COMPUTED_VALUE"""),27.0)</f>
        <v>27</v>
      </c>
    </row>
    <row r="193">
      <c r="A193" s="6" t="str">
        <f>IFERROR(__xludf.DUMMYFUNCTION("""COMPUTED_VALUE"""),"Batch 157")</f>
        <v>Batch 157</v>
      </c>
      <c r="B193" s="7" t="str">
        <f>IFERROR(__xludf.DUMMYFUNCTION("""COMPUTED_VALUE"""),"AbhijeetC57")</f>
        <v>AbhijeetC57</v>
      </c>
      <c r="C193" s="8">
        <f>IFERROR(__xludf.DUMMYFUNCTION("""COMPUTED_VALUE"""),0.0)</f>
        <v>0</v>
      </c>
      <c r="D193" s="8">
        <f>IFERROR(__xludf.DUMMYFUNCTION("""COMPUTED_VALUE"""),0.0)</f>
        <v>0</v>
      </c>
    </row>
    <row r="194">
      <c r="A194" s="6" t="str">
        <f>IFERROR(__xludf.DUMMYFUNCTION("""COMPUTED_VALUE"""),"Batch 157")</f>
        <v>Batch 157</v>
      </c>
      <c r="B194" s="7" t="str">
        <f>IFERROR(__xludf.DUMMYFUNCTION("""COMPUTED_VALUE"""),"ShlokLadC57")</f>
        <v>ShlokLadC57</v>
      </c>
      <c r="C194" s="8">
        <f>IFERROR(__xludf.DUMMYFUNCTION("""COMPUTED_VALUE"""),1.0)</f>
        <v>1</v>
      </c>
      <c r="D194" s="8">
        <f>IFERROR(__xludf.DUMMYFUNCTION("""COMPUTED_VALUE"""),0.0)</f>
        <v>0</v>
      </c>
    </row>
    <row r="195">
      <c r="A195" s="6"/>
      <c r="B195" s="7"/>
      <c r="C195" s="8">
        <f>IFERROR(__xludf.DUMMYFUNCTION("""COMPUTED_VALUE"""),0.0)</f>
        <v>0</v>
      </c>
      <c r="D195" s="8"/>
    </row>
    <row r="196">
      <c r="A196" s="6" t="str">
        <f>IFERROR(__xludf.DUMMYFUNCTION("""COMPUTED_VALUE"""),"Batch 158")</f>
        <v>Batch 158</v>
      </c>
      <c r="B196" s="7" t="str">
        <f>IFERROR(__xludf.DUMMYFUNCTION("""COMPUTED_VALUE"""),"ShreyaC58")</f>
        <v>ShreyaC58</v>
      </c>
      <c r="C196" s="8">
        <f>IFERROR(__xludf.DUMMYFUNCTION("""COMPUTED_VALUE"""),0.0)</f>
        <v>0</v>
      </c>
      <c r="D196" s="8">
        <f>IFERROR(__xludf.DUMMYFUNCTION("""COMPUTED_VALUE"""),0.0)</f>
        <v>0</v>
      </c>
    </row>
    <row r="197">
      <c r="A197" s="6" t="str">
        <f>IFERROR(__xludf.DUMMYFUNCTION("""COMPUTED_VALUE"""),"Batch 158")</f>
        <v>Batch 158</v>
      </c>
      <c r="B197" s="7" t="str">
        <f>IFERROR(__xludf.DUMMYFUNCTION("""COMPUTED_VALUE"""),"MohdC58")</f>
        <v>MohdC58</v>
      </c>
      <c r="C197" s="8">
        <f>IFERROR(__xludf.DUMMYFUNCTION("""COMPUTED_VALUE"""),11.0)</f>
        <v>11</v>
      </c>
      <c r="D197" s="8">
        <f>IFERROR(__xludf.DUMMYFUNCTION("""COMPUTED_VALUE"""),2.0)</f>
        <v>2</v>
      </c>
    </row>
    <row r="198">
      <c r="A198" s="6" t="str">
        <f>IFERROR(__xludf.DUMMYFUNCTION("""COMPUTED_VALUE"""),"Batch 158")</f>
        <v>Batch 158</v>
      </c>
      <c r="B198" s="7" t="str">
        <f>IFERROR(__xludf.DUMMYFUNCTION("""COMPUTED_VALUE"""),"AsthaC58")</f>
        <v>AsthaC58</v>
      </c>
      <c r="C198" s="8">
        <f>IFERROR(__xludf.DUMMYFUNCTION("""COMPUTED_VALUE"""),1.0)</f>
        <v>1</v>
      </c>
      <c r="D198" s="8">
        <f>IFERROR(__xludf.DUMMYFUNCTION("""COMPUTED_VALUE"""),0.0)</f>
        <v>0</v>
      </c>
    </row>
    <row r="199">
      <c r="A199" s="6" t="str">
        <f>IFERROR(__xludf.DUMMYFUNCTION("""COMPUTED_VALUE"""),"Batch 158")</f>
        <v>Batch 158</v>
      </c>
      <c r="B199" s="7" t="str">
        <f>IFERROR(__xludf.DUMMYFUNCTION("""COMPUTED_VALUE"""),"AyanC58")</f>
        <v>AyanC58</v>
      </c>
      <c r="C199" s="8">
        <f>IFERROR(__xludf.DUMMYFUNCTION("""COMPUTED_VALUE"""),0.0)</f>
        <v>0</v>
      </c>
      <c r="D199" s="8">
        <f>IFERROR(__xludf.DUMMYFUNCTION("""COMPUTED_VALUE"""),0.0)</f>
        <v>0</v>
      </c>
    </row>
    <row r="200">
      <c r="A200" s="6" t="str">
        <f>IFERROR(__xludf.DUMMYFUNCTION("""COMPUTED_VALUE"""),"Batch 158")</f>
        <v>Batch 158</v>
      </c>
      <c r="B200" s="7" t="str">
        <f>IFERROR(__xludf.DUMMYFUNCTION("""COMPUTED_VALUE"""),"KrishnaC58")</f>
        <v>KrishnaC58</v>
      </c>
      <c r="C200" s="8">
        <f>IFERROR(__xludf.DUMMYFUNCTION("""COMPUTED_VALUE"""),16.0)</f>
        <v>16</v>
      </c>
      <c r="D200" s="8">
        <f>IFERROR(__xludf.DUMMYFUNCTION("""COMPUTED_VALUE"""),0.0)</f>
        <v>0</v>
      </c>
    </row>
    <row r="201">
      <c r="A201" s="6" t="str">
        <f>IFERROR(__xludf.DUMMYFUNCTION("""COMPUTED_VALUE"""),"Batch 158")</f>
        <v>Batch 158</v>
      </c>
      <c r="B201" s="7" t="str">
        <f>IFERROR(__xludf.DUMMYFUNCTION("""COMPUTED_VALUE"""),"VaibhavC58")</f>
        <v>VaibhavC58</v>
      </c>
      <c r="C201" s="8">
        <f>IFERROR(__xludf.DUMMYFUNCTION("""COMPUTED_VALUE"""),0.0)</f>
        <v>0</v>
      </c>
      <c r="D201" s="8">
        <f>IFERROR(__xludf.DUMMYFUNCTION("""COMPUTED_VALUE"""),0.0)</f>
        <v>0</v>
      </c>
    </row>
    <row r="202">
      <c r="A202" s="6" t="str">
        <f>IFERROR(__xludf.DUMMYFUNCTION("""COMPUTED_VALUE"""),"Batch 158")</f>
        <v>Batch 158</v>
      </c>
      <c r="B202" s="7" t="str">
        <f>IFERROR(__xludf.DUMMYFUNCTION("""COMPUTED_VALUE"""),"NavaneethanC58")</f>
        <v>NavaneethanC58</v>
      </c>
      <c r="C202" s="8">
        <f>IFERROR(__xludf.DUMMYFUNCTION("""COMPUTED_VALUE"""),9.0)</f>
        <v>9</v>
      </c>
      <c r="D202" s="8">
        <f>IFERROR(__xludf.DUMMYFUNCTION("""COMPUTED_VALUE"""),7.0)</f>
        <v>7</v>
      </c>
    </row>
    <row r="203">
      <c r="A203" s="6" t="str">
        <f>IFERROR(__xludf.DUMMYFUNCTION("""COMPUTED_VALUE"""),"Batch 158")</f>
        <v>Batch 158</v>
      </c>
      <c r="B203" s="7" t="str">
        <f>IFERROR(__xludf.DUMMYFUNCTION("""COMPUTED_VALUE"""),"AbhinavC58")</f>
        <v>AbhinavC58</v>
      </c>
      <c r="C203" s="8">
        <f>IFERROR(__xludf.DUMMYFUNCTION("""COMPUTED_VALUE"""),7.0)</f>
        <v>7</v>
      </c>
      <c r="D203" s="8">
        <f>IFERROR(__xludf.DUMMYFUNCTION("""COMPUTED_VALUE"""),1.0)</f>
        <v>1</v>
      </c>
    </row>
    <row r="204">
      <c r="A204" s="6" t="str">
        <f>IFERROR(__xludf.DUMMYFUNCTION("""COMPUTED_VALUE"""),"Batch 158")</f>
        <v>Batch 158</v>
      </c>
      <c r="B204" s="7" t="str">
        <f>IFERROR(__xludf.DUMMYFUNCTION("""COMPUTED_VALUE"""),"OmC58")</f>
        <v>OmC58</v>
      </c>
      <c r="C204" s="8">
        <f>IFERROR(__xludf.DUMMYFUNCTION("""COMPUTED_VALUE"""),0.0)</f>
        <v>0</v>
      </c>
      <c r="D204" s="8">
        <f>IFERROR(__xludf.DUMMYFUNCTION("""COMPUTED_VALUE"""),0.0)</f>
        <v>0</v>
      </c>
    </row>
    <row r="205">
      <c r="A205" s="6" t="str">
        <f>IFERROR(__xludf.DUMMYFUNCTION("""COMPUTED_VALUE"""),"Batch 158")</f>
        <v>Batch 158</v>
      </c>
      <c r="B205" s="7" t="str">
        <f>IFERROR(__xludf.DUMMYFUNCTION("""COMPUTED_VALUE"""),"AsthaC58")</f>
        <v>AsthaC58</v>
      </c>
      <c r="C205" s="8">
        <f>IFERROR(__xludf.DUMMYFUNCTION("""COMPUTED_VALUE"""),5.0)</f>
        <v>5</v>
      </c>
      <c r="D205" s="8">
        <f>IFERROR(__xludf.DUMMYFUNCTION("""COMPUTED_VALUE"""),0.0)</f>
        <v>0</v>
      </c>
    </row>
    <row r="206">
      <c r="A206" s="6" t="str">
        <f>IFERROR(__xludf.DUMMYFUNCTION("""COMPUTED_VALUE"""),"Batch 158")</f>
        <v>Batch 158</v>
      </c>
      <c r="B206" s="7" t="str">
        <f>IFERROR(__xludf.DUMMYFUNCTION("""COMPUTED_VALUE"""),"SathwickC58")</f>
        <v>SathwickC58</v>
      </c>
      <c r="C206" s="8">
        <f>IFERROR(__xludf.DUMMYFUNCTION("""COMPUTED_VALUE"""),0.0)</f>
        <v>0</v>
      </c>
      <c r="D206" s="8">
        <f>IFERROR(__xludf.DUMMYFUNCTION("""COMPUTED_VALUE"""),0.0)</f>
        <v>0</v>
      </c>
    </row>
    <row r="207">
      <c r="A207" s="6" t="str">
        <f>IFERROR(__xludf.DUMMYFUNCTION("""COMPUTED_VALUE"""),"Batch 158")</f>
        <v>Batch 158</v>
      </c>
      <c r="B207" s="7" t="str">
        <f>IFERROR(__xludf.DUMMYFUNCTION("""COMPUTED_VALUE"""),"HarshalC58")</f>
        <v>HarshalC58</v>
      </c>
      <c r="C207" s="8">
        <f>IFERROR(__xludf.DUMMYFUNCTION("""COMPUTED_VALUE"""),0.0)</f>
        <v>0</v>
      </c>
      <c r="D207" s="8">
        <f>IFERROR(__xludf.DUMMYFUNCTION("""COMPUTED_VALUE"""),0.0)</f>
        <v>0</v>
      </c>
    </row>
    <row r="208">
      <c r="A208" s="6" t="str">
        <f>IFERROR(__xludf.DUMMYFUNCTION("""COMPUTED_VALUE"""),"Batch 158")</f>
        <v>Batch 158</v>
      </c>
      <c r="B208" s="7" t="str">
        <f>IFERROR(__xludf.DUMMYFUNCTION("""COMPUTED_VALUE"""),"AmanC58")</f>
        <v>AmanC58</v>
      </c>
      <c r="C208" s="8">
        <f>IFERROR(__xludf.DUMMYFUNCTION("""COMPUTED_VALUE"""),1.0)</f>
        <v>1</v>
      </c>
      <c r="D208" s="8">
        <f>IFERROR(__xludf.DUMMYFUNCTION("""COMPUTED_VALUE"""),0.0)</f>
        <v>0</v>
      </c>
    </row>
    <row r="209">
      <c r="A209" s="6" t="str">
        <f>IFERROR(__xludf.DUMMYFUNCTION("""COMPUTED_VALUE"""),"Batch 158")</f>
        <v>Batch 158</v>
      </c>
      <c r="B209" s="7" t="str">
        <f>IFERROR(__xludf.DUMMYFUNCTION("""COMPUTED_VALUE"""),"AmanC58")</f>
        <v>AmanC58</v>
      </c>
      <c r="C209" s="8">
        <f>IFERROR(__xludf.DUMMYFUNCTION("""COMPUTED_VALUE"""),0.0)</f>
        <v>0</v>
      </c>
      <c r="D209" s="8">
        <f>IFERROR(__xludf.DUMMYFUNCTION("""COMPUTED_VALUE"""),0.0)</f>
        <v>0</v>
      </c>
    </row>
    <row r="210">
      <c r="A210" s="6" t="str">
        <f>IFERROR(__xludf.DUMMYFUNCTION("""COMPUTED_VALUE"""),"Batch 158")</f>
        <v>Batch 158</v>
      </c>
      <c r="B210" s="7" t="str">
        <f>IFERROR(__xludf.DUMMYFUNCTION("""COMPUTED_VALUE"""),"SoumyadipC58")</f>
        <v>SoumyadipC58</v>
      </c>
      <c r="C210" s="8">
        <f>IFERROR(__xludf.DUMMYFUNCTION("""COMPUTED_VALUE"""),0.0)</f>
        <v>0</v>
      </c>
      <c r="D210" s="8">
        <f>IFERROR(__xludf.DUMMYFUNCTION("""COMPUTED_VALUE"""),0.0)</f>
        <v>0</v>
      </c>
    </row>
    <row r="211">
      <c r="A211" s="6" t="str">
        <f>IFERROR(__xludf.DUMMYFUNCTION("""COMPUTED_VALUE"""),"Batch 158")</f>
        <v>Batch 158</v>
      </c>
      <c r="B211" s="7" t="str">
        <f>IFERROR(__xludf.DUMMYFUNCTION("""COMPUTED_VALUE"""),"FizaunnishaC58")</f>
        <v>FizaunnishaC58</v>
      </c>
      <c r="C211" s="8">
        <f>IFERROR(__xludf.DUMMYFUNCTION("""COMPUTED_VALUE"""),0.0)</f>
        <v>0</v>
      </c>
      <c r="D211" s="8">
        <f>IFERROR(__xludf.DUMMYFUNCTION("""COMPUTED_VALUE"""),0.0)</f>
        <v>0</v>
      </c>
    </row>
    <row r="212">
      <c r="A212" s="6" t="str">
        <f>IFERROR(__xludf.DUMMYFUNCTION("""COMPUTED_VALUE"""),"Batch 158")</f>
        <v>Batch 158</v>
      </c>
      <c r="B212" s="7" t="str">
        <f>IFERROR(__xludf.DUMMYFUNCTION("""COMPUTED_VALUE"""),"TashviC58")</f>
        <v>TashviC58</v>
      </c>
      <c r="C212" s="8">
        <f>IFERROR(__xludf.DUMMYFUNCTION("""COMPUTED_VALUE"""),0.0)</f>
        <v>0</v>
      </c>
      <c r="D212" s="8">
        <f>IFERROR(__xludf.DUMMYFUNCTION("""COMPUTED_VALUE"""),0.0)</f>
        <v>0</v>
      </c>
    </row>
    <row r="213">
      <c r="A213" s="6" t="str">
        <f>IFERROR(__xludf.DUMMYFUNCTION("""COMPUTED_VALUE"""),"Batch 158")</f>
        <v>Batch 158</v>
      </c>
      <c r="B213" s="7" t="str">
        <f>IFERROR(__xludf.DUMMYFUNCTION("""COMPUTED_VALUE"""),"ShivamC58")</f>
        <v>ShivamC58</v>
      </c>
      <c r="C213" s="8">
        <f>IFERROR(__xludf.DUMMYFUNCTION("""COMPUTED_VALUE"""),0.0)</f>
        <v>0</v>
      </c>
      <c r="D213" s="8">
        <f>IFERROR(__xludf.DUMMYFUNCTION("""COMPUTED_VALUE"""),1.0)</f>
        <v>1</v>
      </c>
    </row>
    <row r="214">
      <c r="A214" s="6" t="str">
        <f>IFERROR(__xludf.DUMMYFUNCTION("""COMPUTED_VALUE"""),"Batch 158")</f>
        <v>Batch 158</v>
      </c>
      <c r="B214" s="7" t="str">
        <f>IFERROR(__xludf.DUMMYFUNCTION("""COMPUTED_VALUE"""),"MuditC58")</f>
        <v>MuditC58</v>
      </c>
      <c r="C214" s="8">
        <f>IFERROR(__xludf.DUMMYFUNCTION("""COMPUTED_VALUE"""),19.0)</f>
        <v>19</v>
      </c>
      <c r="D214" s="8">
        <f>IFERROR(__xludf.DUMMYFUNCTION("""COMPUTED_VALUE"""),1.0)</f>
        <v>1</v>
      </c>
    </row>
    <row r="215">
      <c r="A215" s="6" t="str">
        <f>IFERROR(__xludf.DUMMYFUNCTION("""COMPUTED_VALUE"""),"Batch 158")</f>
        <v>Batch 158</v>
      </c>
      <c r="B215" s="7" t="str">
        <f>IFERROR(__xludf.DUMMYFUNCTION("""COMPUTED_VALUE"""),"AniketC58")</f>
        <v>AniketC58</v>
      </c>
      <c r="C215" s="8">
        <f>IFERROR(__xludf.DUMMYFUNCTION("""COMPUTED_VALUE"""),0.0)</f>
        <v>0</v>
      </c>
      <c r="D215" s="8">
        <f>IFERROR(__xludf.DUMMYFUNCTION("""COMPUTED_VALUE"""),0.0)</f>
        <v>0</v>
      </c>
    </row>
    <row r="216">
      <c r="A216" s="6" t="str">
        <f>IFERROR(__xludf.DUMMYFUNCTION("""COMPUTED_VALUE"""),"Batch 158")</f>
        <v>Batch 158</v>
      </c>
      <c r="B216" s="7" t="str">
        <f>IFERROR(__xludf.DUMMYFUNCTION("""COMPUTED_VALUE"""),"RAJESHC58")</f>
        <v>RAJESHC58</v>
      </c>
      <c r="C216" s="8">
        <f>IFERROR(__xludf.DUMMYFUNCTION("""COMPUTED_VALUE"""),3.0)</f>
        <v>3</v>
      </c>
      <c r="D216" s="8">
        <f>IFERROR(__xludf.DUMMYFUNCTION("""COMPUTED_VALUE"""),1.0)</f>
        <v>1</v>
      </c>
    </row>
    <row r="217">
      <c r="A217" s="6" t="str">
        <f>IFERROR(__xludf.DUMMYFUNCTION("""COMPUTED_VALUE"""),"Batch 158")</f>
        <v>Batch 158</v>
      </c>
      <c r="B217" s="7" t="str">
        <f>IFERROR(__xludf.DUMMYFUNCTION("""COMPUTED_VALUE"""),"SiddhimatiC58")</f>
        <v>SiddhimatiC58</v>
      </c>
      <c r="C217" s="8">
        <f>IFERROR(__xludf.DUMMYFUNCTION("""COMPUTED_VALUE"""),0.0)</f>
        <v>0</v>
      </c>
      <c r="D217" s="8">
        <f>IFERROR(__xludf.DUMMYFUNCTION("""COMPUTED_VALUE"""),0.0)</f>
        <v>0</v>
      </c>
    </row>
    <row r="218">
      <c r="A218" s="6" t="str">
        <f>IFERROR(__xludf.DUMMYFUNCTION("""COMPUTED_VALUE"""),"Batch 158")</f>
        <v>Batch 158</v>
      </c>
      <c r="B218" s="7" t="str">
        <f>IFERROR(__xludf.DUMMYFUNCTION("""COMPUTED_VALUE"""),"SURYAC58")</f>
        <v>SURYAC58</v>
      </c>
      <c r="C218" s="8">
        <f>IFERROR(__xludf.DUMMYFUNCTION("""COMPUTED_VALUE"""),0.0)</f>
        <v>0</v>
      </c>
      <c r="D218" s="8">
        <f>IFERROR(__xludf.DUMMYFUNCTION("""COMPUTED_VALUE"""),0.0)</f>
        <v>0</v>
      </c>
    </row>
    <row r="219">
      <c r="A219" s="6" t="str">
        <f>IFERROR(__xludf.DUMMYFUNCTION("""COMPUTED_VALUE"""),"Batch 158")</f>
        <v>Batch 158</v>
      </c>
      <c r="B219" s="7" t="str">
        <f>IFERROR(__xludf.DUMMYFUNCTION("""COMPUTED_VALUE"""),"AryanC58")</f>
        <v>AryanC58</v>
      </c>
      <c r="C219" s="8">
        <f>IFERROR(__xludf.DUMMYFUNCTION("""COMPUTED_VALUE"""),0.0)</f>
        <v>0</v>
      </c>
      <c r="D219" s="8">
        <f>IFERROR(__xludf.DUMMYFUNCTION("""COMPUTED_VALUE"""),0.0)</f>
        <v>0</v>
      </c>
    </row>
    <row r="220">
      <c r="A220" s="6" t="str">
        <f>IFERROR(__xludf.DUMMYFUNCTION("""COMPUTED_VALUE"""),"Batch 158")</f>
        <v>Batch 158</v>
      </c>
      <c r="B220" s="7" t="str">
        <f>IFERROR(__xludf.DUMMYFUNCTION("""COMPUTED_VALUE"""),"MiriyalaC58")</f>
        <v>MiriyalaC58</v>
      </c>
      <c r="C220" s="8">
        <f>IFERROR(__xludf.DUMMYFUNCTION("""COMPUTED_VALUE"""),0.0)</f>
        <v>0</v>
      </c>
      <c r="D220" s="8">
        <f>IFERROR(__xludf.DUMMYFUNCTION("""COMPUTED_VALUE"""),0.0)</f>
        <v>0</v>
      </c>
    </row>
    <row r="221">
      <c r="A221" s="6" t="str">
        <f>IFERROR(__xludf.DUMMYFUNCTION("""COMPUTED_VALUE"""),"Batch 158")</f>
        <v>Batch 158</v>
      </c>
      <c r="B221" s="7" t="str">
        <f>IFERROR(__xludf.DUMMYFUNCTION("""COMPUTED_VALUE"""),"RafatC58")</f>
        <v>RafatC58</v>
      </c>
      <c r="C221" s="8">
        <f>IFERROR(__xludf.DUMMYFUNCTION("""COMPUTED_VALUE"""),0.0)</f>
        <v>0</v>
      </c>
      <c r="D221" s="8">
        <f>IFERROR(__xludf.DUMMYFUNCTION("""COMPUTED_VALUE"""),0.0)</f>
        <v>0</v>
      </c>
    </row>
    <row r="222">
      <c r="A222" s="6" t="str">
        <f>IFERROR(__xludf.DUMMYFUNCTION("""COMPUTED_VALUE"""),"Batch 158")</f>
        <v>Batch 158</v>
      </c>
      <c r="B222" s="7" t="str">
        <f>IFERROR(__xludf.DUMMYFUNCTION("""COMPUTED_VALUE"""),"MurshidC58")</f>
        <v>MurshidC58</v>
      </c>
      <c r="C222" s="8">
        <f>IFERROR(__xludf.DUMMYFUNCTION("""COMPUTED_VALUE"""),0.0)</f>
        <v>0</v>
      </c>
      <c r="D222" s="8">
        <f>IFERROR(__xludf.DUMMYFUNCTION("""COMPUTED_VALUE"""),0.0)</f>
        <v>0</v>
      </c>
    </row>
    <row r="223">
      <c r="A223" s="6"/>
      <c r="B223" s="7"/>
      <c r="C223" s="8">
        <f>IFERROR(__xludf.DUMMYFUNCTION("""COMPUTED_VALUE"""),0.0)</f>
        <v>0</v>
      </c>
      <c r="D223" s="8"/>
    </row>
    <row r="224">
      <c r="A224" s="6" t="str">
        <f>IFERROR(__xludf.DUMMYFUNCTION("""COMPUTED_VALUE"""),"Batch 158")</f>
        <v>Batch 158</v>
      </c>
      <c r="B224" s="7" t="str">
        <f>IFERROR(__xludf.DUMMYFUNCTION("""COMPUTED_VALUE"""),"KhushiC58")</f>
        <v>KhushiC58</v>
      </c>
      <c r="C224" s="8">
        <f>IFERROR(__xludf.DUMMYFUNCTION("""COMPUTED_VALUE"""),6.0)</f>
        <v>6</v>
      </c>
      <c r="D224" s="8">
        <f>IFERROR(__xludf.DUMMYFUNCTION("""COMPUTED_VALUE"""),0.0)</f>
        <v>0</v>
      </c>
    </row>
    <row r="225">
      <c r="A225" s="6" t="str">
        <f>IFERROR(__xludf.DUMMYFUNCTION("""COMPUTED_VALUE"""),"Batch 158")</f>
        <v>Batch 158</v>
      </c>
      <c r="B225" s="7" t="str">
        <f>IFERROR(__xludf.DUMMYFUNCTION("""COMPUTED_VALUE"""),"AtharvC58")</f>
        <v>AtharvC58</v>
      </c>
      <c r="C225" s="8">
        <f>IFERROR(__xludf.DUMMYFUNCTION("""COMPUTED_VALUE"""),0.0)</f>
        <v>0</v>
      </c>
      <c r="D225" s="8">
        <f>IFERROR(__xludf.DUMMYFUNCTION("""COMPUTED_VALUE"""),0.0)</f>
        <v>0</v>
      </c>
    </row>
    <row r="226">
      <c r="A226" s="6" t="str">
        <f>IFERROR(__xludf.DUMMYFUNCTION("""COMPUTED_VALUE"""),"Batch 158")</f>
        <v>Batch 158</v>
      </c>
      <c r="B226" s="7" t="str">
        <f>IFERROR(__xludf.DUMMYFUNCTION("""COMPUTED_VALUE"""),"AnidullaC58")</f>
        <v>AnidullaC58</v>
      </c>
      <c r="C226" s="8">
        <f>IFERROR(__xludf.DUMMYFUNCTION("""COMPUTED_VALUE"""),0.0)</f>
        <v>0</v>
      </c>
      <c r="D226" s="8">
        <f>IFERROR(__xludf.DUMMYFUNCTION("""COMPUTED_VALUE"""),0.0)</f>
        <v>0</v>
      </c>
    </row>
    <row r="227">
      <c r="A227" s="6" t="str">
        <f>IFERROR(__xludf.DUMMYFUNCTION("""COMPUTED_VALUE"""),"Batch 158")</f>
        <v>Batch 158</v>
      </c>
      <c r="B227" s="7" t="str">
        <f>IFERROR(__xludf.DUMMYFUNCTION("""COMPUTED_VALUE"""),"SriC58")</f>
        <v>SriC58</v>
      </c>
      <c r="C227" s="8">
        <f>IFERROR(__xludf.DUMMYFUNCTION("""COMPUTED_VALUE"""),0.0)</f>
        <v>0</v>
      </c>
      <c r="D227" s="8">
        <f>IFERROR(__xludf.DUMMYFUNCTION("""COMPUTED_VALUE"""),0.0)</f>
        <v>0</v>
      </c>
    </row>
    <row r="228">
      <c r="A228" s="6" t="str">
        <f>IFERROR(__xludf.DUMMYFUNCTION("""COMPUTED_VALUE"""),"Batch 158")</f>
        <v>Batch 158</v>
      </c>
      <c r="B228" s="7" t="str">
        <f>IFERROR(__xludf.DUMMYFUNCTION("""COMPUTED_VALUE"""),"BhumikaC58")</f>
        <v>BhumikaC58</v>
      </c>
      <c r="C228" s="8">
        <f>IFERROR(__xludf.DUMMYFUNCTION("""COMPUTED_VALUE"""),0.0)</f>
        <v>0</v>
      </c>
      <c r="D228" s="8">
        <f>IFERROR(__xludf.DUMMYFUNCTION("""COMPUTED_VALUE"""),0.0)</f>
        <v>0</v>
      </c>
    </row>
    <row r="229">
      <c r="A229" s="6" t="str">
        <f>IFERROR(__xludf.DUMMYFUNCTION("""COMPUTED_VALUE"""),"Batch 158")</f>
        <v>Batch 158</v>
      </c>
      <c r="B229" s="7" t="str">
        <f>IFERROR(__xludf.DUMMYFUNCTION("""COMPUTED_VALUE"""),"JamimaC58")</f>
        <v>JamimaC58</v>
      </c>
      <c r="C229" s="8">
        <f>IFERROR(__xludf.DUMMYFUNCTION("""COMPUTED_VALUE"""),0.0)</f>
        <v>0</v>
      </c>
      <c r="D229" s="8">
        <f>IFERROR(__xludf.DUMMYFUNCTION("""COMPUTED_VALUE"""),0.0)</f>
        <v>0</v>
      </c>
    </row>
    <row r="230">
      <c r="A230" s="6" t="str">
        <f>IFERROR(__xludf.DUMMYFUNCTION("""COMPUTED_VALUE"""),"Batch 158")</f>
        <v>Batch 158</v>
      </c>
      <c r="B230" s="7" t="str">
        <f>IFERROR(__xludf.DUMMYFUNCTION("""COMPUTED_VALUE"""),"AnsumanC58")</f>
        <v>AnsumanC58</v>
      </c>
      <c r="C230" s="8">
        <f>IFERROR(__xludf.DUMMYFUNCTION("""COMPUTED_VALUE"""),0.0)</f>
        <v>0</v>
      </c>
      <c r="D230" s="8">
        <f>IFERROR(__xludf.DUMMYFUNCTION("""COMPUTED_VALUE"""),0.0)</f>
        <v>0</v>
      </c>
    </row>
    <row r="231">
      <c r="A231" s="6" t="str">
        <f>IFERROR(__xludf.DUMMYFUNCTION("""COMPUTED_VALUE"""),"Batch 158")</f>
        <v>Batch 158</v>
      </c>
      <c r="B231" s="7" t="str">
        <f>IFERROR(__xludf.DUMMYFUNCTION("""COMPUTED_VALUE"""),"HarshitC58")</f>
        <v>HarshitC58</v>
      </c>
      <c r="C231" s="8">
        <f>IFERROR(__xludf.DUMMYFUNCTION("""COMPUTED_VALUE"""),0.0)</f>
        <v>0</v>
      </c>
      <c r="D231" s="8">
        <f>IFERROR(__xludf.DUMMYFUNCTION("""COMPUTED_VALUE"""),0.0)</f>
        <v>0</v>
      </c>
    </row>
    <row r="232">
      <c r="A232" s="6" t="str">
        <f>IFERROR(__xludf.DUMMYFUNCTION("""COMPUTED_VALUE"""),"Batch 158")</f>
        <v>Batch 158</v>
      </c>
      <c r="B232" s="7" t="str">
        <f>IFERROR(__xludf.DUMMYFUNCTION("""COMPUTED_VALUE"""),"LOVEC58")</f>
        <v>LOVEC58</v>
      </c>
      <c r="C232" s="8">
        <f>IFERROR(__xludf.DUMMYFUNCTION("""COMPUTED_VALUE"""),0.0)</f>
        <v>0</v>
      </c>
      <c r="D232" s="8">
        <f>IFERROR(__xludf.DUMMYFUNCTION("""COMPUTED_VALUE"""),0.0)</f>
        <v>0</v>
      </c>
    </row>
    <row r="233">
      <c r="A233" s="6" t="str">
        <f>IFERROR(__xludf.DUMMYFUNCTION("""COMPUTED_VALUE"""),"Batch 158")</f>
        <v>Batch 158</v>
      </c>
      <c r="B233" s="7" t="str">
        <f>IFERROR(__xludf.DUMMYFUNCTION("""COMPUTED_VALUE"""),"AbishekC58")</f>
        <v>AbishekC58</v>
      </c>
      <c r="C233" s="8">
        <f>IFERROR(__xludf.DUMMYFUNCTION("""COMPUTED_VALUE"""),0.0)</f>
        <v>0</v>
      </c>
      <c r="D233" s="8">
        <f>IFERROR(__xludf.DUMMYFUNCTION("""COMPUTED_VALUE"""),0.0)</f>
        <v>0</v>
      </c>
    </row>
    <row r="234">
      <c r="A234" s="6" t="str">
        <f>IFERROR(__xludf.DUMMYFUNCTION("""COMPUTED_VALUE"""),"Batch 158")</f>
        <v>Batch 158</v>
      </c>
      <c r="B234" s="7" t="str">
        <f>IFERROR(__xludf.DUMMYFUNCTION("""COMPUTED_VALUE"""),"SariaC58")</f>
        <v>SariaC58</v>
      </c>
      <c r="C234" s="8">
        <f>IFERROR(__xludf.DUMMYFUNCTION("""COMPUTED_VALUE"""),0.0)</f>
        <v>0</v>
      </c>
      <c r="D234" s="8">
        <f>IFERROR(__xludf.DUMMYFUNCTION("""COMPUTED_VALUE"""),0.0)</f>
        <v>0</v>
      </c>
    </row>
    <row r="235">
      <c r="A235" s="6" t="str">
        <f>IFERROR(__xludf.DUMMYFUNCTION("""COMPUTED_VALUE"""),"Batch 158")</f>
        <v>Batch 158</v>
      </c>
      <c r="B235" s="7" t="str">
        <f>IFERROR(__xludf.DUMMYFUNCTION("""COMPUTED_VALUE"""),"PrinceC58")</f>
        <v>PrinceC58</v>
      </c>
      <c r="C235" s="8">
        <f>IFERROR(__xludf.DUMMYFUNCTION("""COMPUTED_VALUE"""),0.0)</f>
        <v>0</v>
      </c>
      <c r="D235" s="8">
        <f>IFERROR(__xludf.DUMMYFUNCTION("""COMPUTED_VALUE"""),0.0)</f>
        <v>0</v>
      </c>
    </row>
    <row r="236">
      <c r="A236" s="6" t="str">
        <f>IFERROR(__xludf.DUMMYFUNCTION("""COMPUTED_VALUE"""),"Batch 158")</f>
        <v>Batch 158</v>
      </c>
      <c r="B236" s="7" t="str">
        <f>IFERROR(__xludf.DUMMYFUNCTION("""COMPUTED_VALUE"""),"PradiptiC58")</f>
        <v>PradiptiC58</v>
      </c>
      <c r="C236" s="8">
        <f>IFERROR(__xludf.DUMMYFUNCTION("""COMPUTED_VALUE"""),0.0)</f>
        <v>0</v>
      </c>
      <c r="D236" s="8">
        <f>IFERROR(__xludf.DUMMYFUNCTION("""COMPUTED_VALUE"""),2.0)</f>
        <v>2</v>
      </c>
    </row>
    <row r="237">
      <c r="A237" s="6" t="str">
        <f>IFERROR(__xludf.DUMMYFUNCTION("""COMPUTED_VALUE"""),"Batch 158")</f>
        <v>Batch 158</v>
      </c>
      <c r="B237" s="7" t="str">
        <f>IFERROR(__xludf.DUMMYFUNCTION("""COMPUTED_VALUE"""),"KhushalC58")</f>
        <v>KhushalC58</v>
      </c>
      <c r="C237" s="8">
        <f>IFERROR(__xludf.DUMMYFUNCTION("""COMPUTED_VALUE"""),1.0)</f>
        <v>1</v>
      </c>
      <c r="D237" s="8">
        <f>IFERROR(__xludf.DUMMYFUNCTION("""COMPUTED_VALUE"""),0.0)</f>
        <v>0</v>
      </c>
    </row>
    <row r="238">
      <c r="A238" s="6" t="str">
        <f>IFERROR(__xludf.DUMMYFUNCTION("""COMPUTED_VALUE"""),"Batch 158")</f>
        <v>Batch 158</v>
      </c>
      <c r="B238" s="7" t="str">
        <f>IFERROR(__xludf.DUMMYFUNCTION("""COMPUTED_VALUE"""),"RishiC58")</f>
        <v>RishiC58</v>
      </c>
      <c r="C238" s="8">
        <f>IFERROR(__xludf.DUMMYFUNCTION("""COMPUTED_VALUE"""),0.0)</f>
        <v>0</v>
      </c>
      <c r="D238" s="8">
        <f>IFERROR(__xludf.DUMMYFUNCTION("""COMPUTED_VALUE"""),0.0)</f>
        <v>0</v>
      </c>
    </row>
    <row r="239">
      <c r="A239" s="6" t="str">
        <f>IFERROR(__xludf.DUMMYFUNCTION("""COMPUTED_VALUE"""),"Batch 158")</f>
        <v>Batch 158</v>
      </c>
      <c r="B239" s="7" t="str">
        <f>IFERROR(__xludf.DUMMYFUNCTION("""COMPUTED_VALUE"""),"AmitC58")</f>
        <v>AmitC58</v>
      </c>
      <c r="C239" s="8">
        <f>IFERROR(__xludf.DUMMYFUNCTION("""COMPUTED_VALUE"""),0.0)</f>
        <v>0</v>
      </c>
      <c r="D239" s="8">
        <f>IFERROR(__xludf.DUMMYFUNCTION("""COMPUTED_VALUE"""),0.0)</f>
        <v>0</v>
      </c>
    </row>
    <row r="240">
      <c r="A240" s="6" t="str">
        <f>IFERROR(__xludf.DUMMYFUNCTION("""COMPUTED_VALUE"""),"Batch 158")</f>
        <v>Batch 158</v>
      </c>
      <c r="B240" s="7" t="str">
        <f>IFERROR(__xludf.DUMMYFUNCTION("""COMPUTED_VALUE"""),"ManmeetC58")</f>
        <v>ManmeetC58</v>
      </c>
      <c r="C240" s="8">
        <f>IFERROR(__xludf.DUMMYFUNCTION("""COMPUTED_VALUE"""),0.0)</f>
        <v>0</v>
      </c>
      <c r="D240" s="8">
        <f>IFERROR(__xludf.DUMMYFUNCTION("""COMPUTED_VALUE"""),0.0)</f>
        <v>0</v>
      </c>
    </row>
    <row r="241">
      <c r="A241" s="6" t="str">
        <f>IFERROR(__xludf.DUMMYFUNCTION("""COMPUTED_VALUE"""),"Batch 158")</f>
        <v>Batch 158</v>
      </c>
      <c r="B241" s="7" t="str">
        <f>IFERROR(__xludf.DUMMYFUNCTION("""COMPUTED_VALUE"""),"MaulikC58")</f>
        <v>MaulikC58</v>
      </c>
      <c r="C241" s="8">
        <f>IFERROR(__xludf.DUMMYFUNCTION("""COMPUTED_VALUE"""),6.0)</f>
        <v>6</v>
      </c>
      <c r="D241" s="8">
        <f>IFERROR(__xludf.DUMMYFUNCTION("""COMPUTED_VALUE"""),0.0)</f>
        <v>0</v>
      </c>
    </row>
    <row r="242">
      <c r="A242" s="6" t="str">
        <f>IFERROR(__xludf.DUMMYFUNCTION("""COMPUTED_VALUE"""),"Batch 158")</f>
        <v>Batch 158</v>
      </c>
      <c r="B242" s="7" t="str">
        <f>IFERROR(__xludf.DUMMYFUNCTION("""COMPUTED_VALUE"""),"JayC58")</f>
        <v>JayC58</v>
      </c>
      <c r="C242" s="8">
        <f>IFERROR(__xludf.DUMMYFUNCTION("""COMPUTED_VALUE"""),4.0)</f>
        <v>4</v>
      </c>
      <c r="D242" s="8">
        <f>IFERROR(__xludf.DUMMYFUNCTION("""COMPUTED_VALUE"""),2.0)</f>
        <v>2</v>
      </c>
    </row>
    <row r="243">
      <c r="A243" s="6" t="str">
        <f>IFERROR(__xludf.DUMMYFUNCTION("""COMPUTED_VALUE"""),"Batch 158")</f>
        <v>Batch 158</v>
      </c>
      <c r="B243" s="7" t="str">
        <f>IFERROR(__xludf.DUMMYFUNCTION("""COMPUTED_VALUE"""),"AishwaryaC58")</f>
        <v>AishwaryaC58</v>
      </c>
      <c r="C243" s="8">
        <f>IFERROR(__xludf.DUMMYFUNCTION("""COMPUTED_VALUE"""),0.0)</f>
        <v>0</v>
      </c>
      <c r="D243" s="8">
        <f>IFERROR(__xludf.DUMMYFUNCTION("""COMPUTED_VALUE"""),0.0)</f>
        <v>0</v>
      </c>
    </row>
    <row r="244">
      <c r="A244" s="6" t="str">
        <f>IFERROR(__xludf.DUMMYFUNCTION("""COMPUTED_VALUE"""),"Batch 158")</f>
        <v>Batch 158</v>
      </c>
      <c r="B244" s="7" t="str">
        <f>IFERROR(__xludf.DUMMYFUNCTION("""COMPUTED_VALUE"""),"INDANAC58")</f>
        <v>INDANAC58</v>
      </c>
      <c r="C244" s="8">
        <f>IFERROR(__xludf.DUMMYFUNCTION("""COMPUTED_VALUE"""),0.0)</f>
        <v>0</v>
      </c>
      <c r="D244" s="8">
        <f>IFERROR(__xludf.DUMMYFUNCTION("""COMPUTED_VALUE"""),0.0)</f>
        <v>0</v>
      </c>
    </row>
    <row r="245">
      <c r="A245" s="6" t="str">
        <f>IFERROR(__xludf.DUMMYFUNCTION("""COMPUTED_VALUE"""),"Batch 158")</f>
        <v>Batch 158</v>
      </c>
      <c r="B245" s="7" t="str">
        <f>IFERROR(__xludf.DUMMYFUNCTION("""COMPUTED_VALUE"""),"IbadurC58")</f>
        <v>IbadurC58</v>
      </c>
      <c r="C245" s="8">
        <f>IFERROR(__xludf.DUMMYFUNCTION("""COMPUTED_VALUE"""),0.0)</f>
        <v>0</v>
      </c>
      <c r="D245" s="8">
        <f>IFERROR(__xludf.DUMMYFUNCTION("""COMPUTED_VALUE"""),0.0)</f>
        <v>0</v>
      </c>
    </row>
    <row r="246">
      <c r="A246" s="6"/>
      <c r="B246" s="11"/>
      <c r="C246" s="8">
        <f>IFERROR(__xludf.DUMMYFUNCTION("""COMPUTED_VALUE"""),0.0)</f>
        <v>0</v>
      </c>
      <c r="D246" s="8"/>
    </row>
    <row r="247">
      <c r="A247" s="6" t="str">
        <f>IFERROR(__xludf.DUMMYFUNCTION("""COMPUTED_VALUE"""),"Batch 159")</f>
        <v>Batch 159</v>
      </c>
      <c r="B247" s="7" t="str">
        <f>IFERROR(__xludf.DUMMYFUNCTION("""COMPUTED_VALUE"""),"KomalC59")</f>
        <v>KomalC59</v>
      </c>
      <c r="C247" s="8">
        <f>IFERROR(__xludf.DUMMYFUNCTION("""COMPUTED_VALUE"""),0.0)</f>
        <v>0</v>
      </c>
      <c r="D247" s="8">
        <f>IFERROR(__xludf.DUMMYFUNCTION("""COMPUTED_VALUE"""),0.0)</f>
        <v>0</v>
      </c>
    </row>
    <row r="248">
      <c r="A248" s="6" t="str">
        <f>IFERROR(__xludf.DUMMYFUNCTION("""COMPUTED_VALUE"""),"Batch 159")</f>
        <v>Batch 159</v>
      </c>
      <c r="B248" s="7" t="str">
        <f>IFERROR(__xludf.DUMMYFUNCTION("""COMPUTED_VALUE"""),"ShivanandC59")</f>
        <v>ShivanandC59</v>
      </c>
      <c r="C248" s="8">
        <f>IFERROR(__xludf.DUMMYFUNCTION("""COMPUTED_VALUE"""),0.0)</f>
        <v>0</v>
      </c>
      <c r="D248" s="8">
        <f>IFERROR(__xludf.DUMMYFUNCTION("""COMPUTED_VALUE"""),0.0)</f>
        <v>0</v>
      </c>
    </row>
    <row r="249">
      <c r="A249" s="6" t="str">
        <f>IFERROR(__xludf.DUMMYFUNCTION("""COMPUTED_VALUE"""),"Batch 159")</f>
        <v>Batch 159</v>
      </c>
      <c r="B249" s="7" t="str">
        <f>IFERROR(__xludf.DUMMYFUNCTION("""COMPUTED_VALUE"""),"PradiptiC59")</f>
        <v>PradiptiC59</v>
      </c>
      <c r="C249" s="8">
        <f>IFERROR(__xludf.DUMMYFUNCTION("""COMPUTED_VALUE"""),0.0)</f>
        <v>0</v>
      </c>
      <c r="D249" s="8">
        <f>IFERROR(__xludf.DUMMYFUNCTION("""COMPUTED_VALUE"""),0.0)</f>
        <v>0</v>
      </c>
    </row>
    <row r="250">
      <c r="A250" s="6" t="str">
        <f>IFERROR(__xludf.DUMMYFUNCTION("""COMPUTED_VALUE"""),"Batch 159")</f>
        <v>Batch 159</v>
      </c>
      <c r="B250" s="7" t="str">
        <f>IFERROR(__xludf.DUMMYFUNCTION("""COMPUTED_VALUE"""),"NiteshC59")</f>
        <v>NiteshC59</v>
      </c>
      <c r="C250" s="8">
        <f>IFERROR(__xludf.DUMMYFUNCTION("""COMPUTED_VALUE"""),0.0)</f>
        <v>0</v>
      </c>
      <c r="D250" s="8">
        <f>IFERROR(__xludf.DUMMYFUNCTION("""COMPUTED_VALUE"""),0.0)</f>
        <v>0</v>
      </c>
    </row>
    <row r="251">
      <c r="A251" s="6" t="str">
        <f>IFERROR(__xludf.DUMMYFUNCTION("""COMPUTED_VALUE"""),"Batch 159")</f>
        <v>Batch 159</v>
      </c>
      <c r="B251" s="7" t="str">
        <f>IFERROR(__xludf.DUMMYFUNCTION("""COMPUTED_VALUE"""),"SuvamC59")</f>
        <v>SuvamC59</v>
      </c>
      <c r="C251" s="8">
        <f>IFERROR(__xludf.DUMMYFUNCTION("""COMPUTED_VALUE"""),0.0)</f>
        <v>0</v>
      </c>
      <c r="D251" s="8">
        <f>IFERROR(__xludf.DUMMYFUNCTION("""COMPUTED_VALUE"""),0.0)</f>
        <v>0</v>
      </c>
    </row>
    <row r="252">
      <c r="A252" s="6" t="str">
        <f>IFERROR(__xludf.DUMMYFUNCTION("""COMPUTED_VALUE"""),"Batch 159")</f>
        <v>Batch 159</v>
      </c>
      <c r="B252" s="7" t="str">
        <f>IFERROR(__xludf.DUMMYFUNCTION("""COMPUTED_VALUE"""),"SaniyaC59")</f>
        <v>SaniyaC59</v>
      </c>
      <c r="C252" s="8">
        <f>IFERROR(__xludf.DUMMYFUNCTION("""COMPUTED_VALUE"""),0.0)</f>
        <v>0</v>
      </c>
      <c r="D252" s="8">
        <f>IFERROR(__xludf.DUMMYFUNCTION("""COMPUTED_VALUE"""),0.0)</f>
        <v>0</v>
      </c>
    </row>
    <row r="253">
      <c r="A253" s="6" t="str">
        <f>IFERROR(__xludf.DUMMYFUNCTION("""COMPUTED_VALUE"""),"Batch 159")</f>
        <v>Batch 159</v>
      </c>
      <c r="B253" s="7" t="str">
        <f>IFERROR(__xludf.DUMMYFUNCTION("""COMPUTED_VALUE"""),"N.C59")</f>
        <v>N.C59</v>
      </c>
      <c r="C253" s="8">
        <f>IFERROR(__xludf.DUMMYFUNCTION("""COMPUTED_VALUE"""),0.0)</f>
        <v>0</v>
      </c>
      <c r="D253" s="8">
        <f>IFERROR(__xludf.DUMMYFUNCTION("""COMPUTED_VALUE"""),0.0)</f>
        <v>0</v>
      </c>
    </row>
    <row r="254">
      <c r="A254" s="6" t="str">
        <f>IFERROR(__xludf.DUMMYFUNCTION("""COMPUTED_VALUE"""),"Batch 159")</f>
        <v>Batch 159</v>
      </c>
      <c r="B254" s="7" t="str">
        <f>IFERROR(__xludf.DUMMYFUNCTION("""COMPUTED_VALUE"""),"DebabratC59")</f>
        <v>DebabratC59</v>
      </c>
      <c r="C254" s="8">
        <f>IFERROR(__xludf.DUMMYFUNCTION("""COMPUTED_VALUE"""),0.0)</f>
        <v>0</v>
      </c>
      <c r="D254" s="8">
        <f>IFERROR(__xludf.DUMMYFUNCTION("""COMPUTED_VALUE"""),0.0)</f>
        <v>0</v>
      </c>
    </row>
    <row r="255">
      <c r="A255" s="6" t="str">
        <f>IFERROR(__xludf.DUMMYFUNCTION("""COMPUTED_VALUE"""),"Batch 159")</f>
        <v>Batch 159</v>
      </c>
      <c r="B255" s="7" t="str">
        <f>IFERROR(__xludf.DUMMYFUNCTION("""COMPUTED_VALUE"""),"TavishiC59")</f>
        <v>TavishiC59</v>
      </c>
      <c r="C255" s="8">
        <f>IFERROR(__xludf.DUMMYFUNCTION("""COMPUTED_VALUE"""),0.0)</f>
        <v>0</v>
      </c>
      <c r="D255" s="8">
        <f>IFERROR(__xludf.DUMMYFUNCTION("""COMPUTED_VALUE"""),0.0)</f>
        <v>0</v>
      </c>
    </row>
    <row r="256">
      <c r="A256" s="6" t="str">
        <f>IFERROR(__xludf.DUMMYFUNCTION("""COMPUTED_VALUE"""),"Batch 159")</f>
        <v>Batch 159</v>
      </c>
      <c r="B256" s="7" t="str">
        <f>IFERROR(__xludf.DUMMYFUNCTION("""COMPUTED_VALUE"""),"RishiC59")</f>
        <v>RishiC59</v>
      </c>
      <c r="C256" s="8">
        <f>IFERROR(__xludf.DUMMYFUNCTION("""COMPUTED_VALUE"""),0.0)</f>
        <v>0</v>
      </c>
      <c r="D256" s="8">
        <f>IFERROR(__xludf.DUMMYFUNCTION("""COMPUTED_VALUE"""),0.0)</f>
        <v>0</v>
      </c>
    </row>
    <row r="257">
      <c r="A257" s="6" t="str">
        <f>IFERROR(__xludf.DUMMYFUNCTION("""COMPUTED_VALUE"""),"Batch 159")</f>
        <v>Batch 159</v>
      </c>
      <c r="B257" s="7" t="str">
        <f>IFERROR(__xludf.DUMMYFUNCTION("""COMPUTED_VALUE"""),"RajnishC59")</f>
        <v>RajnishC59</v>
      </c>
      <c r="C257" s="8">
        <f>IFERROR(__xludf.DUMMYFUNCTION("""COMPUTED_VALUE"""),0.0)</f>
        <v>0</v>
      </c>
      <c r="D257" s="8">
        <f>IFERROR(__xludf.DUMMYFUNCTION("""COMPUTED_VALUE"""),0.0)</f>
        <v>0</v>
      </c>
    </row>
    <row r="258">
      <c r="A258" s="6" t="str">
        <f>IFERROR(__xludf.DUMMYFUNCTION("""COMPUTED_VALUE"""),"Batch 159")</f>
        <v>Batch 159</v>
      </c>
      <c r="B258" s="7" t="str">
        <f>IFERROR(__xludf.DUMMYFUNCTION("""COMPUTED_VALUE"""),"SumitC59")</f>
        <v>SumitC59</v>
      </c>
      <c r="C258" s="8">
        <f>IFERROR(__xludf.DUMMYFUNCTION("""COMPUTED_VALUE"""),0.0)</f>
        <v>0</v>
      </c>
      <c r="D258" s="8">
        <f>IFERROR(__xludf.DUMMYFUNCTION("""COMPUTED_VALUE"""),0.0)</f>
        <v>0</v>
      </c>
    </row>
    <row r="259">
      <c r="A259" s="6" t="str">
        <f>IFERROR(__xludf.DUMMYFUNCTION("""COMPUTED_VALUE"""),"Batch 159")</f>
        <v>Batch 159</v>
      </c>
      <c r="B259" s="7" t="str">
        <f>IFERROR(__xludf.DUMMYFUNCTION("""COMPUTED_VALUE"""),"R.C59")</f>
        <v>R.C59</v>
      </c>
      <c r="C259" s="8">
        <f>IFERROR(__xludf.DUMMYFUNCTION("""COMPUTED_VALUE"""),0.0)</f>
        <v>0</v>
      </c>
      <c r="D259" s="8">
        <f>IFERROR(__xludf.DUMMYFUNCTION("""COMPUTED_VALUE"""),0.0)</f>
        <v>0</v>
      </c>
    </row>
    <row r="260">
      <c r="A260" s="6" t="str">
        <f>IFERROR(__xludf.DUMMYFUNCTION("""COMPUTED_VALUE"""),"Batch 159")</f>
        <v>Batch 159</v>
      </c>
      <c r="B260" s="7" t="str">
        <f>IFERROR(__xludf.DUMMYFUNCTION("""COMPUTED_VALUE"""),"AafreenC59")</f>
        <v>AafreenC59</v>
      </c>
      <c r="C260" s="8">
        <f>IFERROR(__xludf.DUMMYFUNCTION("""COMPUTED_VALUE"""),0.0)</f>
        <v>0</v>
      </c>
      <c r="D260" s="8">
        <f>IFERROR(__xludf.DUMMYFUNCTION("""COMPUTED_VALUE"""),0.0)</f>
        <v>0</v>
      </c>
    </row>
    <row r="261">
      <c r="A261" s="6" t="str">
        <f>IFERROR(__xludf.DUMMYFUNCTION("""COMPUTED_VALUE"""),"Batch 159")</f>
        <v>Batch 159</v>
      </c>
      <c r="B261" s="7" t="str">
        <f>IFERROR(__xludf.DUMMYFUNCTION("""COMPUTED_VALUE"""),"RahulC59")</f>
        <v>RahulC59</v>
      </c>
      <c r="C261" s="8">
        <f>IFERROR(__xludf.DUMMYFUNCTION("""COMPUTED_VALUE"""),0.0)</f>
        <v>0</v>
      </c>
      <c r="D261" s="8">
        <f>IFERROR(__xludf.DUMMYFUNCTION("""COMPUTED_VALUE"""),0.0)</f>
        <v>0</v>
      </c>
    </row>
    <row r="262">
      <c r="A262" s="6" t="str">
        <f>IFERROR(__xludf.DUMMYFUNCTION("""COMPUTED_VALUE"""),"Batch 159")</f>
        <v>Batch 159</v>
      </c>
      <c r="B262" s="7" t="str">
        <f>IFERROR(__xludf.DUMMYFUNCTION("""COMPUTED_VALUE"""),"AkashC59")</f>
        <v>AkashC59</v>
      </c>
      <c r="C262" s="8">
        <f>IFERROR(__xludf.DUMMYFUNCTION("""COMPUTED_VALUE"""),1.0)</f>
        <v>1</v>
      </c>
      <c r="D262" s="8">
        <f>IFERROR(__xludf.DUMMYFUNCTION("""COMPUTED_VALUE"""),0.0)</f>
        <v>0</v>
      </c>
    </row>
    <row r="263">
      <c r="A263" s="6" t="str">
        <f>IFERROR(__xludf.DUMMYFUNCTION("""COMPUTED_VALUE"""),"Batch 159")</f>
        <v>Batch 159</v>
      </c>
      <c r="B263" s="7" t="str">
        <f>IFERROR(__xludf.DUMMYFUNCTION("""COMPUTED_VALUE"""),"MilanC59")</f>
        <v>MilanC59</v>
      </c>
      <c r="C263" s="8">
        <f>IFERROR(__xludf.DUMMYFUNCTION("""COMPUTED_VALUE"""),51.0)</f>
        <v>51</v>
      </c>
      <c r="D263" s="8">
        <f>IFERROR(__xludf.DUMMYFUNCTION("""COMPUTED_VALUE"""),9.0)</f>
        <v>9</v>
      </c>
    </row>
    <row r="264">
      <c r="A264" s="6" t="str">
        <f>IFERROR(__xludf.DUMMYFUNCTION("""COMPUTED_VALUE"""),"Batch 159")</f>
        <v>Batch 159</v>
      </c>
      <c r="B264" s="7" t="str">
        <f>IFERROR(__xludf.DUMMYFUNCTION("""COMPUTED_VALUE"""),"PriyaC59")</f>
        <v>PriyaC59</v>
      </c>
      <c r="C264" s="8">
        <f>IFERROR(__xludf.DUMMYFUNCTION("""COMPUTED_VALUE"""),0.0)</f>
        <v>0</v>
      </c>
      <c r="D264" s="8">
        <f>IFERROR(__xludf.DUMMYFUNCTION("""COMPUTED_VALUE"""),0.0)</f>
        <v>0</v>
      </c>
    </row>
    <row r="265">
      <c r="A265" s="6" t="str">
        <f>IFERROR(__xludf.DUMMYFUNCTION("""COMPUTED_VALUE"""),"Batch 159")</f>
        <v>Batch 159</v>
      </c>
      <c r="B265" s="7" t="str">
        <f>IFERROR(__xludf.DUMMYFUNCTION("""COMPUTED_VALUE"""),"VipluvC59")</f>
        <v>VipluvC59</v>
      </c>
      <c r="C265" s="8">
        <f>IFERROR(__xludf.DUMMYFUNCTION("""COMPUTED_VALUE"""),2.0)</f>
        <v>2</v>
      </c>
      <c r="D265" s="8">
        <f>IFERROR(__xludf.DUMMYFUNCTION("""COMPUTED_VALUE"""),0.0)</f>
        <v>0</v>
      </c>
    </row>
    <row r="266">
      <c r="A266" s="6" t="str">
        <f>IFERROR(__xludf.DUMMYFUNCTION("""COMPUTED_VALUE"""),"Batch 159")</f>
        <v>Batch 159</v>
      </c>
      <c r="B266" s="7" t="str">
        <f>IFERROR(__xludf.DUMMYFUNCTION("""COMPUTED_VALUE"""),"YashwantC59")</f>
        <v>YashwantC59</v>
      </c>
      <c r="C266" s="8">
        <f>IFERROR(__xludf.DUMMYFUNCTION("""COMPUTED_VALUE"""),1.0)</f>
        <v>1</v>
      </c>
      <c r="D266" s="8">
        <f>IFERROR(__xludf.DUMMYFUNCTION("""COMPUTED_VALUE"""),0.0)</f>
        <v>0</v>
      </c>
    </row>
    <row r="267">
      <c r="A267" s="6" t="str">
        <f>IFERROR(__xludf.DUMMYFUNCTION("""COMPUTED_VALUE"""),"Batch 159")</f>
        <v>Batch 159</v>
      </c>
      <c r="B267" s="7" t="str">
        <f>IFERROR(__xludf.DUMMYFUNCTION("""COMPUTED_VALUE"""),"NavaneethanC59")</f>
        <v>NavaneethanC59</v>
      </c>
      <c r="C267" s="8">
        <f>IFERROR(__xludf.DUMMYFUNCTION("""COMPUTED_VALUE"""),0.0)</f>
        <v>0</v>
      </c>
      <c r="D267" s="8">
        <f>IFERROR(__xludf.DUMMYFUNCTION("""COMPUTED_VALUE"""),0.0)</f>
        <v>0</v>
      </c>
    </row>
    <row r="268">
      <c r="A268" s="6" t="str">
        <f>IFERROR(__xludf.DUMMYFUNCTION("""COMPUTED_VALUE"""),"Batch 159")</f>
        <v>Batch 159</v>
      </c>
      <c r="B268" s="7" t="str">
        <f>IFERROR(__xludf.DUMMYFUNCTION("""COMPUTED_VALUE"""),"HemantC59")</f>
        <v>HemantC59</v>
      </c>
      <c r="C268" s="8">
        <f>IFERROR(__xludf.DUMMYFUNCTION("""COMPUTED_VALUE"""),0.0)</f>
        <v>0</v>
      </c>
      <c r="D268" s="8">
        <f>IFERROR(__xludf.DUMMYFUNCTION("""COMPUTED_VALUE"""),0.0)</f>
        <v>0</v>
      </c>
    </row>
    <row r="269">
      <c r="A269" s="6" t="str">
        <f>IFERROR(__xludf.DUMMYFUNCTION("""COMPUTED_VALUE"""),"Batch 159")</f>
        <v>Batch 159</v>
      </c>
      <c r="B269" s="7" t="str">
        <f>IFERROR(__xludf.DUMMYFUNCTION("""COMPUTED_VALUE"""),"KIRTIKAC59")</f>
        <v>KIRTIKAC59</v>
      </c>
      <c r="C269" s="8">
        <f>IFERROR(__xludf.DUMMYFUNCTION("""COMPUTED_VALUE"""),0.0)</f>
        <v>0</v>
      </c>
      <c r="D269" s="8">
        <f>IFERROR(__xludf.DUMMYFUNCTION("""COMPUTED_VALUE"""),0.0)</f>
        <v>0</v>
      </c>
    </row>
    <row r="270">
      <c r="A270" s="6" t="str">
        <f>IFERROR(__xludf.DUMMYFUNCTION("""COMPUTED_VALUE"""),"Batch 159")</f>
        <v>Batch 159</v>
      </c>
      <c r="B270" s="7" t="str">
        <f>IFERROR(__xludf.DUMMYFUNCTION("""COMPUTED_VALUE"""),"HimanshuC59")</f>
        <v>HimanshuC59</v>
      </c>
      <c r="C270" s="8">
        <f>IFERROR(__xludf.DUMMYFUNCTION("""COMPUTED_VALUE"""),0.0)</f>
        <v>0</v>
      </c>
      <c r="D270" s="8">
        <f>IFERROR(__xludf.DUMMYFUNCTION("""COMPUTED_VALUE"""),0.0)</f>
        <v>0</v>
      </c>
    </row>
    <row r="271">
      <c r="A271" s="6" t="str">
        <f>IFERROR(__xludf.DUMMYFUNCTION("""COMPUTED_VALUE"""),"Batch 159")</f>
        <v>Batch 159</v>
      </c>
      <c r="B271" s="7" t="str">
        <f>IFERROR(__xludf.DUMMYFUNCTION("""COMPUTED_VALUE"""),"PrachitiC59")</f>
        <v>PrachitiC59</v>
      </c>
      <c r="C271" s="8">
        <f>IFERROR(__xludf.DUMMYFUNCTION("""COMPUTED_VALUE"""),0.0)</f>
        <v>0</v>
      </c>
      <c r="D271" s="8">
        <f>IFERROR(__xludf.DUMMYFUNCTION("""COMPUTED_VALUE"""),0.0)</f>
        <v>0</v>
      </c>
    </row>
    <row r="272">
      <c r="A272" s="6" t="str">
        <f>IFERROR(__xludf.DUMMYFUNCTION("""COMPUTED_VALUE"""),"Batch 159")</f>
        <v>Batch 159</v>
      </c>
      <c r="B272" s="7" t="str">
        <f>IFERROR(__xludf.DUMMYFUNCTION("""COMPUTED_VALUE"""),"KurmaC59")</f>
        <v>KurmaC59</v>
      </c>
      <c r="C272" s="8">
        <f>IFERROR(__xludf.DUMMYFUNCTION("""COMPUTED_VALUE"""),0.0)</f>
        <v>0</v>
      </c>
      <c r="D272" s="8">
        <f>IFERROR(__xludf.DUMMYFUNCTION("""COMPUTED_VALUE"""),0.0)</f>
        <v>0</v>
      </c>
    </row>
    <row r="273">
      <c r="A273" s="6" t="str">
        <f>IFERROR(__xludf.DUMMYFUNCTION("""COMPUTED_VALUE"""),"Batch 159")</f>
        <v>Batch 159</v>
      </c>
      <c r="B273" s="7" t="str">
        <f>IFERROR(__xludf.DUMMYFUNCTION("""COMPUTED_VALUE"""),"HarshitaC59")</f>
        <v>HarshitaC59</v>
      </c>
      <c r="C273" s="8">
        <f>IFERROR(__xludf.DUMMYFUNCTION("""COMPUTED_VALUE"""),5.0)</f>
        <v>5</v>
      </c>
      <c r="D273" s="8">
        <f>IFERROR(__xludf.DUMMYFUNCTION("""COMPUTED_VALUE"""),1.0)</f>
        <v>1</v>
      </c>
    </row>
    <row r="274">
      <c r="A274" s="6" t="str">
        <f>IFERROR(__xludf.DUMMYFUNCTION("""COMPUTED_VALUE"""),"Batch 159")</f>
        <v>Batch 159</v>
      </c>
      <c r="B274" s="7" t="str">
        <f>IFERROR(__xludf.DUMMYFUNCTION("""COMPUTED_VALUE"""),"AbhishekC59")</f>
        <v>AbhishekC59</v>
      </c>
      <c r="C274" s="8">
        <f>IFERROR(__xludf.DUMMYFUNCTION("""COMPUTED_VALUE"""),0.0)</f>
        <v>0</v>
      </c>
      <c r="D274" s="8">
        <f>IFERROR(__xludf.DUMMYFUNCTION("""COMPUTED_VALUE"""),0.0)</f>
        <v>0</v>
      </c>
    </row>
    <row r="275">
      <c r="A275" s="6" t="str">
        <f>IFERROR(__xludf.DUMMYFUNCTION("""COMPUTED_VALUE"""),"Batch 159")</f>
        <v>Batch 159</v>
      </c>
      <c r="B275" s="7" t="str">
        <f>IFERROR(__xludf.DUMMYFUNCTION("""COMPUTED_VALUE"""),"SaswataC59")</f>
        <v>SaswataC59</v>
      </c>
      <c r="C275" s="8">
        <f>IFERROR(__xludf.DUMMYFUNCTION("""COMPUTED_VALUE"""),0.0)</f>
        <v>0</v>
      </c>
      <c r="D275" s="8">
        <f>IFERROR(__xludf.DUMMYFUNCTION("""COMPUTED_VALUE"""),0.0)</f>
        <v>0</v>
      </c>
    </row>
    <row r="276">
      <c r="A276" s="6" t="str">
        <f>IFERROR(__xludf.DUMMYFUNCTION("""COMPUTED_VALUE"""),"Batch 159")</f>
        <v>Batch 159</v>
      </c>
      <c r="B276" s="7" t="str">
        <f>IFERROR(__xludf.DUMMYFUNCTION("""COMPUTED_VALUE"""),"AkshitC59")</f>
        <v>AkshitC59</v>
      </c>
      <c r="C276" s="8">
        <f>IFERROR(__xludf.DUMMYFUNCTION("""COMPUTED_VALUE"""),0.0)</f>
        <v>0</v>
      </c>
      <c r="D276" s="8">
        <f>IFERROR(__xludf.DUMMYFUNCTION("""COMPUTED_VALUE"""),0.0)</f>
        <v>0</v>
      </c>
    </row>
    <row r="277">
      <c r="A277" s="6" t="str">
        <f>IFERROR(__xludf.DUMMYFUNCTION("""COMPUTED_VALUE"""),"Batch 159")</f>
        <v>Batch 159</v>
      </c>
      <c r="B277" s="7" t="str">
        <f>IFERROR(__xludf.DUMMYFUNCTION("""COMPUTED_VALUE"""),"ASHUTOSHC59")</f>
        <v>ASHUTOSHC59</v>
      </c>
      <c r="C277" s="8">
        <f>IFERROR(__xludf.DUMMYFUNCTION("""COMPUTED_VALUE"""),2.0)</f>
        <v>2</v>
      </c>
      <c r="D277" s="8">
        <f>IFERROR(__xludf.DUMMYFUNCTION("""COMPUTED_VALUE"""),0.0)</f>
        <v>0</v>
      </c>
    </row>
    <row r="278">
      <c r="A278" s="6" t="str">
        <f>IFERROR(__xludf.DUMMYFUNCTION("""COMPUTED_VALUE"""),"Batch 159")</f>
        <v>Batch 159</v>
      </c>
      <c r="B278" s="7" t="str">
        <f>IFERROR(__xludf.DUMMYFUNCTION("""COMPUTED_VALUE"""),"AkritiC59")</f>
        <v>AkritiC59</v>
      </c>
      <c r="C278" s="8">
        <f>IFERROR(__xludf.DUMMYFUNCTION("""COMPUTED_VALUE"""),0.0)</f>
        <v>0</v>
      </c>
      <c r="D278" s="8">
        <f>IFERROR(__xludf.DUMMYFUNCTION("""COMPUTED_VALUE"""),0.0)</f>
        <v>0</v>
      </c>
    </row>
    <row r="279">
      <c r="A279" s="6" t="str">
        <f>IFERROR(__xludf.DUMMYFUNCTION("""COMPUTED_VALUE"""),"Batch 159")</f>
        <v>Batch 159</v>
      </c>
      <c r="B279" s="7" t="str">
        <f>IFERROR(__xludf.DUMMYFUNCTION("""COMPUTED_VALUE"""),"TejasC59")</f>
        <v>TejasC59</v>
      </c>
      <c r="C279" s="8">
        <f>IFERROR(__xludf.DUMMYFUNCTION("""COMPUTED_VALUE"""),0.0)</f>
        <v>0</v>
      </c>
      <c r="D279" s="8">
        <f>IFERROR(__xludf.DUMMYFUNCTION("""COMPUTED_VALUE"""),0.0)</f>
        <v>0</v>
      </c>
    </row>
    <row r="280">
      <c r="A280" s="6" t="str">
        <f>IFERROR(__xludf.DUMMYFUNCTION("""COMPUTED_VALUE"""),"Batch 159")</f>
        <v>Batch 159</v>
      </c>
      <c r="B280" s="7" t="str">
        <f>IFERROR(__xludf.DUMMYFUNCTION("""COMPUTED_VALUE"""),"AnanyaC59")</f>
        <v>AnanyaC59</v>
      </c>
      <c r="C280" s="8">
        <f>IFERROR(__xludf.DUMMYFUNCTION("""COMPUTED_VALUE"""),0.0)</f>
        <v>0</v>
      </c>
      <c r="D280" s="8">
        <f>IFERROR(__xludf.DUMMYFUNCTION("""COMPUTED_VALUE"""),0.0)</f>
        <v>0</v>
      </c>
    </row>
    <row r="281">
      <c r="A281" s="6" t="str">
        <f>IFERROR(__xludf.DUMMYFUNCTION("""COMPUTED_VALUE"""),"Batch 159")</f>
        <v>Batch 159</v>
      </c>
      <c r="B281" s="7" t="str">
        <f>IFERROR(__xludf.DUMMYFUNCTION("""COMPUTED_VALUE"""),"TishaC59")</f>
        <v>TishaC59</v>
      </c>
      <c r="C281" s="8">
        <f>IFERROR(__xludf.DUMMYFUNCTION("""COMPUTED_VALUE"""),0.0)</f>
        <v>0</v>
      </c>
      <c r="D281" s="8">
        <f>IFERROR(__xludf.DUMMYFUNCTION("""COMPUTED_VALUE"""),0.0)</f>
        <v>0</v>
      </c>
    </row>
    <row r="282">
      <c r="A282" s="6" t="str">
        <f>IFERROR(__xludf.DUMMYFUNCTION("""COMPUTED_VALUE"""),"Batch 159")</f>
        <v>Batch 159</v>
      </c>
      <c r="B282" s="7" t="str">
        <f>IFERROR(__xludf.DUMMYFUNCTION("""COMPUTED_VALUE"""),"UdayC59")</f>
        <v>UdayC59</v>
      </c>
      <c r="C282" s="8">
        <f>IFERROR(__xludf.DUMMYFUNCTION("""COMPUTED_VALUE"""),1.0)</f>
        <v>1</v>
      </c>
      <c r="D282" s="8">
        <f>IFERROR(__xludf.DUMMYFUNCTION("""COMPUTED_VALUE"""),0.0)</f>
        <v>0</v>
      </c>
    </row>
    <row r="283">
      <c r="A283" s="6" t="str">
        <f>IFERROR(__xludf.DUMMYFUNCTION("""COMPUTED_VALUE"""),"Batch 159")</f>
        <v>Batch 159</v>
      </c>
      <c r="B283" s="7" t="str">
        <f>IFERROR(__xludf.DUMMYFUNCTION("""COMPUTED_VALUE"""),"TomalC59")</f>
        <v>TomalC59</v>
      </c>
      <c r="C283" s="8">
        <f>IFERROR(__xludf.DUMMYFUNCTION("""COMPUTED_VALUE"""),1.0)</f>
        <v>1</v>
      </c>
      <c r="D283" s="8">
        <f>IFERROR(__xludf.DUMMYFUNCTION("""COMPUTED_VALUE"""),1.0)</f>
        <v>1</v>
      </c>
    </row>
    <row r="284">
      <c r="A284" s="6" t="str">
        <f>IFERROR(__xludf.DUMMYFUNCTION("""COMPUTED_VALUE"""),"Batch 159")</f>
        <v>Batch 159</v>
      </c>
      <c r="B284" s="7" t="str">
        <f>IFERROR(__xludf.DUMMYFUNCTION("""COMPUTED_VALUE"""),"KhadijaC59")</f>
        <v>KhadijaC59</v>
      </c>
      <c r="C284" s="8">
        <f>IFERROR(__xludf.DUMMYFUNCTION("""COMPUTED_VALUE"""),0.0)</f>
        <v>0</v>
      </c>
      <c r="D284" s="8">
        <f>IFERROR(__xludf.DUMMYFUNCTION("""COMPUTED_VALUE"""),0.0)</f>
        <v>0</v>
      </c>
    </row>
    <row r="285">
      <c r="A285" s="6" t="str">
        <f>IFERROR(__xludf.DUMMYFUNCTION("""COMPUTED_VALUE"""),"Batch 159")</f>
        <v>Batch 159</v>
      </c>
      <c r="B285" s="7" t="str">
        <f>IFERROR(__xludf.DUMMYFUNCTION("""COMPUTED_VALUE"""),"SushilC59")</f>
        <v>SushilC59</v>
      </c>
      <c r="C285" s="8">
        <f>IFERROR(__xludf.DUMMYFUNCTION("""COMPUTED_VALUE"""),0.0)</f>
        <v>0</v>
      </c>
      <c r="D285" s="8">
        <f>IFERROR(__xludf.DUMMYFUNCTION("""COMPUTED_VALUE"""),0.0)</f>
        <v>0</v>
      </c>
    </row>
    <row r="286">
      <c r="A286" s="6" t="str">
        <f>IFERROR(__xludf.DUMMYFUNCTION("""COMPUTED_VALUE"""),"Batch 159")</f>
        <v>Batch 159</v>
      </c>
      <c r="B286" s="7" t="str">
        <f>IFERROR(__xludf.DUMMYFUNCTION("""COMPUTED_VALUE"""),"YashikaC59")</f>
        <v>YashikaC59</v>
      </c>
      <c r="C286" s="8">
        <f>IFERROR(__xludf.DUMMYFUNCTION("""COMPUTED_VALUE"""),0.0)</f>
        <v>0</v>
      </c>
      <c r="D286" s="8">
        <f>IFERROR(__xludf.DUMMYFUNCTION("""COMPUTED_VALUE"""),0.0)</f>
        <v>0</v>
      </c>
    </row>
    <row r="287">
      <c r="A287" s="6" t="str">
        <f>IFERROR(__xludf.DUMMYFUNCTION("""COMPUTED_VALUE"""),"Batch 159")</f>
        <v>Batch 159</v>
      </c>
      <c r="B287" s="7" t="str">
        <f>IFERROR(__xludf.DUMMYFUNCTION("""COMPUTED_VALUE"""),"Sanjay.C59")</f>
        <v>Sanjay.C59</v>
      </c>
      <c r="C287" s="8">
        <f>IFERROR(__xludf.DUMMYFUNCTION("""COMPUTED_VALUE"""),0.0)</f>
        <v>0</v>
      </c>
      <c r="D287" s="8">
        <f>IFERROR(__xludf.DUMMYFUNCTION("""COMPUTED_VALUE"""),0.0)</f>
        <v>0</v>
      </c>
    </row>
    <row r="288">
      <c r="A288" s="6" t="str">
        <f>IFERROR(__xludf.DUMMYFUNCTION("""COMPUTED_VALUE"""),"Batch 159")</f>
        <v>Batch 159</v>
      </c>
      <c r="B288" s="7" t="str">
        <f>IFERROR(__xludf.DUMMYFUNCTION("""COMPUTED_VALUE"""),"MedhaC59")</f>
        <v>MedhaC59</v>
      </c>
      <c r="C288" s="8">
        <f>IFERROR(__xludf.DUMMYFUNCTION("""COMPUTED_VALUE"""),0.0)</f>
        <v>0</v>
      </c>
      <c r="D288" s="8">
        <f>IFERROR(__xludf.DUMMYFUNCTION("""COMPUTED_VALUE"""),0.0)</f>
        <v>0</v>
      </c>
    </row>
    <row r="289">
      <c r="A289" s="6" t="str">
        <f>IFERROR(__xludf.DUMMYFUNCTION("""COMPUTED_VALUE"""),"Batch 159")</f>
        <v>Batch 159</v>
      </c>
      <c r="B289" s="7" t="str">
        <f>IFERROR(__xludf.DUMMYFUNCTION("""COMPUTED_VALUE"""),"PankajC59")</f>
        <v>PankajC59</v>
      </c>
      <c r="C289" s="8">
        <f>IFERROR(__xludf.DUMMYFUNCTION("""COMPUTED_VALUE"""),0.0)</f>
        <v>0</v>
      </c>
      <c r="D289" s="8">
        <f>IFERROR(__xludf.DUMMYFUNCTION("""COMPUTED_VALUE"""),0.0)</f>
        <v>0</v>
      </c>
    </row>
    <row r="290">
      <c r="A290" s="6" t="str">
        <f>IFERROR(__xludf.DUMMYFUNCTION("""COMPUTED_VALUE"""),"Batch 159")</f>
        <v>Batch 159</v>
      </c>
      <c r="B290" s="7" t="str">
        <f>IFERROR(__xludf.DUMMYFUNCTION("""COMPUTED_VALUE"""),"ROHANC59")</f>
        <v>ROHANC59</v>
      </c>
      <c r="C290" s="8">
        <f>IFERROR(__xludf.DUMMYFUNCTION("""COMPUTED_VALUE"""),6.0)</f>
        <v>6</v>
      </c>
      <c r="D290" s="8">
        <f>IFERROR(__xludf.DUMMYFUNCTION("""COMPUTED_VALUE"""),0.0)</f>
        <v>0</v>
      </c>
    </row>
    <row r="291">
      <c r="A291" s="6" t="str">
        <f>IFERROR(__xludf.DUMMYFUNCTION("""COMPUTED_VALUE"""),"Batch 159")</f>
        <v>Batch 159</v>
      </c>
      <c r="B291" s="7" t="str">
        <f>IFERROR(__xludf.DUMMYFUNCTION("""COMPUTED_VALUE"""),"HarshC59")</f>
        <v>HarshC59</v>
      </c>
      <c r="C291" s="8">
        <f>IFERROR(__xludf.DUMMYFUNCTION("""COMPUTED_VALUE"""),0.0)</f>
        <v>0</v>
      </c>
      <c r="D291" s="8">
        <f>IFERROR(__xludf.DUMMYFUNCTION("""COMPUTED_VALUE"""),0.0)</f>
        <v>0</v>
      </c>
    </row>
    <row r="292">
      <c r="A292" s="6" t="str">
        <f>IFERROR(__xludf.DUMMYFUNCTION("""COMPUTED_VALUE"""),"Batch 159")</f>
        <v>Batch 159</v>
      </c>
      <c r="B292" s="7" t="str">
        <f>IFERROR(__xludf.DUMMYFUNCTION("""COMPUTED_VALUE"""),"MdC59")</f>
        <v>MdC59</v>
      </c>
      <c r="C292" s="8">
        <f>IFERROR(__xludf.DUMMYFUNCTION("""COMPUTED_VALUE"""),0.0)</f>
        <v>0</v>
      </c>
      <c r="D292" s="8">
        <f>IFERROR(__xludf.DUMMYFUNCTION("""COMPUTED_VALUE"""),0.0)</f>
        <v>0</v>
      </c>
    </row>
    <row r="293">
      <c r="A293" s="6"/>
      <c r="B293" s="7"/>
      <c r="C293" s="8">
        <f>IFERROR(__xludf.DUMMYFUNCTION("""COMPUTED_VALUE"""),0.0)</f>
        <v>0</v>
      </c>
      <c r="D293" s="8"/>
    </row>
    <row r="294">
      <c r="A294" s="6" t="str">
        <f>IFERROR(__xludf.DUMMYFUNCTION("""COMPUTED_VALUE"""),"Batch 160")</f>
        <v>Batch 160</v>
      </c>
      <c r="B294" s="7" t="str">
        <f>IFERROR(__xludf.DUMMYFUNCTION("""COMPUTED_VALUE"""),"AbhayC60")</f>
        <v>AbhayC60</v>
      </c>
      <c r="C294" s="8">
        <f>IFERROR(__xludf.DUMMYFUNCTION("""COMPUTED_VALUE"""),0.0)</f>
        <v>0</v>
      </c>
      <c r="D294" s="8">
        <f>IFERROR(__xludf.DUMMYFUNCTION("""COMPUTED_VALUE"""),0.0)</f>
        <v>0</v>
      </c>
    </row>
    <row r="295">
      <c r="A295" s="6" t="str">
        <f>IFERROR(__xludf.DUMMYFUNCTION("""COMPUTED_VALUE"""),"Batch 160")</f>
        <v>Batch 160</v>
      </c>
      <c r="B295" s="7" t="str">
        <f>IFERROR(__xludf.DUMMYFUNCTION("""COMPUTED_VALUE"""),"ShreerakshaC60")</f>
        <v>ShreerakshaC60</v>
      </c>
      <c r="C295" s="8">
        <f>IFERROR(__xludf.DUMMYFUNCTION("""COMPUTED_VALUE"""),0.0)</f>
        <v>0</v>
      </c>
      <c r="D295" s="8">
        <f>IFERROR(__xludf.DUMMYFUNCTION("""COMPUTED_VALUE"""),0.0)</f>
        <v>0</v>
      </c>
    </row>
    <row r="296">
      <c r="A296" s="6" t="str">
        <f>IFERROR(__xludf.DUMMYFUNCTION("""COMPUTED_VALUE"""),"Batch 160")</f>
        <v>Batch 160</v>
      </c>
      <c r="B296" s="7" t="str">
        <f>IFERROR(__xludf.DUMMYFUNCTION("""COMPUTED_VALUE"""),"HimaniC60")</f>
        <v>HimaniC60</v>
      </c>
      <c r="C296" s="8">
        <f>IFERROR(__xludf.DUMMYFUNCTION("""COMPUTED_VALUE"""),2.0)</f>
        <v>2</v>
      </c>
      <c r="D296" s="8">
        <f>IFERROR(__xludf.DUMMYFUNCTION("""COMPUTED_VALUE"""),1.0)</f>
        <v>1</v>
      </c>
    </row>
    <row r="297">
      <c r="A297" s="6" t="str">
        <f>IFERROR(__xludf.DUMMYFUNCTION("""COMPUTED_VALUE"""),"Batch 160")</f>
        <v>Batch 160</v>
      </c>
      <c r="B297" s="7" t="str">
        <f>IFERROR(__xludf.DUMMYFUNCTION("""COMPUTED_VALUE"""),"AstitvaC60")</f>
        <v>AstitvaC60</v>
      </c>
      <c r="C297" s="8">
        <f>IFERROR(__xludf.DUMMYFUNCTION("""COMPUTED_VALUE"""),0.0)</f>
        <v>0</v>
      </c>
      <c r="D297" s="8">
        <f>IFERROR(__xludf.DUMMYFUNCTION("""COMPUTED_VALUE"""),0.0)</f>
        <v>0</v>
      </c>
    </row>
    <row r="298">
      <c r="A298" s="6" t="str">
        <f>IFERROR(__xludf.DUMMYFUNCTION("""COMPUTED_VALUE"""),"Batch 160")</f>
        <v>Batch 160</v>
      </c>
      <c r="B298" s="7" t="str">
        <f>IFERROR(__xludf.DUMMYFUNCTION("""COMPUTED_VALUE"""),"AnandC60")</f>
        <v>AnandC60</v>
      </c>
      <c r="C298" s="8">
        <f>IFERROR(__xludf.DUMMYFUNCTION("""COMPUTED_VALUE"""),0.0)</f>
        <v>0</v>
      </c>
      <c r="D298" s="8">
        <f>IFERROR(__xludf.DUMMYFUNCTION("""COMPUTED_VALUE"""),0.0)</f>
        <v>0</v>
      </c>
    </row>
    <row r="299">
      <c r="A299" s="6" t="str">
        <f>IFERROR(__xludf.DUMMYFUNCTION("""COMPUTED_VALUE"""),"Batch 160")</f>
        <v>Batch 160</v>
      </c>
      <c r="B299" s="7" t="str">
        <f>IFERROR(__xludf.DUMMYFUNCTION("""COMPUTED_VALUE"""),"ShivamC60")</f>
        <v>ShivamC60</v>
      </c>
      <c r="C299" s="8">
        <f>IFERROR(__xludf.DUMMYFUNCTION("""COMPUTED_VALUE"""),0.0)</f>
        <v>0</v>
      </c>
      <c r="D299" s="8">
        <f>IFERROR(__xludf.DUMMYFUNCTION("""COMPUTED_VALUE"""),0.0)</f>
        <v>0</v>
      </c>
    </row>
    <row r="300">
      <c r="A300" s="6" t="str">
        <f>IFERROR(__xludf.DUMMYFUNCTION("""COMPUTED_VALUE"""),"Batch 160")</f>
        <v>Batch 160</v>
      </c>
      <c r="B300" s="7" t="str">
        <f>IFERROR(__xludf.DUMMYFUNCTION("""COMPUTED_VALUE"""),"BhoomiC60")</f>
        <v>BhoomiC60</v>
      </c>
      <c r="C300" s="8">
        <f>IFERROR(__xludf.DUMMYFUNCTION("""COMPUTED_VALUE"""),0.0)</f>
        <v>0</v>
      </c>
      <c r="D300" s="8">
        <f>IFERROR(__xludf.DUMMYFUNCTION("""COMPUTED_VALUE"""),0.0)</f>
        <v>0</v>
      </c>
    </row>
    <row r="301">
      <c r="A301" s="6" t="str">
        <f>IFERROR(__xludf.DUMMYFUNCTION("""COMPUTED_VALUE"""),"Batch 160")</f>
        <v>Batch 160</v>
      </c>
      <c r="B301" s="7" t="str">
        <f>IFERROR(__xludf.DUMMYFUNCTION("""COMPUTED_VALUE"""),"PragatiC60")</f>
        <v>PragatiC60</v>
      </c>
      <c r="C301" s="8">
        <f>IFERROR(__xludf.DUMMYFUNCTION("""COMPUTED_VALUE"""),0.0)</f>
        <v>0</v>
      </c>
      <c r="D301" s="8">
        <f>IFERROR(__xludf.DUMMYFUNCTION("""COMPUTED_VALUE"""),0.0)</f>
        <v>0</v>
      </c>
    </row>
    <row r="302">
      <c r="A302" s="6" t="str">
        <f>IFERROR(__xludf.DUMMYFUNCTION("""COMPUTED_VALUE"""),"Batch 160")</f>
        <v>Batch 160</v>
      </c>
      <c r="B302" s="7" t="str">
        <f>IFERROR(__xludf.DUMMYFUNCTION("""COMPUTED_VALUE"""),"VadlaC60")</f>
        <v>VadlaC60</v>
      </c>
      <c r="C302" s="8">
        <f>IFERROR(__xludf.DUMMYFUNCTION("""COMPUTED_VALUE"""),0.0)</f>
        <v>0</v>
      </c>
      <c r="D302" s="8">
        <f>IFERROR(__xludf.DUMMYFUNCTION("""COMPUTED_VALUE"""),0.0)</f>
        <v>0</v>
      </c>
    </row>
    <row r="303">
      <c r="A303" s="6" t="str">
        <f>IFERROR(__xludf.DUMMYFUNCTION("""COMPUTED_VALUE"""),"Batch 160")</f>
        <v>Batch 160</v>
      </c>
      <c r="B303" s="7" t="str">
        <f>IFERROR(__xludf.DUMMYFUNCTION("""COMPUTED_VALUE"""),"TannuC60")</f>
        <v>TannuC60</v>
      </c>
      <c r="C303" s="8">
        <f>IFERROR(__xludf.DUMMYFUNCTION("""COMPUTED_VALUE"""),0.0)</f>
        <v>0</v>
      </c>
      <c r="D303" s="8">
        <f>IFERROR(__xludf.DUMMYFUNCTION("""COMPUTED_VALUE"""),0.0)</f>
        <v>0</v>
      </c>
    </row>
    <row r="304">
      <c r="A304" s="6" t="str">
        <f>IFERROR(__xludf.DUMMYFUNCTION("""COMPUTED_VALUE"""),"Batch 160")</f>
        <v>Batch 160</v>
      </c>
      <c r="B304" s="7" t="str">
        <f>IFERROR(__xludf.DUMMYFUNCTION("""COMPUTED_VALUE"""),"GauravC60")</f>
        <v>GauravC60</v>
      </c>
      <c r="C304" s="8">
        <f>IFERROR(__xludf.DUMMYFUNCTION("""COMPUTED_VALUE"""),0.0)</f>
        <v>0</v>
      </c>
      <c r="D304" s="8">
        <f>IFERROR(__xludf.DUMMYFUNCTION("""COMPUTED_VALUE"""),0.0)</f>
        <v>0</v>
      </c>
    </row>
    <row r="305">
      <c r="A305" s="6" t="str">
        <f>IFERROR(__xludf.DUMMYFUNCTION("""COMPUTED_VALUE"""),"Batch 160")</f>
        <v>Batch 160</v>
      </c>
      <c r="B305" s="7" t="str">
        <f>IFERROR(__xludf.DUMMYFUNCTION("""COMPUTED_VALUE"""),"MridulC60")</f>
        <v>MridulC60</v>
      </c>
      <c r="C305" s="8">
        <f>IFERROR(__xludf.DUMMYFUNCTION("""COMPUTED_VALUE"""),0.0)</f>
        <v>0</v>
      </c>
      <c r="D305" s="8">
        <f>IFERROR(__xludf.DUMMYFUNCTION("""COMPUTED_VALUE"""),0.0)</f>
        <v>0</v>
      </c>
    </row>
    <row r="306">
      <c r="A306" s="6" t="str">
        <f>IFERROR(__xludf.DUMMYFUNCTION("""COMPUTED_VALUE"""),"Batch 160")</f>
        <v>Batch 160</v>
      </c>
      <c r="B306" s="7" t="str">
        <f>IFERROR(__xludf.DUMMYFUNCTION("""COMPUTED_VALUE"""),"ManjeetC60")</f>
        <v>ManjeetC60</v>
      </c>
      <c r="C306" s="8">
        <f>IFERROR(__xludf.DUMMYFUNCTION("""COMPUTED_VALUE"""),0.0)</f>
        <v>0</v>
      </c>
      <c r="D306" s="8">
        <f>IFERROR(__xludf.DUMMYFUNCTION("""COMPUTED_VALUE"""),0.0)</f>
        <v>0</v>
      </c>
    </row>
    <row r="307">
      <c r="A307" s="6" t="str">
        <f>IFERROR(__xludf.DUMMYFUNCTION("""COMPUTED_VALUE"""),"Batch 160")</f>
        <v>Batch 160</v>
      </c>
      <c r="B307" s="7" t="str">
        <f>IFERROR(__xludf.DUMMYFUNCTION("""COMPUTED_VALUE"""),"SukuntaC60")</f>
        <v>SukuntaC60</v>
      </c>
      <c r="C307" s="8">
        <f>IFERROR(__xludf.DUMMYFUNCTION("""COMPUTED_VALUE"""),0.0)</f>
        <v>0</v>
      </c>
      <c r="D307" s="8">
        <f>IFERROR(__xludf.DUMMYFUNCTION("""COMPUTED_VALUE"""),0.0)</f>
        <v>0</v>
      </c>
    </row>
    <row r="308">
      <c r="A308" s="6" t="str">
        <f>IFERROR(__xludf.DUMMYFUNCTION("""COMPUTED_VALUE"""),"Batch 160")</f>
        <v>Batch 160</v>
      </c>
      <c r="B308" s="7" t="str">
        <f>IFERROR(__xludf.DUMMYFUNCTION("""COMPUTED_VALUE"""),"SajidC60")</f>
        <v>SajidC60</v>
      </c>
      <c r="C308" s="8">
        <f>IFERROR(__xludf.DUMMYFUNCTION("""COMPUTED_VALUE"""),0.0)</f>
        <v>0</v>
      </c>
      <c r="D308" s="8">
        <f>IFERROR(__xludf.DUMMYFUNCTION("""COMPUTED_VALUE"""),0.0)</f>
        <v>0</v>
      </c>
    </row>
    <row r="309">
      <c r="A309" s="6" t="str">
        <f>IFERROR(__xludf.DUMMYFUNCTION("""COMPUTED_VALUE"""),"Batch 160")</f>
        <v>Batch 160</v>
      </c>
      <c r="B309" s="7" t="str">
        <f>IFERROR(__xludf.DUMMYFUNCTION("""COMPUTED_VALUE"""),"VaishnaviC60")</f>
        <v>VaishnaviC60</v>
      </c>
      <c r="C309" s="8">
        <f>IFERROR(__xludf.DUMMYFUNCTION("""COMPUTED_VALUE"""),0.0)</f>
        <v>0</v>
      </c>
      <c r="D309" s="8">
        <f>IFERROR(__xludf.DUMMYFUNCTION("""COMPUTED_VALUE"""),0.0)</f>
        <v>0</v>
      </c>
    </row>
    <row r="310">
      <c r="A310" s="6" t="str">
        <f>IFERROR(__xludf.DUMMYFUNCTION("""COMPUTED_VALUE"""),"Batch 160")</f>
        <v>Batch 160</v>
      </c>
      <c r="B310" s="7" t="str">
        <f>IFERROR(__xludf.DUMMYFUNCTION("""COMPUTED_VALUE"""),"KokkulaC60")</f>
        <v>KokkulaC60</v>
      </c>
      <c r="C310" s="8">
        <f>IFERROR(__xludf.DUMMYFUNCTION("""COMPUTED_VALUE"""),0.0)</f>
        <v>0</v>
      </c>
      <c r="D310" s="8">
        <f>IFERROR(__xludf.DUMMYFUNCTION("""COMPUTED_VALUE"""),0.0)</f>
        <v>0</v>
      </c>
    </row>
    <row r="311">
      <c r="A311" s="6" t="str">
        <f>IFERROR(__xludf.DUMMYFUNCTION("""COMPUTED_VALUE"""),"Batch 160")</f>
        <v>Batch 160</v>
      </c>
      <c r="B311" s="7" t="str">
        <f>IFERROR(__xludf.DUMMYFUNCTION("""COMPUTED_VALUE"""),"AnubhavC60")</f>
        <v>AnubhavC60</v>
      </c>
      <c r="C311" s="8">
        <f>IFERROR(__xludf.DUMMYFUNCTION("""COMPUTED_VALUE"""),2.0)</f>
        <v>2</v>
      </c>
      <c r="D311" s="8">
        <f>IFERROR(__xludf.DUMMYFUNCTION("""COMPUTED_VALUE"""),0.0)</f>
        <v>0</v>
      </c>
    </row>
    <row r="312">
      <c r="A312" s="6" t="str">
        <f>IFERROR(__xludf.DUMMYFUNCTION("""COMPUTED_VALUE"""),"Batch 160")</f>
        <v>Batch 160</v>
      </c>
      <c r="B312" s="7" t="str">
        <f>IFERROR(__xludf.DUMMYFUNCTION("""COMPUTED_VALUE"""),"PrathamC60")</f>
        <v>PrathamC60</v>
      </c>
      <c r="C312" s="8">
        <f>IFERROR(__xludf.DUMMYFUNCTION("""COMPUTED_VALUE"""),0.0)</f>
        <v>0</v>
      </c>
      <c r="D312" s="8">
        <f>IFERROR(__xludf.DUMMYFUNCTION("""COMPUTED_VALUE"""),0.0)</f>
        <v>0</v>
      </c>
    </row>
    <row r="313">
      <c r="A313" s="6" t="str">
        <f>IFERROR(__xludf.DUMMYFUNCTION("""COMPUTED_VALUE"""),"Batch 160")</f>
        <v>Batch 160</v>
      </c>
      <c r="B313" s="7" t="str">
        <f>IFERROR(__xludf.DUMMYFUNCTION("""COMPUTED_VALUE"""),"AditaC60")</f>
        <v>AditaC60</v>
      </c>
      <c r="C313" s="8">
        <f>IFERROR(__xludf.DUMMYFUNCTION("""COMPUTED_VALUE"""),0.0)</f>
        <v>0</v>
      </c>
      <c r="D313" s="8">
        <f>IFERROR(__xludf.DUMMYFUNCTION("""COMPUTED_VALUE"""),0.0)</f>
        <v>0</v>
      </c>
    </row>
    <row r="314">
      <c r="A314" s="6" t="str">
        <f>IFERROR(__xludf.DUMMYFUNCTION("""COMPUTED_VALUE"""),"Batch 160")</f>
        <v>Batch 160</v>
      </c>
      <c r="B314" s="7" t="str">
        <f>IFERROR(__xludf.DUMMYFUNCTION("""COMPUTED_VALUE"""),"AbhishekC60")</f>
        <v>AbhishekC60</v>
      </c>
      <c r="C314" s="8">
        <f>IFERROR(__xludf.DUMMYFUNCTION("""COMPUTED_VALUE"""),0.0)</f>
        <v>0</v>
      </c>
      <c r="D314" s="8">
        <f>IFERROR(__xludf.DUMMYFUNCTION("""COMPUTED_VALUE"""),0.0)</f>
        <v>0</v>
      </c>
    </row>
    <row r="315">
      <c r="A315" s="6" t="str">
        <f>IFERROR(__xludf.DUMMYFUNCTION("""COMPUTED_VALUE"""),"Batch 160")</f>
        <v>Batch 160</v>
      </c>
      <c r="B315" s="7" t="str">
        <f>IFERROR(__xludf.DUMMYFUNCTION("""COMPUTED_VALUE"""),"MohdC60")</f>
        <v>MohdC60</v>
      </c>
      <c r="C315" s="8">
        <f>IFERROR(__xludf.DUMMYFUNCTION("""COMPUTED_VALUE"""),0.0)</f>
        <v>0</v>
      </c>
      <c r="D315" s="8">
        <f>IFERROR(__xludf.DUMMYFUNCTION("""COMPUTED_VALUE"""),0.0)</f>
        <v>0</v>
      </c>
    </row>
    <row r="316">
      <c r="A316" s="6" t="str">
        <f>IFERROR(__xludf.DUMMYFUNCTION("""COMPUTED_VALUE"""),"Batch 160")</f>
        <v>Batch 160</v>
      </c>
      <c r="B316" s="7" t="str">
        <f>IFERROR(__xludf.DUMMYFUNCTION("""COMPUTED_VALUE"""),"RavindraC60")</f>
        <v>RavindraC60</v>
      </c>
      <c r="C316" s="8">
        <f>IFERROR(__xludf.DUMMYFUNCTION("""COMPUTED_VALUE"""),0.0)</f>
        <v>0</v>
      </c>
      <c r="D316" s="8">
        <f>IFERROR(__xludf.DUMMYFUNCTION("""COMPUTED_VALUE"""),0.0)</f>
        <v>0</v>
      </c>
    </row>
    <row r="317">
      <c r="A317" s="6" t="str">
        <f>IFERROR(__xludf.DUMMYFUNCTION("""COMPUTED_VALUE"""),"Batch 160")</f>
        <v>Batch 160</v>
      </c>
      <c r="B317" s="7" t="str">
        <f>IFERROR(__xludf.DUMMYFUNCTION("""COMPUTED_VALUE"""),"SyedaC60")</f>
        <v>SyedaC60</v>
      </c>
      <c r="C317" s="8">
        <f>IFERROR(__xludf.DUMMYFUNCTION("""COMPUTED_VALUE"""),0.0)</f>
        <v>0</v>
      </c>
      <c r="D317" s="8">
        <f>IFERROR(__xludf.DUMMYFUNCTION("""COMPUTED_VALUE"""),0.0)</f>
        <v>0</v>
      </c>
    </row>
    <row r="318">
      <c r="A318" s="6" t="str">
        <f>IFERROR(__xludf.DUMMYFUNCTION("""COMPUTED_VALUE"""),"Batch 160")</f>
        <v>Batch 160</v>
      </c>
      <c r="B318" s="7" t="str">
        <f>IFERROR(__xludf.DUMMYFUNCTION("""COMPUTED_VALUE"""),"AdityaC60")</f>
        <v>AdityaC60</v>
      </c>
      <c r="C318" s="8">
        <f>IFERROR(__xludf.DUMMYFUNCTION("""COMPUTED_VALUE"""),1.0)</f>
        <v>1</v>
      </c>
      <c r="D318" s="8">
        <f>IFERROR(__xludf.DUMMYFUNCTION("""COMPUTED_VALUE"""),0.0)</f>
        <v>0</v>
      </c>
    </row>
    <row r="319">
      <c r="A319" s="6" t="str">
        <f>IFERROR(__xludf.DUMMYFUNCTION("""COMPUTED_VALUE"""),"Batch 160")</f>
        <v>Batch 160</v>
      </c>
      <c r="B319" s="7" t="str">
        <f>IFERROR(__xludf.DUMMYFUNCTION("""COMPUTED_VALUE"""),"HimanshuC60")</f>
        <v>HimanshuC60</v>
      </c>
      <c r="C319" s="8">
        <f>IFERROR(__xludf.DUMMYFUNCTION("""COMPUTED_VALUE"""),1.0)</f>
        <v>1</v>
      </c>
      <c r="D319" s="8">
        <f>IFERROR(__xludf.DUMMYFUNCTION("""COMPUTED_VALUE"""),0.0)</f>
        <v>0</v>
      </c>
    </row>
    <row r="320">
      <c r="A320" s="6" t="str">
        <f>IFERROR(__xludf.DUMMYFUNCTION("""COMPUTED_VALUE"""),"Batch 160")</f>
        <v>Batch 160</v>
      </c>
      <c r="B320" s="7" t="str">
        <f>IFERROR(__xludf.DUMMYFUNCTION("""COMPUTED_VALUE"""),"PraveenC60")</f>
        <v>PraveenC60</v>
      </c>
      <c r="C320" s="8">
        <f>IFERROR(__xludf.DUMMYFUNCTION("""COMPUTED_VALUE"""),0.0)</f>
        <v>0</v>
      </c>
      <c r="D320" s="8">
        <f>IFERROR(__xludf.DUMMYFUNCTION("""COMPUTED_VALUE"""),0.0)</f>
        <v>0</v>
      </c>
    </row>
    <row r="321">
      <c r="A321" s="6" t="str">
        <f>IFERROR(__xludf.DUMMYFUNCTION("""COMPUTED_VALUE"""),"Batch 160")</f>
        <v>Batch 160</v>
      </c>
      <c r="B321" s="7" t="str">
        <f>IFERROR(__xludf.DUMMYFUNCTION("""COMPUTED_VALUE"""),"AfrinC60")</f>
        <v>AfrinC60</v>
      </c>
      <c r="C321" s="8">
        <f>IFERROR(__xludf.DUMMYFUNCTION("""COMPUTED_VALUE"""),0.0)</f>
        <v>0</v>
      </c>
      <c r="D321" s="8">
        <f>IFERROR(__xludf.DUMMYFUNCTION("""COMPUTED_VALUE"""),0.0)</f>
        <v>0</v>
      </c>
    </row>
    <row r="322">
      <c r="A322" s="6" t="str">
        <f>IFERROR(__xludf.DUMMYFUNCTION("""COMPUTED_VALUE"""),"Batch 160")</f>
        <v>Batch 160</v>
      </c>
      <c r="B322" s="7" t="str">
        <f>IFERROR(__xludf.DUMMYFUNCTION("""COMPUTED_VALUE"""),"SamitaC60")</f>
        <v>SamitaC60</v>
      </c>
      <c r="C322" s="8">
        <f>IFERROR(__xludf.DUMMYFUNCTION("""COMPUTED_VALUE"""),0.0)</f>
        <v>0</v>
      </c>
      <c r="D322" s="8">
        <f>IFERROR(__xludf.DUMMYFUNCTION("""COMPUTED_VALUE"""),0.0)</f>
        <v>0</v>
      </c>
    </row>
    <row r="323">
      <c r="A323" s="6" t="str">
        <f>IFERROR(__xludf.DUMMYFUNCTION("""COMPUTED_VALUE"""),"Batch 160")</f>
        <v>Batch 160</v>
      </c>
      <c r="B323" s="7" t="str">
        <f>IFERROR(__xludf.DUMMYFUNCTION("""COMPUTED_VALUE"""),"KomalC60")</f>
        <v>KomalC60</v>
      </c>
      <c r="C323" s="8">
        <f>IFERROR(__xludf.DUMMYFUNCTION("""COMPUTED_VALUE"""),1.0)</f>
        <v>1</v>
      </c>
      <c r="D323" s="8">
        <f>IFERROR(__xludf.DUMMYFUNCTION("""COMPUTED_VALUE"""),0.0)</f>
        <v>0</v>
      </c>
    </row>
    <row r="324">
      <c r="A324" s="6" t="str">
        <f>IFERROR(__xludf.DUMMYFUNCTION("""COMPUTED_VALUE"""),"Batch 160")</f>
        <v>Batch 160</v>
      </c>
      <c r="B324" s="7" t="str">
        <f>IFERROR(__xludf.DUMMYFUNCTION("""COMPUTED_VALUE"""),"AshishC60")</f>
        <v>AshishC60</v>
      </c>
      <c r="C324" s="8">
        <f>IFERROR(__xludf.DUMMYFUNCTION("""COMPUTED_VALUE"""),0.0)</f>
        <v>0</v>
      </c>
      <c r="D324" s="8">
        <f>IFERROR(__xludf.DUMMYFUNCTION("""COMPUTED_VALUE"""),0.0)</f>
        <v>0</v>
      </c>
    </row>
    <row r="325">
      <c r="A325" s="6" t="str">
        <f>IFERROR(__xludf.DUMMYFUNCTION("""COMPUTED_VALUE"""),"Batch 160")</f>
        <v>Batch 160</v>
      </c>
      <c r="B325" s="7" t="str">
        <f>IFERROR(__xludf.DUMMYFUNCTION("""COMPUTED_VALUE"""),"AyushC60")</f>
        <v>AyushC60</v>
      </c>
      <c r="C325" s="8">
        <f>IFERROR(__xludf.DUMMYFUNCTION("""COMPUTED_VALUE"""),1.0)</f>
        <v>1</v>
      </c>
      <c r="D325" s="8">
        <f>IFERROR(__xludf.DUMMYFUNCTION("""COMPUTED_VALUE"""),0.0)</f>
        <v>0</v>
      </c>
    </row>
    <row r="326">
      <c r="A326" s="6" t="str">
        <f>IFERROR(__xludf.DUMMYFUNCTION("""COMPUTED_VALUE"""),"Batch 160")</f>
        <v>Batch 160</v>
      </c>
      <c r="B326" s="7" t="str">
        <f>IFERROR(__xludf.DUMMYFUNCTION("""COMPUTED_VALUE"""),"AaradhyaC60")</f>
        <v>AaradhyaC60</v>
      </c>
      <c r="C326" s="8">
        <f>IFERROR(__xludf.DUMMYFUNCTION("""COMPUTED_VALUE"""),1.0)</f>
        <v>1</v>
      </c>
      <c r="D326" s="8">
        <f>IFERROR(__xludf.DUMMYFUNCTION("""COMPUTED_VALUE"""),0.0)</f>
        <v>0</v>
      </c>
    </row>
    <row r="327">
      <c r="A327" s="6" t="str">
        <f>IFERROR(__xludf.DUMMYFUNCTION("""COMPUTED_VALUE"""),"Batch 160")</f>
        <v>Batch 160</v>
      </c>
      <c r="B327" s="7" t="str">
        <f>IFERROR(__xludf.DUMMYFUNCTION("""COMPUTED_VALUE"""),"HimanshiC60")</f>
        <v>HimanshiC60</v>
      </c>
      <c r="C327" s="8">
        <f>IFERROR(__xludf.DUMMYFUNCTION("""COMPUTED_VALUE"""),0.0)</f>
        <v>0</v>
      </c>
      <c r="D327" s="8">
        <f>IFERROR(__xludf.DUMMYFUNCTION("""COMPUTED_VALUE"""),0.0)</f>
        <v>0</v>
      </c>
    </row>
    <row r="328">
      <c r="A328" s="6" t="str">
        <f>IFERROR(__xludf.DUMMYFUNCTION("""COMPUTED_VALUE"""),"Batch 160")</f>
        <v>Batch 160</v>
      </c>
      <c r="B328" s="7" t="str">
        <f>IFERROR(__xludf.DUMMYFUNCTION("""COMPUTED_VALUE"""),"MadhavC60")</f>
        <v>MadhavC60</v>
      </c>
      <c r="C328" s="8">
        <f>IFERROR(__xludf.DUMMYFUNCTION("""COMPUTED_VALUE"""),1.0)</f>
        <v>1</v>
      </c>
      <c r="D328" s="8">
        <f>IFERROR(__xludf.DUMMYFUNCTION("""COMPUTED_VALUE"""),0.0)</f>
        <v>0</v>
      </c>
    </row>
    <row r="329">
      <c r="A329" s="6" t="str">
        <f>IFERROR(__xludf.DUMMYFUNCTION("""COMPUTED_VALUE"""),"Batch 160")</f>
        <v>Batch 160</v>
      </c>
      <c r="B329" s="7" t="str">
        <f>IFERROR(__xludf.DUMMYFUNCTION("""COMPUTED_VALUE"""),"JannatC60")</f>
        <v>JannatC60</v>
      </c>
      <c r="C329" s="8">
        <f>IFERROR(__xludf.DUMMYFUNCTION("""COMPUTED_VALUE"""),1.0)</f>
        <v>1</v>
      </c>
      <c r="D329" s="8">
        <f>IFERROR(__xludf.DUMMYFUNCTION("""COMPUTED_VALUE"""),2.0)</f>
        <v>2</v>
      </c>
    </row>
    <row r="330">
      <c r="A330" s="6" t="str">
        <f>IFERROR(__xludf.DUMMYFUNCTION("""COMPUTED_VALUE"""),"Batch 160")</f>
        <v>Batch 160</v>
      </c>
      <c r="B330" s="7" t="str">
        <f>IFERROR(__xludf.DUMMYFUNCTION("""COMPUTED_VALUE"""),"VissakotiC60")</f>
        <v>VissakotiC60</v>
      </c>
      <c r="C330" s="8">
        <f>IFERROR(__xludf.DUMMYFUNCTION("""COMPUTED_VALUE"""),1.0)</f>
        <v>1</v>
      </c>
      <c r="D330" s="8">
        <f>IFERROR(__xludf.DUMMYFUNCTION("""COMPUTED_VALUE"""),0.0)</f>
        <v>0</v>
      </c>
    </row>
    <row r="331">
      <c r="A331" s="6" t="str">
        <f>IFERROR(__xludf.DUMMYFUNCTION("""COMPUTED_VALUE"""),"Batch 160")</f>
        <v>Batch 160</v>
      </c>
      <c r="B331" s="7" t="str">
        <f>IFERROR(__xludf.DUMMYFUNCTION("""COMPUTED_VALUE"""),"KeshavC60")</f>
        <v>KeshavC60</v>
      </c>
      <c r="C331" s="8">
        <f>IFERROR(__xludf.DUMMYFUNCTION("""COMPUTED_VALUE"""),1.0)</f>
        <v>1</v>
      </c>
      <c r="D331" s="8">
        <f>IFERROR(__xludf.DUMMYFUNCTION("""COMPUTED_VALUE"""),0.0)</f>
        <v>0</v>
      </c>
    </row>
    <row r="332">
      <c r="A332" s="6" t="str">
        <f>IFERROR(__xludf.DUMMYFUNCTION("""COMPUTED_VALUE"""),"Batch 160")</f>
        <v>Batch 160</v>
      </c>
      <c r="B332" s="7" t="str">
        <f>IFERROR(__xludf.DUMMYFUNCTION("""COMPUTED_VALUE"""),"NishthaC60")</f>
        <v>NishthaC60</v>
      </c>
      <c r="C332" s="8">
        <f>IFERROR(__xludf.DUMMYFUNCTION("""COMPUTED_VALUE"""),0.0)</f>
        <v>0</v>
      </c>
      <c r="D332" s="8">
        <f>IFERROR(__xludf.DUMMYFUNCTION("""COMPUTED_VALUE"""),0.0)</f>
        <v>0</v>
      </c>
    </row>
    <row r="333">
      <c r="A333" s="6" t="str">
        <f>IFERROR(__xludf.DUMMYFUNCTION("""COMPUTED_VALUE"""),"Batch 160")</f>
        <v>Batch 160</v>
      </c>
      <c r="B333" s="7" t="str">
        <f>IFERROR(__xludf.DUMMYFUNCTION("""COMPUTED_VALUE"""),"AneesC60")</f>
        <v>AneesC60</v>
      </c>
      <c r="C333" s="8">
        <f>IFERROR(__xludf.DUMMYFUNCTION("""COMPUTED_VALUE"""),0.0)</f>
        <v>0</v>
      </c>
      <c r="D333" s="8">
        <f>IFERROR(__xludf.DUMMYFUNCTION("""COMPUTED_VALUE"""),0.0)</f>
        <v>0</v>
      </c>
    </row>
    <row r="334">
      <c r="A334" s="6" t="str">
        <f>IFERROR(__xludf.DUMMYFUNCTION("""COMPUTED_VALUE"""),"Batch 160")</f>
        <v>Batch 160</v>
      </c>
      <c r="B334" s="7" t="str">
        <f>IFERROR(__xludf.DUMMYFUNCTION("""COMPUTED_VALUE"""),"SonuC60")</f>
        <v>SonuC60</v>
      </c>
      <c r="C334" s="8">
        <f>IFERROR(__xludf.DUMMYFUNCTION("""COMPUTED_VALUE"""),0.0)</f>
        <v>0</v>
      </c>
      <c r="D334" s="8">
        <f>IFERROR(__xludf.DUMMYFUNCTION("""COMPUTED_VALUE"""),0.0)</f>
        <v>0</v>
      </c>
    </row>
    <row r="335">
      <c r="A335" s="6" t="str">
        <f>IFERROR(__xludf.DUMMYFUNCTION("""COMPUTED_VALUE"""),"Batch 160")</f>
        <v>Batch 160</v>
      </c>
      <c r="B335" s="7" t="str">
        <f>IFERROR(__xludf.DUMMYFUNCTION("""COMPUTED_VALUE"""),"AdritaC60")</f>
        <v>AdritaC60</v>
      </c>
      <c r="C335" s="8">
        <f>IFERROR(__xludf.DUMMYFUNCTION("""COMPUTED_VALUE"""),0.0)</f>
        <v>0</v>
      </c>
      <c r="D335" s="8">
        <f>IFERROR(__xludf.DUMMYFUNCTION("""COMPUTED_VALUE"""),0.0)</f>
        <v>0</v>
      </c>
    </row>
    <row r="336">
      <c r="A336" s="6" t="str">
        <f>IFERROR(__xludf.DUMMYFUNCTION("""COMPUTED_VALUE"""),"Batch 160")</f>
        <v>Batch 160</v>
      </c>
      <c r="B336" s="7" t="str">
        <f>IFERROR(__xludf.DUMMYFUNCTION("""COMPUTED_VALUE"""),"UnnatiC60")</f>
        <v>UnnatiC60</v>
      </c>
      <c r="C336" s="8">
        <f>IFERROR(__xludf.DUMMYFUNCTION("""COMPUTED_VALUE"""),2.0)</f>
        <v>2</v>
      </c>
      <c r="D336" s="8">
        <f>IFERROR(__xludf.DUMMYFUNCTION("""COMPUTED_VALUE"""),0.0)</f>
        <v>0</v>
      </c>
    </row>
    <row r="337">
      <c r="A337" s="6" t="str">
        <f>IFERROR(__xludf.DUMMYFUNCTION("""COMPUTED_VALUE"""),"Batch 160")</f>
        <v>Batch 160</v>
      </c>
      <c r="B337" s="7" t="str">
        <f>IFERROR(__xludf.DUMMYFUNCTION("""COMPUTED_VALUE"""),"VijayC60")</f>
        <v>VijayC60</v>
      </c>
      <c r="C337" s="8">
        <f>IFERROR(__xludf.DUMMYFUNCTION("""COMPUTED_VALUE"""),0.0)</f>
        <v>0</v>
      </c>
      <c r="D337" s="8">
        <f>IFERROR(__xludf.DUMMYFUNCTION("""COMPUTED_VALUE"""),0.0)</f>
        <v>0</v>
      </c>
    </row>
    <row r="338">
      <c r="A338" s="6" t="str">
        <f>IFERROR(__xludf.DUMMYFUNCTION("""COMPUTED_VALUE"""),"Batch 160")</f>
        <v>Batch 160</v>
      </c>
      <c r="B338" s="7" t="str">
        <f>IFERROR(__xludf.DUMMYFUNCTION("""COMPUTED_VALUE"""),"ShahraizC60")</f>
        <v>ShahraizC60</v>
      </c>
      <c r="C338" s="8">
        <f>IFERROR(__xludf.DUMMYFUNCTION("""COMPUTED_VALUE"""),0.0)</f>
        <v>0</v>
      </c>
      <c r="D338" s="8">
        <f>IFERROR(__xludf.DUMMYFUNCTION("""COMPUTED_VALUE"""),0.0)</f>
        <v>0</v>
      </c>
    </row>
    <row r="339">
      <c r="A339" s="6" t="str">
        <f>IFERROR(__xludf.DUMMYFUNCTION("""COMPUTED_VALUE"""),"Batch 160")</f>
        <v>Batch 160</v>
      </c>
      <c r="B339" s="7" t="str">
        <f>IFERROR(__xludf.DUMMYFUNCTION("""COMPUTED_VALUE"""),"SakshiC60")</f>
        <v>SakshiC60</v>
      </c>
      <c r="C339" s="8">
        <f>IFERROR(__xludf.DUMMYFUNCTION("""COMPUTED_VALUE"""),0.0)</f>
        <v>0</v>
      </c>
      <c r="D339" s="8">
        <f>IFERROR(__xludf.DUMMYFUNCTION("""COMPUTED_VALUE"""),0.0)</f>
        <v>0</v>
      </c>
    </row>
    <row r="340">
      <c r="A340" s="6" t="str">
        <f>IFERROR(__xludf.DUMMYFUNCTION("""COMPUTED_VALUE"""),"Batch 160")</f>
        <v>Batch 160</v>
      </c>
      <c r="B340" s="7" t="str">
        <f>IFERROR(__xludf.DUMMYFUNCTION("""COMPUTED_VALUE"""),"SHASHANKC60")</f>
        <v>SHASHANKC60</v>
      </c>
      <c r="C340" s="8">
        <f>IFERROR(__xludf.DUMMYFUNCTION("""COMPUTED_VALUE"""),0.0)</f>
        <v>0</v>
      </c>
      <c r="D340" s="8">
        <f>IFERROR(__xludf.DUMMYFUNCTION("""COMPUTED_VALUE"""),0.0)</f>
        <v>0</v>
      </c>
    </row>
    <row r="341">
      <c r="A341" s="6" t="str">
        <f>IFERROR(__xludf.DUMMYFUNCTION("""COMPUTED_VALUE"""),"Batch 160")</f>
        <v>Batch 160</v>
      </c>
      <c r="B341" s="7" t="str">
        <f>IFERROR(__xludf.DUMMYFUNCTION("""COMPUTED_VALUE"""),"SouvikC60")</f>
        <v>SouvikC60</v>
      </c>
      <c r="C341" s="8">
        <f>IFERROR(__xludf.DUMMYFUNCTION("""COMPUTED_VALUE"""),0.0)</f>
        <v>0</v>
      </c>
      <c r="D341" s="8">
        <f>IFERROR(__xludf.DUMMYFUNCTION("""COMPUTED_VALUE"""),0.0)</f>
        <v>0</v>
      </c>
    </row>
    <row r="342">
      <c r="A342" s="6" t="str">
        <f>IFERROR(__xludf.DUMMYFUNCTION("""COMPUTED_VALUE"""),"Batch 160")</f>
        <v>Batch 160</v>
      </c>
      <c r="B342" s="7" t="str">
        <f>IFERROR(__xludf.DUMMYFUNCTION("""COMPUTED_VALUE"""),"PritamC60")</f>
        <v>PritamC60</v>
      </c>
      <c r="C342" s="8">
        <f>IFERROR(__xludf.DUMMYFUNCTION("""COMPUTED_VALUE"""),0.0)</f>
        <v>0</v>
      </c>
      <c r="D342" s="8">
        <f>IFERROR(__xludf.DUMMYFUNCTION("""COMPUTED_VALUE"""),0.0)</f>
        <v>0</v>
      </c>
    </row>
    <row r="343">
      <c r="A343" s="9" t="str">
        <f>IFERROR(__xludf.DUMMYFUNCTION("""COMPUTED_VALUE"""),"Batch 160")</f>
        <v>Batch 160</v>
      </c>
      <c r="B343" s="9" t="str">
        <f>IFERROR(__xludf.DUMMYFUNCTION("""COMPUTED_VALUE"""),"RakshaC60")</f>
        <v>RakshaC60</v>
      </c>
      <c r="C343" s="8">
        <f>IFERROR(__xludf.DUMMYFUNCTION("""COMPUTED_VALUE"""),0.0)</f>
        <v>0</v>
      </c>
      <c r="D343" s="8">
        <f>IFERROR(__xludf.DUMMYFUNCTION("""COMPUTED_VALUE"""),0.0)</f>
        <v>0</v>
      </c>
    </row>
    <row r="344">
      <c r="A344" s="12"/>
      <c r="B344" s="13"/>
      <c r="C344" s="8">
        <f>IFERROR(__xludf.DUMMYFUNCTION("""COMPUTED_VALUE"""),0.0)</f>
        <v>0</v>
      </c>
      <c r="D344" s="8"/>
    </row>
    <row r="345">
      <c r="A345" s="12" t="str">
        <f>IFERROR(__xludf.DUMMYFUNCTION("""COMPUTED_VALUE"""),"Batch 161")</f>
        <v>Batch 161</v>
      </c>
      <c r="B345" s="13" t="str">
        <f>IFERROR(__xludf.DUMMYFUNCTION("""COMPUTED_VALUE"""),"SaurabhC61")</f>
        <v>SaurabhC61</v>
      </c>
      <c r="C345" s="8">
        <f>IFERROR(__xludf.DUMMYFUNCTION("""COMPUTED_VALUE"""),0.0)</f>
        <v>0</v>
      </c>
      <c r="D345" s="8">
        <f>IFERROR(__xludf.DUMMYFUNCTION("""COMPUTED_VALUE"""),0.0)</f>
        <v>0</v>
      </c>
    </row>
    <row r="346">
      <c r="A346" s="12" t="str">
        <f>IFERROR(__xludf.DUMMYFUNCTION("""COMPUTED_VALUE"""),"Batch 161")</f>
        <v>Batch 161</v>
      </c>
      <c r="B346" s="13" t="str">
        <f>IFERROR(__xludf.DUMMYFUNCTION("""COMPUTED_VALUE"""),"GourabC61")</f>
        <v>GourabC61</v>
      </c>
      <c r="C346" s="8">
        <f>IFERROR(__xludf.DUMMYFUNCTION("""COMPUTED_VALUE"""),0.0)</f>
        <v>0</v>
      </c>
      <c r="D346" s="8">
        <f>IFERROR(__xludf.DUMMYFUNCTION("""COMPUTED_VALUE"""),0.0)</f>
        <v>0</v>
      </c>
    </row>
    <row r="347">
      <c r="A347" s="12" t="str">
        <f>IFERROR(__xludf.DUMMYFUNCTION("""COMPUTED_VALUE"""),"Batch 161")</f>
        <v>Batch 161</v>
      </c>
      <c r="B347" s="13" t="str">
        <f>IFERROR(__xludf.DUMMYFUNCTION("""COMPUTED_VALUE"""),"RaeshalC61")</f>
        <v>RaeshalC61</v>
      </c>
      <c r="C347" s="8">
        <f>IFERROR(__xludf.DUMMYFUNCTION("""COMPUTED_VALUE"""),0.0)</f>
        <v>0</v>
      </c>
      <c r="D347" s="8">
        <f>IFERROR(__xludf.DUMMYFUNCTION("""COMPUTED_VALUE"""),0.0)</f>
        <v>0</v>
      </c>
    </row>
    <row r="348">
      <c r="A348" s="12" t="str">
        <f>IFERROR(__xludf.DUMMYFUNCTION("""COMPUTED_VALUE"""),"Batch 161")</f>
        <v>Batch 161</v>
      </c>
      <c r="B348" s="13" t="str">
        <f>IFERROR(__xludf.DUMMYFUNCTION("""COMPUTED_VALUE"""),"DeepanshuC61")</f>
        <v>DeepanshuC61</v>
      </c>
      <c r="C348" s="8">
        <f>IFERROR(__xludf.DUMMYFUNCTION("""COMPUTED_VALUE"""),0.0)</f>
        <v>0</v>
      </c>
      <c r="D348" s="8">
        <f>IFERROR(__xludf.DUMMYFUNCTION("""COMPUTED_VALUE"""),0.0)</f>
        <v>0</v>
      </c>
    </row>
    <row r="349">
      <c r="A349" s="12" t="str">
        <f>IFERROR(__xludf.DUMMYFUNCTION("""COMPUTED_VALUE"""),"Batch 161")</f>
        <v>Batch 161</v>
      </c>
      <c r="B349" s="13" t="str">
        <f>IFERROR(__xludf.DUMMYFUNCTION("""COMPUTED_VALUE"""),"KeshavC61")</f>
        <v>KeshavC61</v>
      </c>
      <c r="C349" s="8">
        <f>IFERROR(__xludf.DUMMYFUNCTION("""COMPUTED_VALUE"""),0.0)</f>
        <v>0</v>
      </c>
      <c r="D349" s="8">
        <f>IFERROR(__xludf.DUMMYFUNCTION("""COMPUTED_VALUE"""),0.0)</f>
        <v>0</v>
      </c>
    </row>
    <row r="350">
      <c r="A350" s="12" t="str">
        <f>IFERROR(__xludf.DUMMYFUNCTION("""COMPUTED_VALUE"""),"Batch 161")</f>
        <v>Batch 161</v>
      </c>
      <c r="B350" s="13" t="str">
        <f>IFERROR(__xludf.DUMMYFUNCTION("""COMPUTED_VALUE"""),"SWATHIC61")</f>
        <v>SWATHIC61</v>
      </c>
      <c r="C350" s="8">
        <f>IFERROR(__xludf.DUMMYFUNCTION("""COMPUTED_VALUE"""),18.0)</f>
        <v>18</v>
      </c>
      <c r="D350" s="8">
        <f>IFERROR(__xludf.DUMMYFUNCTION("""COMPUTED_VALUE"""),0.0)</f>
        <v>0</v>
      </c>
    </row>
    <row r="351">
      <c r="A351" s="12" t="str">
        <f>IFERROR(__xludf.DUMMYFUNCTION("""COMPUTED_VALUE"""),"Batch 161")</f>
        <v>Batch 161</v>
      </c>
      <c r="B351" s="13" t="str">
        <f>IFERROR(__xludf.DUMMYFUNCTION("""COMPUTED_VALUE"""),"M.AnilC61")</f>
        <v>M.AnilC61</v>
      </c>
      <c r="C351" s="8">
        <f>IFERROR(__xludf.DUMMYFUNCTION("""COMPUTED_VALUE"""),0.0)</f>
        <v>0</v>
      </c>
      <c r="D351" s="8">
        <f>IFERROR(__xludf.DUMMYFUNCTION("""COMPUTED_VALUE"""),0.0)</f>
        <v>0</v>
      </c>
    </row>
    <row r="352">
      <c r="A352" s="12" t="str">
        <f>IFERROR(__xludf.DUMMYFUNCTION("""COMPUTED_VALUE"""),"Batch 161")</f>
        <v>Batch 161</v>
      </c>
      <c r="B352" s="13" t="str">
        <f>IFERROR(__xludf.DUMMYFUNCTION("""COMPUTED_VALUE"""),"RiyaC61")</f>
        <v>RiyaC61</v>
      </c>
      <c r="C352" s="8">
        <f>IFERROR(__xludf.DUMMYFUNCTION("""COMPUTED_VALUE"""),0.0)</f>
        <v>0</v>
      </c>
      <c r="D352" s="8">
        <f>IFERROR(__xludf.DUMMYFUNCTION("""COMPUTED_VALUE"""),0.0)</f>
        <v>0</v>
      </c>
    </row>
    <row r="353">
      <c r="A353" s="12" t="str">
        <f>IFERROR(__xludf.DUMMYFUNCTION("""COMPUTED_VALUE"""),"Batch 161")</f>
        <v>Batch 161</v>
      </c>
      <c r="B353" s="13" t="str">
        <f>IFERROR(__xludf.DUMMYFUNCTION("""COMPUTED_VALUE"""),"AnkitC61")</f>
        <v>AnkitC61</v>
      </c>
      <c r="C353" s="8">
        <f>IFERROR(__xludf.DUMMYFUNCTION("""COMPUTED_VALUE"""),1.0)</f>
        <v>1</v>
      </c>
      <c r="D353" s="8">
        <f>IFERROR(__xludf.DUMMYFUNCTION("""COMPUTED_VALUE"""),0.0)</f>
        <v>0</v>
      </c>
    </row>
    <row r="354">
      <c r="A354" s="12" t="str">
        <f>IFERROR(__xludf.DUMMYFUNCTION("""COMPUTED_VALUE"""),"Batch 161")</f>
        <v>Batch 161</v>
      </c>
      <c r="B354" s="13" t="str">
        <f>IFERROR(__xludf.DUMMYFUNCTION("""COMPUTED_VALUE"""),"SalmaC61")</f>
        <v>SalmaC61</v>
      </c>
      <c r="C354" s="8">
        <f>IFERROR(__xludf.DUMMYFUNCTION("""COMPUTED_VALUE"""),0.0)</f>
        <v>0</v>
      </c>
      <c r="D354" s="8">
        <f>IFERROR(__xludf.DUMMYFUNCTION("""COMPUTED_VALUE"""),0.0)</f>
        <v>0</v>
      </c>
    </row>
    <row r="355">
      <c r="A355" s="12" t="str">
        <f>IFERROR(__xludf.DUMMYFUNCTION("""COMPUTED_VALUE"""),"Batch 161")</f>
        <v>Batch 161</v>
      </c>
      <c r="B355" s="13" t="str">
        <f>IFERROR(__xludf.DUMMYFUNCTION("""COMPUTED_VALUE"""),"satyamC61")</f>
        <v>satyamC61</v>
      </c>
      <c r="C355" s="8">
        <f>IFERROR(__xludf.DUMMYFUNCTION("""COMPUTED_VALUE"""),2.0)</f>
        <v>2</v>
      </c>
      <c r="D355" s="8">
        <f>IFERROR(__xludf.DUMMYFUNCTION("""COMPUTED_VALUE"""),0.0)</f>
        <v>0</v>
      </c>
    </row>
    <row r="356">
      <c r="A356" s="12" t="str">
        <f>IFERROR(__xludf.DUMMYFUNCTION("""COMPUTED_VALUE"""),"Batch 161")</f>
        <v>Batch 161</v>
      </c>
      <c r="B356" s="13" t="str">
        <f>IFERROR(__xludf.DUMMYFUNCTION("""COMPUTED_VALUE"""),"AnneshaC61")</f>
        <v>AnneshaC61</v>
      </c>
      <c r="C356" s="8">
        <f>IFERROR(__xludf.DUMMYFUNCTION("""COMPUTED_VALUE"""),0.0)</f>
        <v>0</v>
      </c>
      <c r="D356" s="8">
        <f>IFERROR(__xludf.DUMMYFUNCTION("""COMPUTED_VALUE"""),0.0)</f>
        <v>0</v>
      </c>
    </row>
    <row r="357">
      <c r="A357" s="12" t="str">
        <f>IFERROR(__xludf.DUMMYFUNCTION("""COMPUTED_VALUE"""),"Batch 161")</f>
        <v>Batch 161</v>
      </c>
      <c r="B357" s="13" t="str">
        <f>IFERROR(__xludf.DUMMYFUNCTION("""COMPUTED_VALUE"""),"VanshikaC61")</f>
        <v>VanshikaC61</v>
      </c>
      <c r="C357" s="8">
        <f>IFERROR(__xludf.DUMMYFUNCTION("""COMPUTED_VALUE"""),1.0)</f>
        <v>1</v>
      </c>
      <c r="D357" s="8">
        <f>IFERROR(__xludf.DUMMYFUNCTION("""COMPUTED_VALUE"""),0.0)</f>
        <v>0</v>
      </c>
    </row>
    <row r="358">
      <c r="A358" s="12" t="str">
        <f>IFERROR(__xludf.DUMMYFUNCTION("""COMPUTED_VALUE"""),"Batch 161")</f>
        <v>Batch 161</v>
      </c>
      <c r="B358" s="13" t="str">
        <f>IFERROR(__xludf.DUMMYFUNCTION("""COMPUTED_VALUE"""),"NagasuruC61")</f>
        <v>NagasuruC61</v>
      </c>
      <c r="C358" s="8">
        <f>IFERROR(__xludf.DUMMYFUNCTION("""COMPUTED_VALUE"""),0.0)</f>
        <v>0</v>
      </c>
      <c r="D358" s="8">
        <f>IFERROR(__xludf.DUMMYFUNCTION("""COMPUTED_VALUE"""),0.0)</f>
        <v>0</v>
      </c>
    </row>
    <row r="359">
      <c r="A359" s="12" t="str">
        <f>IFERROR(__xludf.DUMMYFUNCTION("""COMPUTED_VALUE"""),"Batch 161")</f>
        <v>Batch 161</v>
      </c>
      <c r="B359" s="13" t="str">
        <f>IFERROR(__xludf.DUMMYFUNCTION("""COMPUTED_VALUE"""),"ShrutiC61")</f>
        <v>ShrutiC61</v>
      </c>
      <c r="C359" s="8">
        <f>IFERROR(__xludf.DUMMYFUNCTION("""COMPUTED_VALUE"""),0.0)</f>
        <v>0</v>
      </c>
      <c r="D359" s="8">
        <f>IFERROR(__xludf.DUMMYFUNCTION("""COMPUTED_VALUE"""),0.0)</f>
        <v>0</v>
      </c>
    </row>
    <row r="360">
      <c r="A360" s="12" t="str">
        <f>IFERROR(__xludf.DUMMYFUNCTION("""COMPUTED_VALUE"""),"Batch 161")</f>
        <v>Batch 161</v>
      </c>
      <c r="B360" s="13" t="str">
        <f>IFERROR(__xludf.DUMMYFUNCTION("""COMPUTED_VALUE"""),"NIKHILC61")</f>
        <v>NIKHILC61</v>
      </c>
      <c r="C360" s="8">
        <f>IFERROR(__xludf.DUMMYFUNCTION("""COMPUTED_VALUE"""),0.0)</f>
        <v>0</v>
      </c>
      <c r="D360" s="8">
        <f>IFERROR(__xludf.DUMMYFUNCTION("""COMPUTED_VALUE"""),0.0)</f>
        <v>0</v>
      </c>
    </row>
    <row r="361">
      <c r="A361" s="12" t="str">
        <f>IFERROR(__xludf.DUMMYFUNCTION("""COMPUTED_VALUE"""),"Batch 161")</f>
        <v>Batch 161</v>
      </c>
      <c r="B361" s="13" t="str">
        <f>IFERROR(__xludf.DUMMYFUNCTION("""COMPUTED_VALUE"""),"AditiC61")</f>
        <v>AditiC61</v>
      </c>
      <c r="C361" s="8">
        <f>IFERROR(__xludf.DUMMYFUNCTION("""COMPUTED_VALUE"""),1.0)</f>
        <v>1</v>
      </c>
      <c r="D361" s="8">
        <f>IFERROR(__xludf.DUMMYFUNCTION("""COMPUTED_VALUE"""),0.0)</f>
        <v>0</v>
      </c>
    </row>
    <row r="362">
      <c r="A362" s="12" t="str">
        <f>IFERROR(__xludf.DUMMYFUNCTION("""COMPUTED_VALUE"""),"Batch 161")</f>
        <v>Batch 161</v>
      </c>
      <c r="B362" s="13" t="str">
        <f>IFERROR(__xludf.DUMMYFUNCTION("""COMPUTED_VALUE"""),"AjinkyaC61")</f>
        <v>AjinkyaC61</v>
      </c>
      <c r="C362" s="8">
        <f>IFERROR(__xludf.DUMMYFUNCTION("""COMPUTED_VALUE"""),0.0)</f>
        <v>0</v>
      </c>
      <c r="D362" s="8">
        <f>IFERROR(__xludf.DUMMYFUNCTION("""COMPUTED_VALUE"""),0.0)</f>
        <v>0</v>
      </c>
    </row>
    <row r="363">
      <c r="A363" s="12" t="str">
        <f>IFERROR(__xludf.DUMMYFUNCTION("""COMPUTED_VALUE"""),"Batch 161")</f>
        <v>Batch 161</v>
      </c>
      <c r="B363" s="13" t="str">
        <f>IFERROR(__xludf.DUMMYFUNCTION("""COMPUTED_VALUE"""),"KrishanuC61")</f>
        <v>KrishanuC61</v>
      </c>
      <c r="C363" s="8">
        <f>IFERROR(__xludf.DUMMYFUNCTION("""COMPUTED_VALUE"""),0.0)</f>
        <v>0</v>
      </c>
      <c r="D363" s="8">
        <f>IFERROR(__xludf.DUMMYFUNCTION("""COMPUTED_VALUE"""),0.0)</f>
        <v>0</v>
      </c>
    </row>
    <row r="364">
      <c r="A364" s="12" t="str">
        <f>IFERROR(__xludf.DUMMYFUNCTION("""COMPUTED_VALUE"""),"Batch 161")</f>
        <v>Batch 161</v>
      </c>
      <c r="B364" s="13" t="str">
        <f>IFERROR(__xludf.DUMMYFUNCTION("""COMPUTED_VALUE"""),"MeghaC61")</f>
        <v>MeghaC61</v>
      </c>
      <c r="C364" s="8">
        <f>IFERROR(__xludf.DUMMYFUNCTION("""COMPUTED_VALUE"""),0.0)</f>
        <v>0</v>
      </c>
      <c r="D364" s="8">
        <f>IFERROR(__xludf.DUMMYFUNCTION("""COMPUTED_VALUE"""),0.0)</f>
        <v>0</v>
      </c>
    </row>
    <row r="365">
      <c r="A365" s="12" t="str">
        <f>IFERROR(__xludf.DUMMYFUNCTION("""COMPUTED_VALUE"""),"Batch 161")</f>
        <v>Batch 161</v>
      </c>
      <c r="B365" s="13" t="str">
        <f>IFERROR(__xludf.DUMMYFUNCTION("""COMPUTED_VALUE"""),"AnshulC61")</f>
        <v>AnshulC61</v>
      </c>
      <c r="C365" s="8">
        <f>IFERROR(__xludf.DUMMYFUNCTION("""COMPUTED_VALUE"""),0.0)</f>
        <v>0</v>
      </c>
      <c r="D365" s="8">
        <f>IFERROR(__xludf.DUMMYFUNCTION("""COMPUTED_VALUE"""),0.0)</f>
        <v>0</v>
      </c>
    </row>
    <row r="366">
      <c r="A366" s="12" t="str">
        <f>IFERROR(__xludf.DUMMYFUNCTION("""COMPUTED_VALUE"""),"Batch 161")</f>
        <v>Batch 161</v>
      </c>
      <c r="B366" s="13" t="str">
        <f>IFERROR(__xludf.DUMMYFUNCTION("""COMPUTED_VALUE"""),"ManasC61")</f>
        <v>ManasC61</v>
      </c>
      <c r="C366" s="8">
        <f>IFERROR(__xludf.DUMMYFUNCTION("""COMPUTED_VALUE"""),0.0)</f>
        <v>0</v>
      </c>
      <c r="D366" s="8">
        <f>IFERROR(__xludf.DUMMYFUNCTION("""COMPUTED_VALUE"""),0.0)</f>
        <v>0</v>
      </c>
    </row>
    <row r="367">
      <c r="A367" s="12" t="str">
        <f>IFERROR(__xludf.DUMMYFUNCTION("""COMPUTED_VALUE"""),"Batch 161")</f>
        <v>Batch 161</v>
      </c>
      <c r="B367" s="13" t="str">
        <f>IFERROR(__xludf.DUMMYFUNCTION("""COMPUTED_VALUE"""),"PraneshC61")</f>
        <v>PraneshC61</v>
      </c>
      <c r="C367" s="8">
        <f>IFERROR(__xludf.DUMMYFUNCTION("""COMPUTED_VALUE"""),1.0)</f>
        <v>1</v>
      </c>
      <c r="D367" s="8">
        <f>IFERROR(__xludf.DUMMYFUNCTION("""COMPUTED_VALUE"""),0.0)</f>
        <v>0</v>
      </c>
    </row>
    <row r="368">
      <c r="A368" s="12" t="str">
        <f>IFERROR(__xludf.DUMMYFUNCTION("""COMPUTED_VALUE"""),"Batch 161")</f>
        <v>Batch 161</v>
      </c>
      <c r="B368" s="13" t="str">
        <f>IFERROR(__xludf.DUMMYFUNCTION("""COMPUTED_VALUE"""),"PulaparthiC61")</f>
        <v>PulaparthiC61</v>
      </c>
      <c r="C368" s="8">
        <f>IFERROR(__xludf.DUMMYFUNCTION("""COMPUTED_VALUE"""),1.0)</f>
        <v>1</v>
      </c>
      <c r="D368" s="8">
        <f>IFERROR(__xludf.DUMMYFUNCTION("""COMPUTED_VALUE"""),0.0)</f>
        <v>0</v>
      </c>
    </row>
    <row r="369">
      <c r="A369" s="12" t="str">
        <f>IFERROR(__xludf.DUMMYFUNCTION("""COMPUTED_VALUE"""),"Batch 161")</f>
        <v>Batch 161</v>
      </c>
      <c r="B369" s="13" t="str">
        <f>IFERROR(__xludf.DUMMYFUNCTION("""COMPUTED_VALUE"""),"KirtiC61")</f>
        <v>KirtiC61</v>
      </c>
      <c r="C369" s="8">
        <f>IFERROR(__xludf.DUMMYFUNCTION("""COMPUTED_VALUE"""),20.0)</f>
        <v>20</v>
      </c>
      <c r="D369" s="8">
        <f>IFERROR(__xludf.DUMMYFUNCTION("""COMPUTED_VALUE"""),3.0)</f>
        <v>3</v>
      </c>
    </row>
    <row r="370">
      <c r="A370" s="12" t="str">
        <f>IFERROR(__xludf.DUMMYFUNCTION("""COMPUTED_VALUE"""),"Batch 161")</f>
        <v>Batch 161</v>
      </c>
      <c r="B370" s="13" t="str">
        <f>IFERROR(__xludf.DUMMYFUNCTION("""COMPUTED_VALUE"""),"ShreyanshC61")</f>
        <v>ShreyanshC61</v>
      </c>
      <c r="C370" s="8">
        <f>IFERROR(__xludf.DUMMYFUNCTION("""COMPUTED_VALUE"""),1.0)</f>
        <v>1</v>
      </c>
      <c r="D370" s="8">
        <f>IFERROR(__xludf.DUMMYFUNCTION("""COMPUTED_VALUE"""),1.0)</f>
        <v>1</v>
      </c>
    </row>
    <row r="371">
      <c r="A371" s="12" t="str">
        <f>IFERROR(__xludf.DUMMYFUNCTION("""COMPUTED_VALUE"""),"Batch 161")</f>
        <v>Batch 161</v>
      </c>
      <c r="B371" s="13" t="str">
        <f>IFERROR(__xludf.DUMMYFUNCTION("""COMPUTED_VALUE"""),"SuyashC61")</f>
        <v>SuyashC61</v>
      </c>
      <c r="C371" s="8">
        <f>IFERROR(__xludf.DUMMYFUNCTION("""COMPUTED_VALUE"""),0.0)</f>
        <v>0</v>
      </c>
      <c r="D371" s="8">
        <f>IFERROR(__xludf.DUMMYFUNCTION("""COMPUTED_VALUE"""),0.0)</f>
        <v>0</v>
      </c>
    </row>
    <row r="372">
      <c r="A372" s="12" t="str">
        <f>IFERROR(__xludf.DUMMYFUNCTION("""COMPUTED_VALUE"""),"Batch 161")</f>
        <v>Batch 161</v>
      </c>
      <c r="B372" s="13" t="str">
        <f>IFERROR(__xludf.DUMMYFUNCTION("""COMPUTED_VALUE"""),"AnilC61")</f>
        <v>AnilC61</v>
      </c>
      <c r="C372" s="8">
        <f>IFERROR(__xludf.DUMMYFUNCTION("""COMPUTED_VALUE"""),0.0)</f>
        <v>0</v>
      </c>
      <c r="D372" s="8">
        <f>IFERROR(__xludf.DUMMYFUNCTION("""COMPUTED_VALUE"""),0.0)</f>
        <v>0</v>
      </c>
    </row>
    <row r="373">
      <c r="A373" s="12" t="str">
        <f>IFERROR(__xludf.DUMMYFUNCTION("""COMPUTED_VALUE"""),"Batch 161")</f>
        <v>Batch 161</v>
      </c>
      <c r="B373" s="13" t="str">
        <f>IFERROR(__xludf.DUMMYFUNCTION("""COMPUTED_VALUE"""),"SachinC61")</f>
        <v>SachinC61</v>
      </c>
      <c r="C373" s="8">
        <f>IFERROR(__xludf.DUMMYFUNCTION("""COMPUTED_VALUE"""),0.0)</f>
        <v>0</v>
      </c>
      <c r="D373" s="8">
        <f>IFERROR(__xludf.DUMMYFUNCTION("""COMPUTED_VALUE"""),0.0)</f>
        <v>0</v>
      </c>
    </row>
    <row r="374">
      <c r="A374" s="12" t="str">
        <f>IFERROR(__xludf.DUMMYFUNCTION("""COMPUTED_VALUE"""),"Batch 161")</f>
        <v>Batch 161</v>
      </c>
      <c r="B374" s="13" t="str">
        <f>IFERROR(__xludf.DUMMYFUNCTION("""COMPUTED_VALUE"""),"DikshaC61")</f>
        <v>DikshaC61</v>
      </c>
      <c r="C374" s="8">
        <f>IFERROR(__xludf.DUMMYFUNCTION("""COMPUTED_VALUE"""),0.0)</f>
        <v>0</v>
      </c>
      <c r="D374" s="8">
        <f>IFERROR(__xludf.DUMMYFUNCTION("""COMPUTED_VALUE"""),0.0)</f>
        <v>0</v>
      </c>
    </row>
    <row r="375">
      <c r="A375" s="12" t="str">
        <f>IFERROR(__xludf.DUMMYFUNCTION("""COMPUTED_VALUE"""),"Batch 161")</f>
        <v>Batch 161</v>
      </c>
      <c r="B375" s="13" t="str">
        <f>IFERROR(__xludf.DUMMYFUNCTION("""COMPUTED_VALUE"""),"AmanC61")</f>
        <v>AmanC61</v>
      </c>
      <c r="C375" s="8">
        <f>IFERROR(__xludf.DUMMYFUNCTION("""COMPUTED_VALUE"""),0.0)</f>
        <v>0</v>
      </c>
      <c r="D375" s="8">
        <f>IFERROR(__xludf.DUMMYFUNCTION("""COMPUTED_VALUE"""),1.0)</f>
        <v>1</v>
      </c>
    </row>
    <row r="376">
      <c r="A376" s="12" t="str">
        <f>IFERROR(__xludf.DUMMYFUNCTION("""COMPUTED_VALUE"""),"Batch 161")</f>
        <v>Batch 161</v>
      </c>
      <c r="B376" s="13" t="str">
        <f>IFERROR(__xludf.DUMMYFUNCTION("""COMPUTED_VALUE"""),"AyushC61")</f>
        <v>AyushC61</v>
      </c>
      <c r="C376" s="8">
        <f>IFERROR(__xludf.DUMMYFUNCTION("""COMPUTED_VALUE"""),82.0)</f>
        <v>82</v>
      </c>
      <c r="D376" s="8">
        <f>IFERROR(__xludf.DUMMYFUNCTION("""COMPUTED_VALUE"""),0.0)</f>
        <v>0</v>
      </c>
    </row>
    <row r="377">
      <c r="A377" s="12" t="str">
        <f>IFERROR(__xludf.DUMMYFUNCTION("""COMPUTED_VALUE"""),"Batch 161")</f>
        <v>Batch 161</v>
      </c>
      <c r="B377" s="13" t="str">
        <f>IFERROR(__xludf.DUMMYFUNCTION("""COMPUTED_VALUE"""),"MuktaC61")</f>
        <v>MuktaC61</v>
      </c>
      <c r="C377" s="8">
        <f>IFERROR(__xludf.DUMMYFUNCTION("""COMPUTED_VALUE"""),4.0)</f>
        <v>4</v>
      </c>
      <c r="D377" s="8">
        <f>IFERROR(__xludf.DUMMYFUNCTION("""COMPUTED_VALUE"""),0.0)</f>
        <v>0</v>
      </c>
    </row>
    <row r="378">
      <c r="A378" s="12" t="str">
        <f>IFERROR(__xludf.DUMMYFUNCTION("""COMPUTED_VALUE"""),"Batch 161")</f>
        <v>Batch 161</v>
      </c>
      <c r="B378" s="13" t="str">
        <f>IFERROR(__xludf.DUMMYFUNCTION("""COMPUTED_VALUE"""),"AkashC61")</f>
        <v>AkashC61</v>
      </c>
      <c r="C378" s="8">
        <f>IFERROR(__xludf.DUMMYFUNCTION("""COMPUTED_VALUE"""),0.0)</f>
        <v>0</v>
      </c>
      <c r="D378" s="8">
        <f>IFERROR(__xludf.DUMMYFUNCTION("""COMPUTED_VALUE"""),0.0)</f>
        <v>0</v>
      </c>
    </row>
    <row r="379">
      <c r="A379" s="12" t="str">
        <f>IFERROR(__xludf.DUMMYFUNCTION("""COMPUTED_VALUE"""),"Batch 161")</f>
        <v>Batch 161</v>
      </c>
      <c r="B379" s="13" t="str">
        <f>IFERROR(__xludf.DUMMYFUNCTION("""COMPUTED_VALUE"""),"JanviC61")</f>
        <v>JanviC61</v>
      </c>
      <c r="C379" s="8">
        <f>IFERROR(__xludf.DUMMYFUNCTION("""COMPUTED_VALUE"""),0.0)</f>
        <v>0</v>
      </c>
      <c r="D379" s="8">
        <f>IFERROR(__xludf.DUMMYFUNCTION("""COMPUTED_VALUE"""),0.0)</f>
        <v>0</v>
      </c>
    </row>
    <row r="380">
      <c r="A380" s="12" t="str">
        <f>IFERROR(__xludf.DUMMYFUNCTION("""COMPUTED_VALUE"""),"Batch 161")</f>
        <v>Batch 161</v>
      </c>
      <c r="B380" s="13" t="str">
        <f>IFERROR(__xludf.DUMMYFUNCTION("""COMPUTED_VALUE"""),"AvinashC61")</f>
        <v>AvinashC61</v>
      </c>
      <c r="C380" s="8">
        <f>IFERROR(__xludf.DUMMYFUNCTION("""COMPUTED_VALUE"""),0.0)</f>
        <v>0</v>
      </c>
      <c r="D380" s="8">
        <f>IFERROR(__xludf.DUMMYFUNCTION("""COMPUTED_VALUE"""),1.0)</f>
        <v>1</v>
      </c>
    </row>
    <row r="381">
      <c r="A381" s="12" t="str">
        <f>IFERROR(__xludf.DUMMYFUNCTION("""COMPUTED_VALUE"""),"Batch 161")</f>
        <v>Batch 161</v>
      </c>
      <c r="B381" s="13" t="str">
        <f>IFERROR(__xludf.DUMMYFUNCTION("""COMPUTED_VALUE"""),"PattanC61")</f>
        <v>PattanC61</v>
      </c>
      <c r="C381" s="8">
        <f>IFERROR(__xludf.DUMMYFUNCTION("""COMPUTED_VALUE"""),0.0)</f>
        <v>0</v>
      </c>
      <c r="D381" s="8">
        <f>IFERROR(__xludf.DUMMYFUNCTION("""COMPUTED_VALUE"""),0.0)</f>
        <v>0</v>
      </c>
    </row>
    <row r="382">
      <c r="A382" s="12" t="str">
        <f>IFERROR(__xludf.DUMMYFUNCTION("""COMPUTED_VALUE"""),"Batch 161")</f>
        <v>Batch 161</v>
      </c>
      <c r="B382" s="13" t="str">
        <f>IFERROR(__xludf.DUMMYFUNCTION("""COMPUTED_VALUE"""),"RakshithaC61")</f>
        <v>RakshithaC61</v>
      </c>
      <c r="C382" s="8">
        <f>IFERROR(__xludf.DUMMYFUNCTION("""COMPUTED_VALUE"""),0.0)</f>
        <v>0</v>
      </c>
      <c r="D382" s="8">
        <f>IFERROR(__xludf.DUMMYFUNCTION("""COMPUTED_VALUE"""),0.0)</f>
        <v>0</v>
      </c>
    </row>
    <row r="383">
      <c r="A383" s="12" t="str">
        <f>IFERROR(__xludf.DUMMYFUNCTION("""COMPUTED_VALUE"""),"Batch 161")</f>
        <v>Batch 161</v>
      </c>
      <c r="B383" s="13" t="str">
        <f>IFERROR(__xludf.DUMMYFUNCTION("""COMPUTED_VALUE"""),"LipikaC61")</f>
        <v>LipikaC61</v>
      </c>
      <c r="C383" s="8">
        <f>IFERROR(__xludf.DUMMYFUNCTION("""COMPUTED_VALUE"""),0.0)</f>
        <v>0</v>
      </c>
      <c r="D383" s="8">
        <f>IFERROR(__xludf.DUMMYFUNCTION("""COMPUTED_VALUE"""),0.0)</f>
        <v>0</v>
      </c>
    </row>
    <row r="384">
      <c r="A384" s="12" t="str">
        <f>IFERROR(__xludf.DUMMYFUNCTION("""COMPUTED_VALUE"""),"Batch 161")</f>
        <v>Batch 161</v>
      </c>
      <c r="B384" s="13" t="str">
        <f>IFERROR(__xludf.DUMMYFUNCTION("""COMPUTED_VALUE"""),"BrajC61")</f>
        <v>BrajC61</v>
      </c>
      <c r="C384" s="8">
        <f>IFERROR(__xludf.DUMMYFUNCTION("""COMPUTED_VALUE"""),0.0)</f>
        <v>0</v>
      </c>
      <c r="D384" s="8">
        <f>IFERROR(__xludf.DUMMYFUNCTION("""COMPUTED_VALUE"""),0.0)</f>
        <v>0</v>
      </c>
    </row>
    <row r="385">
      <c r="A385" s="12" t="str">
        <f>IFERROR(__xludf.DUMMYFUNCTION("""COMPUTED_VALUE"""),"Batch 161")</f>
        <v>Batch 161</v>
      </c>
      <c r="B385" s="13" t="str">
        <f>IFERROR(__xludf.DUMMYFUNCTION("""COMPUTED_VALUE"""),"BalkrushnaC61")</f>
        <v>BalkrushnaC61</v>
      </c>
      <c r="C385" s="8">
        <f>IFERROR(__xludf.DUMMYFUNCTION("""COMPUTED_VALUE"""),0.0)</f>
        <v>0</v>
      </c>
      <c r="D385" s="8">
        <f>IFERROR(__xludf.DUMMYFUNCTION("""COMPUTED_VALUE"""),0.0)</f>
        <v>0</v>
      </c>
    </row>
    <row r="386">
      <c r="A386" s="12" t="str">
        <f>IFERROR(__xludf.DUMMYFUNCTION("""COMPUTED_VALUE"""),"Batch 161")</f>
        <v>Batch 161</v>
      </c>
      <c r="B386" s="13" t="str">
        <f>IFERROR(__xludf.DUMMYFUNCTION("""COMPUTED_VALUE"""),"ShahidC61")</f>
        <v>ShahidC61</v>
      </c>
      <c r="C386" s="8">
        <f>IFERROR(__xludf.DUMMYFUNCTION("""COMPUTED_VALUE"""),0.0)</f>
        <v>0</v>
      </c>
      <c r="D386" s="8">
        <f>IFERROR(__xludf.DUMMYFUNCTION("""COMPUTED_VALUE"""),0.0)</f>
        <v>0</v>
      </c>
    </row>
    <row r="387">
      <c r="A387" s="12" t="str">
        <f>IFERROR(__xludf.DUMMYFUNCTION("""COMPUTED_VALUE"""),"Batch 161")</f>
        <v>Batch 161</v>
      </c>
      <c r="B387" s="13" t="str">
        <f>IFERROR(__xludf.DUMMYFUNCTION("""COMPUTED_VALUE"""),"KOTYADAC61")</f>
        <v>KOTYADAC61</v>
      </c>
      <c r="C387" s="8">
        <f>IFERROR(__xludf.DUMMYFUNCTION("""COMPUTED_VALUE"""),1.0)</f>
        <v>1</v>
      </c>
      <c r="D387" s="8">
        <f>IFERROR(__xludf.DUMMYFUNCTION("""COMPUTED_VALUE"""),0.0)</f>
        <v>0</v>
      </c>
    </row>
    <row r="388">
      <c r="A388" s="12" t="str">
        <f>IFERROR(__xludf.DUMMYFUNCTION("""COMPUTED_VALUE"""),"Batch 161")</f>
        <v>Batch 161</v>
      </c>
      <c r="B388" s="13" t="str">
        <f>IFERROR(__xludf.DUMMYFUNCTION("""COMPUTED_VALUE"""),"PunithC61")</f>
        <v>PunithC61</v>
      </c>
      <c r="C388" s="8">
        <f>IFERROR(__xludf.DUMMYFUNCTION("""COMPUTED_VALUE"""),0.0)</f>
        <v>0</v>
      </c>
      <c r="D388" s="8">
        <f>IFERROR(__xludf.DUMMYFUNCTION("""COMPUTED_VALUE"""),0.0)</f>
        <v>0</v>
      </c>
    </row>
    <row r="389">
      <c r="A389" s="12" t="str">
        <f>IFERROR(__xludf.DUMMYFUNCTION("""COMPUTED_VALUE"""),"Batch 161")</f>
        <v>Batch 161</v>
      </c>
      <c r="B389" s="13" t="str">
        <f>IFERROR(__xludf.DUMMYFUNCTION("""COMPUTED_VALUE"""),"AyushRC61")</f>
        <v>AyushRC61</v>
      </c>
      <c r="C389" s="8">
        <f>IFERROR(__xludf.DUMMYFUNCTION("""COMPUTED_VALUE"""),2.0)</f>
        <v>2</v>
      </c>
      <c r="D389" s="8">
        <f>IFERROR(__xludf.DUMMYFUNCTION("""COMPUTED_VALUE"""),0.0)</f>
        <v>0</v>
      </c>
    </row>
    <row r="390">
      <c r="A390" s="12" t="str">
        <f>IFERROR(__xludf.DUMMYFUNCTION("""COMPUTED_VALUE"""),"Batch 161")</f>
        <v>Batch 161</v>
      </c>
      <c r="B390" s="13" t="str">
        <f>IFERROR(__xludf.DUMMYFUNCTION("""COMPUTED_VALUE"""),"SiyaC61")</f>
        <v>SiyaC61</v>
      </c>
      <c r="C390" s="8">
        <f>IFERROR(__xludf.DUMMYFUNCTION("""COMPUTED_VALUE"""),0.0)</f>
        <v>0</v>
      </c>
      <c r="D390" s="8">
        <f>IFERROR(__xludf.DUMMYFUNCTION("""COMPUTED_VALUE"""),0.0)</f>
        <v>0</v>
      </c>
    </row>
    <row r="391">
      <c r="A391" s="12" t="str">
        <f>IFERROR(__xludf.DUMMYFUNCTION("""COMPUTED_VALUE"""),"Batch 161")</f>
        <v>Batch 161</v>
      </c>
      <c r="B391" s="13" t="str">
        <f>IFERROR(__xludf.DUMMYFUNCTION("""COMPUTED_VALUE"""),"NandhaC61")</f>
        <v>NandhaC61</v>
      </c>
      <c r="C391" s="8">
        <f>IFERROR(__xludf.DUMMYFUNCTION("""COMPUTED_VALUE"""),0.0)</f>
        <v>0</v>
      </c>
      <c r="D391" s="8">
        <f>IFERROR(__xludf.DUMMYFUNCTION("""COMPUTED_VALUE"""),0.0)</f>
        <v>0</v>
      </c>
    </row>
    <row r="392">
      <c r="A392" s="12" t="str">
        <f>IFERROR(__xludf.DUMMYFUNCTION("""COMPUTED_VALUE"""),"Batch 161")</f>
        <v>Batch 161</v>
      </c>
      <c r="B392" s="13" t="str">
        <f>IFERROR(__xludf.DUMMYFUNCTION("""COMPUTED_VALUE"""),"SaivamshiC61")</f>
        <v>SaivamshiC61</v>
      </c>
      <c r="C392" s="8">
        <f>IFERROR(__xludf.DUMMYFUNCTION("""COMPUTED_VALUE"""),0.0)</f>
        <v>0</v>
      </c>
      <c r="D392" s="8">
        <f>IFERROR(__xludf.DUMMYFUNCTION("""COMPUTED_VALUE"""),0.0)</f>
        <v>0</v>
      </c>
    </row>
    <row r="393">
      <c r="A393" s="12" t="str">
        <f>IFERROR(__xludf.DUMMYFUNCTION("""COMPUTED_VALUE"""),"Batch 161")</f>
        <v>Batch 161</v>
      </c>
      <c r="B393" s="13" t="str">
        <f>IFERROR(__xludf.DUMMYFUNCTION("""COMPUTED_VALUE"""),"ShashankC61")</f>
        <v>ShashankC61</v>
      </c>
      <c r="C393" s="8">
        <f>IFERROR(__xludf.DUMMYFUNCTION("""COMPUTED_VALUE"""),0.0)</f>
        <v>0</v>
      </c>
      <c r="D393" s="8">
        <f>IFERROR(__xludf.DUMMYFUNCTION("""COMPUTED_VALUE"""),0.0)</f>
        <v>0</v>
      </c>
    </row>
    <row r="394">
      <c r="A394" s="12" t="str">
        <f>IFERROR(__xludf.DUMMYFUNCTION("""COMPUTED_VALUE"""),"Batch 161")</f>
        <v>Batch 161</v>
      </c>
      <c r="B394" s="13" t="str">
        <f>IFERROR(__xludf.DUMMYFUNCTION("""COMPUTED_VALUE"""),"KhusiC61")</f>
        <v>KhusiC61</v>
      </c>
      <c r="C394" s="8">
        <f>IFERROR(__xludf.DUMMYFUNCTION("""COMPUTED_VALUE"""),0.0)</f>
        <v>0</v>
      </c>
      <c r="D394" s="8">
        <f>IFERROR(__xludf.DUMMYFUNCTION("""COMPUTED_VALUE"""),0.0)</f>
        <v>0</v>
      </c>
    </row>
    <row r="395">
      <c r="A395" s="12" t="str">
        <f>IFERROR(__xludf.DUMMYFUNCTION("""COMPUTED_VALUE"""),"Batch 161")</f>
        <v>Batch 161</v>
      </c>
      <c r="B395" s="13" t="str">
        <f>IFERROR(__xludf.DUMMYFUNCTION("""COMPUTED_VALUE"""),"HiteshC61")</f>
        <v>HiteshC61</v>
      </c>
      <c r="C395" s="8">
        <f>IFERROR(__xludf.DUMMYFUNCTION("""COMPUTED_VALUE"""),0.0)</f>
        <v>0</v>
      </c>
      <c r="D395" s="8">
        <f>IFERROR(__xludf.DUMMYFUNCTION("""COMPUTED_VALUE"""),0.0)</f>
        <v>0</v>
      </c>
    </row>
    <row r="396">
      <c r="A396" s="12"/>
      <c r="B396" s="13"/>
      <c r="C396" s="8">
        <f>IFERROR(__xludf.DUMMYFUNCTION("""COMPUTED_VALUE"""),0.0)</f>
        <v>0</v>
      </c>
      <c r="D396" s="8">
        <f>IFERROR(__xludf.DUMMYFUNCTION("""COMPUTED_VALUE"""),0.0)</f>
        <v>0</v>
      </c>
    </row>
    <row r="397">
      <c r="A397" s="12" t="str">
        <f>IFERROR(__xludf.DUMMYFUNCTION("""COMPUTED_VALUE"""),"Batch 162")</f>
        <v>Batch 162</v>
      </c>
      <c r="B397" s="13" t="str">
        <f>IFERROR(__xludf.DUMMYFUNCTION("""COMPUTED_VALUE"""),"JaswanthC62")</f>
        <v>JaswanthC62</v>
      </c>
      <c r="C397" s="8">
        <f>IFERROR(__xludf.DUMMYFUNCTION("""COMPUTED_VALUE"""),0.0)</f>
        <v>0</v>
      </c>
      <c r="D397" s="8">
        <f>IFERROR(__xludf.DUMMYFUNCTION("""COMPUTED_VALUE"""),0.0)</f>
        <v>0</v>
      </c>
    </row>
    <row r="398">
      <c r="A398" s="12" t="str">
        <f>IFERROR(__xludf.DUMMYFUNCTION("""COMPUTED_VALUE"""),"Batch 162")</f>
        <v>Batch 162</v>
      </c>
      <c r="B398" s="13" t="str">
        <f>IFERROR(__xludf.DUMMYFUNCTION("""COMPUTED_VALUE"""),"PratyushC62")</f>
        <v>PratyushC62</v>
      </c>
      <c r="C398" s="8">
        <f>IFERROR(__xludf.DUMMYFUNCTION("""COMPUTED_VALUE"""),0.0)</f>
        <v>0</v>
      </c>
      <c r="D398" s="8">
        <f>IFERROR(__xludf.DUMMYFUNCTION("""COMPUTED_VALUE"""),0.0)</f>
        <v>0</v>
      </c>
    </row>
    <row r="399">
      <c r="A399" s="12" t="str">
        <f>IFERROR(__xludf.DUMMYFUNCTION("""COMPUTED_VALUE"""),"Batch 162")</f>
        <v>Batch 162</v>
      </c>
      <c r="B399" s="13" t="str">
        <f>IFERROR(__xludf.DUMMYFUNCTION("""COMPUTED_VALUE"""),"NikitaC62")</f>
        <v>NikitaC62</v>
      </c>
      <c r="C399" s="8">
        <f>IFERROR(__xludf.DUMMYFUNCTION("""COMPUTED_VALUE"""),0.0)</f>
        <v>0</v>
      </c>
      <c r="D399" s="8">
        <f>IFERROR(__xludf.DUMMYFUNCTION("""COMPUTED_VALUE"""),0.0)</f>
        <v>0</v>
      </c>
    </row>
    <row r="400">
      <c r="A400" s="12" t="str">
        <f>IFERROR(__xludf.DUMMYFUNCTION("""COMPUTED_VALUE"""),"Batch 162")</f>
        <v>Batch 162</v>
      </c>
      <c r="B400" s="13" t="str">
        <f>IFERROR(__xludf.DUMMYFUNCTION("""COMPUTED_VALUE"""),"CH.RohithC62")</f>
        <v>CH.RohithC62</v>
      </c>
      <c r="C400" s="8">
        <f>IFERROR(__xludf.DUMMYFUNCTION("""COMPUTED_VALUE"""),0.0)</f>
        <v>0</v>
      </c>
      <c r="D400" s="8">
        <f>IFERROR(__xludf.DUMMYFUNCTION("""COMPUTED_VALUE"""),0.0)</f>
        <v>0</v>
      </c>
    </row>
    <row r="401">
      <c r="A401" s="12" t="str">
        <f>IFERROR(__xludf.DUMMYFUNCTION("""COMPUTED_VALUE"""),"Batch 162")</f>
        <v>Batch 162</v>
      </c>
      <c r="B401" s="13" t="str">
        <f>IFERROR(__xludf.DUMMYFUNCTION("""COMPUTED_VALUE"""),"ShivangiC62")</f>
        <v>ShivangiC62</v>
      </c>
      <c r="C401" s="8">
        <f>IFERROR(__xludf.DUMMYFUNCTION("""COMPUTED_VALUE"""),0.0)</f>
        <v>0</v>
      </c>
      <c r="D401" s="8">
        <f>IFERROR(__xludf.DUMMYFUNCTION("""COMPUTED_VALUE"""),0.0)</f>
        <v>0</v>
      </c>
    </row>
    <row r="402">
      <c r="A402" s="12" t="str">
        <f>IFERROR(__xludf.DUMMYFUNCTION("""COMPUTED_VALUE"""),"Batch 162")</f>
        <v>Batch 162</v>
      </c>
      <c r="B402" s="13" t="str">
        <f>IFERROR(__xludf.DUMMYFUNCTION("""COMPUTED_VALUE"""),"GauravC62")</f>
        <v>GauravC62</v>
      </c>
      <c r="C402" s="8">
        <f>IFERROR(__xludf.DUMMYFUNCTION("""COMPUTED_VALUE"""),0.0)</f>
        <v>0</v>
      </c>
      <c r="D402" s="8">
        <f>IFERROR(__xludf.DUMMYFUNCTION("""COMPUTED_VALUE"""),0.0)</f>
        <v>0</v>
      </c>
    </row>
    <row r="403">
      <c r="A403" s="12" t="str">
        <f>IFERROR(__xludf.DUMMYFUNCTION("""COMPUTED_VALUE"""),"Batch 162")</f>
        <v>Batch 162</v>
      </c>
      <c r="B403" s="13" t="str">
        <f>IFERROR(__xludf.DUMMYFUNCTION("""COMPUTED_VALUE"""),"PalakC62")</f>
        <v>PalakC62</v>
      </c>
      <c r="C403" s="8">
        <f>IFERROR(__xludf.DUMMYFUNCTION("""COMPUTED_VALUE"""),0.0)</f>
        <v>0</v>
      </c>
      <c r="D403" s="8">
        <f>IFERROR(__xludf.DUMMYFUNCTION("""COMPUTED_VALUE"""),0.0)</f>
        <v>0</v>
      </c>
    </row>
    <row r="404">
      <c r="A404" s="12" t="str">
        <f>IFERROR(__xludf.DUMMYFUNCTION("""COMPUTED_VALUE"""),"Batch 162")</f>
        <v>Batch 162</v>
      </c>
      <c r="B404" s="13" t="str">
        <f>IFERROR(__xludf.DUMMYFUNCTION("""COMPUTED_VALUE"""),"PASUPULETIC62")</f>
        <v>PASUPULETIC62</v>
      </c>
      <c r="C404" s="8">
        <f>IFERROR(__xludf.DUMMYFUNCTION("""COMPUTED_VALUE"""),0.0)</f>
        <v>0</v>
      </c>
      <c r="D404" s="8">
        <f>IFERROR(__xludf.DUMMYFUNCTION("""COMPUTED_VALUE"""),0.0)</f>
        <v>0</v>
      </c>
    </row>
    <row r="405">
      <c r="A405" s="12" t="str">
        <f>IFERROR(__xludf.DUMMYFUNCTION("""COMPUTED_VALUE"""),"Batch 162")</f>
        <v>Batch 162</v>
      </c>
      <c r="B405" s="13" t="str">
        <f>IFERROR(__xludf.DUMMYFUNCTION("""COMPUTED_VALUE"""),"VC62")</f>
        <v>VC62</v>
      </c>
      <c r="C405" s="8">
        <f>IFERROR(__xludf.DUMMYFUNCTION("""COMPUTED_VALUE"""),0.0)</f>
        <v>0</v>
      </c>
      <c r="D405" s="8">
        <f>IFERROR(__xludf.DUMMYFUNCTION("""COMPUTED_VALUE"""),0.0)</f>
        <v>0</v>
      </c>
    </row>
    <row r="406">
      <c r="A406" s="12" t="str">
        <f>IFERROR(__xludf.DUMMYFUNCTION("""COMPUTED_VALUE"""),"Batch 162")</f>
        <v>Batch 162</v>
      </c>
      <c r="B406" s="13" t="str">
        <f>IFERROR(__xludf.DUMMYFUNCTION("""COMPUTED_VALUE"""),"KishanC62")</f>
        <v>KishanC62</v>
      </c>
      <c r="C406" s="8">
        <f>IFERROR(__xludf.DUMMYFUNCTION("""COMPUTED_VALUE"""),0.0)</f>
        <v>0</v>
      </c>
      <c r="D406" s="8">
        <f>IFERROR(__xludf.DUMMYFUNCTION("""COMPUTED_VALUE"""),0.0)</f>
        <v>0</v>
      </c>
    </row>
    <row r="407">
      <c r="A407" s="12" t="str">
        <f>IFERROR(__xludf.DUMMYFUNCTION("""COMPUTED_VALUE"""),"Batch 162")</f>
        <v>Batch 162</v>
      </c>
      <c r="B407" s="13" t="str">
        <f>IFERROR(__xludf.DUMMYFUNCTION("""COMPUTED_VALUE"""),"SadhanC62")</f>
        <v>SadhanC62</v>
      </c>
      <c r="C407" s="8">
        <f>IFERROR(__xludf.DUMMYFUNCTION("""COMPUTED_VALUE"""),0.0)</f>
        <v>0</v>
      </c>
      <c r="D407" s="8">
        <f>IFERROR(__xludf.DUMMYFUNCTION("""COMPUTED_VALUE"""),0.0)</f>
        <v>0</v>
      </c>
    </row>
    <row r="408">
      <c r="A408" s="12" t="str">
        <f>IFERROR(__xludf.DUMMYFUNCTION("""COMPUTED_VALUE"""),"Batch 162")</f>
        <v>Batch 162</v>
      </c>
      <c r="B408" s="13" t="str">
        <f>IFERROR(__xludf.DUMMYFUNCTION("""COMPUTED_VALUE"""),"DipanjanC62")</f>
        <v>DipanjanC62</v>
      </c>
      <c r="C408" s="8">
        <f>IFERROR(__xludf.DUMMYFUNCTION("""COMPUTED_VALUE"""),0.0)</f>
        <v>0</v>
      </c>
      <c r="D408" s="8">
        <f>IFERROR(__xludf.DUMMYFUNCTION("""COMPUTED_VALUE"""),0.0)</f>
        <v>0</v>
      </c>
    </row>
    <row r="409">
      <c r="A409" s="12" t="str">
        <f>IFERROR(__xludf.DUMMYFUNCTION("""COMPUTED_VALUE"""),"Batch 162")</f>
        <v>Batch 162</v>
      </c>
      <c r="B409" s="13" t="str">
        <f>IFERROR(__xludf.DUMMYFUNCTION("""COMPUTED_VALUE"""),"AsmitaC62")</f>
        <v>AsmitaC62</v>
      </c>
      <c r="C409" s="8">
        <f>IFERROR(__xludf.DUMMYFUNCTION("""COMPUTED_VALUE"""),0.0)</f>
        <v>0</v>
      </c>
      <c r="D409" s="8">
        <f>IFERROR(__xludf.DUMMYFUNCTION("""COMPUTED_VALUE"""),0.0)</f>
        <v>0</v>
      </c>
    </row>
    <row r="410">
      <c r="A410" s="12" t="str">
        <f>IFERROR(__xludf.DUMMYFUNCTION("""COMPUTED_VALUE"""),"Batch 162")</f>
        <v>Batch 162</v>
      </c>
      <c r="B410" s="13" t="str">
        <f>IFERROR(__xludf.DUMMYFUNCTION("""COMPUTED_VALUE"""),"BasitC62")</f>
        <v>BasitC62</v>
      </c>
      <c r="C410" s="8">
        <f>IFERROR(__xludf.DUMMYFUNCTION("""COMPUTED_VALUE"""),0.0)</f>
        <v>0</v>
      </c>
      <c r="D410" s="8">
        <f>IFERROR(__xludf.DUMMYFUNCTION("""COMPUTED_VALUE"""),0.0)</f>
        <v>0</v>
      </c>
    </row>
    <row r="411">
      <c r="A411" s="12" t="str">
        <f>IFERROR(__xludf.DUMMYFUNCTION("""COMPUTED_VALUE"""),"Batch 162")</f>
        <v>Batch 162</v>
      </c>
      <c r="B411" s="13" t="str">
        <f>IFERROR(__xludf.DUMMYFUNCTION("""COMPUTED_VALUE"""),"SaikireetiC62")</f>
        <v>SaikireetiC62</v>
      </c>
      <c r="C411" s="8">
        <f>IFERROR(__xludf.DUMMYFUNCTION("""COMPUTED_VALUE"""),0.0)</f>
        <v>0</v>
      </c>
      <c r="D411" s="8">
        <f>IFERROR(__xludf.DUMMYFUNCTION("""COMPUTED_VALUE"""),0.0)</f>
        <v>0</v>
      </c>
    </row>
    <row r="412">
      <c r="A412" s="12" t="str">
        <f>IFERROR(__xludf.DUMMYFUNCTION("""COMPUTED_VALUE"""),"Batch 162")</f>
        <v>Batch 162</v>
      </c>
      <c r="B412" s="13" t="str">
        <f>IFERROR(__xludf.DUMMYFUNCTION("""COMPUTED_VALUE"""),"PrabhleenC62")</f>
        <v>PrabhleenC62</v>
      </c>
      <c r="C412" s="8">
        <f>IFERROR(__xludf.DUMMYFUNCTION("""COMPUTED_VALUE"""),4.0)</f>
        <v>4</v>
      </c>
      <c r="D412" s="8">
        <f>IFERROR(__xludf.DUMMYFUNCTION("""COMPUTED_VALUE"""),0.0)</f>
        <v>0</v>
      </c>
    </row>
    <row r="413">
      <c r="A413" s="12" t="str">
        <f>IFERROR(__xludf.DUMMYFUNCTION("""COMPUTED_VALUE"""),"Batch 162")</f>
        <v>Batch 162</v>
      </c>
      <c r="B413" s="13" t="str">
        <f>IFERROR(__xludf.DUMMYFUNCTION("""COMPUTED_VALUE"""),"NancyC62")</f>
        <v>NancyC62</v>
      </c>
      <c r="C413" s="8">
        <f>IFERROR(__xludf.DUMMYFUNCTION("""COMPUTED_VALUE"""),0.0)</f>
        <v>0</v>
      </c>
      <c r="D413" s="8">
        <f>IFERROR(__xludf.DUMMYFUNCTION("""COMPUTED_VALUE"""),0.0)</f>
        <v>0</v>
      </c>
    </row>
    <row r="414">
      <c r="A414" s="12" t="str">
        <f>IFERROR(__xludf.DUMMYFUNCTION("""COMPUTED_VALUE"""),"Batch 162")</f>
        <v>Batch 162</v>
      </c>
      <c r="B414" s="13" t="str">
        <f>IFERROR(__xludf.DUMMYFUNCTION("""COMPUTED_VALUE"""),"HarshC62")</f>
        <v>HarshC62</v>
      </c>
      <c r="C414" s="8">
        <f>IFERROR(__xludf.DUMMYFUNCTION("""COMPUTED_VALUE"""),0.0)</f>
        <v>0</v>
      </c>
      <c r="D414" s="8">
        <f>IFERROR(__xludf.DUMMYFUNCTION("""COMPUTED_VALUE"""),0.0)</f>
        <v>0</v>
      </c>
    </row>
    <row r="415">
      <c r="A415" s="12" t="str">
        <f>IFERROR(__xludf.DUMMYFUNCTION("""COMPUTED_VALUE"""),"Batch 162")</f>
        <v>Batch 162</v>
      </c>
      <c r="B415" s="13" t="str">
        <f>IFERROR(__xludf.DUMMYFUNCTION("""COMPUTED_VALUE"""),"KrishC62")</f>
        <v>KrishC62</v>
      </c>
      <c r="C415" s="8">
        <f>IFERROR(__xludf.DUMMYFUNCTION("""COMPUTED_VALUE"""),0.0)</f>
        <v>0</v>
      </c>
      <c r="D415" s="8">
        <f>IFERROR(__xludf.DUMMYFUNCTION("""COMPUTED_VALUE"""),0.0)</f>
        <v>0</v>
      </c>
    </row>
    <row r="416">
      <c r="A416" s="12" t="str">
        <f>IFERROR(__xludf.DUMMYFUNCTION("""COMPUTED_VALUE"""),"Batch 162")</f>
        <v>Batch 162</v>
      </c>
      <c r="B416" s="13" t="str">
        <f>IFERROR(__xludf.DUMMYFUNCTION("""COMPUTED_VALUE"""),"TanishaC62")</f>
        <v>TanishaC62</v>
      </c>
      <c r="C416" s="8">
        <f>IFERROR(__xludf.DUMMYFUNCTION("""COMPUTED_VALUE"""),0.0)</f>
        <v>0</v>
      </c>
      <c r="D416" s="8">
        <f>IFERROR(__xludf.DUMMYFUNCTION("""COMPUTED_VALUE"""),0.0)</f>
        <v>0</v>
      </c>
    </row>
    <row r="417">
      <c r="A417" s="12" t="str">
        <f>IFERROR(__xludf.DUMMYFUNCTION("""COMPUTED_VALUE"""),"Batch 162")</f>
        <v>Batch 162</v>
      </c>
      <c r="B417" s="13" t="str">
        <f>IFERROR(__xludf.DUMMYFUNCTION("""COMPUTED_VALUE"""),"PratyushC62")</f>
        <v>PratyushC62</v>
      </c>
      <c r="C417" s="8">
        <f>IFERROR(__xludf.DUMMYFUNCTION("""COMPUTED_VALUE"""),0.0)</f>
        <v>0</v>
      </c>
      <c r="D417" s="8">
        <f>IFERROR(__xludf.DUMMYFUNCTION("""COMPUTED_VALUE"""),0.0)</f>
        <v>0</v>
      </c>
    </row>
    <row r="418">
      <c r="A418" s="12" t="str">
        <f>IFERROR(__xludf.DUMMYFUNCTION("""COMPUTED_VALUE"""),"Batch 162")</f>
        <v>Batch 162</v>
      </c>
      <c r="B418" s="13" t="str">
        <f>IFERROR(__xludf.DUMMYFUNCTION("""COMPUTED_VALUE"""),"JAYDEEPC62")</f>
        <v>JAYDEEPC62</v>
      </c>
      <c r="C418" s="8">
        <f>IFERROR(__xludf.DUMMYFUNCTION("""COMPUTED_VALUE"""),0.0)</f>
        <v>0</v>
      </c>
      <c r="D418" s="8">
        <f>IFERROR(__xludf.DUMMYFUNCTION("""COMPUTED_VALUE"""),0.0)</f>
        <v>0</v>
      </c>
    </row>
    <row r="419">
      <c r="A419" s="12" t="str">
        <f>IFERROR(__xludf.DUMMYFUNCTION("""COMPUTED_VALUE"""),"Batch 162")</f>
        <v>Batch 162</v>
      </c>
      <c r="B419" s="13" t="str">
        <f>IFERROR(__xludf.DUMMYFUNCTION("""COMPUTED_VALUE"""),"kavaliC62")</f>
        <v>kavaliC62</v>
      </c>
      <c r="C419" s="8">
        <f>IFERROR(__xludf.DUMMYFUNCTION("""COMPUTED_VALUE"""),0.0)</f>
        <v>0</v>
      </c>
      <c r="D419" s="8">
        <f>IFERROR(__xludf.DUMMYFUNCTION("""COMPUTED_VALUE"""),0.0)</f>
        <v>0</v>
      </c>
    </row>
    <row r="420">
      <c r="A420" s="12" t="str">
        <f>IFERROR(__xludf.DUMMYFUNCTION("""COMPUTED_VALUE"""),"Batch 162")</f>
        <v>Batch 162</v>
      </c>
      <c r="B420" s="13" t="str">
        <f>IFERROR(__xludf.DUMMYFUNCTION("""COMPUTED_VALUE"""),"NileshC62")</f>
        <v>NileshC62</v>
      </c>
      <c r="C420" s="8">
        <f>IFERROR(__xludf.DUMMYFUNCTION("""COMPUTED_VALUE"""),0.0)</f>
        <v>0</v>
      </c>
      <c r="D420" s="8">
        <f>IFERROR(__xludf.DUMMYFUNCTION("""COMPUTED_VALUE"""),0.0)</f>
        <v>0</v>
      </c>
    </row>
    <row r="421">
      <c r="A421" s="12" t="str">
        <f>IFERROR(__xludf.DUMMYFUNCTION("""COMPUTED_VALUE"""),"Batch 162")</f>
        <v>Batch 162</v>
      </c>
      <c r="B421" s="13" t="str">
        <f>IFERROR(__xludf.DUMMYFUNCTION("""COMPUTED_VALUE"""),"YogeshC62")</f>
        <v>YogeshC62</v>
      </c>
      <c r="C421" s="8">
        <f>IFERROR(__xludf.DUMMYFUNCTION("""COMPUTED_VALUE"""),0.0)</f>
        <v>0</v>
      </c>
      <c r="D421" s="8">
        <f>IFERROR(__xludf.DUMMYFUNCTION("""COMPUTED_VALUE"""),0.0)</f>
        <v>0</v>
      </c>
    </row>
    <row r="422">
      <c r="A422" s="12" t="str">
        <f>IFERROR(__xludf.DUMMYFUNCTION("""COMPUTED_VALUE"""),"Batch 162")</f>
        <v>Batch 162</v>
      </c>
      <c r="B422" s="13" t="str">
        <f>IFERROR(__xludf.DUMMYFUNCTION("""COMPUTED_VALUE"""),"BhartiC62")</f>
        <v>BhartiC62</v>
      </c>
      <c r="C422" s="8">
        <f>IFERROR(__xludf.DUMMYFUNCTION("""COMPUTED_VALUE"""),1.0)</f>
        <v>1</v>
      </c>
      <c r="D422" s="8">
        <f>IFERROR(__xludf.DUMMYFUNCTION("""COMPUTED_VALUE"""),0.0)</f>
        <v>0</v>
      </c>
    </row>
    <row r="423">
      <c r="A423" s="12" t="str">
        <f>IFERROR(__xludf.DUMMYFUNCTION("""COMPUTED_VALUE"""),"Batch 162")</f>
        <v>Batch 162</v>
      </c>
      <c r="B423" s="13" t="str">
        <f>IFERROR(__xludf.DUMMYFUNCTION("""COMPUTED_VALUE"""),"AbhishekC62")</f>
        <v>AbhishekC62</v>
      </c>
      <c r="C423" s="8">
        <f>IFERROR(__xludf.DUMMYFUNCTION("""COMPUTED_VALUE"""),4.0)</f>
        <v>4</v>
      </c>
      <c r="D423" s="8">
        <f>IFERROR(__xludf.DUMMYFUNCTION("""COMPUTED_VALUE"""),1.0)</f>
        <v>1</v>
      </c>
    </row>
    <row r="424">
      <c r="A424" s="12" t="str">
        <f>IFERROR(__xludf.DUMMYFUNCTION("""COMPUTED_VALUE"""),"Batch 162")</f>
        <v>Batch 162</v>
      </c>
      <c r="B424" s="13" t="str">
        <f>IFERROR(__xludf.DUMMYFUNCTION("""COMPUTED_VALUE"""),"DhanushC62")</f>
        <v>DhanushC62</v>
      </c>
      <c r="C424" s="8">
        <f>IFERROR(__xludf.DUMMYFUNCTION("""COMPUTED_VALUE"""),0.0)</f>
        <v>0</v>
      </c>
      <c r="D424" s="8">
        <f>IFERROR(__xludf.DUMMYFUNCTION("""COMPUTED_VALUE"""),0.0)</f>
        <v>0</v>
      </c>
    </row>
    <row r="425">
      <c r="A425" s="12" t="str">
        <f>IFERROR(__xludf.DUMMYFUNCTION("""COMPUTED_VALUE"""),"Batch 162")</f>
        <v>Batch 162</v>
      </c>
      <c r="B425" s="13" t="str">
        <f>IFERROR(__xludf.DUMMYFUNCTION("""COMPUTED_VALUE"""),"PavaniC62")</f>
        <v>PavaniC62</v>
      </c>
      <c r="C425" s="8">
        <f>IFERROR(__xludf.DUMMYFUNCTION("""COMPUTED_VALUE"""),1.0)</f>
        <v>1</v>
      </c>
      <c r="D425" s="8">
        <f>IFERROR(__xludf.DUMMYFUNCTION("""COMPUTED_VALUE"""),0.0)</f>
        <v>0</v>
      </c>
    </row>
    <row r="426">
      <c r="A426" s="12" t="str">
        <f>IFERROR(__xludf.DUMMYFUNCTION("""COMPUTED_VALUE"""),"Batch 162")</f>
        <v>Batch 162</v>
      </c>
      <c r="B426" s="13" t="str">
        <f>IFERROR(__xludf.DUMMYFUNCTION("""COMPUTED_VALUE"""),"AnjaliC62")</f>
        <v>AnjaliC62</v>
      </c>
      <c r="C426" s="8">
        <f>IFERROR(__xludf.DUMMYFUNCTION("""COMPUTED_VALUE"""),0.0)</f>
        <v>0</v>
      </c>
      <c r="D426" s="8">
        <f>IFERROR(__xludf.DUMMYFUNCTION("""COMPUTED_VALUE"""),0.0)</f>
        <v>0</v>
      </c>
    </row>
    <row r="427">
      <c r="A427" s="12" t="str">
        <f>IFERROR(__xludf.DUMMYFUNCTION("""COMPUTED_VALUE"""),"Batch 162")</f>
        <v>Batch 162</v>
      </c>
      <c r="B427" s="13" t="str">
        <f>IFERROR(__xludf.DUMMYFUNCTION("""COMPUTED_VALUE"""),"VaibhavC62")</f>
        <v>VaibhavC62</v>
      </c>
      <c r="C427" s="8">
        <f>IFERROR(__xludf.DUMMYFUNCTION("""COMPUTED_VALUE"""),20.0)</f>
        <v>20</v>
      </c>
      <c r="D427" s="8">
        <f>IFERROR(__xludf.DUMMYFUNCTION("""COMPUTED_VALUE"""),0.0)</f>
        <v>0</v>
      </c>
    </row>
    <row r="428">
      <c r="A428" s="12" t="str">
        <f>IFERROR(__xludf.DUMMYFUNCTION("""COMPUTED_VALUE"""),"Batch 162")</f>
        <v>Batch 162</v>
      </c>
      <c r="B428" s="13" t="str">
        <f>IFERROR(__xludf.DUMMYFUNCTION("""COMPUTED_VALUE"""),"AngadC62")</f>
        <v>AngadC62</v>
      </c>
      <c r="C428" s="8">
        <f>IFERROR(__xludf.DUMMYFUNCTION("""COMPUTED_VALUE"""),0.0)</f>
        <v>0</v>
      </c>
      <c r="D428" s="8">
        <f>IFERROR(__xludf.DUMMYFUNCTION("""COMPUTED_VALUE"""),0.0)</f>
        <v>0</v>
      </c>
    </row>
    <row r="429">
      <c r="A429" s="12" t="str">
        <f>IFERROR(__xludf.DUMMYFUNCTION("""COMPUTED_VALUE"""),"Batch 162")</f>
        <v>Batch 162</v>
      </c>
      <c r="B429" s="13" t="str">
        <f>IFERROR(__xludf.DUMMYFUNCTION("""COMPUTED_VALUE"""),"ShobhitC62")</f>
        <v>ShobhitC62</v>
      </c>
      <c r="C429" s="8">
        <f>IFERROR(__xludf.DUMMYFUNCTION("""COMPUTED_VALUE"""),0.0)</f>
        <v>0</v>
      </c>
      <c r="D429" s="8">
        <f>IFERROR(__xludf.DUMMYFUNCTION("""COMPUTED_VALUE"""),0.0)</f>
        <v>0</v>
      </c>
    </row>
    <row r="430">
      <c r="A430" s="12" t="str">
        <f>IFERROR(__xludf.DUMMYFUNCTION("""COMPUTED_VALUE"""),"Batch 162")</f>
        <v>Batch 162</v>
      </c>
      <c r="B430" s="13" t="str">
        <f>IFERROR(__xludf.DUMMYFUNCTION("""COMPUTED_VALUE"""),"MdC62")</f>
        <v>MdC62</v>
      </c>
      <c r="C430" s="8">
        <f>IFERROR(__xludf.DUMMYFUNCTION("""COMPUTED_VALUE"""),3.0)</f>
        <v>3</v>
      </c>
      <c r="D430" s="8">
        <f>IFERROR(__xludf.DUMMYFUNCTION("""COMPUTED_VALUE"""),0.0)</f>
        <v>0</v>
      </c>
    </row>
    <row r="431">
      <c r="A431" s="12" t="str">
        <f>IFERROR(__xludf.DUMMYFUNCTION("""COMPUTED_VALUE"""),"Batch 162")</f>
        <v>Batch 162</v>
      </c>
      <c r="B431" s="13" t="str">
        <f>IFERROR(__xludf.DUMMYFUNCTION("""COMPUTED_VALUE"""),"SanjeevanC62")</f>
        <v>SanjeevanC62</v>
      </c>
      <c r="C431" s="8">
        <f>IFERROR(__xludf.DUMMYFUNCTION("""COMPUTED_VALUE"""),1.0)</f>
        <v>1</v>
      </c>
      <c r="D431" s="8">
        <f>IFERROR(__xludf.DUMMYFUNCTION("""COMPUTED_VALUE"""),0.0)</f>
        <v>0</v>
      </c>
    </row>
    <row r="432">
      <c r="A432" s="12" t="str">
        <f>IFERROR(__xludf.DUMMYFUNCTION("""COMPUTED_VALUE"""),"Batch 162")</f>
        <v>Batch 162</v>
      </c>
      <c r="B432" s="13" t="str">
        <f>IFERROR(__xludf.DUMMYFUNCTION("""COMPUTED_VALUE"""),"FarzanaC62")</f>
        <v>FarzanaC62</v>
      </c>
      <c r="C432" s="8">
        <f>IFERROR(__xludf.DUMMYFUNCTION("""COMPUTED_VALUE"""),0.0)</f>
        <v>0</v>
      </c>
      <c r="D432" s="8">
        <f>IFERROR(__xludf.DUMMYFUNCTION("""COMPUTED_VALUE"""),0.0)</f>
        <v>0</v>
      </c>
    </row>
    <row r="433">
      <c r="A433" s="12" t="str">
        <f>IFERROR(__xludf.DUMMYFUNCTION("""COMPUTED_VALUE"""),"Batch 162")</f>
        <v>Batch 162</v>
      </c>
      <c r="B433" s="13" t="str">
        <f>IFERROR(__xludf.DUMMYFUNCTION("""COMPUTED_VALUE"""),"PurvaC62")</f>
        <v>PurvaC62</v>
      </c>
      <c r="C433" s="8">
        <f>IFERROR(__xludf.DUMMYFUNCTION("""COMPUTED_VALUE"""),0.0)</f>
        <v>0</v>
      </c>
      <c r="D433" s="8">
        <f>IFERROR(__xludf.DUMMYFUNCTION("""COMPUTED_VALUE"""),0.0)</f>
        <v>0</v>
      </c>
    </row>
    <row r="434">
      <c r="A434" s="12" t="str">
        <f>IFERROR(__xludf.DUMMYFUNCTION("""COMPUTED_VALUE"""),"Batch 162")</f>
        <v>Batch 162</v>
      </c>
      <c r="B434" s="13" t="str">
        <f>IFERROR(__xludf.DUMMYFUNCTION("""COMPUTED_VALUE"""),"DivyaC62")</f>
        <v>DivyaC62</v>
      </c>
      <c r="C434" s="8">
        <f>IFERROR(__xludf.DUMMYFUNCTION("""COMPUTED_VALUE"""),7.0)</f>
        <v>7</v>
      </c>
      <c r="D434" s="8">
        <f>IFERROR(__xludf.DUMMYFUNCTION("""COMPUTED_VALUE"""),0.0)</f>
        <v>0</v>
      </c>
    </row>
    <row r="435">
      <c r="A435" s="12" t="str">
        <f>IFERROR(__xludf.DUMMYFUNCTION("""COMPUTED_VALUE"""),"Batch 162")</f>
        <v>Batch 162</v>
      </c>
      <c r="B435" s="13" t="str">
        <f>IFERROR(__xludf.DUMMYFUNCTION("""COMPUTED_VALUE"""),"JayantC62")</f>
        <v>JayantC62</v>
      </c>
      <c r="C435" s="8">
        <f>IFERROR(__xludf.DUMMYFUNCTION("""COMPUTED_VALUE"""),0.0)</f>
        <v>0</v>
      </c>
      <c r="D435" s="8">
        <f>IFERROR(__xludf.DUMMYFUNCTION("""COMPUTED_VALUE"""),0.0)</f>
        <v>0</v>
      </c>
    </row>
    <row r="436">
      <c r="A436" s="12" t="str">
        <f>IFERROR(__xludf.DUMMYFUNCTION("""COMPUTED_VALUE"""),"Batch 162")</f>
        <v>Batch 162</v>
      </c>
      <c r="B436" s="13" t="str">
        <f>IFERROR(__xludf.DUMMYFUNCTION("""COMPUTED_VALUE"""),"NikithaC62")</f>
        <v>NikithaC62</v>
      </c>
      <c r="C436" s="8">
        <f>IFERROR(__xludf.DUMMYFUNCTION("""COMPUTED_VALUE"""),0.0)</f>
        <v>0</v>
      </c>
      <c r="D436" s="8">
        <f>IFERROR(__xludf.DUMMYFUNCTION("""COMPUTED_VALUE"""),0.0)</f>
        <v>0</v>
      </c>
    </row>
    <row r="437">
      <c r="A437" s="12" t="str">
        <f>IFERROR(__xludf.DUMMYFUNCTION("""COMPUTED_VALUE"""),"Batch 162")</f>
        <v>Batch 162</v>
      </c>
      <c r="B437" s="13" t="str">
        <f>IFERROR(__xludf.DUMMYFUNCTION("""COMPUTED_VALUE"""),"YaminiC62")</f>
        <v>YaminiC62</v>
      </c>
      <c r="C437" s="8">
        <f>IFERROR(__xludf.DUMMYFUNCTION("""COMPUTED_VALUE"""),0.0)</f>
        <v>0</v>
      </c>
      <c r="D437" s="8">
        <f>IFERROR(__xludf.DUMMYFUNCTION("""COMPUTED_VALUE"""),0.0)</f>
        <v>0</v>
      </c>
    </row>
    <row r="438">
      <c r="A438" s="12" t="str">
        <f>IFERROR(__xludf.DUMMYFUNCTION("""COMPUTED_VALUE"""),"Batch 162")</f>
        <v>Batch 162</v>
      </c>
      <c r="B438" s="13" t="str">
        <f>IFERROR(__xludf.DUMMYFUNCTION("""COMPUTED_VALUE"""),"CHANDRUC62")</f>
        <v>CHANDRUC62</v>
      </c>
      <c r="C438" s="8">
        <f>IFERROR(__xludf.DUMMYFUNCTION("""COMPUTED_VALUE"""),0.0)</f>
        <v>0</v>
      </c>
      <c r="D438" s="8">
        <f>IFERROR(__xludf.DUMMYFUNCTION("""COMPUTED_VALUE"""),0.0)</f>
        <v>0</v>
      </c>
    </row>
    <row r="439">
      <c r="A439" s="12" t="str">
        <f>IFERROR(__xludf.DUMMYFUNCTION("""COMPUTED_VALUE"""),"Batch 162")</f>
        <v>Batch 162</v>
      </c>
      <c r="B439" s="13" t="str">
        <f>IFERROR(__xludf.DUMMYFUNCTION("""COMPUTED_VALUE"""),"NareshC62")</f>
        <v>NareshC62</v>
      </c>
      <c r="C439" s="8">
        <f>IFERROR(__xludf.DUMMYFUNCTION("""COMPUTED_VALUE"""),0.0)</f>
        <v>0</v>
      </c>
      <c r="D439" s="8">
        <f>IFERROR(__xludf.DUMMYFUNCTION("""COMPUTED_VALUE"""),0.0)</f>
        <v>0</v>
      </c>
    </row>
    <row r="440">
      <c r="A440" s="12" t="str">
        <f>IFERROR(__xludf.DUMMYFUNCTION("""COMPUTED_VALUE"""),"Batch 162")</f>
        <v>Batch 162</v>
      </c>
      <c r="B440" s="13" t="str">
        <f>IFERROR(__xludf.DUMMYFUNCTION("""COMPUTED_VALUE"""),"RiteshC62")</f>
        <v>RiteshC62</v>
      </c>
      <c r="C440" s="8">
        <f>IFERROR(__xludf.DUMMYFUNCTION("""COMPUTED_VALUE"""),0.0)</f>
        <v>0</v>
      </c>
      <c r="D440" s="8">
        <f>IFERROR(__xludf.DUMMYFUNCTION("""COMPUTED_VALUE"""),0.0)</f>
        <v>0</v>
      </c>
    </row>
    <row r="441">
      <c r="A441" s="12" t="str">
        <f>IFERROR(__xludf.DUMMYFUNCTION("""COMPUTED_VALUE"""),"Batch 162")</f>
        <v>Batch 162</v>
      </c>
      <c r="B441" s="13" t="str">
        <f>IFERROR(__xludf.DUMMYFUNCTION("""COMPUTED_VALUE"""),"DurgeshC62")</f>
        <v>DurgeshC62</v>
      </c>
      <c r="C441" s="8">
        <f>IFERROR(__xludf.DUMMYFUNCTION("""COMPUTED_VALUE"""),0.0)</f>
        <v>0</v>
      </c>
      <c r="D441" s="8">
        <f>IFERROR(__xludf.DUMMYFUNCTION("""COMPUTED_VALUE"""),0.0)</f>
        <v>0</v>
      </c>
    </row>
    <row r="442">
      <c r="A442" s="12" t="str">
        <f>IFERROR(__xludf.DUMMYFUNCTION("""COMPUTED_VALUE"""),"Batch 162")</f>
        <v>Batch 162</v>
      </c>
      <c r="B442" s="13" t="str">
        <f>IFERROR(__xludf.DUMMYFUNCTION("""COMPUTED_VALUE"""),"FathimathulC62")</f>
        <v>FathimathulC62</v>
      </c>
      <c r="C442" s="8">
        <f>IFERROR(__xludf.DUMMYFUNCTION("""COMPUTED_VALUE"""),0.0)</f>
        <v>0</v>
      </c>
      <c r="D442" s="8">
        <f>IFERROR(__xludf.DUMMYFUNCTION("""COMPUTED_VALUE"""),0.0)</f>
        <v>0</v>
      </c>
    </row>
    <row r="443">
      <c r="A443" s="12" t="str">
        <f>IFERROR(__xludf.DUMMYFUNCTION("""COMPUTED_VALUE"""),"Batch 162")</f>
        <v>Batch 162</v>
      </c>
      <c r="B443" s="13" t="str">
        <f>IFERROR(__xludf.DUMMYFUNCTION("""COMPUTED_VALUE"""),"ShubhankarC62")</f>
        <v>ShubhankarC62</v>
      </c>
      <c r="C443" s="8">
        <f>IFERROR(__xludf.DUMMYFUNCTION("""COMPUTED_VALUE"""),0.0)</f>
        <v>0</v>
      </c>
      <c r="D443" s="8">
        <f>IFERROR(__xludf.DUMMYFUNCTION("""COMPUTED_VALUE"""),0.0)</f>
        <v>0</v>
      </c>
    </row>
    <row r="444">
      <c r="A444" s="12" t="str">
        <f>IFERROR(__xludf.DUMMYFUNCTION("""COMPUTED_VALUE"""),"Batch 162")</f>
        <v>Batch 162</v>
      </c>
      <c r="B444" s="13" t="str">
        <f>IFERROR(__xludf.DUMMYFUNCTION("""COMPUTED_VALUE"""),"GauriC62")</f>
        <v>GauriC62</v>
      </c>
      <c r="C444" s="8">
        <f>IFERROR(__xludf.DUMMYFUNCTION("""COMPUTED_VALUE"""),0.0)</f>
        <v>0</v>
      </c>
      <c r="D444" s="8">
        <f>IFERROR(__xludf.DUMMYFUNCTION("""COMPUTED_VALUE"""),0.0)</f>
        <v>0</v>
      </c>
    </row>
    <row r="445">
      <c r="A445" s="12" t="str">
        <f>IFERROR(__xludf.DUMMYFUNCTION("""COMPUTED_VALUE"""),"Batch 162")</f>
        <v>Batch 162</v>
      </c>
      <c r="B445" s="13" t="str">
        <f>IFERROR(__xludf.DUMMYFUNCTION("""COMPUTED_VALUE"""),"MDC62")</f>
        <v>MDC62</v>
      </c>
      <c r="C445" s="8">
        <f>IFERROR(__xludf.DUMMYFUNCTION("""COMPUTED_VALUE"""),0.0)</f>
        <v>0</v>
      </c>
      <c r="D445" s="8">
        <f>IFERROR(__xludf.DUMMYFUNCTION("""COMPUTED_VALUE"""),0.0)</f>
        <v>0</v>
      </c>
    </row>
    <row r="446">
      <c r="A446" s="12" t="str">
        <f>IFERROR(__xludf.DUMMYFUNCTION("""COMPUTED_VALUE"""),"Batch 162")</f>
        <v>Batch 162</v>
      </c>
      <c r="B446" s="13" t="str">
        <f>IFERROR(__xludf.DUMMYFUNCTION("""COMPUTED_VALUE"""),"RichaC62")</f>
        <v>RichaC62</v>
      </c>
      <c r="C446" s="8">
        <f>IFERROR(__xludf.DUMMYFUNCTION("""COMPUTED_VALUE"""),0.0)</f>
        <v>0</v>
      </c>
      <c r="D446" s="8">
        <f>IFERROR(__xludf.DUMMYFUNCTION("""COMPUTED_VALUE"""),0.0)</f>
        <v>0</v>
      </c>
    </row>
    <row r="447">
      <c r="A447" s="12" t="str">
        <f>IFERROR(__xludf.DUMMYFUNCTION("""COMPUTED_VALUE"""),"Batch 162")</f>
        <v>Batch 162</v>
      </c>
      <c r="B447" s="13" t="str">
        <f>IFERROR(__xludf.DUMMYFUNCTION("""COMPUTED_VALUE"""),"SonuC62")</f>
        <v>SonuC62</v>
      </c>
      <c r="C447" s="8">
        <f>IFERROR(__xludf.DUMMYFUNCTION("""COMPUTED_VALUE"""),0.0)</f>
        <v>0</v>
      </c>
      <c r="D447" s="8">
        <f>IFERROR(__xludf.DUMMYFUNCTION("""COMPUTED_VALUE"""),0.0)</f>
        <v>0</v>
      </c>
    </row>
    <row r="448">
      <c r="A448" s="12"/>
      <c r="B448" s="13"/>
      <c r="C448" s="8">
        <f>IFERROR(__xludf.DUMMYFUNCTION("""COMPUTED_VALUE"""),0.0)</f>
        <v>0</v>
      </c>
      <c r="D448" s="8"/>
    </row>
    <row r="449">
      <c r="A449" s="12" t="str">
        <f>IFERROR(__xludf.DUMMYFUNCTION("""COMPUTED_VALUE"""),"Batch 163")</f>
        <v>Batch 163</v>
      </c>
      <c r="B449" s="13" t="str">
        <f>IFERROR(__xludf.DUMMYFUNCTION("""COMPUTED_VALUE"""),"AbhishekC63")</f>
        <v>AbhishekC63</v>
      </c>
      <c r="C449" s="8">
        <f>IFERROR(__xludf.DUMMYFUNCTION("""COMPUTED_VALUE"""),0.0)</f>
        <v>0</v>
      </c>
      <c r="D449" s="8">
        <f>IFERROR(__xludf.DUMMYFUNCTION("""COMPUTED_VALUE"""),0.0)</f>
        <v>0</v>
      </c>
    </row>
    <row r="450">
      <c r="A450" s="12" t="str">
        <f>IFERROR(__xludf.DUMMYFUNCTION("""COMPUTED_VALUE"""),"Batch 163")</f>
        <v>Batch 163</v>
      </c>
      <c r="B450" s="13" t="str">
        <f>IFERROR(__xludf.DUMMYFUNCTION("""COMPUTED_VALUE"""),"JayatheerthaC63")</f>
        <v>JayatheerthaC63</v>
      </c>
      <c r="C450" s="8">
        <f>IFERROR(__xludf.DUMMYFUNCTION("""COMPUTED_VALUE"""),0.0)</f>
        <v>0</v>
      </c>
      <c r="D450" s="8">
        <f>IFERROR(__xludf.DUMMYFUNCTION("""COMPUTED_VALUE"""),0.0)</f>
        <v>0</v>
      </c>
    </row>
    <row r="451">
      <c r="A451" s="12" t="str">
        <f>IFERROR(__xludf.DUMMYFUNCTION("""COMPUTED_VALUE"""),"Batch 163")</f>
        <v>Batch 163</v>
      </c>
      <c r="B451" s="13" t="str">
        <f>IFERROR(__xludf.DUMMYFUNCTION("""COMPUTED_VALUE"""),"ShekharC63")</f>
        <v>ShekharC63</v>
      </c>
      <c r="C451" s="8">
        <f>IFERROR(__xludf.DUMMYFUNCTION("""COMPUTED_VALUE"""),0.0)</f>
        <v>0</v>
      </c>
      <c r="D451" s="8">
        <f>IFERROR(__xludf.DUMMYFUNCTION("""COMPUTED_VALUE"""),0.0)</f>
        <v>0</v>
      </c>
    </row>
    <row r="452">
      <c r="A452" s="12" t="str">
        <f>IFERROR(__xludf.DUMMYFUNCTION("""COMPUTED_VALUE"""),"Batch 163")</f>
        <v>Batch 163</v>
      </c>
      <c r="B452" s="13" t="str">
        <f>IFERROR(__xludf.DUMMYFUNCTION("""COMPUTED_VALUE"""),"SantoshC63")</f>
        <v>SantoshC63</v>
      </c>
      <c r="C452" s="8">
        <f>IFERROR(__xludf.DUMMYFUNCTION("""COMPUTED_VALUE"""),0.0)</f>
        <v>0</v>
      </c>
      <c r="D452" s="8">
        <f>IFERROR(__xludf.DUMMYFUNCTION("""COMPUTED_VALUE"""),0.0)</f>
        <v>0</v>
      </c>
    </row>
    <row r="453">
      <c r="A453" s="12" t="str">
        <f>IFERROR(__xludf.DUMMYFUNCTION("""COMPUTED_VALUE"""),"Batch 163")</f>
        <v>Batch 163</v>
      </c>
      <c r="B453" s="13" t="str">
        <f>IFERROR(__xludf.DUMMYFUNCTION("""COMPUTED_VALUE"""),"GunjanC63")</f>
        <v>GunjanC63</v>
      </c>
      <c r="C453" s="8">
        <f>IFERROR(__xludf.DUMMYFUNCTION("""COMPUTED_VALUE"""),1.0)</f>
        <v>1</v>
      </c>
      <c r="D453" s="8">
        <f>IFERROR(__xludf.DUMMYFUNCTION("""COMPUTED_VALUE"""),0.0)</f>
        <v>0</v>
      </c>
    </row>
    <row r="454">
      <c r="A454" s="12" t="str">
        <f>IFERROR(__xludf.DUMMYFUNCTION("""COMPUTED_VALUE"""),"Batch 163")</f>
        <v>Batch 163</v>
      </c>
      <c r="B454" s="13" t="str">
        <f>IFERROR(__xludf.DUMMYFUNCTION("""COMPUTED_VALUE"""),"RahulC63")</f>
        <v>RahulC63</v>
      </c>
      <c r="C454" s="8">
        <f>IFERROR(__xludf.DUMMYFUNCTION("""COMPUTED_VALUE"""),0.0)</f>
        <v>0</v>
      </c>
      <c r="D454" s="8">
        <f>IFERROR(__xludf.DUMMYFUNCTION("""COMPUTED_VALUE"""),0.0)</f>
        <v>0</v>
      </c>
    </row>
    <row r="455">
      <c r="A455" s="12" t="str">
        <f>IFERROR(__xludf.DUMMYFUNCTION("""COMPUTED_VALUE"""),"Batch 163")</f>
        <v>Batch 163</v>
      </c>
      <c r="B455" s="13" t="str">
        <f>IFERROR(__xludf.DUMMYFUNCTION("""COMPUTED_VALUE"""),"VeenaC63")</f>
        <v>VeenaC63</v>
      </c>
      <c r="C455" s="8">
        <f>IFERROR(__xludf.DUMMYFUNCTION("""COMPUTED_VALUE"""),0.0)</f>
        <v>0</v>
      </c>
      <c r="D455" s="8">
        <f>IFERROR(__xludf.DUMMYFUNCTION("""COMPUTED_VALUE"""),0.0)</f>
        <v>0</v>
      </c>
    </row>
    <row r="456">
      <c r="A456" s="12" t="str">
        <f>IFERROR(__xludf.DUMMYFUNCTION("""COMPUTED_VALUE"""),"Batch 163")</f>
        <v>Batch 163</v>
      </c>
      <c r="B456" s="13" t="str">
        <f>IFERROR(__xludf.DUMMYFUNCTION("""COMPUTED_VALUE"""),"RAHULC63")</f>
        <v>RAHULC63</v>
      </c>
      <c r="C456" s="8">
        <f>IFERROR(__xludf.DUMMYFUNCTION("""COMPUTED_VALUE"""),0.0)</f>
        <v>0</v>
      </c>
      <c r="D456" s="8">
        <f>IFERROR(__xludf.DUMMYFUNCTION("""COMPUTED_VALUE"""),0.0)</f>
        <v>0</v>
      </c>
    </row>
    <row r="457">
      <c r="A457" s="12" t="str">
        <f>IFERROR(__xludf.DUMMYFUNCTION("""COMPUTED_VALUE"""),"Batch 163")</f>
        <v>Batch 163</v>
      </c>
      <c r="B457" s="13" t="str">
        <f>IFERROR(__xludf.DUMMYFUNCTION("""COMPUTED_VALUE"""),"AkankshaC63")</f>
        <v>AkankshaC63</v>
      </c>
      <c r="C457" s="8">
        <f>IFERROR(__xludf.DUMMYFUNCTION("""COMPUTED_VALUE"""),0.0)</f>
        <v>0</v>
      </c>
      <c r="D457" s="8">
        <f>IFERROR(__xludf.DUMMYFUNCTION("""COMPUTED_VALUE"""),0.0)</f>
        <v>0</v>
      </c>
    </row>
    <row r="458">
      <c r="A458" s="12" t="str">
        <f>IFERROR(__xludf.DUMMYFUNCTION("""COMPUTED_VALUE"""),"Batch 163")</f>
        <v>Batch 163</v>
      </c>
      <c r="B458" s="13" t="str">
        <f>IFERROR(__xludf.DUMMYFUNCTION("""COMPUTED_VALUE"""),"SheetalC63")</f>
        <v>SheetalC63</v>
      </c>
      <c r="C458" s="8">
        <f>IFERROR(__xludf.DUMMYFUNCTION("""COMPUTED_VALUE"""),0.0)</f>
        <v>0</v>
      </c>
      <c r="D458" s="8">
        <f>IFERROR(__xludf.DUMMYFUNCTION("""COMPUTED_VALUE"""),0.0)</f>
        <v>0</v>
      </c>
    </row>
    <row r="459">
      <c r="A459" s="12" t="str">
        <f>IFERROR(__xludf.DUMMYFUNCTION("""COMPUTED_VALUE"""),"Batch 163")</f>
        <v>Batch 163</v>
      </c>
      <c r="B459" s="13" t="str">
        <f>IFERROR(__xludf.DUMMYFUNCTION("""COMPUTED_VALUE"""),"DashamiC63")</f>
        <v>DashamiC63</v>
      </c>
      <c r="C459" s="8">
        <f>IFERROR(__xludf.DUMMYFUNCTION("""COMPUTED_VALUE"""),0.0)</f>
        <v>0</v>
      </c>
      <c r="D459" s="8">
        <f>IFERROR(__xludf.DUMMYFUNCTION("""COMPUTED_VALUE"""),0.0)</f>
        <v>0</v>
      </c>
    </row>
    <row r="460">
      <c r="A460" s="12" t="str">
        <f>IFERROR(__xludf.DUMMYFUNCTION("""COMPUTED_VALUE"""),"Batch 163")</f>
        <v>Batch 163</v>
      </c>
      <c r="B460" s="13" t="str">
        <f>IFERROR(__xludf.DUMMYFUNCTION("""COMPUTED_VALUE"""),"RaniC63")</f>
        <v>RaniC63</v>
      </c>
      <c r="C460" s="8">
        <f>IFERROR(__xludf.DUMMYFUNCTION("""COMPUTED_VALUE"""),0.0)</f>
        <v>0</v>
      </c>
      <c r="D460" s="8">
        <f>IFERROR(__xludf.DUMMYFUNCTION("""COMPUTED_VALUE"""),0.0)</f>
        <v>0</v>
      </c>
    </row>
    <row r="461">
      <c r="A461" s="12" t="str">
        <f>IFERROR(__xludf.DUMMYFUNCTION("""COMPUTED_VALUE"""),"Batch 163")</f>
        <v>Batch 163</v>
      </c>
      <c r="B461" s="13" t="str">
        <f>IFERROR(__xludf.DUMMYFUNCTION("""COMPUTED_VALUE"""),"AfrinC63")</f>
        <v>AfrinC63</v>
      </c>
      <c r="C461" s="8">
        <f>IFERROR(__xludf.DUMMYFUNCTION("""COMPUTED_VALUE"""),0.0)</f>
        <v>0</v>
      </c>
      <c r="D461" s="8">
        <f>IFERROR(__xludf.DUMMYFUNCTION("""COMPUTED_VALUE"""),0.0)</f>
        <v>0</v>
      </c>
    </row>
    <row r="462">
      <c r="A462" s="12" t="str">
        <f>IFERROR(__xludf.DUMMYFUNCTION("""COMPUTED_VALUE"""),"Batch 163")</f>
        <v>Batch 163</v>
      </c>
      <c r="B462" s="13" t="str">
        <f>IFERROR(__xludf.DUMMYFUNCTION("""COMPUTED_VALUE"""),"RaziaC63")</f>
        <v>RaziaC63</v>
      </c>
      <c r="C462" s="8">
        <f>IFERROR(__xludf.DUMMYFUNCTION("""COMPUTED_VALUE"""),0.0)</f>
        <v>0</v>
      </c>
      <c r="D462" s="8">
        <f>IFERROR(__xludf.DUMMYFUNCTION("""COMPUTED_VALUE"""),0.0)</f>
        <v>0</v>
      </c>
    </row>
    <row r="463">
      <c r="A463" s="12" t="str">
        <f>IFERROR(__xludf.DUMMYFUNCTION("""COMPUTED_VALUE"""),"Batch 163")</f>
        <v>Batch 163</v>
      </c>
      <c r="B463" s="13" t="str">
        <f>IFERROR(__xludf.DUMMYFUNCTION("""COMPUTED_VALUE"""),"PrahladC63")</f>
        <v>PrahladC63</v>
      </c>
      <c r="C463" s="8">
        <f>IFERROR(__xludf.DUMMYFUNCTION("""COMPUTED_VALUE"""),0.0)</f>
        <v>0</v>
      </c>
      <c r="D463" s="8">
        <f>IFERROR(__xludf.DUMMYFUNCTION("""COMPUTED_VALUE"""),0.0)</f>
        <v>0</v>
      </c>
    </row>
    <row r="464">
      <c r="A464" s="12" t="str">
        <f>IFERROR(__xludf.DUMMYFUNCTION("""COMPUTED_VALUE"""),"Batch 163")</f>
        <v>Batch 163</v>
      </c>
      <c r="B464" s="13" t="str">
        <f>IFERROR(__xludf.DUMMYFUNCTION("""COMPUTED_VALUE"""),"AdnanC63")</f>
        <v>AdnanC63</v>
      </c>
      <c r="C464" s="8">
        <f>IFERROR(__xludf.DUMMYFUNCTION("""COMPUTED_VALUE"""),12.0)</f>
        <v>12</v>
      </c>
      <c r="D464" s="8">
        <f>IFERROR(__xludf.DUMMYFUNCTION("""COMPUTED_VALUE"""),4.0)</f>
        <v>4</v>
      </c>
    </row>
    <row r="465">
      <c r="A465" s="12" t="str">
        <f>IFERROR(__xludf.DUMMYFUNCTION("""COMPUTED_VALUE"""),"Batch 163")</f>
        <v>Batch 163</v>
      </c>
      <c r="B465" s="13" t="str">
        <f>IFERROR(__xludf.DUMMYFUNCTION("""COMPUTED_VALUE"""),"TopiwalaC63")</f>
        <v>TopiwalaC63</v>
      </c>
      <c r="C465" s="8">
        <f>IFERROR(__xludf.DUMMYFUNCTION("""COMPUTED_VALUE"""),0.0)</f>
        <v>0</v>
      </c>
      <c r="D465" s="8">
        <f>IFERROR(__xludf.DUMMYFUNCTION("""COMPUTED_VALUE"""),0.0)</f>
        <v>0</v>
      </c>
    </row>
    <row r="466">
      <c r="A466" s="12" t="str">
        <f>IFERROR(__xludf.DUMMYFUNCTION("""COMPUTED_VALUE"""),"Batch 163")</f>
        <v>Batch 163</v>
      </c>
      <c r="B466" s="13" t="str">
        <f>IFERROR(__xludf.DUMMYFUNCTION("""COMPUTED_VALUE"""),"RajC63")</f>
        <v>RajC63</v>
      </c>
      <c r="C466" s="8">
        <f>IFERROR(__xludf.DUMMYFUNCTION("""COMPUTED_VALUE"""),0.0)</f>
        <v>0</v>
      </c>
      <c r="D466" s="8">
        <f>IFERROR(__xludf.DUMMYFUNCTION("""COMPUTED_VALUE"""),0.0)</f>
        <v>0</v>
      </c>
    </row>
    <row r="467">
      <c r="A467" s="12" t="str">
        <f>IFERROR(__xludf.DUMMYFUNCTION("""COMPUTED_VALUE"""),"Batch 163")</f>
        <v>Batch 163</v>
      </c>
      <c r="B467" s="13" t="str">
        <f>IFERROR(__xludf.DUMMYFUNCTION("""COMPUTED_VALUE"""),"AmarjeetC63")</f>
        <v>AmarjeetC63</v>
      </c>
      <c r="C467" s="8">
        <f>IFERROR(__xludf.DUMMYFUNCTION("""COMPUTED_VALUE"""),0.0)</f>
        <v>0</v>
      </c>
      <c r="D467" s="8">
        <f>IFERROR(__xludf.DUMMYFUNCTION("""COMPUTED_VALUE"""),0.0)</f>
        <v>0</v>
      </c>
    </row>
    <row r="468">
      <c r="A468" s="12" t="str">
        <f>IFERROR(__xludf.DUMMYFUNCTION("""COMPUTED_VALUE"""),"Batch 163")</f>
        <v>Batch 163</v>
      </c>
      <c r="B468" s="13" t="str">
        <f>IFERROR(__xludf.DUMMYFUNCTION("""COMPUTED_VALUE"""),"AditiC63")</f>
        <v>AditiC63</v>
      </c>
      <c r="C468" s="8">
        <f>IFERROR(__xludf.DUMMYFUNCTION("""COMPUTED_VALUE"""),0.0)</f>
        <v>0</v>
      </c>
      <c r="D468" s="8">
        <f>IFERROR(__xludf.DUMMYFUNCTION("""COMPUTED_VALUE"""),0.0)</f>
        <v>0</v>
      </c>
    </row>
    <row r="469">
      <c r="A469" s="12" t="str">
        <f>IFERROR(__xludf.DUMMYFUNCTION("""COMPUTED_VALUE"""),"Batch 163")</f>
        <v>Batch 163</v>
      </c>
      <c r="B469" s="13" t="str">
        <f>IFERROR(__xludf.DUMMYFUNCTION("""COMPUTED_VALUE"""),"GunjanC63")</f>
        <v>GunjanC63</v>
      </c>
      <c r="C469" s="8">
        <f>IFERROR(__xludf.DUMMYFUNCTION("""COMPUTED_VALUE"""),0.0)</f>
        <v>0</v>
      </c>
      <c r="D469" s="8">
        <f>IFERROR(__xludf.DUMMYFUNCTION("""COMPUTED_VALUE"""),0.0)</f>
        <v>0</v>
      </c>
    </row>
    <row r="470">
      <c r="A470" s="12" t="str">
        <f>IFERROR(__xludf.DUMMYFUNCTION("""COMPUTED_VALUE"""),"Batch 163")</f>
        <v>Batch 163</v>
      </c>
      <c r="B470" s="13" t="str">
        <f>IFERROR(__xludf.DUMMYFUNCTION("""COMPUTED_VALUE"""),"PriyaC63")</f>
        <v>PriyaC63</v>
      </c>
      <c r="C470" s="8">
        <f>IFERROR(__xludf.DUMMYFUNCTION("""COMPUTED_VALUE"""),0.0)</f>
        <v>0</v>
      </c>
      <c r="D470" s="8">
        <f>IFERROR(__xludf.DUMMYFUNCTION("""COMPUTED_VALUE"""),0.0)</f>
        <v>0</v>
      </c>
    </row>
    <row r="471">
      <c r="A471" s="12" t="str">
        <f>IFERROR(__xludf.DUMMYFUNCTION("""COMPUTED_VALUE"""),"Batch 163")</f>
        <v>Batch 163</v>
      </c>
      <c r="B471" s="13" t="str">
        <f>IFERROR(__xludf.DUMMYFUNCTION("""COMPUTED_VALUE"""),"MerajC63")</f>
        <v>MerajC63</v>
      </c>
      <c r="C471" s="8">
        <f>IFERROR(__xludf.DUMMYFUNCTION("""COMPUTED_VALUE"""),0.0)</f>
        <v>0</v>
      </c>
      <c r="D471" s="8">
        <f>IFERROR(__xludf.DUMMYFUNCTION("""COMPUTED_VALUE"""),0.0)</f>
        <v>0</v>
      </c>
    </row>
    <row r="472">
      <c r="A472" s="12" t="str">
        <f>IFERROR(__xludf.DUMMYFUNCTION("""COMPUTED_VALUE"""),"Batch 163")</f>
        <v>Batch 163</v>
      </c>
      <c r="B472" s="13" t="str">
        <f>IFERROR(__xludf.DUMMYFUNCTION("""COMPUTED_VALUE"""),"ArtiC63")</f>
        <v>ArtiC63</v>
      </c>
      <c r="C472" s="8">
        <f>IFERROR(__xludf.DUMMYFUNCTION("""COMPUTED_VALUE"""),0.0)</f>
        <v>0</v>
      </c>
      <c r="D472" s="8">
        <f>IFERROR(__xludf.DUMMYFUNCTION("""COMPUTED_VALUE"""),0.0)</f>
        <v>0</v>
      </c>
    </row>
    <row r="473">
      <c r="A473" s="12" t="str">
        <f>IFERROR(__xludf.DUMMYFUNCTION("""COMPUTED_VALUE"""),"Batch 163")</f>
        <v>Batch 163</v>
      </c>
      <c r="B473" s="13" t="str">
        <f>IFERROR(__xludf.DUMMYFUNCTION("""COMPUTED_VALUE"""),"ShubhankarC63")</f>
        <v>ShubhankarC63</v>
      </c>
      <c r="C473" s="8">
        <f>IFERROR(__xludf.DUMMYFUNCTION("""COMPUTED_VALUE"""),0.0)</f>
        <v>0</v>
      </c>
      <c r="D473" s="8">
        <f>IFERROR(__xludf.DUMMYFUNCTION("""COMPUTED_VALUE"""),0.0)</f>
        <v>0</v>
      </c>
    </row>
    <row r="474">
      <c r="A474" s="12" t="str">
        <f>IFERROR(__xludf.DUMMYFUNCTION("""COMPUTED_VALUE"""),"Batch 163")</f>
        <v>Batch 163</v>
      </c>
      <c r="B474" s="13" t="str">
        <f>IFERROR(__xludf.DUMMYFUNCTION("""COMPUTED_VALUE"""),"SayanC63")</f>
        <v>SayanC63</v>
      </c>
      <c r="C474" s="8">
        <f>IFERROR(__xludf.DUMMYFUNCTION("""COMPUTED_VALUE"""),1.0)</f>
        <v>1</v>
      </c>
      <c r="D474" s="8">
        <f>IFERROR(__xludf.DUMMYFUNCTION("""COMPUTED_VALUE"""),0.0)</f>
        <v>0</v>
      </c>
    </row>
    <row r="475">
      <c r="A475" s="12" t="str">
        <f>IFERROR(__xludf.DUMMYFUNCTION("""COMPUTED_VALUE"""),"Batch 163")</f>
        <v>Batch 163</v>
      </c>
      <c r="B475" s="13" t="str">
        <f>IFERROR(__xludf.DUMMYFUNCTION("""COMPUTED_VALUE"""),"NamanC63")</f>
        <v>NamanC63</v>
      </c>
      <c r="C475" s="8">
        <f>IFERROR(__xludf.DUMMYFUNCTION("""COMPUTED_VALUE"""),0.0)</f>
        <v>0</v>
      </c>
      <c r="D475" s="8">
        <f>IFERROR(__xludf.DUMMYFUNCTION("""COMPUTED_VALUE"""),0.0)</f>
        <v>0</v>
      </c>
    </row>
    <row r="476">
      <c r="A476" s="12" t="str">
        <f>IFERROR(__xludf.DUMMYFUNCTION("""COMPUTED_VALUE"""),"Batch 163")</f>
        <v>Batch 163</v>
      </c>
      <c r="B476" s="13" t="str">
        <f>IFERROR(__xludf.DUMMYFUNCTION("""COMPUTED_VALUE"""),"RishabhC63")</f>
        <v>RishabhC63</v>
      </c>
      <c r="C476" s="8">
        <f>IFERROR(__xludf.DUMMYFUNCTION("""COMPUTED_VALUE"""),0.0)</f>
        <v>0</v>
      </c>
      <c r="D476" s="8">
        <f>IFERROR(__xludf.DUMMYFUNCTION("""COMPUTED_VALUE"""),0.0)</f>
        <v>0</v>
      </c>
    </row>
    <row r="477">
      <c r="A477" s="12" t="str">
        <f>IFERROR(__xludf.DUMMYFUNCTION("""COMPUTED_VALUE"""),"Batch 163")</f>
        <v>Batch 163</v>
      </c>
      <c r="B477" s="13" t="str">
        <f>IFERROR(__xludf.DUMMYFUNCTION("""COMPUTED_VALUE"""),"AyushC63")</f>
        <v>AyushC63</v>
      </c>
      <c r="C477" s="8">
        <f>IFERROR(__xludf.DUMMYFUNCTION("""COMPUTED_VALUE"""),0.0)</f>
        <v>0</v>
      </c>
      <c r="D477" s="8">
        <f>IFERROR(__xludf.DUMMYFUNCTION("""COMPUTED_VALUE"""),0.0)</f>
        <v>0</v>
      </c>
    </row>
    <row r="478">
      <c r="A478" s="12" t="str">
        <f>IFERROR(__xludf.DUMMYFUNCTION("""COMPUTED_VALUE"""),"Batch 163")</f>
        <v>Batch 163</v>
      </c>
      <c r="B478" s="13" t="str">
        <f>IFERROR(__xludf.DUMMYFUNCTION("""COMPUTED_VALUE"""),"ANSHUMANC63")</f>
        <v>ANSHUMANC63</v>
      </c>
      <c r="C478" s="8">
        <f>IFERROR(__xludf.DUMMYFUNCTION("""COMPUTED_VALUE"""),1.0)</f>
        <v>1</v>
      </c>
      <c r="D478" s="8">
        <f>IFERROR(__xludf.DUMMYFUNCTION("""COMPUTED_VALUE"""),0.0)</f>
        <v>0</v>
      </c>
    </row>
    <row r="479">
      <c r="A479" s="12" t="str">
        <f>IFERROR(__xludf.DUMMYFUNCTION("""COMPUTED_VALUE"""),"Batch 163")</f>
        <v>Batch 163</v>
      </c>
      <c r="B479" s="13" t="str">
        <f>IFERROR(__xludf.DUMMYFUNCTION("""COMPUTED_VALUE"""),"SamsonC63")</f>
        <v>SamsonC63</v>
      </c>
      <c r="C479" s="8">
        <f>IFERROR(__xludf.DUMMYFUNCTION("""COMPUTED_VALUE"""),1.0)</f>
        <v>1</v>
      </c>
      <c r="D479" s="8">
        <f>IFERROR(__xludf.DUMMYFUNCTION("""COMPUTED_VALUE"""),0.0)</f>
        <v>0</v>
      </c>
    </row>
    <row r="480">
      <c r="A480" s="12" t="str">
        <f>IFERROR(__xludf.DUMMYFUNCTION("""COMPUTED_VALUE"""),"Batch 163")</f>
        <v>Batch 163</v>
      </c>
      <c r="B480" s="13" t="str">
        <f>IFERROR(__xludf.DUMMYFUNCTION("""COMPUTED_VALUE"""),"NishantC63")</f>
        <v>NishantC63</v>
      </c>
      <c r="C480" s="8">
        <f>IFERROR(__xludf.DUMMYFUNCTION("""COMPUTED_VALUE"""),0.0)</f>
        <v>0</v>
      </c>
      <c r="D480" s="8">
        <f>IFERROR(__xludf.DUMMYFUNCTION("""COMPUTED_VALUE"""),0.0)</f>
        <v>0</v>
      </c>
    </row>
    <row r="481">
      <c r="A481" s="12" t="str">
        <f>IFERROR(__xludf.DUMMYFUNCTION("""COMPUTED_VALUE"""),"Batch 163")</f>
        <v>Batch 163</v>
      </c>
      <c r="B481" s="13" t="str">
        <f>IFERROR(__xludf.DUMMYFUNCTION("""COMPUTED_VALUE"""),"DharmenderC63")</f>
        <v>DharmenderC63</v>
      </c>
      <c r="C481" s="8">
        <f>IFERROR(__xludf.DUMMYFUNCTION("""COMPUTED_VALUE"""),0.0)</f>
        <v>0</v>
      </c>
      <c r="D481" s="8">
        <f>IFERROR(__xludf.DUMMYFUNCTION("""COMPUTED_VALUE"""),0.0)</f>
        <v>0</v>
      </c>
    </row>
    <row r="482">
      <c r="A482" s="12" t="str">
        <f>IFERROR(__xludf.DUMMYFUNCTION("""COMPUTED_VALUE"""),"Batch 163")</f>
        <v>Batch 163</v>
      </c>
      <c r="B482" s="13" t="str">
        <f>IFERROR(__xludf.DUMMYFUNCTION("""COMPUTED_VALUE"""),"KatikaC63")</f>
        <v>KatikaC63</v>
      </c>
      <c r="C482" s="8">
        <f>IFERROR(__xludf.DUMMYFUNCTION("""COMPUTED_VALUE"""),1.0)</f>
        <v>1</v>
      </c>
      <c r="D482" s="8">
        <f>IFERROR(__xludf.DUMMYFUNCTION("""COMPUTED_VALUE"""),6.0)</f>
        <v>6</v>
      </c>
    </row>
    <row r="483">
      <c r="A483" s="12" t="str">
        <f>IFERROR(__xludf.DUMMYFUNCTION("""COMPUTED_VALUE"""),"Batch 163")</f>
        <v>Batch 163</v>
      </c>
      <c r="B483" s="13" t="str">
        <f>IFERROR(__xludf.DUMMYFUNCTION("""COMPUTED_VALUE"""),"DikshaC63")</f>
        <v>DikshaC63</v>
      </c>
      <c r="C483" s="8">
        <f>IFERROR(__xludf.DUMMYFUNCTION("""COMPUTED_VALUE"""),0.0)</f>
        <v>0</v>
      </c>
      <c r="D483" s="8">
        <f>IFERROR(__xludf.DUMMYFUNCTION("""COMPUTED_VALUE"""),0.0)</f>
        <v>0</v>
      </c>
    </row>
    <row r="484">
      <c r="A484" s="12" t="str">
        <f>IFERROR(__xludf.DUMMYFUNCTION("""COMPUTED_VALUE"""),"Batch 163")</f>
        <v>Batch 163</v>
      </c>
      <c r="B484" s="13" t="str">
        <f>IFERROR(__xludf.DUMMYFUNCTION("""COMPUTED_VALUE"""),"DeepakC63")</f>
        <v>DeepakC63</v>
      </c>
      <c r="C484" s="8">
        <f>IFERROR(__xludf.DUMMYFUNCTION("""COMPUTED_VALUE"""),0.0)</f>
        <v>0</v>
      </c>
      <c r="D484" s="8">
        <f>IFERROR(__xludf.DUMMYFUNCTION("""COMPUTED_VALUE"""),0.0)</f>
        <v>0</v>
      </c>
    </row>
    <row r="485">
      <c r="A485" s="12" t="str">
        <f>IFERROR(__xludf.DUMMYFUNCTION("""COMPUTED_VALUE"""),"Batch 163")</f>
        <v>Batch 163</v>
      </c>
      <c r="B485" s="13" t="str">
        <f>IFERROR(__xludf.DUMMYFUNCTION("""COMPUTED_VALUE"""),"AbhishekC63")</f>
        <v>AbhishekC63</v>
      </c>
      <c r="C485" s="8">
        <f>IFERROR(__xludf.DUMMYFUNCTION("""COMPUTED_VALUE"""),0.0)</f>
        <v>0</v>
      </c>
      <c r="D485" s="8">
        <f>IFERROR(__xludf.DUMMYFUNCTION("""COMPUTED_VALUE"""),0.0)</f>
        <v>0</v>
      </c>
    </row>
    <row r="486">
      <c r="A486" s="12" t="str">
        <f>IFERROR(__xludf.DUMMYFUNCTION("""COMPUTED_VALUE"""),"Batch 163")</f>
        <v>Batch 163</v>
      </c>
      <c r="B486" s="13" t="str">
        <f>IFERROR(__xludf.DUMMYFUNCTION("""COMPUTED_VALUE"""),"AdavelliC63")</f>
        <v>AdavelliC63</v>
      </c>
      <c r="C486" s="8">
        <f>IFERROR(__xludf.DUMMYFUNCTION("""COMPUTED_VALUE"""),0.0)</f>
        <v>0</v>
      </c>
      <c r="D486" s="8">
        <f>IFERROR(__xludf.DUMMYFUNCTION("""COMPUTED_VALUE"""),0.0)</f>
        <v>0</v>
      </c>
    </row>
    <row r="487">
      <c r="A487" s="12" t="str">
        <f>IFERROR(__xludf.DUMMYFUNCTION("""COMPUTED_VALUE"""),"Batch 163")</f>
        <v>Batch 163</v>
      </c>
      <c r="B487" s="13" t="str">
        <f>IFERROR(__xludf.DUMMYFUNCTION("""COMPUTED_VALUE"""),"DC63")</f>
        <v>DC63</v>
      </c>
      <c r="C487" s="8">
        <f>IFERROR(__xludf.DUMMYFUNCTION("""COMPUTED_VALUE"""),0.0)</f>
        <v>0</v>
      </c>
      <c r="D487" s="8">
        <f>IFERROR(__xludf.DUMMYFUNCTION("""COMPUTED_VALUE"""),0.0)</f>
        <v>0</v>
      </c>
    </row>
    <row r="488">
      <c r="A488" s="12" t="str">
        <f>IFERROR(__xludf.DUMMYFUNCTION("""COMPUTED_VALUE"""),"Batch 163")</f>
        <v>Batch 163</v>
      </c>
      <c r="B488" s="13" t="str">
        <f>IFERROR(__xludf.DUMMYFUNCTION("""COMPUTED_VALUE"""),"AkashC63")</f>
        <v>AkashC63</v>
      </c>
      <c r="C488" s="8">
        <f>IFERROR(__xludf.DUMMYFUNCTION("""COMPUTED_VALUE"""),0.0)</f>
        <v>0</v>
      </c>
      <c r="D488" s="8">
        <f>IFERROR(__xludf.DUMMYFUNCTION("""COMPUTED_VALUE"""),0.0)</f>
        <v>0</v>
      </c>
    </row>
    <row r="489">
      <c r="A489" s="12" t="str">
        <f>IFERROR(__xludf.DUMMYFUNCTION("""COMPUTED_VALUE"""),"Batch 163")</f>
        <v>Batch 163</v>
      </c>
      <c r="B489" s="13" t="str">
        <f>IFERROR(__xludf.DUMMYFUNCTION("""COMPUTED_VALUE"""),"PALERUC63")</f>
        <v>PALERUC63</v>
      </c>
      <c r="C489" s="8">
        <f>IFERROR(__xludf.DUMMYFUNCTION("""COMPUTED_VALUE"""),0.0)</f>
        <v>0</v>
      </c>
      <c r="D489" s="8">
        <f>IFERROR(__xludf.DUMMYFUNCTION("""COMPUTED_VALUE"""),0.0)</f>
        <v>0</v>
      </c>
    </row>
    <row r="490">
      <c r="A490" s="12" t="str">
        <f>IFERROR(__xludf.DUMMYFUNCTION("""COMPUTED_VALUE"""),"Batch 163")</f>
        <v>Batch 163</v>
      </c>
      <c r="B490" s="13" t="str">
        <f>IFERROR(__xludf.DUMMYFUNCTION("""COMPUTED_VALUE"""),"AyushC63")</f>
        <v>AyushC63</v>
      </c>
      <c r="C490" s="8">
        <f>IFERROR(__xludf.DUMMYFUNCTION("""COMPUTED_VALUE"""),0.0)</f>
        <v>0</v>
      </c>
      <c r="D490" s="8">
        <f>IFERROR(__xludf.DUMMYFUNCTION("""COMPUTED_VALUE"""),0.0)</f>
        <v>0</v>
      </c>
    </row>
    <row r="491">
      <c r="A491" s="12" t="str">
        <f>IFERROR(__xludf.DUMMYFUNCTION("""COMPUTED_VALUE"""),"Batch 163")</f>
        <v>Batch 163</v>
      </c>
      <c r="B491" s="13" t="str">
        <f>IFERROR(__xludf.DUMMYFUNCTION("""COMPUTED_VALUE"""),"PrinceC63")</f>
        <v>PrinceC63</v>
      </c>
      <c r="C491" s="8">
        <f>IFERROR(__xludf.DUMMYFUNCTION("""COMPUTED_VALUE"""),0.0)</f>
        <v>0</v>
      </c>
      <c r="D491" s="8">
        <f>IFERROR(__xludf.DUMMYFUNCTION("""COMPUTED_VALUE"""),0.0)</f>
        <v>0</v>
      </c>
    </row>
    <row r="492">
      <c r="A492" s="12"/>
      <c r="B492" s="13"/>
      <c r="C492" s="8">
        <f>IFERROR(__xludf.DUMMYFUNCTION("""COMPUTED_VALUE"""),0.0)</f>
        <v>0</v>
      </c>
      <c r="D492" s="8"/>
    </row>
    <row r="493">
      <c r="A493" s="12" t="str">
        <f>IFERROR(__xludf.DUMMYFUNCTION("""COMPUTED_VALUE"""),"Batch 164")</f>
        <v>Batch 164</v>
      </c>
      <c r="B493" s="13" t="str">
        <f>IFERROR(__xludf.DUMMYFUNCTION("""COMPUTED_VALUE"""),"SiddhiC64")</f>
        <v>SiddhiC64</v>
      </c>
      <c r="C493" s="8">
        <f>IFERROR(__xludf.DUMMYFUNCTION("""COMPUTED_VALUE"""),0.0)</f>
        <v>0</v>
      </c>
      <c r="D493" s="8">
        <f>IFERROR(__xludf.DUMMYFUNCTION("""COMPUTED_VALUE"""),0.0)</f>
        <v>0</v>
      </c>
    </row>
    <row r="494">
      <c r="A494" s="12" t="str">
        <f>IFERROR(__xludf.DUMMYFUNCTION("""COMPUTED_VALUE"""),"Batch 164")</f>
        <v>Batch 164</v>
      </c>
      <c r="B494" s="13" t="str">
        <f>IFERROR(__xludf.DUMMYFUNCTION("""COMPUTED_VALUE"""),"KunalC64")</f>
        <v>KunalC64</v>
      </c>
      <c r="C494" s="8">
        <f>IFERROR(__xludf.DUMMYFUNCTION("""COMPUTED_VALUE"""),0.0)</f>
        <v>0</v>
      </c>
      <c r="D494" s="8">
        <f>IFERROR(__xludf.DUMMYFUNCTION("""COMPUTED_VALUE"""),0.0)</f>
        <v>0</v>
      </c>
    </row>
    <row r="495">
      <c r="A495" s="12" t="str">
        <f>IFERROR(__xludf.DUMMYFUNCTION("""COMPUTED_VALUE"""),"Batch 164")</f>
        <v>Batch 164</v>
      </c>
      <c r="B495" s="13" t="str">
        <f>IFERROR(__xludf.DUMMYFUNCTION("""COMPUTED_VALUE"""),"DeekshaC64")</f>
        <v>DeekshaC64</v>
      </c>
      <c r="C495" s="8">
        <f>IFERROR(__xludf.DUMMYFUNCTION("""COMPUTED_VALUE"""),0.0)</f>
        <v>0</v>
      </c>
      <c r="D495" s="8">
        <f>IFERROR(__xludf.DUMMYFUNCTION("""COMPUTED_VALUE"""),0.0)</f>
        <v>0</v>
      </c>
    </row>
    <row r="496">
      <c r="A496" s="12" t="str">
        <f>IFERROR(__xludf.DUMMYFUNCTION("""COMPUTED_VALUE"""),"Batch 164")</f>
        <v>Batch 164</v>
      </c>
      <c r="B496" s="13" t="str">
        <f>IFERROR(__xludf.DUMMYFUNCTION("""COMPUTED_VALUE"""),"MohammedC64")</f>
        <v>MohammedC64</v>
      </c>
      <c r="C496" s="8">
        <f>IFERROR(__xludf.DUMMYFUNCTION("""COMPUTED_VALUE"""),0.0)</f>
        <v>0</v>
      </c>
      <c r="D496" s="8">
        <f>IFERROR(__xludf.DUMMYFUNCTION("""COMPUTED_VALUE"""),0.0)</f>
        <v>0</v>
      </c>
    </row>
    <row r="497">
      <c r="A497" s="12" t="str">
        <f>IFERROR(__xludf.DUMMYFUNCTION("""COMPUTED_VALUE"""),"Batch 164")</f>
        <v>Batch 164</v>
      </c>
      <c r="B497" s="13" t="str">
        <f>IFERROR(__xludf.DUMMYFUNCTION("""COMPUTED_VALUE"""),"MamtaC64")</f>
        <v>MamtaC64</v>
      </c>
      <c r="C497" s="8">
        <f>IFERROR(__xludf.DUMMYFUNCTION("""COMPUTED_VALUE"""),0.0)</f>
        <v>0</v>
      </c>
      <c r="D497" s="8">
        <f>IFERROR(__xludf.DUMMYFUNCTION("""COMPUTED_VALUE"""),0.0)</f>
        <v>0</v>
      </c>
    </row>
    <row r="498">
      <c r="A498" s="12" t="str">
        <f>IFERROR(__xludf.DUMMYFUNCTION("""COMPUTED_VALUE"""),"Batch 164")</f>
        <v>Batch 164</v>
      </c>
      <c r="B498" s="13" t="str">
        <f>IFERROR(__xludf.DUMMYFUNCTION("""COMPUTED_VALUE"""),"SainathC64")</f>
        <v>SainathC64</v>
      </c>
      <c r="C498" s="8">
        <f>IFERROR(__xludf.DUMMYFUNCTION("""COMPUTED_VALUE"""),0.0)</f>
        <v>0</v>
      </c>
      <c r="D498" s="8">
        <f>IFERROR(__xludf.DUMMYFUNCTION("""COMPUTED_VALUE"""),0.0)</f>
        <v>0</v>
      </c>
    </row>
    <row r="499">
      <c r="A499" s="12" t="str">
        <f>IFERROR(__xludf.DUMMYFUNCTION("""COMPUTED_VALUE"""),"Batch 164")</f>
        <v>Batch 164</v>
      </c>
      <c r="B499" s="13" t="str">
        <f>IFERROR(__xludf.DUMMYFUNCTION("""COMPUTED_VALUE"""),"M.saiC64")</f>
        <v>M.saiC64</v>
      </c>
      <c r="C499" s="8">
        <f>IFERROR(__xludf.DUMMYFUNCTION("""COMPUTED_VALUE"""),0.0)</f>
        <v>0</v>
      </c>
      <c r="D499" s="8">
        <f>IFERROR(__xludf.DUMMYFUNCTION("""COMPUTED_VALUE"""),0.0)</f>
        <v>0</v>
      </c>
    </row>
    <row r="500">
      <c r="A500" s="12" t="str">
        <f>IFERROR(__xludf.DUMMYFUNCTION("""COMPUTED_VALUE"""),"Batch 164")</f>
        <v>Batch 164</v>
      </c>
      <c r="B500" s="13" t="str">
        <f>IFERROR(__xludf.DUMMYFUNCTION("""COMPUTED_VALUE"""),"RSC64")</f>
        <v>RSC64</v>
      </c>
      <c r="C500" s="8">
        <f>IFERROR(__xludf.DUMMYFUNCTION("""COMPUTED_VALUE"""),1.0)</f>
        <v>1</v>
      </c>
      <c r="D500" s="8">
        <f>IFERROR(__xludf.DUMMYFUNCTION("""COMPUTED_VALUE"""),2.0)</f>
        <v>2</v>
      </c>
    </row>
    <row r="501">
      <c r="A501" s="12" t="str">
        <f>IFERROR(__xludf.DUMMYFUNCTION("""COMPUTED_VALUE"""),"Batch 164")</f>
        <v>Batch 164</v>
      </c>
      <c r="B501" s="13" t="str">
        <f>IFERROR(__xludf.DUMMYFUNCTION("""COMPUTED_VALUE"""),"MananC64")</f>
        <v>MananC64</v>
      </c>
      <c r="C501" s="8">
        <f>IFERROR(__xludf.DUMMYFUNCTION("""COMPUTED_VALUE"""),0.0)</f>
        <v>0</v>
      </c>
      <c r="D501" s="8">
        <f>IFERROR(__xludf.DUMMYFUNCTION("""COMPUTED_VALUE"""),0.0)</f>
        <v>0</v>
      </c>
    </row>
    <row r="502">
      <c r="A502" s="12" t="str">
        <f>IFERROR(__xludf.DUMMYFUNCTION("""COMPUTED_VALUE"""),"Batch 164")</f>
        <v>Batch 164</v>
      </c>
      <c r="B502" s="13" t="str">
        <f>IFERROR(__xludf.DUMMYFUNCTION("""COMPUTED_VALUE"""),"ChandrabhanC64")</f>
        <v>ChandrabhanC64</v>
      </c>
      <c r="C502" s="8">
        <f>IFERROR(__xludf.DUMMYFUNCTION("""COMPUTED_VALUE"""),0.0)</f>
        <v>0</v>
      </c>
      <c r="D502" s="8">
        <f>IFERROR(__xludf.DUMMYFUNCTION("""COMPUTED_VALUE"""),0.0)</f>
        <v>0</v>
      </c>
    </row>
    <row r="503">
      <c r="A503" s="12" t="str">
        <f>IFERROR(__xludf.DUMMYFUNCTION("""COMPUTED_VALUE"""),"Batch 164")</f>
        <v>Batch 164</v>
      </c>
      <c r="B503" s="13" t="str">
        <f>IFERROR(__xludf.DUMMYFUNCTION("""COMPUTED_VALUE"""),"PriyanshuC64")</f>
        <v>PriyanshuC64</v>
      </c>
      <c r="C503" s="8">
        <f>IFERROR(__xludf.DUMMYFUNCTION("""COMPUTED_VALUE"""),8.0)</f>
        <v>8</v>
      </c>
      <c r="D503" s="8">
        <f>IFERROR(__xludf.DUMMYFUNCTION("""COMPUTED_VALUE"""),0.0)</f>
        <v>0</v>
      </c>
    </row>
    <row r="504">
      <c r="A504" s="12" t="str">
        <f>IFERROR(__xludf.DUMMYFUNCTION("""COMPUTED_VALUE"""),"Batch 164")</f>
        <v>Batch 164</v>
      </c>
      <c r="B504" s="13" t="str">
        <f>IFERROR(__xludf.DUMMYFUNCTION("""COMPUTED_VALUE"""),"AdityaC64")</f>
        <v>AdityaC64</v>
      </c>
      <c r="C504" s="8">
        <f>IFERROR(__xludf.DUMMYFUNCTION("""COMPUTED_VALUE"""),1.0)</f>
        <v>1</v>
      </c>
      <c r="D504" s="8">
        <f>IFERROR(__xludf.DUMMYFUNCTION("""COMPUTED_VALUE"""),0.0)</f>
        <v>0</v>
      </c>
    </row>
    <row r="505">
      <c r="A505" s="12" t="str">
        <f>IFERROR(__xludf.DUMMYFUNCTION("""COMPUTED_VALUE"""),"Batch 164")</f>
        <v>Batch 164</v>
      </c>
      <c r="B505" s="13" t="str">
        <f>IFERROR(__xludf.DUMMYFUNCTION("""COMPUTED_VALUE"""),"SoumikC64")</f>
        <v>SoumikC64</v>
      </c>
      <c r="C505" s="8">
        <f>IFERROR(__xludf.DUMMYFUNCTION("""COMPUTED_VALUE"""),0.0)</f>
        <v>0</v>
      </c>
      <c r="D505" s="8">
        <f>IFERROR(__xludf.DUMMYFUNCTION("""COMPUTED_VALUE"""),0.0)</f>
        <v>0</v>
      </c>
    </row>
    <row r="506">
      <c r="A506" s="12" t="str">
        <f>IFERROR(__xludf.DUMMYFUNCTION("""COMPUTED_VALUE"""),"Batch 164")</f>
        <v>Batch 164</v>
      </c>
      <c r="B506" s="13" t="str">
        <f>IFERROR(__xludf.DUMMYFUNCTION("""COMPUTED_VALUE"""),"MdC64")</f>
        <v>MdC64</v>
      </c>
      <c r="C506" s="8">
        <f>IFERROR(__xludf.DUMMYFUNCTION("""COMPUTED_VALUE"""),0.0)</f>
        <v>0</v>
      </c>
      <c r="D506" s="8">
        <f>IFERROR(__xludf.DUMMYFUNCTION("""COMPUTED_VALUE"""),0.0)</f>
        <v>0</v>
      </c>
    </row>
    <row r="507">
      <c r="A507" s="12" t="str">
        <f>IFERROR(__xludf.DUMMYFUNCTION("""COMPUTED_VALUE"""),"Batch 164")</f>
        <v>Batch 164</v>
      </c>
      <c r="B507" s="13" t="str">
        <f>IFERROR(__xludf.DUMMYFUNCTION("""COMPUTED_VALUE"""),"JainiC64")</f>
        <v>JainiC64</v>
      </c>
      <c r="C507" s="8">
        <f>IFERROR(__xludf.DUMMYFUNCTION("""COMPUTED_VALUE"""),0.0)</f>
        <v>0</v>
      </c>
      <c r="D507" s="8">
        <f>IFERROR(__xludf.DUMMYFUNCTION("""COMPUTED_VALUE"""),0.0)</f>
        <v>0</v>
      </c>
    </row>
    <row r="508">
      <c r="A508" s="12" t="str">
        <f>IFERROR(__xludf.DUMMYFUNCTION("""COMPUTED_VALUE"""),"Batch 164")</f>
        <v>Batch 164</v>
      </c>
      <c r="B508" s="13" t="str">
        <f>IFERROR(__xludf.DUMMYFUNCTION("""COMPUTED_VALUE"""),"BodduC64")</f>
        <v>BodduC64</v>
      </c>
      <c r="C508" s="8">
        <f>IFERROR(__xludf.DUMMYFUNCTION("""COMPUTED_VALUE"""),0.0)</f>
        <v>0</v>
      </c>
      <c r="D508" s="8">
        <f>IFERROR(__xludf.DUMMYFUNCTION("""COMPUTED_VALUE"""),0.0)</f>
        <v>0</v>
      </c>
    </row>
    <row r="509">
      <c r="A509" s="12" t="str">
        <f>IFERROR(__xludf.DUMMYFUNCTION("""COMPUTED_VALUE"""),"Batch 164")</f>
        <v>Batch 164</v>
      </c>
      <c r="B509" s="13" t="str">
        <f>IFERROR(__xludf.DUMMYFUNCTION("""COMPUTED_VALUE"""),"PayalC64")</f>
        <v>PayalC64</v>
      </c>
      <c r="C509" s="8">
        <f>IFERROR(__xludf.DUMMYFUNCTION("""COMPUTED_VALUE"""),0.0)</f>
        <v>0</v>
      </c>
      <c r="D509" s="8">
        <f>IFERROR(__xludf.DUMMYFUNCTION("""COMPUTED_VALUE"""),0.0)</f>
        <v>0</v>
      </c>
    </row>
    <row r="510">
      <c r="A510" s="12" t="str">
        <f>IFERROR(__xludf.DUMMYFUNCTION("""COMPUTED_VALUE"""),"Batch 164")</f>
        <v>Batch 164</v>
      </c>
      <c r="B510" s="13" t="str">
        <f>IFERROR(__xludf.DUMMYFUNCTION("""COMPUTED_VALUE"""),"GongatiC64")</f>
        <v>GongatiC64</v>
      </c>
      <c r="C510" s="8">
        <f>IFERROR(__xludf.DUMMYFUNCTION("""COMPUTED_VALUE"""),0.0)</f>
        <v>0</v>
      </c>
      <c r="D510" s="8">
        <f>IFERROR(__xludf.DUMMYFUNCTION("""COMPUTED_VALUE"""),0.0)</f>
        <v>0</v>
      </c>
    </row>
    <row r="511">
      <c r="A511" s="12" t="str">
        <f>IFERROR(__xludf.DUMMYFUNCTION("""COMPUTED_VALUE"""),"Batch 164")</f>
        <v>Batch 164</v>
      </c>
      <c r="B511" s="13" t="str">
        <f>IFERROR(__xludf.DUMMYFUNCTION("""COMPUTED_VALUE"""),"PranjalC64")</f>
        <v>PranjalC64</v>
      </c>
      <c r="C511" s="8">
        <f>IFERROR(__xludf.DUMMYFUNCTION("""COMPUTED_VALUE"""),0.0)</f>
        <v>0</v>
      </c>
      <c r="D511" s="8">
        <f>IFERROR(__xludf.DUMMYFUNCTION("""COMPUTED_VALUE"""),0.0)</f>
        <v>0</v>
      </c>
    </row>
    <row r="512">
      <c r="A512" s="12" t="str">
        <f>IFERROR(__xludf.DUMMYFUNCTION("""COMPUTED_VALUE"""),"Batch 164")</f>
        <v>Batch 164</v>
      </c>
      <c r="B512" s="13" t="str">
        <f>IFERROR(__xludf.DUMMYFUNCTION("""COMPUTED_VALUE"""),"SouritC64")</f>
        <v>SouritC64</v>
      </c>
      <c r="C512" s="8">
        <f>IFERROR(__xludf.DUMMYFUNCTION("""COMPUTED_VALUE"""),0.0)</f>
        <v>0</v>
      </c>
      <c r="D512" s="8">
        <f>IFERROR(__xludf.DUMMYFUNCTION("""COMPUTED_VALUE"""),0.0)</f>
        <v>0</v>
      </c>
    </row>
    <row r="513">
      <c r="A513" s="12" t="str">
        <f>IFERROR(__xludf.DUMMYFUNCTION("""COMPUTED_VALUE"""),"Batch 164")</f>
        <v>Batch 164</v>
      </c>
      <c r="B513" s="13" t="str">
        <f>IFERROR(__xludf.DUMMYFUNCTION("""COMPUTED_VALUE"""),"KaveriC64")</f>
        <v>KaveriC64</v>
      </c>
      <c r="C513" s="8">
        <f>IFERROR(__xludf.DUMMYFUNCTION("""COMPUTED_VALUE"""),2.0)</f>
        <v>2</v>
      </c>
      <c r="D513" s="8">
        <f>IFERROR(__xludf.DUMMYFUNCTION("""COMPUTED_VALUE"""),1.0)</f>
        <v>1</v>
      </c>
    </row>
    <row r="514">
      <c r="A514" s="12" t="str">
        <f>IFERROR(__xludf.DUMMYFUNCTION("""COMPUTED_VALUE"""),"Batch 164")</f>
        <v>Batch 164</v>
      </c>
      <c r="B514" s="13" t="str">
        <f>IFERROR(__xludf.DUMMYFUNCTION("""COMPUTED_VALUE"""),"SajganeC64")</f>
        <v>SajganeC64</v>
      </c>
      <c r="C514" s="8">
        <f>IFERROR(__xludf.DUMMYFUNCTION("""COMPUTED_VALUE"""),0.0)</f>
        <v>0</v>
      </c>
      <c r="D514" s="8">
        <f>IFERROR(__xludf.DUMMYFUNCTION("""COMPUTED_VALUE"""),0.0)</f>
        <v>0</v>
      </c>
    </row>
    <row r="515">
      <c r="A515" s="12" t="str">
        <f>IFERROR(__xludf.DUMMYFUNCTION("""COMPUTED_VALUE"""),"Batch 164")</f>
        <v>Batch 164</v>
      </c>
      <c r="B515" s="13" t="str">
        <f>IFERROR(__xludf.DUMMYFUNCTION("""COMPUTED_VALUE"""),"MohdC64")</f>
        <v>MohdC64</v>
      </c>
      <c r="C515" s="8">
        <f>IFERROR(__xludf.DUMMYFUNCTION("""COMPUTED_VALUE"""),0.0)</f>
        <v>0</v>
      </c>
      <c r="D515" s="8">
        <f>IFERROR(__xludf.DUMMYFUNCTION("""COMPUTED_VALUE"""),0.0)</f>
        <v>0</v>
      </c>
    </row>
    <row r="516">
      <c r="A516" s="12" t="str">
        <f>IFERROR(__xludf.DUMMYFUNCTION("""COMPUTED_VALUE"""),"Batch 164")</f>
        <v>Batch 164</v>
      </c>
      <c r="B516" s="13" t="str">
        <f>IFERROR(__xludf.DUMMYFUNCTION("""COMPUTED_VALUE"""),"TazinC64")</f>
        <v>TazinC64</v>
      </c>
      <c r="C516" s="8">
        <f>IFERROR(__xludf.DUMMYFUNCTION("""COMPUTED_VALUE"""),1.0)</f>
        <v>1</v>
      </c>
      <c r="D516" s="8">
        <f>IFERROR(__xludf.DUMMYFUNCTION("""COMPUTED_VALUE"""),0.0)</f>
        <v>0</v>
      </c>
    </row>
    <row r="517">
      <c r="A517" s="12" t="str">
        <f>IFERROR(__xludf.DUMMYFUNCTION("""COMPUTED_VALUE"""),"Batch 164")</f>
        <v>Batch 164</v>
      </c>
      <c r="B517" s="13" t="str">
        <f>IFERROR(__xludf.DUMMYFUNCTION("""COMPUTED_VALUE"""),"BhanuC64")</f>
        <v>BhanuC64</v>
      </c>
      <c r="C517" s="8">
        <f>IFERROR(__xludf.DUMMYFUNCTION("""COMPUTED_VALUE"""),0.0)</f>
        <v>0</v>
      </c>
      <c r="D517" s="8">
        <f>IFERROR(__xludf.DUMMYFUNCTION("""COMPUTED_VALUE"""),0.0)</f>
        <v>0</v>
      </c>
    </row>
    <row r="518">
      <c r="A518" s="12" t="str">
        <f>IFERROR(__xludf.DUMMYFUNCTION("""COMPUTED_VALUE"""),"Batch 164")</f>
        <v>Batch 164</v>
      </c>
      <c r="B518" s="13" t="str">
        <f>IFERROR(__xludf.DUMMYFUNCTION("""COMPUTED_VALUE"""),"KadamC64")</f>
        <v>KadamC64</v>
      </c>
      <c r="C518" s="8">
        <f>IFERROR(__xludf.DUMMYFUNCTION("""COMPUTED_VALUE"""),0.0)</f>
        <v>0</v>
      </c>
      <c r="D518" s="8">
        <f>IFERROR(__xludf.DUMMYFUNCTION("""COMPUTED_VALUE"""),0.0)</f>
        <v>0</v>
      </c>
    </row>
    <row r="519">
      <c r="A519" s="12" t="str">
        <f>IFERROR(__xludf.DUMMYFUNCTION("""COMPUTED_VALUE"""),"Batch 164")</f>
        <v>Batch 164</v>
      </c>
      <c r="B519" s="13" t="str">
        <f>IFERROR(__xludf.DUMMYFUNCTION("""COMPUTED_VALUE"""),"KOTAGIRIC64")</f>
        <v>KOTAGIRIC64</v>
      </c>
      <c r="C519" s="8">
        <f>IFERROR(__xludf.DUMMYFUNCTION("""COMPUTED_VALUE"""),0.0)</f>
        <v>0</v>
      </c>
      <c r="D519" s="8">
        <f>IFERROR(__xludf.DUMMYFUNCTION("""COMPUTED_VALUE"""),1.0)</f>
        <v>1</v>
      </c>
    </row>
    <row r="520">
      <c r="A520" s="12" t="str">
        <f>IFERROR(__xludf.DUMMYFUNCTION("""COMPUTED_VALUE"""),"Batch 164")</f>
        <v>Batch 164</v>
      </c>
      <c r="B520" s="13" t="str">
        <f>IFERROR(__xludf.DUMMYFUNCTION("""COMPUTED_VALUE"""),"SohomC64")</f>
        <v>SohomC64</v>
      </c>
      <c r="C520" s="8">
        <f>IFERROR(__xludf.DUMMYFUNCTION("""COMPUTED_VALUE"""),0.0)</f>
        <v>0</v>
      </c>
      <c r="D520" s="8">
        <f>IFERROR(__xludf.DUMMYFUNCTION("""COMPUTED_VALUE"""),0.0)</f>
        <v>0</v>
      </c>
    </row>
    <row r="521">
      <c r="A521" s="12" t="str">
        <f>IFERROR(__xludf.DUMMYFUNCTION("""COMPUTED_VALUE"""),"Batch 164")</f>
        <v>Batch 164</v>
      </c>
      <c r="B521" s="13" t="str">
        <f>IFERROR(__xludf.DUMMYFUNCTION("""COMPUTED_VALUE"""),"AjinsC64")</f>
        <v>AjinsC64</v>
      </c>
      <c r="C521" s="8">
        <f>IFERROR(__xludf.DUMMYFUNCTION("""COMPUTED_VALUE"""),0.0)</f>
        <v>0</v>
      </c>
      <c r="D521" s="8">
        <f>IFERROR(__xludf.DUMMYFUNCTION("""COMPUTED_VALUE"""),0.0)</f>
        <v>0</v>
      </c>
    </row>
    <row r="522">
      <c r="A522" s="12" t="str">
        <f>IFERROR(__xludf.DUMMYFUNCTION("""COMPUTED_VALUE"""),"Batch 164")</f>
        <v>Batch 164</v>
      </c>
      <c r="B522" s="13" t="str">
        <f>IFERROR(__xludf.DUMMYFUNCTION("""COMPUTED_VALUE"""),"binoyC64")</f>
        <v>binoyC64</v>
      </c>
      <c r="C522" s="8">
        <f>IFERROR(__xludf.DUMMYFUNCTION("""COMPUTED_VALUE"""),0.0)</f>
        <v>0</v>
      </c>
      <c r="D522" s="8">
        <f>IFERROR(__xludf.DUMMYFUNCTION("""COMPUTED_VALUE"""),0.0)</f>
        <v>0</v>
      </c>
    </row>
    <row r="523">
      <c r="A523" s="12" t="str">
        <f>IFERROR(__xludf.DUMMYFUNCTION("""COMPUTED_VALUE"""),"Batch 164")</f>
        <v>Batch 164</v>
      </c>
      <c r="B523" s="13" t="str">
        <f>IFERROR(__xludf.DUMMYFUNCTION("""COMPUTED_VALUE"""),"AKANKSHAC64")</f>
        <v>AKANKSHAC64</v>
      </c>
      <c r="C523" s="8">
        <f>IFERROR(__xludf.DUMMYFUNCTION("""COMPUTED_VALUE"""),0.0)</f>
        <v>0</v>
      </c>
      <c r="D523" s="8">
        <f>IFERROR(__xludf.DUMMYFUNCTION("""COMPUTED_VALUE"""),0.0)</f>
        <v>0</v>
      </c>
    </row>
    <row r="524">
      <c r="A524" s="12" t="str">
        <f>IFERROR(__xludf.DUMMYFUNCTION("""COMPUTED_VALUE"""),"Batch 164")</f>
        <v>Batch 164</v>
      </c>
      <c r="B524" s="13" t="str">
        <f>IFERROR(__xludf.DUMMYFUNCTION("""COMPUTED_VALUE"""),"VimalC64")</f>
        <v>VimalC64</v>
      </c>
      <c r="C524" s="8">
        <f>IFERROR(__xludf.DUMMYFUNCTION("""COMPUTED_VALUE"""),0.0)</f>
        <v>0</v>
      </c>
      <c r="D524" s="8">
        <f>IFERROR(__xludf.DUMMYFUNCTION("""COMPUTED_VALUE"""),0.0)</f>
        <v>0</v>
      </c>
    </row>
    <row r="525">
      <c r="A525" s="12" t="str">
        <f>IFERROR(__xludf.DUMMYFUNCTION("""COMPUTED_VALUE"""),"Batch 164")</f>
        <v>Batch 164</v>
      </c>
      <c r="B525" s="13" t="str">
        <f>IFERROR(__xludf.DUMMYFUNCTION("""COMPUTED_VALUE"""),"MohidC64")</f>
        <v>MohidC64</v>
      </c>
      <c r="C525" s="8">
        <f>IFERROR(__xludf.DUMMYFUNCTION("""COMPUTED_VALUE"""),1.0)</f>
        <v>1</v>
      </c>
      <c r="D525" s="8">
        <f>IFERROR(__xludf.DUMMYFUNCTION("""COMPUTED_VALUE"""),0.0)</f>
        <v>0</v>
      </c>
    </row>
    <row r="526">
      <c r="A526" s="12" t="str">
        <f>IFERROR(__xludf.DUMMYFUNCTION("""COMPUTED_VALUE"""),"Batch 164")</f>
        <v>Batch 164</v>
      </c>
      <c r="B526" s="13" t="str">
        <f>IFERROR(__xludf.DUMMYFUNCTION("""COMPUTED_VALUE"""),"VishakhaC64")</f>
        <v>VishakhaC64</v>
      </c>
      <c r="C526" s="8">
        <f>IFERROR(__xludf.DUMMYFUNCTION("""COMPUTED_VALUE"""),0.0)</f>
        <v>0</v>
      </c>
      <c r="D526" s="8">
        <f>IFERROR(__xludf.DUMMYFUNCTION("""COMPUTED_VALUE"""),0.0)</f>
        <v>0</v>
      </c>
    </row>
    <row r="527">
      <c r="A527" s="12" t="str">
        <f>IFERROR(__xludf.DUMMYFUNCTION("""COMPUTED_VALUE"""),"Batch 164")</f>
        <v>Batch 164</v>
      </c>
      <c r="B527" s="13" t="str">
        <f>IFERROR(__xludf.DUMMYFUNCTION("""COMPUTED_VALUE"""),"SANDHIYAC64")</f>
        <v>SANDHIYAC64</v>
      </c>
      <c r="C527" s="8">
        <f>IFERROR(__xludf.DUMMYFUNCTION("""COMPUTED_VALUE"""),0.0)</f>
        <v>0</v>
      </c>
      <c r="D527" s="8">
        <f>IFERROR(__xludf.DUMMYFUNCTION("""COMPUTED_VALUE"""),0.0)</f>
        <v>0</v>
      </c>
    </row>
    <row r="528">
      <c r="A528" s="12" t="str">
        <f>IFERROR(__xludf.DUMMYFUNCTION("""COMPUTED_VALUE"""),"Batch 164")</f>
        <v>Batch 164</v>
      </c>
      <c r="B528" s="13" t="str">
        <f>IFERROR(__xludf.DUMMYFUNCTION("""COMPUTED_VALUE"""),"ThakurC64")</f>
        <v>ThakurC64</v>
      </c>
      <c r="C528" s="8">
        <f>IFERROR(__xludf.DUMMYFUNCTION("""COMPUTED_VALUE"""),0.0)</f>
        <v>0</v>
      </c>
      <c r="D528" s="8">
        <f>IFERROR(__xludf.DUMMYFUNCTION("""COMPUTED_VALUE"""),0.0)</f>
        <v>0</v>
      </c>
    </row>
    <row r="529">
      <c r="A529" s="12" t="str">
        <f>IFERROR(__xludf.DUMMYFUNCTION("""COMPUTED_VALUE"""),"Batch 164")</f>
        <v>Batch 164</v>
      </c>
      <c r="B529" s="13" t="str">
        <f>IFERROR(__xludf.DUMMYFUNCTION("""COMPUTED_VALUE"""),"DishitaC64")</f>
        <v>DishitaC64</v>
      </c>
      <c r="C529" s="8">
        <f>IFERROR(__xludf.DUMMYFUNCTION("""COMPUTED_VALUE"""),0.0)</f>
        <v>0</v>
      </c>
      <c r="D529" s="8">
        <f>IFERROR(__xludf.DUMMYFUNCTION("""COMPUTED_VALUE"""),0.0)</f>
        <v>0</v>
      </c>
    </row>
    <row r="530">
      <c r="A530" s="12" t="str">
        <f>IFERROR(__xludf.DUMMYFUNCTION("""COMPUTED_VALUE"""),"Batch 164")</f>
        <v>Batch 164</v>
      </c>
      <c r="B530" s="13" t="str">
        <f>IFERROR(__xludf.DUMMYFUNCTION("""COMPUTED_VALUE"""),"PriyamC64")</f>
        <v>PriyamC64</v>
      </c>
      <c r="C530" s="8">
        <f>IFERROR(__xludf.DUMMYFUNCTION("""COMPUTED_VALUE"""),0.0)</f>
        <v>0</v>
      </c>
      <c r="D530" s="8">
        <f>IFERROR(__xludf.DUMMYFUNCTION("""COMPUTED_VALUE"""),0.0)</f>
        <v>0</v>
      </c>
    </row>
    <row r="531">
      <c r="A531" s="12" t="str">
        <f>IFERROR(__xludf.DUMMYFUNCTION("""COMPUTED_VALUE"""),"Batch 164")</f>
        <v>Batch 164</v>
      </c>
      <c r="B531" s="13" t="str">
        <f>IFERROR(__xludf.DUMMYFUNCTION("""COMPUTED_VALUE"""),"GopathiC64")</f>
        <v>GopathiC64</v>
      </c>
      <c r="C531" s="8">
        <f>IFERROR(__xludf.DUMMYFUNCTION("""COMPUTED_VALUE"""),0.0)</f>
        <v>0</v>
      </c>
      <c r="D531" s="8">
        <f>IFERROR(__xludf.DUMMYFUNCTION("""COMPUTED_VALUE"""),0.0)</f>
        <v>0</v>
      </c>
    </row>
    <row r="532">
      <c r="A532" s="12" t="str">
        <f>IFERROR(__xludf.DUMMYFUNCTION("""COMPUTED_VALUE"""),"Batch 164")</f>
        <v>Batch 164</v>
      </c>
      <c r="B532" s="13" t="str">
        <f>IFERROR(__xludf.DUMMYFUNCTION("""COMPUTED_VALUE"""),"MohdC64")</f>
        <v>MohdC64</v>
      </c>
      <c r="C532" s="8">
        <f>IFERROR(__xludf.DUMMYFUNCTION("""COMPUTED_VALUE"""),0.0)</f>
        <v>0</v>
      </c>
      <c r="D532" s="8">
        <f>IFERROR(__xludf.DUMMYFUNCTION("""COMPUTED_VALUE"""),0.0)</f>
        <v>0</v>
      </c>
    </row>
    <row r="533">
      <c r="A533" s="12" t="str">
        <f>IFERROR(__xludf.DUMMYFUNCTION("""COMPUTED_VALUE"""),"Batch 164")</f>
        <v>Batch 164</v>
      </c>
      <c r="B533" s="13" t="str">
        <f>IFERROR(__xludf.DUMMYFUNCTION("""COMPUTED_VALUE"""),"PoojaC64")</f>
        <v>PoojaC64</v>
      </c>
      <c r="C533" s="8">
        <f>IFERROR(__xludf.DUMMYFUNCTION("""COMPUTED_VALUE"""),0.0)</f>
        <v>0</v>
      </c>
      <c r="D533" s="8">
        <f>IFERROR(__xludf.DUMMYFUNCTION("""COMPUTED_VALUE"""),0.0)</f>
        <v>0</v>
      </c>
    </row>
    <row r="534">
      <c r="A534" s="12" t="str">
        <f>IFERROR(__xludf.DUMMYFUNCTION("""COMPUTED_VALUE"""),"Batch 164")</f>
        <v>Batch 164</v>
      </c>
      <c r="B534" s="13" t="str">
        <f>IFERROR(__xludf.DUMMYFUNCTION("""COMPUTED_VALUE"""),"KhushiC64")</f>
        <v>KhushiC64</v>
      </c>
      <c r="C534" s="8">
        <f>IFERROR(__xludf.DUMMYFUNCTION("""COMPUTED_VALUE"""),0.0)</f>
        <v>0</v>
      </c>
      <c r="D534" s="8">
        <f>IFERROR(__xludf.DUMMYFUNCTION("""COMPUTED_VALUE"""),0.0)</f>
        <v>0</v>
      </c>
    </row>
    <row r="535">
      <c r="A535" s="12" t="str">
        <f>IFERROR(__xludf.DUMMYFUNCTION("""COMPUTED_VALUE"""),"Batch 164")</f>
        <v>Batch 164</v>
      </c>
      <c r="B535" s="13" t="str">
        <f>IFERROR(__xludf.DUMMYFUNCTION("""COMPUTED_VALUE"""),"SnehaC64")</f>
        <v>SnehaC64</v>
      </c>
      <c r="C535" s="8">
        <f>IFERROR(__xludf.DUMMYFUNCTION("""COMPUTED_VALUE"""),0.0)</f>
        <v>0</v>
      </c>
      <c r="D535" s="8">
        <f>IFERROR(__xludf.DUMMYFUNCTION("""COMPUTED_VALUE"""),0.0)</f>
        <v>0</v>
      </c>
    </row>
    <row r="536">
      <c r="A536" s="12" t="str">
        <f>IFERROR(__xludf.DUMMYFUNCTION("""COMPUTED_VALUE"""),"Batch 164")</f>
        <v>Batch 164</v>
      </c>
      <c r="B536" s="13" t="str">
        <f>IFERROR(__xludf.DUMMYFUNCTION("""COMPUTED_VALUE"""),"PramodC64")</f>
        <v>PramodC64</v>
      </c>
      <c r="C536" s="8">
        <f>IFERROR(__xludf.DUMMYFUNCTION("""COMPUTED_VALUE"""),0.0)</f>
        <v>0</v>
      </c>
      <c r="D536" s="8">
        <f>IFERROR(__xludf.DUMMYFUNCTION("""COMPUTED_VALUE"""),0.0)</f>
        <v>0</v>
      </c>
    </row>
    <row r="537">
      <c r="A537" s="12" t="str">
        <f>IFERROR(__xludf.DUMMYFUNCTION("""COMPUTED_VALUE"""),"Batch 164")</f>
        <v>Batch 164</v>
      </c>
      <c r="B537" s="13" t="str">
        <f>IFERROR(__xludf.DUMMYFUNCTION("""COMPUTED_VALUE"""),"KrishnenduC64")</f>
        <v>KrishnenduC64</v>
      </c>
      <c r="C537" s="8">
        <f>IFERROR(__xludf.DUMMYFUNCTION("""COMPUTED_VALUE"""),0.0)</f>
        <v>0</v>
      </c>
      <c r="D537" s="8">
        <f>IFERROR(__xludf.DUMMYFUNCTION("""COMPUTED_VALUE"""),0.0)</f>
        <v>0</v>
      </c>
    </row>
    <row r="538">
      <c r="A538" s="12" t="str">
        <f>IFERROR(__xludf.DUMMYFUNCTION("""COMPUTED_VALUE"""),"Batch 164")</f>
        <v>Batch 164</v>
      </c>
      <c r="B538" s="13" t="str">
        <f>IFERROR(__xludf.DUMMYFUNCTION("""COMPUTED_VALUE"""),"DuppalaC64")</f>
        <v>DuppalaC64</v>
      </c>
      <c r="C538" s="8">
        <f>IFERROR(__xludf.DUMMYFUNCTION("""COMPUTED_VALUE"""),0.0)</f>
        <v>0</v>
      </c>
      <c r="D538" s="8">
        <f>IFERROR(__xludf.DUMMYFUNCTION("""COMPUTED_VALUE"""),0.0)</f>
        <v>0</v>
      </c>
    </row>
    <row r="539">
      <c r="A539" s="12" t="str">
        <f>IFERROR(__xludf.DUMMYFUNCTION("""COMPUTED_VALUE"""),"Batch 164")</f>
        <v>Batch 164</v>
      </c>
      <c r="B539" s="13" t="str">
        <f>IFERROR(__xludf.DUMMYFUNCTION("""COMPUTED_VALUE"""),"BidishaC64")</f>
        <v>BidishaC64</v>
      </c>
      <c r="C539" s="8">
        <f>IFERROR(__xludf.DUMMYFUNCTION("""COMPUTED_VALUE"""),0.0)</f>
        <v>0</v>
      </c>
      <c r="D539" s="8">
        <f>IFERROR(__xludf.DUMMYFUNCTION("""COMPUTED_VALUE"""),0.0)</f>
        <v>0</v>
      </c>
    </row>
    <row r="540">
      <c r="A540" s="12"/>
      <c r="B540" s="13"/>
      <c r="C540" s="8">
        <f>IFERROR(__xludf.DUMMYFUNCTION("""COMPUTED_VALUE"""),0.0)</f>
        <v>0</v>
      </c>
      <c r="D540" s="8"/>
    </row>
    <row r="541">
      <c r="A541" s="12" t="str">
        <f>IFERROR(__xludf.DUMMYFUNCTION("""COMPUTED_VALUE"""),"Batch 165")</f>
        <v>Batch 165</v>
      </c>
      <c r="B541" s="13" t="str">
        <f>IFERROR(__xludf.DUMMYFUNCTION("""COMPUTED_VALUE"""),"ManishC65")</f>
        <v>ManishC65</v>
      </c>
      <c r="C541" s="8">
        <f>IFERROR(__xludf.DUMMYFUNCTION("""COMPUTED_VALUE"""),0.0)</f>
        <v>0</v>
      </c>
      <c r="D541" s="8">
        <f>IFERROR(__xludf.DUMMYFUNCTION("""COMPUTED_VALUE"""),0.0)</f>
        <v>0</v>
      </c>
    </row>
    <row r="542">
      <c r="A542" s="12" t="str">
        <f>IFERROR(__xludf.DUMMYFUNCTION("""COMPUTED_VALUE"""),"Batch 165")</f>
        <v>Batch 165</v>
      </c>
      <c r="B542" s="13" t="str">
        <f>IFERROR(__xludf.DUMMYFUNCTION("""COMPUTED_VALUE"""),"ShreyaC65")</f>
        <v>ShreyaC65</v>
      </c>
      <c r="C542" s="8">
        <f>IFERROR(__xludf.DUMMYFUNCTION("""COMPUTED_VALUE"""),0.0)</f>
        <v>0</v>
      </c>
      <c r="D542" s="8">
        <f>IFERROR(__xludf.DUMMYFUNCTION("""COMPUTED_VALUE"""),0.0)</f>
        <v>0</v>
      </c>
    </row>
    <row r="543">
      <c r="A543" s="12" t="str">
        <f>IFERROR(__xludf.DUMMYFUNCTION("""COMPUTED_VALUE"""),"Batch 165")</f>
        <v>Batch 165</v>
      </c>
      <c r="B543" s="13" t="str">
        <f>IFERROR(__xludf.DUMMYFUNCTION("""COMPUTED_VALUE"""),"SayedC65")</f>
        <v>SayedC65</v>
      </c>
      <c r="C543" s="8">
        <f>IFERROR(__xludf.DUMMYFUNCTION("""COMPUTED_VALUE"""),0.0)</f>
        <v>0</v>
      </c>
      <c r="D543" s="8">
        <f>IFERROR(__xludf.DUMMYFUNCTION("""COMPUTED_VALUE"""),0.0)</f>
        <v>0</v>
      </c>
    </row>
    <row r="544">
      <c r="A544" s="12" t="str">
        <f>IFERROR(__xludf.DUMMYFUNCTION("""COMPUTED_VALUE"""),"Batch 165")</f>
        <v>Batch 165</v>
      </c>
      <c r="B544" s="13" t="str">
        <f>IFERROR(__xludf.DUMMYFUNCTION("""COMPUTED_VALUE"""),"AkashdeepC65")</f>
        <v>AkashdeepC65</v>
      </c>
      <c r="C544" s="8">
        <f>IFERROR(__xludf.DUMMYFUNCTION("""COMPUTED_VALUE"""),1.0)</f>
        <v>1</v>
      </c>
      <c r="D544" s="8">
        <f>IFERROR(__xludf.DUMMYFUNCTION("""COMPUTED_VALUE"""),0.0)</f>
        <v>0</v>
      </c>
    </row>
    <row r="545">
      <c r="A545" s="12" t="str">
        <f>IFERROR(__xludf.DUMMYFUNCTION("""COMPUTED_VALUE"""),"Batch 165")</f>
        <v>Batch 165</v>
      </c>
      <c r="B545" s="13" t="str">
        <f>IFERROR(__xludf.DUMMYFUNCTION("""COMPUTED_VALUE"""),"RajshriC65")</f>
        <v>RajshriC65</v>
      </c>
      <c r="C545" s="8">
        <f>IFERROR(__xludf.DUMMYFUNCTION("""COMPUTED_VALUE"""),0.0)</f>
        <v>0</v>
      </c>
      <c r="D545" s="8">
        <f>IFERROR(__xludf.DUMMYFUNCTION("""COMPUTED_VALUE"""),0.0)</f>
        <v>0</v>
      </c>
    </row>
    <row r="546">
      <c r="A546" s="12" t="str">
        <f>IFERROR(__xludf.DUMMYFUNCTION("""COMPUTED_VALUE"""),"Batch 165")</f>
        <v>Batch 165</v>
      </c>
      <c r="B546" s="13" t="str">
        <f>IFERROR(__xludf.DUMMYFUNCTION("""COMPUTED_VALUE"""),"RajshriC65")</f>
        <v>RajshriC65</v>
      </c>
      <c r="C546" s="8">
        <f>IFERROR(__xludf.DUMMYFUNCTION("""COMPUTED_VALUE"""),0.0)</f>
        <v>0</v>
      </c>
      <c r="D546" s="8">
        <f>IFERROR(__xludf.DUMMYFUNCTION("""COMPUTED_VALUE"""),0.0)</f>
        <v>0</v>
      </c>
    </row>
    <row r="547">
      <c r="A547" s="12" t="str">
        <f>IFERROR(__xludf.DUMMYFUNCTION("""COMPUTED_VALUE"""),"Batch 165")</f>
        <v>Batch 165</v>
      </c>
      <c r="B547" s="13" t="str">
        <f>IFERROR(__xludf.DUMMYFUNCTION("""COMPUTED_VALUE"""),"ChandanC65")</f>
        <v>ChandanC65</v>
      </c>
      <c r="C547" s="8">
        <f>IFERROR(__xludf.DUMMYFUNCTION("""COMPUTED_VALUE"""),0.0)</f>
        <v>0</v>
      </c>
      <c r="D547" s="8">
        <f>IFERROR(__xludf.DUMMYFUNCTION("""COMPUTED_VALUE"""),0.0)</f>
        <v>0</v>
      </c>
    </row>
    <row r="548">
      <c r="A548" s="12" t="str">
        <f>IFERROR(__xludf.DUMMYFUNCTION("""COMPUTED_VALUE"""),"Batch 165")</f>
        <v>Batch 165</v>
      </c>
      <c r="B548" s="13" t="str">
        <f>IFERROR(__xludf.DUMMYFUNCTION("""COMPUTED_VALUE"""),"GundekariC65")</f>
        <v>GundekariC65</v>
      </c>
      <c r="C548" s="8">
        <f>IFERROR(__xludf.DUMMYFUNCTION("""COMPUTED_VALUE"""),0.0)</f>
        <v>0</v>
      </c>
      <c r="D548" s="8">
        <f>IFERROR(__xludf.DUMMYFUNCTION("""COMPUTED_VALUE"""),0.0)</f>
        <v>0</v>
      </c>
    </row>
    <row r="549">
      <c r="A549" s="12" t="str">
        <f>IFERROR(__xludf.DUMMYFUNCTION("""COMPUTED_VALUE"""),"Batch 165")</f>
        <v>Batch 165</v>
      </c>
      <c r="B549" s="13" t="str">
        <f>IFERROR(__xludf.DUMMYFUNCTION("""COMPUTED_VALUE"""),"SagarC65")</f>
        <v>SagarC65</v>
      </c>
      <c r="C549" s="8">
        <f>IFERROR(__xludf.DUMMYFUNCTION("""COMPUTED_VALUE"""),0.0)</f>
        <v>0</v>
      </c>
      <c r="D549" s="8">
        <f>IFERROR(__xludf.DUMMYFUNCTION("""COMPUTED_VALUE"""),0.0)</f>
        <v>0</v>
      </c>
    </row>
    <row r="550">
      <c r="A550" s="12" t="str">
        <f>IFERROR(__xludf.DUMMYFUNCTION("""COMPUTED_VALUE"""),"Batch 165")</f>
        <v>Batch 165</v>
      </c>
      <c r="B550" s="13" t="str">
        <f>IFERROR(__xludf.DUMMYFUNCTION("""COMPUTED_VALUE"""),"RohitC65")</f>
        <v>RohitC65</v>
      </c>
      <c r="C550" s="8">
        <f>IFERROR(__xludf.DUMMYFUNCTION("""COMPUTED_VALUE"""),0.0)</f>
        <v>0</v>
      </c>
      <c r="D550" s="8">
        <f>IFERROR(__xludf.DUMMYFUNCTION("""COMPUTED_VALUE"""),0.0)</f>
        <v>0</v>
      </c>
    </row>
    <row r="551">
      <c r="A551" s="12" t="str">
        <f>IFERROR(__xludf.DUMMYFUNCTION("""COMPUTED_VALUE"""),"Batch 165")</f>
        <v>Batch 165</v>
      </c>
      <c r="B551" s="13" t="str">
        <f>IFERROR(__xludf.DUMMYFUNCTION("""COMPUTED_VALUE"""),"UmeshC65")</f>
        <v>UmeshC65</v>
      </c>
      <c r="C551" s="8">
        <f>IFERROR(__xludf.DUMMYFUNCTION("""COMPUTED_VALUE"""),0.0)</f>
        <v>0</v>
      </c>
      <c r="D551" s="8">
        <f>IFERROR(__xludf.DUMMYFUNCTION("""COMPUTED_VALUE"""),0.0)</f>
        <v>0</v>
      </c>
    </row>
    <row r="552">
      <c r="A552" s="12" t="str">
        <f>IFERROR(__xludf.DUMMYFUNCTION("""COMPUTED_VALUE"""),"Batch 165")</f>
        <v>Batch 165</v>
      </c>
      <c r="B552" s="13" t="str">
        <f>IFERROR(__xludf.DUMMYFUNCTION("""COMPUTED_VALUE"""),"AbhijeetC65")</f>
        <v>AbhijeetC65</v>
      </c>
      <c r="C552" s="8">
        <f>IFERROR(__xludf.DUMMYFUNCTION("""COMPUTED_VALUE"""),0.0)</f>
        <v>0</v>
      </c>
      <c r="D552" s="8">
        <f>IFERROR(__xludf.DUMMYFUNCTION("""COMPUTED_VALUE"""),0.0)</f>
        <v>0</v>
      </c>
    </row>
    <row r="553">
      <c r="A553" s="12" t="str">
        <f>IFERROR(__xludf.DUMMYFUNCTION("""COMPUTED_VALUE"""),"Batch 165")</f>
        <v>Batch 165</v>
      </c>
      <c r="B553" s="13" t="str">
        <f>IFERROR(__xludf.DUMMYFUNCTION("""COMPUTED_VALUE"""),"GunasekaranC65")</f>
        <v>GunasekaranC65</v>
      </c>
      <c r="C553" s="8">
        <f>IFERROR(__xludf.DUMMYFUNCTION("""COMPUTED_VALUE"""),7.0)</f>
        <v>7</v>
      </c>
      <c r="D553" s="8">
        <f>IFERROR(__xludf.DUMMYFUNCTION("""COMPUTED_VALUE"""),2.0)</f>
        <v>2</v>
      </c>
    </row>
    <row r="554">
      <c r="A554" s="12" t="str">
        <f>IFERROR(__xludf.DUMMYFUNCTION("""COMPUTED_VALUE"""),"Batch 165")</f>
        <v>Batch 165</v>
      </c>
      <c r="B554" s="13" t="str">
        <f>IFERROR(__xludf.DUMMYFUNCTION("""COMPUTED_VALUE"""),"SandhyaC65")</f>
        <v>SandhyaC65</v>
      </c>
      <c r="C554" s="8">
        <f>IFERROR(__xludf.DUMMYFUNCTION("""COMPUTED_VALUE"""),0.0)</f>
        <v>0</v>
      </c>
      <c r="D554" s="8">
        <f>IFERROR(__xludf.DUMMYFUNCTION("""COMPUTED_VALUE"""),0.0)</f>
        <v>0</v>
      </c>
    </row>
    <row r="555">
      <c r="A555" s="12" t="str">
        <f>IFERROR(__xludf.DUMMYFUNCTION("""COMPUTED_VALUE"""),"Batch 165")</f>
        <v>Batch 165</v>
      </c>
      <c r="B555" s="13" t="str">
        <f>IFERROR(__xludf.DUMMYFUNCTION("""COMPUTED_VALUE"""),"AyushC65")</f>
        <v>AyushC65</v>
      </c>
      <c r="C555" s="8">
        <f>IFERROR(__xludf.DUMMYFUNCTION("""COMPUTED_VALUE"""),0.0)</f>
        <v>0</v>
      </c>
      <c r="D555" s="8">
        <f>IFERROR(__xludf.DUMMYFUNCTION("""COMPUTED_VALUE"""),0.0)</f>
        <v>0</v>
      </c>
    </row>
    <row r="556">
      <c r="A556" s="12" t="str">
        <f>IFERROR(__xludf.DUMMYFUNCTION("""COMPUTED_VALUE"""),"Batch 165")</f>
        <v>Batch 165</v>
      </c>
      <c r="B556" s="13" t="str">
        <f>IFERROR(__xludf.DUMMYFUNCTION("""COMPUTED_VALUE"""),"AvniC65")</f>
        <v>AvniC65</v>
      </c>
      <c r="C556" s="8">
        <f>IFERROR(__xludf.DUMMYFUNCTION("""COMPUTED_VALUE"""),0.0)</f>
        <v>0</v>
      </c>
      <c r="D556" s="8">
        <f>IFERROR(__xludf.DUMMYFUNCTION("""COMPUTED_VALUE"""),0.0)</f>
        <v>0</v>
      </c>
    </row>
    <row r="557">
      <c r="A557" s="12" t="str">
        <f>IFERROR(__xludf.DUMMYFUNCTION("""COMPUTED_VALUE"""),"Batch 165")</f>
        <v>Batch 165</v>
      </c>
      <c r="B557" s="13" t="str">
        <f>IFERROR(__xludf.DUMMYFUNCTION("""COMPUTED_VALUE"""),"PranavC65")</f>
        <v>PranavC65</v>
      </c>
      <c r="C557" s="8">
        <f>IFERROR(__xludf.DUMMYFUNCTION("""COMPUTED_VALUE"""),0.0)</f>
        <v>0</v>
      </c>
      <c r="D557" s="8">
        <f>IFERROR(__xludf.DUMMYFUNCTION("""COMPUTED_VALUE"""),0.0)</f>
        <v>0</v>
      </c>
    </row>
    <row r="558">
      <c r="A558" s="12" t="str">
        <f>IFERROR(__xludf.DUMMYFUNCTION("""COMPUTED_VALUE"""),"Batch 165")</f>
        <v>Batch 165</v>
      </c>
      <c r="B558" s="13" t="str">
        <f>IFERROR(__xludf.DUMMYFUNCTION("""COMPUTED_VALUE"""),"ShrishtiC65")</f>
        <v>ShrishtiC65</v>
      </c>
      <c r="C558" s="8">
        <f>IFERROR(__xludf.DUMMYFUNCTION("""COMPUTED_VALUE"""),0.0)</f>
        <v>0</v>
      </c>
      <c r="D558" s="8">
        <f>IFERROR(__xludf.DUMMYFUNCTION("""COMPUTED_VALUE"""),0.0)</f>
        <v>0</v>
      </c>
    </row>
    <row r="559">
      <c r="A559" s="12" t="str">
        <f>IFERROR(__xludf.DUMMYFUNCTION("""COMPUTED_VALUE"""),"Batch 165")</f>
        <v>Batch 165</v>
      </c>
      <c r="B559" s="13" t="str">
        <f>IFERROR(__xludf.DUMMYFUNCTION("""COMPUTED_VALUE"""),"SambuC65")</f>
        <v>SambuC65</v>
      </c>
      <c r="C559" s="8">
        <f>IFERROR(__xludf.DUMMYFUNCTION("""COMPUTED_VALUE"""),3.0)</f>
        <v>3</v>
      </c>
      <c r="D559" s="8">
        <f>IFERROR(__xludf.DUMMYFUNCTION("""COMPUTED_VALUE"""),3.0)</f>
        <v>3</v>
      </c>
    </row>
    <row r="560">
      <c r="A560" s="12" t="str">
        <f>IFERROR(__xludf.DUMMYFUNCTION("""COMPUTED_VALUE"""),"Batch 165")</f>
        <v>Batch 165</v>
      </c>
      <c r="B560" s="13" t="str">
        <f>IFERROR(__xludf.DUMMYFUNCTION("""COMPUTED_VALUE"""),"ArsalC65")</f>
        <v>ArsalC65</v>
      </c>
      <c r="C560" s="8">
        <f>IFERROR(__xludf.DUMMYFUNCTION("""COMPUTED_VALUE"""),1.0)</f>
        <v>1</v>
      </c>
      <c r="D560" s="8">
        <f>IFERROR(__xludf.DUMMYFUNCTION("""COMPUTED_VALUE"""),0.0)</f>
        <v>0</v>
      </c>
    </row>
    <row r="561">
      <c r="A561" s="12" t="str">
        <f>IFERROR(__xludf.DUMMYFUNCTION("""COMPUTED_VALUE"""),"Batch 165")</f>
        <v>Batch 165</v>
      </c>
      <c r="B561" s="13" t="str">
        <f>IFERROR(__xludf.DUMMYFUNCTION("""COMPUTED_VALUE"""),"Sumanth.C65")</f>
        <v>Sumanth.C65</v>
      </c>
      <c r="C561" s="8">
        <f>IFERROR(__xludf.DUMMYFUNCTION("""COMPUTED_VALUE"""),0.0)</f>
        <v>0</v>
      </c>
      <c r="D561" s="8">
        <f>IFERROR(__xludf.DUMMYFUNCTION("""COMPUTED_VALUE"""),0.0)</f>
        <v>0</v>
      </c>
    </row>
    <row r="562">
      <c r="A562" s="12" t="str">
        <f>IFERROR(__xludf.DUMMYFUNCTION("""COMPUTED_VALUE"""),"Batch 165")</f>
        <v>Batch 165</v>
      </c>
      <c r="B562" s="13" t="str">
        <f>IFERROR(__xludf.DUMMYFUNCTION("""COMPUTED_VALUE"""),"HimanshuC65")</f>
        <v>HimanshuC65</v>
      </c>
      <c r="C562" s="8">
        <f>IFERROR(__xludf.DUMMYFUNCTION("""COMPUTED_VALUE"""),0.0)</f>
        <v>0</v>
      </c>
      <c r="D562" s="8">
        <f>IFERROR(__xludf.DUMMYFUNCTION("""COMPUTED_VALUE"""),0.0)</f>
        <v>0</v>
      </c>
    </row>
    <row r="563">
      <c r="A563" s="12" t="str">
        <f>IFERROR(__xludf.DUMMYFUNCTION("""COMPUTED_VALUE"""),"Batch 165")</f>
        <v>Batch 165</v>
      </c>
      <c r="B563" s="13" t="str">
        <f>IFERROR(__xludf.DUMMYFUNCTION("""COMPUTED_VALUE"""),"NiteshC65")</f>
        <v>NiteshC65</v>
      </c>
      <c r="C563" s="8">
        <f>IFERROR(__xludf.DUMMYFUNCTION("""COMPUTED_VALUE"""),0.0)</f>
        <v>0</v>
      </c>
      <c r="D563" s="8">
        <f>IFERROR(__xludf.DUMMYFUNCTION("""COMPUTED_VALUE"""),0.0)</f>
        <v>0</v>
      </c>
    </row>
    <row r="564">
      <c r="A564" s="12" t="str">
        <f>IFERROR(__xludf.DUMMYFUNCTION("""COMPUTED_VALUE"""),"Batch 165")</f>
        <v>Batch 165</v>
      </c>
      <c r="B564" s="13" t="str">
        <f>IFERROR(__xludf.DUMMYFUNCTION("""COMPUTED_VALUE"""),"IshikaC65")</f>
        <v>IshikaC65</v>
      </c>
      <c r="C564" s="8">
        <f>IFERROR(__xludf.DUMMYFUNCTION("""COMPUTED_VALUE"""),0.0)</f>
        <v>0</v>
      </c>
      <c r="D564" s="8">
        <f>IFERROR(__xludf.DUMMYFUNCTION("""COMPUTED_VALUE"""),0.0)</f>
        <v>0</v>
      </c>
    </row>
    <row r="565">
      <c r="A565" s="12" t="str">
        <f>IFERROR(__xludf.DUMMYFUNCTION("""COMPUTED_VALUE"""),"Batch 165")</f>
        <v>Batch 165</v>
      </c>
      <c r="B565" s="13" t="str">
        <f>IFERROR(__xludf.DUMMYFUNCTION("""COMPUTED_VALUE"""),"SristiC65")</f>
        <v>SristiC65</v>
      </c>
      <c r="C565" s="8">
        <f>IFERROR(__xludf.DUMMYFUNCTION("""COMPUTED_VALUE"""),0.0)</f>
        <v>0</v>
      </c>
      <c r="D565" s="8">
        <f>IFERROR(__xludf.DUMMYFUNCTION("""COMPUTED_VALUE"""),0.0)</f>
        <v>0</v>
      </c>
    </row>
    <row r="566">
      <c r="A566" s="12" t="str">
        <f>IFERROR(__xludf.DUMMYFUNCTION("""COMPUTED_VALUE"""),"Batch 165")</f>
        <v>Batch 165</v>
      </c>
      <c r="B566" s="13" t="str">
        <f>IFERROR(__xludf.DUMMYFUNCTION("""COMPUTED_VALUE"""),"RajC65")</f>
        <v>RajC65</v>
      </c>
      <c r="C566" s="8">
        <f>IFERROR(__xludf.DUMMYFUNCTION("""COMPUTED_VALUE"""),0.0)</f>
        <v>0</v>
      </c>
      <c r="D566" s="8">
        <f>IFERROR(__xludf.DUMMYFUNCTION("""COMPUTED_VALUE"""),0.0)</f>
        <v>0</v>
      </c>
    </row>
    <row r="567">
      <c r="A567" s="12" t="str">
        <f>IFERROR(__xludf.DUMMYFUNCTION("""COMPUTED_VALUE"""),"Batch 165")</f>
        <v>Batch 165</v>
      </c>
      <c r="B567" s="13" t="str">
        <f>IFERROR(__xludf.DUMMYFUNCTION("""COMPUTED_VALUE"""),"KritiC65")</f>
        <v>KritiC65</v>
      </c>
      <c r="C567" s="8">
        <f>IFERROR(__xludf.DUMMYFUNCTION("""COMPUTED_VALUE"""),1.0)</f>
        <v>1</v>
      </c>
      <c r="D567" s="8">
        <f>IFERROR(__xludf.DUMMYFUNCTION("""COMPUTED_VALUE"""),0.0)</f>
        <v>0</v>
      </c>
    </row>
    <row r="568">
      <c r="A568" s="12" t="str">
        <f>IFERROR(__xludf.DUMMYFUNCTION("""COMPUTED_VALUE"""),"Batch 165")</f>
        <v>Batch 165</v>
      </c>
      <c r="B568" s="13" t="str">
        <f>IFERROR(__xludf.DUMMYFUNCTION("""COMPUTED_VALUE"""),"MannetiC65")</f>
        <v>MannetiC65</v>
      </c>
      <c r="C568" s="8">
        <f>IFERROR(__xludf.DUMMYFUNCTION("""COMPUTED_VALUE"""),0.0)</f>
        <v>0</v>
      </c>
      <c r="D568" s="8">
        <f>IFERROR(__xludf.DUMMYFUNCTION("""COMPUTED_VALUE"""),0.0)</f>
        <v>0</v>
      </c>
    </row>
    <row r="569">
      <c r="A569" s="12" t="str">
        <f>IFERROR(__xludf.DUMMYFUNCTION("""COMPUTED_VALUE"""),"Batch 165")</f>
        <v>Batch 165</v>
      </c>
      <c r="B569" s="13" t="str">
        <f>IFERROR(__xludf.DUMMYFUNCTION("""COMPUTED_VALUE"""),"RahulC65")</f>
        <v>RahulC65</v>
      </c>
      <c r="C569" s="8">
        <f>IFERROR(__xludf.DUMMYFUNCTION("""COMPUTED_VALUE"""),0.0)</f>
        <v>0</v>
      </c>
      <c r="D569" s="8">
        <f>IFERROR(__xludf.DUMMYFUNCTION("""COMPUTED_VALUE"""),0.0)</f>
        <v>0</v>
      </c>
    </row>
    <row r="570">
      <c r="A570" s="12" t="str">
        <f>IFERROR(__xludf.DUMMYFUNCTION("""COMPUTED_VALUE"""),"Batch 165")</f>
        <v>Batch 165</v>
      </c>
      <c r="B570" s="13" t="str">
        <f>IFERROR(__xludf.DUMMYFUNCTION("""COMPUTED_VALUE"""),"UditC65")</f>
        <v>UditC65</v>
      </c>
      <c r="C570" s="8">
        <f>IFERROR(__xludf.DUMMYFUNCTION("""COMPUTED_VALUE"""),3.0)</f>
        <v>3</v>
      </c>
      <c r="D570" s="8">
        <f>IFERROR(__xludf.DUMMYFUNCTION("""COMPUTED_VALUE"""),4.0)</f>
        <v>4</v>
      </c>
    </row>
    <row r="571">
      <c r="A571" s="12" t="str">
        <f>IFERROR(__xludf.DUMMYFUNCTION("""COMPUTED_VALUE"""),"Batch 165")</f>
        <v>Batch 165</v>
      </c>
      <c r="B571" s="13" t="str">
        <f>IFERROR(__xludf.DUMMYFUNCTION("""COMPUTED_VALUE"""),"HariomC65")</f>
        <v>HariomC65</v>
      </c>
      <c r="C571" s="8">
        <f>IFERROR(__xludf.DUMMYFUNCTION("""COMPUTED_VALUE"""),0.0)</f>
        <v>0</v>
      </c>
      <c r="D571" s="8">
        <f>IFERROR(__xludf.DUMMYFUNCTION("""COMPUTED_VALUE"""),0.0)</f>
        <v>0</v>
      </c>
    </row>
    <row r="572">
      <c r="A572" s="12" t="str">
        <f>IFERROR(__xludf.DUMMYFUNCTION("""COMPUTED_VALUE"""),"Batch 165")</f>
        <v>Batch 165</v>
      </c>
      <c r="B572" s="13" t="str">
        <f>IFERROR(__xludf.DUMMYFUNCTION("""COMPUTED_VALUE"""),"BishalC65")</f>
        <v>BishalC65</v>
      </c>
      <c r="C572" s="8">
        <f>IFERROR(__xludf.DUMMYFUNCTION("""COMPUTED_VALUE"""),0.0)</f>
        <v>0</v>
      </c>
      <c r="D572" s="8">
        <f>IFERROR(__xludf.DUMMYFUNCTION("""COMPUTED_VALUE"""),0.0)</f>
        <v>0</v>
      </c>
    </row>
    <row r="573">
      <c r="A573" s="12" t="str">
        <f>IFERROR(__xludf.DUMMYFUNCTION("""COMPUTED_VALUE"""),"Batch 165")</f>
        <v>Batch 165</v>
      </c>
      <c r="B573" s="13" t="str">
        <f>IFERROR(__xludf.DUMMYFUNCTION("""COMPUTED_VALUE"""),"AkashC65")</f>
        <v>AkashC65</v>
      </c>
      <c r="C573" s="8">
        <f>IFERROR(__xludf.DUMMYFUNCTION("""COMPUTED_VALUE"""),106.0)</f>
        <v>106</v>
      </c>
      <c r="D573" s="8">
        <f>IFERROR(__xludf.DUMMYFUNCTION("""COMPUTED_VALUE"""),10.0)</f>
        <v>10</v>
      </c>
    </row>
    <row r="574">
      <c r="A574" s="12" t="str">
        <f>IFERROR(__xludf.DUMMYFUNCTION("""COMPUTED_VALUE"""),"Batch 165")</f>
        <v>Batch 165</v>
      </c>
      <c r="B574" s="13" t="str">
        <f>IFERROR(__xludf.DUMMYFUNCTION("""COMPUTED_VALUE"""),"VivekC65")</f>
        <v>VivekC65</v>
      </c>
      <c r="C574" s="8">
        <f>IFERROR(__xludf.DUMMYFUNCTION("""COMPUTED_VALUE"""),0.0)</f>
        <v>0</v>
      </c>
      <c r="D574" s="8">
        <f>IFERROR(__xludf.DUMMYFUNCTION("""COMPUTED_VALUE"""),0.0)</f>
        <v>0</v>
      </c>
    </row>
    <row r="575">
      <c r="A575" s="12" t="str">
        <f>IFERROR(__xludf.DUMMYFUNCTION("""COMPUTED_VALUE"""),"Batch 165")</f>
        <v>Batch 165</v>
      </c>
      <c r="B575" s="13" t="str">
        <f>IFERROR(__xludf.DUMMYFUNCTION("""COMPUTED_VALUE"""),"SounakC65")</f>
        <v>SounakC65</v>
      </c>
      <c r="C575" s="8">
        <f>IFERROR(__xludf.DUMMYFUNCTION("""COMPUTED_VALUE"""),0.0)</f>
        <v>0</v>
      </c>
      <c r="D575" s="8">
        <f>IFERROR(__xludf.DUMMYFUNCTION("""COMPUTED_VALUE"""),0.0)</f>
        <v>0</v>
      </c>
    </row>
    <row r="576">
      <c r="A576" s="12" t="str">
        <f>IFERROR(__xludf.DUMMYFUNCTION("""COMPUTED_VALUE"""),"Batch 165")</f>
        <v>Batch 165</v>
      </c>
      <c r="B576" s="13" t="str">
        <f>IFERROR(__xludf.DUMMYFUNCTION("""COMPUTED_VALUE"""),"DivyaC65")</f>
        <v>DivyaC65</v>
      </c>
      <c r="C576" s="8">
        <f>IFERROR(__xludf.DUMMYFUNCTION("""COMPUTED_VALUE"""),0.0)</f>
        <v>0</v>
      </c>
      <c r="D576" s="8">
        <f>IFERROR(__xludf.DUMMYFUNCTION("""COMPUTED_VALUE"""),0.0)</f>
        <v>0</v>
      </c>
    </row>
    <row r="577">
      <c r="A577" s="12" t="str">
        <f>IFERROR(__xludf.DUMMYFUNCTION("""COMPUTED_VALUE"""),"Batch 165")</f>
        <v>Batch 165</v>
      </c>
      <c r="B577" s="13" t="str">
        <f>IFERROR(__xludf.DUMMYFUNCTION("""COMPUTED_VALUE"""),"SrujanC65")</f>
        <v>SrujanC65</v>
      </c>
      <c r="C577" s="8">
        <f>IFERROR(__xludf.DUMMYFUNCTION("""COMPUTED_VALUE"""),2.0)</f>
        <v>2</v>
      </c>
      <c r="D577" s="8">
        <f>IFERROR(__xludf.DUMMYFUNCTION("""COMPUTED_VALUE"""),0.0)</f>
        <v>0</v>
      </c>
    </row>
    <row r="578">
      <c r="A578" s="12" t="str">
        <f>IFERROR(__xludf.DUMMYFUNCTION("""COMPUTED_VALUE"""),"Batch 165")</f>
        <v>Batch 165</v>
      </c>
      <c r="B578" s="13" t="str">
        <f>IFERROR(__xludf.DUMMYFUNCTION("""COMPUTED_VALUE"""),"KotiC65")</f>
        <v>KotiC65</v>
      </c>
      <c r="C578" s="8">
        <f>IFERROR(__xludf.DUMMYFUNCTION("""COMPUTED_VALUE"""),0.0)</f>
        <v>0</v>
      </c>
      <c r="D578" s="8">
        <f>IFERROR(__xludf.DUMMYFUNCTION("""COMPUTED_VALUE"""),0.0)</f>
        <v>0</v>
      </c>
    </row>
    <row r="579">
      <c r="A579" s="12" t="str">
        <f>IFERROR(__xludf.DUMMYFUNCTION("""COMPUTED_VALUE"""),"Batch 165")</f>
        <v>Batch 165</v>
      </c>
      <c r="B579" s="13" t="str">
        <f>IFERROR(__xludf.DUMMYFUNCTION("""COMPUTED_VALUE"""),"PramilaC65")</f>
        <v>PramilaC65</v>
      </c>
      <c r="C579" s="8">
        <f>IFERROR(__xludf.DUMMYFUNCTION("""COMPUTED_VALUE"""),0.0)</f>
        <v>0</v>
      </c>
      <c r="D579" s="8">
        <f>IFERROR(__xludf.DUMMYFUNCTION("""COMPUTED_VALUE"""),0.0)</f>
        <v>0</v>
      </c>
    </row>
    <row r="580">
      <c r="A580" s="12" t="str">
        <f>IFERROR(__xludf.DUMMYFUNCTION("""COMPUTED_VALUE"""),"Batch 165")</f>
        <v>Batch 165</v>
      </c>
      <c r="B580" s="13" t="str">
        <f>IFERROR(__xludf.DUMMYFUNCTION("""COMPUTED_VALUE"""),"VivekC65")</f>
        <v>VivekC65</v>
      </c>
      <c r="C580" s="8">
        <f>IFERROR(__xludf.DUMMYFUNCTION("""COMPUTED_VALUE"""),0.0)</f>
        <v>0</v>
      </c>
      <c r="D580" s="8">
        <f>IFERROR(__xludf.DUMMYFUNCTION("""COMPUTED_VALUE"""),0.0)</f>
        <v>0</v>
      </c>
    </row>
    <row r="581">
      <c r="A581" s="12" t="str">
        <f>IFERROR(__xludf.DUMMYFUNCTION("""COMPUTED_VALUE"""),"Batch 165")</f>
        <v>Batch 165</v>
      </c>
      <c r="B581" s="14" t="str">
        <f>IFERROR(__xludf.DUMMYFUNCTION("""COMPUTED_VALUE"""),"ShrigandhaC65")</f>
        <v>ShrigandhaC65</v>
      </c>
      <c r="C581" s="8">
        <f>IFERROR(__xludf.DUMMYFUNCTION("""COMPUTED_VALUE"""),0.0)</f>
        <v>0</v>
      </c>
      <c r="D581" s="8">
        <f>IFERROR(__xludf.DUMMYFUNCTION("""COMPUTED_VALUE"""),0.0)</f>
        <v>0</v>
      </c>
    </row>
    <row r="582">
      <c r="A582" s="12" t="str">
        <f>IFERROR(__xludf.DUMMYFUNCTION("""COMPUTED_VALUE"""),"Batch 165")</f>
        <v>Batch 165</v>
      </c>
      <c r="B582" s="13" t="str">
        <f>IFERROR(__xludf.DUMMYFUNCTION("""COMPUTED_VALUE"""),"SumitC65")</f>
        <v>SumitC65</v>
      </c>
      <c r="C582" s="8">
        <f>IFERROR(__xludf.DUMMYFUNCTION("""COMPUTED_VALUE"""),10.0)</f>
        <v>10</v>
      </c>
      <c r="D582" s="8">
        <f>IFERROR(__xludf.DUMMYFUNCTION("""COMPUTED_VALUE"""),0.0)</f>
        <v>0</v>
      </c>
    </row>
    <row r="583">
      <c r="A583" s="12" t="str">
        <f>IFERROR(__xludf.DUMMYFUNCTION("""COMPUTED_VALUE"""),"Batch 165")</f>
        <v>Batch 165</v>
      </c>
      <c r="B583" s="13" t="str">
        <f>IFERROR(__xludf.DUMMYFUNCTION("""COMPUTED_VALUE"""),"PRADEESHC65")</f>
        <v>PRADEESHC65</v>
      </c>
      <c r="C583" s="8">
        <f>IFERROR(__xludf.DUMMYFUNCTION("""COMPUTED_VALUE"""),0.0)</f>
        <v>0</v>
      </c>
      <c r="D583" s="8">
        <f>IFERROR(__xludf.DUMMYFUNCTION("""COMPUTED_VALUE"""),0.0)</f>
        <v>0</v>
      </c>
    </row>
    <row r="584">
      <c r="A584" s="12" t="str">
        <f>IFERROR(__xludf.DUMMYFUNCTION("""COMPUTED_VALUE"""),"Batch 165")</f>
        <v>Batch 165</v>
      </c>
      <c r="B584" s="13" t="str">
        <f>IFERROR(__xludf.DUMMYFUNCTION("""COMPUTED_VALUE"""),"SomduttaC65")</f>
        <v>SomduttaC65</v>
      </c>
      <c r="C584" s="8">
        <f>IFERROR(__xludf.DUMMYFUNCTION("""COMPUTED_VALUE"""),0.0)</f>
        <v>0</v>
      </c>
      <c r="D584" s="8">
        <f>IFERROR(__xludf.DUMMYFUNCTION("""COMPUTED_VALUE"""),0.0)</f>
        <v>0</v>
      </c>
    </row>
    <row r="585">
      <c r="A585" s="12" t="str">
        <f>IFERROR(__xludf.DUMMYFUNCTION("""COMPUTED_VALUE"""),"Batch 165")</f>
        <v>Batch 165</v>
      </c>
      <c r="B585" s="13" t="str">
        <f>IFERROR(__xludf.DUMMYFUNCTION("""COMPUTED_VALUE"""),"IshikaC65")</f>
        <v>IshikaC65</v>
      </c>
      <c r="C585" s="8">
        <f>IFERROR(__xludf.DUMMYFUNCTION("""COMPUTED_VALUE"""),0.0)</f>
        <v>0</v>
      </c>
      <c r="D585" s="8">
        <f>IFERROR(__xludf.DUMMYFUNCTION("""COMPUTED_VALUE"""),0.0)</f>
        <v>0</v>
      </c>
    </row>
    <row r="586">
      <c r="A586" s="12" t="str">
        <f>IFERROR(__xludf.DUMMYFUNCTION("""COMPUTED_VALUE"""),"Batch 165")</f>
        <v>Batch 165</v>
      </c>
      <c r="B586" s="13" t="str">
        <f>IFERROR(__xludf.DUMMYFUNCTION("""COMPUTED_VALUE"""),"SurajC65")</f>
        <v>SurajC65</v>
      </c>
      <c r="C586" s="8">
        <f>IFERROR(__xludf.DUMMYFUNCTION("""COMPUTED_VALUE"""),0.0)</f>
        <v>0</v>
      </c>
      <c r="D586" s="8">
        <f>IFERROR(__xludf.DUMMYFUNCTION("""COMPUTED_VALUE"""),0.0)</f>
        <v>0</v>
      </c>
    </row>
    <row r="587">
      <c r="A587" s="12" t="str">
        <f>IFERROR(__xludf.DUMMYFUNCTION("""COMPUTED_VALUE"""),"Batch 165")</f>
        <v>Batch 165</v>
      </c>
      <c r="B587" s="13" t="str">
        <f>IFERROR(__xludf.DUMMYFUNCTION("""COMPUTED_VALUE"""),"SanketC65")</f>
        <v>SanketC65</v>
      </c>
      <c r="C587" s="8">
        <f>IFERROR(__xludf.DUMMYFUNCTION("""COMPUTED_VALUE"""),0.0)</f>
        <v>0</v>
      </c>
      <c r="D587" s="8">
        <f>IFERROR(__xludf.DUMMYFUNCTION("""COMPUTED_VALUE"""),0.0)</f>
        <v>0</v>
      </c>
    </row>
    <row r="588">
      <c r="A588" s="12" t="str">
        <f>IFERROR(__xludf.DUMMYFUNCTION("""COMPUTED_VALUE"""),"Batch 165")</f>
        <v>Batch 165</v>
      </c>
      <c r="B588" s="13" t="str">
        <f>IFERROR(__xludf.DUMMYFUNCTION("""COMPUTED_VALUE"""),"PoojithaC65")</f>
        <v>PoojithaC65</v>
      </c>
      <c r="C588" s="8">
        <f>IFERROR(__xludf.DUMMYFUNCTION("""COMPUTED_VALUE"""),0.0)</f>
        <v>0</v>
      </c>
      <c r="D588" s="8">
        <f>IFERROR(__xludf.DUMMYFUNCTION("""COMPUTED_VALUE"""),0.0)</f>
        <v>0</v>
      </c>
    </row>
    <row r="589">
      <c r="A589" s="12" t="str">
        <f>IFERROR(__xludf.DUMMYFUNCTION("""COMPUTED_VALUE"""),"Batch 165")</f>
        <v>Batch 165</v>
      </c>
      <c r="B589" s="13" t="str">
        <f>IFERROR(__xludf.DUMMYFUNCTION("""COMPUTED_VALUE"""),"LonaC65")</f>
        <v>LonaC65</v>
      </c>
      <c r="C589" s="8">
        <f>IFERROR(__xludf.DUMMYFUNCTION("""COMPUTED_VALUE"""),0.0)</f>
        <v>0</v>
      </c>
      <c r="D589" s="8">
        <f>IFERROR(__xludf.DUMMYFUNCTION("""COMPUTED_VALUE"""),0.0)</f>
        <v>0</v>
      </c>
    </row>
    <row r="590">
      <c r="A590" s="12" t="str">
        <f>IFERROR(__xludf.DUMMYFUNCTION("""COMPUTED_VALUE"""),"Batch 165")</f>
        <v>Batch 165</v>
      </c>
      <c r="B590" s="13" t="str">
        <f>IFERROR(__xludf.DUMMYFUNCTION("""COMPUTED_VALUE"""),"SnehaC65")</f>
        <v>SnehaC65</v>
      </c>
      <c r="C590" s="8">
        <f>IFERROR(__xludf.DUMMYFUNCTION("""COMPUTED_VALUE"""),0.0)</f>
        <v>0</v>
      </c>
      <c r="D590" s="8">
        <f>IFERROR(__xludf.DUMMYFUNCTION("""COMPUTED_VALUE"""),0.0)</f>
        <v>0</v>
      </c>
    </row>
    <row r="591">
      <c r="A591" s="12" t="str">
        <f>IFERROR(__xludf.DUMMYFUNCTION("""COMPUTED_VALUE"""),"Batch 165")</f>
        <v>Batch 165</v>
      </c>
      <c r="B591" s="13" t="str">
        <f>IFERROR(__xludf.DUMMYFUNCTION("""COMPUTED_VALUE"""),"JagruthiC65")</f>
        <v>JagruthiC65</v>
      </c>
      <c r="C591" s="8">
        <f>IFERROR(__xludf.DUMMYFUNCTION("""COMPUTED_VALUE"""),0.0)</f>
        <v>0</v>
      </c>
      <c r="D591" s="8">
        <f>IFERROR(__xludf.DUMMYFUNCTION("""COMPUTED_VALUE"""),0.0)</f>
        <v>0</v>
      </c>
    </row>
    <row r="592">
      <c r="A592" s="12"/>
      <c r="B592" s="13"/>
      <c r="C592" s="8">
        <f>IFERROR(__xludf.DUMMYFUNCTION("""COMPUTED_VALUE"""),0.0)</f>
        <v>0</v>
      </c>
      <c r="D592" s="8">
        <f>IFERROR(__xludf.DUMMYFUNCTION("""COMPUTED_VALUE"""),0.0)</f>
        <v>0</v>
      </c>
    </row>
    <row r="593">
      <c r="A593" s="12" t="str">
        <f>IFERROR(__xludf.DUMMYFUNCTION("""COMPUTED_VALUE"""),"Batch 166")</f>
        <v>Batch 166</v>
      </c>
      <c r="B593" s="13" t="str">
        <f>IFERROR(__xludf.DUMMYFUNCTION("""COMPUTED_VALUE"""),"AftabC65")</f>
        <v>AftabC65</v>
      </c>
      <c r="C593" s="8">
        <f>IFERROR(__xludf.DUMMYFUNCTION("""COMPUTED_VALUE"""),0.0)</f>
        <v>0</v>
      </c>
      <c r="D593" s="8">
        <f>IFERROR(__xludf.DUMMYFUNCTION("""COMPUTED_VALUE"""),0.0)</f>
        <v>0</v>
      </c>
    </row>
    <row r="594">
      <c r="A594" s="12" t="str">
        <f>IFERROR(__xludf.DUMMYFUNCTION("""COMPUTED_VALUE"""),"Batch 166")</f>
        <v>Batch 166</v>
      </c>
      <c r="B594" s="13" t="str">
        <f>IFERROR(__xludf.DUMMYFUNCTION("""COMPUTED_VALUE"""),"YogeshC65")</f>
        <v>YogeshC65</v>
      </c>
      <c r="C594" s="8">
        <f>IFERROR(__xludf.DUMMYFUNCTION("""COMPUTED_VALUE"""),0.0)</f>
        <v>0</v>
      </c>
      <c r="D594" s="8">
        <f>IFERROR(__xludf.DUMMYFUNCTION("""COMPUTED_VALUE"""),0.0)</f>
        <v>0</v>
      </c>
    </row>
    <row r="595">
      <c r="A595" s="12" t="str">
        <f>IFERROR(__xludf.DUMMYFUNCTION("""COMPUTED_VALUE"""),"Batch 166")</f>
        <v>Batch 166</v>
      </c>
      <c r="B595" s="13" t="str">
        <f>IFERROR(__xludf.DUMMYFUNCTION("""COMPUTED_VALUE"""),"PallaviC65")</f>
        <v>PallaviC65</v>
      </c>
      <c r="C595" s="8">
        <f>IFERROR(__xludf.DUMMYFUNCTION("""COMPUTED_VALUE"""),0.0)</f>
        <v>0</v>
      </c>
      <c r="D595" s="8">
        <f>IFERROR(__xludf.DUMMYFUNCTION("""COMPUTED_VALUE"""),0.0)</f>
        <v>0</v>
      </c>
    </row>
    <row r="596">
      <c r="A596" s="12" t="str">
        <f>IFERROR(__xludf.DUMMYFUNCTION("""COMPUTED_VALUE"""),"Batch 166")</f>
        <v>Batch 166</v>
      </c>
      <c r="B596" s="13" t="str">
        <f>IFERROR(__xludf.DUMMYFUNCTION("""COMPUTED_VALUE"""),"HanishaC65")</f>
        <v>HanishaC65</v>
      </c>
      <c r="C596" s="8">
        <f>IFERROR(__xludf.DUMMYFUNCTION("""COMPUTED_VALUE"""),0.0)</f>
        <v>0</v>
      </c>
      <c r="D596" s="8">
        <f>IFERROR(__xludf.DUMMYFUNCTION("""COMPUTED_VALUE"""),0.0)</f>
        <v>0</v>
      </c>
    </row>
    <row r="597">
      <c r="A597" s="12" t="str">
        <f>IFERROR(__xludf.DUMMYFUNCTION("""COMPUTED_VALUE"""),"Batch 166")</f>
        <v>Batch 166</v>
      </c>
      <c r="B597" s="13" t="str">
        <f>IFERROR(__xludf.DUMMYFUNCTION("""COMPUTED_VALUE"""),"LEKITHAC65")</f>
        <v>LEKITHAC65</v>
      </c>
      <c r="C597" s="8">
        <f>IFERROR(__xludf.DUMMYFUNCTION("""COMPUTED_VALUE"""),0.0)</f>
        <v>0</v>
      </c>
      <c r="D597" s="8">
        <f>IFERROR(__xludf.DUMMYFUNCTION("""COMPUTED_VALUE"""),0.0)</f>
        <v>0</v>
      </c>
    </row>
    <row r="598">
      <c r="A598" s="12" t="str">
        <f>IFERROR(__xludf.DUMMYFUNCTION("""COMPUTED_VALUE"""),"Batch 166")</f>
        <v>Batch 166</v>
      </c>
      <c r="B598" s="13" t="str">
        <f>IFERROR(__xludf.DUMMYFUNCTION("""COMPUTED_VALUE"""),"PriyamC65")</f>
        <v>PriyamC65</v>
      </c>
      <c r="C598" s="8">
        <f>IFERROR(__xludf.DUMMYFUNCTION("""COMPUTED_VALUE"""),0.0)</f>
        <v>0</v>
      </c>
      <c r="D598" s="8">
        <f>IFERROR(__xludf.DUMMYFUNCTION("""COMPUTED_VALUE"""),0.0)</f>
        <v>0</v>
      </c>
    </row>
    <row r="599">
      <c r="A599" s="12" t="str">
        <f>IFERROR(__xludf.DUMMYFUNCTION("""COMPUTED_VALUE"""),"Batch 166")</f>
        <v>Batch 166</v>
      </c>
      <c r="B599" s="13" t="str">
        <f>IFERROR(__xludf.DUMMYFUNCTION("""COMPUTED_VALUE"""),"FaaizC65")</f>
        <v>FaaizC65</v>
      </c>
      <c r="C599" s="8">
        <f>IFERROR(__xludf.DUMMYFUNCTION("""COMPUTED_VALUE"""),0.0)</f>
        <v>0</v>
      </c>
      <c r="D599" s="8">
        <f>IFERROR(__xludf.DUMMYFUNCTION("""COMPUTED_VALUE"""),0.0)</f>
        <v>0</v>
      </c>
    </row>
    <row r="600">
      <c r="A600" s="12" t="str">
        <f>IFERROR(__xludf.DUMMYFUNCTION("""COMPUTED_VALUE"""),"Batch 166")</f>
        <v>Batch 166</v>
      </c>
      <c r="B600" s="13" t="str">
        <f>IFERROR(__xludf.DUMMYFUNCTION("""COMPUTED_VALUE"""),"AbhinavC65")</f>
        <v>AbhinavC65</v>
      </c>
      <c r="C600" s="8">
        <f>IFERROR(__xludf.DUMMYFUNCTION("""COMPUTED_VALUE"""),0.0)</f>
        <v>0</v>
      </c>
      <c r="D600" s="8">
        <f>IFERROR(__xludf.DUMMYFUNCTION("""COMPUTED_VALUE"""),0.0)</f>
        <v>0</v>
      </c>
    </row>
    <row r="601">
      <c r="A601" s="12" t="str">
        <f>IFERROR(__xludf.DUMMYFUNCTION("""COMPUTED_VALUE"""),"Batch 166")</f>
        <v>Batch 166</v>
      </c>
      <c r="B601" s="13" t="str">
        <f>IFERROR(__xludf.DUMMYFUNCTION("""COMPUTED_VALUE"""),"DeepakC65")</f>
        <v>DeepakC65</v>
      </c>
      <c r="C601" s="8">
        <f>IFERROR(__xludf.DUMMYFUNCTION("""COMPUTED_VALUE"""),0.0)</f>
        <v>0</v>
      </c>
      <c r="D601" s="8">
        <f>IFERROR(__xludf.DUMMYFUNCTION("""COMPUTED_VALUE"""),0.0)</f>
        <v>0</v>
      </c>
    </row>
    <row r="602">
      <c r="A602" s="12" t="str">
        <f>IFERROR(__xludf.DUMMYFUNCTION("""COMPUTED_VALUE"""),"Batch 166")</f>
        <v>Batch 166</v>
      </c>
      <c r="B602" s="13" t="str">
        <f>IFERROR(__xludf.DUMMYFUNCTION("""COMPUTED_VALUE"""),"AshishC65")</f>
        <v>AshishC65</v>
      </c>
      <c r="C602" s="8">
        <f>IFERROR(__xludf.DUMMYFUNCTION("""COMPUTED_VALUE"""),0.0)</f>
        <v>0</v>
      </c>
      <c r="D602" s="8">
        <f>IFERROR(__xludf.DUMMYFUNCTION("""COMPUTED_VALUE"""),0.0)</f>
        <v>0</v>
      </c>
    </row>
    <row r="603">
      <c r="A603" s="12" t="str">
        <f>IFERROR(__xludf.DUMMYFUNCTION("""COMPUTED_VALUE"""),"Batch 166")</f>
        <v>Batch 166</v>
      </c>
      <c r="B603" s="13" t="str">
        <f>IFERROR(__xludf.DUMMYFUNCTION("""COMPUTED_VALUE"""),"TanviC65")</f>
        <v>TanviC65</v>
      </c>
      <c r="C603" s="8">
        <f>IFERROR(__xludf.DUMMYFUNCTION("""COMPUTED_VALUE"""),0.0)</f>
        <v>0</v>
      </c>
      <c r="D603" s="8">
        <f>IFERROR(__xludf.DUMMYFUNCTION("""COMPUTED_VALUE"""),0.0)</f>
        <v>0</v>
      </c>
    </row>
    <row r="604">
      <c r="A604" s="12" t="str">
        <f>IFERROR(__xludf.DUMMYFUNCTION("""COMPUTED_VALUE"""),"Batch 166")</f>
        <v>Batch 166</v>
      </c>
      <c r="B604" s="13" t="str">
        <f>IFERROR(__xludf.DUMMYFUNCTION("""COMPUTED_VALUE"""),"BanothC65")</f>
        <v>BanothC65</v>
      </c>
      <c r="C604" s="8">
        <f>IFERROR(__xludf.DUMMYFUNCTION("""COMPUTED_VALUE"""),0.0)</f>
        <v>0</v>
      </c>
      <c r="D604" s="8">
        <f>IFERROR(__xludf.DUMMYFUNCTION("""COMPUTED_VALUE"""),0.0)</f>
        <v>0</v>
      </c>
    </row>
    <row r="605">
      <c r="A605" s="12" t="str">
        <f>IFERROR(__xludf.DUMMYFUNCTION("""COMPUTED_VALUE"""),"Batch 166")</f>
        <v>Batch 166</v>
      </c>
      <c r="B605" s="13" t="str">
        <f>IFERROR(__xludf.DUMMYFUNCTION("""COMPUTED_VALUE"""),"KritiC65")</f>
        <v>KritiC65</v>
      </c>
      <c r="C605" s="8">
        <f>IFERROR(__xludf.DUMMYFUNCTION("""COMPUTED_VALUE"""),0.0)</f>
        <v>0</v>
      </c>
      <c r="D605" s="8">
        <f>IFERROR(__xludf.DUMMYFUNCTION("""COMPUTED_VALUE"""),0.0)</f>
        <v>0</v>
      </c>
    </row>
    <row r="606">
      <c r="A606" s="12" t="str">
        <f>IFERROR(__xludf.DUMMYFUNCTION("""COMPUTED_VALUE"""),"Batch 166")</f>
        <v>Batch 166</v>
      </c>
      <c r="B606" s="13" t="str">
        <f>IFERROR(__xludf.DUMMYFUNCTION("""COMPUTED_VALUE"""),"SwarnimC65")</f>
        <v>SwarnimC65</v>
      </c>
      <c r="C606" s="8">
        <f>IFERROR(__xludf.DUMMYFUNCTION("""COMPUTED_VALUE"""),0.0)</f>
        <v>0</v>
      </c>
      <c r="D606" s="8">
        <f>IFERROR(__xludf.DUMMYFUNCTION("""COMPUTED_VALUE"""),0.0)</f>
        <v>0</v>
      </c>
    </row>
    <row r="607">
      <c r="A607" s="12" t="str">
        <f>IFERROR(__xludf.DUMMYFUNCTION("""COMPUTED_VALUE"""),"Batch 166")</f>
        <v>Batch 166</v>
      </c>
      <c r="B607" s="13" t="str">
        <f>IFERROR(__xludf.DUMMYFUNCTION("""COMPUTED_VALUE"""),"amiteshC65")</f>
        <v>amiteshC65</v>
      </c>
      <c r="C607" s="8">
        <f>IFERROR(__xludf.DUMMYFUNCTION("""COMPUTED_VALUE"""),0.0)</f>
        <v>0</v>
      </c>
      <c r="D607" s="8">
        <f>IFERROR(__xludf.DUMMYFUNCTION("""COMPUTED_VALUE"""),0.0)</f>
        <v>0</v>
      </c>
    </row>
    <row r="608">
      <c r="A608" s="12" t="str">
        <f>IFERROR(__xludf.DUMMYFUNCTION("""COMPUTED_VALUE"""),"Batch 166")</f>
        <v>Batch 166</v>
      </c>
      <c r="B608" s="13" t="str">
        <f>IFERROR(__xludf.DUMMYFUNCTION("""COMPUTED_VALUE"""),"PinkyC65")</f>
        <v>PinkyC65</v>
      </c>
      <c r="C608" s="8">
        <f>IFERROR(__xludf.DUMMYFUNCTION("""COMPUTED_VALUE"""),1.0)</f>
        <v>1</v>
      </c>
      <c r="D608" s="8">
        <f>IFERROR(__xludf.DUMMYFUNCTION("""COMPUTED_VALUE"""),0.0)</f>
        <v>0</v>
      </c>
    </row>
    <row r="609">
      <c r="A609" s="12" t="str">
        <f>IFERROR(__xludf.DUMMYFUNCTION("""COMPUTED_VALUE"""),"Batch 166")</f>
        <v>Batch 166</v>
      </c>
      <c r="B609" s="13" t="str">
        <f>IFERROR(__xludf.DUMMYFUNCTION("""COMPUTED_VALUE"""),"UjjwalC65")</f>
        <v>UjjwalC65</v>
      </c>
      <c r="C609" s="8">
        <f>IFERROR(__xludf.DUMMYFUNCTION("""COMPUTED_VALUE"""),0.0)</f>
        <v>0</v>
      </c>
      <c r="D609" s="8">
        <f>IFERROR(__xludf.DUMMYFUNCTION("""COMPUTED_VALUE"""),0.0)</f>
        <v>0</v>
      </c>
    </row>
    <row r="610">
      <c r="A610" s="12" t="str">
        <f>IFERROR(__xludf.DUMMYFUNCTION("""COMPUTED_VALUE"""),"Batch 166")</f>
        <v>Batch 166</v>
      </c>
      <c r="B610" s="13" t="str">
        <f>IFERROR(__xludf.DUMMYFUNCTION("""COMPUTED_VALUE"""),"RidhiC65")</f>
        <v>RidhiC65</v>
      </c>
      <c r="C610" s="8">
        <f>IFERROR(__xludf.DUMMYFUNCTION("""COMPUTED_VALUE"""),0.0)</f>
        <v>0</v>
      </c>
      <c r="D610" s="8">
        <f>IFERROR(__xludf.DUMMYFUNCTION("""COMPUTED_VALUE"""),0.0)</f>
        <v>0</v>
      </c>
    </row>
    <row r="611">
      <c r="A611" s="12" t="str">
        <f>IFERROR(__xludf.DUMMYFUNCTION("""COMPUTED_VALUE"""),"Batch 166")</f>
        <v>Batch 166</v>
      </c>
      <c r="B611" s="13" t="str">
        <f>IFERROR(__xludf.DUMMYFUNCTION("""COMPUTED_VALUE"""),"AshutoshC65")</f>
        <v>AshutoshC65</v>
      </c>
      <c r="C611" s="8">
        <f>IFERROR(__xludf.DUMMYFUNCTION("""COMPUTED_VALUE"""),0.0)</f>
        <v>0</v>
      </c>
      <c r="D611" s="8">
        <f>IFERROR(__xludf.DUMMYFUNCTION("""COMPUTED_VALUE"""),0.0)</f>
        <v>0</v>
      </c>
    </row>
    <row r="612">
      <c r="A612" s="12" t="str">
        <f>IFERROR(__xludf.DUMMYFUNCTION("""COMPUTED_VALUE"""),"Batch 166")</f>
        <v>Batch 166</v>
      </c>
      <c r="B612" s="13" t="str">
        <f>IFERROR(__xludf.DUMMYFUNCTION("""COMPUTED_VALUE"""),"RohitC65")</f>
        <v>RohitC65</v>
      </c>
      <c r="C612" s="8">
        <f>IFERROR(__xludf.DUMMYFUNCTION("""COMPUTED_VALUE"""),0.0)</f>
        <v>0</v>
      </c>
      <c r="D612" s="8">
        <f>IFERROR(__xludf.DUMMYFUNCTION("""COMPUTED_VALUE"""),0.0)</f>
        <v>0</v>
      </c>
    </row>
    <row r="613">
      <c r="A613" s="12" t="str">
        <f>IFERROR(__xludf.DUMMYFUNCTION("""COMPUTED_VALUE"""),"Batch 166")</f>
        <v>Batch 166</v>
      </c>
      <c r="B613" s="13" t="str">
        <f>IFERROR(__xludf.DUMMYFUNCTION("""COMPUTED_VALUE"""),"DwivediC65")</f>
        <v>DwivediC65</v>
      </c>
      <c r="C613" s="8">
        <f>IFERROR(__xludf.DUMMYFUNCTION("""COMPUTED_VALUE"""),0.0)</f>
        <v>0</v>
      </c>
      <c r="D613" s="8">
        <f>IFERROR(__xludf.DUMMYFUNCTION("""COMPUTED_VALUE"""),0.0)</f>
        <v>0</v>
      </c>
    </row>
    <row r="614">
      <c r="A614" s="12" t="str">
        <f>IFERROR(__xludf.DUMMYFUNCTION("""COMPUTED_VALUE"""),"Batch 166")</f>
        <v>Batch 166</v>
      </c>
      <c r="B614" s="13" t="str">
        <f>IFERROR(__xludf.DUMMYFUNCTION("""COMPUTED_VALUE"""),"AaryanC65")</f>
        <v>AaryanC65</v>
      </c>
      <c r="C614" s="8">
        <f>IFERROR(__xludf.DUMMYFUNCTION("""COMPUTED_VALUE"""),0.0)</f>
        <v>0</v>
      </c>
      <c r="D614" s="8">
        <f>IFERROR(__xludf.DUMMYFUNCTION("""COMPUTED_VALUE"""),0.0)</f>
        <v>0</v>
      </c>
    </row>
    <row r="615">
      <c r="A615" s="12" t="str">
        <f>IFERROR(__xludf.DUMMYFUNCTION("""COMPUTED_VALUE"""),"Batch 166")</f>
        <v>Batch 166</v>
      </c>
      <c r="B615" s="13" t="str">
        <f>IFERROR(__xludf.DUMMYFUNCTION("""COMPUTED_VALUE"""),"AbichalC65")</f>
        <v>AbichalC65</v>
      </c>
      <c r="C615" s="8">
        <f>IFERROR(__xludf.DUMMYFUNCTION("""COMPUTED_VALUE"""),0.0)</f>
        <v>0</v>
      </c>
      <c r="D615" s="8">
        <f>IFERROR(__xludf.DUMMYFUNCTION("""COMPUTED_VALUE"""),0.0)</f>
        <v>0</v>
      </c>
    </row>
    <row r="616">
      <c r="A616" s="12" t="str">
        <f>IFERROR(__xludf.DUMMYFUNCTION("""COMPUTED_VALUE"""),"Batch 166")</f>
        <v>Batch 166</v>
      </c>
      <c r="B616" s="13" t="str">
        <f>IFERROR(__xludf.DUMMYFUNCTION("""COMPUTED_VALUE"""),"VasundharaC65")</f>
        <v>VasundharaC65</v>
      </c>
      <c r="C616" s="8">
        <f>IFERROR(__xludf.DUMMYFUNCTION("""COMPUTED_VALUE"""),0.0)</f>
        <v>0</v>
      </c>
      <c r="D616" s="8">
        <f>IFERROR(__xludf.DUMMYFUNCTION("""COMPUTED_VALUE"""),0.0)</f>
        <v>0</v>
      </c>
    </row>
    <row r="617">
      <c r="A617" s="12" t="str">
        <f>IFERROR(__xludf.DUMMYFUNCTION("""COMPUTED_VALUE"""),"Batch 166")</f>
        <v>Batch 166</v>
      </c>
      <c r="B617" s="13" t="str">
        <f>IFERROR(__xludf.DUMMYFUNCTION("""COMPUTED_VALUE"""),"DishaC65")</f>
        <v>DishaC65</v>
      </c>
      <c r="C617" s="8">
        <f>IFERROR(__xludf.DUMMYFUNCTION("""COMPUTED_VALUE"""),0.0)</f>
        <v>0</v>
      </c>
      <c r="D617" s="8">
        <f>IFERROR(__xludf.DUMMYFUNCTION("""COMPUTED_VALUE"""),0.0)</f>
        <v>0</v>
      </c>
    </row>
    <row r="618">
      <c r="A618" s="12" t="str">
        <f>IFERROR(__xludf.DUMMYFUNCTION("""COMPUTED_VALUE"""),"Batch 166")</f>
        <v>Batch 166</v>
      </c>
      <c r="B618" s="13" t="str">
        <f>IFERROR(__xludf.DUMMYFUNCTION("""COMPUTED_VALUE"""),"PiyushC65")</f>
        <v>PiyushC65</v>
      </c>
      <c r="C618" s="8">
        <f>IFERROR(__xludf.DUMMYFUNCTION("""COMPUTED_VALUE"""),3.0)</f>
        <v>3</v>
      </c>
      <c r="D618" s="8">
        <f>IFERROR(__xludf.DUMMYFUNCTION("""COMPUTED_VALUE"""),0.0)</f>
        <v>0</v>
      </c>
    </row>
    <row r="619">
      <c r="A619" s="12" t="str">
        <f>IFERROR(__xludf.DUMMYFUNCTION("""COMPUTED_VALUE"""),"Batch 166")</f>
        <v>Batch 166</v>
      </c>
      <c r="B619" s="13" t="str">
        <f>IFERROR(__xludf.DUMMYFUNCTION("""COMPUTED_VALUE"""),"PriyanshuC65")</f>
        <v>PriyanshuC65</v>
      </c>
      <c r="C619" s="8">
        <f>IFERROR(__xludf.DUMMYFUNCTION("""COMPUTED_VALUE"""),4.0)</f>
        <v>4</v>
      </c>
      <c r="D619" s="8">
        <f>IFERROR(__xludf.DUMMYFUNCTION("""COMPUTED_VALUE"""),0.0)</f>
        <v>0</v>
      </c>
    </row>
    <row r="620">
      <c r="A620" s="12" t="str">
        <f>IFERROR(__xludf.DUMMYFUNCTION("""COMPUTED_VALUE"""),"Batch 166")</f>
        <v>Batch 166</v>
      </c>
      <c r="B620" s="13" t="str">
        <f>IFERROR(__xludf.DUMMYFUNCTION("""COMPUTED_VALUE"""),"SrikarC65")</f>
        <v>SrikarC65</v>
      </c>
      <c r="C620" s="8">
        <f>IFERROR(__xludf.DUMMYFUNCTION("""COMPUTED_VALUE"""),0.0)</f>
        <v>0</v>
      </c>
      <c r="D620" s="8">
        <f>IFERROR(__xludf.DUMMYFUNCTION("""COMPUTED_VALUE"""),0.0)</f>
        <v>0</v>
      </c>
    </row>
    <row r="621">
      <c r="A621" s="12" t="str">
        <f>IFERROR(__xludf.DUMMYFUNCTION("""COMPUTED_VALUE"""),"Batch 166")</f>
        <v>Batch 166</v>
      </c>
      <c r="B621" s="13" t="str">
        <f>IFERROR(__xludf.DUMMYFUNCTION("""COMPUTED_VALUE"""),"NagasuruC65")</f>
        <v>NagasuruC65</v>
      </c>
      <c r="C621" s="8">
        <f>IFERROR(__xludf.DUMMYFUNCTION("""COMPUTED_VALUE"""),0.0)</f>
        <v>0</v>
      </c>
      <c r="D621" s="8">
        <f>IFERROR(__xludf.DUMMYFUNCTION("""COMPUTED_VALUE"""),0.0)</f>
        <v>0</v>
      </c>
    </row>
    <row r="622">
      <c r="A622" s="12" t="str">
        <f>IFERROR(__xludf.DUMMYFUNCTION("""COMPUTED_VALUE"""),"Batch 166")</f>
        <v>Batch 166</v>
      </c>
      <c r="B622" s="13" t="str">
        <f>IFERROR(__xludf.DUMMYFUNCTION("""COMPUTED_VALUE"""),"ThriveniC65")</f>
        <v>ThriveniC65</v>
      </c>
      <c r="C622" s="8">
        <f>IFERROR(__xludf.DUMMYFUNCTION("""COMPUTED_VALUE"""),0.0)</f>
        <v>0</v>
      </c>
      <c r="D622" s="8">
        <f>IFERROR(__xludf.DUMMYFUNCTION("""COMPUTED_VALUE"""),0.0)</f>
        <v>0</v>
      </c>
    </row>
    <row r="623">
      <c r="A623" s="12" t="str">
        <f>IFERROR(__xludf.DUMMYFUNCTION("""COMPUTED_VALUE"""),"Batch 166")</f>
        <v>Batch 166</v>
      </c>
      <c r="B623" s="13" t="str">
        <f>IFERROR(__xludf.DUMMYFUNCTION("""COMPUTED_VALUE"""),"SWATHIC65")</f>
        <v>SWATHIC65</v>
      </c>
      <c r="C623" s="8">
        <f>IFERROR(__xludf.DUMMYFUNCTION("""COMPUTED_VALUE"""),0.0)</f>
        <v>0</v>
      </c>
      <c r="D623" s="8">
        <f>IFERROR(__xludf.DUMMYFUNCTION("""COMPUTED_VALUE"""),0.0)</f>
        <v>0</v>
      </c>
    </row>
    <row r="624">
      <c r="A624" s="12" t="str">
        <f>IFERROR(__xludf.DUMMYFUNCTION("""COMPUTED_VALUE"""),"Batch 166")</f>
        <v>Batch 166</v>
      </c>
      <c r="B624" s="13" t="str">
        <f>IFERROR(__xludf.DUMMYFUNCTION("""COMPUTED_VALUE"""),"ShivrajC65")</f>
        <v>ShivrajC65</v>
      </c>
      <c r="C624" s="8">
        <f>IFERROR(__xludf.DUMMYFUNCTION("""COMPUTED_VALUE"""),0.0)</f>
        <v>0</v>
      </c>
      <c r="D624" s="8">
        <f>IFERROR(__xludf.DUMMYFUNCTION("""COMPUTED_VALUE"""),0.0)</f>
        <v>0</v>
      </c>
    </row>
    <row r="625">
      <c r="A625" s="12" t="str">
        <f>IFERROR(__xludf.DUMMYFUNCTION("""COMPUTED_VALUE"""),"Batch 166")</f>
        <v>Batch 166</v>
      </c>
      <c r="B625" s="13" t="str">
        <f>IFERROR(__xludf.DUMMYFUNCTION("""COMPUTED_VALUE"""),"AaryanC65")</f>
        <v>AaryanC65</v>
      </c>
      <c r="C625" s="8">
        <f>IFERROR(__xludf.DUMMYFUNCTION("""COMPUTED_VALUE"""),0.0)</f>
        <v>0</v>
      </c>
      <c r="D625" s="8">
        <f>IFERROR(__xludf.DUMMYFUNCTION("""COMPUTED_VALUE"""),0.0)</f>
        <v>0</v>
      </c>
    </row>
    <row r="626">
      <c r="A626" s="12" t="str">
        <f>IFERROR(__xludf.DUMMYFUNCTION("""COMPUTED_VALUE"""),"Batch 166")</f>
        <v>Batch 166</v>
      </c>
      <c r="B626" s="13" t="str">
        <f>IFERROR(__xludf.DUMMYFUNCTION("""COMPUTED_VALUE"""),"AbichalC65")</f>
        <v>AbichalC65</v>
      </c>
      <c r="C626" s="8">
        <f>IFERROR(__xludf.DUMMYFUNCTION("""COMPUTED_VALUE"""),0.0)</f>
        <v>0</v>
      </c>
      <c r="D626" s="8">
        <f>IFERROR(__xludf.DUMMYFUNCTION("""COMPUTED_VALUE"""),0.0)</f>
        <v>0</v>
      </c>
    </row>
    <row r="627">
      <c r="A627" s="12" t="str">
        <f>IFERROR(__xludf.DUMMYFUNCTION("""COMPUTED_VALUE"""),"Batch 166")</f>
        <v>Batch 166</v>
      </c>
      <c r="B627" s="13" t="str">
        <f>IFERROR(__xludf.DUMMYFUNCTION("""COMPUTED_VALUE"""),"VasundharaC65")</f>
        <v>VasundharaC65</v>
      </c>
      <c r="C627" s="8">
        <f>IFERROR(__xludf.DUMMYFUNCTION("""COMPUTED_VALUE"""),0.0)</f>
        <v>0</v>
      </c>
      <c r="D627" s="8">
        <f>IFERROR(__xludf.DUMMYFUNCTION("""COMPUTED_VALUE"""),0.0)</f>
        <v>0</v>
      </c>
    </row>
    <row r="628">
      <c r="A628" s="12" t="str">
        <f>IFERROR(__xludf.DUMMYFUNCTION("""COMPUTED_VALUE"""),"Batch 166")</f>
        <v>Batch 166</v>
      </c>
      <c r="B628" s="13" t="str">
        <f>IFERROR(__xludf.DUMMYFUNCTION("""COMPUTED_VALUE"""),"DishaC65")</f>
        <v>DishaC65</v>
      </c>
      <c r="C628" s="8">
        <f>IFERROR(__xludf.DUMMYFUNCTION("""COMPUTED_VALUE"""),0.0)</f>
        <v>0</v>
      </c>
      <c r="D628" s="8">
        <f>IFERROR(__xludf.DUMMYFUNCTION("""COMPUTED_VALUE"""),0.0)</f>
        <v>0</v>
      </c>
    </row>
    <row r="629">
      <c r="A629" s="12" t="str">
        <f>IFERROR(__xludf.DUMMYFUNCTION("""COMPUTED_VALUE"""),"Batch 166")</f>
        <v>Batch 166</v>
      </c>
      <c r="B629" s="13" t="str">
        <f>IFERROR(__xludf.DUMMYFUNCTION("""COMPUTED_VALUE"""),"PiyushC65")</f>
        <v>PiyushC65</v>
      </c>
      <c r="C629" s="8">
        <f>IFERROR(__xludf.DUMMYFUNCTION("""COMPUTED_VALUE"""),0.0)</f>
        <v>0</v>
      </c>
      <c r="D629" s="8">
        <f>IFERROR(__xludf.DUMMYFUNCTION("""COMPUTED_VALUE"""),0.0)</f>
        <v>0</v>
      </c>
    </row>
    <row r="630">
      <c r="A630" s="12" t="str">
        <f>IFERROR(__xludf.DUMMYFUNCTION("""COMPUTED_VALUE"""),"Batch 166")</f>
        <v>Batch 166</v>
      </c>
      <c r="B630" s="13" t="str">
        <f>IFERROR(__xludf.DUMMYFUNCTION("""COMPUTED_VALUE"""),"PriyanshuC65")</f>
        <v>PriyanshuC65</v>
      </c>
      <c r="C630" s="8">
        <f>IFERROR(__xludf.DUMMYFUNCTION("""COMPUTED_VALUE"""),0.0)</f>
        <v>0</v>
      </c>
      <c r="D630" s="8">
        <f>IFERROR(__xludf.DUMMYFUNCTION("""COMPUTED_VALUE"""),0.0)</f>
        <v>0</v>
      </c>
    </row>
    <row r="631">
      <c r="A631" s="12" t="str">
        <f>IFERROR(__xludf.DUMMYFUNCTION("""COMPUTED_VALUE"""),"Batch 166")</f>
        <v>Batch 166</v>
      </c>
      <c r="B631" s="13" t="str">
        <f>IFERROR(__xludf.DUMMYFUNCTION("""COMPUTED_VALUE"""),"VivekC65")</f>
        <v>VivekC65</v>
      </c>
      <c r="C631" s="8">
        <f>IFERROR(__xludf.DUMMYFUNCTION("""COMPUTED_VALUE"""),0.0)</f>
        <v>0</v>
      </c>
      <c r="D631" s="8">
        <f>IFERROR(__xludf.DUMMYFUNCTION("""COMPUTED_VALUE"""),0.0)</f>
        <v>0</v>
      </c>
    </row>
    <row r="632">
      <c r="A632" s="12" t="str">
        <f>IFERROR(__xludf.DUMMYFUNCTION("""COMPUTED_VALUE"""),"Batch 166")</f>
        <v>Batch 166</v>
      </c>
      <c r="B632" s="13" t="str">
        <f>IFERROR(__xludf.DUMMYFUNCTION("""COMPUTED_VALUE"""),"KIRUBAKARANC65")</f>
        <v>KIRUBAKARANC65</v>
      </c>
      <c r="C632" s="8">
        <f>IFERROR(__xludf.DUMMYFUNCTION("""COMPUTED_VALUE"""),0.0)</f>
        <v>0</v>
      </c>
      <c r="D632" s="8">
        <f>IFERROR(__xludf.DUMMYFUNCTION("""COMPUTED_VALUE"""),0.0)</f>
        <v>0</v>
      </c>
    </row>
    <row r="633">
      <c r="A633" s="12" t="str">
        <f>IFERROR(__xludf.DUMMYFUNCTION("""COMPUTED_VALUE"""),"Batch 166")</f>
        <v>Batch 166</v>
      </c>
      <c r="B633" s="13" t="str">
        <f>IFERROR(__xludf.DUMMYFUNCTION("""COMPUTED_VALUE"""),"AashnaC65")</f>
        <v>AashnaC65</v>
      </c>
      <c r="C633" s="8">
        <f>IFERROR(__xludf.DUMMYFUNCTION("""COMPUTED_VALUE"""),0.0)</f>
        <v>0</v>
      </c>
      <c r="D633" s="8">
        <f>IFERROR(__xludf.DUMMYFUNCTION("""COMPUTED_VALUE"""),0.0)</f>
        <v>0</v>
      </c>
    </row>
    <row r="634">
      <c r="A634" s="12" t="str">
        <f>IFERROR(__xludf.DUMMYFUNCTION("""COMPUTED_VALUE"""),"Batch 166")</f>
        <v>Batch 166</v>
      </c>
      <c r="B634" s="13" t="str">
        <f>IFERROR(__xludf.DUMMYFUNCTION("""COMPUTED_VALUE"""),"PalakC65")</f>
        <v>PalakC65</v>
      </c>
      <c r="C634" s="8">
        <f>IFERROR(__xludf.DUMMYFUNCTION("""COMPUTED_VALUE"""),0.0)</f>
        <v>0</v>
      </c>
      <c r="D634" s="8">
        <f>IFERROR(__xludf.DUMMYFUNCTION("""COMPUTED_VALUE"""),0.0)</f>
        <v>0</v>
      </c>
    </row>
    <row r="635">
      <c r="A635" s="12" t="str">
        <f>IFERROR(__xludf.DUMMYFUNCTION("""COMPUTED_VALUE"""),"Batch 166")</f>
        <v>Batch 166</v>
      </c>
      <c r="B635" s="13" t="str">
        <f>IFERROR(__xludf.DUMMYFUNCTION("""COMPUTED_VALUE"""),"AdityaC65")</f>
        <v>AdityaC65</v>
      </c>
      <c r="C635" s="8">
        <f>IFERROR(__xludf.DUMMYFUNCTION("""COMPUTED_VALUE"""),0.0)</f>
        <v>0</v>
      </c>
      <c r="D635" s="8">
        <f>IFERROR(__xludf.DUMMYFUNCTION("""COMPUTED_VALUE"""),0.0)</f>
        <v>0</v>
      </c>
    </row>
    <row r="636">
      <c r="A636" s="12" t="str">
        <f>IFERROR(__xludf.DUMMYFUNCTION("""COMPUTED_VALUE"""),"Batch 166")</f>
        <v>Batch 166</v>
      </c>
      <c r="B636" s="13" t="str">
        <f>IFERROR(__xludf.DUMMYFUNCTION("""COMPUTED_VALUE"""),"SahawanC65")</f>
        <v>SahawanC65</v>
      </c>
      <c r="C636" s="8">
        <f>IFERROR(__xludf.DUMMYFUNCTION("""COMPUTED_VALUE"""),0.0)</f>
        <v>0</v>
      </c>
      <c r="D636" s="8">
        <f>IFERROR(__xludf.DUMMYFUNCTION("""COMPUTED_VALUE"""),0.0)</f>
        <v>0</v>
      </c>
    </row>
    <row r="637">
      <c r="A637" s="12" t="str">
        <f>IFERROR(__xludf.DUMMYFUNCTION("""COMPUTED_VALUE"""),"Batch 166")</f>
        <v>Batch 166</v>
      </c>
      <c r="B637" s="13" t="str">
        <f>IFERROR(__xludf.DUMMYFUNCTION("""COMPUTED_VALUE"""),"PrateekC65")</f>
        <v>PrateekC65</v>
      </c>
      <c r="C637" s="8">
        <f>IFERROR(__xludf.DUMMYFUNCTION("""COMPUTED_VALUE"""),0.0)</f>
        <v>0</v>
      </c>
      <c r="D637" s="8">
        <f>IFERROR(__xludf.DUMMYFUNCTION("""COMPUTED_VALUE"""),0.0)</f>
        <v>0</v>
      </c>
    </row>
    <row r="638">
      <c r="A638" s="12" t="str">
        <f>IFERROR(__xludf.DUMMYFUNCTION("""COMPUTED_VALUE"""),"Batch 166")</f>
        <v>Batch 166</v>
      </c>
      <c r="B638" s="13" t="str">
        <f>IFERROR(__xludf.DUMMYFUNCTION("""COMPUTED_VALUE"""),"KaushalC65")</f>
        <v>KaushalC65</v>
      </c>
      <c r="C638" s="8">
        <f>IFERROR(__xludf.DUMMYFUNCTION("""COMPUTED_VALUE"""),1.0)</f>
        <v>1</v>
      </c>
      <c r="D638" s="8">
        <f>IFERROR(__xludf.DUMMYFUNCTION("""COMPUTED_VALUE"""),0.0)</f>
        <v>0</v>
      </c>
    </row>
    <row r="639">
      <c r="A639" s="12" t="str">
        <f>IFERROR(__xludf.DUMMYFUNCTION("""COMPUTED_VALUE"""),"Batch 166")</f>
        <v>Batch 166</v>
      </c>
      <c r="B639" s="13" t="str">
        <f>IFERROR(__xludf.DUMMYFUNCTION("""COMPUTED_VALUE"""),"VasundharaC65")</f>
        <v>VasundharaC65</v>
      </c>
      <c r="C639" s="8">
        <f>IFERROR(__xludf.DUMMYFUNCTION("""COMPUTED_VALUE"""),0.0)</f>
        <v>0</v>
      </c>
      <c r="D639" s="8">
        <f>IFERROR(__xludf.DUMMYFUNCTION("""COMPUTED_VALUE"""),0.0)</f>
        <v>0</v>
      </c>
    </row>
    <row r="640">
      <c r="A640" s="12" t="str">
        <f>IFERROR(__xludf.DUMMYFUNCTION("""COMPUTED_VALUE"""),"Batch 166")</f>
        <v>Batch 166</v>
      </c>
      <c r="B640" s="13" t="str">
        <f>IFERROR(__xludf.DUMMYFUNCTION("""COMPUTED_VALUE"""),"DavidC65")</f>
        <v>DavidC65</v>
      </c>
      <c r="C640" s="8">
        <f>IFERROR(__xludf.DUMMYFUNCTION("""COMPUTED_VALUE"""),0.0)</f>
        <v>0</v>
      </c>
      <c r="D640" s="8">
        <f>IFERROR(__xludf.DUMMYFUNCTION("""COMPUTED_VALUE"""),0.0)</f>
        <v>0</v>
      </c>
    </row>
    <row r="641">
      <c r="A641" s="12" t="str">
        <f>IFERROR(__xludf.DUMMYFUNCTION("""COMPUTED_VALUE"""),"Batch 166")</f>
        <v>Batch 166</v>
      </c>
      <c r="B641" s="13" t="str">
        <f>IFERROR(__xludf.DUMMYFUNCTION("""COMPUTED_VALUE"""),"ParthC65")</f>
        <v>ParthC65</v>
      </c>
      <c r="C641" s="8">
        <f>IFERROR(__xludf.DUMMYFUNCTION("""COMPUTED_VALUE"""),0.0)</f>
        <v>0</v>
      </c>
      <c r="D641" s="8">
        <f>IFERROR(__xludf.DUMMYFUNCTION("""COMPUTED_VALUE"""),0.0)</f>
        <v>0</v>
      </c>
    </row>
    <row r="642">
      <c r="A642" s="12" t="str">
        <f>IFERROR(__xludf.DUMMYFUNCTION("""COMPUTED_VALUE"""),"Batch 166")</f>
        <v>Batch 166</v>
      </c>
      <c r="B642" s="13" t="str">
        <f>IFERROR(__xludf.DUMMYFUNCTION("""COMPUTED_VALUE"""),"YaminiC65")</f>
        <v>YaminiC65</v>
      </c>
      <c r="C642" s="8">
        <f>IFERROR(__xludf.DUMMYFUNCTION("""COMPUTED_VALUE"""),0.0)</f>
        <v>0</v>
      </c>
      <c r="D642" s="8">
        <f>IFERROR(__xludf.DUMMYFUNCTION("""COMPUTED_VALUE"""),0.0)</f>
        <v>0</v>
      </c>
    </row>
    <row r="643">
      <c r="A643" s="12" t="str">
        <f>IFERROR(__xludf.DUMMYFUNCTION("""COMPUTED_VALUE"""),"Batch 166")</f>
        <v>Batch 166</v>
      </c>
      <c r="B643" s="13" t="str">
        <f>IFERROR(__xludf.DUMMYFUNCTION("""COMPUTED_VALUE"""),"PoojaC65")</f>
        <v>PoojaC65</v>
      </c>
      <c r="C643" s="8">
        <f>IFERROR(__xludf.DUMMYFUNCTION("""COMPUTED_VALUE"""),0.0)</f>
        <v>0</v>
      </c>
      <c r="D643" s="8">
        <f>IFERROR(__xludf.DUMMYFUNCTION("""COMPUTED_VALUE"""),0.0)</f>
        <v>0</v>
      </c>
    </row>
    <row r="644">
      <c r="A644" s="12" t="str">
        <f>IFERROR(__xludf.DUMMYFUNCTION("""COMPUTED_VALUE"""),"Batch 166")</f>
        <v>Batch 166</v>
      </c>
      <c r="B644" s="13" t="str">
        <f>IFERROR(__xludf.DUMMYFUNCTION("""COMPUTED_VALUE"""),"TinaC65")</f>
        <v>TinaC65</v>
      </c>
      <c r="C644" s="8">
        <f>IFERROR(__xludf.DUMMYFUNCTION("""COMPUTED_VALUE"""),0.0)</f>
        <v>0</v>
      </c>
      <c r="D644" s="8">
        <f>IFERROR(__xludf.DUMMYFUNCTION("""COMPUTED_VALUE"""),0.0)</f>
        <v>0</v>
      </c>
    </row>
    <row r="645">
      <c r="A645" s="12" t="str">
        <f>IFERROR(__xludf.DUMMYFUNCTION("""COMPUTED_VALUE"""),"Batch 166")</f>
        <v>Batch 166</v>
      </c>
      <c r="B645" s="13" t="str">
        <f>IFERROR(__xludf.DUMMYFUNCTION("""COMPUTED_VALUE"""),"PrinceC65")</f>
        <v>PrinceC65</v>
      </c>
      <c r="C645" s="8">
        <f>IFERROR(__xludf.DUMMYFUNCTION("""COMPUTED_VALUE"""),0.0)</f>
        <v>0</v>
      </c>
      <c r="D645" s="8">
        <f>IFERROR(__xludf.DUMMYFUNCTION("""COMPUTED_VALUE"""),0.0)</f>
        <v>0</v>
      </c>
    </row>
    <row r="646">
      <c r="A646" s="12"/>
      <c r="B646" s="13"/>
      <c r="C646" s="8">
        <f>IFERROR(__xludf.DUMMYFUNCTION("""COMPUTED_VALUE"""),0.0)</f>
        <v>0</v>
      </c>
      <c r="D646" s="8">
        <f>IFERROR(__xludf.DUMMYFUNCTION("""COMPUTED_VALUE"""),0.0)</f>
        <v>0</v>
      </c>
    </row>
    <row r="647">
      <c r="A647" s="12" t="str">
        <f>IFERROR(__xludf.DUMMYFUNCTION("""COMPUTED_VALUE"""),"Batch 167")</f>
        <v>Batch 167</v>
      </c>
      <c r="B647" s="13" t="str">
        <f>IFERROR(__xludf.DUMMYFUNCTION("""COMPUTED_VALUE"""),"PudariC67")</f>
        <v>PudariC67</v>
      </c>
      <c r="C647" s="8">
        <f>IFERROR(__xludf.DUMMYFUNCTION("""COMPUTED_VALUE"""),0.0)</f>
        <v>0</v>
      </c>
      <c r="D647" s="8">
        <f>IFERROR(__xludf.DUMMYFUNCTION("""COMPUTED_VALUE"""),0.0)</f>
        <v>0</v>
      </c>
    </row>
    <row r="648">
      <c r="A648" s="12" t="str">
        <f>IFERROR(__xludf.DUMMYFUNCTION("""COMPUTED_VALUE"""),"Batch 167")</f>
        <v>Batch 167</v>
      </c>
      <c r="B648" s="13" t="str">
        <f>IFERROR(__xludf.DUMMYFUNCTION("""COMPUTED_VALUE"""),"AgrimC67")</f>
        <v>AgrimC67</v>
      </c>
      <c r="C648" s="8">
        <f>IFERROR(__xludf.DUMMYFUNCTION("""COMPUTED_VALUE"""),0.0)</f>
        <v>0</v>
      </c>
      <c r="D648" s="8">
        <f>IFERROR(__xludf.DUMMYFUNCTION("""COMPUTED_VALUE"""),0.0)</f>
        <v>0</v>
      </c>
    </row>
    <row r="649">
      <c r="A649" s="12" t="str">
        <f>IFERROR(__xludf.DUMMYFUNCTION("""COMPUTED_VALUE"""),"Batch 167")</f>
        <v>Batch 167</v>
      </c>
      <c r="B649" s="13" t="str">
        <f>IFERROR(__xludf.DUMMYFUNCTION("""COMPUTED_VALUE"""),"SowjanyaC67")</f>
        <v>SowjanyaC67</v>
      </c>
      <c r="C649" s="8">
        <f>IFERROR(__xludf.DUMMYFUNCTION("""COMPUTED_VALUE"""),0.0)</f>
        <v>0</v>
      </c>
      <c r="D649" s="8">
        <f>IFERROR(__xludf.DUMMYFUNCTION("""COMPUTED_VALUE"""),0.0)</f>
        <v>0</v>
      </c>
    </row>
    <row r="650">
      <c r="A650" s="12" t="str">
        <f>IFERROR(__xludf.DUMMYFUNCTION("""COMPUTED_VALUE"""),"Batch 167")</f>
        <v>Batch 167</v>
      </c>
      <c r="B650" s="13" t="str">
        <f>IFERROR(__xludf.DUMMYFUNCTION("""COMPUTED_VALUE"""),"KummariC67")</f>
        <v>KummariC67</v>
      </c>
      <c r="C650" s="8">
        <f>IFERROR(__xludf.DUMMYFUNCTION("""COMPUTED_VALUE"""),0.0)</f>
        <v>0</v>
      </c>
      <c r="D650" s="8">
        <f>IFERROR(__xludf.DUMMYFUNCTION("""COMPUTED_VALUE"""),0.0)</f>
        <v>0</v>
      </c>
    </row>
    <row r="651">
      <c r="A651" s="12" t="str">
        <f>IFERROR(__xludf.DUMMYFUNCTION("""COMPUTED_VALUE"""),"Batch 167")</f>
        <v>Batch 167</v>
      </c>
      <c r="B651" s="13" t="str">
        <f>IFERROR(__xludf.DUMMYFUNCTION("""COMPUTED_VALUE"""),"YogeshC67")</f>
        <v>YogeshC67</v>
      </c>
      <c r="C651" s="8">
        <f>IFERROR(__xludf.DUMMYFUNCTION("""COMPUTED_VALUE"""),0.0)</f>
        <v>0</v>
      </c>
      <c r="D651" s="8">
        <f>IFERROR(__xludf.DUMMYFUNCTION("""COMPUTED_VALUE"""),0.0)</f>
        <v>0</v>
      </c>
    </row>
    <row r="652">
      <c r="A652" s="12" t="str">
        <f>IFERROR(__xludf.DUMMYFUNCTION("""COMPUTED_VALUE"""),"Batch 167")</f>
        <v>Batch 167</v>
      </c>
      <c r="B652" s="13" t="str">
        <f>IFERROR(__xludf.DUMMYFUNCTION("""COMPUTED_VALUE"""),"YashvirC67")</f>
        <v>YashvirC67</v>
      </c>
      <c r="C652" s="8">
        <f>IFERROR(__xludf.DUMMYFUNCTION("""COMPUTED_VALUE"""),21.0)</f>
        <v>21</v>
      </c>
      <c r="D652" s="8">
        <f>IFERROR(__xludf.DUMMYFUNCTION("""COMPUTED_VALUE"""),0.0)</f>
        <v>0</v>
      </c>
    </row>
    <row r="653">
      <c r="A653" s="12" t="str">
        <f>IFERROR(__xludf.DUMMYFUNCTION("""COMPUTED_VALUE"""),"Batch 167")</f>
        <v>Batch 167</v>
      </c>
      <c r="B653" s="13" t="str">
        <f>IFERROR(__xludf.DUMMYFUNCTION("""COMPUTED_VALUE"""),"LonaC67")</f>
        <v>LonaC67</v>
      </c>
      <c r="C653" s="8">
        <f>IFERROR(__xludf.DUMMYFUNCTION("""COMPUTED_VALUE"""),0.0)</f>
        <v>0</v>
      </c>
      <c r="D653" s="8">
        <f>IFERROR(__xludf.DUMMYFUNCTION("""COMPUTED_VALUE"""),0.0)</f>
        <v>0</v>
      </c>
    </row>
    <row r="654">
      <c r="A654" s="12" t="str">
        <f>IFERROR(__xludf.DUMMYFUNCTION("""COMPUTED_VALUE"""),"Batch 167")</f>
        <v>Batch 167</v>
      </c>
      <c r="B654" s="13" t="str">
        <f>IFERROR(__xludf.DUMMYFUNCTION("""COMPUTED_VALUE"""),"AnmolC67")</f>
        <v>AnmolC67</v>
      </c>
      <c r="C654" s="8">
        <f>IFERROR(__xludf.DUMMYFUNCTION("""COMPUTED_VALUE"""),0.0)</f>
        <v>0</v>
      </c>
      <c r="D654" s="8">
        <f>IFERROR(__xludf.DUMMYFUNCTION("""COMPUTED_VALUE"""),0.0)</f>
        <v>0</v>
      </c>
    </row>
    <row r="655">
      <c r="A655" s="12" t="str">
        <f>IFERROR(__xludf.DUMMYFUNCTION("""COMPUTED_VALUE"""),"Batch 167")</f>
        <v>Batch 167</v>
      </c>
      <c r="B655" s="13" t="str">
        <f>IFERROR(__xludf.DUMMYFUNCTION("""COMPUTED_VALUE"""),"MokarramC67")</f>
        <v>MokarramC67</v>
      </c>
      <c r="C655" s="8">
        <f>IFERROR(__xludf.DUMMYFUNCTION("""COMPUTED_VALUE"""),0.0)</f>
        <v>0</v>
      </c>
      <c r="D655" s="8">
        <f>IFERROR(__xludf.DUMMYFUNCTION("""COMPUTED_VALUE"""),0.0)</f>
        <v>0</v>
      </c>
    </row>
    <row r="656">
      <c r="A656" s="12" t="str">
        <f>IFERROR(__xludf.DUMMYFUNCTION("""COMPUTED_VALUE"""),"Batch 167")</f>
        <v>Batch 167</v>
      </c>
      <c r="B656" s="13" t="str">
        <f>IFERROR(__xludf.DUMMYFUNCTION("""COMPUTED_VALUE"""),"AbhayC67")</f>
        <v>AbhayC67</v>
      </c>
      <c r="C656" s="8">
        <f>IFERROR(__xludf.DUMMYFUNCTION("""COMPUTED_VALUE"""),0.0)</f>
        <v>0</v>
      </c>
      <c r="D656" s="8">
        <f>IFERROR(__xludf.DUMMYFUNCTION("""COMPUTED_VALUE"""),0.0)</f>
        <v>0</v>
      </c>
    </row>
    <row r="657">
      <c r="A657" s="12" t="str">
        <f>IFERROR(__xludf.DUMMYFUNCTION("""COMPUTED_VALUE"""),"Batch 167")</f>
        <v>Batch 167</v>
      </c>
      <c r="B657" s="13" t="str">
        <f>IFERROR(__xludf.DUMMYFUNCTION("""COMPUTED_VALUE"""),"ChiralaC67")</f>
        <v>ChiralaC67</v>
      </c>
      <c r="C657" s="8">
        <f>IFERROR(__xludf.DUMMYFUNCTION("""COMPUTED_VALUE"""),1.0)</f>
        <v>1</v>
      </c>
      <c r="D657" s="8">
        <f>IFERROR(__xludf.DUMMYFUNCTION("""COMPUTED_VALUE"""),0.0)</f>
        <v>0</v>
      </c>
    </row>
    <row r="658">
      <c r="A658" s="12" t="str">
        <f>IFERROR(__xludf.DUMMYFUNCTION("""COMPUTED_VALUE"""),"Batch 167")</f>
        <v>Batch 167</v>
      </c>
      <c r="B658" s="13" t="str">
        <f>IFERROR(__xludf.DUMMYFUNCTION("""COMPUTED_VALUE"""),"PriyanshiC67")</f>
        <v>PriyanshiC67</v>
      </c>
      <c r="C658" s="8">
        <f>IFERROR(__xludf.DUMMYFUNCTION("""COMPUTED_VALUE"""),0.0)</f>
        <v>0</v>
      </c>
      <c r="D658" s="8">
        <f>IFERROR(__xludf.DUMMYFUNCTION("""COMPUTED_VALUE"""),0.0)</f>
        <v>0</v>
      </c>
    </row>
    <row r="659">
      <c r="A659" s="12" t="str">
        <f>IFERROR(__xludf.DUMMYFUNCTION("""COMPUTED_VALUE"""),"Batch 167")</f>
        <v>Batch 167</v>
      </c>
      <c r="B659" s="13" t="str">
        <f>IFERROR(__xludf.DUMMYFUNCTION("""COMPUTED_VALUE"""),"PayalC67")</f>
        <v>PayalC67</v>
      </c>
      <c r="C659" s="8">
        <f>IFERROR(__xludf.DUMMYFUNCTION("""COMPUTED_VALUE"""),0.0)</f>
        <v>0</v>
      </c>
      <c r="D659" s="8">
        <f>IFERROR(__xludf.DUMMYFUNCTION("""COMPUTED_VALUE"""),0.0)</f>
        <v>0</v>
      </c>
    </row>
    <row r="660">
      <c r="A660" s="12" t="str">
        <f>IFERROR(__xludf.DUMMYFUNCTION("""COMPUTED_VALUE"""),"Batch 167")</f>
        <v>Batch 167</v>
      </c>
      <c r="B660" s="13" t="str">
        <f>IFERROR(__xludf.DUMMYFUNCTION("""COMPUTED_VALUE"""),"RupalC67")</f>
        <v>RupalC67</v>
      </c>
      <c r="C660" s="8">
        <f>IFERROR(__xludf.DUMMYFUNCTION("""COMPUTED_VALUE"""),0.0)</f>
        <v>0</v>
      </c>
      <c r="D660" s="8">
        <f>IFERROR(__xludf.DUMMYFUNCTION("""COMPUTED_VALUE"""),0.0)</f>
        <v>0</v>
      </c>
    </row>
    <row r="661">
      <c r="A661" s="12" t="str">
        <f>IFERROR(__xludf.DUMMYFUNCTION("""COMPUTED_VALUE"""),"Batch 167")</f>
        <v>Batch 167</v>
      </c>
      <c r="B661" s="13" t="str">
        <f>IFERROR(__xludf.DUMMYFUNCTION("""COMPUTED_VALUE"""),"KalpeshC67")</f>
        <v>KalpeshC67</v>
      </c>
      <c r="C661" s="8">
        <f>IFERROR(__xludf.DUMMYFUNCTION("""COMPUTED_VALUE"""),0.0)</f>
        <v>0</v>
      </c>
      <c r="D661" s="8">
        <f>IFERROR(__xludf.DUMMYFUNCTION("""COMPUTED_VALUE"""),0.0)</f>
        <v>0</v>
      </c>
    </row>
    <row r="662">
      <c r="A662" s="12" t="str">
        <f>IFERROR(__xludf.DUMMYFUNCTION("""COMPUTED_VALUE"""),"Batch 167")</f>
        <v>Batch 167</v>
      </c>
      <c r="B662" s="13" t="str">
        <f>IFERROR(__xludf.DUMMYFUNCTION("""COMPUTED_VALUE"""),"KalpitaC67")</f>
        <v>KalpitaC67</v>
      </c>
      <c r="C662" s="8">
        <f>IFERROR(__xludf.DUMMYFUNCTION("""COMPUTED_VALUE"""),0.0)</f>
        <v>0</v>
      </c>
      <c r="D662" s="8">
        <f>IFERROR(__xludf.DUMMYFUNCTION("""COMPUTED_VALUE"""),0.0)</f>
        <v>0</v>
      </c>
    </row>
    <row r="663">
      <c r="A663" s="12" t="str">
        <f>IFERROR(__xludf.DUMMYFUNCTION("""COMPUTED_VALUE"""),"Batch 167")</f>
        <v>Batch 167</v>
      </c>
      <c r="B663" s="13" t="str">
        <f>IFERROR(__xludf.DUMMYFUNCTION("""COMPUTED_VALUE"""),"AditiC67")</f>
        <v>AditiC67</v>
      </c>
      <c r="C663" s="8">
        <f>IFERROR(__xludf.DUMMYFUNCTION("""COMPUTED_VALUE"""),0.0)</f>
        <v>0</v>
      </c>
      <c r="D663" s="8">
        <f>IFERROR(__xludf.DUMMYFUNCTION("""COMPUTED_VALUE"""),0.0)</f>
        <v>0</v>
      </c>
    </row>
    <row r="664">
      <c r="A664" s="12" t="str">
        <f>IFERROR(__xludf.DUMMYFUNCTION("""COMPUTED_VALUE"""),"Batch 167")</f>
        <v>Batch 167</v>
      </c>
      <c r="B664" s="13" t="str">
        <f>IFERROR(__xludf.DUMMYFUNCTION("""COMPUTED_VALUE"""),"JanakC67")</f>
        <v>JanakC67</v>
      </c>
      <c r="C664" s="8">
        <f>IFERROR(__xludf.DUMMYFUNCTION("""COMPUTED_VALUE"""),0.0)</f>
        <v>0</v>
      </c>
      <c r="D664" s="8">
        <f>IFERROR(__xludf.DUMMYFUNCTION("""COMPUTED_VALUE"""),0.0)</f>
        <v>0</v>
      </c>
    </row>
    <row r="665">
      <c r="A665" s="12" t="str">
        <f>IFERROR(__xludf.DUMMYFUNCTION("""COMPUTED_VALUE"""),"Batch 167")</f>
        <v>Batch 167</v>
      </c>
      <c r="B665" s="13" t="str">
        <f>IFERROR(__xludf.DUMMYFUNCTION("""COMPUTED_VALUE"""),"ShubhC67")</f>
        <v>ShubhC67</v>
      </c>
      <c r="C665" s="8">
        <f>IFERROR(__xludf.DUMMYFUNCTION("""COMPUTED_VALUE"""),0.0)</f>
        <v>0</v>
      </c>
      <c r="D665" s="8">
        <f>IFERROR(__xludf.DUMMYFUNCTION("""COMPUTED_VALUE"""),0.0)</f>
        <v>0</v>
      </c>
    </row>
    <row r="666">
      <c r="A666" s="12" t="str">
        <f>IFERROR(__xludf.DUMMYFUNCTION("""COMPUTED_VALUE"""),"Batch 167")</f>
        <v>Batch 167</v>
      </c>
      <c r="B666" s="13" t="str">
        <f>IFERROR(__xludf.DUMMYFUNCTION("""COMPUTED_VALUE"""),"MukulC67")</f>
        <v>MukulC67</v>
      </c>
      <c r="C666" s="8">
        <f>IFERROR(__xludf.DUMMYFUNCTION("""COMPUTED_VALUE"""),0.0)</f>
        <v>0</v>
      </c>
      <c r="D666" s="8">
        <f>IFERROR(__xludf.DUMMYFUNCTION("""COMPUTED_VALUE"""),0.0)</f>
        <v>0</v>
      </c>
    </row>
    <row r="667">
      <c r="A667" s="12" t="str">
        <f>IFERROR(__xludf.DUMMYFUNCTION("""COMPUTED_VALUE"""),"Batch 167")</f>
        <v>Batch 167</v>
      </c>
      <c r="B667" s="13" t="str">
        <f>IFERROR(__xludf.DUMMYFUNCTION("""COMPUTED_VALUE"""),"RacharlaC67")</f>
        <v>RacharlaC67</v>
      </c>
      <c r="C667" s="8">
        <f>IFERROR(__xludf.DUMMYFUNCTION("""COMPUTED_VALUE"""),0.0)</f>
        <v>0</v>
      </c>
      <c r="D667" s="8">
        <f>IFERROR(__xludf.DUMMYFUNCTION("""COMPUTED_VALUE"""),0.0)</f>
        <v>0</v>
      </c>
    </row>
    <row r="668">
      <c r="A668" s="12" t="str">
        <f>IFERROR(__xludf.DUMMYFUNCTION("""COMPUTED_VALUE"""),"Batch 167")</f>
        <v>Batch 167</v>
      </c>
      <c r="B668" s="13" t="str">
        <f>IFERROR(__xludf.DUMMYFUNCTION("""COMPUTED_VALUE"""),"RoshaniC67")</f>
        <v>RoshaniC67</v>
      </c>
      <c r="C668" s="8">
        <f>IFERROR(__xludf.DUMMYFUNCTION("""COMPUTED_VALUE"""),0.0)</f>
        <v>0</v>
      </c>
      <c r="D668" s="8">
        <f>IFERROR(__xludf.DUMMYFUNCTION("""COMPUTED_VALUE"""),0.0)</f>
        <v>0</v>
      </c>
    </row>
    <row r="669">
      <c r="A669" s="12" t="str">
        <f>IFERROR(__xludf.DUMMYFUNCTION("""COMPUTED_VALUE"""),"Batch 167")</f>
        <v>Batch 167</v>
      </c>
      <c r="B669" s="13" t="str">
        <f>IFERROR(__xludf.DUMMYFUNCTION("""COMPUTED_VALUE"""),"DivyaC67")</f>
        <v>DivyaC67</v>
      </c>
      <c r="C669" s="8">
        <f>IFERROR(__xludf.DUMMYFUNCTION("""COMPUTED_VALUE"""),3.0)</f>
        <v>3</v>
      </c>
      <c r="D669" s="8">
        <f>IFERROR(__xludf.DUMMYFUNCTION("""COMPUTED_VALUE"""),0.0)</f>
        <v>0</v>
      </c>
    </row>
    <row r="670">
      <c r="A670" s="12" t="str">
        <f>IFERROR(__xludf.DUMMYFUNCTION("""COMPUTED_VALUE"""),"Batch 167")</f>
        <v>Batch 167</v>
      </c>
      <c r="B670" s="13" t="str">
        <f>IFERROR(__xludf.DUMMYFUNCTION("""COMPUTED_VALUE"""),"IshaanC67")</f>
        <v>IshaanC67</v>
      </c>
      <c r="C670" s="8">
        <f>IFERROR(__xludf.DUMMYFUNCTION("""COMPUTED_VALUE"""),0.0)</f>
        <v>0</v>
      </c>
      <c r="D670" s="8">
        <f>IFERROR(__xludf.DUMMYFUNCTION("""COMPUTED_VALUE"""),0.0)</f>
        <v>0</v>
      </c>
    </row>
    <row r="671">
      <c r="A671" s="12" t="str">
        <f>IFERROR(__xludf.DUMMYFUNCTION("""COMPUTED_VALUE"""),"Batch 167")</f>
        <v>Batch 167</v>
      </c>
      <c r="B671" s="13" t="str">
        <f>IFERROR(__xludf.DUMMYFUNCTION("""COMPUTED_VALUE"""),"VaishnaviC67")</f>
        <v>VaishnaviC67</v>
      </c>
      <c r="C671" s="8">
        <f>IFERROR(__xludf.DUMMYFUNCTION("""COMPUTED_VALUE"""),0.0)</f>
        <v>0</v>
      </c>
      <c r="D671" s="8">
        <f>IFERROR(__xludf.DUMMYFUNCTION("""COMPUTED_VALUE"""),0.0)</f>
        <v>0</v>
      </c>
    </row>
    <row r="672">
      <c r="A672" s="12" t="str">
        <f>IFERROR(__xludf.DUMMYFUNCTION("""COMPUTED_VALUE"""),"Batch 167")</f>
        <v>Batch 167</v>
      </c>
      <c r="B672" s="13" t="str">
        <f>IFERROR(__xludf.DUMMYFUNCTION("""COMPUTED_VALUE"""),"GayatriC67")</f>
        <v>GayatriC67</v>
      </c>
      <c r="C672" s="8">
        <f>IFERROR(__xludf.DUMMYFUNCTION("""COMPUTED_VALUE"""),2.0)</f>
        <v>2</v>
      </c>
      <c r="D672" s="8">
        <f>IFERROR(__xludf.DUMMYFUNCTION("""COMPUTED_VALUE"""),0.0)</f>
        <v>0</v>
      </c>
    </row>
    <row r="673">
      <c r="A673" s="12" t="str">
        <f>IFERROR(__xludf.DUMMYFUNCTION("""COMPUTED_VALUE"""),"Batch 167")</f>
        <v>Batch 167</v>
      </c>
      <c r="B673" s="13" t="str">
        <f>IFERROR(__xludf.DUMMYFUNCTION("""COMPUTED_VALUE"""),"EnumulaC67")</f>
        <v>EnumulaC67</v>
      </c>
      <c r="C673" s="8">
        <f>IFERROR(__xludf.DUMMYFUNCTION("""COMPUTED_VALUE"""),2.0)</f>
        <v>2</v>
      </c>
      <c r="D673" s="8">
        <f>IFERROR(__xludf.DUMMYFUNCTION("""COMPUTED_VALUE"""),0.0)</f>
        <v>0</v>
      </c>
    </row>
    <row r="674">
      <c r="A674" s="12" t="str">
        <f>IFERROR(__xludf.DUMMYFUNCTION("""COMPUTED_VALUE"""),"Batch 167")</f>
        <v>Batch 167</v>
      </c>
      <c r="B674" s="13" t="str">
        <f>IFERROR(__xludf.DUMMYFUNCTION("""COMPUTED_VALUE"""),"IshitaC67")</f>
        <v>IshitaC67</v>
      </c>
      <c r="C674" s="8">
        <f>IFERROR(__xludf.DUMMYFUNCTION("""COMPUTED_VALUE"""),0.0)</f>
        <v>0</v>
      </c>
      <c r="D674" s="8">
        <f>IFERROR(__xludf.DUMMYFUNCTION("""COMPUTED_VALUE"""),0.0)</f>
        <v>0</v>
      </c>
    </row>
    <row r="675">
      <c r="A675" s="12" t="str">
        <f>IFERROR(__xludf.DUMMYFUNCTION("""COMPUTED_VALUE"""),"Batch 167")</f>
        <v>Batch 167</v>
      </c>
      <c r="B675" s="13" t="str">
        <f>IFERROR(__xludf.DUMMYFUNCTION("""COMPUTED_VALUE"""),"HiteshC67")</f>
        <v>HiteshC67</v>
      </c>
      <c r="C675" s="8">
        <f>IFERROR(__xludf.DUMMYFUNCTION("""COMPUTED_VALUE"""),11.0)</f>
        <v>11</v>
      </c>
      <c r="D675" s="8">
        <f>IFERROR(__xludf.DUMMYFUNCTION("""COMPUTED_VALUE"""),0.0)</f>
        <v>0</v>
      </c>
    </row>
    <row r="676">
      <c r="A676" s="12" t="str">
        <f>IFERROR(__xludf.DUMMYFUNCTION("""COMPUTED_VALUE"""),"Batch 167")</f>
        <v>Batch 167</v>
      </c>
      <c r="B676" s="13" t="str">
        <f>IFERROR(__xludf.DUMMYFUNCTION("""COMPUTED_VALUE"""),"MukeshramC67")</f>
        <v>MukeshramC67</v>
      </c>
      <c r="C676" s="8">
        <f>IFERROR(__xludf.DUMMYFUNCTION("""COMPUTED_VALUE"""),0.0)</f>
        <v>0</v>
      </c>
      <c r="D676" s="8">
        <f>IFERROR(__xludf.DUMMYFUNCTION("""COMPUTED_VALUE"""),0.0)</f>
        <v>0</v>
      </c>
    </row>
    <row r="677">
      <c r="A677" s="12" t="str">
        <f>IFERROR(__xludf.DUMMYFUNCTION("""COMPUTED_VALUE"""),"Batch 167")</f>
        <v>Batch 167</v>
      </c>
      <c r="B677" s="13" t="str">
        <f>IFERROR(__xludf.DUMMYFUNCTION("""COMPUTED_VALUE"""),"ShubhangiC67")</f>
        <v>ShubhangiC67</v>
      </c>
      <c r="C677" s="8">
        <f>IFERROR(__xludf.DUMMYFUNCTION("""COMPUTED_VALUE"""),0.0)</f>
        <v>0</v>
      </c>
      <c r="D677" s="8">
        <f>IFERROR(__xludf.DUMMYFUNCTION("""COMPUTED_VALUE"""),0.0)</f>
        <v>0</v>
      </c>
    </row>
    <row r="678">
      <c r="A678" s="12" t="str">
        <f>IFERROR(__xludf.DUMMYFUNCTION("""COMPUTED_VALUE"""),"Batch 167")</f>
        <v>Batch 167</v>
      </c>
      <c r="B678" s="13" t="str">
        <f>IFERROR(__xludf.DUMMYFUNCTION("""COMPUTED_VALUE"""),"AnshikaC67")</f>
        <v>AnshikaC67</v>
      </c>
      <c r="C678" s="8">
        <f>IFERROR(__xludf.DUMMYFUNCTION("""COMPUTED_VALUE"""),0.0)</f>
        <v>0</v>
      </c>
      <c r="D678" s="8">
        <f>IFERROR(__xludf.DUMMYFUNCTION("""COMPUTED_VALUE"""),0.0)</f>
        <v>0</v>
      </c>
    </row>
    <row r="679">
      <c r="A679" s="12" t="str">
        <f>IFERROR(__xludf.DUMMYFUNCTION("""COMPUTED_VALUE"""),"Batch 167")</f>
        <v>Batch 167</v>
      </c>
      <c r="B679" s="13" t="str">
        <f>IFERROR(__xludf.DUMMYFUNCTION("""COMPUTED_VALUE"""),"ShrikarC67")</f>
        <v>ShrikarC67</v>
      </c>
      <c r="C679" s="8">
        <f>IFERROR(__xludf.DUMMYFUNCTION("""COMPUTED_VALUE"""),0.0)</f>
        <v>0</v>
      </c>
      <c r="D679" s="8">
        <f>IFERROR(__xludf.DUMMYFUNCTION("""COMPUTED_VALUE"""),0.0)</f>
        <v>0</v>
      </c>
    </row>
    <row r="680">
      <c r="A680" s="12" t="str">
        <f>IFERROR(__xludf.DUMMYFUNCTION("""COMPUTED_VALUE"""),"Batch 167")</f>
        <v>Batch 167</v>
      </c>
      <c r="B680" s="13" t="str">
        <f>IFERROR(__xludf.DUMMYFUNCTION("""COMPUTED_VALUE"""),"ChandraboseC67")</f>
        <v>ChandraboseC67</v>
      </c>
      <c r="C680" s="8">
        <f>IFERROR(__xludf.DUMMYFUNCTION("""COMPUTED_VALUE"""),0.0)</f>
        <v>0</v>
      </c>
      <c r="D680" s="8">
        <f>IFERROR(__xludf.DUMMYFUNCTION("""COMPUTED_VALUE"""),0.0)</f>
        <v>0</v>
      </c>
    </row>
    <row r="681">
      <c r="A681" s="12" t="str">
        <f>IFERROR(__xludf.DUMMYFUNCTION("""COMPUTED_VALUE"""),"Batch 167")</f>
        <v>Batch 167</v>
      </c>
      <c r="B681" s="13" t="str">
        <f>IFERROR(__xludf.DUMMYFUNCTION("""COMPUTED_VALUE"""),"KhushiC67")</f>
        <v>KhushiC67</v>
      </c>
      <c r="C681" s="8">
        <f>IFERROR(__xludf.DUMMYFUNCTION("""COMPUTED_VALUE"""),0.0)</f>
        <v>0</v>
      </c>
      <c r="D681" s="8">
        <f>IFERROR(__xludf.DUMMYFUNCTION("""COMPUTED_VALUE"""),0.0)</f>
        <v>0</v>
      </c>
    </row>
    <row r="682">
      <c r="A682" s="12" t="str">
        <f>IFERROR(__xludf.DUMMYFUNCTION("""COMPUTED_VALUE"""),"Batch 167")</f>
        <v>Batch 167</v>
      </c>
      <c r="B682" s="13" t="str">
        <f>IFERROR(__xludf.DUMMYFUNCTION("""COMPUTED_VALUE"""),"MRIDULC67")</f>
        <v>MRIDULC67</v>
      </c>
      <c r="C682" s="8">
        <f>IFERROR(__xludf.DUMMYFUNCTION("""COMPUTED_VALUE"""),0.0)</f>
        <v>0</v>
      </c>
      <c r="D682" s="8">
        <f>IFERROR(__xludf.DUMMYFUNCTION("""COMPUTED_VALUE"""),0.0)</f>
        <v>0</v>
      </c>
    </row>
    <row r="683">
      <c r="A683" s="12" t="str">
        <f>IFERROR(__xludf.DUMMYFUNCTION("""COMPUTED_VALUE"""),"Batch 167")</f>
        <v>Batch 167</v>
      </c>
      <c r="B683" s="13" t="str">
        <f>IFERROR(__xludf.DUMMYFUNCTION("""COMPUTED_VALUE"""),"mohitC67")</f>
        <v>mohitC67</v>
      </c>
      <c r="C683" s="8">
        <f>IFERROR(__xludf.DUMMYFUNCTION("""COMPUTED_VALUE"""),0.0)</f>
        <v>0</v>
      </c>
      <c r="D683" s="8">
        <f>IFERROR(__xludf.DUMMYFUNCTION("""COMPUTED_VALUE"""),0.0)</f>
        <v>0</v>
      </c>
    </row>
    <row r="684">
      <c r="A684" s="12" t="str">
        <f>IFERROR(__xludf.DUMMYFUNCTION("""COMPUTED_VALUE"""),"Batch 167")</f>
        <v>Batch 167</v>
      </c>
      <c r="B684" s="13" t="str">
        <f>IFERROR(__xludf.DUMMYFUNCTION("""COMPUTED_VALUE"""),"ShauryaC67")</f>
        <v>ShauryaC67</v>
      </c>
      <c r="C684" s="8">
        <f>IFERROR(__xludf.DUMMYFUNCTION("""COMPUTED_VALUE"""),2.0)</f>
        <v>2</v>
      </c>
      <c r="D684" s="8">
        <f>IFERROR(__xludf.DUMMYFUNCTION("""COMPUTED_VALUE"""),0.0)</f>
        <v>0</v>
      </c>
    </row>
    <row r="685">
      <c r="A685" s="12" t="str">
        <f>IFERROR(__xludf.DUMMYFUNCTION("""COMPUTED_VALUE"""),"Batch 167")</f>
        <v>Batch 167</v>
      </c>
      <c r="B685" s="13" t="str">
        <f>IFERROR(__xludf.DUMMYFUNCTION("""COMPUTED_VALUE"""),"SonuC67")</f>
        <v>SonuC67</v>
      </c>
      <c r="C685" s="8">
        <f>IFERROR(__xludf.DUMMYFUNCTION("""COMPUTED_VALUE"""),0.0)</f>
        <v>0</v>
      </c>
      <c r="D685" s="8">
        <f>IFERROR(__xludf.DUMMYFUNCTION("""COMPUTED_VALUE"""),0.0)</f>
        <v>0</v>
      </c>
    </row>
    <row r="686">
      <c r="A686" s="12" t="str">
        <f>IFERROR(__xludf.DUMMYFUNCTION("""COMPUTED_VALUE"""),"Batch 167")</f>
        <v>Batch 167</v>
      </c>
      <c r="B686" s="13" t="str">
        <f>IFERROR(__xludf.DUMMYFUNCTION("""COMPUTED_VALUE"""),"VeenaC67")</f>
        <v>VeenaC67</v>
      </c>
      <c r="C686" s="8">
        <f>IFERROR(__xludf.DUMMYFUNCTION("""COMPUTED_VALUE"""),0.0)</f>
        <v>0</v>
      </c>
      <c r="D686" s="8">
        <f>IFERROR(__xludf.DUMMYFUNCTION("""COMPUTED_VALUE"""),0.0)</f>
        <v>0</v>
      </c>
    </row>
    <row r="687">
      <c r="A687" s="12" t="str">
        <f>IFERROR(__xludf.DUMMYFUNCTION("""COMPUTED_VALUE"""),"Batch 167")</f>
        <v>Batch 167</v>
      </c>
      <c r="B687" s="13" t="str">
        <f>IFERROR(__xludf.DUMMYFUNCTION("""COMPUTED_VALUE"""),"VanshC67")</f>
        <v>VanshC67</v>
      </c>
      <c r="C687" s="8">
        <f>IFERROR(__xludf.DUMMYFUNCTION("""COMPUTED_VALUE"""),0.0)</f>
        <v>0</v>
      </c>
      <c r="D687" s="8">
        <f>IFERROR(__xludf.DUMMYFUNCTION("""COMPUTED_VALUE"""),0.0)</f>
        <v>0</v>
      </c>
    </row>
    <row r="688">
      <c r="A688" s="12" t="str">
        <f>IFERROR(__xludf.DUMMYFUNCTION("""COMPUTED_VALUE"""),"Batch 167")</f>
        <v>Batch 167</v>
      </c>
      <c r="B688" s="13" t="str">
        <f>IFERROR(__xludf.DUMMYFUNCTION("""COMPUTED_VALUE"""),"ManshaC67")</f>
        <v>ManshaC67</v>
      </c>
      <c r="C688" s="8">
        <f>IFERROR(__xludf.DUMMYFUNCTION("""COMPUTED_VALUE"""),0.0)</f>
        <v>0</v>
      </c>
      <c r="D688" s="8">
        <f>IFERROR(__xludf.DUMMYFUNCTION("""COMPUTED_VALUE"""),0.0)</f>
        <v>0</v>
      </c>
    </row>
    <row r="689">
      <c r="A689" s="12" t="str">
        <f>IFERROR(__xludf.DUMMYFUNCTION("""COMPUTED_VALUE"""),"Batch 167")</f>
        <v>Batch 167</v>
      </c>
      <c r="B689" s="13" t="str">
        <f>IFERROR(__xludf.DUMMYFUNCTION("""COMPUTED_VALUE"""),"YashasviC67")</f>
        <v>YashasviC67</v>
      </c>
      <c r="C689" s="8">
        <f>IFERROR(__xludf.DUMMYFUNCTION("""COMPUTED_VALUE"""),0.0)</f>
        <v>0</v>
      </c>
      <c r="D689" s="8">
        <f>IFERROR(__xludf.DUMMYFUNCTION("""COMPUTED_VALUE"""),0.0)</f>
        <v>0</v>
      </c>
    </row>
    <row r="690">
      <c r="A690" s="12" t="str">
        <f>IFERROR(__xludf.DUMMYFUNCTION("""COMPUTED_VALUE"""),"Batch 167")</f>
        <v>Batch 167</v>
      </c>
      <c r="B690" s="13" t="str">
        <f>IFERROR(__xludf.DUMMYFUNCTION("""COMPUTED_VALUE"""),"DanielC67")</f>
        <v>DanielC67</v>
      </c>
      <c r="C690" s="8">
        <f>IFERROR(__xludf.DUMMYFUNCTION("""COMPUTED_VALUE"""),0.0)</f>
        <v>0</v>
      </c>
      <c r="D690" s="8">
        <f>IFERROR(__xludf.DUMMYFUNCTION("""COMPUTED_VALUE"""),0.0)</f>
        <v>0</v>
      </c>
    </row>
    <row r="691">
      <c r="A691" s="12" t="str">
        <f>IFERROR(__xludf.DUMMYFUNCTION("""COMPUTED_VALUE"""),"Batch 167")</f>
        <v>Batch 167</v>
      </c>
      <c r="B691" s="13" t="str">
        <f>IFERROR(__xludf.DUMMYFUNCTION("""COMPUTED_VALUE"""),"SnehaC67")</f>
        <v>SnehaC67</v>
      </c>
      <c r="C691" s="8">
        <f>IFERROR(__xludf.DUMMYFUNCTION("""COMPUTED_VALUE"""),0.0)</f>
        <v>0</v>
      </c>
      <c r="D691" s="8">
        <f>IFERROR(__xludf.DUMMYFUNCTION("""COMPUTED_VALUE"""),0.0)</f>
        <v>0</v>
      </c>
    </row>
    <row r="692">
      <c r="A692" s="12" t="str">
        <f>IFERROR(__xludf.DUMMYFUNCTION("""COMPUTED_VALUE"""),"Batch 167")</f>
        <v>Batch 167</v>
      </c>
      <c r="B692" s="13" t="str">
        <f>IFERROR(__xludf.DUMMYFUNCTION("""COMPUTED_VALUE"""),"BharatC67")</f>
        <v>BharatC67</v>
      </c>
      <c r="C692" s="8">
        <f>IFERROR(__xludf.DUMMYFUNCTION("""COMPUTED_VALUE"""),0.0)</f>
        <v>0</v>
      </c>
      <c r="D692" s="8">
        <f>IFERROR(__xludf.DUMMYFUNCTION("""COMPUTED_VALUE"""),0.0)</f>
        <v>0</v>
      </c>
    </row>
    <row r="693">
      <c r="A693" s="9" t="str">
        <f>IFERROR(__xludf.DUMMYFUNCTION("""COMPUTED_VALUE"""),"Batch 167")</f>
        <v>Batch 167</v>
      </c>
      <c r="B693" s="9" t="str">
        <f>IFERROR(__xludf.DUMMYFUNCTION("""COMPUTED_VALUE"""),"SachinC67")</f>
        <v>SachinC67</v>
      </c>
      <c r="C693" s="8">
        <f>IFERROR(__xludf.DUMMYFUNCTION("""COMPUTED_VALUE"""),0.0)</f>
        <v>0</v>
      </c>
      <c r="D693" s="8">
        <f>IFERROR(__xludf.DUMMYFUNCTION("""COMPUTED_VALUE"""),0.0)</f>
        <v>0</v>
      </c>
    </row>
    <row r="694">
      <c r="A694" s="12"/>
      <c r="B694" s="13"/>
      <c r="C694" s="8">
        <f>IFERROR(__xludf.DUMMYFUNCTION("""COMPUTED_VALUE"""),0.0)</f>
        <v>0</v>
      </c>
      <c r="D694" s="8">
        <f>IFERROR(__xludf.DUMMYFUNCTION("""COMPUTED_VALUE"""),0.0)</f>
        <v>0</v>
      </c>
    </row>
    <row r="695">
      <c r="A695" s="12" t="str">
        <f>IFERROR(__xludf.DUMMYFUNCTION("""COMPUTED_VALUE"""),"Batch 168")</f>
        <v>Batch 168</v>
      </c>
      <c r="B695" s="13" t="str">
        <f>IFERROR(__xludf.DUMMYFUNCTION("""COMPUTED_VALUE"""),"MohammedC68")</f>
        <v>MohammedC68</v>
      </c>
      <c r="C695" s="8">
        <f>IFERROR(__xludf.DUMMYFUNCTION("""COMPUTED_VALUE"""),0.0)</f>
        <v>0</v>
      </c>
      <c r="D695" s="8">
        <f>IFERROR(__xludf.DUMMYFUNCTION("""COMPUTED_VALUE"""),0.0)</f>
        <v>0</v>
      </c>
    </row>
    <row r="696">
      <c r="A696" s="12" t="str">
        <f>IFERROR(__xludf.DUMMYFUNCTION("""COMPUTED_VALUE"""),"Batch 168")</f>
        <v>Batch 168</v>
      </c>
      <c r="B696" s="13" t="str">
        <f>IFERROR(__xludf.DUMMYFUNCTION("""COMPUTED_VALUE"""),"PreethuC68")</f>
        <v>PreethuC68</v>
      </c>
      <c r="C696" s="8">
        <f>IFERROR(__xludf.DUMMYFUNCTION("""COMPUTED_VALUE"""),0.0)</f>
        <v>0</v>
      </c>
      <c r="D696" s="8">
        <f>IFERROR(__xludf.DUMMYFUNCTION("""COMPUTED_VALUE"""),0.0)</f>
        <v>0</v>
      </c>
    </row>
    <row r="697">
      <c r="A697" s="12" t="str">
        <f>IFERROR(__xludf.DUMMYFUNCTION("""COMPUTED_VALUE"""),"Batch 168")</f>
        <v>Batch 168</v>
      </c>
      <c r="B697" s="13" t="str">
        <f>IFERROR(__xludf.DUMMYFUNCTION("""COMPUTED_VALUE"""),"MukulC68")</f>
        <v>MukulC68</v>
      </c>
      <c r="C697" s="8">
        <f>IFERROR(__xludf.DUMMYFUNCTION("""COMPUTED_VALUE"""),1.0)</f>
        <v>1</v>
      </c>
      <c r="D697" s="8">
        <f>IFERROR(__xludf.DUMMYFUNCTION("""COMPUTED_VALUE"""),0.0)</f>
        <v>0</v>
      </c>
    </row>
    <row r="698">
      <c r="A698" s="12" t="str">
        <f>IFERROR(__xludf.DUMMYFUNCTION("""COMPUTED_VALUE"""),"Batch 168")</f>
        <v>Batch 168</v>
      </c>
      <c r="B698" s="13" t="str">
        <f>IFERROR(__xludf.DUMMYFUNCTION("""COMPUTED_VALUE"""),"HitakshiC68")</f>
        <v>HitakshiC68</v>
      </c>
      <c r="C698" s="8">
        <f>IFERROR(__xludf.DUMMYFUNCTION("""COMPUTED_VALUE"""),0.0)</f>
        <v>0</v>
      </c>
      <c r="D698" s="8">
        <f>IFERROR(__xludf.DUMMYFUNCTION("""COMPUTED_VALUE"""),0.0)</f>
        <v>0</v>
      </c>
    </row>
    <row r="699">
      <c r="A699" s="12" t="str">
        <f>IFERROR(__xludf.DUMMYFUNCTION("""COMPUTED_VALUE"""),"Batch 168")</f>
        <v>Batch 168</v>
      </c>
      <c r="B699" s="13" t="str">
        <f>IFERROR(__xludf.DUMMYFUNCTION("""COMPUTED_VALUE"""),"SubhamC68")</f>
        <v>SubhamC68</v>
      </c>
      <c r="C699" s="8">
        <f>IFERROR(__xludf.DUMMYFUNCTION("""COMPUTED_VALUE"""),0.0)</f>
        <v>0</v>
      </c>
      <c r="D699" s="8">
        <f>IFERROR(__xludf.DUMMYFUNCTION("""COMPUTED_VALUE"""),0.0)</f>
        <v>0</v>
      </c>
    </row>
    <row r="700">
      <c r="A700" s="12" t="str">
        <f>IFERROR(__xludf.DUMMYFUNCTION("""COMPUTED_VALUE"""),"Batch 168")</f>
        <v>Batch 168</v>
      </c>
      <c r="B700" s="13" t="str">
        <f>IFERROR(__xludf.DUMMYFUNCTION("""COMPUTED_VALUE"""),"PranviC68")</f>
        <v>PranviC68</v>
      </c>
      <c r="C700" s="8">
        <f>IFERROR(__xludf.DUMMYFUNCTION("""COMPUTED_VALUE"""),0.0)</f>
        <v>0</v>
      </c>
      <c r="D700" s="8">
        <f>IFERROR(__xludf.DUMMYFUNCTION("""COMPUTED_VALUE"""),0.0)</f>
        <v>0</v>
      </c>
    </row>
    <row r="701">
      <c r="A701" s="12" t="str">
        <f>IFERROR(__xludf.DUMMYFUNCTION("""COMPUTED_VALUE"""),"Batch 168")</f>
        <v>Batch 168</v>
      </c>
      <c r="B701" s="13" t="str">
        <f>IFERROR(__xludf.DUMMYFUNCTION("""COMPUTED_VALUE"""),"VeerababuC68")</f>
        <v>VeerababuC68</v>
      </c>
      <c r="C701" s="8">
        <f>IFERROR(__xludf.DUMMYFUNCTION("""COMPUTED_VALUE"""),0.0)</f>
        <v>0</v>
      </c>
      <c r="D701" s="8">
        <f>IFERROR(__xludf.DUMMYFUNCTION("""COMPUTED_VALUE"""),0.0)</f>
        <v>0</v>
      </c>
    </row>
    <row r="702">
      <c r="A702" s="12" t="str">
        <f>IFERROR(__xludf.DUMMYFUNCTION("""COMPUTED_VALUE"""),"Batch 168")</f>
        <v>Batch 168</v>
      </c>
      <c r="B702" s="13" t="str">
        <f>IFERROR(__xludf.DUMMYFUNCTION("""COMPUTED_VALUE"""),"DeepC68")</f>
        <v>DeepC68</v>
      </c>
      <c r="C702" s="8">
        <f>IFERROR(__xludf.DUMMYFUNCTION("""COMPUTED_VALUE"""),0.0)</f>
        <v>0</v>
      </c>
      <c r="D702" s="8">
        <f>IFERROR(__xludf.DUMMYFUNCTION("""COMPUTED_VALUE"""),0.0)</f>
        <v>0</v>
      </c>
    </row>
    <row r="703">
      <c r="A703" s="12" t="str">
        <f>IFERROR(__xludf.DUMMYFUNCTION("""COMPUTED_VALUE"""),"Batch 168")</f>
        <v>Batch 168</v>
      </c>
      <c r="B703" s="13" t="str">
        <f>IFERROR(__xludf.DUMMYFUNCTION("""COMPUTED_VALUE"""),"saniyaC68")</f>
        <v>saniyaC68</v>
      </c>
      <c r="C703" s="8">
        <f>IFERROR(__xludf.DUMMYFUNCTION("""COMPUTED_VALUE"""),12.0)</f>
        <v>12</v>
      </c>
      <c r="D703" s="8">
        <f>IFERROR(__xludf.DUMMYFUNCTION("""COMPUTED_VALUE"""),7.0)</f>
        <v>7</v>
      </c>
    </row>
    <row r="704">
      <c r="A704" s="12" t="str">
        <f>IFERROR(__xludf.DUMMYFUNCTION("""COMPUTED_VALUE"""),"Batch 168")</f>
        <v>Batch 168</v>
      </c>
      <c r="B704" s="13" t="str">
        <f>IFERROR(__xludf.DUMMYFUNCTION("""COMPUTED_VALUE"""),"TabishC68")</f>
        <v>TabishC68</v>
      </c>
      <c r="C704" s="8">
        <f>IFERROR(__xludf.DUMMYFUNCTION("""COMPUTED_VALUE"""),0.0)</f>
        <v>0</v>
      </c>
      <c r="D704" s="8">
        <f>IFERROR(__xludf.DUMMYFUNCTION("""COMPUTED_VALUE"""),0.0)</f>
        <v>0</v>
      </c>
    </row>
    <row r="705">
      <c r="A705" s="12" t="str">
        <f>IFERROR(__xludf.DUMMYFUNCTION("""COMPUTED_VALUE"""),"Batch 168")</f>
        <v>Batch 168</v>
      </c>
      <c r="B705" s="13" t="str">
        <f>IFERROR(__xludf.DUMMYFUNCTION("""COMPUTED_VALUE"""),"AnshikaC68")</f>
        <v>AnshikaC68</v>
      </c>
      <c r="C705" s="8">
        <f>IFERROR(__xludf.DUMMYFUNCTION("""COMPUTED_VALUE"""),5.0)</f>
        <v>5</v>
      </c>
      <c r="D705" s="8">
        <f>IFERROR(__xludf.DUMMYFUNCTION("""COMPUTED_VALUE"""),0.0)</f>
        <v>0</v>
      </c>
    </row>
    <row r="706">
      <c r="A706" s="12" t="str">
        <f>IFERROR(__xludf.DUMMYFUNCTION("""COMPUTED_VALUE"""),"Batch 168")</f>
        <v>Batch 168</v>
      </c>
      <c r="B706" s="13" t="str">
        <f>IFERROR(__xludf.DUMMYFUNCTION("""COMPUTED_VALUE"""),"SouravC68")</f>
        <v>SouravC68</v>
      </c>
      <c r="C706" s="8">
        <f>IFERROR(__xludf.DUMMYFUNCTION("""COMPUTED_VALUE"""),0.0)</f>
        <v>0</v>
      </c>
      <c r="D706" s="8">
        <f>IFERROR(__xludf.DUMMYFUNCTION("""COMPUTED_VALUE"""),0.0)</f>
        <v>0</v>
      </c>
    </row>
    <row r="707">
      <c r="A707" s="12" t="str">
        <f>IFERROR(__xludf.DUMMYFUNCTION("""COMPUTED_VALUE"""),"Batch 168")</f>
        <v>Batch 168</v>
      </c>
      <c r="B707" s="13" t="str">
        <f>IFERROR(__xludf.DUMMYFUNCTION("""COMPUTED_VALUE"""),"PoojaC68")</f>
        <v>PoojaC68</v>
      </c>
      <c r="C707" s="8">
        <f>IFERROR(__xludf.DUMMYFUNCTION("""COMPUTED_VALUE"""),0.0)</f>
        <v>0</v>
      </c>
      <c r="D707" s="8">
        <f>IFERROR(__xludf.DUMMYFUNCTION("""COMPUTED_VALUE"""),0.0)</f>
        <v>0</v>
      </c>
    </row>
    <row r="708">
      <c r="A708" s="12" t="str">
        <f>IFERROR(__xludf.DUMMYFUNCTION("""COMPUTED_VALUE"""),"Batch 168")</f>
        <v>Batch 168</v>
      </c>
      <c r="B708" s="13" t="str">
        <f>IFERROR(__xludf.DUMMYFUNCTION("""COMPUTED_VALUE"""),"AkashC68")</f>
        <v>AkashC68</v>
      </c>
      <c r="C708" s="8">
        <f>IFERROR(__xludf.DUMMYFUNCTION("""COMPUTED_VALUE"""),0.0)</f>
        <v>0</v>
      </c>
      <c r="D708" s="8">
        <f>IFERROR(__xludf.DUMMYFUNCTION("""COMPUTED_VALUE"""),0.0)</f>
        <v>0</v>
      </c>
    </row>
    <row r="709">
      <c r="A709" s="12" t="str">
        <f>IFERROR(__xludf.DUMMYFUNCTION("""COMPUTED_VALUE"""),"Batch 168")</f>
        <v>Batch 168</v>
      </c>
      <c r="B709" s="13" t="str">
        <f>IFERROR(__xludf.DUMMYFUNCTION("""COMPUTED_VALUE"""),"KshitizC68")</f>
        <v>KshitizC68</v>
      </c>
      <c r="C709" s="8">
        <f>IFERROR(__xludf.DUMMYFUNCTION("""COMPUTED_VALUE"""),0.0)</f>
        <v>0</v>
      </c>
      <c r="D709" s="8">
        <f>IFERROR(__xludf.DUMMYFUNCTION("""COMPUTED_VALUE"""),0.0)</f>
        <v>0</v>
      </c>
    </row>
    <row r="710">
      <c r="A710" s="12" t="str">
        <f>IFERROR(__xludf.DUMMYFUNCTION("""COMPUTED_VALUE"""),"Batch 168")</f>
        <v>Batch 168</v>
      </c>
      <c r="B710" s="13" t="str">
        <f>IFERROR(__xludf.DUMMYFUNCTION("""COMPUTED_VALUE"""),"ShivamC68")</f>
        <v>ShivamC68</v>
      </c>
      <c r="C710" s="8">
        <f>IFERROR(__xludf.DUMMYFUNCTION("""COMPUTED_VALUE"""),0.0)</f>
        <v>0</v>
      </c>
      <c r="D710" s="8">
        <f>IFERROR(__xludf.DUMMYFUNCTION("""COMPUTED_VALUE"""),0.0)</f>
        <v>0</v>
      </c>
    </row>
    <row r="711">
      <c r="A711" s="12" t="str">
        <f>IFERROR(__xludf.DUMMYFUNCTION("""COMPUTED_VALUE"""),"Batch 168")</f>
        <v>Batch 168</v>
      </c>
      <c r="B711" s="13" t="str">
        <f>IFERROR(__xludf.DUMMYFUNCTION("""COMPUTED_VALUE"""),"Miss.C68")</f>
        <v>Miss.C68</v>
      </c>
      <c r="C711" s="8">
        <f>IFERROR(__xludf.DUMMYFUNCTION("""COMPUTED_VALUE"""),0.0)</f>
        <v>0</v>
      </c>
      <c r="D711" s="8">
        <f>IFERROR(__xludf.DUMMYFUNCTION("""COMPUTED_VALUE"""),0.0)</f>
        <v>0</v>
      </c>
    </row>
    <row r="712">
      <c r="A712" s="12" t="str">
        <f>IFERROR(__xludf.DUMMYFUNCTION("""COMPUTED_VALUE"""),"Batch 168")</f>
        <v>Batch 168</v>
      </c>
      <c r="B712" s="13" t="str">
        <f>IFERROR(__xludf.DUMMYFUNCTION("""COMPUTED_VALUE"""),"SoukaryaC68")</f>
        <v>SoukaryaC68</v>
      </c>
      <c r="C712" s="8">
        <f>IFERROR(__xludf.DUMMYFUNCTION("""COMPUTED_VALUE"""),0.0)</f>
        <v>0</v>
      </c>
      <c r="D712" s="8">
        <f>IFERROR(__xludf.DUMMYFUNCTION("""COMPUTED_VALUE"""),0.0)</f>
        <v>0</v>
      </c>
    </row>
    <row r="713">
      <c r="A713" s="12" t="str">
        <f>IFERROR(__xludf.DUMMYFUNCTION("""COMPUTED_VALUE"""),"Batch 168")</f>
        <v>Batch 168</v>
      </c>
      <c r="B713" s="13" t="str">
        <f>IFERROR(__xludf.DUMMYFUNCTION("""COMPUTED_VALUE"""),"SuparthC68")</f>
        <v>SuparthC68</v>
      </c>
      <c r="C713" s="8">
        <f>IFERROR(__xludf.DUMMYFUNCTION("""COMPUTED_VALUE"""),0.0)</f>
        <v>0</v>
      </c>
      <c r="D713" s="8">
        <f>IFERROR(__xludf.DUMMYFUNCTION("""COMPUTED_VALUE"""),0.0)</f>
        <v>0</v>
      </c>
    </row>
    <row r="714">
      <c r="A714" s="12" t="str">
        <f>IFERROR(__xludf.DUMMYFUNCTION("""COMPUTED_VALUE"""),"Batch 168")</f>
        <v>Batch 168</v>
      </c>
      <c r="B714" s="13" t="str">
        <f>IFERROR(__xludf.DUMMYFUNCTION("""COMPUTED_VALUE"""),"SayaliC68")</f>
        <v>SayaliC68</v>
      </c>
      <c r="C714" s="8">
        <f>IFERROR(__xludf.DUMMYFUNCTION("""COMPUTED_VALUE"""),0.0)</f>
        <v>0</v>
      </c>
      <c r="D714" s="8">
        <f>IFERROR(__xludf.DUMMYFUNCTION("""COMPUTED_VALUE"""),0.0)</f>
        <v>0</v>
      </c>
    </row>
    <row r="715">
      <c r="A715" s="12" t="str">
        <f>IFERROR(__xludf.DUMMYFUNCTION("""COMPUTED_VALUE"""),"Batch 168")</f>
        <v>Batch 168</v>
      </c>
      <c r="B715" s="13" t="str">
        <f>IFERROR(__xludf.DUMMYFUNCTION("""COMPUTED_VALUE"""),"JaspreetC68")</f>
        <v>JaspreetC68</v>
      </c>
      <c r="C715" s="8">
        <f>IFERROR(__xludf.DUMMYFUNCTION("""COMPUTED_VALUE"""),0.0)</f>
        <v>0</v>
      </c>
      <c r="D715" s="8">
        <f>IFERROR(__xludf.DUMMYFUNCTION("""COMPUTED_VALUE"""),0.0)</f>
        <v>0</v>
      </c>
    </row>
    <row r="716">
      <c r="A716" s="12" t="str">
        <f>IFERROR(__xludf.DUMMYFUNCTION("""COMPUTED_VALUE"""),"Batch 168")</f>
        <v>Batch 168</v>
      </c>
      <c r="B716" s="13" t="str">
        <f>IFERROR(__xludf.DUMMYFUNCTION("""COMPUTED_VALUE"""),"NikhilC68")</f>
        <v>NikhilC68</v>
      </c>
      <c r="C716" s="8">
        <f>IFERROR(__xludf.DUMMYFUNCTION("""COMPUTED_VALUE"""),0.0)</f>
        <v>0</v>
      </c>
      <c r="D716" s="8">
        <f>IFERROR(__xludf.DUMMYFUNCTION("""COMPUTED_VALUE"""),0.0)</f>
        <v>0</v>
      </c>
    </row>
    <row r="717">
      <c r="A717" s="12" t="str">
        <f>IFERROR(__xludf.DUMMYFUNCTION("""COMPUTED_VALUE"""),"Batch 168")</f>
        <v>Batch 168</v>
      </c>
      <c r="B717" s="13" t="str">
        <f>IFERROR(__xludf.DUMMYFUNCTION("""COMPUTED_VALUE"""),"SonalC68")</f>
        <v>SonalC68</v>
      </c>
      <c r="C717" s="8">
        <f>IFERROR(__xludf.DUMMYFUNCTION("""COMPUTED_VALUE"""),0.0)</f>
        <v>0</v>
      </c>
      <c r="D717" s="8">
        <f>IFERROR(__xludf.DUMMYFUNCTION("""COMPUTED_VALUE"""),0.0)</f>
        <v>0</v>
      </c>
    </row>
    <row r="718">
      <c r="A718" s="12" t="str">
        <f>IFERROR(__xludf.DUMMYFUNCTION("""COMPUTED_VALUE"""),"Batch 168")</f>
        <v>Batch 168</v>
      </c>
      <c r="B718" s="13" t="str">
        <f>IFERROR(__xludf.DUMMYFUNCTION("""COMPUTED_VALUE"""),"RohanC68")</f>
        <v>RohanC68</v>
      </c>
      <c r="C718" s="8">
        <f>IFERROR(__xludf.DUMMYFUNCTION("""COMPUTED_VALUE"""),0.0)</f>
        <v>0</v>
      </c>
      <c r="D718" s="8">
        <f>IFERROR(__xludf.DUMMYFUNCTION("""COMPUTED_VALUE"""),0.0)</f>
        <v>0</v>
      </c>
    </row>
    <row r="719">
      <c r="A719" s="12" t="str">
        <f>IFERROR(__xludf.DUMMYFUNCTION("""COMPUTED_VALUE"""),"Batch 168")</f>
        <v>Batch 168</v>
      </c>
      <c r="B719" s="13" t="str">
        <f>IFERROR(__xludf.DUMMYFUNCTION("""COMPUTED_VALUE"""),"KarriC68")</f>
        <v>KarriC68</v>
      </c>
      <c r="C719" s="8">
        <f>IFERROR(__xludf.DUMMYFUNCTION("""COMPUTED_VALUE"""),0.0)</f>
        <v>0</v>
      </c>
      <c r="D719" s="8">
        <f>IFERROR(__xludf.DUMMYFUNCTION("""COMPUTED_VALUE"""),0.0)</f>
        <v>0</v>
      </c>
    </row>
    <row r="720">
      <c r="A720" s="12" t="str">
        <f>IFERROR(__xludf.DUMMYFUNCTION("""COMPUTED_VALUE"""),"Batch 168")</f>
        <v>Batch 168</v>
      </c>
      <c r="B720" s="13" t="str">
        <f>IFERROR(__xludf.DUMMYFUNCTION("""COMPUTED_VALUE"""),"AvnishC68")</f>
        <v>AvnishC68</v>
      </c>
      <c r="C720" s="8">
        <f>IFERROR(__xludf.DUMMYFUNCTION("""COMPUTED_VALUE"""),0.0)</f>
        <v>0</v>
      </c>
      <c r="D720" s="8">
        <f>IFERROR(__xludf.DUMMYFUNCTION("""COMPUTED_VALUE"""),0.0)</f>
        <v>0</v>
      </c>
    </row>
    <row r="721">
      <c r="A721" s="12" t="str">
        <f>IFERROR(__xludf.DUMMYFUNCTION("""COMPUTED_VALUE"""),"Batch 168")</f>
        <v>Batch 168</v>
      </c>
      <c r="B721" s="13" t="str">
        <f>IFERROR(__xludf.DUMMYFUNCTION("""COMPUTED_VALUE"""),"SaishC68")</f>
        <v>SaishC68</v>
      </c>
      <c r="C721" s="8">
        <f>IFERROR(__xludf.DUMMYFUNCTION("""COMPUTED_VALUE"""),0.0)</f>
        <v>0</v>
      </c>
      <c r="D721" s="8">
        <f>IFERROR(__xludf.DUMMYFUNCTION("""COMPUTED_VALUE"""),0.0)</f>
        <v>0</v>
      </c>
    </row>
    <row r="722">
      <c r="A722" s="12" t="str">
        <f>IFERROR(__xludf.DUMMYFUNCTION("""COMPUTED_VALUE"""),"Batch 168")</f>
        <v>Batch 168</v>
      </c>
      <c r="B722" s="13" t="str">
        <f>IFERROR(__xludf.DUMMYFUNCTION("""COMPUTED_VALUE"""),"GARIMAC68")</f>
        <v>GARIMAC68</v>
      </c>
      <c r="C722" s="8">
        <f>IFERROR(__xludf.DUMMYFUNCTION("""COMPUTED_VALUE"""),15.0)</f>
        <v>15</v>
      </c>
      <c r="D722" s="8">
        <f>IFERROR(__xludf.DUMMYFUNCTION("""COMPUTED_VALUE"""),7.0)</f>
        <v>7</v>
      </c>
    </row>
    <row r="723">
      <c r="A723" s="12" t="str">
        <f>IFERROR(__xludf.DUMMYFUNCTION("""COMPUTED_VALUE"""),"Batch 168")</f>
        <v>Batch 168</v>
      </c>
      <c r="B723" s="13" t="str">
        <f>IFERROR(__xludf.DUMMYFUNCTION("""COMPUTED_VALUE"""),"ChhaviC68")</f>
        <v>ChhaviC68</v>
      </c>
      <c r="C723" s="8">
        <f>IFERROR(__xludf.DUMMYFUNCTION("""COMPUTED_VALUE"""),0.0)</f>
        <v>0</v>
      </c>
      <c r="D723" s="8">
        <f>IFERROR(__xludf.DUMMYFUNCTION("""COMPUTED_VALUE"""),0.0)</f>
        <v>0</v>
      </c>
    </row>
    <row r="724">
      <c r="A724" s="9" t="str">
        <f>IFERROR(__xludf.DUMMYFUNCTION("""COMPUTED_VALUE"""),"Batch 168")</f>
        <v>Batch 168</v>
      </c>
      <c r="B724" s="9" t="str">
        <f>IFERROR(__xludf.DUMMYFUNCTION("""COMPUTED_VALUE"""),"SumitC68")</f>
        <v>SumitC68</v>
      </c>
      <c r="C724" s="8">
        <f>IFERROR(__xludf.DUMMYFUNCTION("""COMPUTED_VALUE"""),0.0)</f>
        <v>0</v>
      </c>
      <c r="D724" s="8">
        <f>IFERROR(__xludf.DUMMYFUNCTION("""COMPUTED_VALUE"""),0.0)</f>
        <v>0</v>
      </c>
    </row>
    <row r="725">
      <c r="A725" s="9"/>
      <c r="B725" s="7"/>
      <c r="C725" s="8">
        <f>IFERROR(__xludf.DUMMYFUNCTION("""COMPUTED_VALUE"""),0.0)</f>
        <v>0</v>
      </c>
      <c r="D725" s="8">
        <f>IFERROR(__xludf.DUMMYFUNCTION("""COMPUTED_VALUE"""),0.0)</f>
        <v>0</v>
      </c>
    </row>
    <row r="726">
      <c r="A726" s="9" t="str">
        <f>IFERROR(__xludf.DUMMYFUNCTION("""COMPUTED_VALUE"""),"Batch 169 ")</f>
        <v>Batch 169 </v>
      </c>
      <c r="B726" s="7" t="str">
        <f>IFERROR(__xludf.DUMMYFUNCTION("""COMPUTED_VALUE"""),"PravinC69")</f>
        <v>PravinC69</v>
      </c>
      <c r="C726" s="8">
        <f>IFERROR(__xludf.DUMMYFUNCTION("""COMPUTED_VALUE"""),1.0)</f>
        <v>1</v>
      </c>
      <c r="D726" s="8">
        <f>IFERROR(__xludf.DUMMYFUNCTION("""COMPUTED_VALUE"""),0.0)</f>
        <v>0</v>
      </c>
    </row>
    <row r="727">
      <c r="A727" s="9" t="str">
        <f>IFERROR(__xludf.DUMMYFUNCTION("""COMPUTED_VALUE"""),"Batch 169 ")</f>
        <v>Batch 169 </v>
      </c>
      <c r="B727" s="7" t="str">
        <f>IFERROR(__xludf.DUMMYFUNCTION("""COMPUTED_VALUE"""),"ShiomC69")</f>
        <v>ShiomC69</v>
      </c>
      <c r="C727" s="8">
        <f>IFERROR(__xludf.DUMMYFUNCTION("""COMPUTED_VALUE"""),0.0)</f>
        <v>0</v>
      </c>
      <c r="D727" s="8">
        <f>IFERROR(__xludf.DUMMYFUNCTION("""COMPUTED_VALUE"""),0.0)</f>
        <v>0</v>
      </c>
    </row>
    <row r="728">
      <c r="A728" s="9" t="str">
        <f>IFERROR(__xludf.DUMMYFUNCTION("""COMPUTED_VALUE"""),"Batch 169 ")</f>
        <v>Batch 169 </v>
      </c>
      <c r="B728" s="7" t="str">
        <f>IFERROR(__xludf.DUMMYFUNCTION("""COMPUTED_VALUE"""),"ojasvitaC69")</f>
        <v>ojasvitaC69</v>
      </c>
      <c r="C728" s="8">
        <f>IFERROR(__xludf.DUMMYFUNCTION("""COMPUTED_VALUE"""),64.0)</f>
        <v>64</v>
      </c>
      <c r="D728" s="8">
        <f>IFERROR(__xludf.DUMMYFUNCTION("""COMPUTED_VALUE"""),30.0)</f>
        <v>30</v>
      </c>
    </row>
    <row r="729">
      <c r="A729" s="9" t="str">
        <f>IFERROR(__xludf.DUMMYFUNCTION("""COMPUTED_VALUE"""),"Batch 169 ")</f>
        <v>Batch 169 </v>
      </c>
      <c r="B729" s="7" t="str">
        <f>IFERROR(__xludf.DUMMYFUNCTION("""COMPUTED_VALUE"""),"KhushiC69")</f>
        <v>KhushiC69</v>
      </c>
      <c r="C729" s="8">
        <f>IFERROR(__xludf.DUMMYFUNCTION("""COMPUTED_VALUE"""),0.0)</f>
        <v>0</v>
      </c>
      <c r="D729" s="8">
        <f>IFERROR(__xludf.DUMMYFUNCTION("""COMPUTED_VALUE"""),0.0)</f>
        <v>0</v>
      </c>
    </row>
    <row r="730">
      <c r="A730" s="9" t="str">
        <f>IFERROR(__xludf.DUMMYFUNCTION("""COMPUTED_VALUE"""),"Batch 169 ")</f>
        <v>Batch 169 </v>
      </c>
      <c r="B730" s="7" t="str">
        <f>IFERROR(__xludf.DUMMYFUNCTION("""COMPUTED_VALUE"""),"AnuragC69")</f>
        <v>AnuragC69</v>
      </c>
      <c r="C730" s="8">
        <f>IFERROR(__xludf.DUMMYFUNCTION("""COMPUTED_VALUE"""),0.0)</f>
        <v>0</v>
      </c>
      <c r="D730" s="8">
        <f>IFERROR(__xludf.DUMMYFUNCTION("""COMPUTED_VALUE"""),0.0)</f>
        <v>0</v>
      </c>
    </row>
    <row r="731">
      <c r="A731" s="9" t="str">
        <f>IFERROR(__xludf.DUMMYFUNCTION("""COMPUTED_VALUE"""),"Batch 169 ")</f>
        <v>Batch 169 </v>
      </c>
      <c r="B731" s="7" t="str">
        <f>IFERROR(__xludf.DUMMYFUNCTION("""COMPUTED_VALUE"""),"LokendraC69")</f>
        <v>LokendraC69</v>
      </c>
      <c r="C731" s="8">
        <f>IFERROR(__xludf.DUMMYFUNCTION("""COMPUTED_VALUE"""),0.0)</f>
        <v>0</v>
      </c>
      <c r="D731" s="8">
        <f>IFERROR(__xludf.DUMMYFUNCTION("""COMPUTED_VALUE"""),0.0)</f>
        <v>0</v>
      </c>
    </row>
    <row r="732">
      <c r="A732" s="9" t="str">
        <f>IFERROR(__xludf.DUMMYFUNCTION("""COMPUTED_VALUE"""),"Batch 169 ")</f>
        <v>Batch 169 </v>
      </c>
      <c r="B732" s="7" t="str">
        <f>IFERROR(__xludf.DUMMYFUNCTION("""COMPUTED_VALUE"""),"TanujC69")</f>
        <v>TanujC69</v>
      </c>
      <c r="C732" s="8">
        <f>IFERROR(__xludf.DUMMYFUNCTION("""COMPUTED_VALUE"""),0.0)</f>
        <v>0</v>
      </c>
      <c r="D732" s="8">
        <f>IFERROR(__xludf.DUMMYFUNCTION("""COMPUTED_VALUE"""),0.0)</f>
        <v>0</v>
      </c>
    </row>
    <row r="733">
      <c r="A733" s="9" t="str">
        <f>IFERROR(__xludf.DUMMYFUNCTION("""COMPUTED_VALUE"""),"Batch 169 ")</f>
        <v>Batch 169 </v>
      </c>
      <c r="B733" s="7" t="str">
        <f>IFERROR(__xludf.DUMMYFUNCTION("""COMPUTED_VALUE"""),"MaanyathaC69")</f>
        <v>MaanyathaC69</v>
      </c>
      <c r="C733" s="8">
        <f>IFERROR(__xludf.DUMMYFUNCTION("""COMPUTED_VALUE"""),0.0)</f>
        <v>0</v>
      </c>
      <c r="D733" s="8"/>
    </row>
    <row r="734">
      <c r="A734" s="9" t="str">
        <f>IFERROR(__xludf.DUMMYFUNCTION("""COMPUTED_VALUE"""),"Batch 169 ")</f>
        <v>Batch 169 </v>
      </c>
      <c r="B734" s="7" t="str">
        <f>IFERROR(__xludf.DUMMYFUNCTION("""COMPUTED_VALUE"""),"AradhayaC69")</f>
        <v>AradhayaC69</v>
      </c>
      <c r="C734" s="8">
        <f>IFERROR(__xludf.DUMMYFUNCTION("""COMPUTED_VALUE"""),0.0)</f>
        <v>0</v>
      </c>
      <c r="D734" s="8"/>
    </row>
    <row r="735">
      <c r="A735" s="9" t="str">
        <f>IFERROR(__xludf.DUMMYFUNCTION("""COMPUTED_VALUE"""),"Batch 169 ")</f>
        <v>Batch 169 </v>
      </c>
      <c r="B735" s="7" t="str">
        <f>IFERROR(__xludf.DUMMYFUNCTION("""COMPUTED_VALUE"""),"DarshanC69")</f>
        <v>DarshanC69</v>
      </c>
      <c r="C735" s="8">
        <f>IFERROR(__xludf.DUMMYFUNCTION("""COMPUTED_VALUE"""),0.0)</f>
        <v>0</v>
      </c>
      <c r="D735" s="8"/>
    </row>
    <row r="736">
      <c r="A736" s="9" t="str">
        <f>IFERROR(__xludf.DUMMYFUNCTION("""COMPUTED_VALUE"""),"Batch 169 ")</f>
        <v>Batch 169 </v>
      </c>
      <c r="B736" s="7" t="str">
        <f>IFERROR(__xludf.DUMMYFUNCTION("""COMPUTED_VALUE"""),"KC69")</f>
        <v>KC69</v>
      </c>
      <c r="C736" s="8">
        <f>IFERROR(__xludf.DUMMYFUNCTION("""COMPUTED_VALUE"""),0.0)</f>
        <v>0</v>
      </c>
      <c r="D736" s="8"/>
    </row>
    <row r="737">
      <c r="A737" s="9" t="str">
        <f>IFERROR(__xludf.DUMMYFUNCTION("""COMPUTED_VALUE"""),"Batch 169 ")</f>
        <v>Batch 169 </v>
      </c>
      <c r="B737" s="7" t="str">
        <f>IFERROR(__xludf.DUMMYFUNCTION("""COMPUTED_VALUE"""),"TwinkleC69")</f>
        <v>TwinkleC69</v>
      </c>
      <c r="C737" s="8">
        <f>IFERROR(__xludf.DUMMYFUNCTION("""COMPUTED_VALUE"""),0.0)</f>
        <v>0</v>
      </c>
      <c r="D737" s="8"/>
    </row>
    <row r="738">
      <c r="A738" s="9" t="str">
        <f>IFERROR(__xludf.DUMMYFUNCTION("""COMPUTED_VALUE"""),"Batch 169 ")</f>
        <v>Batch 169 </v>
      </c>
      <c r="B738" s="7" t="str">
        <f>IFERROR(__xludf.DUMMYFUNCTION("""COMPUTED_VALUE"""),"JanviC69")</f>
        <v>JanviC69</v>
      </c>
      <c r="C738" s="8">
        <f>IFERROR(__xludf.DUMMYFUNCTION("""COMPUTED_VALUE"""),0.0)</f>
        <v>0</v>
      </c>
      <c r="D738" s="8"/>
    </row>
    <row r="739">
      <c r="A739" s="9" t="str">
        <f>IFERROR(__xludf.DUMMYFUNCTION("""COMPUTED_VALUE"""),"Batch 169 ")</f>
        <v>Batch 169 </v>
      </c>
      <c r="B739" s="7" t="str">
        <f>IFERROR(__xludf.DUMMYFUNCTION("""COMPUTED_VALUE"""),"GauriC69")</f>
        <v>GauriC69</v>
      </c>
      <c r="C739" s="8">
        <f>IFERROR(__xludf.DUMMYFUNCTION("""COMPUTED_VALUE"""),0.0)</f>
        <v>0</v>
      </c>
      <c r="D739" s="8"/>
    </row>
    <row r="740">
      <c r="A740" s="9" t="str">
        <f>IFERROR(__xludf.DUMMYFUNCTION("""COMPUTED_VALUE"""),"Batch 169 ")</f>
        <v>Batch 169 </v>
      </c>
      <c r="B740" s="7" t="str">
        <f>IFERROR(__xludf.DUMMYFUNCTION("""COMPUTED_VALUE"""),"SiddhiC69")</f>
        <v>SiddhiC69</v>
      </c>
      <c r="C740" s="8">
        <f>IFERROR(__xludf.DUMMYFUNCTION("""COMPUTED_VALUE"""),0.0)</f>
        <v>0</v>
      </c>
      <c r="D740" s="8"/>
    </row>
    <row r="741">
      <c r="A741" s="9" t="str">
        <f>IFERROR(__xludf.DUMMYFUNCTION("""COMPUTED_VALUE"""),"Batch 169 ")</f>
        <v>Batch 169 </v>
      </c>
      <c r="B741" s="7" t="str">
        <f>IFERROR(__xludf.DUMMYFUNCTION("""COMPUTED_VALUE"""),"AbhishekC69")</f>
        <v>AbhishekC69</v>
      </c>
      <c r="C741" s="8">
        <f>IFERROR(__xludf.DUMMYFUNCTION("""COMPUTED_VALUE"""),0.0)</f>
        <v>0</v>
      </c>
      <c r="D741" s="8"/>
    </row>
    <row r="742">
      <c r="A742" s="9" t="str">
        <f>IFERROR(__xludf.DUMMYFUNCTION("""COMPUTED_VALUE"""),"Batch 169 ")</f>
        <v>Batch 169 </v>
      </c>
      <c r="B742" s="7" t="str">
        <f>IFERROR(__xludf.DUMMYFUNCTION("""COMPUTED_VALUE"""),"RiddhiC69")</f>
        <v>RiddhiC69</v>
      </c>
      <c r="C742" s="8">
        <f>IFERROR(__xludf.DUMMYFUNCTION("""COMPUTED_VALUE"""),0.0)</f>
        <v>0</v>
      </c>
      <c r="D742" s="8"/>
    </row>
    <row r="743">
      <c r="A743" s="9" t="str">
        <f>IFERROR(__xludf.DUMMYFUNCTION("""COMPUTED_VALUE"""),"Batch 169 ")</f>
        <v>Batch 169 </v>
      </c>
      <c r="B743" s="7" t="str">
        <f>IFERROR(__xludf.DUMMYFUNCTION("""COMPUTED_VALUE"""),"AsishC69")</f>
        <v>AsishC69</v>
      </c>
      <c r="C743" s="8">
        <f>IFERROR(__xludf.DUMMYFUNCTION("""COMPUTED_VALUE"""),0.0)</f>
        <v>0</v>
      </c>
      <c r="D743" s="8"/>
    </row>
    <row r="744">
      <c r="A744" s="9" t="str">
        <f>IFERROR(__xludf.DUMMYFUNCTION("""COMPUTED_VALUE"""),"Batch 169 ")</f>
        <v>Batch 169 </v>
      </c>
      <c r="B744" s="7" t="str">
        <f>IFERROR(__xludf.DUMMYFUNCTION("""COMPUTED_VALUE"""),"SonamC69")</f>
        <v>SonamC69</v>
      </c>
      <c r="C744" s="8">
        <f>IFERROR(__xludf.DUMMYFUNCTION("""COMPUTED_VALUE"""),0.0)</f>
        <v>0</v>
      </c>
      <c r="D744" s="8"/>
    </row>
    <row r="745">
      <c r="A745" s="9" t="str">
        <f>IFERROR(__xludf.DUMMYFUNCTION("""COMPUTED_VALUE"""),"Batch 169 ")</f>
        <v>Batch 169 </v>
      </c>
      <c r="B745" s="7" t="str">
        <f>IFERROR(__xludf.DUMMYFUNCTION("""COMPUTED_VALUE"""),"ChallaC69")</f>
        <v>ChallaC69</v>
      </c>
      <c r="C745" s="8">
        <f>IFERROR(__xludf.DUMMYFUNCTION("""COMPUTED_VALUE"""),0.0)</f>
        <v>0</v>
      </c>
      <c r="D745" s="8"/>
    </row>
    <row r="746">
      <c r="A746" s="9" t="str">
        <f>IFERROR(__xludf.DUMMYFUNCTION("""COMPUTED_VALUE"""),"Batch 169 ")</f>
        <v>Batch 169 </v>
      </c>
      <c r="B746" s="7" t="str">
        <f>IFERROR(__xludf.DUMMYFUNCTION("""COMPUTED_VALUE"""),"SakshisinhaC69")</f>
        <v>SakshisinhaC69</v>
      </c>
      <c r="C746" s="8">
        <f>IFERROR(__xludf.DUMMYFUNCTION("""COMPUTED_VALUE"""),0.0)</f>
        <v>0</v>
      </c>
      <c r="D746" s="8"/>
    </row>
    <row r="747">
      <c r="A747" s="9" t="str">
        <f>IFERROR(__xludf.DUMMYFUNCTION("""COMPUTED_VALUE"""),"Batch 169 ")</f>
        <v>Batch 169 </v>
      </c>
      <c r="B747" s="7" t="str">
        <f>IFERROR(__xludf.DUMMYFUNCTION("""COMPUTED_VALUE"""),"DivyaC69")</f>
        <v>DivyaC69</v>
      </c>
      <c r="C747" s="8">
        <f>IFERROR(__xludf.DUMMYFUNCTION("""COMPUTED_VALUE"""),0.0)</f>
        <v>0</v>
      </c>
      <c r="D747" s="8"/>
    </row>
    <row r="748">
      <c r="A748" s="9" t="str">
        <f>IFERROR(__xludf.DUMMYFUNCTION("""COMPUTED_VALUE"""),"Batch 169 ")</f>
        <v>Batch 169 </v>
      </c>
      <c r="B748" s="7" t="str">
        <f>IFERROR(__xludf.DUMMYFUNCTION("""COMPUTED_VALUE"""),"MayankC69")</f>
        <v>MayankC69</v>
      </c>
      <c r="C748" s="8">
        <f>IFERROR(__xludf.DUMMYFUNCTION("""COMPUTED_VALUE"""),0.0)</f>
        <v>0</v>
      </c>
      <c r="D748" s="8"/>
    </row>
    <row r="749">
      <c r="A749" s="9" t="str">
        <f>IFERROR(__xludf.DUMMYFUNCTION("""COMPUTED_VALUE"""),"Batch 169 ")</f>
        <v>Batch 169 </v>
      </c>
      <c r="B749" s="7" t="str">
        <f>IFERROR(__xludf.DUMMYFUNCTION("""COMPUTED_VALUE"""),"JapneetC69")</f>
        <v>JapneetC69</v>
      </c>
      <c r="C749" s="8">
        <f>IFERROR(__xludf.DUMMYFUNCTION("""COMPUTED_VALUE"""),0.0)</f>
        <v>0</v>
      </c>
      <c r="D749" s="8"/>
    </row>
    <row r="750">
      <c r="A750" s="9" t="str">
        <f>IFERROR(__xludf.DUMMYFUNCTION("""COMPUTED_VALUE"""),"Batch 169 ")</f>
        <v>Batch 169 </v>
      </c>
      <c r="B750" s="7" t="str">
        <f>IFERROR(__xludf.DUMMYFUNCTION("""COMPUTED_VALUE"""),"ThamizhpriyanC69")</f>
        <v>ThamizhpriyanC69</v>
      </c>
      <c r="C750" s="8">
        <f>IFERROR(__xludf.DUMMYFUNCTION("""COMPUTED_VALUE"""),0.0)</f>
        <v>0</v>
      </c>
      <c r="D750" s="8"/>
    </row>
    <row r="751">
      <c r="A751" s="9" t="str">
        <f>IFERROR(__xludf.DUMMYFUNCTION("""COMPUTED_VALUE"""),"Batch 169 ")</f>
        <v>Batch 169 </v>
      </c>
      <c r="B751" s="7" t="str">
        <f>IFERROR(__xludf.DUMMYFUNCTION("""COMPUTED_VALUE"""),"RupaliC69")</f>
        <v>RupaliC69</v>
      </c>
      <c r="C751" s="8">
        <f>IFERROR(__xludf.DUMMYFUNCTION("""COMPUTED_VALUE"""),0.0)</f>
        <v>0</v>
      </c>
      <c r="D751" s="8"/>
    </row>
    <row r="752">
      <c r="A752" s="9" t="str">
        <f>IFERROR(__xludf.DUMMYFUNCTION("""COMPUTED_VALUE"""),"Batch 169 ")</f>
        <v>Batch 169 </v>
      </c>
      <c r="B752" s="7" t="str">
        <f>IFERROR(__xludf.DUMMYFUNCTION("""COMPUTED_VALUE"""),"ManikantaC69")</f>
        <v>ManikantaC69</v>
      </c>
      <c r="C752" s="8">
        <f>IFERROR(__xludf.DUMMYFUNCTION("""COMPUTED_VALUE"""),0.0)</f>
        <v>0</v>
      </c>
      <c r="D752" s="8"/>
    </row>
    <row r="753">
      <c r="A753" s="9" t="str">
        <f>IFERROR(__xludf.DUMMYFUNCTION("""COMPUTED_VALUE"""),"Batch 169 ")</f>
        <v>Batch 169 </v>
      </c>
      <c r="B753" s="7" t="str">
        <f>IFERROR(__xludf.DUMMYFUNCTION("""COMPUTED_VALUE"""),"SowjanyaC69")</f>
        <v>SowjanyaC69</v>
      </c>
      <c r="C753" s="8">
        <f>IFERROR(__xludf.DUMMYFUNCTION("""COMPUTED_VALUE"""),0.0)</f>
        <v>0</v>
      </c>
      <c r="D753" s="8"/>
    </row>
    <row r="754">
      <c r="A754" s="9" t="str">
        <f>IFERROR(__xludf.DUMMYFUNCTION("""COMPUTED_VALUE"""),"Batch 169 ")</f>
        <v>Batch 169 </v>
      </c>
      <c r="B754" s="7" t="str">
        <f>IFERROR(__xludf.DUMMYFUNCTION("""COMPUTED_VALUE"""),"MehakC69")</f>
        <v>MehakC69</v>
      </c>
      <c r="C754" s="8">
        <f>IFERROR(__xludf.DUMMYFUNCTION("""COMPUTED_VALUE"""),0.0)</f>
        <v>0</v>
      </c>
      <c r="D754" s="8"/>
    </row>
    <row r="755">
      <c r="A755" s="9" t="str">
        <f>IFERROR(__xludf.DUMMYFUNCTION("""COMPUTED_VALUE"""),"Batch 169 ")</f>
        <v>Batch 169 </v>
      </c>
      <c r="B755" s="9" t="str">
        <f>IFERROR(__xludf.DUMMYFUNCTION("""COMPUTED_VALUE"""),"RahulC69")</f>
        <v>RahulC69</v>
      </c>
      <c r="C755" s="8">
        <f>IFERROR(__xludf.DUMMYFUNCTION("""COMPUTED_VALUE"""),0.0)</f>
        <v>0</v>
      </c>
      <c r="D755" s="8"/>
    </row>
    <row r="756">
      <c r="A756" s="9"/>
      <c r="B756" s="9"/>
      <c r="C756" s="8">
        <f>IFERROR(__xludf.DUMMYFUNCTION("""COMPUTED_VALUE"""),0.0)</f>
        <v>0</v>
      </c>
      <c r="D756" s="8"/>
    </row>
    <row r="757">
      <c r="A757" s="9" t="str">
        <f>IFERROR(__xludf.DUMMYFUNCTION("""COMPUTED_VALUE"""),"Batch 170")</f>
        <v>Batch 170</v>
      </c>
      <c r="B757" s="9" t="str">
        <f>IFERROR(__xludf.DUMMYFUNCTION("""COMPUTED_VALUE"""),"KhushiMC70")</f>
        <v>KhushiMC70</v>
      </c>
      <c r="C757" s="8">
        <f>IFERROR(__xludf.DUMMYFUNCTION("""COMPUTED_VALUE"""),0.0)</f>
        <v>0</v>
      </c>
      <c r="D757" s="8"/>
    </row>
    <row r="758">
      <c r="A758" s="9" t="str">
        <f>IFERROR(__xludf.DUMMYFUNCTION("""COMPUTED_VALUE"""),"Batch 170")</f>
        <v>Batch 170</v>
      </c>
      <c r="B758" s="9" t="str">
        <f>IFERROR(__xludf.DUMMYFUNCTION("""COMPUTED_VALUE"""),"RiyaC70")</f>
        <v>RiyaC70</v>
      </c>
      <c r="C758" s="8">
        <f>IFERROR(__xludf.DUMMYFUNCTION("""COMPUTED_VALUE"""),3.0)</f>
        <v>3</v>
      </c>
      <c r="D758" s="8"/>
    </row>
    <row r="759">
      <c r="A759" s="9" t="str">
        <f>IFERROR(__xludf.DUMMYFUNCTION("""COMPUTED_VALUE"""),"Batch 170")</f>
        <v>Batch 170</v>
      </c>
      <c r="B759" s="9" t="str">
        <f>IFERROR(__xludf.DUMMYFUNCTION("""COMPUTED_VALUE"""),"JilC70")</f>
        <v>JilC70</v>
      </c>
      <c r="C759" s="8">
        <f>IFERROR(__xludf.DUMMYFUNCTION("""COMPUTED_VALUE"""),0.0)</f>
        <v>0</v>
      </c>
      <c r="D759" s="8"/>
    </row>
    <row r="760">
      <c r="A760" s="9" t="str">
        <f>IFERROR(__xludf.DUMMYFUNCTION("""COMPUTED_VALUE"""),"Batch 170")</f>
        <v>Batch 170</v>
      </c>
      <c r="B760" s="9" t="str">
        <f>IFERROR(__xludf.DUMMYFUNCTION("""COMPUTED_VALUE"""),"YuvrajC70")</f>
        <v>YuvrajC70</v>
      </c>
      <c r="C760" s="8">
        <f>IFERROR(__xludf.DUMMYFUNCTION("""COMPUTED_VALUE"""),1.0)</f>
        <v>1</v>
      </c>
      <c r="D760" s="8"/>
    </row>
    <row r="761">
      <c r="A761" s="9" t="str">
        <f>IFERROR(__xludf.DUMMYFUNCTION("""COMPUTED_VALUE"""),"Batch 170")</f>
        <v>Batch 170</v>
      </c>
      <c r="B761" s="9" t="str">
        <f>IFERROR(__xludf.DUMMYFUNCTION("""COMPUTED_VALUE"""),"TusharC70")</f>
        <v>TusharC70</v>
      </c>
      <c r="C761" s="8">
        <f>IFERROR(__xludf.DUMMYFUNCTION("""COMPUTED_VALUE"""),0.0)</f>
        <v>0</v>
      </c>
      <c r="D761" s="8"/>
    </row>
    <row r="762">
      <c r="A762" s="9" t="str">
        <f>IFERROR(__xludf.DUMMYFUNCTION("""COMPUTED_VALUE"""),"Batch 170")</f>
        <v>Batch 170</v>
      </c>
      <c r="B762" s="9" t="str">
        <f>IFERROR(__xludf.DUMMYFUNCTION("""COMPUTED_VALUE"""),"KhushiC70")</f>
        <v>KhushiC70</v>
      </c>
      <c r="C762" s="8">
        <f>IFERROR(__xludf.DUMMYFUNCTION("""COMPUTED_VALUE"""),0.0)</f>
        <v>0</v>
      </c>
      <c r="D762" s="8"/>
    </row>
    <row r="763">
      <c r="A763" s="9" t="str">
        <f>IFERROR(__xludf.DUMMYFUNCTION("""COMPUTED_VALUE"""),"Batch 170")</f>
        <v>Batch 170</v>
      </c>
      <c r="B763" s="9" t="str">
        <f>IFERROR(__xludf.DUMMYFUNCTION("""COMPUTED_VALUE"""),"BhanuC70")</f>
        <v>BhanuC70</v>
      </c>
      <c r="C763" s="8">
        <f>IFERROR(__xludf.DUMMYFUNCTION("""COMPUTED_VALUE"""),0.0)</f>
        <v>0</v>
      </c>
      <c r="D763" s="8"/>
    </row>
    <row r="764">
      <c r="A764" s="9" t="str">
        <f>IFERROR(__xludf.DUMMYFUNCTION("""COMPUTED_VALUE"""),"Batch 170")</f>
        <v>Batch 170</v>
      </c>
      <c r="B764" s="9" t="str">
        <f>IFERROR(__xludf.DUMMYFUNCTION("""COMPUTED_VALUE"""),"AyushiC70")</f>
        <v>AyushiC70</v>
      </c>
      <c r="C764" s="8">
        <f>IFERROR(__xludf.DUMMYFUNCTION("""COMPUTED_VALUE"""),0.0)</f>
        <v>0</v>
      </c>
      <c r="D764" s="8"/>
    </row>
    <row r="765">
      <c r="A765" s="9" t="str">
        <f>IFERROR(__xludf.DUMMYFUNCTION("""COMPUTED_VALUE"""),"Batch 170")</f>
        <v>Batch 170</v>
      </c>
      <c r="B765" s="9" t="str">
        <f>IFERROR(__xludf.DUMMYFUNCTION("""COMPUTED_VALUE"""),"DhruvalC70")</f>
        <v>DhruvalC70</v>
      </c>
      <c r="C765" s="8">
        <f>IFERROR(__xludf.DUMMYFUNCTION("""COMPUTED_VALUE"""),0.0)</f>
        <v>0</v>
      </c>
      <c r="D765" s="8"/>
    </row>
    <row r="766">
      <c r="A766" s="9" t="str">
        <f>IFERROR(__xludf.DUMMYFUNCTION("""COMPUTED_VALUE"""),"Batch 170")</f>
        <v>Batch 170</v>
      </c>
      <c r="B766" s="9" t="str">
        <f>IFERROR(__xludf.DUMMYFUNCTION("""COMPUTED_VALUE"""),"AviC70")</f>
        <v>AviC70</v>
      </c>
      <c r="C766" s="8">
        <f>IFERROR(__xludf.DUMMYFUNCTION("""COMPUTED_VALUE"""),25.0)</f>
        <v>25</v>
      </c>
      <c r="D766" s="8">
        <f>IFERROR(__xludf.DUMMYFUNCTION("""COMPUTED_VALUE"""),1.0)</f>
        <v>1</v>
      </c>
    </row>
    <row r="767">
      <c r="A767" s="9" t="str">
        <f>IFERROR(__xludf.DUMMYFUNCTION("""COMPUTED_VALUE"""),"Batch 170")</f>
        <v>Batch 170</v>
      </c>
      <c r="B767" s="9" t="str">
        <f>IFERROR(__xludf.DUMMYFUNCTION("""COMPUTED_VALUE"""),"VikasC70")</f>
        <v>VikasC70</v>
      </c>
      <c r="C767" s="8">
        <f>IFERROR(__xludf.DUMMYFUNCTION("""COMPUTED_VALUE"""),0.0)</f>
        <v>0</v>
      </c>
      <c r="D767" s="8"/>
    </row>
    <row r="768">
      <c r="A768" s="9" t="str">
        <f>IFERROR(__xludf.DUMMYFUNCTION("""COMPUTED_VALUE"""),"Batch 170")</f>
        <v>Batch 170</v>
      </c>
      <c r="B768" s="9" t="str">
        <f>IFERROR(__xludf.DUMMYFUNCTION("""COMPUTED_VALUE"""),"SaurabhC70")</f>
        <v>SaurabhC70</v>
      </c>
      <c r="C768" s="8">
        <f>IFERROR(__xludf.DUMMYFUNCTION("""COMPUTED_VALUE"""),0.0)</f>
        <v>0</v>
      </c>
      <c r="D768" s="8"/>
    </row>
    <row r="769">
      <c r="A769" s="9" t="str">
        <f>IFERROR(__xludf.DUMMYFUNCTION("""COMPUTED_VALUE"""),"Batch 170")</f>
        <v>Batch 170</v>
      </c>
      <c r="B769" s="9" t="str">
        <f>IFERROR(__xludf.DUMMYFUNCTION("""COMPUTED_VALUE"""),"AnidullaC70")</f>
        <v>AnidullaC70</v>
      </c>
      <c r="C769" s="8">
        <f>IFERROR(__xludf.DUMMYFUNCTION("""COMPUTED_VALUE"""),0.0)</f>
        <v>0</v>
      </c>
      <c r="D769" s="8"/>
    </row>
    <row r="770">
      <c r="A770" s="9" t="str">
        <f>IFERROR(__xludf.DUMMYFUNCTION("""COMPUTED_VALUE"""),"Batch 170")</f>
        <v>Batch 170</v>
      </c>
      <c r="B770" s="9" t="str">
        <f>IFERROR(__xludf.DUMMYFUNCTION("""COMPUTED_VALUE"""),"anushaC70")</f>
        <v>anushaC70</v>
      </c>
      <c r="C770" s="8">
        <f>IFERROR(__xludf.DUMMYFUNCTION("""COMPUTED_VALUE"""),0.0)</f>
        <v>0</v>
      </c>
      <c r="D770" s="8"/>
    </row>
    <row r="771">
      <c r="A771" s="9" t="str">
        <f>IFERROR(__xludf.DUMMYFUNCTION("""COMPUTED_VALUE"""),"Batch 170")</f>
        <v>Batch 170</v>
      </c>
      <c r="B771" s="9" t="str">
        <f>IFERROR(__xludf.DUMMYFUNCTION("""COMPUTED_VALUE"""),"OpradistaC70")</f>
        <v>OpradistaC70</v>
      </c>
      <c r="C771" s="8">
        <f>IFERROR(__xludf.DUMMYFUNCTION("""COMPUTED_VALUE"""),0.0)</f>
        <v>0</v>
      </c>
      <c r="D771" s="8"/>
    </row>
    <row r="772">
      <c r="A772" s="9" t="str">
        <f>IFERROR(__xludf.DUMMYFUNCTION("""COMPUTED_VALUE"""),"Batch 170")</f>
        <v>Batch 170</v>
      </c>
      <c r="B772" s="9" t="str">
        <f>IFERROR(__xludf.DUMMYFUNCTION("""COMPUTED_VALUE"""),"JatinC70")</f>
        <v>JatinC70</v>
      </c>
      <c r="C772" s="8">
        <f>IFERROR(__xludf.DUMMYFUNCTION("""COMPUTED_VALUE"""),0.0)</f>
        <v>0</v>
      </c>
      <c r="D772" s="8"/>
    </row>
    <row r="773">
      <c r="A773" s="9" t="str">
        <f>IFERROR(__xludf.DUMMYFUNCTION("""COMPUTED_VALUE"""),"Batch 170")</f>
        <v>Batch 170</v>
      </c>
      <c r="B773" s="9" t="str">
        <f>IFERROR(__xludf.DUMMYFUNCTION("""COMPUTED_VALUE"""),"KartikC70")</f>
        <v>KartikC70</v>
      </c>
      <c r="C773" s="8">
        <f>IFERROR(__xludf.DUMMYFUNCTION("""COMPUTED_VALUE"""),2.0)</f>
        <v>2</v>
      </c>
      <c r="D773" s="8"/>
    </row>
    <row r="774">
      <c r="A774" s="9" t="str">
        <f>IFERROR(__xludf.DUMMYFUNCTION("""COMPUTED_VALUE"""),"Batch 170")</f>
        <v>Batch 170</v>
      </c>
      <c r="B774" s="9" t="str">
        <f>IFERROR(__xludf.DUMMYFUNCTION("""COMPUTED_VALUE"""),"SatyamC70")</f>
        <v>SatyamC70</v>
      </c>
      <c r="C774" s="8">
        <f>IFERROR(__xludf.DUMMYFUNCTION("""COMPUTED_VALUE"""),0.0)</f>
        <v>0</v>
      </c>
      <c r="D774" s="8"/>
    </row>
    <row r="775">
      <c r="A775" s="9" t="str">
        <f>IFERROR(__xludf.DUMMYFUNCTION("""COMPUTED_VALUE"""),"Batch 170")</f>
        <v>Batch 170</v>
      </c>
      <c r="B775" s="9" t="str">
        <f>IFERROR(__xludf.DUMMYFUNCTION("""COMPUTED_VALUE"""),"ShaikC70")</f>
        <v>ShaikC70</v>
      </c>
      <c r="C775" s="8">
        <f>IFERROR(__xludf.DUMMYFUNCTION("""COMPUTED_VALUE"""),0.0)</f>
        <v>0</v>
      </c>
      <c r="D775" s="8"/>
    </row>
    <row r="776">
      <c r="A776" s="9" t="str">
        <f>IFERROR(__xludf.DUMMYFUNCTION("""COMPUTED_VALUE"""),"Batch 170")</f>
        <v>Batch 170</v>
      </c>
      <c r="B776" s="9" t="str">
        <f>IFERROR(__xludf.DUMMYFUNCTION("""COMPUTED_VALUE"""),"YogeshC70")</f>
        <v>YogeshC70</v>
      </c>
      <c r="C776" s="8">
        <f>IFERROR(__xludf.DUMMYFUNCTION("""COMPUTED_VALUE"""),0.0)</f>
        <v>0</v>
      </c>
      <c r="D776" s="8"/>
    </row>
    <row r="777">
      <c r="A777" s="9" t="str">
        <f>IFERROR(__xludf.DUMMYFUNCTION("""COMPUTED_VALUE"""),"Batch 170")</f>
        <v>Batch 170</v>
      </c>
      <c r="B777" s="9" t="str">
        <f>IFERROR(__xludf.DUMMYFUNCTION("""COMPUTED_VALUE"""),"RavindraC70")</f>
        <v>RavindraC70</v>
      </c>
      <c r="C777" s="8">
        <f>IFERROR(__xludf.DUMMYFUNCTION("""COMPUTED_VALUE"""),0.0)</f>
        <v>0</v>
      </c>
      <c r="D777" s="8"/>
    </row>
    <row r="778">
      <c r="A778" s="9" t="str">
        <f>IFERROR(__xludf.DUMMYFUNCTION("""COMPUTED_VALUE"""),"Batch 170")</f>
        <v>Batch 170</v>
      </c>
      <c r="B778" s="9" t="str">
        <f>IFERROR(__xludf.DUMMYFUNCTION("""COMPUTED_VALUE"""),"ShambhaviC70")</f>
        <v>ShambhaviC70</v>
      </c>
      <c r="C778" s="8">
        <f>IFERROR(__xludf.DUMMYFUNCTION("""COMPUTED_VALUE"""),0.0)</f>
        <v>0</v>
      </c>
      <c r="D778" s="8"/>
    </row>
    <row r="779">
      <c r="A779" s="9" t="str">
        <f>IFERROR(__xludf.DUMMYFUNCTION("""COMPUTED_VALUE"""),"Batch 170")</f>
        <v>Batch 170</v>
      </c>
      <c r="B779" s="9" t="str">
        <f>IFERROR(__xludf.DUMMYFUNCTION("""COMPUTED_VALUE"""),"JagritiC70")</f>
        <v>JagritiC70</v>
      </c>
      <c r="C779" s="8">
        <f>IFERROR(__xludf.DUMMYFUNCTION("""COMPUTED_VALUE"""),0.0)</f>
        <v>0</v>
      </c>
      <c r="D779" s="8"/>
    </row>
    <row r="780">
      <c r="A780" s="9" t="str">
        <f>IFERROR(__xludf.DUMMYFUNCTION("""COMPUTED_VALUE"""),"Batch 170")</f>
        <v>Batch 170</v>
      </c>
      <c r="B780" s="9" t="str">
        <f>IFERROR(__xludf.DUMMYFUNCTION("""COMPUTED_VALUE"""),"AayushiC70")</f>
        <v>AayushiC70</v>
      </c>
      <c r="C780" s="8">
        <f>IFERROR(__xludf.DUMMYFUNCTION("""COMPUTED_VALUE"""),0.0)</f>
        <v>0</v>
      </c>
      <c r="D780" s="8"/>
    </row>
    <row r="781">
      <c r="A781" s="9" t="str">
        <f>IFERROR(__xludf.DUMMYFUNCTION("""COMPUTED_VALUE"""),"Batch 170")</f>
        <v>Batch 170</v>
      </c>
      <c r="B781" s="9" t="str">
        <f>IFERROR(__xludf.DUMMYFUNCTION("""COMPUTED_VALUE"""),"AnujC70")</f>
        <v>AnujC70</v>
      </c>
      <c r="C781" s="8">
        <f>IFERROR(__xludf.DUMMYFUNCTION("""COMPUTED_VALUE"""),0.0)</f>
        <v>0</v>
      </c>
      <c r="D781" s="8"/>
    </row>
    <row r="782">
      <c r="A782" s="9" t="str">
        <f>IFERROR(__xludf.DUMMYFUNCTION("""COMPUTED_VALUE"""),"Batch 170")</f>
        <v>Batch 170</v>
      </c>
      <c r="B782" s="9" t="str">
        <f>IFERROR(__xludf.DUMMYFUNCTION("""COMPUTED_VALUE"""),"AkashC70")</f>
        <v>AkashC70</v>
      </c>
      <c r="C782" s="8">
        <f>IFERROR(__xludf.DUMMYFUNCTION("""COMPUTED_VALUE"""),0.0)</f>
        <v>0</v>
      </c>
      <c r="D782" s="8"/>
    </row>
    <row r="783">
      <c r="A783" s="9" t="str">
        <f>IFERROR(__xludf.DUMMYFUNCTION("""COMPUTED_VALUE"""),"Batch 170")</f>
        <v>Batch 170</v>
      </c>
      <c r="B783" s="9" t="str">
        <f>IFERROR(__xludf.DUMMYFUNCTION("""COMPUTED_VALUE"""),"KhushiLC70")</f>
        <v>KhushiLC70</v>
      </c>
      <c r="C783" s="8">
        <f>IFERROR(__xludf.DUMMYFUNCTION("""COMPUTED_VALUE"""),0.0)</f>
        <v>0</v>
      </c>
      <c r="D783" s="8"/>
    </row>
    <row r="784">
      <c r="A784" s="9" t="str">
        <f>IFERROR(__xludf.DUMMYFUNCTION("""COMPUTED_VALUE"""),"Batch 170")</f>
        <v>Batch 170</v>
      </c>
      <c r="B784" s="9" t="str">
        <f>IFERROR(__xludf.DUMMYFUNCTION("""COMPUTED_VALUE"""),"GorlaC70")</f>
        <v>GorlaC70</v>
      </c>
      <c r="C784" s="8">
        <f>IFERROR(__xludf.DUMMYFUNCTION("""COMPUTED_VALUE"""),0.0)</f>
        <v>0</v>
      </c>
      <c r="D784" s="8"/>
    </row>
    <row r="785">
      <c r="A785" s="9" t="str">
        <f>IFERROR(__xludf.DUMMYFUNCTION("""COMPUTED_VALUE"""),"Batch 170")</f>
        <v>Batch 170</v>
      </c>
      <c r="B785" s="9" t="str">
        <f>IFERROR(__xludf.DUMMYFUNCTION("""COMPUTED_VALUE"""),"TANVEERC70")</f>
        <v>TANVEERC70</v>
      </c>
      <c r="C785" s="8">
        <f>IFERROR(__xludf.DUMMYFUNCTION("""COMPUTED_VALUE"""),0.0)</f>
        <v>0</v>
      </c>
      <c r="D785" s="8"/>
    </row>
    <row r="786">
      <c r="A786" s="9" t="str">
        <f>IFERROR(__xludf.DUMMYFUNCTION("""COMPUTED_VALUE"""),"Batch 170")</f>
        <v>Batch 170</v>
      </c>
      <c r="B786" s="9" t="str">
        <f>IFERROR(__xludf.DUMMYFUNCTION("""COMPUTED_VALUE"""),"KunwarC70")</f>
        <v>KunwarC70</v>
      </c>
      <c r="C786" s="8">
        <f>IFERROR(__xludf.DUMMYFUNCTION("""COMPUTED_VALUE"""),0.0)</f>
        <v>0</v>
      </c>
      <c r="D786" s="8"/>
    </row>
    <row r="787">
      <c r="A787" s="9" t="str">
        <f>IFERROR(__xludf.DUMMYFUNCTION("""COMPUTED_VALUE"""),"Batch 170")</f>
        <v>Batch 170</v>
      </c>
      <c r="B787" s="9" t="str">
        <f>IFERROR(__xludf.DUMMYFUNCTION("""COMPUTED_VALUE"""),"PonigetiC70")</f>
        <v>PonigetiC70</v>
      </c>
      <c r="C787" s="8">
        <f>IFERROR(__xludf.DUMMYFUNCTION("""COMPUTED_VALUE"""),0.0)</f>
        <v>0</v>
      </c>
      <c r="D787" s="8"/>
    </row>
    <row r="788">
      <c r="A788" s="9" t="str">
        <f>IFERROR(__xludf.DUMMYFUNCTION("""COMPUTED_VALUE"""),"Batch 170")</f>
        <v>Batch 170</v>
      </c>
      <c r="B788" s="9" t="str">
        <f>IFERROR(__xludf.DUMMYFUNCTION("""COMPUTED_VALUE"""),"AdityaC70")</f>
        <v>AdityaC70</v>
      </c>
      <c r="C788" s="8">
        <f>IFERROR(__xludf.DUMMYFUNCTION("""COMPUTED_VALUE"""),0.0)</f>
        <v>0</v>
      </c>
      <c r="D788" s="8"/>
    </row>
    <row r="789">
      <c r="A789" s="9" t="str">
        <f>IFERROR(__xludf.DUMMYFUNCTION("""COMPUTED_VALUE"""),"Batch 170")</f>
        <v>Batch 170</v>
      </c>
      <c r="B789" s="9" t="str">
        <f>IFERROR(__xludf.DUMMYFUNCTION("""COMPUTED_VALUE"""),"AmeenaC70")</f>
        <v>AmeenaC70</v>
      </c>
      <c r="C789" s="8">
        <f>IFERROR(__xludf.DUMMYFUNCTION("""COMPUTED_VALUE"""),0.0)</f>
        <v>0</v>
      </c>
      <c r="D789" s="8"/>
    </row>
    <row r="790">
      <c r="A790" s="9" t="str">
        <f>IFERROR(__xludf.DUMMYFUNCTION("""COMPUTED_VALUE"""),"Batch 170")</f>
        <v>Batch 170</v>
      </c>
      <c r="B790" s="9" t="str">
        <f>IFERROR(__xludf.DUMMYFUNCTION("""COMPUTED_VALUE"""),"ZahabiyahC70")</f>
        <v>ZahabiyahC70</v>
      </c>
      <c r="C790" s="8">
        <f>IFERROR(__xludf.DUMMYFUNCTION("""COMPUTED_VALUE"""),1.0)</f>
        <v>1</v>
      </c>
      <c r="D790" s="8"/>
    </row>
    <row r="791">
      <c r="A791" s="9" t="str">
        <f>IFERROR(__xludf.DUMMYFUNCTION("""COMPUTED_VALUE"""),"Batch 170")</f>
        <v>Batch 170</v>
      </c>
      <c r="B791" s="9" t="str">
        <f>IFERROR(__xludf.DUMMYFUNCTION("""COMPUTED_VALUE"""),"ShivanshuC70")</f>
        <v>ShivanshuC70</v>
      </c>
      <c r="C791" s="8">
        <f>IFERROR(__xludf.DUMMYFUNCTION("""COMPUTED_VALUE"""),50.0)</f>
        <v>50</v>
      </c>
      <c r="D791" s="8">
        <f>IFERROR(__xludf.DUMMYFUNCTION("""COMPUTED_VALUE"""),3.0)</f>
        <v>3</v>
      </c>
    </row>
    <row r="792">
      <c r="A792" s="9" t="str">
        <f>IFERROR(__xludf.DUMMYFUNCTION("""COMPUTED_VALUE"""),"Batch 170")</f>
        <v>Batch 170</v>
      </c>
      <c r="B792" s="9" t="str">
        <f>IFERROR(__xludf.DUMMYFUNCTION("""COMPUTED_VALUE"""),"KartavyaC70")</f>
        <v>KartavyaC70</v>
      </c>
      <c r="C792" s="8">
        <f>IFERROR(__xludf.DUMMYFUNCTION("""COMPUTED_VALUE"""),4.0)</f>
        <v>4</v>
      </c>
      <c r="D792" s="8"/>
    </row>
    <row r="793">
      <c r="A793" s="9" t="str">
        <f>IFERROR(__xludf.DUMMYFUNCTION("""COMPUTED_VALUE"""),"Batch 170")</f>
        <v>Batch 170</v>
      </c>
      <c r="B793" s="9" t="str">
        <f>IFERROR(__xludf.DUMMYFUNCTION("""COMPUTED_VALUE"""),"AmanC70")</f>
        <v>AmanC70</v>
      </c>
      <c r="C793" s="8">
        <f>IFERROR(__xludf.DUMMYFUNCTION("""COMPUTED_VALUE"""),0.0)</f>
        <v>0</v>
      </c>
      <c r="D793" s="8"/>
    </row>
    <row r="794">
      <c r="A794" s="9" t="str">
        <f>IFERROR(__xludf.DUMMYFUNCTION("""COMPUTED_VALUE"""),"Batch 170")</f>
        <v>Batch 170</v>
      </c>
      <c r="B794" s="9" t="str">
        <f>IFERROR(__xludf.DUMMYFUNCTION("""COMPUTED_VALUE"""),"AnishC70")</f>
        <v>AnishC70</v>
      </c>
      <c r="C794" s="8">
        <f>IFERROR(__xludf.DUMMYFUNCTION("""COMPUTED_VALUE"""),6.0)</f>
        <v>6</v>
      </c>
      <c r="D794" s="8"/>
    </row>
    <row r="795">
      <c r="A795" s="9" t="str">
        <f>IFERROR(__xludf.DUMMYFUNCTION("""COMPUTED_VALUE"""),"Batch 170")</f>
        <v>Batch 170</v>
      </c>
      <c r="B795" s="9" t="str">
        <f>IFERROR(__xludf.DUMMYFUNCTION("""COMPUTED_VALUE"""),"RajaniC70")</f>
        <v>RajaniC70</v>
      </c>
      <c r="C795" s="8">
        <f>IFERROR(__xludf.DUMMYFUNCTION("""COMPUTED_VALUE"""),1.0)</f>
        <v>1</v>
      </c>
      <c r="D795" s="8"/>
    </row>
    <row r="796">
      <c r="A796" s="9" t="str">
        <f>IFERROR(__xludf.DUMMYFUNCTION("""COMPUTED_VALUE"""),"Batch 170")</f>
        <v>Batch 170</v>
      </c>
      <c r="B796" s="9" t="str">
        <f>IFERROR(__xludf.DUMMYFUNCTION("""COMPUTED_VALUE"""),"UjjwalC70")</f>
        <v>UjjwalC70</v>
      </c>
      <c r="C796" s="8">
        <f>IFERROR(__xludf.DUMMYFUNCTION("""COMPUTED_VALUE"""),0.0)</f>
        <v>0</v>
      </c>
      <c r="D796" s="8"/>
    </row>
    <row r="797">
      <c r="A797" s="9" t="str">
        <f>IFERROR(__xludf.DUMMYFUNCTION("""COMPUTED_VALUE"""),"Batch 170")</f>
        <v>Batch 170</v>
      </c>
      <c r="B797" s="15" t="str">
        <f>IFERROR(__xludf.DUMMYFUNCTION("""COMPUTED_VALUE"""),"BC70")</f>
        <v>BC70</v>
      </c>
      <c r="C797" s="8">
        <f>IFERROR(__xludf.DUMMYFUNCTION("""COMPUTED_VALUE"""),0.0)</f>
        <v>0</v>
      </c>
      <c r="D797" s="8"/>
    </row>
    <row r="798">
      <c r="A798" s="9" t="str">
        <f>IFERROR(__xludf.DUMMYFUNCTION("""COMPUTED_VALUE"""),"Batch 170")</f>
        <v>Batch 170</v>
      </c>
      <c r="B798" s="9" t="str">
        <f>IFERROR(__xludf.DUMMYFUNCTION("""COMPUTED_VALUE"""),"KaranamC70")</f>
        <v>KaranamC70</v>
      </c>
      <c r="C798" s="8">
        <f>IFERROR(__xludf.DUMMYFUNCTION("""COMPUTED_VALUE"""),85.0)</f>
        <v>85</v>
      </c>
      <c r="D798" s="8">
        <f>IFERROR(__xludf.DUMMYFUNCTION("""COMPUTED_VALUE"""),19.0)</f>
        <v>19</v>
      </c>
    </row>
    <row r="799">
      <c r="A799" s="9" t="str">
        <f>IFERROR(__xludf.DUMMYFUNCTION("""COMPUTED_VALUE"""),"Batch 170")</f>
        <v>Batch 170</v>
      </c>
      <c r="B799" s="9" t="str">
        <f>IFERROR(__xludf.DUMMYFUNCTION("""COMPUTED_VALUE"""),"FaizanC70")</f>
        <v>FaizanC70</v>
      </c>
      <c r="C799" s="8">
        <f>IFERROR(__xludf.DUMMYFUNCTION("""COMPUTED_VALUE"""),0.0)</f>
        <v>0</v>
      </c>
      <c r="D799" s="8"/>
    </row>
    <row r="800">
      <c r="A800" s="9" t="str">
        <f>IFERROR(__xludf.DUMMYFUNCTION("""COMPUTED_VALUE"""),"Batch 170")</f>
        <v>Batch 170</v>
      </c>
      <c r="B800" s="9" t="str">
        <f>IFERROR(__xludf.DUMMYFUNCTION("""COMPUTED_VALUE"""),"AmritaC70")</f>
        <v>AmritaC70</v>
      </c>
      <c r="C800" s="8">
        <f>IFERROR(__xludf.DUMMYFUNCTION("""COMPUTED_VALUE"""),0.0)</f>
        <v>0</v>
      </c>
      <c r="D800" s="8"/>
    </row>
    <row r="801">
      <c r="A801" s="9" t="str">
        <f>IFERROR(__xludf.DUMMYFUNCTION("""COMPUTED_VALUE"""),"Batch 170")</f>
        <v>Batch 170</v>
      </c>
      <c r="B801" s="9" t="str">
        <f>IFERROR(__xludf.DUMMYFUNCTION("""COMPUTED_VALUE"""),"ShashankC70")</f>
        <v>ShashankC70</v>
      </c>
      <c r="C801" s="8">
        <f>IFERROR(__xludf.DUMMYFUNCTION("""COMPUTED_VALUE"""),0.0)</f>
        <v>0</v>
      </c>
      <c r="D801" s="8"/>
    </row>
    <row r="802">
      <c r="A802" s="9" t="str">
        <f>IFERROR(__xludf.DUMMYFUNCTION("""COMPUTED_VALUE"""),"Batch 170")</f>
        <v>Batch 170</v>
      </c>
      <c r="B802" s="9" t="str">
        <f>IFERROR(__xludf.DUMMYFUNCTION("""COMPUTED_VALUE"""),"ShubamalyaC70")</f>
        <v>ShubamalyaC70</v>
      </c>
      <c r="C802" s="8">
        <f>IFERROR(__xludf.DUMMYFUNCTION("""COMPUTED_VALUE"""),0.0)</f>
        <v>0</v>
      </c>
      <c r="D802" s="8"/>
    </row>
    <row r="803">
      <c r="A803" s="9"/>
      <c r="B803" s="9"/>
      <c r="C803" s="8">
        <f>IFERROR(__xludf.DUMMYFUNCTION("""COMPUTED_VALUE"""),0.0)</f>
        <v>0</v>
      </c>
      <c r="D803" s="8"/>
    </row>
    <row r="804">
      <c r="A804" s="9" t="str">
        <f>IFERROR(__xludf.DUMMYFUNCTION("""COMPUTED_VALUE"""),"Batch 171")</f>
        <v>Batch 171</v>
      </c>
      <c r="B804" s="9" t="str">
        <f>IFERROR(__xludf.DUMMYFUNCTION("""COMPUTED_VALUE"""),"SardonexC71")</f>
        <v>SardonexC71</v>
      </c>
      <c r="C804" s="8">
        <f>IFERROR(__xludf.DUMMYFUNCTION("""COMPUTED_VALUE"""),0.0)</f>
        <v>0</v>
      </c>
      <c r="D804" s="8"/>
    </row>
    <row r="805">
      <c r="A805" s="9" t="str">
        <f>IFERROR(__xludf.DUMMYFUNCTION("""COMPUTED_VALUE"""),"Batch 171")</f>
        <v>Batch 171</v>
      </c>
      <c r="B805" s="9" t="str">
        <f>IFERROR(__xludf.DUMMYFUNCTION("""COMPUTED_VALUE"""),"AnujC71")</f>
        <v>AnujC71</v>
      </c>
      <c r="C805" s="8">
        <f>IFERROR(__xludf.DUMMYFUNCTION("""COMPUTED_VALUE"""),0.0)</f>
        <v>0</v>
      </c>
      <c r="D805" s="8"/>
    </row>
    <row r="806">
      <c r="A806" s="9" t="str">
        <f>IFERROR(__xludf.DUMMYFUNCTION("""COMPUTED_VALUE"""),"Batch 171")</f>
        <v>Batch 171</v>
      </c>
      <c r="B806" s="9" t="str">
        <f>IFERROR(__xludf.DUMMYFUNCTION("""COMPUTED_VALUE"""),"KunjalC71")</f>
        <v>KunjalC71</v>
      </c>
      <c r="C806" s="8">
        <f>IFERROR(__xludf.DUMMYFUNCTION("""COMPUTED_VALUE"""),0.0)</f>
        <v>0</v>
      </c>
      <c r="D806" s="8"/>
    </row>
    <row r="807">
      <c r="A807" s="9" t="str">
        <f>IFERROR(__xludf.DUMMYFUNCTION("""COMPUTED_VALUE"""),"Batch 171")</f>
        <v>Batch 171</v>
      </c>
      <c r="B807" s="9" t="str">
        <f>IFERROR(__xludf.DUMMYFUNCTION("""COMPUTED_VALUE"""),"JitishC71")</f>
        <v>JitishC71</v>
      </c>
      <c r="C807" s="8">
        <f>IFERROR(__xludf.DUMMYFUNCTION("""COMPUTED_VALUE"""),0.0)</f>
        <v>0</v>
      </c>
      <c r="D807" s="8"/>
    </row>
    <row r="808">
      <c r="A808" s="9" t="str">
        <f>IFERROR(__xludf.DUMMYFUNCTION("""COMPUTED_VALUE"""),"Batch 171")</f>
        <v>Batch 171</v>
      </c>
      <c r="B808" s="9" t="str">
        <f>IFERROR(__xludf.DUMMYFUNCTION("""COMPUTED_VALUE"""),"AmbikaC71")</f>
        <v>AmbikaC71</v>
      </c>
      <c r="C808" s="8">
        <f>IFERROR(__xludf.DUMMYFUNCTION("""COMPUTED_VALUE"""),0.0)</f>
        <v>0</v>
      </c>
      <c r="D808" s="8"/>
    </row>
    <row r="809">
      <c r="A809" s="9" t="str">
        <f>IFERROR(__xludf.DUMMYFUNCTION("""COMPUTED_VALUE"""),"Batch 171")</f>
        <v>Batch 171</v>
      </c>
      <c r="B809" s="9" t="str">
        <f>IFERROR(__xludf.DUMMYFUNCTION("""COMPUTED_VALUE"""),"PalakC71")</f>
        <v>PalakC71</v>
      </c>
      <c r="C809" s="8">
        <f>IFERROR(__xludf.DUMMYFUNCTION("""COMPUTED_VALUE"""),0.0)</f>
        <v>0</v>
      </c>
      <c r="D809" s="8"/>
    </row>
    <row r="810">
      <c r="A810" s="9" t="str">
        <f>IFERROR(__xludf.DUMMYFUNCTION("""COMPUTED_VALUE"""),"Batch 171")</f>
        <v>Batch 171</v>
      </c>
      <c r="B810" s="9" t="str">
        <f>IFERROR(__xludf.DUMMYFUNCTION("""COMPUTED_VALUE"""),"TanishqC71")</f>
        <v>TanishqC71</v>
      </c>
      <c r="C810" s="8">
        <f>IFERROR(__xludf.DUMMYFUNCTION("""COMPUTED_VALUE"""),0.0)</f>
        <v>0</v>
      </c>
      <c r="D810" s="8"/>
    </row>
    <row r="811">
      <c r="A811" s="9" t="str">
        <f>IFERROR(__xludf.DUMMYFUNCTION("""COMPUTED_VALUE"""),"Batch 171")</f>
        <v>Batch 171</v>
      </c>
      <c r="B811" s="9" t="str">
        <f>IFERROR(__xludf.DUMMYFUNCTION("""COMPUTED_VALUE"""),"AbhinavC71")</f>
        <v>AbhinavC71</v>
      </c>
      <c r="C811" s="8">
        <f>IFERROR(__xludf.DUMMYFUNCTION("""COMPUTED_VALUE"""),0.0)</f>
        <v>0</v>
      </c>
      <c r="D811" s="8"/>
    </row>
    <row r="812">
      <c r="A812" s="9" t="str">
        <f>IFERROR(__xludf.DUMMYFUNCTION("""COMPUTED_VALUE"""),"Batch 171")</f>
        <v>Batch 171</v>
      </c>
      <c r="B812" s="9" t="str">
        <f>IFERROR(__xludf.DUMMYFUNCTION("""COMPUTED_VALUE"""),"SnehaC71")</f>
        <v>SnehaC71</v>
      </c>
      <c r="C812" s="8">
        <f>IFERROR(__xludf.DUMMYFUNCTION("""COMPUTED_VALUE"""),0.0)</f>
        <v>0</v>
      </c>
      <c r="D812" s="8"/>
    </row>
    <row r="813">
      <c r="A813" s="9" t="str">
        <f>IFERROR(__xludf.DUMMYFUNCTION("""COMPUTED_VALUE"""),"Batch 171")</f>
        <v>Batch 171</v>
      </c>
      <c r="B813" s="9" t="str">
        <f>IFERROR(__xludf.DUMMYFUNCTION("""COMPUTED_VALUE"""),"RounakC71")</f>
        <v>RounakC71</v>
      </c>
      <c r="C813" s="8">
        <f>IFERROR(__xludf.DUMMYFUNCTION("""COMPUTED_VALUE"""),0.0)</f>
        <v>0</v>
      </c>
      <c r="D813" s="8"/>
    </row>
    <row r="814">
      <c r="A814" s="9" t="str">
        <f>IFERROR(__xludf.DUMMYFUNCTION("""COMPUTED_VALUE"""),"Batch 171")</f>
        <v>Batch 171</v>
      </c>
      <c r="B814" s="9" t="str">
        <f>IFERROR(__xludf.DUMMYFUNCTION("""COMPUTED_VALUE"""),"NamyaC71")</f>
        <v>NamyaC71</v>
      </c>
      <c r="C814" s="8">
        <f>IFERROR(__xludf.DUMMYFUNCTION("""COMPUTED_VALUE"""),0.0)</f>
        <v>0</v>
      </c>
      <c r="D814" s="8"/>
    </row>
    <row r="815">
      <c r="A815" s="9" t="str">
        <f>IFERROR(__xludf.DUMMYFUNCTION("""COMPUTED_VALUE"""),"Batch 171")</f>
        <v>Batch 171</v>
      </c>
      <c r="B815" s="9" t="str">
        <f>IFERROR(__xludf.DUMMYFUNCTION("""COMPUTED_VALUE"""),"HritwikaC71")</f>
        <v>HritwikaC71</v>
      </c>
      <c r="C815" s="8">
        <f>IFERROR(__xludf.DUMMYFUNCTION("""COMPUTED_VALUE"""),0.0)</f>
        <v>0</v>
      </c>
      <c r="D815" s="8"/>
    </row>
    <row r="816">
      <c r="A816" s="9" t="str">
        <f>IFERROR(__xludf.DUMMYFUNCTION("""COMPUTED_VALUE"""),"Batch 171")</f>
        <v>Batch 171</v>
      </c>
      <c r="B816" s="9" t="str">
        <f>IFERROR(__xludf.DUMMYFUNCTION("""COMPUTED_VALUE"""),"ShayokC71")</f>
        <v>ShayokC71</v>
      </c>
      <c r="C816" s="8">
        <f>IFERROR(__xludf.DUMMYFUNCTION("""COMPUTED_VALUE"""),0.0)</f>
        <v>0</v>
      </c>
      <c r="D816" s="8"/>
    </row>
    <row r="817">
      <c r="A817" s="9" t="str">
        <f>IFERROR(__xludf.DUMMYFUNCTION("""COMPUTED_VALUE"""),"Batch 171")</f>
        <v>Batch 171</v>
      </c>
      <c r="B817" s="9" t="str">
        <f>IFERROR(__xludf.DUMMYFUNCTION("""COMPUTED_VALUE"""),"YukthiC71")</f>
        <v>YukthiC71</v>
      </c>
      <c r="C817" s="8">
        <f>IFERROR(__xludf.DUMMYFUNCTION("""COMPUTED_VALUE"""),0.0)</f>
        <v>0</v>
      </c>
      <c r="D817" s="8"/>
    </row>
    <row r="818">
      <c r="A818" s="9" t="str">
        <f>IFERROR(__xludf.DUMMYFUNCTION("""COMPUTED_VALUE"""),"Batch 171")</f>
        <v>Batch 171</v>
      </c>
      <c r="B818" s="9" t="str">
        <f>IFERROR(__xludf.DUMMYFUNCTION("""COMPUTED_VALUE"""),"AnkitC71")</f>
        <v>AnkitC71</v>
      </c>
      <c r="C818" s="8">
        <f>IFERROR(__xludf.DUMMYFUNCTION("""COMPUTED_VALUE"""),2.0)</f>
        <v>2</v>
      </c>
      <c r="D818" s="8"/>
    </row>
    <row r="819">
      <c r="A819" s="9" t="str">
        <f>IFERROR(__xludf.DUMMYFUNCTION("""COMPUTED_VALUE"""),"Batch 171")</f>
        <v>Batch 171</v>
      </c>
      <c r="B819" s="9" t="str">
        <f>IFERROR(__xludf.DUMMYFUNCTION("""COMPUTED_VALUE"""),"SamikshaC71")</f>
        <v>SamikshaC71</v>
      </c>
      <c r="C819" s="8">
        <f>IFERROR(__xludf.DUMMYFUNCTION("""COMPUTED_VALUE"""),0.0)</f>
        <v>0</v>
      </c>
      <c r="D819" s="8"/>
    </row>
    <row r="820">
      <c r="A820" s="9" t="str">
        <f>IFERROR(__xludf.DUMMYFUNCTION("""COMPUTED_VALUE"""),"Batch 171")</f>
        <v>Batch 171</v>
      </c>
      <c r="B820" s="9" t="str">
        <f>IFERROR(__xludf.DUMMYFUNCTION("""COMPUTED_VALUE"""),"ShivamC71")</f>
        <v>ShivamC71</v>
      </c>
      <c r="C820" s="8">
        <f>IFERROR(__xludf.DUMMYFUNCTION("""COMPUTED_VALUE"""),0.0)</f>
        <v>0</v>
      </c>
      <c r="D820" s="8"/>
    </row>
    <row r="821">
      <c r="A821" s="9" t="str">
        <f>IFERROR(__xludf.DUMMYFUNCTION("""COMPUTED_VALUE"""),"Batch 171")</f>
        <v>Batch 171</v>
      </c>
      <c r="B821" s="9" t="str">
        <f>IFERROR(__xludf.DUMMYFUNCTION("""COMPUTED_VALUE"""),"PriyanshiC71")</f>
        <v>PriyanshiC71</v>
      </c>
      <c r="C821" s="8">
        <f>IFERROR(__xludf.DUMMYFUNCTION("""COMPUTED_VALUE"""),0.0)</f>
        <v>0</v>
      </c>
      <c r="D821" s="8"/>
    </row>
    <row r="822">
      <c r="A822" s="9" t="str">
        <f>IFERROR(__xludf.DUMMYFUNCTION("""COMPUTED_VALUE"""),"Batch 171")</f>
        <v>Batch 171</v>
      </c>
      <c r="B822" s="9" t="str">
        <f>IFERROR(__xludf.DUMMYFUNCTION("""COMPUTED_VALUE"""),"SushmaC71")</f>
        <v>SushmaC71</v>
      </c>
      <c r="C822" s="8">
        <f>IFERROR(__xludf.DUMMYFUNCTION("""COMPUTED_VALUE"""),0.0)</f>
        <v>0</v>
      </c>
      <c r="D822" s="8"/>
    </row>
    <row r="823">
      <c r="A823" s="9" t="str">
        <f>IFERROR(__xludf.DUMMYFUNCTION("""COMPUTED_VALUE"""),"Batch 171")</f>
        <v>Batch 171</v>
      </c>
      <c r="B823" s="9" t="str">
        <f>IFERROR(__xludf.DUMMYFUNCTION("""COMPUTED_VALUE"""),"MohsinaC71")</f>
        <v>MohsinaC71</v>
      </c>
      <c r="C823" s="8">
        <f>IFERROR(__xludf.DUMMYFUNCTION("""COMPUTED_VALUE"""),0.0)</f>
        <v>0</v>
      </c>
      <c r="D823" s="8"/>
    </row>
    <row r="824">
      <c r="A824" s="9" t="str">
        <f>IFERROR(__xludf.DUMMYFUNCTION("""COMPUTED_VALUE"""),"Batch 171")</f>
        <v>Batch 171</v>
      </c>
      <c r="B824" s="9" t="str">
        <f>IFERROR(__xludf.DUMMYFUNCTION("""COMPUTED_VALUE"""),"NikhilC71")</f>
        <v>NikhilC71</v>
      </c>
      <c r="C824" s="8">
        <f>IFERROR(__xludf.DUMMYFUNCTION("""COMPUTED_VALUE"""),0.0)</f>
        <v>0</v>
      </c>
      <c r="D824" s="8"/>
    </row>
    <row r="825">
      <c r="A825" s="9" t="str">
        <f>IFERROR(__xludf.DUMMYFUNCTION("""COMPUTED_VALUE"""),"Batch 171")</f>
        <v>Batch 171</v>
      </c>
      <c r="B825" s="9" t="str">
        <f>IFERROR(__xludf.DUMMYFUNCTION("""COMPUTED_VALUE"""),"SakshamC71")</f>
        <v>SakshamC71</v>
      </c>
      <c r="C825" s="8">
        <f>IFERROR(__xludf.DUMMYFUNCTION("""COMPUTED_VALUE"""),0.0)</f>
        <v>0</v>
      </c>
      <c r="D825" s="8"/>
    </row>
    <row r="826">
      <c r="A826" s="9" t="str">
        <f>IFERROR(__xludf.DUMMYFUNCTION("""COMPUTED_VALUE"""),"Batch 171")</f>
        <v>Batch 171</v>
      </c>
      <c r="B826" s="9" t="str">
        <f>IFERROR(__xludf.DUMMYFUNCTION("""COMPUTED_VALUE"""),"PearlC71")</f>
        <v>PearlC71</v>
      </c>
      <c r="C826" s="8">
        <f>IFERROR(__xludf.DUMMYFUNCTION("""COMPUTED_VALUE"""),0.0)</f>
        <v>0</v>
      </c>
      <c r="D826" s="8"/>
    </row>
    <row r="827">
      <c r="A827" s="9" t="str">
        <f>IFERROR(__xludf.DUMMYFUNCTION("""COMPUTED_VALUE"""),"Batch 171")</f>
        <v>Batch 171</v>
      </c>
      <c r="B827" s="9" t="str">
        <f>IFERROR(__xludf.DUMMYFUNCTION("""COMPUTED_VALUE"""),"GanaviC71")</f>
        <v>GanaviC71</v>
      </c>
      <c r="C827" s="8">
        <f>IFERROR(__xludf.DUMMYFUNCTION("""COMPUTED_VALUE"""),0.0)</f>
        <v>0</v>
      </c>
      <c r="D827" s="8"/>
    </row>
    <row r="828">
      <c r="A828" s="9" t="str">
        <f>IFERROR(__xludf.DUMMYFUNCTION("""COMPUTED_VALUE"""),"Batch 171")</f>
        <v>Batch 171</v>
      </c>
      <c r="B828" s="9" t="str">
        <f>IFERROR(__xludf.DUMMYFUNCTION("""COMPUTED_VALUE"""),"SamarC71")</f>
        <v>SamarC71</v>
      </c>
      <c r="C828" s="8">
        <f>IFERROR(__xludf.DUMMYFUNCTION("""COMPUTED_VALUE"""),0.0)</f>
        <v>0</v>
      </c>
      <c r="D828" s="8"/>
    </row>
    <row r="829">
      <c r="A829" s="9" t="str">
        <f>IFERROR(__xludf.DUMMYFUNCTION("""COMPUTED_VALUE"""),"Batch 171")</f>
        <v>Batch 171</v>
      </c>
      <c r="B829" s="9" t="str">
        <f>IFERROR(__xludf.DUMMYFUNCTION("""COMPUTED_VALUE"""),"ShreyaC71")</f>
        <v>ShreyaC71</v>
      </c>
      <c r="C829" s="8">
        <f>IFERROR(__xludf.DUMMYFUNCTION("""COMPUTED_VALUE"""),0.0)</f>
        <v>0</v>
      </c>
      <c r="D829" s="8"/>
    </row>
    <row r="830">
      <c r="A830" s="9" t="str">
        <f>IFERROR(__xludf.DUMMYFUNCTION("""COMPUTED_VALUE"""),"Batch 171")</f>
        <v>Batch 171</v>
      </c>
      <c r="B830" s="9" t="str">
        <f>IFERROR(__xludf.DUMMYFUNCTION("""COMPUTED_VALUE"""),"HarshC71")</f>
        <v>HarshC71</v>
      </c>
      <c r="C830" s="8">
        <f>IFERROR(__xludf.DUMMYFUNCTION("""COMPUTED_VALUE"""),0.0)</f>
        <v>0</v>
      </c>
      <c r="D830" s="8"/>
    </row>
    <row r="831">
      <c r="A831" s="9" t="str">
        <f>IFERROR(__xludf.DUMMYFUNCTION("""COMPUTED_VALUE"""),"Batch 171")</f>
        <v>Batch 171</v>
      </c>
      <c r="B831" s="9" t="str">
        <f>IFERROR(__xludf.DUMMYFUNCTION("""COMPUTED_VALUE"""),"MucchalaC71")</f>
        <v>MucchalaC71</v>
      </c>
      <c r="C831" s="8">
        <f>IFERROR(__xludf.DUMMYFUNCTION("""COMPUTED_VALUE"""),0.0)</f>
        <v>0</v>
      </c>
      <c r="D831" s="8"/>
    </row>
    <row r="832">
      <c r="A832" s="9" t="str">
        <f>IFERROR(__xludf.DUMMYFUNCTION("""COMPUTED_VALUE"""),"Batch 171")</f>
        <v>Batch 171</v>
      </c>
      <c r="B832" s="9" t="str">
        <f>IFERROR(__xludf.DUMMYFUNCTION("""COMPUTED_VALUE"""),"HirenC71")</f>
        <v>HirenC71</v>
      </c>
      <c r="C832" s="8">
        <f>IFERROR(__xludf.DUMMYFUNCTION("""COMPUTED_VALUE"""),0.0)</f>
        <v>0</v>
      </c>
      <c r="D832" s="8"/>
    </row>
    <row r="833">
      <c r="A833" s="9" t="str">
        <f>IFERROR(__xludf.DUMMYFUNCTION("""COMPUTED_VALUE"""),"Batch 171")</f>
        <v>Batch 171</v>
      </c>
      <c r="B833" s="9" t="str">
        <f>IFERROR(__xludf.DUMMYFUNCTION("""COMPUTED_VALUE"""),"KatasaniC71")</f>
        <v>KatasaniC71</v>
      </c>
      <c r="C833" s="8">
        <f>IFERROR(__xludf.DUMMYFUNCTION("""COMPUTED_VALUE"""),0.0)</f>
        <v>0</v>
      </c>
      <c r="D833" s="8"/>
    </row>
    <row r="834">
      <c r="A834" s="9" t="str">
        <f>IFERROR(__xludf.DUMMYFUNCTION("""COMPUTED_VALUE"""),"Batch 171")</f>
        <v>Batch 171</v>
      </c>
      <c r="B834" s="9" t="str">
        <f>IFERROR(__xludf.DUMMYFUNCTION("""COMPUTED_VALUE"""),"MucchalaC71")</f>
        <v>MucchalaC71</v>
      </c>
      <c r="C834" s="8">
        <f>IFERROR(__xludf.DUMMYFUNCTION("""COMPUTED_VALUE"""),0.0)</f>
        <v>0</v>
      </c>
      <c r="D834" s="8"/>
    </row>
    <row r="835">
      <c r="A835" s="9" t="str">
        <f>IFERROR(__xludf.DUMMYFUNCTION("""COMPUTED_VALUE"""),"Batch 171")</f>
        <v>Batch 171</v>
      </c>
      <c r="B835" s="9" t="str">
        <f>IFERROR(__xludf.DUMMYFUNCTION("""COMPUTED_VALUE"""),"HimanshuC71")</f>
        <v>HimanshuC71</v>
      </c>
      <c r="C835" s="8">
        <f>IFERROR(__xludf.DUMMYFUNCTION("""COMPUTED_VALUE"""),0.0)</f>
        <v>0</v>
      </c>
      <c r="D835" s="8"/>
    </row>
    <row r="836">
      <c r="A836" s="9" t="str">
        <f>IFERROR(__xludf.DUMMYFUNCTION("""COMPUTED_VALUE"""),"Batch 171")</f>
        <v>Batch 171</v>
      </c>
      <c r="B836" s="9" t="str">
        <f>IFERROR(__xludf.DUMMYFUNCTION("""COMPUTED_VALUE"""),"MadhurC71")</f>
        <v>MadhurC71</v>
      </c>
      <c r="C836" s="8">
        <f>IFERROR(__xludf.DUMMYFUNCTION("""COMPUTED_VALUE"""),0.0)</f>
        <v>0</v>
      </c>
      <c r="D836" s="8"/>
    </row>
    <row r="837">
      <c r="A837" s="9" t="str">
        <f>IFERROR(__xludf.DUMMYFUNCTION("""COMPUTED_VALUE"""),"Batch 171")</f>
        <v>Batch 171</v>
      </c>
      <c r="B837" s="9" t="str">
        <f>IFERROR(__xludf.DUMMYFUNCTION("""COMPUTED_VALUE"""),"AnirudhC71")</f>
        <v>AnirudhC71</v>
      </c>
      <c r="C837" s="8">
        <f>IFERROR(__xludf.DUMMYFUNCTION("""COMPUTED_VALUE"""),31.0)</f>
        <v>31</v>
      </c>
      <c r="D837" s="8"/>
    </row>
    <row r="838">
      <c r="A838" s="9" t="str">
        <f>IFERROR(__xludf.DUMMYFUNCTION("""COMPUTED_VALUE"""),"Batch 171")</f>
        <v>Batch 171</v>
      </c>
      <c r="B838" s="9" t="str">
        <f>IFERROR(__xludf.DUMMYFUNCTION("""COMPUTED_VALUE"""),"AkankshaC71")</f>
        <v>AkankshaC71</v>
      </c>
      <c r="C838" s="8">
        <f>IFERROR(__xludf.DUMMYFUNCTION("""COMPUTED_VALUE"""),0.0)</f>
        <v>0</v>
      </c>
      <c r="D838" s="8"/>
    </row>
    <row r="839">
      <c r="A839" s="9" t="str">
        <f>IFERROR(__xludf.DUMMYFUNCTION("""COMPUTED_VALUE"""),"Batch 171")</f>
        <v>Batch 171</v>
      </c>
      <c r="B839" s="9" t="str">
        <f>IFERROR(__xludf.DUMMYFUNCTION("""COMPUTED_VALUE"""),"PunyaC71")</f>
        <v>PunyaC71</v>
      </c>
      <c r="C839" s="8">
        <f>IFERROR(__xludf.DUMMYFUNCTION("""COMPUTED_VALUE"""),0.0)</f>
        <v>0</v>
      </c>
      <c r="D839" s="8"/>
    </row>
    <row r="840">
      <c r="A840" s="9" t="str">
        <f>IFERROR(__xludf.DUMMYFUNCTION("""COMPUTED_VALUE"""),"Batch 171")</f>
        <v>Batch 171</v>
      </c>
      <c r="B840" s="9" t="str">
        <f>IFERROR(__xludf.DUMMYFUNCTION("""COMPUTED_VALUE"""),"SivakotiC71")</f>
        <v>SivakotiC71</v>
      </c>
      <c r="C840" s="8">
        <f>IFERROR(__xludf.DUMMYFUNCTION("""COMPUTED_VALUE"""),0.0)</f>
        <v>0</v>
      </c>
      <c r="D840" s="8"/>
    </row>
    <row r="841">
      <c r="A841" s="9" t="str">
        <f>IFERROR(__xludf.DUMMYFUNCTION("""COMPUTED_VALUE"""),"Batch 171")</f>
        <v>Batch 171</v>
      </c>
      <c r="B841" s="9" t="str">
        <f>IFERROR(__xludf.DUMMYFUNCTION("""COMPUTED_VALUE"""),"PRIYANSHUC71")</f>
        <v>PRIYANSHUC71</v>
      </c>
      <c r="C841" s="8">
        <f>IFERROR(__xludf.DUMMYFUNCTION("""COMPUTED_VALUE"""),0.0)</f>
        <v>0</v>
      </c>
      <c r="D841" s="8"/>
    </row>
    <row r="842">
      <c r="A842" s="9" t="str">
        <f>IFERROR(__xludf.DUMMYFUNCTION("""COMPUTED_VALUE"""),"Batch 171")</f>
        <v>Batch 171</v>
      </c>
      <c r="B842" s="9" t="str">
        <f>IFERROR(__xludf.DUMMYFUNCTION("""COMPUTED_VALUE"""),"TanishaC71")</f>
        <v>TanishaC71</v>
      </c>
      <c r="C842" s="8">
        <f>IFERROR(__xludf.DUMMYFUNCTION("""COMPUTED_VALUE"""),0.0)</f>
        <v>0</v>
      </c>
      <c r="D842" s="8"/>
    </row>
    <row r="843">
      <c r="A843" s="9" t="str">
        <f>IFERROR(__xludf.DUMMYFUNCTION("""COMPUTED_VALUE"""),"Batch 171")</f>
        <v>Batch 171</v>
      </c>
      <c r="B843" s="9" t="str">
        <f>IFERROR(__xludf.DUMMYFUNCTION("""COMPUTED_VALUE"""),"rohanC71")</f>
        <v>rohanC71</v>
      </c>
      <c r="C843" s="8">
        <f>IFERROR(__xludf.DUMMYFUNCTION("""COMPUTED_VALUE"""),0.0)</f>
        <v>0</v>
      </c>
      <c r="D843" s="8"/>
    </row>
    <row r="844">
      <c r="A844" s="9" t="str">
        <f>IFERROR(__xludf.DUMMYFUNCTION("""COMPUTED_VALUE"""),"Batch 171")</f>
        <v>Batch 171</v>
      </c>
      <c r="B844" s="9" t="str">
        <f>IFERROR(__xludf.DUMMYFUNCTION("""COMPUTED_VALUE"""),"SakshiC71")</f>
        <v>SakshiC71</v>
      </c>
      <c r="C844" s="8">
        <f>IFERROR(__xludf.DUMMYFUNCTION("""COMPUTED_VALUE"""),0.0)</f>
        <v>0</v>
      </c>
      <c r="D844" s="8"/>
    </row>
    <row r="845">
      <c r="A845" s="9" t="str">
        <f>IFERROR(__xludf.DUMMYFUNCTION("""COMPUTED_VALUE"""),"Batch 171")</f>
        <v>Batch 171</v>
      </c>
      <c r="B845" s="9"/>
      <c r="C845" s="8">
        <f>IFERROR(__xludf.DUMMYFUNCTION("""COMPUTED_VALUE"""),0.0)</f>
        <v>0</v>
      </c>
      <c r="D845" s="8"/>
    </row>
    <row r="846">
      <c r="A846" s="9" t="str">
        <f>IFERROR(__xludf.DUMMYFUNCTION("""COMPUTED_VALUE"""),"Batch 171")</f>
        <v>Batch 171</v>
      </c>
      <c r="B846" s="9" t="str">
        <f>IFERROR(__xludf.DUMMYFUNCTION("""COMPUTED_VALUE"""),"MoolC71")</f>
        <v>MoolC71</v>
      </c>
      <c r="C846" s="8">
        <f>IFERROR(__xludf.DUMMYFUNCTION("""COMPUTED_VALUE"""),2.0)</f>
        <v>2</v>
      </c>
      <c r="D846" s="8">
        <f>IFERROR(__xludf.DUMMYFUNCTION("""COMPUTED_VALUE"""),3.0)</f>
        <v>3</v>
      </c>
    </row>
    <row r="847">
      <c r="A847" s="9" t="str">
        <f>IFERROR(__xludf.DUMMYFUNCTION("""COMPUTED_VALUE"""),"Batch 171")</f>
        <v>Batch 171</v>
      </c>
      <c r="B847" s="9" t="str">
        <f>IFERROR(__xludf.DUMMYFUNCTION("""COMPUTED_VALUE"""),"OraizaC71")</f>
        <v>OraizaC71</v>
      </c>
      <c r="C847" s="8">
        <f>IFERROR(__xludf.DUMMYFUNCTION("""COMPUTED_VALUE"""),0.0)</f>
        <v>0</v>
      </c>
      <c r="D847" s="8"/>
    </row>
    <row r="848">
      <c r="A848" s="9" t="str">
        <f>IFERROR(__xludf.DUMMYFUNCTION("""COMPUTED_VALUE"""),"Batch 171")</f>
        <v>Batch 171</v>
      </c>
      <c r="B848" s="9" t="str">
        <f>IFERROR(__xludf.DUMMYFUNCTION("""COMPUTED_VALUE"""),"AasthaC71")</f>
        <v>AasthaC71</v>
      </c>
      <c r="C848" s="8">
        <f>IFERROR(__xludf.DUMMYFUNCTION("""COMPUTED_VALUE"""),0.0)</f>
        <v>0</v>
      </c>
      <c r="D848" s="8">
        <f>IFERROR(__xludf.DUMMYFUNCTION("""COMPUTED_VALUE"""),5.0)</f>
        <v>5</v>
      </c>
    </row>
    <row r="849">
      <c r="A849" s="9" t="str">
        <f>IFERROR(__xludf.DUMMYFUNCTION("""COMPUTED_VALUE"""),"Batch 171")</f>
        <v>Batch 171</v>
      </c>
      <c r="B849" s="9" t="str">
        <f>IFERROR(__xludf.DUMMYFUNCTION("""COMPUTED_VALUE"""),"KanishkC71")</f>
        <v>KanishkC71</v>
      </c>
      <c r="C849" s="8">
        <f>IFERROR(__xludf.DUMMYFUNCTION("""COMPUTED_VALUE"""),0.0)</f>
        <v>0</v>
      </c>
      <c r="D849" s="8"/>
    </row>
    <row r="850">
      <c r="A850" s="9" t="str">
        <f>IFERROR(__xludf.DUMMYFUNCTION("""COMPUTED_VALUE"""),"Batch 171")</f>
        <v>Batch 171</v>
      </c>
      <c r="B850" s="9" t="str">
        <f>IFERROR(__xludf.DUMMYFUNCTION("""COMPUTED_VALUE"""),"ArunC71")</f>
        <v>ArunC71</v>
      </c>
      <c r="C850" s="8">
        <f>IFERROR(__xludf.DUMMYFUNCTION("""COMPUTED_VALUE"""),0.0)</f>
        <v>0</v>
      </c>
      <c r="D850" s="8"/>
    </row>
    <row r="851">
      <c r="A851" s="9" t="str">
        <f>IFERROR(__xludf.DUMMYFUNCTION("""COMPUTED_VALUE"""),"Batch 171")</f>
        <v>Batch 171</v>
      </c>
      <c r="B851" s="9" t="str">
        <f>IFERROR(__xludf.DUMMYFUNCTION("""COMPUTED_VALUE"""),"UsraC71")</f>
        <v>UsraC71</v>
      </c>
      <c r="C851" s="8">
        <f>IFERROR(__xludf.DUMMYFUNCTION("""COMPUTED_VALUE"""),0.0)</f>
        <v>0</v>
      </c>
      <c r="D851" s="8"/>
    </row>
    <row r="852">
      <c r="A852" s="9" t="str">
        <f>IFERROR(__xludf.DUMMYFUNCTION("""COMPUTED_VALUE"""),"Batch 171")</f>
        <v>Batch 171</v>
      </c>
      <c r="B852" s="9" t="str">
        <f>IFERROR(__xludf.DUMMYFUNCTION("""COMPUTED_VALUE"""),"BhagyashreeC71")</f>
        <v>BhagyashreeC71</v>
      </c>
      <c r="C852" s="8">
        <f>IFERROR(__xludf.DUMMYFUNCTION("""COMPUTED_VALUE"""),0.0)</f>
        <v>0</v>
      </c>
      <c r="D852" s="8"/>
    </row>
    <row r="853">
      <c r="A853" s="9" t="str">
        <f>IFERROR(__xludf.DUMMYFUNCTION("""COMPUTED_VALUE"""),"Batch 171")</f>
        <v>Batch 171</v>
      </c>
      <c r="B853" s="9" t="str">
        <f>IFERROR(__xludf.DUMMYFUNCTION("""COMPUTED_VALUE"""),"PrinceC71")</f>
        <v>PrinceC71</v>
      </c>
      <c r="C853" s="8">
        <f>IFERROR(__xludf.DUMMYFUNCTION("""COMPUTED_VALUE"""),0.0)</f>
        <v>0</v>
      </c>
      <c r="D853" s="8"/>
    </row>
    <row r="854">
      <c r="A854" s="9" t="str">
        <f>IFERROR(__xludf.DUMMYFUNCTION("""COMPUTED_VALUE"""),"Batch 171")</f>
        <v>Batch 171</v>
      </c>
      <c r="B854" s="9"/>
      <c r="C854" s="8">
        <f>IFERROR(__xludf.DUMMYFUNCTION("""COMPUTED_VALUE"""),0.0)</f>
        <v>0</v>
      </c>
      <c r="D854" s="8"/>
    </row>
    <row r="855">
      <c r="A855" s="9" t="str">
        <f>IFERROR(__xludf.DUMMYFUNCTION("""COMPUTED_VALUE"""),"Batch 171")</f>
        <v>Batch 171</v>
      </c>
      <c r="B855" s="9" t="str">
        <f>IFERROR(__xludf.DUMMYFUNCTION("""COMPUTED_VALUE"""),"ShristiC71")</f>
        <v>ShristiC71</v>
      </c>
      <c r="C855" s="8">
        <f>IFERROR(__xludf.DUMMYFUNCTION("""COMPUTED_VALUE"""),5.0)</f>
        <v>5</v>
      </c>
      <c r="D855" s="8">
        <f>IFERROR(__xludf.DUMMYFUNCTION("""COMPUTED_VALUE"""),3.0)</f>
        <v>3</v>
      </c>
    </row>
    <row r="856">
      <c r="A856" s="9"/>
      <c r="B856" s="9"/>
      <c r="C856" s="8">
        <f>IFERROR(__xludf.DUMMYFUNCTION("""COMPUTED_VALUE"""),0.0)</f>
        <v>0</v>
      </c>
      <c r="D856" s="8" t="str">
        <f>IFERROR(__xludf.DUMMYFUNCTION("""COMPUTED_VALUE"""),"\")</f>
        <v>\</v>
      </c>
    </row>
    <row r="857">
      <c r="A857" s="9" t="str">
        <f>IFERROR(__xludf.DUMMYFUNCTION("""COMPUTED_VALUE"""),"Batch 172")</f>
        <v>Batch 172</v>
      </c>
      <c r="B857" s="9" t="str">
        <f>IFERROR(__xludf.DUMMYFUNCTION("""COMPUTED_VALUE"""),"PrathamC72")</f>
        <v>PrathamC72</v>
      </c>
      <c r="C857" s="8">
        <f>IFERROR(__xludf.DUMMYFUNCTION("""COMPUTED_VALUE"""),0.0)</f>
        <v>0</v>
      </c>
      <c r="D857" s="8"/>
    </row>
    <row r="858">
      <c r="A858" s="9" t="str">
        <f>IFERROR(__xludf.DUMMYFUNCTION("""COMPUTED_VALUE"""),"Batch 172")</f>
        <v>Batch 172</v>
      </c>
      <c r="B858" s="9" t="str">
        <f>IFERROR(__xludf.DUMMYFUNCTION("""COMPUTED_VALUE"""),"SakshiC72")</f>
        <v>SakshiC72</v>
      </c>
      <c r="C858" s="8">
        <f>IFERROR(__xludf.DUMMYFUNCTION("""COMPUTED_VALUE"""),0.0)</f>
        <v>0</v>
      </c>
      <c r="D858" s="8"/>
    </row>
    <row r="859">
      <c r="A859" s="9" t="str">
        <f>IFERROR(__xludf.DUMMYFUNCTION("""COMPUTED_VALUE"""),"Batch 172")</f>
        <v>Batch 172</v>
      </c>
      <c r="B859" s="9" t="str">
        <f>IFERROR(__xludf.DUMMYFUNCTION("""COMPUTED_VALUE"""),"UJJALC72")</f>
        <v>UJJALC72</v>
      </c>
      <c r="C859" s="8">
        <f>IFERROR(__xludf.DUMMYFUNCTION("""COMPUTED_VALUE"""),0.0)</f>
        <v>0</v>
      </c>
      <c r="D859" s="8"/>
    </row>
    <row r="860">
      <c r="A860" s="9" t="str">
        <f>IFERROR(__xludf.DUMMYFUNCTION("""COMPUTED_VALUE"""),"Batch 172")</f>
        <v>Batch 172</v>
      </c>
      <c r="B860" s="9" t="str">
        <f>IFERROR(__xludf.DUMMYFUNCTION("""COMPUTED_VALUE"""),"AanchalC72")</f>
        <v>AanchalC72</v>
      </c>
      <c r="C860" s="8">
        <f>IFERROR(__xludf.DUMMYFUNCTION("""COMPUTED_VALUE"""),0.0)</f>
        <v>0</v>
      </c>
      <c r="D860" s="8"/>
    </row>
    <row r="861">
      <c r="A861" s="9" t="str">
        <f>IFERROR(__xludf.DUMMYFUNCTION("""COMPUTED_VALUE"""),"Batch 172")</f>
        <v>Batch 172</v>
      </c>
      <c r="B861" s="9" t="str">
        <f>IFERROR(__xludf.DUMMYFUNCTION("""COMPUTED_VALUE"""),"MohammedC72")</f>
        <v>MohammedC72</v>
      </c>
      <c r="C861" s="8">
        <f>IFERROR(__xludf.DUMMYFUNCTION("""COMPUTED_VALUE"""),0.0)</f>
        <v>0</v>
      </c>
      <c r="D861" s="8"/>
    </row>
    <row r="862">
      <c r="A862" s="9" t="str">
        <f>IFERROR(__xludf.DUMMYFUNCTION("""COMPUTED_VALUE"""),"Batch 172")</f>
        <v>Batch 172</v>
      </c>
      <c r="B862" s="9" t="str">
        <f>IFERROR(__xludf.DUMMYFUNCTION("""COMPUTED_VALUE"""),"AyushC72")</f>
        <v>AyushC72</v>
      </c>
      <c r="C862" s="8">
        <f>IFERROR(__xludf.DUMMYFUNCTION("""COMPUTED_VALUE"""),0.0)</f>
        <v>0</v>
      </c>
      <c r="D862" s="8"/>
    </row>
    <row r="863">
      <c r="A863" s="9" t="str">
        <f>IFERROR(__xludf.DUMMYFUNCTION("""COMPUTED_VALUE"""),"Batch 172")</f>
        <v>Batch 172</v>
      </c>
      <c r="B863" s="9" t="str">
        <f>IFERROR(__xludf.DUMMYFUNCTION("""COMPUTED_VALUE"""),"AdityaC72")</f>
        <v>AdityaC72</v>
      </c>
      <c r="C863" s="8">
        <f>IFERROR(__xludf.DUMMYFUNCTION("""COMPUTED_VALUE"""),0.0)</f>
        <v>0</v>
      </c>
      <c r="D863" s="8"/>
    </row>
    <row r="864">
      <c r="A864" s="9" t="str">
        <f>IFERROR(__xludf.DUMMYFUNCTION("""COMPUTED_VALUE"""),"Batch 172")</f>
        <v>Batch 172</v>
      </c>
      <c r="B864" s="9" t="str">
        <f>IFERROR(__xludf.DUMMYFUNCTION("""COMPUTED_VALUE"""),"RoshikaC72")</f>
        <v>RoshikaC72</v>
      </c>
      <c r="C864" s="8">
        <f>IFERROR(__xludf.DUMMYFUNCTION("""COMPUTED_VALUE"""),0.0)</f>
        <v>0</v>
      </c>
      <c r="D864" s="8"/>
    </row>
    <row r="865">
      <c r="A865" s="9" t="str">
        <f>IFERROR(__xludf.DUMMYFUNCTION("""COMPUTED_VALUE"""),"Batch 172")</f>
        <v>Batch 172</v>
      </c>
      <c r="B865" s="9" t="str">
        <f>IFERROR(__xludf.DUMMYFUNCTION("""COMPUTED_VALUE"""),"VedantC72")</f>
        <v>VedantC72</v>
      </c>
      <c r="C865" s="8">
        <f>IFERROR(__xludf.DUMMYFUNCTION("""COMPUTED_VALUE"""),0.0)</f>
        <v>0</v>
      </c>
      <c r="D865" s="8"/>
    </row>
    <row r="866">
      <c r="A866" s="9" t="str">
        <f>IFERROR(__xludf.DUMMYFUNCTION("""COMPUTED_VALUE"""),"Batch 172")</f>
        <v>Batch 172</v>
      </c>
      <c r="B866" s="9" t="str">
        <f>IFERROR(__xludf.DUMMYFUNCTION("""COMPUTED_VALUE"""),"AnkitC72")</f>
        <v>AnkitC72</v>
      </c>
      <c r="C866" s="8">
        <f>IFERROR(__xludf.DUMMYFUNCTION("""COMPUTED_VALUE"""),0.0)</f>
        <v>0</v>
      </c>
      <c r="D866" s="8"/>
    </row>
    <row r="867">
      <c r="A867" s="9" t="str">
        <f>IFERROR(__xludf.DUMMYFUNCTION("""COMPUTED_VALUE"""),"Batch 172")</f>
        <v>Batch 172</v>
      </c>
      <c r="B867" s="9" t="str">
        <f>IFERROR(__xludf.DUMMYFUNCTION("""COMPUTED_VALUE"""),"krishnaC72")</f>
        <v>krishnaC72</v>
      </c>
      <c r="C867" s="8">
        <f>IFERROR(__xludf.DUMMYFUNCTION("""COMPUTED_VALUE"""),3.0)</f>
        <v>3</v>
      </c>
      <c r="D867" s="8"/>
    </row>
    <row r="868">
      <c r="A868" s="9" t="str">
        <f>IFERROR(__xludf.DUMMYFUNCTION("""COMPUTED_VALUE"""),"Batch 172")</f>
        <v>Batch 172</v>
      </c>
      <c r="B868" s="9" t="str">
        <f>IFERROR(__xludf.DUMMYFUNCTION("""COMPUTED_VALUE"""),"NiveditaC72")</f>
        <v>NiveditaC72</v>
      </c>
      <c r="C868" s="8">
        <f>IFERROR(__xludf.DUMMYFUNCTION("""COMPUTED_VALUE"""),0.0)</f>
        <v>0</v>
      </c>
      <c r="D868" s="8"/>
    </row>
    <row r="869">
      <c r="A869" s="9" t="str">
        <f>IFERROR(__xludf.DUMMYFUNCTION("""COMPUTED_VALUE"""),"Batch 172")</f>
        <v>Batch 172</v>
      </c>
      <c r="B869" s="9" t="str">
        <f>IFERROR(__xludf.DUMMYFUNCTION("""COMPUTED_VALUE"""),"PrathamC72")</f>
        <v>PrathamC72</v>
      </c>
      <c r="C869" s="8">
        <f>IFERROR(__xludf.DUMMYFUNCTION("""COMPUTED_VALUE"""),15.0)</f>
        <v>15</v>
      </c>
      <c r="D869" s="8" t="str">
        <f>IFERROR(__xludf.DUMMYFUNCTION("""COMPUTED_VALUE"""),"Fake ")</f>
        <v>Fake </v>
      </c>
    </row>
    <row r="870">
      <c r="A870" s="9" t="str">
        <f>IFERROR(__xludf.DUMMYFUNCTION("""COMPUTED_VALUE"""),"Batch 172")</f>
        <v>Batch 172</v>
      </c>
      <c r="B870" s="9" t="str">
        <f>IFERROR(__xludf.DUMMYFUNCTION("""COMPUTED_VALUE"""),"RohitC72")</f>
        <v>RohitC72</v>
      </c>
      <c r="C870" s="8">
        <f>IFERROR(__xludf.DUMMYFUNCTION("""COMPUTED_VALUE"""),0.0)</f>
        <v>0</v>
      </c>
      <c r="D870" s="8"/>
    </row>
    <row r="871">
      <c r="A871" s="9" t="str">
        <f>IFERROR(__xludf.DUMMYFUNCTION("""COMPUTED_VALUE"""),"Batch 172")</f>
        <v>Batch 172</v>
      </c>
      <c r="B871" s="9" t="str">
        <f>IFERROR(__xludf.DUMMYFUNCTION("""COMPUTED_VALUE"""),"RounakC72")</f>
        <v>RounakC72</v>
      </c>
      <c r="C871" s="8">
        <f>IFERROR(__xludf.DUMMYFUNCTION("""COMPUTED_VALUE"""),0.0)</f>
        <v>0</v>
      </c>
      <c r="D871" s="8"/>
    </row>
    <row r="872">
      <c r="A872" s="9" t="str">
        <f>IFERROR(__xludf.DUMMYFUNCTION("""COMPUTED_VALUE"""),"Batch 172")</f>
        <v>Batch 172</v>
      </c>
      <c r="B872" s="9" t="str">
        <f>IFERROR(__xludf.DUMMYFUNCTION("""COMPUTED_VALUE"""),"MohsinaC72")</f>
        <v>MohsinaC72</v>
      </c>
      <c r="C872" s="8">
        <f>IFERROR(__xludf.DUMMYFUNCTION("""COMPUTED_VALUE"""),0.0)</f>
        <v>0</v>
      </c>
      <c r="D872" s="8"/>
    </row>
    <row r="873">
      <c r="A873" s="9" t="str">
        <f>IFERROR(__xludf.DUMMYFUNCTION("""COMPUTED_VALUE"""),"Batch 172")</f>
        <v>Batch 172</v>
      </c>
      <c r="B873" s="9" t="str">
        <f>IFERROR(__xludf.DUMMYFUNCTION("""COMPUTED_VALUE"""),"YuvrajC72")</f>
        <v>YuvrajC72</v>
      </c>
      <c r="C873" s="8">
        <f>IFERROR(__xludf.DUMMYFUNCTION("""COMPUTED_VALUE"""),0.0)</f>
        <v>0</v>
      </c>
      <c r="D873" s="8"/>
    </row>
    <row r="874">
      <c r="A874" s="9" t="str">
        <f>IFERROR(__xludf.DUMMYFUNCTION("""COMPUTED_VALUE"""),"Batch 172")</f>
        <v>Batch 172</v>
      </c>
      <c r="B874" s="9" t="str">
        <f>IFERROR(__xludf.DUMMYFUNCTION("""COMPUTED_VALUE"""),"snehaC72")</f>
        <v>snehaC72</v>
      </c>
      <c r="C874" s="8">
        <f>IFERROR(__xludf.DUMMYFUNCTION("""COMPUTED_VALUE"""),0.0)</f>
        <v>0</v>
      </c>
      <c r="D874" s="8"/>
    </row>
    <row r="875">
      <c r="A875" s="9" t="str">
        <f>IFERROR(__xludf.DUMMYFUNCTION("""COMPUTED_VALUE"""),"Batch 172")</f>
        <v>Batch 172</v>
      </c>
      <c r="B875" s="9" t="str">
        <f>IFERROR(__xludf.DUMMYFUNCTION("""COMPUTED_VALUE"""),"DhruviC72")</f>
        <v>DhruviC72</v>
      </c>
      <c r="C875" s="8">
        <f>IFERROR(__xludf.DUMMYFUNCTION("""COMPUTED_VALUE"""),0.0)</f>
        <v>0</v>
      </c>
      <c r="D875" s="8"/>
    </row>
    <row r="876">
      <c r="A876" s="9" t="str">
        <f>IFERROR(__xludf.DUMMYFUNCTION("""COMPUTED_VALUE"""),"Batch 172")</f>
        <v>Batch 172</v>
      </c>
      <c r="B876" s="9" t="str">
        <f>IFERROR(__xludf.DUMMYFUNCTION("""COMPUTED_VALUE"""),"JaswandiC72")</f>
        <v>JaswandiC72</v>
      </c>
      <c r="C876" s="8">
        <f>IFERROR(__xludf.DUMMYFUNCTION("""COMPUTED_VALUE"""),0.0)</f>
        <v>0</v>
      </c>
      <c r="D876" s="8"/>
    </row>
    <row r="877">
      <c r="A877" s="9" t="str">
        <f>IFERROR(__xludf.DUMMYFUNCTION("""COMPUTED_VALUE"""),"Batch 172")</f>
        <v>Batch 172</v>
      </c>
      <c r="B877" s="9" t="str">
        <f>IFERROR(__xludf.DUMMYFUNCTION("""COMPUTED_VALUE"""),"ParagC72")</f>
        <v>ParagC72</v>
      </c>
      <c r="C877" s="8">
        <f>IFERROR(__xludf.DUMMYFUNCTION("""COMPUTED_VALUE"""),0.0)</f>
        <v>0</v>
      </c>
      <c r="D877" s="8"/>
    </row>
    <row r="878">
      <c r="A878" s="9" t="str">
        <f>IFERROR(__xludf.DUMMYFUNCTION("""COMPUTED_VALUE"""),"Batch 172")</f>
        <v>Batch 172</v>
      </c>
      <c r="B878" s="9" t="str">
        <f>IFERROR(__xludf.DUMMYFUNCTION("""COMPUTED_VALUE"""),"RidhiC72")</f>
        <v>RidhiC72</v>
      </c>
      <c r="C878" s="8">
        <f>IFERROR(__xludf.DUMMYFUNCTION("""COMPUTED_VALUE"""),0.0)</f>
        <v>0</v>
      </c>
      <c r="D878" s="8"/>
    </row>
    <row r="879">
      <c r="A879" s="9" t="str">
        <f>IFERROR(__xludf.DUMMYFUNCTION("""COMPUTED_VALUE"""),"Batch 172")</f>
        <v>Batch 172</v>
      </c>
      <c r="B879" s="9" t="str">
        <f>IFERROR(__xludf.DUMMYFUNCTION("""COMPUTED_VALUE"""),"DakshayaniC72")</f>
        <v>DakshayaniC72</v>
      </c>
      <c r="C879" s="8">
        <f>IFERROR(__xludf.DUMMYFUNCTION("""COMPUTED_VALUE"""),0.0)</f>
        <v>0</v>
      </c>
      <c r="D879" s="8"/>
    </row>
    <row r="880">
      <c r="A880" s="9" t="str">
        <f>IFERROR(__xludf.DUMMYFUNCTION("""COMPUTED_VALUE"""),"Batch 172")</f>
        <v>Batch 172</v>
      </c>
      <c r="B880" s="9" t="str">
        <f>IFERROR(__xludf.DUMMYFUNCTION("""COMPUTED_VALUE"""),"PayalC72")</f>
        <v>PayalC72</v>
      </c>
      <c r="C880" s="8">
        <f>IFERROR(__xludf.DUMMYFUNCTION("""COMPUTED_VALUE"""),0.0)</f>
        <v>0</v>
      </c>
      <c r="D880" s="8"/>
    </row>
    <row r="881">
      <c r="A881" s="9" t="str">
        <f>IFERROR(__xludf.DUMMYFUNCTION("""COMPUTED_VALUE"""),"Batch 172")</f>
        <v>Batch 172</v>
      </c>
      <c r="B881" s="9" t="str">
        <f>IFERROR(__xludf.DUMMYFUNCTION("""COMPUTED_VALUE"""),"ShivangeeC72")</f>
        <v>ShivangeeC72</v>
      </c>
      <c r="C881" s="8">
        <f>IFERROR(__xludf.DUMMYFUNCTION("""COMPUTED_VALUE"""),2.0)</f>
        <v>2</v>
      </c>
      <c r="D881" s="8"/>
    </row>
    <row r="882">
      <c r="A882" s="9" t="str">
        <f>IFERROR(__xludf.DUMMYFUNCTION("""COMPUTED_VALUE"""),"Batch 172")</f>
        <v>Batch 172</v>
      </c>
      <c r="B882" s="9" t="str">
        <f>IFERROR(__xludf.DUMMYFUNCTION("""COMPUTED_VALUE"""),"RishabhC72")</f>
        <v>RishabhC72</v>
      </c>
      <c r="C882" s="8">
        <f>IFERROR(__xludf.DUMMYFUNCTION("""COMPUTED_VALUE"""),0.0)</f>
        <v>0</v>
      </c>
      <c r="D882" s="8"/>
    </row>
    <row r="883">
      <c r="A883" s="9" t="str">
        <f>IFERROR(__xludf.DUMMYFUNCTION("""COMPUTED_VALUE"""),"Batch 172")</f>
        <v>Batch 172</v>
      </c>
      <c r="B883" s="9" t="str">
        <f>IFERROR(__xludf.DUMMYFUNCTION("""COMPUTED_VALUE"""),"ElamparuthiC72")</f>
        <v>ElamparuthiC72</v>
      </c>
      <c r="C883" s="8">
        <f>IFERROR(__xludf.DUMMYFUNCTION("""COMPUTED_VALUE"""),0.0)</f>
        <v>0</v>
      </c>
      <c r="D883" s="8"/>
    </row>
    <row r="884">
      <c r="A884" s="9" t="str">
        <f>IFERROR(__xludf.DUMMYFUNCTION("""COMPUTED_VALUE"""),"Batch 172")</f>
        <v>Batch 172</v>
      </c>
      <c r="B884" s="9" t="str">
        <f>IFERROR(__xludf.DUMMYFUNCTION("""COMPUTED_VALUE"""),"BhawnaC72")</f>
        <v>BhawnaC72</v>
      </c>
      <c r="C884" s="8">
        <f>IFERROR(__xludf.DUMMYFUNCTION("""COMPUTED_VALUE"""),1.0)</f>
        <v>1</v>
      </c>
      <c r="D884" s="8"/>
    </row>
    <row r="885">
      <c r="A885" s="9" t="str">
        <f>IFERROR(__xludf.DUMMYFUNCTION("""COMPUTED_VALUE"""),"Batch 172")</f>
        <v>Batch 172</v>
      </c>
      <c r="B885" s="9" t="str">
        <f>IFERROR(__xludf.DUMMYFUNCTION("""COMPUTED_VALUE"""),"VidhitaC72")</f>
        <v>VidhitaC72</v>
      </c>
      <c r="C885" s="8">
        <f>IFERROR(__xludf.DUMMYFUNCTION("""COMPUTED_VALUE"""),0.0)</f>
        <v>0</v>
      </c>
      <c r="D885" s="8"/>
    </row>
    <row r="886">
      <c r="A886" s="9" t="str">
        <f>IFERROR(__xludf.DUMMYFUNCTION("""COMPUTED_VALUE"""),"Batch 172")</f>
        <v>Batch 172</v>
      </c>
      <c r="B886" s="9" t="str">
        <f>IFERROR(__xludf.DUMMYFUNCTION("""COMPUTED_VALUE"""),"YashC72")</f>
        <v>YashC72</v>
      </c>
      <c r="C886" s="8">
        <f>IFERROR(__xludf.DUMMYFUNCTION("""COMPUTED_VALUE"""),0.0)</f>
        <v>0</v>
      </c>
      <c r="D886" s="8"/>
    </row>
    <row r="887">
      <c r="A887" s="9" t="str">
        <f>IFERROR(__xludf.DUMMYFUNCTION("""COMPUTED_VALUE"""),"Batch 172")</f>
        <v>Batch 172</v>
      </c>
      <c r="B887" s="9" t="str">
        <f>IFERROR(__xludf.DUMMYFUNCTION("""COMPUTED_VALUE"""),"ShruthiC72")</f>
        <v>ShruthiC72</v>
      </c>
      <c r="C887" s="8">
        <f>IFERROR(__xludf.DUMMYFUNCTION("""COMPUTED_VALUE"""),0.0)</f>
        <v>0</v>
      </c>
      <c r="D887" s="8"/>
    </row>
    <row r="888">
      <c r="A888" s="9" t="str">
        <f>IFERROR(__xludf.DUMMYFUNCTION("""COMPUTED_VALUE"""),"Batch 172")</f>
        <v>Batch 172</v>
      </c>
      <c r="B888" s="9" t="str">
        <f>IFERROR(__xludf.DUMMYFUNCTION("""COMPUTED_VALUE"""),"RidhimaC72")</f>
        <v>RidhimaC72</v>
      </c>
      <c r="C888" s="8">
        <f>IFERROR(__xludf.DUMMYFUNCTION("""COMPUTED_VALUE"""),12.0)</f>
        <v>12</v>
      </c>
      <c r="D888" s="8">
        <f>IFERROR(__xludf.DUMMYFUNCTION("""COMPUTED_VALUE"""),3.0)</f>
        <v>3</v>
      </c>
    </row>
    <row r="889">
      <c r="A889" s="9" t="str">
        <f>IFERROR(__xludf.DUMMYFUNCTION("""COMPUTED_VALUE"""),"Batch 172")</f>
        <v>Batch 172</v>
      </c>
      <c r="B889" s="9" t="str">
        <f>IFERROR(__xludf.DUMMYFUNCTION("""COMPUTED_VALUE"""),"HARSHC72")</f>
        <v>HARSHC72</v>
      </c>
      <c r="C889" s="8">
        <f>IFERROR(__xludf.DUMMYFUNCTION("""COMPUTED_VALUE"""),0.0)</f>
        <v>0</v>
      </c>
      <c r="D889" s="8"/>
    </row>
    <row r="890">
      <c r="A890" s="9" t="str">
        <f>IFERROR(__xludf.DUMMYFUNCTION("""COMPUTED_VALUE"""),"Batch 172")</f>
        <v>Batch 172</v>
      </c>
      <c r="B890" s="9" t="str">
        <f>IFERROR(__xludf.DUMMYFUNCTION("""COMPUTED_VALUE"""),"OjasveeC72")</f>
        <v>OjasveeC72</v>
      </c>
      <c r="C890" s="8">
        <f>IFERROR(__xludf.DUMMYFUNCTION("""COMPUTED_VALUE"""),0.0)</f>
        <v>0</v>
      </c>
      <c r="D890" s="8"/>
    </row>
    <row r="891">
      <c r="A891" s="9" t="str">
        <f>IFERROR(__xludf.DUMMYFUNCTION("""COMPUTED_VALUE"""),"Batch 172")</f>
        <v>Batch 172</v>
      </c>
      <c r="B891" s="9" t="str">
        <f>IFERROR(__xludf.DUMMYFUNCTION("""COMPUTED_VALUE"""),"JanhaviC72")</f>
        <v>JanhaviC72</v>
      </c>
      <c r="C891" s="8">
        <f>IFERROR(__xludf.DUMMYFUNCTION("""COMPUTED_VALUE"""),20.0)</f>
        <v>20</v>
      </c>
      <c r="D891" s="8"/>
    </row>
    <row r="892">
      <c r="A892" s="9" t="str">
        <f>IFERROR(__xludf.DUMMYFUNCTION("""COMPUTED_VALUE"""),"Batch 172")</f>
        <v>Batch 172</v>
      </c>
      <c r="B892" s="9" t="str">
        <f>IFERROR(__xludf.DUMMYFUNCTION("""COMPUTED_VALUE"""),"RaghavC72")</f>
        <v>RaghavC72</v>
      </c>
      <c r="C892" s="8">
        <f>IFERROR(__xludf.DUMMYFUNCTION("""COMPUTED_VALUE"""),0.0)</f>
        <v>0</v>
      </c>
      <c r="D892" s="8"/>
    </row>
    <row r="893">
      <c r="A893" s="9" t="str">
        <f>IFERROR(__xludf.DUMMYFUNCTION("""COMPUTED_VALUE"""),"Batch 172")</f>
        <v>Batch 172</v>
      </c>
      <c r="B893" s="9" t="str">
        <f>IFERROR(__xludf.DUMMYFUNCTION("""COMPUTED_VALUE"""),"SouravC72")</f>
        <v>SouravC72</v>
      </c>
      <c r="C893" s="8">
        <f>IFERROR(__xludf.DUMMYFUNCTION("""COMPUTED_VALUE"""),0.0)</f>
        <v>0</v>
      </c>
      <c r="D893" s="8"/>
    </row>
    <row r="894">
      <c r="A894" s="9" t="str">
        <f>IFERROR(__xludf.DUMMYFUNCTION("""COMPUTED_VALUE"""),"Batch 172")</f>
        <v>Batch 172</v>
      </c>
      <c r="B894" s="9" t="str">
        <f>IFERROR(__xludf.DUMMYFUNCTION("""COMPUTED_VALUE"""),"ShivaniC72")</f>
        <v>ShivaniC72</v>
      </c>
      <c r="C894" s="8">
        <f>IFERROR(__xludf.DUMMYFUNCTION("""COMPUTED_VALUE"""),0.0)</f>
        <v>0</v>
      </c>
      <c r="D894" s="8"/>
    </row>
    <row r="895">
      <c r="A895" s="9" t="str">
        <f>IFERROR(__xludf.DUMMYFUNCTION("""COMPUTED_VALUE"""),"Batch 172")</f>
        <v>Batch 172</v>
      </c>
      <c r="B895" s="9" t="str">
        <f>IFERROR(__xludf.DUMMYFUNCTION("""COMPUTED_VALUE"""),"AnjaliC72")</f>
        <v>AnjaliC72</v>
      </c>
      <c r="C895" s="8">
        <f>IFERROR(__xludf.DUMMYFUNCTION("""COMPUTED_VALUE"""),0.0)</f>
        <v>0</v>
      </c>
      <c r="D895" s="8"/>
    </row>
    <row r="896">
      <c r="A896" s="9" t="str">
        <f>IFERROR(__xludf.DUMMYFUNCTION("""COMPUTED_VALUE"""),"Batch 172")</f>
        <v>Batch 172</v>
      </c>
      <c r="B896" s="9" t="str">
        <f>IFERROR(__xludf.DUMMYFUNCTION("""COMPUTED_VALUE"""),"dikshantC72")</f>
        <v>dikshantC72</v>
      </c>
      <c r="C896" s="8">
        <f>IFERROR(__xludf.DUMMYFUNCTION("""COMPUTED_VALUE"""),0.0)</f>
        <v>0</v>
      </c>
      <c r="D896" s="8"/>
    </row>
    <row r="897">
      <c r="A897" s="9" t="str">
        <f>IFERROR(__xludf.DUMMYFUNCTION("""COMPUTED_VALUE"""),"Batch 172")</f>
        <v>Batch 172</v>
      </c>
      <c r="B897" s="9" t="str">
        <f>IFERROR(__xludf.DUMMYFUNCTION("""COMPUTED_VALUE"""),"TanushkaC72")</f>
        <v>TanushkaC72</v>
      </c>
      <c r="C897" s="8">
        <f>IFERROR(__xludf.DUMMYFUNCTION("""COMPUTED_VALUE"""),0.0)</f>
        <v>0</v>
      </c>
      <c r="D897" s="8"/>
    </row>
    <row r="898">
      <c r="A898" s="9" t="str">
        <f>IFERROR(__xludf.DUMMYFUNCTION("""COMPUTED_VALUE"""),"Batch 172")</f>
        <v>Batch 172</v>
      </c>
      <c r="B898" s="9" t="str">
        <f>IFERROR(__xludf.DUMMYFUNCTION("""COMPUTED_VALUE"""),"GauriC72")</f>
        <v>GauriC72</v>
      </c>
      <c r="C898" s="8">
        <f>IFERROR(__xludf.DUMMYFUNCTION("""COMPUTED_VALUE"""),0.0)</f>
        <v>0</v>
      </c>
      <c r="D898" s="8"/>
    </row>
    <row r="899">
      <c r="A899" s="9" t="str">
        <f>IFERROR(__xludf.DUMMYFUNCTION("""COMPUTED_VALUE"""),"Batch 172")</f>
        <v>Batch 172</v>
      </c>
      <c r="B899" s="9" t="str">
        <f>IFERROR(__xludf.DUMMYFUNCTION("""COMPUTED_VALUE"""),"TanishkaC72")</f>
        <v>TanishkaC72</v>
      </c>
      <c r="C899" s="8">
        <f>IFERROR(__xludf.DUMMYFUNCTION("""COMPUTED_VALUE"""),0.0)</f>
        <v>0</v>
      </c>
      <c r="D899" s="8"/>
    </row>
    <row r="900">
      <c r="A900" s="9" t="str">
        <f>IFERROR(__xludf.DUMMYFUNCTION("""COMPUTED_VALUE"""),"Batch 172")</f>
        <v>Batch 172</v>
      </c>
      <c r="B900" s="9" t="str">
        <f>IFERROR(__xludf.DUMMYFUNCTION("""COMPUTED_VALUE"""),"VivekC72")</f>
        <v>VivekC72</v>
      </c>
      <c r="C900" s="8">
        <f>IFERROR(__xludf.DUMMYFUNCTION("""COMPUTED_VALUE"""),0.0)</f>
        <v>0</v>
      </c>
      <c r="D900" s="8"/>
    </row>
    <row r="901">
      <c r="A901" s="9" t="str">
        <f>IFERROR(__xludf.DUMMYFUNCTION("""COMPUTED_VALUE"""),"Batch 172")</f>
        <v>Batch 172</v>
      </c>
      <c r="B901" s="9" t="str">
        <f>IFERROR(__xludf.DUMMYFUNCTION("""COMPUTED_VALUE"""),"Jegadeeswari.C72")</f>
        <v>Jegadeeswari.C72</v>
      </c>
      <c r="C901" s="8">
        <f>IFERROR(__xludf.DUMMYFUNCTION("""COMPUTED_VALUE"""),2.0)</f>
        <v>2</v>
      </c>
      <c r="D901" s="8"/>
    </row>
    <row r="902">
      <c r="A902" s="9" t="str">
        <f>IFERROR(__xludf.DUMMYFUNCTION("""COMPUTED_VALUE"""),"Batch 172")</f>
        <v>Batch 172</v>
      </c>
      <c r="B902" s="9" t="str">
        <f>IFERROR(__xludf.DUMMYFUNCTION("""COMPUTED_VALUE"""),"VaibhavC72")</f>
        <v>VaibhavC72</v>
      </c>
      <c r="C902" s="8">
        <f>IFERROR(__xludf.DUMMYFUNCTION("""COMPUTED_VALUE"""),0.0)</f>
        <v>0</v>
      </c>
      <c r="D902" s="8"/>
    </row>
    <row r="903">
      <c r="A903" s="9" t="str">
        <f>IFERROR(__xludf.DUMMYFUNCTION("""COMPUTED_VALUE"""),"Batch 172")</f>
        <v>Batch 172</v>
      </c>
      <c r="B903" s="9" t="str">
        <f>IFERROR(__xludf.DUMMYFUNCTION("""COMPUTED_VALUE"""),"DivyanshC72")</f>
        <v>DivyanshC72</v>
      </c>
      <c r="C903" s="8">
        <f>IFERROR(__xludf.DUMMYFUNCTION("""COMPUTED_VALUE"""),6.0)</f>
        <v>6</v>
      </c>
      <c r="D903" s="8">
        <f>IFERROR(__xludf.DUMMYFUNCTION("""COMPUTED_VALUE"""),3.0)</f>
        <v>3</v>
      </c>
    </row>
    <row r="904">
      <c r="A904" s="9" t="str">
        <f>IFERROR(__xludf.DUMMYFUNCTION("""COMPUTED_VALUE"""),"Batch 172")</f>
        <v>Batch 172</v>
      </c>
      <c r="B904" s="9" t="str">
        <f>IFERROR(__xludf.DUMMYFUNCTION("""COMPUTED_VALUE"""),"SuryanshuC72")</f>
        <v>SuryanshuC72</v>
      </c>
      <c r="C904" s="8">
        <f>IFERROR(__xludf.DUMMYFUNCTION("""COMPUTED_VALUE"""),0.0)</f>
        <v>0</v>
      </c>
      <c r="D904" s="8"/>
    </row>
    <row r="905">
      <c r="A905" s="9" t="str">
        <f>IFERROR(__xludf.DUMMYFUNCTION("""COMPUTED_VALUE"""),"Batch 172")</f>
        <v>Batch 172</v>
      </c>
      <c r="B905" s="9" t="str">
        <f>IFERROR(__xludf.DUMMYFUNCTION("""COMPUTED_VALUE"""),"JitendraC72")</f>
        <v>JitendraC72</v>
      </c>
      <c r="C905" s="8">
        <f>IFERROR(__xludf.DUMMYFUNCTION("""COMPUTED_VALUE"""),0.0)</f>
        <v>0</v>
      </c>
      <c r="D905" s="8"/>
    </row>
    <row r="906">
      <c r="A906" s="9" t="str">
        <f>IFERROR(__xludf.DUMMYFUNCTION("""COMPUTED_VALUE"""),"Batch 172")</f>
        <v>Batch 172</v>
      </c>
      <c r="B906" s="9" t="str">
        <f>IFERROR(__xludf.DUMMYFUNCTION("""COMPUTED_VALUE"""),"ShubhikaC72")</f>
        <v>ShubhikaC72</v>
      </c>
      <c r="C906" s="8">
        <f>IFERROR(__xludf.DUMMYFUNCTION("""COMPUTED_VALUE"""),0.0)</f>
        <v>0</v>
      </c>
      <c r="D906" s="8"/>
    </row>
    <row r="907">
      <c r="A907" s="9" t="str">
        <f>IFERROR(__xludf.DUMMYFUNCTION("""COMPUTED_VALUE"""),"Batch 172")</f>
        <v>Batch 172</v>
      </c>
      <c r="B907" s="9" t="str">
        <f>IFERROR(__xludf.DUMMYFUNCTION("""COMPUTED_VALUE"""),"MalikaC72")</f>
        <v>MalikaC72</v>
      </c>
      <c r="C907" s="8">
        <f>IFERROR(__xludf.DUMMYFUNCTION("""COMPUTED_VALUE"""),4.0)</f>
        <v>4</v>
      </c>
      <c r="D907" s="8"/>
    </row>
    <row r="908">
      <c r="A908" s="9" t="str">
        <f>IFERROR(__xludf.DUMMYFUNCTION("""COMPUTED_VALUE"""),"Batch 172")</f>
        <v>Batch 172</v>
      </c>
      <c r="B908" s="9" t="str">
        <f>IFERROR(__xludf.DUMMYFUNCTION("""COMPUTED_VALUE"""),"NiveditaC72")</f>
        <v>NiveditaC72</v>
      </c>
      <c r="C908" s="8">
        <f>IFERROR(__xludf.DUMMYFUNCTION("""COMPUTED_VALUE"""),0.0)</f>
        <v>0</v>
      </c>
      <c r="D908" s="8"/>
    </row>
    <row r="909">
      <c r="A909" s="9" t="str">
        <f>IFERROR(__xludf.DUMMYFUNCTION("""COMPUTED_VALUE"""),"Batch 172")</f>
        <v>Batch 172</v>
      </c>
      <c r="B909" s="9" t="str">
        <f>IFERROR(__xludf.DUMMYFUNCTION("""COMPUTED_VALUE"""),"TanyaC72")</f>
        <v>TanyaC72</v>
      </c>
      <c r="C909" s="8">
        <f>IFERROR(__xludf.DUMMYFUNCTION("""COMPUTED_VALUE"""),4.0)</f>
        <v>4</v>
      </c>
      <c r="D909" s="8"/>
    </row>
    <row r="910">
      <c r="A910" s="9" t="str">
        <f>IFERROR(__xludf.DUMMYFUNCTION("""COMPUTED_VALUE"""),"Batch 172")</f>
        <v>Batch 172</v>
      </c>
      <c r="B910" s="9" t="str">
        <f>IFERROR(__xludf.DUMMYFUNCTION("""COMPUTED_VALUE"""),"JitendraC72")</f>
        <v>JitendraC72</v>
      </c>
      <c r="C910" s="8">
        <f>IFERROR(__xludf.DUMMYFUNCTION("""COMPUTED_VALUE"""),0.0)</f>
        <v>0</v>
      </c>
      <c r="D910" s="8"/>
    </row>
    <row r="911">
      <c r="A911" s="9" t="str">
        <f>IFERROR(__xludf.DUMMYFUNCTION("""COMPUTED_VALUE"""),"Batch 172")</f>
        <v>Batch 172</v>
      </c>
      <c r="B911" s="9" t="str">
        <f>IFERROR(__xludf.DUMMYFUNCTION("""COMPUTED_VALUE"""),"twinkleC72")</f>
        <v>twinkleC72</v>
      </c>
      <c r="C911" s="8">
        <f>IFERROR(__xludf.DUMMYFUNCTION("""COMPUTED_VALUE"""),0.0)</f>
        <v>0</v>
      </c>
      <c r="D911" s="8"/>
    </row>
    <row r="912">
      <c r="A912" s="9" t="str">
        <f>IFERROR(__xludf.DUMMYFUNCTION("""COMPUTED_VALUE"""),"Batch 172")</f>
        <v>Batch 172</v>
      </c>
      <c r="B912" s="9" t="str">
        <f>IFERROR(__xludf.DUMMYFUNCTION("""COMPUTED_VALUE"""),"MohdC72")</f>
        <v>MohdC72</v>
      </c>
      <c r="C912" s="8">
        <f>IFERROR(__xludf.DUMMYFUNCTION("""COMPUTED_VALUE"""),1.0)</f>
        <v>1</v>
      </c>
      <c r="D912" s="8"/>
    </row>
    <row r="913">
      <c r="A913" s="9" t="str">
        <f>IFERROR(__xludf.DUMMYFUNCTION("""COMPUTED_VALUE"""),"Batch 172")</f>
        <v>Batch 172</v>
      </c>
      <c r="B913" s="9" t="str">
        <f>IFERROR(__xludf.DUMMYFUNCTION("""COMPUTED_VALUE"""),"FaizaC72")</f>
        <v>FaizaC72</v>
      </c>
      <c r="C913" s="8">
        <f>IFERROR(__xludf.DUMMYFUNCTION("""COMPUTED_VALUE"""),0.0)</f>
        <v>0</v>
      </c>
      <c r="D913" s="8"/>
    </row>
    <row r="914">
      <c r="A914" s="9" t="str">
        <f>IFERROR(__xludf.DUMMYFUNCTION("""COMPUTED_VALUE"""),"Batch 172")</f>
        <v>Batch 172</v>
      </c>
      <c r="B914" s="9" t="str">
        <f>IFERROR(__xludf.DUMMYFUNCTION("""COMPUTED_VALUE"""),"SuryanshuC72")</f>
        <v>SuryanshuC72</v>
      </c>
      <c r="C914" s="8">
        <f>IFERROR(__xludf.DUMMYFUNCTION("""COMPUTED_VALUE"""),0.0)</f>
        <v>0</v>
      </c>
      <c r="D914" s="8"/>
    </row>
    <row r="915">
      <c r="A915" s="9" t="str">
        <f>IFERROR(__xludf.DUMMYFUNCTION("""COMPUTED_VALUE"""),"Batch 172")</f>
        <v>Batch 172</v>
      </c>
      <c r="B915" s="9" t="str">
        <f>IFERROR(__xludf.DUMMYFUNCTION("""COMPUTED_VALUE"""),"RishabhC72")</f>
        <v>RishabhC72</v>
      </c>
      <c r="C915" s="8">
        <f>IFERROR(__xludf.DUMMYFUNCTION("""COMPUTED_VALUE"""),0.0)</f>
        <v>0</v>
      </c>
      <c r="D915" s="8"/>
    </row>
    <row r="916">
      <c r="A916" s="9" t="str">
        <f>IFERROR(__xludf.DUMMYFUNCTION("""COMPUTED_VALUE"""),"Batch 172")</f>
        <v>Batch 172</v>
      </c>
      <c r="B916" s="9" t="str">
        <f>IFERROR(__xludf.DUMMYFUNCTION("""COMPUTED_VALUE"""),"VedantC72")</f>
        <v>VedantC72</v>
      </c>
      <c r="C916" s="8">
        <f>IFERROR(__xludf.DUMMYFUNCTION("""COMPUTED_VALUE"""),0.0)</f>
        <v>0</v>
      </c>
      <c r="D916" s="8"/>
    </row>
    <row r="917">
      <c r="A917" s="9" t="str">
        <f>IFERROR(__xludf.DUMMYFUNCTION("""COMPUTED_VALUE"""),"Batch 172")</f>
        <v>Batch 172</v>
      </c>
      <c r="B917" s="9" t="str">
        <f>IFERROR(__xludf.DUMMYFUNCTION("""COMPUTED_VALUE"""),"JithinC72")</f>
        <v>JithinC72</v>
      </c>
      <c r="C917" s="8">
        <f>IFERROR(__xludf.DUMMYFUNCTION("""COMPUTED_VALUE"""),0.0)</f>
        <v>0</v>
      </c>
      <c r="D917" s="8"/>
    </row>
    <row r="918">
      <c r="A918" s="9"/>
      <c r="B918" s="9"/>
      <c r="C918" s="8">
        <f>IFERROR(__xludf.DUMMYFUNCTION("""COMPUTED_VALUE"""),0.0)</f>
        <v>0</v>
      </c>
      <c r="D918" s="8"/>
    </row>
    <row r="919">
      <c r="A919" s="9" t="str">
        <f>IFERROR(__xludf.DUMMYFUNCTION("""COMPUTED_VALUE"""),"Batch 173")</f>
        <v>Batch 173</v>
      </c>
      <c r="B919" s="9" t="str">
        <f>IFERROR(__xludf.DUMMYFUNCTION("""COMPUTED_VALUE"""),"TalariC73")</f>
        <v>TalariC73</v>
      </c>
      <c r="C919" s="8">
        <f>IFERROR(__xludf.DUMMYFUNCTION("""COMPUTED_VALUE"""),5.0)</f>
        <v>5</v>
      </c>
      <c r="D919" s="8"/>
    </row>
    <row r="920">
      <c r="A920" s="9" t="str">
        <f>IFERROR(__xludf.DUMMYFUNCTION("""COMPUTED_VALUE"""),"Batch 173")</f>
        <v>Batch 173</v>
      </c>
      <c r="B920" s="9" t="str">
        <f>IFERROR(__xludf.DUMMYFUNCTION("""COMPUTED_VALUE"""),"KolamuriC73")</f>
        <v>KolamuriC73</v>
      </c>
      <c r="C920" s="8">
        <f>IFERROR(__xludf.DUMMYFUNCTION("""COMPUTED_VALUE"""),1.0)</f>
        <v>1</v>
      </c>
      <c r="D920" s="8"/>
    </row>
    <row r="921">
      <c r="A921" s="9" t="str">
        <f>IFERROR(__xludf.DUMMYFUNCTION("""COMPUTED_VALUE"""),"Batch 173")</f>
        <v>Batch 173</v>
      </c>
      <c r="B921" s="9" t="str">
        <f>IFERROR(__xludf.DUMMYFUNCTION("""COMPUTED_VALUE"""),"SouvikC73")</f>
        <v>SouvikC73</v>
      </c>
      <c r="C921" s="8">
        <f>IFERROR(__xludf.DUMMYFUNCTION("""COMPUTED_VALUE"""),24.0)</f>
        <v>24</v>
      </c>
      <c r="D921" s="8">
        <f>IFERROR(__xludf.DUMMYFUNCTION("""COMPUTED_VALUE"""),6.0)</f>
        <v>6</v>
      </c>
    </row>
    <row r="922">
      <c r="A922" s="9" t="str">
        <f>IFERROR(__xludf.DUMMYFUNCTION("""COMPUTED_VALUE"""),"Batch 173")</f>
        <v>Batch 173</v>
      </c>
      <c r="B922" s="9" t="str">
        <f>IFERROR(__xludf.DUMMYFUNCTION("""COMPUTED_VALUE"""),"AishwaryeC73")</f>
        <v>AishwaryeC73</v>
      </c>
      <c r="C922" s="8">
        <f>IFERROR(__xludf.DUMMYFUNCTION("""COMPUTED_VALUE"""),0.0)</f>
        <v>0</v>
      </c>
      <c r="D922" s="8"/>
    </row>
    <row r="923">
      <c r="A923" s="9" t="str">
        <f>IFERROR(__xludf.DUMMYFUNCTION("""COMPUTED_VALUE"""),"Batch 173")</f>
        <v>Batch 173</v>
      </c>
      <c r="B923" s="9" t="str">
        <f>IFERROR(__xludf.DUMMYFUNCTION("""COMPUTED_VALUE"""),"IshaC73")</f>
        <v>IshaC73</v>
      </c>
      <c r="C923" s="8">
        <f>IFERROR(__xludf.DUMMYFUNCTION("""COMPUTED_VALUE"""),0.0)</f>
        <v>0</v>
      </c>
      <c r="D923" s="8"/>
    </row>
    <row r="924">
      <c r="A924" s="9" t="str">
        <f>IFERROR(__xludf.DUMMYFUNCTION("""COMPUTED_VALUE"""),"Batch 173")</f>
        <v>Batch 173</v>
      </c>
      <c r="B924" s="9" t="str">
        <f>IFERROR(__xludf.DUMMYFUNCTION("""COMPUTED_VALUE"""),"UditiC73")</f>
        <v>UditiC73</v>
      </c>
      <c r="C924" s="8">
        <f>IFERROR(__xludf.DUMMYFUNCTION("""COMPUTED_VALUE"""),0.0)</f>
        <v>0</v>
      </c>
      <c r="D924" s="8"/>
    </row>
    <row r="925">
      <c r="A925" s="9" t="str">
        <f>IFERROR(__xludf.DUMMYFUNCTION("""COMPUTED_VALUE"""),"Batch 173")</f>
        <v>Batch 173</v>
      </c>
      <c r="B925" s="9" t="str">
        <f>IFERROR(__xludf.DUMMYFUNCTION("""COMPUTED_VALUE"""),"KurleC73")</f>
        <v>KurleC73</v>
      </c>
      <c r="C925" s="8">
        <f>IFERROR(__xludf.DUMMYFUNCTION("""COMPUTED_VALUE"""),0.0)</f>
        <v>0</v>
      </c>
      <c r="D925" s="8"/>
    </row>
    <row r="926">
      <c r="A926" s="9" t="str">
        <f>IFERROR(__xludf.DUMMYFUNCTION("""COMPUTED_VALUE"""),"Batch 173")</f>
        <v>Batch 173</v>
      </c>
      <c r="B926" s="9" t="str">
        <f>IFERROR(__xludf.DUMMYFUNCTION("""COMPUTED_VALUE"""),"RohanC73")</f>
        <v>RohanC73</v>
      </c>
      <c r="C926" s="8">
        <f>IFERROR(__xludf.DUMMYFUNCTION("""COMPUTED_VALUE"""),1.0)</f>
        <v>1</v>
      </c>
      <c r="D926" s="8"/>
    </row>
    <row r="927">
      <c r="A927" s="9" t="str">
        <f>IFERROR(__xludf.DUMMYFUNCTION("""COMPUTED_VALUE"""),"Batch 173")</f>
        <v>Batch 173</v>
      </c>
      <c r="B927" s="9" t="str">
        <f>IFERROR(__xludf.DUMMYFUNCTION("""COMPUTED_VALUE"""),"JaideepC73")</f>
        <v>JaideepC73</v>
      </c>
      <c r="C927" s="8">
        <f>IFERROR(__xludf.DUMMYFUNCTION("""COMPUTED_VALUE"""),0.0)</f>
        <v>0</v>
      </c>
      <c r="D927" s="8"/>
    </row>
    <row r="928">
      <c r="A928" s="9" t="str">
        <f>IFERROR(__xludf.DUMMYFUNCTION("""COMPUTED_VALUE"""),"Batch 173")</f>
        <v>Batch 173</v>
      </c>
      <c r="B928" s="9" t="str">
        <f>IFERROR(__xludf.DUMMYFUNCTION("""COMPUTED_VALUE"""),"HimanshuC73")</f>
        <v>HimanshuC73</v>
      </c>
      <c r="C928" s="8">
        <f>IFERROR(__xludf.DUMMYFUNCTION("""COMPUTED_VALUE"""),3.0)</f>
        <v>3</v>
      </c>
      <c r="D928" s="8"/>
    </row>
    <row r="929">
      <c r="A929" s="9"/>
      <c r="B929" s="9"/>
      <c r="C929" s="8">
        <f>IFERROR(__xludf.DUMMYFUNCTION("""COMPUTED_VALUE"""),0.0)</f>
        <v>0</v>
      </c>
      <c r="D929" s="8"/>
    </row>
    <row r="930">
      <c r="A930" s="9" t="str">
        <f>IFERROR(__xludf.DUMMYFUNCTION("""COMPUTED_VALUE"""),"Batch 174")</f>
        <v>Batch 174</v>
      </c>
      <c r="B930" s="9" t="str">
        <f>IFERROR(__xludf.DUMMYFUNCTION("""COMPUTED_VALUE"""),"AkankshaC74")</f>
        <v>AkankshaC74</v>
      </c>
      <c r="C930" s="8">
        <f>IFERROR(__xludf.DUMMYFUNCTION("""COMPUTED_VALUE"""),0.0)</f>
        <v>0</v>
      </c>
      <c r="D930" s="8"/>
    </row>
    <row r="931">
      <c r="A931" s="9" t="str">
        <f>IFERROR(__xludf.DUMMYFUNCTION("""COMPUTED_VALUE"""),"Batch 174")</f>
        <v>Batch 174</v>
      </c>
      <c r="B931" s="9" t="str">
        <f>IFERROR(__xludf.DUMMYFUNCTION("""COMPUTED_VALUE"""),"SAUMYAC74")</f>
        <v>SAUMYAC74</v>
      </c>
      <c r="C931" s="8">
        <f>IFERROR(__xludf.DUMMYFUNCTION("""COMPUTED_VALUE"""),0.0)</f>
        <v>0</v>
      </c>
      <c r="D931" s="8"/>
    </row>
    <row r="932">
      <c r="A932" s="9" t="str">
        <f>IFERROR(__xludf.DUMMYFUNCTION("""COMPUTED_VALUE"""),"Batch 174")</f>
        <v>Batch 174</v>
      </c>
      <c r="B932" s="9" t="str">
        <f>IFERROR(__xludf.DUMMYFUNCTION("""COMPUTED_VALUE"""),"SakshiC74")</f>
        <v>SakshiC74</v>
      </c>
      <c r="C932" s="8">
        <f>IFERROR(__xludf.DUMMYFUNCTION("""COMPUTED_VALUE"""),0.0)</f>
        <v>0</v>
      </c>
      <c r="D932" s="8"/>
    </row>
    <row r="933">
      <c r="A933" s="9" t="str">
        <f>IFERROR(__xludf.DUMMYFUNCTION("""COMPUTED_VALUE"""),"Batch 174")</f>
        <v>Batch 174</v>
      </c>
      <c r="B933" s="9" t="str">
        <f>IFERROR(__xludf.DUMMYFUNCTION("""COMPUTED_VALUE"""),"AbhinayC74")</f>
        <v>AbhinayC74</v>
      </c>
      <c r="C933" s="8">
        <f>IFERROR(__xludf.DUMMYFUNCTION("""COMPUTED_VALUE"""),21.0)</f>
        <v>21</v>
      </c>
      <c r="D933" s="8">
        <f>IFERROR(__xludf.DUMMYFUNCTION("""COMPUTED_VALUE"""),2.0)</f>
        <v>2</v>
      </c>
    </row>
    <row r="934">
      <c r="A934" s="9" t="str">
        <f>IFERROR(__xludf.DUMMYFUNCTION("""COMPUTED_VALUE"""),"Batch 174")</f>
        <v>Batch 174</v>
      </c>
      <c r="B934" s="9" t="str">
        <f>IFERROR(__xludf.DUMMYFUNCTION("""COMPUTED_VALUE"""),"RidhiC74")</f>
        <v>RidhiC74</v>
      </c>
      <c r="C934" s="8">
        <f>IFERROR(__xludf.DUMMYFUNCTION("""COMPUTED_VALUE"""),0.0)</f>
        <v>0</v>
      </c>
      <c r="D934" s="8"/>
    </row>
    <row r="935">
      <c r="A935" s="9" t="str">
        <f>IFERROR(__xludf.DUMMYFUNCTION("""COMPUTED_VALUE"""),"Batch 174")</f>
        <v>Batch 174</v>
      </c>
      <c r="B935" s="9" t="str">
        <f>IFERROR(__xludf.DUMMYFUNCTION("""COMPUTED_VALUE"""),"DeepakC74")</f>
        <v>DeepakC74</v>
      </c>
      <c r="C935" s="8">
        <f>IFERROR(__xludf.DUMMYFUNCTION("""COMPUTED_VALUE"""),10.0)</f>
        <v>10</v>
      </c>
      <c r="D935" s="8">
        <f>IFERROR(__xludf.DUMMYFUNCTION("""COMPUTED_VALUE"""),5.0)</f>
        <v>5</v>
      </c>
    </row>
    <row r="936">
      <c r="A936" s="9" t="str">
        <f>IFERROR(__xludf.DUMMYFUNCTION("""COMPUTED_VALUE"""),"Batch 174")</f>
        <v>Batch 174</v>
      </c>
      <c r="B936" s="9" t="str">
        <f>IFERROR(__xludf.DUMMYFUNCTION("""COMPUTED_VALUE"""),"ArpitaC74")</f>
        <v>ArpitaC74</v>
      </c>
      <c r="C936" s="8">
        <f>IFERROR(__xludf.DUMMYFUNCTION("""COMPUTED_VALUE"""),0.0)</f>
        <v>0</v>
      </c>
      <c r="D936" s="8"/>
    </row>
    <row r="937">
      <c r="A937" s="9" t="str">
        <f>IFERROR(__xludf.DUMMYFUNCTION("""COMPUTED_VALUE"""),"Batch 174")</f>
        <v>Batch 174</v>
      </c>
      <c r="B937" s="9" t="str">
        <f>IFERROR(__xludf.DUMMYFUNCTION("""COMPUTED_VALUE"""),"SachinC74")</f>
        <v>SachinC74</v>
      </c>
      <c r="C937" s="8">
        <f>IFERROR(__xludf.DUMMYFUNCTION("""COMPUTED_VALUE"""),0.0)</f>
        <v>0</v>
      </c>
      <c r="D937" s="8"/>
    </row>
    <row r="938">
      <c r="A938" s="9" t="str">
        <f>IFERROR(__xludf.DUMMYFUNCTION("""COMPUTED_VALUE"""),"Batch 174")</f>
        <v>Batch 174</v>
      </c>
      <c r="B938" s="9" t="str">
        <f>IFERROR(__xludf.DUMMYFUNCTION("""COMPUTED_VALUE"""),"AtanuC74")</f>
        <v>AtanuC74</v>
      </c>
      <c r="C938" s="8">
        <f>IFERROR(__xludf.DUMMYFUNCTION("""COMPUTED_VALUE"""),1.0)</f>
        <v>1</v>
      </c>
      <c r="D938" s="8">
        <f>IFERROR(__xludf.DUMMYFUNCTION("""COMPUTED_VALUE"""),1.0)</f>
        <v>1</v>
      </c>
    </row>
    <row r="939">
      <c r="A939" s="9" t="str">
        <f>IFERROR(__xludf.DUMMYFUNCTION("""COMPUTED_VALUE"""),"Batch 174")</f>
        <v>Batch 174</v>
      </c>
      <c r="B939" s="9" t="str">
        <f>IFERROR(__xludf.DUMMYFUNCTION("""COMPUTED_VALUE"""),"AyushC74")</f>
        <v>AyushC74</v>
      </c>
      <c r="C939" s="8">
        <f>IFERROR(__xludf.DUMMYFUNCTION("""COMPUTED_VALUE"""),1.0)</f>
        <v>1</v>
      </c>
      <c r="D939" s="8"/>
    </row>
    <row r="940">
      <c r="A940" s="9" t="str">
        <f>IFERROR(__xludf.DUMMYFUNCTION("""COMPUTED_VALUE"""),"Batch 174")</f>
        <v>Batch 174</v>
      </c>
      <c r="B940" s="9" t="str">
        <f>IFERROR(__xludf.DUMMYFUNCTION("""COMPUTED_VALUE"""),"AnshulC74")</f>
        <v>AnshulC74</v>
      </c>
      <c r="C940" s="8">
        <f>IFERROR(__xludf.DUMMYFUNCTION("""COMPUTED_VALUE"""),0.0)</f>
        <v>0</v>
      </c>
      <c r="D940" s="8"/>
    </row>
    <row r="941">
      <c r="A941" s="9" t="str">
        <f>IFERROR(__xludf.DUMMYFUNCTION("""COMPUTED_VALUE"""),"Batch 174")</f>
        <v>Batch 174</v>
      </c>
      <c r="B941" s="9" t="str">
        <f>IFERROR(__xludf.DUMMYFUNCTION("""COMPUTED_VALUE"""),"AshishC74")</f>
        <v>AshishC74</v>
      </c>
      <c r="C941" s="8">
        <f>IFERROR(__xludf.DUMMYFUNCTION("""COMPUTED_VALUE"""),0.0)</f>
        <v>0</v>
      </c>
      <c r="D941" s="8"/>
    </row>
    <row r="942">
      <c r="A942" s="9" t="str">
        <f>IFERROR(__xludf.DUMMYFUNCTION("""COMPUTED_VALUE"""),"Batch 174")</f>
        <v>Batch 174</v>
      </c>
      <c r="B942" s="9" t="str">
        <f>IFERROR(__xludf.DUMMYFUNCTION("""COMPUTED_VALUE"""),"ABHISHEKC74")</f>
        <v>ABHISHEKC74</v>
      </c>
      <c r="C942" s="8">
        <f>IFERROR(__xludf.DUMMYFUNCTION("""COMPUTED_VALUE"""),0.0)</f>
        <v>0</v>
      </c>
      <c r="D942" s="8"/>
    </row>
    <row r="943">
      <c r="A943" s="9" t="str">
        <f>IFERROR(__xludf.DUMMYFUNCTION("""COMPUTED_VALUE"""),"Batch 174")</f>
        <v>Batch 174</v>
      </c>
      <c r="B943" s="9" t="str">
        <f>IFERROR(__xludf.DUMMYFUNCTION("""COMPUTED_VALUE"""),"NALLABALLEC74")</f>
        <v>NALLABALLEC74</v>
      </c>
      <c r="C943" s="8">
        <f>IFERROR(__xludf.DUMMYFUNCTION("""COMPUTED_VALUE"""),0.0)</f>
        <v>0</v>
      </c>
      <c r="D943" s="8"/>
    </row>
    <row r="944">
      <c r="A944" s="9" t="str">
        <f>IFERROR(__xludf.DUMMYFUNCTION("""COMPUTED_VALUE"""),"Batch 174")</f>
        <v>Batch 174</v>
      </c>
      <c r="B944" s="9" t="str">
        <f>IFERROR(__xludf.DUMMYFUNCTION("""COMPUTED_VALUE"""),"AkshitaC74")</f>
        <v>AkshitaC74</v>
      </c>
      <c r="C944" s="8">
        <f>IFERROR(__xludf.DUMMYFUNCTION("""COMPUTED_VALUE"""),21.0)</f>
        <v>21</v>
      </c>
      <c r="D944" s="8"/>
    </row>
    <row r="945">
      <c r="A945" s="9" t="str">
        <f>IFERROR(__xludf.DUMMYFUNCTION("""COMPUTED_VALUE"""),"Batch 174")</f>
        <v>Batch 174</v>
      </c>
      <c r="B945" s="9" t="str">
        <f>IFERROR(__xludf.DUMMYFUNCTION("""COMPUTED_VALUE"""),"ArchitC74")</f>
        <v>ArchitC74</v>
      </c>
      <c r="C945" s="8">
        <f>IFERROR(__xludf.DUMMYFUNCTION("""COMPUTED_VALUE"""),0.0)</f>
        <v>0</v>
      </c>
      <c r="D945" s="8"/>
    </row>
    <row r="946">
      <c r="A946" s="9" t="str">
        <f>IFERROR(__xludf.DUMMYFUNCTION("""COMPUTED_VALUE"""),"Batch 174")</f>
        <v>Batch 174</v>
      </c>
      <c r="B946" s="9" t="str">
        <f>IFERROR(__xludf.DUMMYFUNCTION("""COMPUTED_VALUE"""),"FouziaC74")</f>
        <v>FouziaC74</v>
      </c>
      <c r="C946" s="8">
        <f>IFERROR(__xludf.DUMMYFUNCTION("""COMPUTED_VALUE"""),0.0)</f>
        <v>0</v>
      </c>
      <c r="D946" s="8"/>
    </row>
    <row r="947">
      <c r="A947" s="9" t="str">
        <f>IFERROR(__xludf.DUMMYFUNCTION("""COMPUTED_VALUE"""),"Batch 174")</f>
        <v>Batch 174</v>
      </c>
      <c r="B947" s="9" t="str">
        <f>IFERROR(__xludf.DUMMYFUNCTION("""COMPUTED_VALUE"""),"DeepakSC74")</f>
        <v>DeepakSC74</v>
      </c>
      <c r="C947" s="8">
        <f>IFERROR(__xludf.DUMMYFUNCTION("""COMPUTED_VALUE"""),0.0)</f>
        <v>0</v>
      </c>
      <c r="D947" s="8"/>
    </row>
    <row r="948">
      <c r="A948" s="9" t="str">
        <f>IFERROR(__xludf.DUMMYFUNCTION("""COMPUTED_VALUE"""),"Batch 174")</f>
        <v>Batch 174</v>
      </c>
      <c r="B948" s="9" t="str">
        <f>IFERROR(__xludf.DUMMYFUNCTION("""COMPUTED_VALUE"""),"SIVUKUC74")</f>
        <v>SIVUKUC74</v>
      </c>
      <c r="C948" s="8">
        <f>IFERROR(__xludf.DUMMYFUNCTION("""COMPUTED_VALUE"""),0.0)</f>
        <v>0</v>
      </c>
      <c r="D948" s="8"/>
    </row>
    <row r="949">
      <c r="A949" s="9" t="str">
        <f>IFERROR(__xludf.DUMMYFUNCTION("""COMPUTED_VALUE"""),"Batch 174")</f>
        <v>Batch 174</v>
      </c>
      <c r="B949" s="9" t="str">
        <f>IFERROR(__xludf.DUMMYFUNCTION("""COMPUTED_VALUE"""),"pavaniC74")</f>
        <v>pavaniC74</v>
      </c>
      <c r="C949" s="8">
        <f>IFERROR(__xludf.DUMMYFUNCTION("""COMPUTED_VALUE"""),0.0)</f>
        <v>0</v>
      </c>
      <c r="D949" s="8"/>
    </row>
    <row r="950">
      <c r="A950" s="9" t="str">
        <f>IFERROR(__xludf.DUMMYFUNCTION("""COMPUTED_VALUE"""),"Batch 174")</f>
        <v>Batch 174</v>
      </c>
      <c r="B950" s="9" t="str">
        <f>IFERROR(__xludf.DUMMYFUNCTION("""COMPUTED_VALUE"""),"SnehaC74")</f>
        <v>SnehaC74</v>
      </c>
      <c r="C950" s="8">
        <f>IFERROR(__xludf.DUMMYFUNCTION("""COMPUTED_VALUE"""),27.0)</f>
        <v>27</v>
      </c>
      <c r="D950" s="8"/>
    </row>
    <row r="951">
      <c r="A951" s="9" t="str">
        <f>IFERROR(__xludf.DUMMYFUNCTION("""COMPUTED_VALUE"""),"Batch 174")</f>
        <v>Batch 174</v>
      </c>
      <c r="B951" s="9" t="str">
        <f>IFERROR(__xludf.DUMMYFUNCTION("""COMPUTED_VALUE"""),"SachinC74")</f>
        <v>SachinC74</v>
      </c>
      <c r="C951" s="8">
        <f>IFERROR(__xludf.DUMMYFUNCTION("""COMPUTED_VALUE"""),0.0)</f>
        <v>0</v>
      </c>
      <c r="D951" s="8"/>
    </row>
    <row r="952">
      <c r="A952" s="9" t="str">
        <f>IFERROR(__xludf.DUMMYFUNCTION("""COMPUTED_VALUE"""),"Batch 174")</f>
        <v>Batch 174</v>
      </c>
      <c r="B952" s="9" t="str">
        <f>IFERROR(__xludf.DUMMYFUNCTION("""COMPUTED_VALUE"""),"DipanshuC74")</f>
        <v>DipanshuC74</v>
      </c>
      <c r="C952" s="8">
        <f>IFERROR(__xludf.DUMMYFUNCTION("""COMPUTED_VALUE"""),0.0)</f>
        <v>0</v>
      </c>
      <c r="D952" s="8"/>
    </row>
    <row r="953">
      <c r="A953" s="9" t="str">
        <f>IFERROR(__xludf.DUMMYFUNCTION("""COMPUTED_VALUE"""),"Batch 174")</f>
        <v>Batch 174</v>
      </c>
      <c r="B953" s="9" t="str">
        <f>IFERROR(__xludf.DUMMYFUNCTION("""COMPUTED_VALUE"""),"SandeshC74")</f>
        <v>SandeshC74</v>
      </c>
      <c r="C953" s="8">
        <f>IFERROR(__xludf.DUMMYFUNCTION("""COMPUTED_VALUE"""),0.0)</f>
        <v>0</v>
      </c>
      <c r="D953" s="8"/>
    </row>
    <row r="954">
      <c r="A954" s="9" t="str">
        <f>IFERROR(__xludf.DUMMYFUNCTION("""COMPUTED_VALUE"""),"Batch 174")</f>
        <v>Batch 174</v>
      </c>
      <c r="B954" s="9" t="str">
        <f>IFERROR(__xludf.DUMMYFUNCTION("""COMPUTED_VALUE"""),"GourinadhaC74")</f>
        <v>GourinadhaC74</v>
      </c>
      <c r="C954" s="8">
        <f>IFERROR(__xludf.DUMMYFUNCTION("""COMPUTED_VALUE"""),9.0)</f>
        <v>9</v>
      </c>
      <c r="D954" s="8">
        <f>IFERROR(__xludf.DUMMYFUNCTION("""COMPUTED_VALUE"""),4.0)</f>
        <v>4</v>
      </c>
    </row>
    <row r="955">
      <c r="A955" s="9" t="str">
        <f>IFERROR(__xludf.DUMMYFUNCTION("""COMPUTED_VALUE"""),"Batch 174")</f>
        <v>Batch 174</v>
      </c>
      <c r="B955" s="9" t="str">
        <f>IFERROR(__xludf.DUMMYFUNCTION("""COMPUTED_VALUE"""),"KamakuC74")</f>
        <v>KamakuC74</v>
      </c>
      <c r="C955" s="8">
        <f>IFERROR(__xludf.DUMMYFUNCTION("""COMPUTED_VALUE"""),0.0)</f>
        <v>0</v>
      </c>
      <c r="D955" s="8"/>
    </row>
    <row r="956">
      <c r="A956" s="9" t="str">
        <f>IFERROR(__xludf.DUMMYFUNCTION("""COMPUTED_VALUE"""),"Batch 174")</f>
        <v>Batch 174</v>
      </c>
      <c r="B956" s="9" t="str">
        <f>IFERROR(__xludf.DUMMYFUNCTION("""COMPUTED_VALUE"""),"AbarnaC74")</f>
        <v>AbarnaC74</v>
      </c>
      <c r="C956" s="8">
        <f>IFERROR(__xludf.DUMMYFUNCTION("""COMPUTED_VALUE"""),28.0)</f>
        <v>28</v>
      </c>
      <c r="D956" s="8"/>
    </row>
    <row r="957">
      <c r="A957" s="9" t="str">
        <f>IFERROR(__xludf.DUMMYFUNCTION("""COMPUTED_VALUE"""),"Batch 174")</f>
        <v>Batch 174</v>
      </c>
      <c r="B957" s="9" t="str">
        <f>IFERROR(__xludf.DUMMYFUNCTION("""COMPUTED_VALUE"""),"DarakhshanC74")</f>
        <v>DarakhshanC74</v>
      </c>
      <c r="C957" s="8">
        <f>IFERROR(__xludf.DUMMYFUNCTION("""COMPUTED_VALUE"""),0.0)</f>
        <v>0</v>
      </c>
      <c r="D957" s="8"/>
    </row>
    <row r="958">
      <c r="A958" s="9" t="str">
        <f>IFERROR(__xludf.DUMMYFUNCTION("""COMPUTED_VALUE"""),"Batch 174")</f>
        <v>Batch 174</v>
      </c>
      <c r="B958" s="9" t="str">
        <f>IFERROR(__xludf.DUMMYFUNCTION("""COMPUTED_VALUE"""),"JohnC74")</f>
        <v>JohnC74</v>
      </c>
      <c r="C958" s="8">
        <f>IFERROR(__xludf.DUMMYFUNCTION("""COMPUTED_VALUE"""),0.0)</f>
        <v>0</v>
      </c>
      <c r="D958" s="8"/>
    </row>
    <row r="959">
      <c r="A959" s="9" t="str">
        <f>IFERROR(__xludf.DUMMYFUNCTION("""COMPUTED_VALUE"""),"Batch 174")</f>
        <v>Batch 174</v>
      </c>
      <c r="B959" s="9" t="str">
        <f>IFERROR(__xludf.DUMMYFUNCTION("""COMPUTED_VALUE"""),"KOMALC74")</f>
        <v>KOMALC74</v>
      </c>
      <c r="C959" s="8">
        <f>IFERROR(__xludf.DUMMYFUNCTION("""COMPUTED_VALUE"""),0.0)</f>
        <v>0</v>
      </c>
      <c r="D959" s="8"/>
    </row>
    <row r="960">
      <c r="A960" s="9" t="str">
        <f>IFERROR(__xludf.DUMMYFUNCTION("""COMPUTED_VALUE"""),"Batch 174")</f>
        <v>Batch 174</v>
      </c>
      <c r="B960" s="9" t="str">
        <f>IFERROR(__xludf.DUMMYFUNCTION("""COMPUTED_VALUE"""),"IndraniC74")</f>
        <v>IndraniC74</v>
      </c>
      <c r="C960" s="8">
        <f>IFERROR(__xludf.DUMMYFUNCTION("""COMPUTED_VALUE"""),0.0)</f>
        <v>0</v>
      </c>
      <c r="D960" s="8"/>
    </row>
    <row r="961">
      <c r="A961" s="9" t="str">
        <f>IFERROR(__xludf.DUMMYFUNCTION("""COMPUTED_VALUE"""),"Batch 174")</f>
        <v>Batch 174</v>
      </c>
      <c r="B961" s="9" t="str">
        <f>IFERROR(__xludf.DUMMYFUNCTION("""COMPUTED_VALUE"""),"InshaC74")</f>
        <v>InshaC74</v>
      </c>
      <c r="C961" s="8">
        <f>IFERROR(__xludf.DUMMYFUNCTION("""COMPUTED_VALUE"""),20.0)</f>
        <v>20</v>
      </c>
      <c r="D961" s="8"/>
    </row>
    <row r="962">
      <c r="A962" s="9" t="str">
        <f>IFERROR(__xludf.DUMMYFUNCTION("""COMPUTED_VALUE"""),"Batch 174")</f>
        <v>Batch 174</v>
      </c>
      <c r="B962" s="9" t="str">
        <f>IFERROR(__xludf.DUMMYFUNCTION("""COMPUTED_VALUE"""),"sabbavarapuC74")</f>
        <v>sabbavarapuC74</v>
      </c>
      <c r="C962" s="8">
        <f>IFERROR(__xludf.DUMMYFUNCTION("""COMPUTED_VALUE"""),0.0)</f>
        <v>0</v>
      </c>
      <c r="D962" s="8"/>
    </row>
    <row r="963">
      <c r="A963" s="9" t="str">
        <f>IFERROR(__xludf.DUMMYFUNCTION("""COMPUTED_VALUE"""),"Batch 174")</f>
        <v>Batch 174</v>
      </c>
      <c r="B963" s="9" t="str">
        <f>IFERROR(__xludf.DUMMYFUNCTION("""COMPUTED_VALUE"""),"MaheshC74")</f>
        <v>MaheshC74</v>
      </c>
      <c r="C963" s="8">
        <f>IFERROR(__xludf.DUMMYFUNCTION("""COMPUTED_VALUE"""),0.0)</f>
        <v>0</v>
      </c>
      <c r="D963" s="8"/>
    </row>
    <row r="964">
      <c r="A964" s="9" t="str">
        <f>IFERROR(__xludf.DUMMYFUNCTION("""COMPUTED_VALUE"""),"Batch 174")</f>
        <v>Batch 174</v>
      </c>
      <c r="B964" s="9" t="str">
        <f>IFERROR(__xludf.DUMMYFUNCTION("""COMPUTED_VALUE"""),"RajatC74")</f>
        <v>RajatC74</v>
      </c>
      <c r="C964" s="8">
        <f>IFERROR(__xludf.DUMMYFUNCTION("""COMPUTED_VALUE"""),0.0)</f>
        <v>0</v>
      </c>
      <c r="D964" s="8"/>
    </row>
    <row r="965">
      <c r="A965" s="9" t="str">
        <f>IFERROR(__xludf.DUMMYFUNCTION("""COMPUTED_VALUE"""),"Batch 174")</f>
        <v>Batch 174</v>
      </c>
      <c r="B965" s="9" t="str">
        <f>IFERROR(__xludf.DUMMYFUNCTION("""COMPUTED_VALUE"""),"DeepakKC74")</f>
        <v>DeepakKC74</v>
      </c>
      <c r="C965" s="8">
        <f>IFERROR(__xludf.DUMMYFUNCTION("""COMPUTED_VALUE"""),0.0)</f>
        <v>0</v>
      </c>
      <c r="D965" s="8"/>
    </row>
    <row r="966">
      <c r="A966" s="9" t="str">
        <f>IFERROR(__xludf.DUMMYFUNCTION("""COMPUTED_VALUE"""),"Batch 174")</f>
        <v>Batch 174</v>
      </c>
      <c r="B966" s="9" t="str">
        <f>IFERROR(__xludf.DUMMYFUNCTION("""COMPUTED_VALUE"""),"BhushanC74")</f>
        <v>BhushanC74</v>
      </c>
      <c r="C966" s="8">
        <f>IFERROR(__xludf.DUMMYFUNCTION("""COMPUTED_VALUE"""),0.0)</f>
        <v>0</v>
      </c>
      <c r="D966" s="8"/>
    </row>
    <row r="967">
      <c r="A967" s="9" t="str">
        <f>IFERROR(__xludf.DUMMYFUNCTION("""COMPUTED_VALUE"""),"Batch 174")</f>
        <v>Batch 174</v>
      </c>
      <c r="B967" s="9" t="str">
        <f>IFERROR(__xludf.DUMMYFUNCTION("""COMPUTED_VALUE"""),"HritickC74")</f>
        <v>HritickC74</v>
      </c>
      <c r="C967" s="8">
        <f>IFERROR(__xludf.DUMMYFUNCTION("""COMPUTED_VALUE"""),0.0)</f>
        <v>0</v>
      </c>
      <c r="D967" s="8"/>
    </row>
    <row r="968">
      <c r="A968" s="9" t="str">
        <f>IFERROR(__xludf.DUMMYFUNCTION("""COMPUTED_VALUE"""),"Batch 174")</f>
        <v>Batch 174</v>
      </c>
      <c r="B968" s="9" t="str">
        <f>IFERROR(__xludf.DUMMYFUNCTION("""COMPUTED_VALUE"""),"ShristiC74")</f>
        <v>ShristiC74</v>
      </c>
      <c r="C968" s="8">
        <f>IFERROR(__xludf.DUMMYFUNCTION("""COMPUTED_VALUE"""),0.0)</f>
        <v>0</v>
      </c>
      <c r="D968" s="8"/>
    </row>
    <row r="969">
      <c r="A969" s="9"/>
      <c r="B969" s="9"/>
      <c r="C969" s="8">
        <f>IFERROR(__xludf.DUMMYFUNCTION("""COMPUTED_VALUE"""),0.0)</f>
        <v>0</v>
      </c>
      <c r="D969" s="8"/>
    </row>
    <row r="970">
      <c r="A970" s="9" t="str">
        <f>IFERROR(__xludf.DUMMYFUNCTION("""COMPUTED_VALUE"""),"Batch 175")</f>
        <v>Batch 175</v>
      </c>
      <c r="B970" s="9" t="str">
        <f>IFERROR(__xludf.DUMMYFUNCTION("""COMPUTED_VALUE"""),"ShagunC75")</f>
        <v>ShagunC75</v>
      </c>
      <c r="C970" s="8">
        <f>IFERROR(__xludf.DUMMYFUNCTION("""COMPUTED_VALUE"""),0.0)</f>
        <v>0</v>
      </c>
      <c r="D970" s="8"/>
    </row>
    <row r="971">
      <c r="A971" s="9" t="str">
        <f>IFERROR(__xludf.DUMMYFUNCTION("""COMPUTED_VALUE"""),"Batch 175")</f>
        <v>Batch 175</v>
      </c>
      <c r="B971" s="9" t="str">
        <f>IFERROR(__xludf.DUMMYFUNCTION("""COMPUTED_VALUE"""),"ArmishC75")</f>
        <v>ArmishC75</v>
      </c>
      <c r="C971" s="8">
        <f>IFERROR(__xludf.DUMMYFUNCTION("""COMPUTED_VALUE"""),0.0)</f>
        <v>0</v>
      </c>
      <c r="D971" s="8"/>
    </row>
    <row r="972">
      <c r="A972" s="9" t="str">
        <f>IFERROR(__xludf.DUMMYFUNCTION("""COMPUTED_VALUE"""),"Batch 175")</f>
        <v>Batch 175</v>
      </c>
      <c r="B972" s="9" t="str">
        <f>IFERROR(__xludf.DUMMYFUNCTION("""COMPUTED_VALUE"""),"samarthC75")</f>
        <v>samarthC75</v>
      </c>
      <c r="C972" s="8">
        <f>IFERROR(__xludf.DUMMYFUNCTION("""COMPUTED_VALUE"""),0.0)</f>
        <v>0</v>
      </c>
      <c r="D972" s="8"/>
    </row>
    <row r="973">
      <c r="A973" s="9" t="str">
        <f>IFERROR(__xludf.DUMMYFUNCTION("""COMPUTED_VALUE"""),"Batch 175")</f>
        <v>Batch 175</v>
      </c>
      <c r="B973" s="9" t="str">
        <f>IFERROR(__xludf.DUMMYFUNCTION("""COMPUTED_VALUE"""),"AryanC75")</f>
        <v>AryanC75</v>
      </c>
      <c r="C973" s="8">
        <f>IFERROR(__xludf.DUMMYFUNCTION("""COMPUTED_VALUE"""),6.0)</f>
        <v>6</v>
      </c>
      <c r="D973" s="8">
        <f>IFERROR(__xludf.DUMMYFUNCTION("""COMPUTED_VALUE"""),4.0)</f>
        <v>4</v>
      </c>
    </row>
    <row r="974">
      <c r="A974" s="9" t="str">
        <f>IFERROR(__xludf.DUMMYFUNCTION("""COMPUTED_VALUE"""),"Batch 175")</f>
        <v>Batch 175</v>
      </c>
      <c r="B974" s="9" t="str">
        <f>IFERROR(__xludf.DUMMYFUNCTION("""COMPUTED_VALUE"""),"ZaaraC75")</f>
        <v>ZaaraC75</v>
      </c>
      <c r="C974" s="8">
        <f>IFERROR(__xludf.DUMMYFUNCTION("""COMPUTED_VALUE"""),3.0)</f>
        <v>3</v>
      </c>
      <c r="D974" s="8">
        <f>IFERROR(__xludf.DUMMYFUNCTION("""COMPUTED_VALUE"""),2.0)</f>
        <v>2</v>
      </c>
    </row>
    <row r="975">
      <c r="A975" s="9" t="str">
        <f>IFERROR(__xludf.DUMMYFUNCTION("""COMPUTED_VALUE"""),"Batch 175")</f>
        <v>Batch 175</v>
      </c>
      <c r="B975" s="9" t="str">
        <f>IFERROR(__xludf.DUMMYFUNCTION("""COMPUTED_VALUE"""),"ManasC75")</f>
        <v>ManasC75</v>
      </c>
      <c r="C975" s="8">
        <f>IFERROR(__xludf.DUMMYFUNCTION("""COMPUTED_VALUE"""),0.0)</f>
        <v>0</v>
      </c>
      <c r="D975" s="8"/>
    </row>
    <row r="976">
      <c r="A976" s="9" t="str">
        <f>IFERROR(__xludf.DUMMYFUNCTION("""COMPUTED_VALUE"""),"Batch 175")</f>
        <v>Batch 175</v>
      </c>
      <c r="B976" s="9" t="str">
        <f>IFERROR(__xludf.DUMMYFUNCTION("""COMPUTED_VALUE"""),"MisbaC75")</f>
        <v>MisbaC75</v>
      </c>
      <c r="C976" s="8">
        <f>IFERROR(__xludf.DUMMYFUNCTION("""COMPUTED_VALUE"""),0.0)</f>
        <v>0</v>
      </c>
      <c r="D976" s="8"/>
    </row>
    <row r="977">
      <c r="A977" s="9" t="str">
        <f>IFERROR(__xludf.DUMMYFUNCTION("""COMPUTED_VALUE"""),"Batch 175")</f>
        <v>Batch 175</v>
      </c>
      <c r="B977" s="9" t="str">
        <f>IFERROR(__xludf.DUMMYFUNCTION("""COMPUTED_VALUE"""),"vanshikaC75")</f>
        <v>vanshikaC75</v>
      </c>
      <c r="C977" s="8">
        <f>IFERROR(__xludf.DUMMYFUNCTION("""COMPUTED_VALUE"""),0.0)</f>
        <v>0</v>
      </c>
      <c r="D977" s="8"/>
    </row>
    <row r="978">
      <c r="A978" s="9" t="str">
        <f>IFERROR(__xludf.DUMMYFUNCTION("""COMPUTED_VALUE"""),"Batch 175")</f>
        <v>Batch 175</v>
      </c>
      <c r="B978" s="9" t="str">
        <f>IFERROR(__xludf.DUMMYFUNCTION("""COMPUTED_VALUE"""),"AbhinavC75")</f>
        <v>AbhinavC75</v>
      </c>
      <c r="C978" s="8">
        <f>IFERROR(__xludf.DUMMYFUNCTION("""COMPUTED_VALUE"""),0.0)</f>
        <v>0</v>
      </c>
      <c r="D978" s="8"/>
    </row>
    <row r="979">
      <c r="A979" s="9" t="str">
        <f>IFERROR(__xludf.DUMMYFUNCTION("""COMPUTED_VALUE"""),"Batch 175")</f>
        <v>Batch 175</v>
      </c>
      <c r="B979" s="9" t="str">
        <f>IFERROR(__xludf.DUMMYFUNCTION("""COMPUTED_VALUE"""),"STANLYC75")</f>
        <v>STANLYC75</v>
      </c>
      <c r="C979" s="8">
        <f>IFERROR(__xludf.DUMMYFUNCTION("""COMPUTED_VALUE"""),0.0)</f>
        <v>0</v>
      </c>
      <c r="D979" s="8"/>
    </row>
    <row r="980">
      <c r="A980" s="9" t="str">
        <f>IFERROR(__xludf.DUMMYFUNCTION("""COMPUTED_VALUE"""),"Batch 175")</f>
        <v>Batch 175</v>
      </c>
      <c r="B980" s="9" t="str">
        <f>IFERROR(__xludf.DUMMYFUNCTION("""COMPUTED_VALUE"""),"vanshikaC75")</f>
        <v>vanshikaC75</v>
      </c>
      <c r="C980" s="8">
        <f>IFERROR(__xludf.DUMMYFUNCTION("""COMPUTED_VALUE"""),0.0)</f>
        <v>0</v>
      </c>
      <c r="D980" s="8"/>
    </row>
    <row r="981">
      <c r="A981" s="9"/>
      <c r="B981" s="9"/>
      <c r="C981" s="8">
        <f>IFERROR(__xludf.DUMMYFUNCTION("""COMPUTED_VALUE"""),0.0)</f>
        <v>0</v>
      </c>
      <c r="D981" s="8"/>
    </row>
    <row r="982">
      <c r="A982" s="9" t="str">
        <f>IFERROR(__xludf.DUMMYFUNCTION("""COMPUTED_VALUE"""),"Batch 176")</f>
        <v>Batch 176</v>
      </c>
      <c r="B982" s="9" t="str">
        <f>IFERROR(__xludf.DUMMYFUNCTION("""COMPUTED_VALUE"""),"JoshuaC76")</f>
        <v>JoshuaC76</v>
      </c>
      <c r="C982" s="8">
        <f>IFERROR(__xludf.DUMMYFUNCTION("""COMPUTED_VALUE"""),0.0)</f>
        <v>0</v>
      </c>
      <c r="D982" s="8"/>
    </row>
    <row r="983">
      <c r="A983" s="9" t="str">
        <f>IFERROR(__xludf.DUMMYFUNCTION("""COMPUTED_VALUE"""),"Batch 176")</f>
        <v>Batch 176</v>
      </c>
      <c r="B983" s="9" t="str">
        <f>IFERROR(__xludf.DUMMYFUNCTION("""COMPUTED_VALUE"""),"R.SaranyaC76")</f>
        <v>R.SaranyaC76</v>
      </c>
      <c r="C983" s="8">
        <f>IFERROR(__xludf.DUMMYFUNCTION("""COMPUTED_VALUE"""),0.0)</f>
        <v>0</v>
      </c>
      <c r="D983" s="8"/>
    </row>
    <row r="984">
      <c r="A984" s="9" t="str">
        <f>IFERROR(__xludf.DUMMYFUNCTION("""COMPUTED_VALUE"""),"Batch 176")</f>
        <v>Batch 176</v>
      </c>
      <c r="B984" s="9"/>
      <c r="C984" s="8">
        <f>IFERROR(__xludf.DUMMYFUNCTION("""COMPUTED_VALUE"""),0.0)</f>
        <v>0</v>
      </c>
      <c r="D984" s="8"/>
    </row>
    <row r="985">
      <c r="A985" s="9" t="str">
        <f>IFERROR(__xludf.DUMMYFUNCTION("""COMPUTED_VALUE"""),"Batch 176")</f>
        <v>Batch 176</v>
      </c>
      <c r="B985" s="9" t="str">
        <f>IFERROR(__xludf.DUMMYFUNCTION("""COMPUTED_VALUE"""),"Balamurugan.RC76")</f>
        <v>Balamurugan.RC76</v>
      </c>
      <c r="C985" s="8">
        <f>IFERROR(__xludf.DUMMYFUNCTION("""COMPUTED_VALUE"""),0.0)</f>
        <v>0</v>
      </c>
      <c r="D985" s="8"/>
    </row>
    <row r="986">
      <c r="A986" s="9" t="str">
        <f>IFERROR(__xludf.DUMMYFUNCTION("""COMPUTED_VALUE"""),"Batch 176")</f>
        <v>Batch 176</v>
      </c>
      <c r="B986" s="9" t="str">
        <f>IFERROR(__xludf.DUMMYFUNCTION("""COMPUTED_VALUE"""),"KiranC76")</f>
        <v>KiranC76</v>
      </c>
      <c r="C986" s="8">
        <f>IFERROR(__xludf.DUMMYFUNCTION("""COMPUTED_VALUE"""),0.0)</f>
        <v>0</v>
      </c>
      <c r="D986" s="8"/>
    </row>
    <row r="987">
      <c r="A987" s="9" t="str">
        <f>IFERROR(__xludf.DUMMYFUNCTION("""COMPUTED_VALUE"""),"Batch 176")</f>
        <v>Batch 176</v>
      </c>
      <c r="B987" s="9" t="str">
        <f>IFERROR(__xludf.DUMMYFUNCTION("""COMPUTED_VALUE"""),"AnushkaC76")</f>
        <v>AnushkaC76</v>
      </c>
      <c r="C987" s="8">
        <f>IFERROR(__xludf.DUMMYFUNCTION("""COMPUTED_VALUE"""),0.0)</f>
        <v>0</v>
      </c>
      <c r="D987" s="8"/>
    </row>
    <row r="988">
      <c r="A988" s="9" t="str">
        <f>IFERROR(__xludf.DUMMYFUNCTION("""COMPUTED_VALUE"""),"Batch 176")</f>
        <v>Batch 176</v>
      </c>
      <c r="B988" s="9" t="str">
        <f>IFERROR(__xludf.DUMMYFUNCTION("""COMPUTED_VALUE"""),"ShamithaC76")</f>
        <v>ShamithaC76</v>
      </c>
      <c r="C988" s="8">
        <f>IFERROR(__xludf.DUMMYFUNCTION("""COMPUTED_VALUE"""),0.0)</f>
        <v>0</v>
      </c>
      <c r="D988" s="8"/>
    </row>
    <row r="989">
      <c r="A989" s="9" t="str">
        <f>IFERROR(__xludf.DUMMYFUNCTION("""COMPUTED_VALUE"""),"Batch 176")</f>
        <v>Batch 176</v>
      </c>
      <c r="B989" s="9" t="str">
        <f>IFERROR(__xludf.DUMMYFUNCTION("""COMPUTED_VALUE"""),"ShawC76")</f>
        <v>ShawC76</v>
      </c>
      <c r="C989" s="8">
        <f>IFERROR(__xludf.DUMMYFUNCTION("""COMPUTED_VALUE"""),0.0)</f>
        <v>0</v>
      </c>
      <c r="D989" s="8"/>
    </row>
    <row r="990">
      <c r="A990" s="9" t="str">
        <f>IFERROR(__xludf.DUMMYFUNCTION("""COMPUTED_VALUE"""),"Batch 176")</f>
        <v>Batch 176</v>
      </c>
      <c r="B990" s="9" t="str">
        <f>IFERROR(__xludf.DUMMYFUNCTION("""COMPUTED_VALUE"""),"AmrapaliC76")</f>
        <v>AmrapaliC76</v>
      </c>
      <c r="C990" s="8">
        <f>IFERROR(__xludf.DUMMYFUNCTION("""COMPUTED_VALUE"""),0.0)</f>
        <v>0</v>
      </c>
      <c r="D990" s="8"/>
    </row>
    <row r="991">
      <c r="A991" s="9" t="str">
        <f>IFERROR(__xludf.DUMMYFUNCTION("""COMPUTED_VALUE"""),"Batch 176")</f>
        <v>Batch 176</v>
      </c>
      <c r="B991" s="9" t="str">
        <f>IFERROR(__xludf.DUMMYFUNCTION("""COMPUTED_VALUE"""),"ArushiC76")</f>
        <v>ArushiC76</v>
      </c>
      <c r="C991" s="8">
        <f>IFERROR(__xludf.DUMMYFUNCTION("""COMPUTED_VALUE"""),0.0)</f>
        <v>0</v>
      </c>
      <c r="D991" s="8"/>
    </row>
    <row r="992">
      <c r="A992" s="9" t="str">
        <f>IFERROR(__xludf.DUMMYFUNCTION("""COMPUTED_VALUE"""),"Batch 176")</f>
        <v>Batch 176</v>
      </c>
      <c r="B992" s="9" t="str">
        <f>IFERROR(__xludf.DUMMYFUNCTION("""COMPUTED_VALUE"""),"PC76")</f>
        <v>PC76</v>
      </c>
      <c r="C992" s="8">
        <f>IFERROR(__xludf.DUMMYFUNCTION("""COMPUTED_VALUE"""),0.0)</f>
        <v>0</v>
      </c>
      <c r="D992" s="8"/>
    </row>
    <row r="993">
      <c r="A993" s="9" t="str">
        <f>IFERROR(__xludf.DUMMYFUNCTION("""COMPUTED_VALUE"""),"Batch 176")</f>
        <v>Batch 176</v>
      </c>
      <c r="B993" s="9" t="str">
        <f>IFERROR(__xludf.DUMMYFUNCTION("""COMPUTED_VALUE"""),"AnjaliC76")</f>
        <v>AnjaliC76</v>
      </c>
      <c r="C993" s="8">
        <f>IFERROR(__xludf.DUMMYFUNCTION("""COMPUTED_VALUE"""),0.0)</f>
        <v>0</v>
      </c>
      <c r="D993" s="8"/>
    </row>
    <row r="994">
      <c r="A994" s="9" t="str">
        <f>IFERROR(__xludf.DUMMYFUNCTION("""COMPUTED_VALUE"""),"Batch 176")</f>
        <v>Batch 176</v>
      </c>
      <c r="B994" s="9" t="str">
        <f>IFERROR(__xludf.DUMMYFUNCTION("""COMPUTED_VALUE"""),"ShantanuC76")</f>
        <v>ShantanuC76</v>
      </c>
      <c r="C994" s="8">
        <f>IFERROR(__xludf.DUMMYFUNCTION("""COMPUTED_VALUE"""),0.0)</f>
        <v>0</v>
      </c>
      <c r="D994" s="8"/>
    </row>
    <row r="995">
      <c r="A995" s="9" t="str">
        <f>IFERROR(__xludf.DUMMYFUNCTION("""COMPUTED_VALUE"""),"Batch 176")</f>
        <v>Batch 176</v>
      </c>
      <c r="B995" s="9" t="str">
        <f>IFERROR(__xludf.DUMMYFUNCTION("""COMPUTED_VALUE"""),"SohamC76")</f>
        <v>SohamC76</v>
      </c>
      <c r="C995" s="8">
        <f>IFERROR(__xludf.DUMMYFUNCTION("""COMPUTED_VALUE"""),33.0)</f>
        <v>33</v>
      </c>
      <c r="D995" s="8">
        <f>IFERROR(__xludf.DUMMYFUNCTION("""COMPUTED_VALUE"""),8.0)</f>
        <v>8</v>
      </c>
    </row>
    <row r="996">
      <c r="A996" s="9" t="str">
        <f>IFERROR(__xludf.DUMMYFUNCTION("""COMPUTED_VALUE"""),"Batch 176")</f>
        <v>Batch 176</v>
      </c>
      <c r="B996" s="9" t="str">
        <f>IFERROR(__xludf.DUMMYFUNCTION("""COMPUTED_VALUE"""),"RohanC76")</f>
        <v>RohanC76</v>
      </c>
      <c r="C996" s="8">
        <f>IFERROR(__xludf.DUMMYFUNCTION("""COMPUTED_VALUE"""),2.0)</f>
        <v>2</v>
      </c>
      <c r="D996" s="8"/>
    </row>
    <row r="997">
      <c r="A997" s="9" t="str">
        <f>IFERROR(__xludf.DUMMYFUNCTION("""COMPUTED_VALUE"""),"Batch 176")</f>
        <v>Batch 176</v>
      </c>
      <c r="B997" s="9" t="str">
        <f>IFERROR(__xludf.DUMMYFUNCTION("""COMPUTED_VALUE"""),"MuskanC76")</f>
        <v>MuskanC76</v>
      </c>
      <c r="C997" s="8">
        <f>IFERROR(__xludf.DUMMYFUNCTION("""COMPUTED_VALUE"""),9.0)</f>
        <v>9</v>
      </c>
      <c r="D997" s="8">
        <f>IFERROR(__xludf.DUMMYFUNCTION("""COMPUTED_VALUE"""),4.0)</f>
        <v>4</v>
      </c>
    </row>
    <row r="998">
      <c r="A998" s="9" t="str">
        <f>IFERROR(__xludf.DUMMYFUNCTION("""COMPUTED_VALUE"""),"Batch 176")</f>
        <v>Batch 176</v>
      </c>
      <c r="B998" s="9" t="str">
        <f>IFERROR(__xludf.DUMMYFUNCTION("""COMPUTED_VALUE"""),"TC76")</f>
        <v>TC76</v>
      </c>
      <c r="C998" s="8">
        <f>IFERROR(__xludf.DUMMYFUNCTION("""COMPUTED_VALUE"""),0.0)</f>
        <v>0</v>
      </c>
      <c r="D998" s="8"/>
    </row>
    <row r="999">
      <c r="A999" s="9" t="str">
        <f>IFERROR(__xludf.DUMMYFUNCTION("""COMPUTED_VALUE"""),"Batch 176")</f>
        <v>Batch 176</v>
      </c>
      <c r="B999" s="9" t="str">
        <f>IFERROR(__xludf.DUMMYFUNCTION("""COMPUTED_VALUE"""),"DeekshaC76")</f>
        <v>DeekshaC76</v>
      </c>
      <c r="C999" s="8">
        <f>IFERROR(__xludf.DUMMYFUNCTION("""COMPUTED_VALUE"""),0.0)</f>
        <v>0</v>
      </c>
      <c r="D999" s="8"/>
    </row>
    <row r="1000">
      <c r="A1000" s="9" t="str">
        <f>IFERROR(__xludf.DUMMYFUNCTION("""COMPUTED_VALUE"""),"Batch 176")</f>
        <v>Batch 176</v>
      </c>
      <c r="B1000" s="9" t="str">
        <f>IFERROR(__xludf.DUMMYFUNCTION("""COMPUTED_VALUE"""),"SanchiC76")</f>
        <v>SanchiC76</v>
      </c>
      <c r="C1000" s="8">
        <f>IFERROR(__xludf.DUMMYFUNCTION("""COMPUTED_VALUE"""),2.0)</f>
        <v>2</v>
      </c>
      <c r="D1000" s="8">
        <f>IFERROR(__xludf.DUMMYFUNCTION("""COMPUTED_VALUE"""),1.0)</f>
        <v>1</v>
      </c>
    </row>
    <row r="1001">
      <c r="A1001" s="9" t="str">
        <f>IFERROR(__xludf.DUMMYFUNCTION("""COMPUTED_VALUE"""),"Batch 176")</f>
        <v>Batch 176</v>
      </c>
      <c r="B1001" s="9" t="str">
        <f>IFERROR(__xludf.DUMMYFUNCTION("""COMPUTED_VALUE"""),"AnuC76")</f>
        <v>AnuC76</v>
      </c>
      <c r="C1001" s="8">
        <f>IFERROR(__xludf.DUMMYFUNCTION("""COMPUTED_VALUE"""),21.0)</f>
        <v>21</v>
      </c>
      <c r="D1001" s="8"/>
    </row>
    <row r="1002">
      <c r="A1002" s="9" t="str">
        <f>IFERROR(__xludf.DUMMYFUNCTION("""COMPUTED_VALUE"""),"Batch 176")</f>
        <v>Batch 176</v>
      </c>
      <c r="B1002" s="9" t="str">
        <f>IFERROR(__xludf.DUMMYFUNCTION("""COMPUTED_VALUE"""),"ROYALC76")</f>
        <v>ROYALC76</v>
      </c>
      <c r="C1002" s="8">
        <f>IFERROR(__xludf.DUMMYFUNCTION("""COMPUTED_VALUE"""),0.0)</f>
        <v>0</v>
      </c>
      <c r="D1002" s="8"/>
    </row>
    <row r="1003">
      <c r="A1003" s="9" t="str">
        <f>IFERROR(__xludf.DUMMYFUNCTION("""COMPUTED_VALUE"""),"Batch 176")</f>
        <v>Batch 176</v>
      </c>
      <c r="B1003" s="9" t="str">
        <f>IFERROR(__xludf.DUMMYFUNCTION("""COMPUTED_VALUE"""),"RitikaC76")</f>
        <v>RitikaC76</v>
      </c>
      <c r="C1003" s="8">
        <f>IFERROR(__xludf.DUMMYFUNCTION("""COMPUTED_VALUE"""),0.0)</f>
        <v>0</v>
      </c>
      <c r="D1003" s="8"/>
    </row>
    <row r="1004">
      <c r="A1004" s="9" t="str">
        <f>IFERROR(__xludf.DUMMYFUNCTION("""COMPUTED_VALUE"""),"Batch 176")</f>
        <v>Batch 176</v>
      </c>
      <c r="B1004" s="9" t="str">
        <f>IFERROR(__xludf.DUMMYFUNCTION("""COMPUTED_VALUE"""),"TarakC76")</f>
        <v>TarakC76</v>
      </c>
      <c r="C1004" s="8">
        <f>IFERROR(__xludf.DUMMYFUNCTION("""COMPUTED_VALUE"""),0.0)</f>
        <v>0</v>
      </c>
      <c r="D1004" s="8"/>
    </row>
    <row r="1005">
      <c r="A1005" s="9" t="str">
        <f>IFERROR(__xludf.DUMMYFUNCTION("""COMPUTED_VALUE"""),"Batch 176")</f>
        <v>Batch 176</v>
      </c>
      <c r="B1005" s="9" t="str">
        <f>IFERROR(__xludf.DUMMYFUNCTION("""COMPUTED_VALUE"""),"DhritimaanC76")</f>
        <v>DhritimaanC76</v>
      </c>
      <c r="C1005" s="8">
        <f>IFERROR(__xludf.DUMMYFUNCTION("""COMPUTED_VALUE"""),61.0)</f>
        <v>61</v>
      </c>
      <c r="D1005" s="8">
        <f>IFERROR(__xludf.DUMMYFUNCTION("""COMPUTED_VALUE"""),18.0)</f>
        <v>18</v>
      </c>
    </row>
    <row r="1006">
      <c r="A1006" s="9" t="str">
        <f>IFERROR(__xludf.DUMMYFUNCTION("""COMPUTED_VALUE"""),"Batch 176")</f>
        <v>Batch 176</v>
      </c>
      <c r="B1006" s="9" t="str">
        <f>IFERROR(__xludf.DUMMYFUNCTION("""COMPUTED_VALUE"""),"JuliusC76")</f>
        <v>JuliusC76</v>
      </c>
      <c r="C1006" s="8">
        <f>IFERROR(__xludf.DUMMYFUNCTION("""COMPUTED_VALUE"""),2.0)</f>
        <v>2</v>
      </c>
      <c r="D1006" s="8"/>
    </row>
    <row r="1007">
      <c r="A1007" s="9" t="str">
        <f>IFERROR(__xludf.DUMMYFUNCTION("""COMPUTED_VALUE"""),"Batch 176")</f>
        <v>Batch 176</v>
      </c>
      <c r="B1007" s="9" t="str">
        <f>IFERROR(__xludf.DUMMYFUNCTION("""COMPUTED_VALUE"""),"AnubhavC76")</f>
        <v>AnubhavC76</v>
      </c>
      <c r="C1007" s="8">
        <f>IFERROR(__xludf.DUMMYFUNCTION("""COMPUTED_VALUE"""),2.0)</f>
        <v>2</v>
      </c>
      <c r="D1007" s="8">
        <f>IFERROR(__xludf.DUMMYFUNCTION("""COMPUTED_VALUE"""),2.0)</f>
        <v>2</v>
      </c>
    </row>
    <row r="1008">
      <c r="A1008" s="9" t="str">
        <f>IFERROR(__xludf.DUMMYFUNCTION("""COMPUTED_VALUE"""),"Batch 176")</f>
        <v>Batch 176</v>
      </c>
      <c r="B1008" s="9" t="str">
        <f>IFERROR(__xludf.DUMMYFUNCTION("""COMPUTED_VALUE"""),"LakshayC76")</f>
        <v>LakshayC76</v>
      </c>
      <c r="C1008" s="8">
        <f>IFERROR(__xludf.DUMMYFUNCTION("""COMPUTED_VALUE"""),0.0)</f>
        <v>0</v>
      </c>
      <c r="D1008" s="8"/>
    </row>
    <row r="1009">
      <c r="A1009" s="9"/>
      <c r="B1009" s="9"/>
      <c r="C1009" s="8">
        <f>IFERROR(__xludf.DUMMYFUNCTION("""COMPUTED_VALUE"""),0.0)</f>
        <v>0</v>
      </c>
      <c r="D1009" s="8"/>
    </row>
    <row r="1010">
      <c r="A1010" s="9"/>
      <c r="B1010" s="9"/>
      <c r="C1010" s="8">
        <f>IFERROR(__xludf.DUMMYFUNCTION("""COMPUTED_VALUE"""),0.0)</f>
        <v>0</v>
      </c>
      <c r="D1010" s="8"/>
    </row>
    <row r="1011">
      <c r="A1011" s="9" t="str">
        <f>IFERROR(__xludf.DUMMYFUNCTION("""COMPUTED_VALUE"""),"Batch 177")</f>
        <v>Batch 177</v>
      </c>
      <c r="B1011" s="9" t="str">
        <f>IFERROR(__xludf.DUMMYFUNCTION("""COMPUTED_VALUE"""),"JatinC77")</f>
        <v>JatinC77</v>
      </c>
      <c r="C1011" s="8">
        <f>IFERROR(__xludf.DUMMYFUNCTION("""COMPUTED_VALUE"""),0.0)</f>
        <v>0</v>
      </c>
      <c r="D1011" s="8"/>
    </row>
    <row r="1012">
      <c r="A1012" s="9" t="str">
        <f>IFERROR(__xludf.DUMMYFUNCTION("""COMPUTED_VALUE"""),"Batch 177")</f>
        <v>Batch 177</v>
      </c>
      <c r="B1012" s="9" t="str">
        <f>IFERROR(__xludf.DUMMYFUNCTION("""COMPUTED_VALUE"""),"AYUSHC77")</f>
        <v>AYUSHC77</v>
      </c>
      <c r="C1012" s="8">
        <f>IFERROR(__xludf.DUMMYFUNCTION("""COMPUTED_VALUE"""),0.0)</f>
        <v>0</v>
      </c>
      <c r="D1012" s="8"/>
    </row>
    <row r="1013">
      <c r="A1013" s="9" t="str">
        <f>IFERROR(__xludf.DUMMYFUNCTION("""COMPUTED_VALUE"""),"Batch 177")</f>
        <v>Batch 177</v>
      </c>
      <c r="B1013" s="9" t="str">
        <f>IFERROR(__xludf.DUMMYFUNCTION("""COMPUTED_VALUE"""),"bhuvanaC77")</f>
        <v>bhuvanaC77</v>
      </c>
      <c r="C1013" s="8">
        <f>IFERROR(__xludf.DUMMYFUNCTION("""COMPUTED_VALUE"""),0.0)</f>
        <v>0</v>
      </c>
      <c r="D1013" s="8"/>
    </row>
    <row r="1014">
      <c r="A1014" s="9" t="str">
        <f>IFERROR(__xludf.DUMMYFUNCTION("""COMPUTED_VALUE"""),"Batch 177")</f>
        <v>Batch 177</v>
      </c>
      <c r="B1014" s="9" t="str">
        <f>IFERROR(__xludf.DUMMYFUNCTION("""COMPUTED_VALUE"""),"KopalC77")</f>
        <v>KopalC77</v>
      </c>
      <c r="C1014" s="8">
        <f>IFERROR(__xludf.DUMMYFUNCTION("""COMPUTED_VALUE"""),28.0)</f>
        <v>28</v>
      </c>
      <c r="D1014" s="8"/>
    </row>
    <row r="1015">
      <c r="A1015" s="9" t="str">
        <f>IFERROR(__xludf.DUMMYFUNCTION("""COMPUTED_VALUE"""),"Batch 177")</f>
        <v>Batch 177</v>
      </c>
      <c r="B1015" s="9" t="str">
        <f>IFERROR(__xludf.DUMMYFUNCTION("""COMPUTED_VALUE"""),"POOJAC77")</f>
        <v>POOJAC77</v>
      </c>
      <c r="C1015" s="8">
        <f>IFERROR(__xludf.DUMMYFUNCTION("""COMPUTED_VALUE"""),0.0)</f>
        <v>0</v>
      </c>
      <c r="D1015" s="8"/>
    </row>
    <row r="1016">
      <c r="A1016" s="9" t="str">
        <f>IFERROR(__xludf.DUMMYFUNCTION("""COMPUTED_VALUE"""),"Batch 177")</f>
        <v>Batch 177</v>
      </c>
      <c r="B1016" s="9" t="str">
        <f>IFERROR(__xludf.DUMMYFUNCTION("""COMPUTED_VALUE"""),"vishalC77")</f>
        <v>vishalC77</v>
      </c>
      <c r="C1016" s="8">
        <f>IFERROR(__xludf.DUMMYFUNCTION("""COMPUTED_VALUE"""),1.0)</f>
        <v>1</v>
      </c>
      <c r="D1016" s="8">
        <f>IFERROR(__xludf.DUMMYFUNCTION("""COMPUTED_VALUE"""),1.0)</f>
        <v>1</v>
      </c>
    </row>
    <row r="1017">
      <c r="A1017" s="9" t="str">
        <f>IFERROR(__xludf.DUMMYFUNCTION("""COMPUTED_VALUE"""),"Batch 177")</f>
        <v>Batch 177</v>
      </c>
      <c r="B1017" s="9" t="str">
        <f>IFERROR(__xludf.DUMMYFUNCTION("""COMPUTED_VALUE"""),"SiddhiC77")</f>
        <v>SiddhiC77</v>
      </c>
      <c r="C1017" s="8">
        <f>IFERROR(__xludf.DUMMYFUNCTION("""COMPUTED_VALUE"""),0.0)</f>
        <v>0</v>
      </c>
      <c r="D1017" s="8"/>
    </row>
    <row r="1018">
      <c r="A1018" s="9" t="str">
        <f>IFERROR(__xludf.DUMMYFUNCTION("""COMPUTED_VALUE"""),"Batch 177")</f>
        <v>Batch 177</v>
      </c>
      <c r="B1018" s="9" t="str">
        <f>IFERROR(__xludf.DUMMYFUNCTION("""COMPUTED_VALUE"""),"suyashC77")</f>
        <v>suyashC77</v>
      </c>
      <c r="C1018" s="8">
        <f>IFERROR(__xludf.DUMMYFUNCTION("""COMPUTED_VALUE"""),0.0)</f>
        <v>0</v>
      </c>
      <c r="D1018" s="8"/>
    </row>
    <row r="1019">
      <c r="A1019" s="9" t="str">
        <f>IFERROR(__xludf.DUMMYFUNCTION("""COMPUTED_VALUE"""),"Batch 177")</f>
        <v>Batch 177</v>
      </c>
      <c r="B1019" s="9" t="str">
        <f>IFERROR(__xludf.DUMMYFUNCTION("""COMPUTED_VALUE"""),"PrarambhC77")</f>
        <v>PrarambhC77</v>
      </c>
      <c r="C1019" s="8">
        <f>IFERROR(__xludf.DUMMYFUNCTION("""COMPUTED_VALUE"""),0.0)</f>
        <v>0</v>
      </c>
      <c r="D1019" s="8"/>
    </row>
    <row r="1020">
      <c r="A1020" s="9" t="str">
        <f>IFERROR(__xludf.DUMMYFUNCTION("""COMPUTED_VALUE"""),"Batch 177")</f>
        <v>Batch 177</v>
      </c>
      <c r="B1020" s="9" t="str">
        <f>IFERROR(__xludf.DUMMYFUNCTION("""COMPUTED_VALUE"""),"AmrapaliC77")</f>
        <v>AmrapaliC77</v>
      </c>
      <c r="C1020" s="8">
        <f>IFERROR(__xludf.DUMMYFUNCTION("""COMPUTED_VALUE"""),0.0)</f>
        <v>0</v>
      </c>
      <c r="D1020" s="8"/>
    </row>
    <row r="1021">
      <c r="A1021" s="9" t="str">
        <f>IFERROR(__xludf.DUMMYFUNCTION("""COMPUTED_VALUE"""),"Batch 177")</f>
        <v>Batch 177</v>
      </c>
      <c r="B1021" s="9" t="str">
        <f>IFERROR(__xludf.DUMMYFUNCTION("""COMPUTED_VALUE"""),"MediniC77")</f>
        <v>MediniC77</v>
      </c>
      <c r="C1021" s="8">
        <f>IFERROR(__xludf.DUMMYFUNCTION("""COMPUTED_VALUE"""),9.0)</f>
        <v>9</v>
      </c>
      <c r="D1021" s="8">
        <f>IFERROR(__xludf.DUMMYFUNCTION("""COMPUTED_VALUE"""),8.0)</f>
        <v>8</v>
      </c>
    </row>
    <row r="1022">
      <c r="A1022" s="9" t="str">
        <f>IFERROR(__xludf.DUMMYFUNCTION("""COMPUTED_VALUE"""),"Batch 177")</f>
        <v>Batch 177</v>
      </c>
      <c r="B1022" s="9" t="str">
        <f>IFERROR(__xludf.DUMMYFUNCTION("""COMPUTED_VALUE"""),"KC77")</f>
        <v>KC77</v>
      </c>
      <c r="C1022" s="8">
        <f>IFERROR(__xludf.DUMMYFUNCTION("""COMPUTED_VALUE"""),0.0)</f>
        <v>0</v>
      </c>
      <c r="D1022" s="8"/>
    </row>
    <row r="1023">
      <c r="A1023" s="9" t="str">
        <f>IFERROR(__xludf.DUMMYFUNCTION("""COMPUTED_VALUE"""),"Batch 177")</f>
        <v>Batch 177</v>
      </c>
      <c r="B1023" s="9" t="str">
        <f>IFERROR(__xludf.DUMMYFUNCTION("""COMPUTED_VALUE"""),"SELVAKEERTHANA.SC77")</f>
        <v>SELVAKEERTHANA.SC77</v>
      </c>
      <c r="C1023" s="8">
        <f>IFERROR(__xludf.DUMMYFUNCTION("""COMPUTED_VALUE"""),0.0)</f>
        <v>0</v>
      </c>
      <c r="D1023" s="8"/>
    </row>
    <row r="1024">
      <c r="A1024" s="9" t="str">
        <f>IFERROR(__xludf.DUMMYFUNCTION("""COMPUTED_VALUE"""),"Batch 177")</f>
        <v>Batch 177</v>
      </c>
      <c r="B1024" s="9" t="str">
        <f>IFERROR(__xludf.DUMMYFUNCTION("""COMPUTED_VALUE"""),"MilanC77")</f>
        <v>MilanC77</v>
      </c>
      <c r="C1024" s="8">
        <f>IFERROR(__xludf.DUMMYFUNCTION("""COMPUTED_VALUE"""),0.0)</f>
        <v>0</v>
      </c>
      <c r="D1024" s="8"/>
    </row>
    <row r="1025">
      <c r="A1025" s="9" t="str">
        <f>IFERROR(__xludf.DUMMYFUNCTION("""COMPUTED_VALUE"""),"Batch 177")</f>
        <v>Batch 177</v>
      </c>
      <c r="B1025" s="9" t="str">
        <f>IFERROR(__xludf.DUMMYFUNCTION("""COMPUTED_VALUE"""),"S.C77")</f>
        <v>S.C77</v>
      </c>
      <c r="C1025" s="8">
        <f>IFERROR(__xludf.DUMMYFUNCTION("""COMPUTED_VALUE"""),12.0)</f>
        <v>12</v>
      </c>
      <c r="D1025" s="8"/>
    </row>
    <row r="1026">
      <c r="A1026" s="9" t="str">
        <f>IFERROR(__xludf.DUMMYFUNCTION("""COMPUTED_VALUE"""),"Batch 177")</f>
        <v>Batch 177</v>
      </c>
      <c r="B1026" s="9" t="str">
        <f>IFERROR(__xludf.DUMMYFUNCTION("""COMPUTED_VALUE"""),"suryaC77")</f>
        <v>suryaC77</v>
      </c>
      <c r="C1026" s="8">
        <f>IFERROR(__xludf.DUMMYFUNCTION("""COMPUTED_VALUE"""),0.0)</f>
        <v>0</v>
      </c>
      <c r="D1026" s="8"/>
    </row>
    <row r="1027">
      <c r="A1027" s="9" t="str">
        <f>IFERROR(__xludf.DUMMYFUNCTION("""COMPUTED_VALUE"""),"Batch 177")</f>
        <v>Batch 177</v>
      </c>
      <c r="B1027" s="9" t="str">
        <f>IFERROR(__xludf.DUMMYFUNCTION("""COMPUTED_VALUE"""),"N.sivaprakashC77")</f>
        <v>N.sivaprakashC77</v>
      </c>
      <c r="C1027" s="8">
        <f>IFERROR(__xludf.DUMMYFUNCTION("""COMPUTED_VALUE"""),0.0)</f>
        <v>0</v>
      </c>
      <c r="D1027" s="8"/>
    </row>
    <row r="1028">
      <c r="A1028" s="9" t="str">
        <f>IFERROR(__xludf.DUMMYFUNCTION("""COMPUTED_VALUE"""),"Batch 177")</f>
        <v>Batch 177</v>
      </c>
      <c r="B1028" s="9" t="str">
        <f>IFERROR(__xludf.DUMMYFUNCTION("""COMPUTED_VALUE"""),"C.SILAMBARASANC77")</f>
        <v>C.SILAMBARASANC77</v>
      </c>
      <c r="C1028" s="8">
        <f>IFERROR(__xludf.DUMMYFUNCTION("""COMPUTED_VALUE"""),0.0)</f>
        <v>0</v>
      </c>
      <c r="D1028" s="8"/>
    </row>
    <row r="1029">
      <c r="A1029" s="9" t="str">
        <f>IFERROR(__xludf.DUMMYFUNCTION("""COMPUTED_VALUE"""),"Batch 177")</f>
        <v>Batch 177</v>
      </c>
      <c r="B1029" s="9" t="str">
        <f>IFERROR(__xludf.DUMMYFUNCTION("""COMPUTED_VALUE"""),"SILAMBARASANC77")</f>
        <v>SILAMBARASANC77</v>
      </c>
      <c r="C1029" s="8">
        <f>IFERROR(__xludf.DUMMYFUNCTION("""COMPUTED_VALUE"""),0.0)</f>
        <v>0</v>
      </c>
      <c r="D1029" s="8"/>
    </row>
    <row r="1030">
      <c r="A1030" s="9" t="str">
        <f>IFERROR(__xludf.DUMMYFUNCTION("""COMPUTED_VALUE"""),"Batch 177")</f>
        <v>Batch 177</v>
      </c>
      <c r="B1030" s="9" t="str">
        <f>IFERROR(__xludf.DUMMYFUNCTION("""COMPUTED_VALUE"""),"SARANKUMAR.SC77")</f>
        <v>SARANKUMAR.SC77</v>
      </c>
      <c r="C1030" s="8">
        <f>IFERROR(__xludf.DUMMYFUNCTION("""COMPUTED_VALUE"""),20.0)</f>
        <v>20</v>
      </c>
      <c r="D1030" s="8"/>
    </row>
    <row r="1031">
      <c r="A1031" s="9" t="str">
        <f>IFERROR(__xludf.DUMMYFUNCTION("""COMPUTED_VALUE"""),"Batch 177")</f>
        <v>Batch 177</v>
      </c>
      <c r="B1031" s="9" t="str">
        <f>IFERROR(__xludf.DUMMYFUNCTION("""COMPUTED_VALUE"""),"AmanC77")</f>
        <v>AmanC77</v>
      </c>
      <c r="C1031" s="8">
        <f>IFERROR(__xludf.DUMMYFUNCTION("""COMPUTED_VALUE"""),0.0)</f>
        <v>0</v>
      </c>
      <c r="D1031" s="8"/>
    </row>
    <row r="1032">
      <c r="A1032" s="9" t="str">
        <f>IFERROR(__xludf.DUMMYFUNCTION("""COMPUTED_VALUE"""),"Batch 177")</f>
        <v>Batch 177</v>
      </c>
      <c r="B1032" s="9" t="str">
        <f>IFERROR(__xludf.DUMMYFUNCTION("""COMPUTED_VALUE"""),"KISHORC77")</f>
        <v>KISHORC77</v>
      </c>
      <c r="C1032" s="8">
        <f>IFERROR(__xludf.DUMMYFUNCTION("""COMPUTED_VALUE"""),0.0)</f>
        <v>0</v>
      </c>
      <c r="D1032" s="8"/>
    </row>
    <row r="1033">
      <c r="A1033" s="9" t="str">
        <f>IFERROR(__xludf.DUMMYFUNCTION("""COMPUTED_VALUE"""),"Batch 177")</f>
        <v>Batch 177</v>
      </c>
      <c r="B1033" s="9" t="str">
        <f>IFERROR(__xludf.DUMMYFUNCTION("""COMPUTED_VALUE"""),"DHANUSHC77")</f>
        <v>DHANUSHC77</v>
      </c>
      <c r="C1033" s="8">
        <f>IFERROR(__xludf.DUMMYFUNCTION("""COMPUTED_VALUE"""),0.0)</f>
        <v>0</v>
      </c>
      <c r="D1033" s="8"/>
    </row>
    <row r="1034">
      <c r="A1034" s="9" t="str">
        <f>IFERROR(__xludf.DUMMYFUNCTION("""COMPUTED_VALUE"""),"Batch 177")</f>
        <v>Batch 177</v>
      </c>
      <c r="B1034" s="9" t="str">
        <f>IFERROR(__xludf.DUMMYFUNCTION("""COMPUTED_VALUE"""),"MithrakannanC77")</f>
        <v>MithrakannanC77</v>
      </c>
      <c r="C1034" s="8">
        <f>IFERROR(__xludf.DUMMYFUNCTION("""COMPUTED_VALUE"""),0.0)</f>
        <v>0</v>
      </c>
      <c r="D1034" s="8"/>
    </row>
    <row r="1035">
      <c r="A1035" s="9" t="str">
        <f>IFERROR(__xludf.DUMMYFUNCTION("""COMPUTED_VALUE"""),"Batch 177")</f>
        <v>Batch 177</v>
      </c>
      <c r="B1035" s="9" t="str">
        <f>IFERROR(__xludf.DUMMYFUNCTION("""COMPUTED_VALUE"""),"RajatC77")</f>
        <v>RajatC77</v>
      </c>
      <c r="C1035" s="8">
        <f>IFERROR(__xludf.DUMMYFUNCTION("""COMPUTED_VALUE"""),3.0)</f>
        <v>3</v>
      </c>
      <c r="D1035" s="8">
        <f>IFERROR(__xludf.DUMMYFUNCTION("""COMPUTED_VALUE"""),1.0)</f>
        <v>1</v>
      </c>
    </row>
    <row r="1036">
      <c r="A1036" s="9" t="str">
        <f>IFERROR(__xludf.DUMMYFUNCTION("""COMPUTED_VALUE"""),"Batch 177")</f>
        <v>Batch 177</v>
      </c>
      <c r="B1036" s="9" t="str">
        <f>IFERROR(__xludf.DUMMYFUNCTION("""COMPUTED_VALUE"""),"ArpitaC77")</f>
        <v>ArpitaC77</v>
      </c>
      <c r="C1036" s="8">
        <f>IFERROR(__xludf.DUMMYFUNCTION("""COMPUTED_VALUE"""),0.0)</f>
        <v>0</v>
      </c>
      <c r="D1036" s="8"/>
    </row>
    <row r="1037">
      <c r="A1037" s="9" t="str">
        <f>IFERROR(__xludf.DUMMYFUNCTION("""COMPUTED_VALUE"""),"Batch 177")</f>
        <v>Batch 177</v>
      </c>
      <c r="B1037" s="9" t="str">
        <f>IFERROR(__xludf.DUMMYFUNCTION("""COMPUTED_VALUE"""),"VegiC77")</f>
        <v>VegiC77</v>
      </c>
      <c r="C1037" s="8">
        <f>IFERROR(__xludf.DUMMYFUNCTION("""COMPUTED_VALUE"""),2.0)</f>
        <v>2</v>
      </c>
      <c r="D1037" s="8">
        <f>IFERROR(__xludf.DUMMYFUNCTION("""COMPUTED_VALUE"""),6.0)</f>
        <v>6</v>
      </c>
    </row>
    <row r="1038">
      <c r="A1038" s="9" t="str">
        <f>IFERROR(__xludf.DUMMYFUNCTION("""COMPUTED_VALUE"""),"Batch 177")</f>
        <v>Batch 177</v>
      </c>
      <c r="B1038" s="9" t="str">
        <f>IFERROR(__xludf.DUMMYFUNCTION("""COMPUTED_VALUE"""),"RiyaC77")</f>
        <v>RiyaC77</v>
      </c>
      <c r="C1038" s="8">
        <f>IFERROR(__xludf.DUMMYFUNCTION("""COMPUTED_VALUE"""),22.0)</f>
        <v>22</v>
      </c>
      <c r="D1038" s="8"/>
    </row>
    <row r="1039">
      <c r="A1039" s="9" t="str">
        <f>IFERROR(__xludf.DUMMYFUNCTION("""COMPUTED_VALUE"""),"Batch 177")</f>
        <v>Batch 177</v>
      </c>
      <c r="B1039" s="9" t="str">
        <f>IFERROR(__xludf.DUMMYFUNCTION("""COMPUTED_VALUE"""),"SaloniC77")</f>
        <v>SaloniC77</v>
      </c>
      <c r="C1039" s="8">
        <f>IFERROR(__xludf.DUMMYFUNCTION("""COMPUTED_VALUE"""),0.0)</f>
        <v>0</v>
      </c>
      <c r="D1039" s="8"/>
    </row>
    <row r="1040">
      <c r="A1040" s="9" t="str">
        <f>IFERROR(__xludf.DUMMYFUNCTION("""COMPUTED_VALUE"""),"Batch 177")</f>
        <v>Batch 177</v>
      </c>
      <c r="B1040" s="9" t="str">
        <f>IFERROR(__xludf.DUMMYFUNCTION("""COMPUTED_VALUE"""),"BharatC77")</f>
        <v>BharatC77</v>
      </c>
      <c r="C1040" s="8">
        <f>IFERROR(__xludf.DUMMYFUNCTION("""COMPUTED_VALUE"""),0.0)</f>
        <v>0</v>
      </c>
      <c r="D1040" s="8"/>
    </row>
    <row r="1041">
      <c r="A1041" s="9"/>
      <c r="B1041" s="9"/>
      <c r="C1041" s="8">
        <f>IFERROR(__xludf.DUMMYFUNCTION("""COMPUTED_VALUE"""),0.0)</f>
        <v>0</v>
      </c>
      <c r="D1041" s="8"/>
    </row>
    <row r="1042">
      <c r="A1042" s="9" t="str">
        <f>IFERROR(__xludf.DUMMYFUNCTION("""COMPUTED_VALUE"""),"Batch 178")</f>
        <v>Batch 178</v>
      </c>
      <c r="B1042" s="9" t="str">
        <f>IFERROR(__xludf.DUMMYFUNCTION("""COMPUTED_VALUE"""),"NehaC78")</f>
        <v>NehaC78</v>
      </c>
      <c r="C1042" s="8">
        <f>IFERROR(__xludf.DUMMYFUNCTION("""COMPUTED_VALUE"""),3.0)</f>
        <v>3</v>
      </c>
      <c r="D1042" s="8">
        <f>IFERROR(__xludf.DUMMYFUNCTION("""COMPUTED_VALUE"""),1.0)</f>
        <v>1</v>
      </c>
    </row>
    <row r="1043">
      <c r="A1043" s="9" t="str">
        <f>IFERROR(__xludf.DUMMYFUNCTION("""COMPUTED_VALUE"""),"Batch 178")</f>
        <v>Batch 178</v>
      </c>
      <c r="B1043" s="9" t="str">
        <f>IFERROR(__xludf.DUMMYFUNCTION("""COMPUTED_VALUE"""),"TARAKESHC78")</f>
        <v>TARAKESHC78</v>
      </c>
      <c r="C1043" s="8">
        <f>IFERROR(__xludf.DUMMYFUNCTION("""COMPUTED_VALUE"""),20.0)</f>
        <v>20</v>
      </c>
      <c r="D1043" s="8"/>
    </row>
    <row r="1044">
      <c r="A1044" s="9" t="str">
        <f>IFERROR(__xludf.DUMMYFUNCTION("""COMPUTED_VALUE"""),"Batch 178")</f>
        <v>Batch 178</v>
      </c>
      <c r="B1044" s="9" t="str">
        <f>IFERROR(__xludf.DUMMYFUNCTION("""COMPUTED_VALUE"""),"PriyanshuC78")</f>
        <v>PriyanshuC78</v>
      </c>
      <c r="C1044" s="8">
        <f>IFERROR(__xludf.DUMMYFUNCTION("""COMPUTED_VALUE"""),0.0)</f>
        <v>0</v>
      </c>
      <c r="D1044" s="8"/>
    </row>
    <row r="1045">
      <c r="A1045" s="9" t="str">
        <f>IFERROR(__xludf.DUMMYFUNCTION("""COMPUTED_VALUE"""),"Batch 178")</f>
        <v>Batch 178</v>
      </c>
      <c r="B1045" s="9" t="str">
        <f>IFERROR(__xludf.DUMMYFUNCTION("""COMPUTED_VALUE"""),"SiddhiC78")</f>
        <v>SiddhiC78</v>
      </c>
      <c r="C1045" s="8">
        <f>IFERROR(__xludf.DUMMYFUNCTION("""COMPUTED_VALUE"""),0.0)</f>
        <v>0</v>
      </c>
      <c r="D1045" s="8"/>
    </row>
    <row r="1046">
      <c r="A1046" s="9" t="str">
        <f>IFERROR(__xludf.DUMMYFUNCTION("""COMPUTED_VALUE"""),"Batch 178")</f>
        <v>Batch 178</v>
      </c>
      <c r="B1046" s="9" t="str">
        <f>IFERROR(__xludf.DUMMYFUNCTION("""COMPUTED_VALUE"""),"SiddhiC78")</f>
        <v>SiddhiC78</v>
      </c>
      <c r="C1046" s="8">
        <f>IFERROR(__xludf.DUMMYFUNCTION("""COMPUTED_VALUE"""),28.0)</f>
        <v>28</v>
      </c>
      <c r="D1046" s="8"/>
    </row>
    <row r="1047">
      <c r="A1047" s="9" t="str">
        <f>IFERROR(__xludf.DUMMYFUNCTION("""COMPUTED_VALUE"""),"Batch 178")</f>
        <v>Batch 178</v>
      </c>
      <c r="B1047" s="9" t="str">
        <f>IFERROR(__xludf.DUMMYFUNCTION("""COMPUTED_VALUE"""),"Shamitha.MC78")</f>
        <v>Shamitha.MC78</v>
      </c>
      <c r="C1047" s="8">
        <f>IFERROR(__xludf.DUMMYFUNCTION("""COMPUTED_VALUE"""),0.0)</f>
        <v>0</v>
      </c>
      <c r="D1047" s="8"/>
    </row>
    <row r="1048">
      <c r="A1048" s="9" t="str">
        <f>IFERROR(__xludf.DUMMYFUNCTION("""COMPUTED_VALUE"""),"Batch 178")</f>
        <v>Batch 178</v>
      </c>
      <c r="B1048" s="9" t="str">
        <f>IFERROR(__xludf.DUMMYFUNCTION("""COMPUTED_VALUE"""),"YashC78")</f>
        <v>YashC78</v>
      </c>
      <c r="C1048" s="8">
        <f>IFERROR(__xludf.DUMMYFUNCTION("""COMPUTED_VALUE"""),0.0)</f>
        <v>0</v>
      </c>
      <c r="D1048" s="8"/>
    </row>
    <row r="1049">
      <c r="A1049" s="9" t="str">
        <f>IFERROR(__xludf.DUMMYFUNCTION("""COMPUTED_VALUE"""),"Batch 178")</f>
        <v>Batch 178</v>
      </c>
      <c r="B1049" s="9" t="str">
        <f>IFERROR(__xludf.DUMMYFUNCTION("""COMPUTED_VALUE"""),"moniC78")</f>
        <v>moniC78</v>
      </c>
      <c r="C1049" s="8">
        <f>IFERROR(__xludf.DUMMYFUNCTION("""COMPUTED_VALUE"""),0.0)</f>
        <v>0</v>
      </c>
      <c r="D1049" s="8"/>
    </row>
    <row r="1050">
      <c r="A1050" s="9" t="str">
        <f>IFERROR(__xludf.DUMMYFUNCTION("""COMPUTED_VALUE"""),"Batch 178")</f>
        <v>Batch 178</v>
      </c>
      <c r="B1050" s="9" t="str">
        <f>IFERROR(__xludf.DUMMYFUNCTION("""COMPUTED_VALUE"""),"PoojaC78")</f>
        <v>PoojaC78</v>
      </c>
      <c r="C1050" s="8">
        <f>IFERROR(__xludf.DUMMYFUNCTION("""COMPUTED_VALUE"""),0.0)</f>
        <v>0</v>
      </c>
      <c r="D1050" s="8"/>
    </row>
    <row r="1051">
      <c r="A1051" s="9" t="str">
        <f>IFERROR(__xludf.DUMMYFUNCTION("""COMPUTED_VALUE"""),"Batch 178")</f>
        <v>Batch 178</v>
      </c>
      <c r="B1051" s="9" t="str">
        <f>IFERROR(__xludf.DUMMYFUNCTION("""COMPUTED_VALUE"""),"S.ChandraC78")</f>
        <v>S.ChandraC78</v>
      </c>
      <c r="C1051" s="8">
        <f>IFERROR(__xludf.DUMMYFUNCTION("""COMPUTED_VALUE"""),0.0)</f>
        <v>0</v>
      </c>
      <c r="D1051" s="8"/>
    </row>
    <row r="1052">
      <c r="A1052" s="9" t="str">
        <f>IFERROR(__xludf.DUMMYFUNCTION("""COMPUTED_VALUE"""),"Batch 178")</f>
        <v>Batch 178</v>
      </c>
      <c r="B1052" s="9" t="str">
        <f>IFERROR(__xludf.DUMMYFUNCTION("""COMPUTED_VALUE"""),"MayankC78")</f>
        <v>MayankC78</v>
      </c>
      <c r="C1052" s="8">
        <f>IFERROR(__xludf.DUMMYFUNCTION("""COMPUTED_VALUE"""),0.0)</f>
        <v>0</v>
      </c>
      <c r="D1052" s="8"/>
    </row>
    <row r="1053">
      <c r="A1053" s="9" t="str">
        <f>IFERROR(__xludf.DUMMYFUNCTION("""COMPUTED_VALUE"""),"Batch 178")</f>
        <v>Batch 178</v>
      </c>
      <c r="B1053" s="9" t="str">
        <f>IFERROR(__xludf.DUMMYFUNCTION("""COMPUTED_VALUE"""),"KarthickC78")</f>
        <v>KarthickC78</v>
      </c>
      <c r="C1053" s="8">
        <f>IFERROR(__xludf.DUMMYFUNCTION("""COMPUTED_VALUE"""),11.0)</f>
        <v>11</v>
      </c>
      <c r="D1053" s="8">
        <f>IFERROR(__xludf.DUMMYFUNCTION("""COMPUTED_VALUE"""),1.0)</f>
        <v>1</v>
      </c>
    </row>
    <row r="1054">
      <c r="A1054" s="9" t="str">
        <f>IFERROR(__xludf.DUMMYFUNCTION("""COMPUTED_VALUE"""),"Batch 178")</f>
        <v>Batch 178</v>
      </c>
      <c r="B1054" s="9" t="str">
        <f>IFERROR(__xludf.DUMMYFUNCTION("""COMPUTED_VALUE"""),"AbhirupC78")</f>
        <v>AbhirupC78</v>
      </c>
      <c r="C1054" s="8">
        <f>IFERROR(__xludf.DUMMYFUNCTION("""COMPUTED_VALUE"""),0.0)</f>
        <v>0</v>
      </c>
      <c r="D1054" s="8"/>
    </row>
    <row r="1055">
      <c r="A1055" s="9" t="str">
        <f>IFERROR(__xludf.DUMMYFUNCTION("""COMPUTED_VALUE"""),"Batch 178")</f>
        <v>Batch 178</v>
      </c>
      <c r="B1055" s="9" t="str">
        <f>IFERROR(__xludf.DUMMYFUNCTION("""COMPUTED_VALUE"""),"HarshC78")</f>
        <v>HarshC78</v>
      </c>
      <c r="C1055" s="8">
        <f>IFERROR(__xludf.DUMMYFUNCTION("""COMPUTED_VALUE"""),27.0)</f>
        <v>27</v>
      </c>
      <c r="D1055" s="8">
        <f>IFERROR(__xludf.DUMMYFUNCTION("""COMPUTED_VALUE"""),4.0)</f>
        <v>4</v>
      </c>
    </row>
    <row r="1056">
      <c r="A1056" s="9" t="str">
        <f>IFERROR(__xludf.DUMMYFUNCTION("""COMPUTED_VALUE"""),"Batch 178")</f>
        <v>Batch 178</v>
      </c>
      <c r="B1056" s="9" t="str">
        <f>IFERROR(__xludf.DUMMYFUNCTION("""COMPUTED_VALUE"""),"AmbujC78")</f>
        <v>AmbujC78</v>
      </c>
      <c r="C1056" s="8">
        <f>IFERROR(__xludf.DUMMYFUNCTION("""COMPUTED_VALUE"""),0.0)</f>
        <v>0</v>
      </c>
      <c r="D1056" s="8">
        <f>IFERROR(__xludf.DUMMYFUNCTION("""COMPUTED_VALUE"""),1.0)</f>
        <v>1</v>
      </c>
    </row>
    <row r="1057">
      <c r="A1057" s="9" t="str">
        <f>IFERROR(__xludf.DUMMYFUNCTION("""COMPUTED_VALUE"""),"Batch 178")</f>
        <v>Batch 178</v>
      </c>
      <c r="B1057" s="9" t="str">
        <f>IFERROR(__xludf.DUMMYFUNCTION("""COMPUTED_VALUE"""),"NeghaC78")</f>
        <v>NeghaC78</v>
      </c>
      <c r="C1057" s="8">
        <f>IFERROR(__xludf.DUMMYFUNCTION("""COMPUTED_VALUE"""),0.0)</f>
        <v>0</v>
      </c>
      <c r="D1057" s="8"/>
    </row>
    <row r="1058">
      <c r="A1058" s="9" t="str">
        <f>IFERROR(__xludf.DUMMYFUNCTION("""COMPUTED_VALUE"""),"Batch 178")</f>
        <v>Batch 178</v>
      </c>
      <c r="B1058" s="9" t="str">
        <f>IFERROR(__xludf.DUMMYFUNCTION("""COMPUTED_VALUE"""),"PargatiC78")</f>
        <v>PargatiC78</v>
      </c>
      <c r="C1058" s="8">
        <f>IFERROR(__xludf.DUMMYFUNCTION("""COMPUTED_VALUE"""),0.0)</f>
        <v>0</v>
      </c>
      <c r="D1058" s="8"/>
    </row>
    <row r="1059">
      <c r="A1059" s="9" t="str">
        <f>IFERROR(__xludf.DUMMYFUNCTION("""COMPUTED_VALUE"""),"Batch 178")</f>
        <v>Batch 178</v>
      </c>
      <c r="B1059" s="9" t="str">
        <f>IFERROR(__xludf.DUMMYFUNCTION("""COMPUTED_VALUE"""),"AnishaC78")</f>
        <v>AnishaC78</v>
      </c>
      <c r="C1059" s="8">
        <f>IFERROR(__xludf.DUMMYFUNCTION("""COMPUTED_VALUE"""),1.0)</f>
        <v>1</v>
      </c>
      <c r="D1059" s="8"/>
    </row>
    <row r="1060">
      <c r="A1060" s="9" t="str">
        <f>IFERROR(__xludf.DUMMYFUNCTION("""COMPUTED_VALUE"""),"Batch 178")</f>
        <v>Batch 178</v>
      </c>
      <c r="B1060" s="9" t="str">
        <f>IFERROR(__xludf.DUMMYFUNCTION("""COMPUTED_VALUE"""),"GoravC78")</f>
        <v>GoravC78</v>
      </c>
      <c r="C1060" s="8">
        <f>IFERROR(__xludf.DUMMYFUNCTION("""COMPUTED_VALUE"""),0.0)</f>
        <v>0</v>
      </c>
      <c r="D1060" s="8"/>
    </row>
    <row r="1061">
      <c r="A1061" s="9" t="str">
        <f>IFERROR(__xludf.DUMMYFUNCTION("""COMPUTED_VALUE"""),"Batch 178")</f>
        <v>Batch 178</v>
      </c>
      <c r="B1061" s="9" t="str">
        <f>IFERROR(__xludf.DUMMYFUNCTION("""COMPUTED_VALUE"""),"MeghanaC78")</f>
        <v>MeghanaC78</v>
      </c>
      <c r="C1061" s="8">
        <f>IFERROR(__xludf.DUMMYFUNCTION("""COMPUTED_VALUE"""),0.0)</f>
        <v>0</v>
      </c>
      <c r="D1061" s="8"/>
    </row>
    <row r="1062">
      <c r="A1062" s="9" t="str">
        <f>IFERROR(__xludf.DUMMYFUNCTION("""COMPUTED_VALUE"""),"Batch 178")</f>
        <v>Batch 178</v>
      </c>
      <c r="B1062" s="9" t="str">
        <f>IFERROR(__xludf.DUMMYFUNCTION("""COMPUTED_VALUE"""),"KunalC78")</f>
        <v>KunalC78</v>
      </c>
      <c r="C1062" s="8">
        <f>IFERROR(__xludf.DUMMYFUNCTION("""COMPUTED_VALUE"""),3.0)</f>
        <v>3</v>
      </c>
      <c r="D1062" s="8">
        <f>IFERROR(__xludf.DUMMYFUNCTION("""COMPUTED_VALUE"""),1.0)</f>
        <v>1</v>
      </c>
    </row>
    <row r="1063">
      <c r="A1063" s="9" t="str">
        <f>IFERROR(__xludf.DUMMYFUNCTION("""COMPUTED_VALUE"""),"Batch 178")</f>
        <v>Batch 178</v>
      </c>
      <c r="B1063" s="9"/>
      <c r="C1063" s="8">
        <f>IFERROR(__xludf.DUMMYFUNCTION("""COMPUTED_VALUE"""),0.0)</f>
        <v>0</v>
      </c>
      <c r="D1063" s="8">
        <f>IFERROR(__xludf.DUMMYFUNCTION("""COMPUTED_VALUE"""),1.0)</f>
        <v>1</v>
      </c>
    </row>
    <row r="1064">
      <c r="A1064" s="9" t="str">
        <f>IFERROR(__xludf.DUMMYFUNCTION("""COMPUTED_VALUE"""),"Batch 178")</f>
        <v>Batch 178</v>
      </c>
      <c r="B1064" s="9" t="str">
        <f>IFERROR(__xludf.DUMMYFUNCTION("""COMPUTED_VALUE"""),"MukulC78")</f>
        <v>MukulC78</v>
      </c>
      <c r="C1064" s="8">
        <f>IFERROR(__xludf.DUMMYFUNCTION("""COMPUTED_VALUE"""),0.0)</f>
        <v>0</v>
      </c>
      <c r="D1064" s="8"/>
    </row>
    <row r="1065">
      <c r="A1065" s="9" t="str">
        <f>IFERROR(__xludf.DUMMYFUNCTION("""COMPUTED_VALUE"""),"Batch 178")</f>
        <v>Batch 178</v>
      </c>
      <c r="B1065" s="9" t="str">
        <f>IFERROR(__xludf.DUMMYFUNCTION("""COMPUTED_VALUE"""),"SohamC78")</f>
        <v>SohamC78</v>
      </c>
      <c r="C1065" s="8">
        <f>IFERROR(__xludf.DUMMYFUNCTION("""COMPUTED_VALUE"""),2.0)</f>
        <v>2</v>
      </c>
      <c r="D1065" s="8"/>
    </row>
    <row r="1066">
      <c r="A1066" s="9" t="str">
        <f>IFERROR(__xludf.DUMMYFUNCTION("""COMPUTED_VALUE"""),"Batch 178")</f>
        <v>Batch 178</v>
      </c>
      <c r="B1066" s="9" t="str">
        <f>IFERROR(__xludf.DUMMYFUNCTION("""COMPUTED_VALUE"""),"KrishnaC78")</f>
        <v>KrishnaC78</v>
      </c>
      <c r="C1066" s="8">
        <f>IFERROR(__xludf.DUMMYFUNCTION("""COMPUTED_VALUE"""),0.0)</f>
        <v>0</v>
      </c>
      <c r="D1066" s="8"/>
    </row>
    <row r="1067">
      <c r="A1067" s="9" t="str">
        <f>IFERROR(__xludf.DUMMYFUNCTION("""COMPUTED_VALUE"""),"Batch 178")</f>
        <v>Batch 178</v>
      </c>
      <c r="B1067" s="9" t="str">
        <f>IFERROR(__xludf.DUMMYFUNCTION("""COMPUTED_VALUE"""),"PrashantC78")</f>
        <v>PrashantC78</v>
      </c>
      <c r="C1067" s="8">
        <f>IFERROR(__xludf.DUMMYFUNCTION("""COMPUTED_VALUE"""),0.0)</f>
        <v>0</v>
      </c>
      <c r="D1067" s="8"/>
    </row>
    <row r="1068">
      <c r="A1068" s="9" t="str">
        <f>IFERROR(__xludf.DUMMYFUNCTION("""COMPUTED_VALUE"""),"Batch 178")</f>
        <v>Batch 178</v>
      </c>
      <c r="B1068" s="9" t="str">
        <f>IFERROR(__xludf.DUMMYFUNCTION("""COMPUTED_VALUE"""),"DivyaC78")</f>
        <v>DivyaC78</v>
      </c>
      <c r="C1068" s="8">
        <f>IFERROR(__xludf.DUMMYFUNCTION("""COMPUTED_VALUE"""),0.0)</f>
        <v>0</v>
      </c>
      <c r="D1068" s="8"/>
    </row>
    <row r="1069">
      <c r="A1069" s="9" t="str">
        <f>IFERROR(__xludf.DUMMYFUNCTION("""COMPUTED_VALUE"""),"Batch 178")</f>
        <v>Batch 178</v>
      </c>
      <c r="B1069" s="9" t="str">
        <f>IFERROR(__xludf.DUMMYFUNCTION("""COMPUTED_VALUE"""),"SuyamC78")</f>
        <v>SuyamC78</v>
      </c>
      <c r="C1069" s="8">
        <f>IFERROR(__xludf.DUMMYFUNCTION("""COMPUTED_VALUE"""),0.0)</f>
        <v>0</v>
      </c>
      <c r="D1069" s="8"/>
    </row>
    <row r="1070">
      <c r="A1070" s="9" t="str">
        <f>IFERROR(__xludf.DUMMYFUNCTION("""COMPUTED_VALUE"""),"Batch 178")</f>
        <v>Batch 178</v>
      </c>
      <c r="B1070" s="9" t="str">
        <f>IFERROR(__xludf.DUMMYFUNCTION("""COMPUTED_VALUE"""),"BushraC78")</f>
        <v>BushraC78</v>
      </c>
      <c r="C1070" s="8">
        <f>IFERROR(__xludf.DUMMYFUNCTION("""COMPUTED_VALUE"""),1.0)</f>
        <v>1</v>
      </c>
      <c r="D1070" s="8">
        <f>IFERROR(__xludf.DUMMYFUNCTION("""COMPUTED_VALUE"""),4.0)</f>
        <v>4</v>
      </c>
    </row>
    <row r="1071">
      <c r="A1071" s="9" t="str">
        <f>IFERROR(__xludf.DUMMYFUNCTION("""COMPUTED_VALUE"""),"Batch 178")</f>
        <v>Batch 178</v>
      </c>
      <c r="B1071" s="9" t="str">
        <f>IFERROR(__xludf.DUMMYFUNCTION("""COMPUTED_VALUE"""),"NavyaC78")</f>
        <v>NavyaC78</v>
      </c>
      <c r="C1071" s="8">
        <f>IFERROR(__xludf.DUMMYFUNCTION("""COMPUTED_VALUE"""),0.0)</f>
        <v>0</v>
      </c>
      <c r="D1071" s="8"/>
    </row>
    <row r="1072">
      <c r="A1072" s="9" t="str">
        <f>IFERROR(__xludf.DUMMYFUNCTION("""COMPUTED_VALUE"""),"Batch 178")</f>
        <v>Batch 178</v>
      </c>
      <c r="B1072" s="9" t="str">
        <f>IFERROR(__xludf.DUMMYFUNCTION("""COMPUTED_VALUE"""),"AmanC78")</f>
        <v>AmanC78</v>
      </c>
      <c r="C1072" s="8">
        <f>IFERROR(__xludf.DUMMYFUNCTION("""COMPUTED_VALUE"""),0.0)</f>
        <v>0</v>
      </c>
      <c r="D1072" s="8"/>
    </row>
    <row r="1073">
      <c r="A1073" s="9" t="str">
        <f>IFERROR(__xludf.DUMMYFUNCTION("""COMPUTED_VALUE"""),"Batch 178")</f>
        <v>Batch 178</v>
      </c>
      <c r="B1073" s="9" t="str">
        <f>IFERROR(__xludf.DUMMYFUNCTION("""COMPUTED_VALUE"""),"VaibhawC78")</f>
        <v>VaibhawC78</v>
      </c>
      <c r="C1073" s="8">
        <f>IFERROR(__xludf.DUMMYFUNCTION("""COMPUTED_VALUE"""),0.0)</f>
        <v>0</v>
      </c>
      <c r="D1073" s="8"/>
    </row>
    <row r="1074">
      <c r="A1074" s="9" t="str">
        <f>IFERROR(__xludf.DUMMYFUNCTION("""COMPUTED_VALUE"""),"Batch 178")</f>
        <v>Batch 178</v>
      </c>
      <c r="B1074" s="9" t="str">
        <f>IFERROR(__xludf.DUMMYFUNCTION("""COMPUTED_VALUE"""),"BikramC78")</f>
        <v>BikramC78</v>
      </c>
      <c r="C1074" s="8">
        <f>IFERROR(__xludf.DUMMYFUNCTION("""COMPUTED_VALUE"""),0.0)</f>
        <v>0</v>
      </c>
      <c r="D1074" s="8"/>
    </row>
    <row r="1075">
      <c r="A1075" s="9" t="str">
        <f>IFERROR(__xludf.DUMMYFUNCTION("""COMPUTED_VALUE"""),"Batch 178")</f>
        <v>Batch 178</v>
      </c>
      <c r="B1075" s="9" t="str">
        <f>IFERROR(__xludf.DUMMYFUNCTION("""COMPUTED_VALUE"""),"KritikaC78")</f>
        <v>KritikaC78</v>
      </c>
      <c r="C1075" s="8">
        <f>IFERROR(__xludf.DUMMYFUNCTION("""COMPUTED_VALUE"""),0.0)</f>
        <v>0</v>
      </c>
      <c r="D1075" s="8"/>
    </row>
    <row r="1076">
      <c r="A1076" s="9" t="str">
        <f>IFERROR(__xludf.DUMMYFUNCTION("""COMPUTED_VALUE"""),"Batch 178")</f>
        <v>Batch 178</v>
      </c>
      <c r="B1076" s="9" t="str">
        <f>IFERROR(__xludf.DUMMYFUNCTION("""COMPUTED_VALUE"""),"SANJAY.C78")</f>
        <v>SANJAY.C78</v>
      </c>
      <c r="C1076" s="8">
        <f>IFERROR(__xludf.DUMMYFUNCTION("""COMPUTED_VALUE"""),0.0)</f>
        <v>0</v>
      </c>
      <c r="D1076" s="8"/>
    </row>
    <row r="1077">
      <c r="A1077" s="9" t="str">
        <f>IFERROR(__xludf.DUMMYFUNCTION("""COMPUTED_VALUE"""),"Batch 178")</f>
        <v>Batch 178</v>
      </c>
      <c r="B1077" s="9" t="str">
        <f>IFERROR(__xludf.DUMMYFUNCTION("""COMPUTED_VALUE"""),"MathiC78")</f>
        <v>MathiC78</v>
      </c>
      <c r="C1077" s="8">
        <f>IFERROR(__xludf.DUMMYFUNCTION("""COMPUTED_VALUE"""),0.0)</f>
        <v>0</v>
      </c>
      <c r="D1077" s="8"/>
    </row>
    <row r="1078">
      <c r="A1078" s="9" t="str">
        <f>IFERROR(__xludf.DUMMYFUNCTION("""COMPUTED_VALUE"""),"Batch 178")</f>
        <v>Batch 178</v>
      </c>
      <c r="B1078" s="9" t="str">
        <f>IFERROR(__xludf.DUMMYFUNCTION("""COMPUTED_VALUE"""),"KirtiC78")</f>
        <v>KirtiC78</v>
      </c>
      <c r="C1078" s="8">
        <f>IFERROR(__xludf.DUMMYFUNCTION("""COMPUTED_VALUE"""),0.0)</f>
        <v>0</v>
      </c>
      <c r="D1078" s="8"/>
    </row>
    <row r="1079">
      <c r="A1079" s="9" t="str">
        <f>IFERROR(__xludf.DUMMYFUNCTION("""COMPUTED_VALUE"""),"Batch 178")</f>
        <v>Batch 178</v>
      </c>
      <c r="B1079" s="9" t="str">
        <f>IFERROR(__xludf.DUMMYFUNCTION("""COMPUTED_VALUE"""),"khushiC78")</f>
        <v>khushiC78</v>
      </c>
      <c r="C1079" s="8">
        <f>IFERROR(__xludf.DUMMYFUNCTION("""COMPUTED_VALUE"""),0.0)</f>
        <v>0</v>
      </c>
      <c r="D1079" s="8"/>
    </row>
    <row r="1080">
      <c r="A1080" s="9" t="str">
        <f>IFERROR(__xludf.DUMMYFUNCTION("""COMPUTED_VALUE"""),"Batch 178")</f>
        <v>Batch 178</v>
      </c>
      <c r="B1080" s="9" t="str">
        <f>IFERROR(__xludf.DUMMYFUNCTION("""COMPUTED_VALUE"""),"KhushiC78")</f>
        <v>KhushiC78</v>
      </c>
      <c r="C1080" s="8">
        <f>IFERROR(__xludf.DUMMYFUNCTION("""COMPUTED_VALUE"""),0.0)</f>
        <v>0</v>
      </c>
      <c r="D1080" s="8"/>
    </row>
    <row r="1081">
      <c r="A1081" s="9" t="str">
        <f>IFERROR(__xludf.DUMMYFUNCTION("""COMPUTED_VALUE"""),"Batch 178")</f>
        <v>Batch 178</v>
      </c>
      <c r="B1081" s="9" t="str">
        <f>IFERROR(__xludf.DUMMYFUNCTION("""COMPUTED_VALUE"""),"DevrajC78")</f>
        <v>DevrajC78</v>
      </c>
      <c r="C1081" s="8">
        <f>IFERROR(__xludf.DUMMYFUNCTION("""COMPUTED_VALUE"""),14.0)</f>
        <v>14</v>
      </c>
      <c r="D1081" s="8"/>
    </row>
    <row r="1082">
      <c r="A1082" s="9" t="str">
        <f>IFERROR(__xludf.DUMMYFUNCTION("""COMPUTED_VALUE"""),"Batch 178")</f>
        <v>Batch 178</v>
      </c>
      <c r="B1082" s="9" t="str">
        <f>IFERROR(__xludf.DUMMYFUNCTION("""COMPUTED_VALUE"""),"ShreyanshC78")</f>
        <v>ShreyanshC78</v>
      </c>
      <c r="C1082" s="8">
        <f>IFERROR(__xludf.DUMMYFUNCTION("""COMPUTED_VALUE"""),0.0)</f>
        <v>0</v>
      </c>
      <c r="D1082" s="8"/>
    </row>
    <row r="1083">
      <c r="A1083" s="9" t="str">
        <f>IFERROR(__xludf.DUMMYFUNCTION("""COMPUTED_VALUE"""),"Batch 178")</f>
        <v>Batch 178</v>
      </c>
      <c r="B1083" s="9" t="str">
        <f>IFERROR(__xludf.DUMMYFUNCTION("""COMPUTED_VALUE"""),"MrigakshiC78")</f>
        <v>MrigakshiC78</v>
      </c>
      <c r="C1083" s="8">
        <f>IFERROR(__xludf.DUMMYFUNCTION("""COMPUTED_VALUE"""),33.0)</f>
        <v>33</v>
      </c>
      <c r="D1083" s="8">
        <f>IFERROR(__xludf.DUMMYFUNCTION("""COMPUTED_VALUE"""),5.0)</f>
        <v>5</v>
      </c>
    </row>
    <row r="1084">
      <c r="A1084" s="9" t="str">
        <f>IFERROR(__xludf.DUMMYFUNCTION("""COMPUTED_VALUE"""),"Batch 178")</f>
        <v>Batch 178</v>
      </c>
      <c r="B1084" s="9" t="str">
        <f>IFERROR(__xludf.DUMMYFUNCTION("""COMPUTED_VALUE"""),"ROYALC78")</f>
        <v>ROYALC78</v>
      </c>
      <c r="C1084" s="8">
        <f>IFERROR(__xludf.DUMMYFUNCTION("""COMPUTED_VALUE"""),0.0)</f>
        <v>0</v>
      </c>
      <c r="D1084" s="8">
        <f>IFERROR(__xludf.DUMMYFUNCTION("""COMPUTED_VALUE"""),1.0)</f>
        <v>1</v>
      </c>
    </row>
    <row r="1085">
      <c r="A1085" s="9" t="str">
        <f>IFERROR(__xludf.DUMMYFUNCTION("""COMPUTED_VALUE"""),"Batch 178")</f>
        <v>Batch 178</v>
      </c>
      <c r="B1085" s="9" t="str">
        <f>IFERROR(__xludf.DUMMYFUNCTION("""COMPUTED_VALUE"""),"JatinC78")</f>
        <v>JatinC78</v>
      </c>
      <c r="C1085" s="8">
        <f>IFERROR(__xludf.DUMMYFUNCTION("""COMPUTED_VALUE"""),3.0)</f>
        <v>3</v>
      </c>
      <c r="D1085" s="8">
        <f>IFERROR(__xludf.DUMMYFUNCTION("""COMPUTED_VALUE"""),1.0)</f>
        <v>1</v>
      </c>
    </row>
    <row r="1086">
      <c r="A1086" s="9" t="str">
        <f>IFERROR(__xludf.DUMMYFUNCTION("""COMPUTED_VALUE"""),"Batch 178")</f>
        <v>Batch 178</v>
      </c>
      <c r="B1086" s="9" t="str">
        <f>IFERROR(__xludf.DUMMYFUNCTION("""COMPUTED_VALUE"""),"AtulC78")</f>
        <v>AtulC78</v>
      </c>
      <c r="C1086" s="8">
        <f>IFERROR(__xludf.DUMMYFUNCTION("""COMPUTED_VALUE"""),4.0)</f>
        <v>4</v>
      </c>
      <c r="D1086" s="8">
        <f>IFERROR(__xludf.DUMMYFUNCTION("""COMPUTED_VALUE"""),1.0)</f>
        <v>1</v>
      </c>
    </row>
    <row r="1087">
      <c r="A1087" s="9" t="str">
        <f>IFERROR(__xludf.DUMMYFUNCTION("""COMPUTED_VALUE"""),"Batch 178")</f>
        <v>Batch 178</v>
      </c>
      <c r="B1087" s="9" t="str">
        <f>IFERROR(__xludf.DUMMYFUNCTION("""COMPUTED_VALUE"""),"ShivaniC78")</f>
        <v>ShivaniC78</v>
      </c>
      <c r="C1087" s="8">
        <f>IFERROR(__xludf.DUMMYFUNCTION("""COMPUTED_VALUE"""),0.0)</f>
        <v>0</v>
      </c>
      <c r="D1087" s="8"/>
    </row>
    <row r="1088">
      <c r="A1088" s="9" t="str">
        <f>IFERROR(__xludf.DUMMYFUNCTION("""COMPUTED_VALUE"""),"Batch 178")</f>
        <v>Batch 178</v>
      </c>
      <c r="B1088" s="9" t="str">
        <f>IFERROR(__xludf.DUMMYFUNCTION("""COMPUTED_VALUE"""),"AlokC78")</f>
        <v>AlokC78</v>
      </c>
      <c r="C1088" s="8">
        <f>IFERROR(__xludf.DUMMYFUNCTION("""COMPUTED_VALUE"""),0.0)</f>
        <v>0</v>
      </c>
      <c r="D1088" s="8"/>
    </row>
    <row r="1089">
      <c r="A1089" s="9" t="str">
        <f>IFERROR(__xludf.DUMMYFUNCTION("""COMPUTED_VALUE"""),"Batch 178")</f>
        <v>Batch 178</v>
      </c>
      <c r="B1089" s="9" t="str">
        <f>IFERROR(__xludf.DUMMYFUNCTION("""COMPUTED_VALUE"""),"ARAVINDHANC78")</f>
        <v>ARAVINDHANC78</v>
      </c>
      <c r="C1089" s="8">
        <f>IFERROR(__xludf.DUMMYFUNCTION("""COMPUTED_VALUE"""),0.0)</f>
        <v>0</v>
      </c>
      <c r="D1089" s="8"/>
    </row>
    <row r="1090">
      <c r="A1090" s="9" t="str">
        <f>IFERROR(__xludf.DUMMYFUNCTION("""COMPUTED_VALUE"""),"Batch 178")</f>
        <v>Batch 178</v>
      </c>
      <c r="B1090" s="9" t="str">
        <f>IFERROR(__xludf.DUMMYFUNCTION("""COMPUTED_VALUE"""),"TanishkaC78")</f>
        <v>TanishkaC78</v>
      </c>
      <c r="C1090" s="8">
        <f>IFERROR(__xludf.DUMMYFUNCTION("""COMPUTED_VALUE"""),0.0)</f>
        <v>0</v>
      </c>
      <c r="D1090" s="8"/>
    </row>
    <row r="1091">
      <c r="A1091" s="9" t="str">
        <f>IFERROR(__xludf.DUMMYFUNCTION("""COMPUTED_VALUE"""),"Batch 178")</f>
        <v>Batch 178</v>
      </c>
      <c r="B1091" s="9" t="str">
        <f>IFERROR(__xludf.DUMMYFUNCTION("""COMPUTED_VALUE"""),"YellapuC78")</f>
        <v>YellapuC78</v>
      </c>
      <c r="C1091" s="8">
        <f>IFERROR(__xludf.DUMMYFUNCTION("""COMPUTED_VALUE"""),30.0)</f>
        <v>30</v>
      </c>
      <c r="D1091" s="8">
        <f>IFERROR(__xludf.DUMMYFUNCTION("""COMPUTED_VALUE"""),1.0)</f>
        <v>1</v>
      </c>
    </row>
    <row r="1092">
      <c r="A1092" s="9" t="str">
        <f>IFERROR(__xludf.DUMMYFUNCTION("""COMPUTED_VALUE"""),"Batch 178")</f>
        <v>Batch 178</v>
      </c>
      <c r="B1092" s="9" t="str">
        <f>IFERROR(__xludf.DUMMYFUNCTION("""COMPUTED_VALUE"""),"ChandanC78")</f>
        <v>ChandanC78</v>
      </c>
      <c r="C1092" s="8">
        <f>IFERROR(__xludf.DUMMYFUNCTION("""COMPUTED_VALUE"""),0.0)</f>
        <v>0</v>
      </c>
      <c r="D1092" s="8"/>
    </row>
    <row r="1093">
      <c r="A1093" s="9" t="str">
        <f>IFERROR(__xludf.DUMMYFUNCTION("""COMPUTED_VALUE"""),"Batch 178")</f>
        <v>Batch 178</v>
      </c>
      <c r="B1093" s="9" t="str">
        <f>IFERROR(__xludf.DUMMYFUNCTION("""COMPUTED_VALUE"""),"ArjabC78")</f>
        <v>ArjabC78</v>
      </c>
      <c r="C1093" s="8">
        <f>IFERROR(__xludf.DUMMYFUNCTION("""COMPUTED_VALUE"""),31.0)</f>
        <v>31</v>
      </c>
      <c r="D1093" s="8">
        <f>IFERROR(__xludf.DUMMYFUNCTION("""COMPUTED_VALUE"""),4.0)</f>
        <v>4</v>
      </c>
    </row>
    <row r="1094">
      <c r="A1094" s="9" t="str">
        <f>IFERROR(__xludf.DUMMYFUNCTION("""COMPUTED_VALUE"""),"Batch 178")</f>
        <v>Batch 178</v>
      </c>
      <c r="B1094" s="9" t="str">
        <f>IFERROR(__xludf.DUMMYFUNCTION("""COMPUTED_VALUE"""),"NeelC78")</f>
        <v>NeelC78</v>
      </c>
      <c r="C1094" s="8">
        <f>IFERROR(__xludf.DUMMYFUNCTION("""COMPUTED_VALUE"""),1.0)</f>
        <v>1</v>
      </c>
      <c r="D1094" s="8"/>
    </row>
    <row r="1095">
      <c r="A1095" s="9" t="str">
        <f>IFERROR(__xludf.DUMMYFUNCTION("""COMPUTED_VALUE"""),"Batch 178")</f>
        <v>Batch 178</v>
      </c>
      <c r="B1095" s="9" t="str">
        <f>IFERROR(__xludf.DUMMYFUNCTION("""COMPUTED_VALUE"""),"SagarC78")</f>
        <v>SagarC78</v>
      </c>
      <c r="C1095" s="8">
        <f>IFERROR(__xludf.DUMMYFUNCTION("""COMPUTED_VALUE"""),0.0)</f>
        <v>0</v>
      </c>
      <c r="D1095" s="8"/>
    </row>
    <row r="1096">
      <c r="A1096" s="9" t="str">
        <f>IFERROR(__xludf.DUMMYFUNCTION("""COMPUTED_VALUE"""),"Batch 178")</f>
        <v>Batch 178</v>
      </c>
      <c r="B1096" s="9" t="str">
        <f>IFERROR(__xludf.DUMMYFUNCTION("""COMPUTED_VALUE"""),"TrishaC78")</f>
        <v>TrishaC78</v>
      </c>
      <c r="C1096" s="8">
        <f>IFERROR(__xludf.DUMMYFUNCTION("""COMPUTED_VALUE"""),0.0)</f>
        <v>0</v>
      </c>
      <c r="D1096" s="8"/>
    </row>
    <row r="1097">
      <c r="A1097" s="9" t="str">
        <f>IFERROR(__xludf.DUMMYFUNCTION("""COMPUTED_VALUE"""),"Batch 178")</f>
        <v>Batch 178</v>
      </c>
      <c r="B1097" s="9" t="str">
        <f>IFERROR(__xludf.DUMMYFUNCTION("""COMPUTED_VALUE"""),"BhavyaC78")</f>
        <v>BhavyaC78</v>
      </c>
      <c r="C1097" s="8">
        <f>IFERROR(__xludf.DUMMYFUNCTION("""COMPUTED_VALUE"""),3.0)</f>
        <v>3</v>
      </c>
      <c r="D1097" s="8">
        <f>IFERROR(__xludf.DUMMYFUNCTION("""COMPUTED_VALUE"""),1.0)</f>
        <v>1</v>
      </c>
    </row>
    <row r="1098">
      <c r="A1098" s="9" t="str">
        <f>IFERROR(__xludf.DUMMYFUNCTION("""COMPUTED_VALUE"""),"Batch 178")</f>
        <v>Batch 178</v>
      </c>
      <c r="B1098" s="9" t="str">
        <f>IFERROR(__xludf.DUMMYFUNCTION("""COMPUTED_VALUE"""),"PratikshaC78")</f>
        <v>PratikshaC78</v>
      </c>
      <c r="C1098" s="8">
        <f>IFERROR(__xludf.DUMMYFUNCTION("""COMPUTED_VALUE"""),0.0)</f>
        <v>0</v>
      </c>
      <c r="D1098" s="8"/>
    </row>
    <row r="1099">
      <c r="A1099" s="9" t="str">
        <f>IFERROR(__xludf.DUMMYFUNCTION("""COMPUTED_VALUE"""),"Batch 178")</f>
        <v>Batch 178</v>
      </c>
      <c r="B1099" s="9" t="str">
        <f>IFERROR(__xludf.DUMMYFUNCTION("""COMPUTED_VALUE"""),"Kavya.PC78")</f>
        <v>Kavya.PC78</v>
      </c>
      <c r="C1099" s="8">
        <f>IFERROR(__xludf.DUMMYFUNCTION("""COMPUTED_VALUE"""),0.0)</f>
        <v>0</v>
      </c>
      <c r="D1099" s="8"/>
    </row>
    <row r="1100">
      <c r="A1100" s="9" t="str">
        <f>IFERROR(__xludf.DUMMYFUNCTION("""COMPUTED_VALUE"""),"Batch 178")</f>
        <v>Batch 178</v>
      </c>
      <c r="B1100" s="9" t="str">
        <f>IFERROR(__xludf.DUMMYFUNCTION("""COMPUTED_VALUE"""),"ManjyotC78")</f>
        <v>ManjyotC78</v>
      </c>
      <c r="C1100" s="8">
        <f>IFERROR(__xludf.DUMMYFUNCTION("""COMPUTED_VALUE"""),0.0)</f>
        <v>0</v>
      </c>
      <c r="D1100" s="8"/>
    </row>
    <row r="1101">
      <c r="A1101" s="9" t="str">
        <f>IFERROR(__xludf.DUMMYFUNCTION("""COMPUTED_VALUE"""),"Batch 178")</f>
        <v>Batch 178</v>
      </c>
      <c r="B1101" s="9" t="str">
        <f>IFERROR(__xludf.DUMMYFUNCTION("""COMPUTED_VALUE"""),"YanshiC78")</f>
        <v>YanshiC78</v>
      </c>
      <c r="C1101" s="8">
        <f>IFERROR(__xludf.DUMMYFUNCTION("""COMPUTED_VALUE"""),0.0)</f>
        <v>0</v>
      </c>
      <c r="D1101" s="8"/>
    </row>
    <row r="1102">
      <c r="A1102" s="9" t="str">
        <f>IFERROR(__xludf.DUMMYFUNCTION("""COMPUTED_VALUE"""),"Batch 178")</f>
        <v>Batch 178</v>
      </c>
      <c r="B1102" s="9" t="str">
        <f>IFERROR(__xludf.DUMMYFUNCTION("""COMPUTED_VALUE"""),"AKHLAKC78")</f>
        <v>AKHLAKC78</v>
      </c>
      <c r="C1102" s="8">
        <f>IFERROR(__xludf.DUMMYFUNCTION("""COMPUTED_VALUE"""),0.0)</f>
        <v>0</v>
      </c>
      <c r="D1102" s="8"/>
    </row>
    <row r="1103">
      <c r="A1103" s="9" t="str">
        <f>IFERROR(__xludf.DUMMYFUNCTION("""COMPUTED_VALUE"""),"Batch 178")</f>
        <v>Batch 178</v>
      </c>
      <c r="B1103" s="9" t="str">
        <f>IFERROR(__xludf.DUMMYFUNCTION("""COMPUTED_VALUE"""),"DeekshaC78")</f>
        <v>DeekshaC78</v>
      </c>
      <c r="C1103" s="8">
        <f>IFERROR(__xludf.DUMMYFUNCTION("""COMPUTED_VALUE"""),0.0)</f>
        <v>0</v>
      </c>
      <c r="D1103" s="8"/>
    </row>
    <row r="1104">
      <c r="A1104" s="9" t="str">
        <f>IFERROR(__xludf.DUMMYFUNCTION("""COMPUTED_VALUE"""),"Batch 178")</f>
        <v>Batch 178</v>
      </c>
      <c r="B1104" s="9" t="str">
        <f>IFERROR(__xludf.DUMMYFUNCTION("""COMPUTED_VALUE"""),"PritamC78")</f>
        <v>PritamC78</v>
      </c>
      <c r="C1104" s="8">
        <f>IFERROR(__xludf.DUMMYFUNCTION("""COMPUTED_VALUE"""),0.0)</f>
        <v>0</v>
      </c>
      <c r="D1104" s="8"/>
    </row>
    <row r="1105">
      <c r="A1105" s="9" t="str">
        <f>IFERROR(__xludf.DUMMYFUNCTION("""COMPUTED_VALUE"""),"Batch 178")</f>
        <v>Batch 178</v>
      </c>
      <c r="B1105" s="9" t="str">
        <f>IFERROR(__xludf.DUMMYFUNCTION("""COMPUTED_VALUE"""),"GAJIVELLIC78")</f>
        <v>GAJIVELLIC78</v>
      </c>
      <c r="C1105" s="8">
        <f>IFERROR(__xludf.DUMMYFUNCTION("""COMPUTED_VALUE"""),31.0)</f>
        <v>31</v>
      </c>
      <c r="D1105" s="8">
        <f>IFERROR(__xludf.DUMMYFUNCTION("""COMPUTED_VALUE"""),3.0)</f>
        <v>3</v>
      </c>
    </row>
    <row r="1106">
      <c r="A1106" s="9"/>
      <c r="B1106" s="9"/>
      <c r="C1106" s="8">
        <f>IFERROR(__xludf.DUMMYFUNCTION("""COMPUTED_VALUE"""),0.0)</f>
        <v>0</v>
      </c>
      <c r="D1106" s="8"/>
    </row>
    <row r="1107">
      <c r="A1107" s="9" t="str">
        <f>IFERROR(__xludf.DUMMYFUNCTION("""COMPUTED_VALUE"""),"Batch 179")</f>
        <v>Batch 179</v>
      </c>
      <c r="B1107" s="9" t="str">
        <f>IFERROR(__xludf.DUMMYFUNCTION("""COMPUTED_VALUE"""),"AdrijaC79")</f>
        <v>AdrijaC79</v>
      </c>
      <c r="C1107" s="8">
        <f>IFERROR(__xludf.DUMMYFUNCTION("""COMPUTED_VALUE"""),102.0)</f>
        <v>102</v>
      </c>
      <c r="D1107" s="8">
        <f>IFERROR(__xludf.DUMMYFUNCTION("""COMPUTED_VALUE"""),34.0)</f>
        <v>34</v>
      </c>
    </row>
    <row r="1108">
      <c r="A1108" s="9" t="str">
        <f>IFERROR(__xludf.DUMMYFUNCTION("""COMPUTED_VALUE"""),"Batch 179")</f>
        <v>Batch 179</v>
      </c>
      <c r="B1108" s="9" t="str">
        <f>IFERROR(__xludf.DUMMYFUNCTION("""COMPUTED_VALUE"""),"JIGYANSHUC79")</f>
        <v>JIGYANSHUC79</v>
      </c>
      <c r="C1108" s="8">
        <f>IFERROR(__xludf.DUMMYFUNCTION("""COMPUTED_VALUE"""),0.0)</f>
        <v>0</v>
      </c>
      <c r="D1108" s="8"/>
    </row>
    <row r="1109">
      <c r="A1109" s="9" t="str">
        <f>IFERROR(__xludf.DUMMYFUNCTION("""COMPUTED_VALUE"""),"Batch 179")</f>
        <v>Batch 179</v>
      </c>
      <c r="B1109" s="9" t="str">
        <f>IFERROR(__xludf.DUMMYFUNCTION("""COMPUTED_VALUE"""),"DimpeeC79")</f>
        <v>DimpeeC79</v>
      </c>
      <c r="C1109" s="8">
        <f>IFERROR(__xludf.DUMMYFUNCTION("""COMPUTED_VALUE"""),0.0)</f>
        <v>0</v>
      </c>
      <c r="D1109" s="8"/>
    </row>
    <row r="1110">
      <c r="A1110" s="9" t="str">
        <f>IFERROR(__xludf.DUMMYFUNCTION("""COMPUTED_VALUE"""),"Batch 179")</f>
        <v>Batch 179</v>
      </c>
      <c r="B1110" s="9" t="str">
        <f>IFERROR(__xludf.DUMMYFUNCTION("""COMPUTED_VALUE"""),"ShumailaC79")</f>
        <v>ShumailaC79</v>
      </c>
      <c r="C1110" s="8">
        <f>IFERROR(__xludf.DUMMYFUNCTION("""COMPUTED_VALUE"""),3.0)</f>
        <v>3</v>
      </c>
      <c r="D1110" s="8"/>
    </row>
    <row r="1111">
      <c r="A1111" s="9" t="str">
        <f>IFERROR(__xludf.DUMMYFUNCTION("""COMPUTED_VALUE"""),"Batch 179")</f>
        <v>Batch 179</v>
      </c>
      <c r="B1111" s="9" t="str">
        <f>IFERROR(__xludf.DUMMYFUNCTION("""COMPUTED_VALUE"""),"VishnuC79")</f>
        <v>VishnuC79</v>
      </c>
      <c r="C1111" s="8">
        <f>IFERROR(__xludf.DUMMYFUNCTION("""COMPUTED_VALUE"""),0.0)</f>
        <v>0</v>
      </c>
      <c r="D1111" s="8"/>
    </row>
    <row r="1112">
      <c r="A1112" s="9" t="str">
        <f>IFERROR(__xludf.DUMMYFUNCTION("""COMPUTED_VALUE"""),"Batch 179")</f>
        <v>Batch 179</v>
      </c>
      <c r="B1112" s="9" t="str">
        <f>IFERROR(__xludf.DUMMYFUNCTION("""COMPUTED_VALUE"""),"ShumailaC79")</f>
        <v>ShumailaC79</v>
      </c>
      <c r="C1112" s="8">
        <f>IFERROR(__xludf.DUMMYFUNCTION("""COMPUTED_VALUE"""),0.0)</f>
        <v>0</v>
      </c>
      <c r="D1112" s="8"/>
    </row>
    <row r="1113">
      <c r="A1113" s="9" t="str">
        <f>IFERROR(__xludf.DUMMYFUNCTION("""COMPUTED_VALUE"""),"Batch 179")</f>
        <v>Batch 179</v>
      </c>
      <c r="B1113" s="9" t="str">
        <f>IFERROR(__xludf.DUMMYFUNCTION("""COMPUTED_VALUE"""),"AkhileshC79")</f>
        <v>AkhileshC79</v>
      </c>
      <c r="C1113" s="8">
        <f>IFERROR(__xludf.DUMMYFUNCTION("""COMPUTED_VALUE"""),0.0)</f>
        <v>0</v>
      </c>
      <c r="D1113" s="8"/>
    </row>
    <row r="1114">
      <c r="A1114" s="9" t="str">
        <f>IFERROR(__xludf.DUMMYFUNCTION("""COMPUTED_VALUE"""),"Batch 179")</f>
        <v>Batch 179</v>
      </c>
      <c r="B1114" s="9" t="str">
        <f>IFERROR(__xludf.DUMMYFUNCTION("""COMPUTED_VALUE"""),"TanmayC79")</f>
        <v>TanmayC79</v>
      </c>
      <c r="C1114" s="8">
        <f>IFERROR(__xludf.DUMMYFUNCTION("""COMPUTED_VALUE"""),0.0)</f>
        <v>0</v>
      </c>
      <c r="D1114" s="8"/>
    </row>
    <row r="1115">
      <c r="A1115" s="9" t="str">
        <f>IFERROR(__xludf.DUMMYFUNCTION("""COMPUTED_VALUE"""),"Batch 179")</f>
        <v>Batch 179</v>
      </c>
      <c r="B1115" s="9" t="str">
        <f>IFERROR(__xludf.DUMMYFUNCTION("""COMPUTED_VALUE"""),"IshuC79")</f>
        <v>IshuC79</v>
      </c>
      <c r="C1115" s="8">
        <f>IFERROR(__xludf.DUMMYFUNCTION("""COMPUTED_VALUE"""),53.0)</f>
        <v>53</v>
      </c>
      <c r="D1115" s="8">
        <f>IFERROR(__xludf.DUMMYFUNCTION("""COMPUTED_VALUE"""),26.0)</f>
        <v>26</v>
      </c>
    </row>
    <row r="1116">
      <c r="A1116" s="9" t="str">
        <f>IFERROR(__xludf.DUMMYFUNCTION("""COMPUTED_VALUE"""),"Batch 179")</f>
        <v>Batch 179</v>
      </c>
      <c r="B1116" s="9" t="str">
        <f>IFERROR(__xludf.DUMMYFUNCTION("""COMPUTED_VALUE"""),"PratishthaC79")</f>
        <v>PratishthaC79</v>
      </c>
      <c r="C1116" s="8">
        <f>IFERROR(__xludf.DUMMYFUNCTION("""COMPUTED_VALUE"""),0.0)</f>
        <v>0</v>
      </c>
      <c r="D1116" s="8"/>
    </row>
    <row r="1117">
      <c r="A1117" s="9" t="str">
        <f>IFERROR(__xludf.DUMMYFUNCTION("""COMPUTED_VALUE"""),"Batch 179")</f>
        <v>Batch 179</v>
      </c>
      <c r="B1117" s="9" t="str">
        <f>IFERROR(__xludf.DUMMYFUNCTION("""COMPUTED_VALUE"""),"MunagalaC79")</f>
        <v>MunagalaC79</v>
      </c>
      <c r="C1117" s="8">
        <f>IFERROR(__xludf.DUMMYFUNCTION("""COMPUTED_VALUE"""),1.0)</f>
        <v>1</v>
      </c>
      <c r="D1117" s="8">
        <f>IFERROR(__xludf.DUMMYFUNCTION("""COMPUTED_VALUE"""),1.0)</f>
        <v>1</v>
      </c>
    </row>
    <row r="1118">
      <c r="A1118" s="9" t="str">
        <f>IFERROR(__xludf.DUMMYFUNCTION("""COMPUTED_VALUE"""),"Batch 179")</f>
        <v>Batch 179</v>
      </c>
      <c r="B1118" s="9" t="str">
        <f>IFERROR(__xludf.DUMMYFUNCTION("""COMPUTED_VALUE"""),"GarimaC79")</f>
        <v>GarimaC79</v>
      </c>
      <c r="C1118" s="8">
        <f>IFERROR(__xludf.DUMMYFUNCTION("""COMPUTED_VALUE"""),0.0)</f>
        <v>0</v>
      </c>
      <c r="D1118" s="8"/>
    </row>
    <row r="1119">
      <c r="A1119" s="9" t="str">
        <f>IFERROR(__xludf.DUMMYFUNCTION("""COMPUTED_VALUE"""),"Batch 179")</f>
        <v>Batch 179</v>
      </c>
      <c r="B1119" s="9" t="str">
        <f>IFERROR(__xludf.DUMMYFUNCTION("""COMPUTED_VALUE"""),"AryanC79")</f>
        <v>AryanC79</v>
      </c>
      <c r="C1119" s="8">
        <f>IFERROR(__xludf.DUMMYFUNCTION("""COMPUTED_VALUE"""),0.0)</f>
        <v>0</v>
      </c>
      <c r="D1119" s="8"/>
    </row>
    <row r="1120">
      <c r="A1120" s="9" t="str">
        <f>IFERROR(__xludf.DUMMYFUNCTION("""COMPUTED_VALUE"""),"Batch 179")</f>
        <v>Batch 179</v>
      </c>
      <c r="B1120" s="9" t="str">
        <f>IFERROR(__xludf.DUMMYFUNCTION("""COMPUTED_VALUE"""),"NikanshuC79")</f>
        <v>NikanshuC79</v>
      </c>
      <c r="C1120" s="8">
        <f>IFERROR(__xludf.DUMMYFUNCTION("""COMPUTED_VALUE"""),15.0)</f>
        <v>15</v>
      </c>
      <c r="D1120" s="8">
        <f>IFERROR(__xludf.DUMMYFUNCTION("""COMPUTED_VALUE"""),3.0)</f>
        <v>3</v>
      </c>
    </row>
    <row r="1121">
      <c r="A1121" s="9" t="str">
        <f>IFERROR(__xludf.DUMMYFUNCTION("""COMPUTED_VALUE"""),"Batch 179")</f>
        <v>Batch 179</v>
      </c>
      <c r="B1121" s="9" t="str">
        <f>IFERROR(__xludf.DUMMYFUNCTION("""COMPUTED_VALUE"""),"UtkarshC79")</f>
        <v>UtkarshC79</v>
      </c>
      <c r="C1121" s="8">
        <f>IFERROR(__xludf.DUMMYFUNCTION("""COMPUTED_VALUE"""),0.0)</f>
        <v>0</v>
      </c>
      <c r="D1121" s="8"/>
    </row>
    <row r="1122">
      <c r="A1122" s="9" t="str">
        <f>IFERROR(__xludf.DUMMYFUNCTION("""COMPUTED_VALUE"""),"Batch 179")</f>
        <v>Batch 179</v>
      </c>
      <c r="B1122" s="9" t="str">
        <f>IFERROR(__xludf.DUMMYFUNCTION("""COMPUTED_VALUE"""),"ShaileshC79")</f>
        <v>ShaileshC79</v>
      </c>
      <c r="C1122" s="8">
        <f>IFERROR(__xludf.DUMMYFUNCTION("""COMPUTED_VALUE"""),0.0)</f>
        <v>0</v>
      </c>
      <c r="D1122" s="8"/>
    </row>
    <row r="1123">
      <c r="A1123" s="9" t="str">
        <f>IFERROR(__xludf.DUMMYFUNCTION("""COMPUTED_VALUE"""),"Batch 179")</f>
        <v>Batch 179</v>
      </c>
      <c r="B1123" s="9" t="str">
        <f>IFERROR(__xludf.DUMMYFUNCTION("""COMPUTED_VALUE"""),"NehaC79")</f>
        <v>NehaC79</v>
      </c>
      <c r="C1123" s="8">
        <f>IFERROR(__xludf.DUMMYFUNCTION("""COMPUTED_VALUE"""),24.0)</f>
        <v>24</v>
      </c>
      <c r="D1123" s="8">
        <f>IFERROR(__xludf.DUMMYFUNCTION("""COMPUTED_VALUE"""),13.0)</f>
        <v>13</v>
      </c>
    </row>
    <row r="1124">
      <c r="A1124" s="9" t="str">
        <f>IFERROR(__xludf.DUMMYFUNCTION("""COMPUTED_VALUE"""),"Batch 179")</f>
        <v>Batch 179</v>
      </c>
      <c r="B1124" s="9" t="str">
        <f>IFERROR(__xludf.DUMMYFUNCTION("""COMPUTED_VALUE"""),"AnshikaC79")</f>
        <v>AnshikaC79</v>
      </c>
      <c r="C1124" s="8">
        <f>IFERROR(__xludf.DUMMYFUNCTION("""COMPUTED_VALUE"""),0.0)</f>
        <v>0</v>
      </c>
      <c r="D1124" s="8"/>
    </row>
    <row r="1125">
      <c r="A1125" s="9" t="str">
        <f>IFERROR(__xludf.DUMMYFUNCTION("""COMPUTED_VALUE"""),"Batch 179")</f>
        <v>Batch 179</v>
      </c>
      <c r="B1125" s="9" t="str">
        <f>IFERROR(__xludf.DUMMYFUNCTION("""COMPUTED_VALUE"""),"PranshuC79")</f>
        <v>PranshuC79</v>
      </c>
      <c r="C1125" s="8">
        <f>IFERROR(__xludf.DUMMYFUNCTION("""COMPUTED_VALUE"""),0.0)</f>
        <v>0</v>
      </c>
      <c r="D1125" s="8"/>
    </row>
    <row r="1126">
      <c r="A1126" s="9" t="str">
        <f>IFERROR(__xludf.DUMMYFUNCTION("""COMPUTED_VALUE"""),"Batch 179")</f>
        <v>Batch 179</v>
      </c>
      <c r="B1126" s="9" t="str">
        <f>IFERROR(__xludf.DUMMYFUNCTION("""COMPUTED_VALUE"""),"AdityaC79")</f>
        <v>AdityaC79</v>
      </c>
      <c r="C1126" s="8">
        <f>IFERROR(__xludf.DUMMYFUNCTION("""COMPUTED_VALUE"""),6.0)</f>
        <v>6</v>
      </c>
      <c r="D1126" s="8">
        <f>IFERROR(__xludf.DUMMYFUNCTION("""COMPUTED_VALUE"""),3.0)</f>
        <v>3</v>
      </c>
    </row>
    <row r="1127">
      <c r="A1127" s="9" t="str">
        <f>IFERROR(__xludf.DUMMYFUNCTION("""COMPUTED_VALUE"""),"Batch 179")</f>
        <v>Batch 179</v>
      </c>
      <c r="B1127" s="9" t="str">
        <f>IFERROR(__xludf.DUMMYFUNCTION("""COMPUTED_VALUE"""),"AmanC79")</f>
        <v>AmanC79</v>
      </c>
      <c r="C1127" s="8">
        <f>IFERROR(__xludf.DUMMYFUNCTION("""COMPUTED_VALUE"""),0.0)</f>
        <v>0</v>
      </c>
      <c r="D1127" s="8"/>
    </row>
    <row r="1128">
      <c r="A1128" s="9" t="str">
        <f>IFERROR(__xludf.DUMMYFUNCTION("""COMPUTED_VALUE"""),"Batch 179")</f>
        <v>Batch 179</v>
      </c>
      <c r="B1128" s="9" t="str">
        <f>IFERROR(__xludf.DUMMYFUNCTION("""COMPUTED_VALUE"""),"RaginiC79")</f>
        <v>RaginiC79</v>
      </c>
      <c r="C1128" s="8">
        <f>IFERROR(__xludf.DUMMYFUNCTION("""COMPUTED_VALUE"""),0.0)</f>
        <v>0</v>
      </c>
      <c r="D1128" s="8"/>
    </row>
    <row r="1129">
      <c r="A1129" s="9" t="str">
        <f>IFERROR(__xludf.DUMMYFUNCTION("""COMPUTED_VALUE"""),"Batch 179")</f>
        <v>Batch 179</v>
      </c>
      <c r="B1129" s="9" t="str">
        <f>IFERROR(__xludf.DUMMYFUNCTION("""COMPUTED_VALUE"""),"JunaidC79")</f>
        <v>JunaidC79</v>
      </c>
      <c r="C1129" s="8">
        <f>IFERROR(__xludf.DUMMYFUNCTION("""COMPUTED_VALUE"""),11.0)</f>
        <v>11</v>
      </c>
      <c r="D1129" s="8">
        <f>IFERROR(__xludf.DUMMYFUNCTION("""COMPUTED_VALUE"""),1.0)</f>
        <v>1</v>
      </c>
    </row>
    <row r="1130">
      <c r="A1130" s="9" t="str">
        <f>IFERROR(__xludf.DUMMYFUNCTION("""COMPUTED_VALUE"""),"Batch 179")</f>
        <v>Batch 179</v>
      </c>
      <c r="B1130" s="9" t="str">
        <f>IFERROR(__xludf.DUMMYFUNCTION("""COMPUTED_VALUE"""),"SuhaniC79")</f>
        <v>SuhaniC79</v>
      </c>
      <c r="C1130" s="8">
        <f>IFERROR(__xludf.DUMMYFUNCTION("""COMPUTED_VALUE"""),4.0)</f>
        <v>4</v>
      </c>
      <c r="D1130" s="8">
        <f>IFERROR(__xludf.DUMMYFUNCTION("""COMPUTED_VALUE"""),3.0)</f>
        <v>3</v>
      </c>
    </row>
    <row r="1131">
      <c r="A1131" s="9" t="str">
        <f>IFERROR(__xludf.DUMMYFUNCTION("""COMPUTED_VALUE"""),"Batch 179")</f>
        <v>Batch 179</v>
      </c>
      <c r="B1131" s="9" t="str">
        <f>IFERROR(__xludf.DUMMYFUNCTION("""COMPUTED_VALUE"""),"DikshaC79")</f>
        <v>DikshaC79</v>
      </c>
      <c r="C1131" s="8">
        <f>IFERROR(__xludf.DUMMYFUNCTION("""COMPUTED_VALUE"""),0.0)</f>
        <v>0</v>
      </c>
      <c r="D1131" s="8"/>
    </row>
    <row r="1132">
      <c r="A1132" s="9" t="str">
        <f>IFERROR(__xludf.DUMMYFUNCTION("""COMPUTED_VALUE"""),"Batch 179")</f>
        <v>Batch 179</v>
      </c>
      <c r="B1132" s="9" t="str">
        <f>IFERROR(__xludf.DUMMYFUNCTION("""COMPUTED_VALUE"""),"KomalC79")</f>
        <v>KomalC79</v>
      </c>
      <c r="C1132" s="8">
        <f>IFERROR(__xludf.DUMMYFUNCTION("""COMPUTED_VALUE"""),0.0)</f>
        <v>0</v>
      </c>
      <c r="D1132" s="8"/>
    </row>
    <row r="1133">
      <c r="A1133" s="9" t="str">
        <f>IFERROR(__xludf.DUMMYFUNCTION("""COMPUTED_VALUE"""),"Batch 179")</f>
        <v>Batch 179</v>
      </c>
      <c r="B1133" s="9" t="str">
        <f>IFERROR(__xludf.DUMMYFUNCTION("""COMPUTED_VALUE"""),"AsifC79")</f>
        <v>AsifC79</v>
      </c>
      <c r="C1133" s="8">
        <f>IFERROR(__xludf.DUMMYFUNCTION("""COMPUTED_VALUE"""),0.0)</f>
        <v>0</v>
      </c>
      <c r="D1133" s="8"/>
    </row>
    <row r="1134">
      <c r="A1134" s="9" t="str">
        <f>IFERROR(__xludf.DUMMYFUNCTION("""COMPUTED_VALUE"""),"Batch 179")</f>
        <v>Batch 179</v>
      </c>
      <c r="B1134" s="9" t="str">
        <f>IFERROR(__xludf.DUMMYFUNCTION("""COMPUTED_VALUE"""),"ChandanaC79")</f>
        <v>ChandanaC79</v>
      </c>
      <c r="C1134" s="8">
        <f>IFERROR(__xludf.DUMMYFUNCTION("""COMPUTED_VALUE"""),0.0)</f>
        <v>0</v>
      </c>
      <c r="D1134" s="8"/>
    </row>
    <row r="1135">
      <c r="A1135" s="9" t="str">
        <f>IFERROR(__xludf.DUMMYFUNCTION("""COMPUTED_VALUE"""),"Batch 179")</f>
        <v>Batch 179</v>
      </c>
      <c r="B1135" s="9" t="str">
        <f>IFERROR(__xludf.DUMMYFUNCTION("""COMPUTED_VALUE"""),"AmritaC79")</f>
        <v>AmritaC79</v>
      </c>
      <c r="C1135" s="8">
        <f>IFERROR(__xludf.DUMMYFUNCTION("""COMPUTED_VALUE"""),0.0)</f>
        <v>0</v>
      </c>
      <c r="D1135" s="8"/>
    </row>
    <row r="1136">
      <c r="A1136" s="9" t="str">
        <f>IFERROR(__xludf.DUMMYFUNCTION("""COMPUTED_VALUE"""),"Batch 179")</f>
        <v>Batch 179</v>
      </c>
      <c r="B1136" s="9" t="str">
        <f>IFERROR(__xludf.DUMMYFUNCTION("""COMPUTED_VALUE"""),"AmarjeetC79")</f>
        <v>AmarjeetC79</v>
      </c>
      <c r="C1136" s="8">
        <f>IFERROR(__xludf.DUMMYFUNCTION("""COMPUTED_VALUE"""),79.0)</f>
        <v>79</v>
      </c>
      <c r="D1136" s="8">
        <f>IFERROR(__xludf.DUMMYFUNCTION("""COMPUTED_VALUE"""),19.0)</f>
        <v>19</v>
      </c>
    </row>
    <row r="1137">
      <c r="A1137" s="9" t="str">
        <f>IFERROR(__xludf.DUMMYFUNCTION("""COMPUTED_VALUE"""),"Batch 179")</f>
        <v>Batch 179</v>
      </c>
      <c r="B1137" s="9" t="str">
        <f>IFERROR(__xludf.DUMMYFUNCTION("""COMPUTED_VALUE"""),"AradhyaC79")</f>
        <v>AradhyaC79</v>
      </c>
      <c r="C1137" s="8">
        <f>IFERROR(__xludf.DUMMYFUNCTION("""COMPUTED_VALUE"""),0.0)</f>
        <v>0</v>
      </c>
      <c r="D1137" s="8"/>
    </row>
    <row r="1138">
      <c r="A1138" s="9" t="str">
        <f>IFERROR(__xludf.DUMMYFUNCTION("""COMPUTED_VALUE"""),"Batch 179")</f>
        <v>Batch 179</v>
      </c>
      <c r="B1138" s="9" t="str">
        <f>IFERROR(__xludf.DUMMYFUNCTION("""COMPUTED_VALUE"""),"R.ArivenkatesanC79")</f>
        <v>R.ArivenkatesanC79</v>
      </c>
      <c r="C1138" s="8">
        <f>IFERROR(__xludf.DUMMYFUNCTION("""COMPUTED_VALUE"""),0.0)</f>
        <v>0</v>
      </c>
      <c r="D1138" s="8">
        <f>IFERROR(__xludf.DUMMYFUNCTION("""COMPUTED_VALUE"""),1.0)</f>
        <v>1</v>
      </c>
    </row>
    <row r="1139">
      <c r="A1139" s="9" t="str">
        <f>IFERROR(__xludf.DUMMYFUNCTION("""COMPUTED_VALUE"""),"Batch 179")</f>
        <v>Batch 179</v>
      </c>
      <c r="B1139" s="9" t="str">
        <f>IFERROR(__xludf.DUMMYFUNCTION("""COMPUTED_VALUE"""),"ShivamC79")</f>
        <v>ShivamC79</v>
      </c>
      <c r="C1139" s="8">
        <f>IFERROR(__xludf.DUMMYFUNCTION("""COMPUTED_VALUE"""),103.0)</f>
        <v>103</v>
      </c>
      <c r="D1139" s="8">
        <f>IFERROR(__xludf.DUMMYFUNCTION("""COMPUTED_VALUE"""),33.0)</f>
        <v>33</v>
      </c>
    </row>
    <row r="1140">
      <c r="A1140" s="9"/>
      <c r="B1140" s="9"/>
      <c r="C1140" s="8">
        <f>IFERROR(__xludf.DUMMYFUNCTION("""COMPUTED_VALUE"""),0.0)</f>
        <v>0</v>
      </c>
      <c r="D1140" s="8"/>
    </row>
    <row r="1141">
      <c r="A1141" s="9" t="str">
        <f>IFERROR(__xludf.DUMMYFUNCTION("""COMPUTED_VALUE"""),"Batch 180")</f>
        <v>Batch 180</v>
      </c>
      <c r="B1141" s="9" t="str">
        <f>IFERROR(__xludf.DUMMYFUNCTION("""COMPUTED_VALUE"""),"JaspreetC80")</f>
        <v>JaspreetC80</v>
      </c>
      <c r="C1141" s="8">
        <f>IFERROR(__xludf.DUMMYFUNCTION("""COMPUTED_VALUE"""),0.0)</f>
        <v>0</v>
      </c>
      <c r="D1141" s="8"/>
    </row>
    <row r="1142">
      <c r="A1142" s="9" t="str">
        <f>IFERROR(__xludf.DUMMYFUNCTION("""COMPUTED_VALUE"""),"Batch 180")</f>
        <v>Batch 180</v>
      </c>
      <c r="B1142" s="9" t="str">
        <f>IFERROR(__xludf.DUMMYFUNCTION("""COMPUTED_VALUE"""),"SravaniC80")</f>
        <v>SravaniC80</v>
      </c>
      <c r="C1142" s="8">
        <f>IFERROR(__xludf.DUMMYFUNCTION("""COMPUTED_VALUE"""),0.0)</f>
        <v>0</v>
      </c>
      <c r="D1142" s="8"/>
    </row>
    <row r="1143">
      <c r="A1143" s="9" t="str">
        <f>IFERROR(__xludf.DUMMYFUNCTION("""COMPUTED_VALUE"""),"Batch 180")</f>
        <v>Batch 180</v>
      </c>
      <c r="B1143" s="9" t="str">
        <f>IFERROR(__xludf.DUMMYFUNCTION("""COMPUTED_VALUE"""),"SiddharthC80")</f>
        <v>SiddharthC80</v>
      </c>
      <c r="C1143" s="8">
        <f>IFERROR(__xludf.DUMMYFUNCTION("""COMPUTED_VALUE"""),4.0)</f>
        <v>4</v>
      </c>
      <c r="D1143" s="8">
        <f>IFERROR(__xludf.DUMMYFUNCTION("""COMPUTED_VALUE"""),2.0)</f>
        <v>2</v>
      </c>
    </row>
    <row r="1144">
      <c r="A1144" s="9" t="str">
        <f>IFERROR(__xludf.DUMMYFUNCTION("""COMPUTED_VALUE"""),"Batch 180")</f>
        <v>Batch 180</v>
      </c>
      <c r="B1144" s="9" t="str">
        <f>IFERROR(__xludf.DUMMYFUNCTION("""COMPUTED_VALUE"""),"BrinslyC80")</f>
        <v>BrinslyC80</v>
      </c>
      <c r="C1144" s="8">
        <f>IFERROR(__xludf.DUMMYFUNCTION("""COMPUTED_VALUE"""),0.0)</f>
        <v>0</v>
      </c>
      <c r="D1144" s="8"/>
    </row>
    <row r="1145">
      <c r="A1145" s="9" t="str">
        <f>IFERROR(__xludf.DUMMYFUNCTION("""COMPUTED_VALUE"""),"Batch 180")</f>
        <v>Batch 180</v>
      </c>
      <c r="B1145" s="9" t="str">
        <f>IFERROR(__xludf.DUMMYFUNCTION("""COMPUTED_VALUE"""),"DevanshiC80")</f>
        <v>DevanshiC80</v>
      </c>
      <c r="C1145" s="8">
        <f>IFERROR(__xludf.DUMMYFUNCTION("""COMPUTED_VALUE"""),0.0)</f>
        <v>0</v>
      </c>
      <c r="D1145" s="8"/>
    </row>
    <row r="1146">
      <c r="A1146" s="9" t="str">
        <f>IFERROR(__xludf.DUMMYFUNCTION("""COMPUTED_VALUE"""),"Batch 180")</f>
        <v>Batch 180</v>
      </c>
      <c r="B1146" s="9" t="str">
        <f>IFERROR(__xludf.DUMMYFUNCTION("""COMPUTED_VALUE"""),"RitikaC80")</f>
        <v>RitikaC80</v>
      </c>
      <c r="C1146" s="8">
        <f>IFERROR(__xludf.DUMMYFUNCTION("""COMPUTED_VALUE"""),0.0)</f>
        <v>0</v>
      </c>
      <c r="D1146" s="8"/>
    </row>
    <row r="1147">
      <c r="A1147" s="9" t="str">
        <f>IFERROR(__xludf.DUMMYFUNCTION("""COMPUTED_VALUE"""),"Batch 180")</f>
        <v>Batch 180</v>
      </c>
      <c r="B1147" s="9" t="str">
        <f>IFERROR(__xludf.DUMMYFUNCTION("""COMPUTED_VALUE"""),"VaishnaviC80")</f>
        <v>VaishnaviC80</v>
      </c>
      <c r="C1147" s="8">
        <f>IFERROR(__xludf.DUMMYFUNCTION("""COMPUTED_VALUE"""),0.0)</f>
        <v>0</v>
      </c>
      <c r="D1147" s="8"/>
    </row>
    <row r="1148">
      <c r="A1148" s="9" t="str">
        <f>IFERROR(__xludf.DUMMYFUNCTION("""COMPUTED_VALUE"""),"Batch 180")</f>
        <v>Batch 180</v>
      </c>
      <c r="B1148" s="9" t="str">
        <f>IFERROR(__xludf.DUMMYFUNCTION("""COMPUTED_VALUE"""),"IrbazC80")</f>
        <v>IrbazC80</v>
      </c>
      <c r="C1148" s="8">
        <f>IFERROR(__xludf.DUMMYFUNCTION("""COMPUTED_VALUE"""),1.0)</f>
        <v>1</v>
      </c>
      <c r="D1148" s="8"/>
    </row>
    <row r="1149">
      <c r="A1149" s="9" t="str">
        <f>IFERROR(__xludf.DUMMYFUNCTION("""COMPUTED_VALUE"""),"Batch 180")</f>
        <v>Batch 180</v>
      </c>
      <c r="B1149" s="9" t="str">
        <f>IFERROR(__xludf.DUMMYFUNCTION("""COMPUTED_VALUE"""),"AshrafC80")</f>
        <v>AshrafC80</v>
      </c>
      <c r="C1149" s="8">
        <f>IFERROR(__xludf.DUMMYFUNCTION("""COMPUTED_VALUE"""),0.0)</f>
        <v>0</v>
      </c>
      <c r="D1149" s="8"/>
    </row>
    <row r="1150">
      <c r="A1150" s="9" t="str">
        <f>IFERROR(__xludf.DUMMYFUNCTION("""COMPUTED_VALUE"""),"Batch 180")</f>
        <v>Batch 180</v>
      </c>
      <c r="B1150" s="9" t="str">
        <f>IFERROR(__xludf.DUMMYFUNCTION("""COMPUTED_VALUE"""),"PoojaC80")</f>
        <v>PoojaC80</v>
      </c>
      <c r="C1150" s="8">
        <f>IFERROR(__xludf.DUMMYFUNCTION("""COMPUTED_VALUE"""),0.0)</f>
        <v>0</v>
      </c>
      <c r="D1150" s="8"/>
    </row>
    <row r="1151">
      <c r="A1151" s="9" t="str">
        <f>IFERROR(__xludf.DUMMYFUNCTION("""COMPUTED_VALUE"""),"Batch 180")</f>
        <v>Batch 180</v>
      </c>
      <c r="B1151" s="9" t="str">
        <f>IFERROR(__xludf.DUMMYFUNCTION("""COMPUTED_VALUE"""),"SanjayC80")</f>
        <v>SanjayC80</v>
      </c>
      <c r="C1151" s="8">
        <f>IFERROR(__xludf.DUMMYFUNCTION("""COMPUTED_VALUE"""),0.0)</f>
        <v>0</v>
      </c>
      <c r="D1151" s="8"/>
    </row>
    <row r="1152">
      <c r="A1152" s="9" t="str">
        <f>IFERROR(__xludf.DUMMYFUNCTION("""COMPUTED_VALUE"""),"Batch 180")</f>
        <v>Batch 180</v>
      </c>
      <c r="B1152" s="9" t="str">
        <f>IFERROR(__xludf.DUMMYFUNCTION("""COMPUTED_VALUE"""),"AdityaC80")</f>
        <v>AdityaC80</v>
      </c>
      <c r="C1152" s="8">
        <f>IFERROR(__xludf.DUMMYFUNCTION("""COMPUTED_VALUE"""),1.0)</f>
        <v>1</v>
      </c>
      <c r="D1152" s="8"/>
    </row>
    <row r="1153">
      <c r="A1153" s="9" t="str">
        <f>IFERROR(__xludf.DUMMYFUNCTION("""COMPUTED_VALUE"""),"Batch 180")</f>
        <v>Batch 180</v>
      </c>
      <c r="B1153" s="9" t="str">
        <f>IFERROR(__xludf.DUMMYFUNCTION("""COMPUTED_VALUE"""),"SarikaC80")</f>
        <v>SarikaC80</v>
      </c>
      <c r="C1153" s="8">
        <f>IFERROR(__xludf.DUMMYFUNCTION("""COMPUTED_VALUE"""),0.0)</f>
        <v>0</v>
      </c>
      <c r="D1153" s="8"/>
    </row>
    <row r="1154">
      <c r="A1154" s="9" t="str">
        <f>IFERROR(__xludf.DUMMYFUNCTION("""COMPUTED_VALUE"""),"Batch 180")</f>
        <v>Batch 180</v>
      </c>
      <c r="B1154" s="9" t="str">
        <f>IFERROR(__xludf.DUMMYFUNCTION("""COMPUTED_VALUE"""),"SumitC80")</f>
        <v>SumitC80</v>
      </c>
      <c r="C1154" s="8">
        <f>IFERROR(__xludf.DUMMYFUNCTION("""COMPUTED_VALUE"""),0.0)</f>
        <v>0</v>
      </c>
      <c r="D1154" s="8"/>
    </row>
    <row r="1155">
      <c r="A1155" s="9" t="str">
        <f>IFERROR(__xludf.DUMMYFUNCTION("""COMPUTED_VALUE"""),"Batch 180")</f>
        <v>Batch 180</v>
      </c>
      <c r="B1155" s="9" t="str">
        <f>IFERROR(__xludf.DUMMYFUNCTION("""COMPUTED_VALUE"""),"MainakC80")</f>
        <v>MainakC80</v>
      </c>
      <c r="C1155" s="8">
        <f>IFERROR(__xludf.DUMMYFUNCTION("""COMPUTED_VALUE"""),0.0)</f>
        <v>0</v>
      </c>
      <c r="D1155" s="8"/>
    </row>
    <row r="1156">
      <c r="A1156" s="9" t="str">
        <f>IFERROR(__xludf.DUMMYFUNCTION("""COMPUTED_VALUE"""),"Batch 180")</f>
        <v>Batch 180</v>
      </c>
      <c r="B1156" s="9" t="str">
        <f>IFERROR(__xludf.DUMMYFUNCTION("""COMPUTED_VALUE"""),"KamleshC80")</f>
        <v>KamleshC80</v>
      </c>
      <c r="C1156" s="8">
        <f>IFERROR(__xludf.DUMMYFUNCTION("""COMPUTED_VALUE"""),0.0)</f>
        <v>0</v>
      </c>
      <c r="D1156" s="8"/>
    </row>
    <row r="1157">
      <c r="A1157" s="9" t="str">
        <f>IFERROR(__xludf.DUMMYFUNCTION("""COMPUTED_VALUE"""),"Batch 180")</f>
        <v>Batch 180</v>
      </c>
      <c r="B1157" s="9" t="str">
        <f>IFERROR(__xludf.DUMMYFUNCTION("""COMPUTED_VALUE"""),"ReenaC80")</f>
        <v>ReenaC80</v>
      </c>
      <c r="C1157" s="8">
        <f>IFERROR(__xludf.DUMMYFUNCTION("""COMPUTED_VALUE"""),0.0)</f>
        <v>0</v>
      </c>
      <c r="D1157" s="8"/>
    </row>
    <row r="1158">
      <c r="A1158" s="9" t="str">
        <f>IFERROR(__xludf.DUMMYFUNCTION("""COMPUTED_VALUE"""),"Batch 180")</f>
        <v>Batch 180</v>
      </c>
      <c r="B1158" s="9" t="str">
        <f>IFERROR(__xludf.DUMMYFUNCTION("""COMPUTED_VALUE"""),"SakshiC80")</f>
        <v>SakshiC80</v>
      </c>
      <c r="C1158" s="8">
        <f>IFERROR(__xludf.DUMMYFUNCTION("""COMPUTED_VALUE"""),0.0)</f>
        <v>0</v>
      </c>
      <c r="D1158" s="8"/>
    </row>
    <row r="1159">
      <c r="A1159" s="9" t="str">
        <f>IFERROR(__xludf.DUMMYFUNCTION("""COMPUTED_VALUE"""),"Batch 180")</f>
        <v>Batch 180</v>
      </c>
      <c r="B1159" s="9" t="str">
        <f>IFERROR(__xludf.DUMMYFUNCTION("""COMPUTED_VALUE"""),"SiyaC80")</f>
        <v>SiyaC80</v>
      </c>
      <c r="C1159" s="8">
        <f>IFERROR(__xludf.DUMMYFUNCTION("""COMPUTED_VALUE"""),0.0)</f>
        <v>0</v>
      </c>
      <c r="D1159" s="8"/>
    </row>
    <row r="1160">
      <c r="A1160" s="9" t="str">
        <f>IFERROR(__xludf.DUMMYFUNCTION("""COMPUTED_VALUE"""),"Batch 180")</f>
        <v>Batch 180</v>
      </c>
      <c r="B1160" s="9" t="str">
        <f>IFERROR(__xludf.DUMMYFUNCTION("""COMPUTED_VALUE"""),"ShivanshuC80")</f>
        <v>ShivanshuC80</v>
      </c>
      <c r="C1160" s="8">
        <f>IFERROR(__xludf.DUMMYFUNCTION("""COMPUTED_VALUE"""),0.0)</f>
        <v>0</v>
      </c>
      <c r="D1160" s="8"/>
    </row>
    <row r="1161">
      <c r="A1161" s="9" t="str">
        <f>IFERROR(__xludf.DUMMYFUNCTION("""COMPUTED_VALUE"""),"Batch 180")</f>
        <v>Batch 180</v>
      </c>
      <c r="B1161" s="9" t="str">
        <f>IFERROR(__xludf.DUMMYFUNCTION("""COMPUTED_VALUE"""),"TahsinaC80")</f>
        <v>TahsinaC80</v>
      </c>
      <c r="C1161" s="8">
        <f>IFERROR(__xludf.DUMMYFUNCTION("""COMPUTED_VALUE"""),0.0)</f>
        <v>0</v>
      </c>
      <c r="D1161" s="8"/>
    </row>
    <row r="1162">
      <c r="A1162" s="9" t="str">
        <f>IFERROR(__xludf.DUMMYFUNCTION("""COMPUTED_VALUE"""),"Batch 180")</f>
        <v>Batch 180</v>
      </c>
      <c r="B1162" s="9" t="str">
        <f>IFERROR(__xludf.DUMMYFUNCTION("""COMPUTED_VALUE"""),"AnkushC80")</f>
        <v>AnkushC80</v>
      </c>
      <c r="C1162" s="8">
        <f>IFERROR(__xludf.DUMMYFUNCTION("""COMPUTED_VALUE"""),0.0)</f>
        <v>0</v>
      </c>
      <c r="D1162" s="8"/>
    </row>
    <row r="1163">
      <c r="A1163" s="9" t="str">
        <f>IFERROR(__xludf.DUMMYFUNCTION("""COMPUTED_VALUE"""),"Batch 180")</f>
        <v>Batch 180</v>
      </c>
      <c r="B1163" s="9" t="str">
        <f>IFERROR(__xludf.DUMMYFUNCTION("""COMPUTED_VALUE"""),"PrakharC80")</f>
        <v>PrakharC80</v>
      </c>
      <c r="C1163" s="8">
        <f>IFERROR(__xludf.DUMMYFUNCTION("""COMPUTED_VALUE"""),6.0)</f>
        <v>6</v>
      </c>
      <c r="D1163" s="8">
        <f>IFERROR(__xludf.DUMMYFUNCTION("""COMPUTED_VALUE"""),11.0)</f>
        <v>11</v>
      </c>
    </row>
    <row r="1164">
      <c r="A1164" s="9" t="str">
        <f>IFERROR(__xludf.DUMMYFUNCTION("""COMPUTED_VALUE"""),"Batch 180")</f>
        <v>Batch 180</v>
      </c>
      <c r="B1164" s="9" t="str">
        <f>IFERROR(__xludf.DUMMYFUNCTION("""COMPUTED_VALUE"""),"NishaC80")</f>
        <v>NishaC80</v>
      </c>
      <c r="C1164" s="8">
        <f>IFERROR(__xludf.DUMMYFUNCTION("""COMPUTED_VALUE"""),0.0)</f>
        <v>0</v>
      </c>
      <c r="D1164" s="8"/>
    </row>
    <row r="1165">
      <c r="A1165" s="9" t="str">
        <f>IFERROR(__xludf.DUMMYFUNCTION("""COMPUTED_VALUE"""),"Batch 180")</f>
        <v>Batch 180</v>
      </c>
      <c r="B1165" s="9" t="str">
        <f>IFERROR(__xludf.DUMMYFUNCTION("""COMPUTED_VALUE"""),"SouritC80")</f>
        <v>SouritC80</v>
      </c>
      <c r="C1165" s="8">
        <f>IFERROR(__xludf.DUMMYFUNCTION("""COMPUTED_VALUE"""),27.0)</f>
        <v>27</v>
      </c>
      <c r="D1165" s="8"/>
    </row>
    <row r="1166">
      <c r="A1166" s="9" t="str">
        <f>IFERROR(__xludf.DUMMYFUNCTION("""COMPUTED_VALUE"""),"Batch 180")</f>
        <v>Batch 180</v>
      </c>
      <c r="B1166" s="9" t="str">
        <f>IFERROR(__xludf.DUMMYFUNCTION("""COMPUTED_VALUE"""),"DivyaC80")</f>
        <v>DivyaC80</v>
      </c>
      <c r="C1166" s="8">
        <f>IFERROR(__xludf.DUMMYFUNCTION("""COMPUTED_VALUE"""),4.0)</f>
        <v>4</v>
      </c>
      <c r="D1166" s="8"/>
    </row>
    <row r="1167">
      <c r="A1167" s="9" t="str">
        <f>IFERROR(__xludf.DUMMYFUNCTION("""COMPUTED_VALUE"""),"Batch 180")</f>
        <v>Batch 180</v>
      </c>
      <c r="B1167" s="9" t="str">
        <f>IFERROR(__xludf.DUMMYFUNCTION("""COMPUTED_VALUE"""),"TanuC80")</f>
        <v>TanuC80</v>
      </c>
      <c r="C1167" s="8">
        <f>IFERROR(__xludf.DUMMYFUNCTION("""COMPUTED_VALUE"""),0.0)</f>
        <v>0</v>
      </c>
      <c r="D1167" s="8"/>
    </row>
    <row r="1168">
      <c r="A1168" s="9" t="str">
        <f>IFERROR(__xludf.DUMMYFUNCTION("""COMPUTED_VALUE"""),"Batch 180")</f>
        <v>Batch 180</v>
      </c>
      <c r="B1168" s="9" t="str">
        <f>IFERROR(__xludf.DUMMYFUNCTION("""COMPUTED_VALUE"""),"KavyanshaC80")</f>
        <v>KavyanshaC80</v>
      </c>
      <c r="C1168" s="8">
        <f>IFERROR(__xludf.DUMMYFUNCTION("""COMPUTED_VALUE"""),28.0)</f>
        <v>28</v>
      </c>
      <c r="D1168" s="8">
        <f>IFERROR(__xludf.DUMMYFUNCTION("""COMPUTED_VALUE"""),5.0)</f>
        <v>5</v>
      </c>
    </row>
    <row r="1169">
      <c r="A1169" s="9" t="str">
        <f>IFERROR(__xludf.DUMMYFUNCTION("""COMPUTED_VALUE"""),"Batch 180")</f>
        <v>Batch 180</v>
      </c>
      <c r="B1169" s="9" t="str">
        <f>IFERROR(__xludf.DUMMYFUNCTION("""COMPUTED_VALUE"""),"KareenaC80")</f>
        <v>KareenaC80</v>
      </c>
      <c r="C1169" s="8">
        <f>IFERROR(__xludf.DUMMYFUNCTION("""COMPUTED_VALUE"""),0.0)</f>
        <v>0</v>
      </c>
      <c r="D1169" s="8"/>
    </row>
    <row r="1170">
      <c r="A1170" s="9" t="str">
        <f>IFERROR(__xludf.DUMMYFUNCTION("""COMPUTED_VALUE"""),"Batch 180")</f>
        <v>Batch 180</v>
      </c>
      <c r="B1170" s="9" t="str">
        <f>IFERROR(__xludf.DUMMYFUNCTION("""COMPUTED_VALUE"""),"AshwaniC80")</f>
        <v>AshwaniC80</v>
      </c>
      <c r="C1170" s="8">
        <f>IFERROR(__xludf.DUMMYFUNCTION("""COMPUTED_VALUE"""),0.0)</f>
        <v>0</v>
      </c>
      <c r="D1170" s="8"/>
    </row>
    <row r="1171">
      <c r="A1171" s="9" t="str">
        <f>IFERROR(__xludf.DUMMYFUNCTION("""COMPUTED_VALUE"""),"Batch 180")</f>
        <v>Batch 180</v>
      </c>
      <c r="B1171" s="9" t="str">
        <f>IFERROR(__xludf.DUMMYFUNCTION("""COMPUTED_VALUE"""),"SangeetC80")</f>
        <v>SangeetC80</v>
      </c>
      <c r="C1171" s="8">
        <f>IFERROR(__xludf.DUMMYFUNCTION("""COMPUTED_VALUE"""),0.0)</f>
        <v>0</v>
      </c>
      <c r="D1171" s="8"/>
    </row>
    <row r="1172">
      <c r="A1172" s="9" t="str">
        <f>IFERROR(__xludf.DUMMYFUNCTION("""COMPUTED_VALUE"""),"Batch 180")</f>
        <v>Batch 180</v>
      </c>
      <c r="B1172" s="9" t="str">
        <f>IFERROR(__xludf.DUMMYFUNCTION("""COMPUTED_VALUE"""),"anshitaC80")</f>
        <v>anshitaC80</v>
      </c>
      <c r="C1172" s="8">
        <f>IFERROR(__xludf.DUMMYFUNCTION("""COMPUTED_VALUE"""),0.0)</f>
        <v>0</v>
      </c>
      <c r="D1172" s="8"/>
    </row>
    <row r="1173">
      <c r="A1173" s="9" t="str">
        <f>IFERROR(__xludf.DUMMYFUNCTION("""COMPUTED_VALUE"""),"Batch 180")</f>
        <v>Batch 180</v>
      </c>
      <c r="B1173" s="9" t="str">
        <f>IFERROR(__xludf.DUMMYFUNCTION("""COMPUTED_VALUE"""),"AneetaC80")</f>
        <v>AneetaC80</v>
      </c>
      <c r="C1173" s="8">
        <f>IFERROR(__xludf.DUMMYFUNCTION("""COMPUTED_VALUE"""),3.0)</f>
        <v>3</v>
      </c>
      <c r="D1173" s="8">
        <f>IFERROR(__xludf.DUMMYFUNCTION("""COMPUTED_VALUE"""),5.0)</f>
        <v>5</v>
      </c>
    </row>
    <row r="1174">
      <c r="A1174" s="9" t="str">
        <f>IFERROR(__xludf.DUMMYFUNCTION("""COMPUTED_VALUE"""),"Batch 180")</f>
        <v>Batch 180</v>
      </c>
      <c r="B1174" s="9" t="str">
        <f>IFERROR(__xludf.DUMMYFUNCTION("""COMPUTED_VALUE"""),"AdityaC80")</f>
        <v>AdityaC80</v>
      </c>
      <c r="C1174" s="8">
        <f>IFERROR(__xludf.DUMMYFUNCTION("""COMPUTED_VALUE"""),0.0)</f>
        <v>0</v>
      </c>
      <c r="D1174" s="8"/>
    </row>
    <row r="1175">
      <c r="A1175" s="9" t="str">
        <f>IFERROR(__xludf.DUMMYFUNCTION("""COMPUTED_VALUE"""),"Batch 180")</f>
        <v>Batch 180</v>
      </c>
      <c r="B1175" s="9" t="str">
        <f>IFERROR(__xludf.DUMMYFUNCTION("""COMPUTED_VALUE"""),"p.sandeepC80")</f>
        <v>p.sandeepC80</v>
      </c>
      <c r="C1175" s="8">
        <f>IFERROR(__xludf.DUMMYFUNCTION("""COMPUTED_VALUE"""),0.0)</f>
        <v>0</v>
      </c>
      <c r="D1175" s="8"/>
    </row>
    <row r="1176">
      <c r="A1176" s="9" t="str">
        <f>IFERROR(__xludf.DUMMYFUNCTION("""COMPUTED_VALUE"""),"Batch 180")</f>
        <v>Batch 180</v>
      </c>
      <c r="B1176" s="9" t="str">
        <f>IFERROR(__xludf.DUMMYFUNCTION("""COMPUTED_VALUE"""),"ChiragC80")</f>
        <v>ChiragC80</v>
      </c>
      <c r="C1176" s="8">
        <f>IFERROR(__xludf.DUMMYFUNCTION("""COMPUTED_VALUE"""),0.0)</f>
        <v>0</v>
      </c>
      <c r="D1176" s="8"/>
    </row>
    <row r="1177">
      <c r="A1177" s="9"/>
      <c r="B1177" s="9"/>
      <c r="C1177" s="8">
        <f>IFERROR(__xludf.DUMMYFUNCTION("""COMPUTED_VALUE"""),0.0)</f>
        <v>0</v>
      </c>
      <c r="D1177" s="8"/>
    </row>
    <row r="1178">
      <c r="A1178" s="9" t="str">
        <f>IFERROR(__xludf.DUMMYFUNCTION("""COMPUTED_VALUE"""),"Batch181")</f>
        <v>Batch181</v>
      </c>
      <c r="B1178" s="9" t="str">
        <f>IFERROR(__xludf.DUMMYFUNCTION("""COMPUTED_VALUE"""),"BhavanaC81")</f>
        <v>BhavanaC81</v>
      </c>
      <c r="C1178" s="8">
        <f>IFERROR(__xludf.DUMMYFUNCTION("""COMPUTED_VALUE"""),0.0)</f>
        <v>0</v>
      </c>
      <c r="D1178" s="8"/>
    </row>
    <row r="1179">
      <c r="A1179" s="9" t="str">
        <f>IFERROR(__xludf.DUMMYFUNCTION("""COMPUTED_VALUE"""),"Batch181")</f>
        <v>Batch181</v>
      </c>
      <c r="B1179" s="9" t="str">
        <f>IFERROR(__xludf.DUMMYFUNCTION("""COMPUTED_VALUE"""),"DeepeshC81")</f>
        <v>DeepeshC81</v>
      </c>
      <c r="C1179" s="8">
        <f>IFERROR(__xludf.DUMMYFUNCTION("""COMPUTED_VALUE"""),4.0)</f>
        <v>4</v>
      </c>
      <c r="D1179" s="8"/>
    </row>
    <row r="1180">
      <c r="A1180" s="9" t="str">
        <f>IFERROR(__xludf.DUMMYFUNCTION("""COMPUTED_VALUE"""),"Batch181")</f>
        <v>Batch181</v>
      </c>
      <c r="B1180" s="9" t="str">
        <f>IFERROR(__xludf.DUMMYFUNCTION("""COMPUTED_VALUE"""),"MananC81")</f>
        <v>MananC81</v>
      </c>
      <c r="C1180" s="8">
        <f>IFERROR(__xludf.DUMMYFUNCTION("""COMPUTED_VALUE"""),0.0)</f>
        <v>0</v>
      </c>
      <c r="D1180" s="8"/>
    </row>
    <row r="1181">
      <c r="A1181" s="9" t="str">
        <f>IFERROR(__xludf.DUMMYFUNCTION("""COMPUTED_VALUE"""),"Batch181")</f>
        <v>Batch181</v>
      </c>
      <c r="B1181" s="9" t="str">
        <f>IFERROR(__xludf.DUMMYFUNCTION("""COMPUTED_VALUE"""),"AnikaC81")</f>
        <v>AnikaC81</v>
      </c>
      <c r="C1181" s="8">
        <f>IFERROR(__xludf.DUMMYFUNCTION("""COMPUTED_VALUE"""),0.0)</f>
        <v>0</v>
      </c>
      <c r="D1181" s="8"/>
    </row>
    <row r="1182">
      <c r="A1182" s="9" t="str">
        <f>IFERROR(__xludf.DUMMYFUNCTION("""COMPUTED_VALUE"""),"Batch181")</f>
        <v>Batch181</v>
      </c>
      <c r="B1182" s="9" t="str">
        <f>IFERROR(__xludf.DUMMYFUNCTION("""COMPUTED_VALUE"""),"AorviC81")</f>
        <v>AorviC81</v>
      </c>
      <c r="C1182" s="8">
        <f>IFERROR(__xludf.DUMMYFUNCTION("""COMPUTED_VALUE"""),0.0)</f>
        <v>0</v>
      </c>
      <c r="D1182" s="8"/>
    </row>
    <row r="1183">
      <c r="A1183" s="9" t="str">
        <f>IFERROR(__xludf.DUMMYFUNCTION("""COMPUTED_VALUE"""),"Batch181")</f>
        <v>Batch181</v>
      </c>
      <c r="B1183" s="9" t="str">
        <f>IFERROR(__xludf.DUMMYFUNCTION("""COMPUTED_VALUE"""),"GurmeetC81")</f>
        <v>GurmeetC81</v>
      </c>
      <c r="C1183" s="8">
        <f>IFERROR(__xludf.DUMMYFUNCTION("""COMPUTED_VALUE"""),0.0)</f>
        <v>0</v>
      </c>
      <c r="D1183" s="8"/>
    </row>
    <row r="1184">
      <c r="A1184" s="9" t="str">
        <f>IFERROR(__xludf.DUMMYFUNCTION("""COMPUTED_VALUE"""),"Batch181")</f>
        <v>Batch181</v>
      </c>
      <c r="B1184" s="9" t="str">
        <f>IFERROR(__xludf.DUMMYFUNCTION("""COMPUTED_VALUE"""),"NareshC81")</f>
        <v>NareshC81</v>
      </c>
      <c r="C1184" s="8">
        <f>IFERROR(__xludf.DUMMYFUNCTION("""COMPUTED_VALUE"""),9.0)</f>
        <v>9</v>
      </c>
      <c r="D1184" s="8"/>
    </row>
    <row r="1185">
      <c r="A1185" s="9" t="str">
        <f>IFERROR(__xludf.DUMMYFUNCTION("""COMPUTED_VALUE"""),"Batch181")</f>
        <v>Batch181</v>
      </c>
      <c r="B1185" s="9" t="str">
        <f>IFERROR(__xludf.DUMMYFUNCTION("""COMPUTED_VALUE"""),"kishanC81")</f>
        <v>kishanC81</v>
      </c>
      <c r="C1185" s="8">
        <f>IFERROR(__xludf.DUMMYFUNCTION("""COMPUTED_VALUE"""),0.0)</f>
        <v>0</v>
      </c>
      <c r="D1185" s="8"/>
    </row>
    <row r="1186">
      <c r="A1186" s="9" t="str">
        <f>IFERROR(__xludf.DUMMYFUNCTION("""COMPUTED_VALUE"""),"Batch181")</f>
        <v>Batch181</v>
      </c>
      <c r="B1186" s="9" t="str">
        <f>IFERROR(__xludf.DUMMYFUNCTION("""COMPUTED_VALUE"""),"ThottaC81")</f>
        <v>ThottaC81</v>
      </c>
      <c r="C1186" s="8">
        <f>IFERROR(__xludf.DUMMYFUNCTION("""COMPUTED_VALUE"""),0.0)</f>
        <v>0</v>
      </c>
      <c r="D1186" s="8"/>
    </row>
    <row r="1187">
      <c r="A1187" s="9" t="str">
        <f>IFERROR(__xludf.DUMMYFUNCTION("""COMPUTED_VALUE"""),"Batch181")</f>
        <v>Batch181</v>
      </c>
      <c r="B1187" s="9" t="str">
        <f>IFERROR(__xludf.DUMMYFUNCTION("""COMPUTED_VALUE"""),"PrachiC81")</f>
        <v>PrachiC81</v>
      </c>
      <c r="C1187" s="8">
        <f>IFERROR(__xludf.DUMMYFUNCTION("""COMPUTED_VALUE"""),0.0)</f>
        <v>0</v>
      </c>
      <c r="D1187" s="8"/>
    </row>
    <row r="1188">
      <c r="A1188" s="9" t="str">
        <f>IFERROR(__xludf.DUMMYFUNCTION("""COMPUTED_VALUE"""),"Batch181")</f>
        <v>Batch181</v>
      </c>
      <c r="B1188" s="9" t="str">
        <f>IFERROR(__xludf.DUMMYFUNCTION("""COMPUTED_VALUE"""),"NikhilC81")</f>
        <v>NikhilC81</v>
      </c>
      <c r="C1188" s="8">
        <f>IFERROR(__xludf.DUMMYFUNCTION("""COMPUTED_VALUE"""),0.0)</f>
        <v>0</v>
      </c>
      <c r="D1188" s="8"/>
    </row>
    <row r="1189">
      <c r="A1189" s="9" t="str">
        <f>IFERROR(__xludf.DUMMYFUNCTION("""COMPUTED_VALUE"""),"Batch181")</f>
        <v>Batch181</v>
      </c>
      <c r="B1189" s="9" t="str">
        <f>IFERROR(__xludf.DUMMYFUNCTION("""COMPUTED_VALUE"""),"AnoopC81")</f>
        <v>AnoopC81</v>
      </c>
      <c r="C1189" s="8">
        <f>IFERROR(__xludf.DUMMYFUNCTION("""COMPUTED_VALUE"""),0.0)</f>
        <v>0</v>
      </c>
      <c r="D1189" s="8"/>
    </row>
    <row r="1190">
      <c r="A1190" s="9" t="str">
        <f>IFERROR(__xludf.DUMMYFUNCTION("""COMPUTED_VALUE"""),"Batch181")</f>
        <v>Batch181</v>
      </c>
      <c r="B1190" s="9" t="str">
        <f>IFERROR(__xludf.DUMMYFUNCTION("""COMPUTED_VALUE"""),"AlokC81")</f>
        <v>AlokC81</v>
      </c>
      <c r="C1190" s="8">
        <f>IFERROR(__xludf.DUMMYFUNCTION("""COMPUTED_VALUE"""),0.0)</f>
        <v>0</v>
      </c>
      <c r="D1190" s="8"/>
    </row>
    <row r="1191">
      <c r="A1191" s="9" t="str">
        <f>IFERROR(__xludf.DUMMYFUNCTION("""COMPUTED_VALUE"""),"Batch181")</f>
        <v>Batch181</v>
      </c>
      <c r="B1191" s="9" t="str">
        <f>IFERROR(__xludf.DUMMYFUNCTION("""COMPUTED_VALUE"""),"JohnC81")</f>
        <v>JohnC81</v>
      </c>
      <c r="C1191" s="8">
        <f>IFERROR(__xludf.DUMMYFUNCTION("""COMPUTED_VALUE"""),0.0)</f>
        <v>0</v>
      </c>
      <c r="D1191" s="8"/>
    </row>
    <row r="1192">
      <c r="A1192" s="9" t="str">
        <f>IFERROR(__xludf.DUMMYFUNCTION("""COMPUTED_VALUE"""),"Batch181")</f>
        <v>Batch181</v>
      </c>
      <c r="B1192" s="9" t="str">
        <f>IFERROR(__xludf.DUMMYFUNCTION("""COMPUTED_VALUE"""),"BhumikC81")</f>
        <v>BhumikC81</v>
      </c>
      <c r="C1192" s="8">
        <f>IFERROR(__xludf.DUMMYFUNCTION("""COMPUTED_VALUE"""),0.0)</f>
        <v>0</v>
      </c>
      <c r="D1192" s="8"/>
    </row>
    <row r="1193">
      <c r="A1193" s="9" t="str">
        <f>IFERROR(__xludf.DUMMYFUNCTION("""COMPUTED_VALUE"""),"Batch181")</f>
        <v>Batch181</v>
      </c>
      <c r="B1193" s="9" t="str">
        <f>IFERROR(__xludf.DUMMYFUNCTION("""COMPUTED_VALUE"""),"TC81")</f>
        <v>TC81</v>
      </c>
      <c r="C1193" s="8">
        <f>IFERROR(__xludf.DUMMYFUNCTION("""COMPUTED_VALUE"""),0.0)</f>
        <v>0</v>
      </c>
      <c r="D1193" s="8"/>
    </row>
    <row r="1194">
      <c r="A1194" s="9" t="str">
        <f>IFERROR(__xludf.DUMMYFUNCTION("""COMPUTED_VALUE"""),"Batch181")</f>
        <v>Batch181</v>
      </c>
      <c r="B1194" s="9" t="str">
        <f>IFERROR(__xludf.DUMMYFUNCTION("""COMPUTED_VALUE"""),"AnweshaC81")</f>
        <v>AnweshaC81</v>
      </c>
      <c r="C1194" s="8">
        <f>IFERROR(__xludf.DUMMYFUNCTION("""COMPUTED_VALUE"""),0.0)</f>
        <v>0</v>
      </c>
      <c r="D1194" s="8"/>
    </row>
    <row r="1195">
      <c r="A1195" s="9" t="str">
        <f>IFERROR(__xludf.DUMMYFUNCTION("""COMPUTED_VALUE"""),"Batch181")</f>
        <v>Batch181</v>
      </c>
      <c r="B1195" s="9" t="str">
        <f>IFERROR(__xludf.DUMMYFUNCTION("""COMPUTED_VALUE"""),"DhruvC81")</f>
        <v>DhruvC81</v>
      </c>
      <c r="C1195" s="8">
        <f>IFERROR(__xludf.DUMMYFUNCTION("""COMPUTED_VALUE"""),0.0)</f>
        <v>0</v>
      </c>
      <c r="D1195" s="8"/>
    </row>
    <row r="1196">
      <c r="A1196" s="9" t="str">
        <f>IFERROR(__xludf.DUMMYFUNCTION("""COMPUTED_VALUE"""),"Batch181")</f>
        <v>Batch181</v>
      </c>
      <c r="B1196" s="9" t="str">
        <f>IFERROR(__xludf.DUMMYFUNCTION("""COMPUTED_VALUE"""),"ShauryaC81")</f>
        <v>ShauryaC81</v>
      </c>
      <c r="C1196" s="8">
        <f>IFERROR(__xludf.DUMMYFUNCTION("""COMPUTED_VALUE"""),0.0)</f>
        <v>0</v>
      </c>
      <c r="D1196" s="8"/>
    </row>
    <row r="1197">
      <c r="A1197" s="9" t="str">
        <f>IFERROR(__xludf.DUMMYFUNCTION("""COMPUTED_VALUE"""),"Batch181")</f>
        <v>Batch181</v>
      </c>
      <c r="B1197" s="9" t="str">
        <f>IFERROR(__xludf.DUMMYFUNCTION("""COMPUTED_VALUE"""),"JyotC81")</f>
        <v>JyotC81</v>
      </c>
      <c r="C1197" s="8">
        <f>IFERROR(__xludf.DUMMYFUNCTION("""COMPUTED_VALUE"""),0.0)</f>
        <v>0</v>
      </c>
      <c r="D1197" s="8"/>
    </row>
    <row r="1198">
      <c r="A1198" s="9" t="str">
        <f>IFERROR(__xludf.DUMMYFUNCTION("""COMPUTED_VALUE"""),"Batch181")</f>
        <v>Batch181</v>
      </c>
      <c r="B1198" s="9" t="str">
        <f>IFERROR(__xludf.DUMMYFUNCTION("""COMPUTED_VALUE"""),"SachinC81")</f>
        <v>SachinC81</v>
      </c>
      <c r="C1198" s="8">
        <f>IFERROR(__xludf.DUMMYFUNCTION("""COMPUTED_VALUE"""),0.0)</f>
        <v>0</v>
      </c>
      <c r="D1198" s="8"/>
    </row>
    <row r="1199">
      <c r="A1199" s="9" t="str">
        <f>IFERROR(__xludf.DUMMYFUNCTION("""COMPUTED_VALUE"""),"Batch181")</f>
        <v>Batch181</v>
      </c>
      <c r="B1199" s="9" t="str">
        <f>IFERROR(__xludf.DUMMYFUNCTION("""COMPUTED_VALUE"""),"PrachiC81")</f>
        <v>PrachiC81</v>
      </c>
      <c r="C1199" s="8">
        <f>IFERROR(__xludf.DUMMYFUNCTION("""COMPUTED_VALUE"""),0.0)</f>
        <v>0</v>
      </c>
      <c r="D1199" s="8"/>
    </row>
    <row r="1200">
      <c r="A1200" s="9" t="str">
        <f>IFERROR(__xludf.DUMMYFUNCTION("""COMPUTED_VALUE"""),"Batch181")</f>
        <v>Batch181</v>
      </c>
      <c r="B1200" s="9" t="str">
        <f>IFERROR(__xludf.DUMMYFUNCTION("""COMPUTED_VALUE"""),"VedantC81")</f>
        <v>VedantC81</v>
      </c>
      <c r="C1200" s="8">
        <f>IFERROR(__xludf.DUMMYFUNCTION("""COMPUTED_VALUE"""),0.0)</f>
        <v>0</v>
      </c>
      <c r="D1200" s="8"/>
    </row>
    <row r="1201">
      <c r="A1201" s="9" t="str">
        <f>IFERROR(__xludf.DUMMYFUNCTION("""COMPUTED_VALUE"""),"Batch181")</f>
        <v>Batch181</v>
      </c>
      <c r="B1201" s="9" t="str">
        <f>IFERROR(__xludf.DUMMYFUNCTION("""COMPUTED_VALUE"""),"DeepakC81")</f>
        <v>DeepakC81</v>
      </c>
      <c r="C1201" s="8">
        <f>IFERROR(__xludf.DUMMYFUNCTION("""COMPUTED_VALUE"""),32.0)</f>
        <v>32</v>
      </c>
      <c r="D1201" s="8"/>
    </row>
    <row r="1202">
      <c r="A1202" s="9" t="str">
        <f>IFERROR(__xludf.DUMMYFUNCTION("""COMPUTED_VALUE"""),"Batch181")</f>
        <v>Batch181</v>
      </c>
      <c r="B1202" s="9" t="str">
        <f>IFERROR(__xludf.DUMMYFUNCTION("""COMPUTED_VALUE"""),"ApuravC81")</f>
        <v>ApuravC81</v>
      </c>
      <c r="C1202" s="8">
        <f>IFERROR(__xludf.DUMMYFUNCTION("""COMPUTED_VALUE"""),0.0)</f>
        <v>0</v>
      </c>
      <c r="D1202" s="8"/>
    </row>
    <row r="1203">
      <c r="A1203" s="9" t="str">
        <f>IFERROR(__xludf.DUMMYFUNCTION("""COMPUTED_VALUE"""),"Batch181")</f>
        <v>Batch181</v>
      </c>
      <c r="B1203" s="9" t="str">
        <f>IFERROR(__xludf.DUMMYFUNCTION("""COMPUTED_VALUE"""),"SanchitC81")</f>
        <v>SanchitC81</v>
      </c>
      <c r="C1203" s="8">
        <f>IFERROR(__xludf.DUMMYFUNCTION("""COMPUTED_VALUE"""),40.0)</f>
        <v>40</v>
      </c>
      <c r="D1203" s="8">
        <f>IFERROR(__xludf.DUMMYFUNCTION("""COMPUTED_VALUE"""),5.0)</f>
        <v>5</v>
      </c>
    </row>
    <row r="1204">
      <c r="A1204" s="9" t="str">
        <f>IFERROR(__xludf.DUMMYFUNCTION("""COMPUTED_VALUE"""),"Batch181")</f>
        <v>Batch181</v>
      </c>
      <c r="B1204" s="9" t="str">
        <f>IFERROR(__xludf.DUMMYFUNCTION("""COMPUTED_VALUE"""),"DishaC81")</f>
        <v>DishaC81</v>
      </c>
      <c r="C1204" s="8">
        <f>IFERROR(__xludf.DUMMYFUNCTION("""COMPUTED_VALUE"""),0.0)</f>
        <v>0</v>
      </c>
      <c r="D1204" s="8"/>
    </row>
    <row r="1205">
      <c r="A1205" s="9" t="str">
        <f>IFERROR(__xludf.DUMMYFUNCTION("""COMPUTED_VALUE"""),"Batch181")</f>
        <v>Batch181</v>
      </c>
      <c r="B1205" s="9" t="str">
        <f>IFERROR(__xludf.DUMMYFUNCTION("""COMPUTED_VALUE"""),"AashishC81")</f>
        <v>AashishC81</v>
      </c>
      <c r="C1205" s="8">
        <f>IFERROR(__xludf.DUMMYFUNCTION("""COMPUTED_VALUE"""),0.0)</f>
        <v>0</v>
      </c>
      <c r="D1205" s="8"/>
    </row>
    <row r="1206">
      <c r="A1206" s="9" t="str">
        <f>IFERROR(__xludf.DUMMYFUNCTION("""COMPUTED_VALUE"""),"Batch181")</f>
        <v>Batch181</v>
      </c>
      <c r="B1206" s="9" t="str">
        <f>IFERROR(__xludf.DUMMYFUNCTION("""COMPUTED_VALUE"""),"SahilC81")</f>
        <v>SahilC81</v>
      </c>
      <c r="C1206" s="8">
        <f>IFERROR(__xludf.DUMMYFUNCTION("""COMPUTED_VALUE"""),0.0)</f>
        <v>0</v>
      </c>
      <c r="D1206" s="8"/>
    </row>
    <row r="1207">
      <c r="A1207" s="9" t="str">
        <f>IFERROR(__xludf.DUMMYFUNCTION("""COMPUTED_VALUE"""),"Batch181")</f>
        <v>Batch181</v>
      </c>
      <c r="B1207" s="9" t="str">
        <f>IFERROR(__xludf.DUMMYFUNCTION("""COMPUTED_VALUE"""),"VinayC81")</f>
        <v>VinayC81</v>
      </c>
      <c r="C1207" s="8">
        <f>IFERROR(__xludf.DUMMYFUNCTION("""COMPUTED_VALUE"""),0.0)</f>
        <v>0</v>
      </c>
      <c r="D1207" s="8"/>
    </row>
    <row r="1208">
      <c r="A1208" s="9" t="str">
        <f>IFERROR(__xludf.DUMMYFUNCTION("""COMPUTED_VALUE"""),"Batch181")</f>
        <v>Batch181</v>
      </c>
      <c r="B1208" s="9" t="str">
        <f>IFERROR(__xludf.DUMMYFUNCTION("""COMPUTED_VALUE"""),"AryanC81")</f>
        <v>AryanC81</v>
      </c>
      <c r="C1208" s="8">
        <f>IFERROR(__xludf.DUMMYFUNCTION("""COMPUTED_VALUE"""),0.0)</f>
        <v>0</v>
      </c>
      <c r="D1208" s="8"/>
    </row>
    <row r="1209">
      <c r="A1209" s="9" t="str">
        <f>IFERROR(__xludf.DUMMYFUNCTION("""COMPUTED_VALUE"""),"Batch181")</f>
        <v>Batch181</v>
      </c>
      <c r="B1209" s="9" t="str">
        <f>IFERROR(__xludf.DUMMYFUNCTION("""COMPUTED_VALUE"""),"SagnikC81")</f>
        <v>SagnikC81</v>
      </c>
      <c r="C1209" s="8">
        <f>IFERROR(__xludf.DUMMYFUNCTION("""COMPUTED_VALUE"""),6.0)</f>
        <v>6</v>
      </c>
      <c r="D1209" s="8"/>
    </row>
    <row r="1210">
      <c r="A1210" s="9" t="str">
        <f>IFERROR(__xludf.DUMMYFUNCTION("""COMPUTED_VALUE"""),"Batch181")</f>
        <v>Batch181</v>
      </c>
      <c r="B1210" s="9" t="str">
        <f>IFERROR(__xludf.DUMMYFUNCTION("""COMPUTED_VALUE"""),"AnujC81")</f>
        <v>AnujC81</v>
      </c>
      <c r="C1210" s="8">
        <f>IFERROR(__xludf.DUMMYFUNCTION("""COMPUTED_VALUE"""),0.0)</f>
        <v>0</v>
      </c>
      <c r="D1210" s="8"/>
    </row>
    <row r="1211">
      <c r="A1211" s="9" t="str">
        <f>IFERROR(__xludf.DUMMYFUNCTION("""COMPUTED_VALUE"""),"Batch181")</f>
        <v>Batch181</v>
      </c>
      <c r="B1211" s="9" t="str">
        <f>IFERROR(__xludf.DUMMYFUNCTION("""COMPUTED_VALUE"""),"HardikC81")</f>
        <v>HardikC81</v>
      </c>
      <c r="C1211" s="8">
        <f>IFERROR(__xludf.DUMMYFUNCTION("""COMPUTED_VALUE"""),0.0)</f>
        <v>0</v>
      </c>
      <c r="D1211" s="8"/>
    </row>
    <row r="1212">
      <c r="A1212" s="9" t="str">
        <f>IFERROR(__xludf.DUMMYFUNCTION("""COMPUTED_VALUE"""),"Batch181")</f>
        <v>Batch181</v>
      </c>
      <c r="B1212" s="9" t="str">
        <f>IFERROR(__xludf.DUMMYFUNCTION("""COMPUTED_VALUE"""),"DeependraC81")</f>
        <v>DeependraC81</v>
      </c>
      <c r="C1212" s="8">
        <f>IFERROR(__xludf.DUMMYFUNCTION("""COMPUTED_VALUE"""),0.0)</f>
        <v>0</v>
      </c>
      <c r="D1212" s="8"/>
    </row>
    <row r="1213">
      <c r="A1213" s="9" t="str">
        <f>IFERROR(__xludf.DUMMYFUNCTION("""COMPUTED_VALUE"""),"Batch181")</f>
        <v>Batch181</v>
      </c>
      <c r="B1213" s="9" t="str">
        <f>IFERROR(__xludf.DUMMYFUNCTION("""COMPUTED_VALUE"""),"ShrutiC81")</f>
        <v>ShrutiC81</v>
      </c>
      <c r="C1213" s="8">
        <f>IFERROR(__xludf.DUMMYFUNCTION("""COMPUTED_VALUE"""),1.0)</f>
        <v>1</v>
      </c>
      <c r="D1213" s="8"/>
    </row>
    <row r="1214">
      <c r="A1214" s="9" t="str">
        <f>IFERROR(__xludf.DUMMYFUNCTION("""COMPUTED_VALUE"""),"Batch181")</f>
        <v>Batch181</v>
      </c>
      <c r="B1214" s="9" t="str">
        <f>IFERROR(__xludf.DUMMYFUNCTION("""COMPUTED_VALUE"""),"AnishC81")</f>
        <v>AnishC81</v>
      </c>
      <c r="C1214" s="8">
        <f>IFERROR(__xludf.DUMMYFUNCTION("""COMPUTED_VALUE"""),9.0)</f>
        <v>9</v>
      </c>
      <c r="D1214" s="8"/>
    </row>
    <row r="1215">
      <c r="A1215" s="9" t="str">
        <f>IFERROR(__xludf.DUMMYFUNCTION("""COMPUTED_VALUE"""),"Batch181")</f>
        <v>Batch181</v>
      </c>
      <c r="B1215" s="9" t="str">
        <f>IFERROR(__xludf.DUMMYFUNCTION("""COMPUTED_VALUE"""),"PulkitC81")</f>
        <v>PulkitC81</v>
      </c>
      <c r="C1215" s="8">
        <f>IFERROR(__xludf.DUMMYFUNCTION("""COMPUTED_VALUE"""),0.0)</f>
        <v>0</v>
      </c>
      <c r="D1215" s="8"/>
    </row>
    <row r="1216">
      <c r="A1216" s="9" t="str">
        <f>IFERROR(__xludf.DUMMYFUNCTION("""COMPUTED_VALUE"""),"Batch181")</f>
        <v>Batch181</v>
      </c>
      <c r="B1216" s="9" t="str">
        <f>IFERROR(__xludf.DUMMYFUNCTION("""COMPUTED_VALUE"""),"SauryaC81")</f>
        <v>SauryaC81</v>
      </c>
      <c r="C1216" s="8">
        <f>IFERROR(__xludf.DUMMYFUNCTION("""COMPUTED_VALUE"""),0.0)</f>
        <v>0</v>
      </c>
      <c r="D1216" s="8"/>
    </row>
    <row r="1217">
      <c r="A1217" s="9" t="str">
        <f>IFERROR(__xludf.DUMMYFUNCTION("""COMPUTED_VALUE"""),"Batch181")</f>
        <v>Batch181</v>
      </c>
      <c r="B1217" s="9" t="str">
        <f>IFERROR(__xludf.DUMMYFUNCTION("""COMPUTED_VALUE"""),"PriyadarshiniC81")</f>
        <v>PriyadarshiniC81</v>
      </c>
      <c r="C1217" s="8">
        <f>IFERROR(__xludf.DUMMYFUNCTION("""COMPUTED_VALUE"""),7.0)</f>
        <v>7</v>
      </c>
      <c r="D1217" s="8"/>
    </row>
    <row r="1218">
      <c r="A1218" s="9" t="str">
        <f>IFERROR(__xludf.DUMMYFUNCTION("""COMPUTED_VALUE"""),"Batch181")</f>
        <v>Batch181</v>
      </c>
      <c r="B1218" s="9" t="str">
        <f>IFERROR(__xludf.DUMMYFUNCTION("""COMPUTED_VALUE"""),"SagarC81")</f>
        <v>SagarC81</v>
      </c>
      <c r="C1218" s="8">
        <f>IFERROR(__xludf.DUMMYFUNCTION("""COMPUTED_VALUE"""),0.0)</f>
        <v>0</v>
      </c>
      <c r="D1218" s="8"/>
    </row>
    <row r="1219">
      <c r="A1219" s="9" t="str">
        <f>IFERROR(__xludf.DUMMYFUNCTION("""COMPUTED_VALUE"""),"Batch181")</f>
        <v>Batch181</v>
      </c>
      <c r="B1219" s="9" t="str">
        <f>IFERROR(__xludf.DUMMYFUNCTION("""COMPUTED_VALUE"""),"khushiC81")</f>
        <v>khushiC81</v>
      </c>
      <c r="C1219" s="8">
        <f>IFERROR(__xludf.DUMMYFUNCTION("""COMPUTED_VALUE"""),0.0)</f>
        <v>0</v>
      </c>
      <c r="D1219" s="8"/>
    </row>
    <row r="1220">
      <c r="A1220" s="9" t="str">
        <f>IFERROR(__xludf.DUMMYFUNCTION("""COMPUTED_VALUE"""),"Batch181")</f>
        <v>Batch181</v>
      </c>
      <c r="B1220" s="9" t="str">
        <f>IFERROR(__xludf.DUMMYFUNCTION("""COMPUTED_VALUE"""),"GouravC81")</f>
        <v>GouravC81</v>
      </c>
      <c r="C1220" s="8">
        <f>IFERROR(__xludf.DUMMYFUNCTION("""COMPUTED_VALUE"""),0.0)</f>
        <v>0</v>
      </c>
      <c r="D1220" s="8"/>
    </row>
    <row r="1221">
      <c r="A1221" s="9" t="str">
        <f>IFERROR(__xludf.DUMMYFUNCTION("""COMPUTED_VALUE"""),"Batch181")</f>
        <v>Batch181</v>
      </c>
      <c r="B1221" s="9" t="str">
        <f>IFERROR(__xludf.DUMMYFUNCTION("""COMPUTED_VALUE"""),"VaibhavC81")</f>
        <v>VaibhavC81</v>
      </c>
      <c r="C1221" s="8">
        <f>IFERROR(__xludf.DUMMYFUNCTION("""COMPUTED_VALUE"""),16.0)</f>
        <v>16</v>
      </c>
      <c r="D1221" s="8">
        <f>IFERROR(__xludf.DUMMYFUNCTION("""COMPUTED_VALUE"""),3.0)</f>
        <v>3</v>
      </c>
    </row>
    <row r="1222">
      <c r="A1222" s="9" t="str">
        <f>IFERROR(__xludf.DUMMYFUNCTION("""COMPUTED_VALUE"""),"Batch181")</f>
        <v>Batch181</v>
      </c>
      <c r="B1222" s="9" t="str">
        <f>IFERROR(__xludf.DUMMYFUNCTION("""COMPUTED_VALUE"""),"AorviC81")</f>
        <v>AorviC81</v>
      </c>
      <c r="C1222" s="8">
        <f>IFERROR(__xludf.DUMMYFUNCTION("""COMPUTED_VALUE"""),0.0)</f>
        <v>0</v>
      </c>
      <c r="D1222" s="8"/>
    </row>
    <row r="1223">
      <c r="A1223" s="9" t="str">
        <f>IFERROR(__xludf.DUMMYFUNCTION("""COMPUTED_VALUE"""),"Batch181")</f>
        <v>Batch181</v>
      </c>
      <c r="B1223" s="9" t="str">
        <f>IFERROR(__xludf.DUMMYFUNCTION("""COMPUTED_VALUE"""),"GouravC81")</f>
        <v>GouravC81</v>
      </c>
      <c r="C1223" s="8">
        <f>IFERROR(__xludf.DUMMYFUNCTION("""COMPUTED_VALUE"""),0.0)</f>
        <v>0</v>
      </c>
      <c r="D1223" s="8"/>
    </row>
    <row r="1224">
      <c r="A1224" s="9" t="str">
        <f>IFERROR(__xludf.DUMMYFUNCTION("""COMPUTED_VALUE"""),"Batch181")</f>
        <v>Batch181</v>
      </c>
      <c r="B1224" s="9" t="str">
        <f>IFERROR(__xludf.DUMMYFUNCTION("""COMPUTED_VALUE"""),"ShubhamC81")</f>
        <v>ShubhamC81</v>
      </c>
      <c r="C1224" s="8">
        <f>IFERROR(__xludf.DUMMYFUNCTION("""COMPUTED_VALUE"""),0.0)</f>
        <v>0</v>
      </c>
      <c r="D1224" s="8"/>
    </row>
    <row r="1225">
      <c r="A1225" s="9"/>
      <c r="B1225" s="9"/>
      <c r="C1225" s="8">
        <f>IFERROR(__xludf.DUMMYFUNCTION("""COMPUTED_VALUE"""),0.0)</f>
        <v>0</v>
      </c>
      <c r="D1225" s="8"/>
    </row>
    <row r="1226">
      <c r="A1226" s="9" t="str">
        <f>IFERROR(__xludf.DUMMYFUNCTION("""COMPUTED_VALUE"""),"Batch 182")</f>
        <v>Batch 182</v>
      </c>
      <c r="B1226" s="9" t="str">
        <f>IFERROR(__xludf.DUMMYFUNCTION("""COMPUTED_VALUE"""),"SandeepC82")</f>
        <v>SandeepC82</v>
      </c>
      <c r="C1226" s="8">
        <f>IFERROR(__xludf.DUMMYFUNCTION("""COMPUTED_VALUE"""),0.0)</f>
        <v>0</v>
      </c>
      <c r="D1226" s="8"/>
    </row>
    <row r="1227">
      <c r="A1227" s="9" t="str">
        <f>IFERROR(__xludf.DUMMYFUNCTION("""COMPUTED_VALUE"""),"Batch 182")</f>
        <v>Batch 182</v>
      </c>
      <c r="B1227" s="9" t="str">
        <f>IFERROR(__xludf.DUMMYFUNCTION("""COMPUTED_VALUE"""),"KANISHKAC82")</f>
        <v>KANISHKAC82</v>
      </c>
      <c r="C1227" s="8">
        <f>IFERROR(__xludf.DUMMYFUNCTION("""COMPUTED_VALUE"""),0.0)</f>
        <v>0</v>
      </c>
      <c r="D1227" s="8"/>
    </row>
    <row r="1228">
      <c r="A1228" s="9" t="str">
        <f>IFERROR(__xludf.DUMMYFUNCTION("""COMPUTED_VALUE"""),"Batch 182")</f>
        <v>Batch 182</v>
      </c>
      <c r="B1228" s="9" t="str">
        <f>IFERROR(__xludf.DUMMYFUNCTION("""COMPUTED_VALUE"""),"SmritiC82")</f>
        <v>SmritiC82</v>
      </c>
      <c r="C1228" s="8">
        <f>IFERROR(__xludf.DUMMYFUNCTION("""COMPUTED_VALUE"""),0.0)</f>
        <v>0</v>
      </c>
      <c r="D1228" s="8"/>
    </row>
    <row r="1229">
      <c r="A1229" s="9" t="str">
        <f>IFERROR(__xludf.DUMMYFUNCTION("""COMPUTED_VALUE"""),"Batch 182")</f>
        <v>Batch 182</v>
      </c>
      <c r="B1229" s="9" t="str">
        <f>IFERROR(__xludf.DUMMYFUNCTION("""COMPUTED_VALUE"""),"SujalC82")</f>
        <v>SujalC82</v>
      </c>
      <c r="C1229" s="8">
        <f>IFERROR(__xludf.DUMMYFUNCTION("""COMPUTED_VALUE"""),0.0)</f>
        <v>0</v>
      </c>
      <c r="D1229" s="8"/>
    </row>
    <row r="1230">
      <c r="A1230" s="9" t="str">
        <f>IFERROR(__xludf.DUMMYFUNCTION("""COMPUTED_VALUE"""),"Batch 182")</f>
        <v>Batch 182</v>
      </c>
      <c r="B1230" s="9" t="str">
        <f>IFERROR(__xludf.DUMMYFUNCTION("""COMPUTED_VALUE"""),"PriyalC82")</f>
        <v>PriyalC82</v>
      </c>
      <c r="C1230" s="8">
        <f>IFERROR(__xludf.DUMMYFUNCTION("""COMPUTED_VALUE"""),0.0)</f>
        <v>0</v>
      </c>
      <c r="D1230" s="8"/>
    </row>
    <row r="1231">
      <c r="A1231" s="9" t="str">
        <f>IFERROR(__xludf.DUMMYFUNCTION("""COMPUTED_VALUE"""),"Batch 182")</f>
        <v>Batch 182</v>
      </c>
      <c r="B1231" s="9" t="str">
        <f>IFERROR(__xludf.DUMMYFUNCTION("""COMPUTED_VALUE"""),"AnushkaC82")</f>
        <v>AnushkaC82</v>
      </c>
      <c r="C1231" s="8">
        <f>IFERROR(__xludf.DUMMYFUNCTION("""COMPUTED_VALUE"""),0.0)</f>
        <v>0</v>
      </c>
      <c r="D1231" s="8"/>
    </row>
    <row r="1232">
      <c r="A1232" s="9" t="str">
        <f>IFERROR(__xludf.DUMMYFUNCTION("""COMPUTED_VALUE"""),"Batch 182")</f>
        <v>Batch 182</v>
      </c>
      <c r="B1232" s="9" t="str">
        <f>IFERROR(__xludf.DUMMYFUNCTION("""COMPUTED_VALUE"""),"DISHAC82")</f>
        <v>DISHAC82</v>
      </c>
      <c r="C1232" s="8">
        <f>IFERROR(__xludf.DUMMYFUNCTION("""COMPUTED_VALUE"""),0.0)</f>
        <v>0</v>
      </c>
      <c r="D1232" s="8"/>
    </row>
    <row r="1233">
      <c r="A1233" s="9" t="str">
        <f>IFERROR(__xludf.DUMMYFUNCTION("""COMPUTED_VALUE"""),"Batch 182")</f>
        <v>Batch 182</v>
      </c>
      <c r="B1233" s="9" t="str">
        <f>IFERROR(__xludf.DUMMYFUNCTION("""COMPUTED_VALUE"""),"PURBAC82")</f>
        <v>PURBAC82</v>
      </c>
      <c r="C1233" s="8">
        <f>IFERROR(__xludf.DUMMYFUNCTION("""COMPUTED_VALUE"""),0.0)</f>
        <v>0</v>
      </c>
      <c r="D1233" s="8"/>
    </row>
    <row r="1234">
      <c r="A1234" s="9" t="str">
        <f>IFERROR(__xludf.DUMMYFUNCTION("""COMPUTED_VALUE"""),"Batch 182")</f>
        <v>Batch 182</v>
      </c>
      <c r="B1234" s="9" t="str">
        <f>IFERROR(__xludf.DUMMYFUNCTION("""COMPUTED_VALUE"""),"ABHAYC82")</f>
        <v>ABHAYC82</v>
      </c>
      <c r="C1234" s="8">
        <f>IFERROR(__xludf.DUMMYFUNCTION("""COMPUTED_VALUE"""),0.0)</f>
        <v>0</v>
      </c>
      <c r="D1234" s="8"/>
    </row>
    <row r="1235">
      <c r="A1235" s="9" t="str">
        <f>IFERROR(__xludf.DUMMYFUNCTION("""COMPUTED_VALUE"""),"Batch 182")</f>
        <v>Batch 182</v>
      </c>
      <c r="B1235" s="9" t="str">
        <f>IFERROR(__xludf.DUMMYFUNCTION("""COMPUTED_VALUE"""),"SHRISHTIC82")</f>
        <v>SHRISHTIC82</v>
      </c>
      <c r="C1235" s="8">
        <f>IFERROR(__xludf.DUMMYFUNCTION("""COMPUTED_VALUE"""),0.0)</f>
        <v>0</v>
      </c>
      <c r="D1235" s="8"/>
    </row>
    <row r="1236">
      <c r="A1236" s="9" t="str">
        <f>IFERROR(__xludf.DUMMYFUNCTION("""COMPUTED_VALUE"""),"Batch 182")</f>
        <v>Batch 182</v>
      </c>
      <c r="B1236" s="9" t="str">
        <f>IFERROR(__xludf.DUMMYFUNCTION("""COMPUTED_VALUE"""),"HARSHITKC82")</f>
        <v>HARSHITKC82</v>
      </c>
      <c r="C1236" s="8">
        <f>IFERROR(__xludf.DUMMYFUNCTION("""COMPUTED_VALUE"""),0.0)</f>
        <v>0</v>
      </c>
      <c r="D1236" s="8"/>
    </row>
    <row r="1237">
      <c r="A1237" s="9" t="str">
        <f>IFERROR(__xludf.DUMMYFUNCTION("""COMPUTED_VALUE"""),"Batch 182")</f>
        <v>Batch 182</v>
      </c>
      <c r="B1237" s="9" t="str">
        <f>IFERROR(__xludf.DUMMYFUNCTION("""COMPUTED_VALUE"""),"HARSHC82")</f>
        <v>HARSHC82</v>
      </c>
      <c r="C1237" s="8">
        <f>IFERROR(__xludf.DUMMYFUNCTION("""COMPUTED_VALUE"""),0.0)</f>
        <v>0</v>
      </c>
      <c r="D1237" s="8"/>
    </row>
    <row r="1238">
      <c r="A1238" s="9" t="str">
        <f>IFERROR(__xludf.DUMMYFUNCTION("""COMPUTED_VALUE"""),"Batch 182")</f>
        <v>Batch 182</v>
      </c>
      <c r="B1238" s="9" t="str">
        <f>IFERROR(__xludf.DUMMYFUNCTION("""COMPUTED_VALUE"""),"HARSHITC82")</f>
        <v>HARSHITC82</v>
      </c>
      <c r="C1238" s="8">
        <f>IFERROR(__xludf.DUMMYFUNCTION("""COMPUTED_VALUE"""),0.0)</f>
        <v>0</v>
      </c>
      <c r="D1238" s="8"/>
    </row>
    <row r="1239">
      <c r="A1239" s="9" t="str">
        <f>IFERROR(__xludf.DUMMYFUNCTION("""COMPUTED_VALUE"""),"Batch 182")</f>
        <v>Batch 182</v>
      </c>
      <c r="B1239" s="9" t="str">
        <f>IFERROR(__xludf.DUMMYFUNCTION("""COMPUTED_VALUE"""),"aayushiC82")</f>
        <v>aayushiC82</v>
      </c>
      <c r="C1239" s="8">
        <f>IFERROR(__xludf.DUMMYFUNCTION("""COMPUTED_VALUE"""),0.0)</f>
        <v>0</v>
      </c>
      <c r="D1239" s="8"/>
    </row>
    <row r="1240">
      <c r="A1240" s="9" t="str">
        <f>IFERROR(__xludf.DUMMYFUNCTION("""COMPUTED_VALUE"""),"Batch 182")</f>
        <v>Batch 182</v>
      </c>
      <c r="B1240" s="9" t="str">
        <f>IFERROR(__xludf.DUMMYFUNCTION("""COMPUTED_VALUE"""),"KULDEEPC82")</f>
        <v>KULDEEPC82</v>
      </c>
      <c r="C1240" s="8">
        <f>IFERROR(__xludf.DUMMYFUNCTION("""COMPUTED_VALUE"""),0.0)</f>
        <v>0</v>
      </c>
      <c r="D1240" s="8"/>
    </row>
    <row r="1241">
      <c r="A1241" s="9" t="str">
        <f>IFERROR(__xludf.DUMMYFUNCTION("""COMPUTED_VALUE"""),"Batch 182")</f>
        <v>Batch 182</v>
      </c>
      <c r="B1241" s="9" t="str">
        <f>IFERROR(__xludf.DUMMYFUNCTION("""COMPUTED_VALUE"""),"RAHULC82")</f>
        <v>RAHULC82</v>
      </c>
      <c r="C1241" s="8">
        <f>IFERROR(__xludf.DUMMYFUNCTION("""COMPUTED_VALUE"""),0.0)</f>
        <v>0</v>
      </c>
      <c r="D1241" s="8"/>
    </row>
    <row r="1242">
      <c r="A1242" s="9" t="str">
        <f>IFERROR(__xludf.DUMMYFUNCTION("""COMPUTED_VALUE"""),"Batch 182")</f>
        <v>Batch 182</v>
      </c>
      <c r="B1242" s="9" t="str">
        <f>IFERROR(__xludf.DUMMYFUNCTION("""COMPUTED_VALUE"""),"HIMANIC82")</f>
        <v>HIMANIC82</v>
      </c>
      <c r="C1242" s="8">
        <f>IFERROR(__xludf.DUMMYFUNCTION("""COMPUTED_VALUE"""),0.0)</f>
        <v>0</v>
      </c>
      <c r="D1242" s="8"/>
    </row>
    <row r="1243">
      <c r="A1243" s="9" t="str">
        <f>IFERROR(__xludf.DUMMYFUNCTION("""COMPUTED_VALUE"""),"Batch 182")</f>
        <v>Batch 182</v>
      </c>
      <c r="B1243" s="9" t="str">
        <f>IFERROR(__xludf.DUMMYFUNCTION("""COMPUTED_VALUE"""),"AnyaC82")</f>
        <v>AnyaC82</v>
      </c>
      <c r="C1243" s="8">
        <f>IFERROR(__xludf.DUMMYFUNCTION("""COMPUTED_VALUE"""),0.0)</f>
        <v>0</v>
      </c>
      <c r="D1243" s="8"/>
    </row>
    <row r="1244">
      <c r="A1244" s="9" t="str">
        <f>IFERROR(__xludf.DUMMYFUNCTION("""COMPUTED_VALUE"""),"Batch 182")</f>
        <v>Batch 182</v>
      </c>
      <c r="B1244" s="9" t="str">
        <f>IFERROR(__xludf.DUMMYFUNCTION("""COMPUTED_VALUE"""),"AKASHC82")</f>
        <v>AKASHC82</v>
      </c>
      <c r="C1244" s="8">
        <f>IFERROR(__xludf.DUMMYFUNCTION("""COMPUTED_VALUE"""),0.0)</f>
        <v>0</v>
      </c>
      <c r="D1244" s="8"/>
    </row>
    <row r="1245">
      <c r="A1245" s="9" t="str">
        <f>IFERROR(__xludf.DUMMYFUNCTION("""COMPUTED_VALUE"""),"Batch 182")</f>
        <v>Batch 182</v>
      </c>
      <c r="B1245" s="9" t="str">
        <f>IFERROR(__xludf.DUMMYFUNCTION("""COMPUTED_VALUE"""),"AditiC82")</f>
        <v>AditiC82</v>
      </c>
      <c r="C1245" s="8">
        <f>IFERROR(__xludf.DUMMYFUNCTION("""COMPUTED_VALUE"""),2.0)</f>
        <v>2</v>
      </c>
      <c r="D1245" s="8"/>
    </row>
    <row r="1246">
      <c r="A1246" s="9" t="str">
        <f>IFERROR(__xludf.DUMMYFUNCTION("""COMPUTED_VALUE"""),"Batch 182")</f>
        <v>Batch 182</v>
      </c>
      <c r="B1246" s="9" t="str">
        <f>IFERROR(__xludf.DUMMYFUNCTION("""COMPUTED_VALUE"""),"ARADHYAC82")</f>
        <v>ARADHYAC82</v>
      </c>
      <c r="C1246" s="8">
        <f>IFERROR(__xludf.DUMMYFUNCTION("""COMPUTED_VALUE"""),0.0)</f>
        <v>0</v>
      </c>
      <c r="D1246" s="8"/>
    </row>
    <row r="1247">
      <c r="A1247" s="9" t="str">
        <f>IFERROR(__xludf.DUMMYFUNCTION("""COMPUTED_VALUE"""),"Batch 182")</f>
        <v>Batch 182</v>
      </c>
      <c r="B1247" s="9" t="str">
        <f>IFERROR(__xludf.DUMMYFUNCTION("""COMPUTED_VALUE"""),"SUBHANSHUC82")</f>
        <v>SUBHANSHUC82</v>
      </c>
      <c r="C1247" s="8">
        <f>IFERROR(__xludf.DUMMYFUNCTION("""COMPUTED_VALUE"""),0.0)</f>
        <v>0</v>
      </c>
      <c r="D1247" s="8"/>
    </row>
    <row r="1248">
      <c r="A1248" s="9" t="str">
        <f>IFERROR(__xludf.DUMMYFUNCTION("""COMPUTED_VALUE"""),"Batch 182")</f>
        <v>Batch 182</v>
      </c>
      <c r="B1248" s="9" t="str">
        <f>IFERROR(__xludf.DUMMYFUNCTION("""COMPUTED_VALUE"""),"TanishaDC82")</f>
        <v>TanishaDC82</v>
      </c>
      <c r="C1248" s="8">
        <f>IFERROR(__xludf.DUMMYFUNCTION("""COMPUTED_VALUE"""),0.0)</f>
        <v>0</v>
      </c>
      <c r="D1248" s="8"/>
    </row>
    <row r="1249">
      <c r="A1249" s="9" t="str">
        <f>IFERROR(__xludf.DUMMYFUNCTION("""COMPUTED_VALUE"""),"Batch 182")</f>
        <v>Batch 182</v>
      </c>
      <c r="B1249" s="9" t="str">
        <f>IFERROR(__xludf.DUMMYFUNCTION("""COMPUTED_VALUE"""),"DiyaC82")</f>
        <v>DiyaC82</v>
      </c>
      <c r="C1249" s="8">
        <f>IFERROR(__xludf.DUMMYFUNCTION("""COMPUTED_VALUE"""),0.0)</f>
        <v>0</v>
      </c>
      <c r="D1249" s="8"/>
    </row>
    <row r="1250">
      <c r="A1250" s="9" t="str">
        <f>IFERROR(__xludf.DUMMYFUNCTION("""COMPUTED_VALUE"""),"Batch 182")</f>
        <v>Batch 182</v>
      </c>
      <c r="B1250" s="9" t="str">
        <f>IFERROR(__xludf.DUMMYFUNCTION("""COMPUTED_VALUE"""),"DHANUSHC82")</f>
        <v>DHANUSHC82</v>
      </c>
      <c r="C1250" s="8">
        <f>IFERROR(__xludf.DUMMYFUNCTION("""COMPUTED_VALUE"""),0.0)</f>
        <v>0</v>
      </c>
      <c r="D1250" s="8"/>
    </row>
    <row r="1251">
      <c r="A1251" s="9" t="str">
        <f>IFERROR(__xludf.DUMMYFUNCTION("""COMPUTED_VALUE"""),"Batch 182")</f>
        <v>Batch 182</v>
      </c>
      <c r="B1251" s="9" t="str">
        <f>IFERROR(__xludf.DUMMYFUNCTION("""COMPUTED_VALUE"""),"NehaC82")</f>
        <v>NehaC82</v>
      </c>
      <c r="C1251" s="8">
        <f>IFERROR(__xludf.DUMMYFUNCTION("""COMPUTED_VALUE"""),0.0)</f>
        <v>0</v>
      </c>
      <c r="D1251" s="8"/>
    </row>
    <row r="1252">
      <c r="A1252" s="9" t="str">
        <f>IFERROR(__xludf.DUMMYFUNCTION("""COMPUTED_VALUE"""),"Batch 182")</f>
        <v>Batch 182</v>
      </c>
      <c r="B1252" s="9" t="str">
        <f>IFERROR(__xludf.DUMMYFUNCTION("""COMPUTED_VALUE"""),"KARTIKAYC82")</f>
        <v>KARTIKAYC82</v>
      </c>
      <c r="C1252" s="8">
        <f>IFERROR(__xludf.DUMMYFUNCTION("""COMPUTED_VALUE"""),0.0)</f>
        <v>0</v>
      </c>
      <c r="D1252" s="8"/>
    </row>
    <row r="1253">
      <c r="A1253" s="9" t="str">
        <f>IFERROR(__xludf.DUMMYFUNCTION("""COMPUTED_VALUE"""),"Batch 182")</f>
        <v>Batch 182</v>
      </c>
      <c r="B1253" s="9" t="str">
        <f>IFERROR(__xludf.DUMMYFUNCTION("""COMPUTED_VALUE"""),"DIVYANSHUC82")</f>
        <v>DIVYANSHUC82</v>
      </c>
      <c r="C1253" s="8">
        <f>IFERROR(__xludf.DUMMYFUNCTION("""COMPUTED_VALUE"""),0.0)</f>
        <v>0</v>
      </c>
      <c r="D1253" s="8"/>
    </row>
    <row r="1254">
      <c r="A1254" s="9" t="str">
        <f>IFERROR(__xludf.DUMMYFUNCTION("""COMPUTED_VALUE"""),"Batch 182")</f>
        <v>Batch 182</v>
      </c>
      <c r="B1254" s="9" t="str">
        <f>IFERROR(__xludf.DUMMYFUNCTION("""COMPUTED_VALUE"""),"AMLANC82")</f>
        <v>AMLANC82</v>
      </c>
      <c r="C1254" s="8">
        <f>IFERROR(__xludf.DUMMYFUNCTION("""COMPUTED_VALUE"""),0.0)</f>
        <v>0</v>
      </c>
      <c r="D1254" s="8"/>
    </row>
    <row r="1255">
      <c r="A1255" s="9" t="str">
        <f>IFERROR(__xludf.DUMMYFUNCTION("""COMPUTED_VALUE"""),"Batch 182")</f>
        <v>Batch 182</v>
      </c>
      <c r="B1255" s="9" t="str">
        <f>IFERROR(__xludf.DUMMYFUNCTION("""COMPUTED_VALUE"""),"AYUSHC82")</f>
        <v>AYUSHC82</v>
      </c>
      <c r="C1255" s="8">
        <f>IFERROR(__xludf.DUMMYFUNCTION("""COMPUTED_VALUE"""),0.0)</f>
        <v>0</v>
      </c>
      <c r="D1255" s="8"/>
    </row>
    <row r="1256">
      <c r="A1256" s="9" t="str">
        <f>IFERROR(__xludf.DUMMYFUNCTION("""COMPUTED_VALUE"""),"Batch 182")</f>
        <v>Batch 182</v>
      </c>
      <c r="B1256" s="9" t="str">
        <f>IFERROR(__xludf.DUMMYFUNCTION("""COMPUTED_VALUE"""),"YashC82")</f>
        <v>YashC82</v>
      </c>
      <c r="C1256" s="8">
        <f>IFERROR(__xludf.DUMMYFUNCTION("""COMPUTED_VALUE"""),0.0)</f>
        <v>0</v>
      </c>
      <c r="D1256" s="8"/>
    </row>
    <row r="1257">
      <c r="A1257" s="9" t="str">
        <f>IFERROR(__xludf.DUMMYFUNCTION("""COMPUTED_VALUE"""),"Batch 182")</f>
        <v>Batch 182</v>
      </c>
      <c r="B1257" s="9" t="str">
        <f>IFERROR(__xludf.DUMMYFUNCTION("""COMPUTED_VALUE"""),"VishalC82")</f>
        <v>VishalC82</v>
      </c>
      <c r="C1257" s="8">
        <f>IFERROR(__xludf.DUMMYFUNCTION("""COMPUTED_VALUE"""),0.0)</f>
        <v>0</v>
      </c>
      <c r="D1257" s="8"/>
    </row>
    <row r="1258">
      <c r="A1258" s="9" t="str">
        <f>IFERROR(__xludf.DUMMYFUNCTION("""COMPUTED_VALUE"""),"Batch 182")</f>
        <v>Batch 182</v>
      </c>
      <c r="B1258" s="9" t="str">
        <f>IFERROR(__xludf.DUMMYFUNCTION("""COMPUTED_VALUE"""),"RITIKAC82")</f>
        <v>RITIKAC82</v>
      </c>
      <c r="C1258" s="8">
        <f>IFERROR(__xludf.DUMMYFUNCTION("""COMPUTED_VALUE"""),0.0)</f>
        <v>0</v>
      </c>
      <c r="D1258" s="8"/>
    </row>
    <row r="1259">
      <c r="A1259" s="9" t="str">
        <f>IFERROR(__xludf.DUMMYFUNCTION("""COMPUTED_VALUE"""),"Batch 182")</f>
        <v>Batch 182</v>
      </c>
      <c r="B1259" s="9" t="str">
        <f>IFERROR(__xludf.DUMMYFUNCTION("""COMPUTED_VALUE"""),"DIVYANSHC82")</f>
        <v>DIVYANSHC82</v>
      </c>
      <c r="C1259" s="8">
        <f>IFERROR(__xludf.DUMMYFUNCTION("""COMPUTED_VALUE"""),0.0)</f>
        <v>0</v>
      </c>
      <c r="D1259" s="8"/>
    </row>
    <row r="1260">
      <c r="A1260" s="9" t="str">
        <f>IFERROR(__xludf.DUMMYFUNCTION("""COMPUTED_VALUE"""),"Batch 182")</f>
        <v>Batch 182</v>
      </c>
      <c r="B1260" s="9" t="str">
        <f>IFERROR(__xludf.DUMMYFUNCTION("""COMPUTED_VALUE"""),"KENEIC82")</f>
        <v>KENEIC82</v>
      </c>
      <c r="C1260" s="8">
        <f>IFERROR(__xludf.DUMMYFUNCTION("""COMPUTED_VALUE"""),0.0)</f>
        <v>0</v>
      </c>
      <c r="D1260" s="8"/>
    </row>
    <row r="1261">
      <c r="A1261" s="9" t="str">
        <f>IFERROR(__xludf.DUMMYFUNCTION("""COMPUTED_VALUE"""),"Batch 182")</f>
        <v>Batch 182</v>
      </c>
      <c r="B1261" s="9" t="str">
        <f>IFERROR(__xludf.DUMMYFUNCTION("""COMPUTED_VALUE"""),"ADYAC82")</f>
        <v>ADYAC82</v>
      </c>
      <c r="C1261" s="8">
        <f>IFERROR(__xludf.DUMMYFUNCTION("""COMPUTED_VALUE"""),0.0)</f>
        <v>0</v>
      </c>
      <c r="D1261" s="8"/>
    </row>
    <row r="1262">
      <c r="A1262" s="9" t="str">
        <f>IFERROR(__xludf.DUMMYFUNCTION("""COMPUTED_VALUE"""),"Batch 182")</f>
        <v>Batch 182</v>
      </c>
      <c r="B1262" s="9" t="str">
        <f>IFERROR(__xludf.DUMMYFUNCTION("""COMPUTED_VALUE"""),"KaranC82")</f>
        <v>KaranC82</v>
      </c>
      <c r="C1262" s="8">
        <f>IFERROR(__xludf.DUMMYFUNCTION("""COMPUTED_VALUE"""),0.0)</f>
        <v>0</v>
      </c>
      <c r="D1262" s="8"/>
    </row>
    <row r="1263">
      <c r="A1263" s="9" t="str">
        <f>IFERROR(__xludf.DUMMYFUNCTION("""COMPUTED_VALUE"""),"Batch 182")</f>
        <v>Batch 182</v>
      </c>
      <c r="B1263" s="9" t="str">
        <f>IFERROR(__xludf.DUMMYFUNCTION("""COMPUTED_VALUE"""),"CHIRAGC82")</f>
        <v>CHIRAGC82</v>
      </c>
      <c r="C1263" s="8">
        <f>IFERROR(__xludf.DUMMYFUNCTION("""COMPUTED_VALUE"""),0.0)</f>
        <v>0</v>
      </c>
      <c r="D1263" s="8"/>
    </row>
    <row r="1264">
      <c r="A1264" s="9" t="str">
        <f>IFERROR(__xludf.DUMMYFUNCTION("""COMPUTED_VALUE"""),"Batch 182")</f>
        <v>Batch 182</v>
      </c>
      <c r="B1264" s="9" t="str">
        <f>IFERROR(__xludf.DUMMYFUNCTION("""COMPUTED_VALUE"""),"GUNJANC82")</f>
        <v>GUNJANC82</v>
      </c>
      <c r="C1264" s="8">
        <f>IFERROR(__xludf.DUMMYFUNCTION("""COMPUTED_VALUE"""),0.0)</f>
        <v>0</v>
      </c>
      <c r="D1264" s="8"/>
    </row>
    <row r="1265">
      <c r="A1265" s="9" t="str">
        <f>IFERROR(__xludf.DUMMYFUNCTION("""COMPUTED_VALUE"""),"Batch 182")</f>
        <v>Batch 182</v>
      </c>
      <c r="B1265" s="9" t="str">
        <f>IFERROR(__xludf.DUMMYFUNCTION("""COMPUTED_VALUE"""),"AMAANC82")</f>
        <v>AMAANC82</v>
      </c>
      <c r="C1265" s="8">
        <f>IFERROR(__xludf.DUMMYFUNCTION("""COMPUTED_VALUE"""),0.0)</f>
        <v>0</v>
      </c>
      <c r="D1265" s="8"/>
    </row>
    <row r="1266">
      <c r="A1266" s="9" t="str">
        <f>IFERROR(__xludf.DUMMYFUNCTION("""COMPUTED_VALUE"""),"Batch 182")</f>
        <v>Batch 182</v>
      </c>
      <c r="B1266" s="9" t="str">
        <f>IFERROR(__xludf.DUMMYFUNCTION("""COMPUTED_VALUE"""),"NehaC82")</f>
        <v>NehaC82</v>
      </c>
      <c r="C1266" s="8">
        <f>IFERROR(__xludf.DUMMYFUNCTION("""COMPUTED_VALUE"""),0.0)</f>
        <v>0</v>
      </c>
      <c r="D1266" s="8"/>
    </row>
    <row r="1267">
      <c r="A1267" s="9" t="str">
        <f>IFERROR(__xludf.DUMMYFUNCTION("""COMPUTED_VALUE"""),"Batch 182")</f>
        <v>Batch 182</v>
      </c>
      <c r="B1267" s="9" t="str">
        <f>IFERROR(__xludf.DUMMYFUNCTION("""COMPUTED_VALUE"""),"PriyanshiC82")</f>
        <v>PriyanshiC82</v>
      </c>
      <c r="C1267" s="8">
        <f>IFERROR(__xludf.DUMMYFUNCTION("""COMPUTED_VALUE"""),0.0)</f>
        <v>0</v>
      </c>
      <c r="D1267" s="8"/>
    </row>
    <row r="1268">
      <c r="A1268" s="9" t="str">
        <f>IFERROR(__xludf.DUMMYFUNCTION("""COMPUTED_VALUE"""),"Batch 182")</f>
        <v>Batch 182</v>
      </c>
      <c r="B1268" s="9" t="str">
        <f>IFERROR(__xludf.DUMMYFUNCTION("""COMPUTED_VALUE"""),"VANSHIKAC82")</f>
        <v>VANSHIKAC82</v>
      </c>
      <c r="C1268" s="8">
        <f>IFERROR(__xludf.DUMMYFUNCTION("""COMPUTED_VALUE"""),0.0)</f>
        <v>0</v>
      </c>
      <c r="D1268" s="8"/>
    </row>
    <row r="1269">
      <c r="A1269" s="9" t="str">
        <f>IFERROR(__xludf.DUMMYFUNCTION("""COMPUTED_VALUE"""),"Batch 182")</f>
        <v>Batch 182</v>
      </c>
      <c r="B1269" s="9" t="str">
        <f>IFERROR(__xludf.DUMMYFUNCTION("""COMPUTED_VALUE"""),"YashviC82")</f>
        <v>YashviC82</v>
      </c>
      <c r="C1269" s="8">
        <f>IFERROR(__xludf.DUMMYFUNCTION("""COMPUTED_VALUE"""),0.0)</f>
        <v>0</v>
      </c>
      <c r="D1269" s="8"/>
    </row>
    <row r="1270">
      <c r="A1270" s="9" t="str">
        <f>IFERROR(__xludf.DUMMYFUNCTION("""COMPUTED_VALUE"""),"Batch 182")</f>
        <v>Batch 182</v>
      </c>
      <c r="B1270" s="9" t="str">
        <f>IFERROR(__xludf.DUMMYFUNCTION("""COMPUTED_VALUE"""),"PRIYANSHUC82")</f>
        <v>PRIYANSHUC82</v>
      </c>
      <c r="C1270" s="8">
        <f>IFERROR(__xludf.DUMMYFUNCTION("""COMPUTED_VALUE"""),0.0)</f>
        <v>0</v>
      </c>
      <c r="D1270" s="8"/>
    </row>
    <row r="1271">
      <c r="A1271" s="9" t="str">
        <f>IFERROR(__xludf.DUMMYFUNCTION("""COMPUTED_VALUE"""),"Batch 182")</f>
        <v>Batch 182</v>
      </c>
      <c r="B1271" s="9" t="str">
        <f>IFERROR(__xludf.DUMMYFUNCTION("""COMPUTED_VALUE"""),"ShriyaC82")</f>
        <v>ShriyaC82</v>
      </c>
      <c r="C1271" s="8">
        <f>IFERROR(__xludf.DUMMYFUNCTION("""COMPUTED_VALUE"""),0.0)</f>
        <v>0</v>
      </c>
      <c r="D1271" s="8"/>
    </row>
    <row r="1272">
      <c r="A1272" s="9" t="str">
        <f>IFERROR(__xludf.DUMMYFUNCTION("""COMPUTED_VALUE"""),"Batch 182")</f>
        <v>Batch 182</v>
      </c>
      <c r="B1272" s="9" t="str">
        <f>IFERROR(__xludf.DUMMYFUNCTION("""COMPUTED_VALUE"""),"SWAGATAC82")</f>
        <v>SWAGATAC82</v>
      </c>
      <c r="C1272" s="8">
        <f>IFERROR(__xludf.DUMMYFUNCTION("""COMPUTED_VALUE"""),0.0)</f>
        <v>0</v>
      </c>
      <c r="D1272" s="8"/>
    </row>
    <row r="1273">
      <c r="A1273" s="9" t="str">
        <f>IFERROR(__xludf.DUMMYFUNCTION("""COMPUTED_VALUE"""),"Batch 182")</f>
        <v>Batch 182</v>
      </c>
      <c r="B1273" s="9" t="str">
        <f>IFERROR(__xludf.DUMMYFUNCTION("""COMPUTED_VALUE"""),"AbhishekC82")</f>
        <v>AbhishekC82</v>
      </c>
      <c r="C1273" s="8">
        <f>IFERROR(__xludf.DUMMYFUNCTION("""COMPUTED_VALUE"""),0.0)</f>
        <v>0</v>
      </c>
      <c r="D1273" s="8"/>
    </row>
    <row r="1274">
      <c r="A1274" s="9" t="str">
        <f>IFERROR(__xludf.DUMMYFUNCTION("""COMPUTED_VALUE"""),"Batch 182")</f>
        <v>Batch 182</v>
      </c>
      <c r="B1274" s="9" t="str">
        <f>IFERROR(__xludf.DUMMYFUNCTION("""COMPUTED_VALUE"""),"POOJAC82")</f>
        <v>POOJAC82</v>
      </c>
      <c r="C1274" s="8">
        <f>IFERROR(__xludf.DUMMYFUNCTION("""COMPUTED_VALUE"""),0.0)</f>
        <v>0</v>
      </c>
      <c r="D1274" s="8"/>
    </row>
    <row r="1275">
      <c r="A1275" s="9" t="str">
        <f>IFERROR(__xludf.DUMMYFUNCTION("""COMPUTED_VALUE"""),"Batch 182")</f>
        <v>Batch 182</v>
      </c>
      <c r="B1275" s="9" t="str">
        <f>IFERROR(__xludf.DUMMYFUNCTION("""COMPUTED_VALUE"""),"AjayC82")</f>
        <v>AjayC82</v>
      </c>
      <c r="C1275" s="8">
        <f>IFERROR(__xludf.DUMMYFUNCTION("""COMPUTED_VALUE"""),0.0)</f>
        <v>0</v>
      </c>
      <c r="D1275" s="8"/>
    </row>
    <row r="1276">
      <c r="A1276" s="9" t="str">
        <f>IFERROR(__xludf.DUMMYFUNCTION("""COMPUTED_VALUE"""),"Batch 182")</f>
        <v>Batch 182</v>
      </c>
      <c r="B1276" s="9" t="str">
        <f>IFERROR(__xludf.DUMMYFUNCTION("""COMPUTED_VALUE"""),"IshanC82")</f>
        <v>IshanC82</v>
      </c>
      <c r="C1276" s="8">
        <f>IFERROR(__xludf.DUMMYFUNCTION("""COMPUTED_VALUE"""),0.0)</f>
        <v>0</v>
      </c>
      <c r="D1276" s="8"/>
    </row>
    <row r="1277">
      <c r="A1277" s="9" t="str">
        <f>IFERROR(__xludf.DUMMYFUNCTION("""COMPUTED_VALUE"""),"Batch 182")</f>
        <v>Batch 182</v>
      </c>
      <c r="B1277" s="9" t="str">
        <f>IFERROR(__xludf.DUMMYFUNCTION("""COMPUTED_VALUE"""),"ANURAGC82")</f>
        <v>ANURAGC82</v>
      </c>
      <c r="C1277" s="8">
        <f>IFERROR(__xludf.DUMMYFUNCTION("""COMPUTED_VALUE"""),1.0)</f>
        <v>1</v>
      </c>
      <c r="D1277" s="8"/>
    </row>
    <row r="1278">
      <c r="A1278" s="9" t="str">
        <f>IFERROR(__xludf.DUMMYFUNCTION("""COMPUTED_VALUE"""),"Batch 182")</f>
        <v>Batch 182</v>
      </c>
      <c r="B1278" s="9" t="str">
        <f>IFERROR(__xludf.DUMMYFUNCTION("""COMPUTED_VALUE"""),"UndavalliC82")</f>
        <v>UndavalliC82</v>
      </c>
      <c r="C1278" s="8">
        <f>IFERROR(__xludf.DUMMYFUNCTION("""COMPUTED_VALUE"""),0.0)</f>
        <v>0</v>
      </c>
      <c r="D1278" s="8"/>
    </row>
    <row r="1279">
      <c r="A1279" s="9" t="str">
        <f>IFERROR(__xludf.DUMMYFUNCTION("""COMPUTED_VALUE"""),"Batch 182")</f>
        <v>Batch 182</v>
      </c>
      <c r="B1279" s="9" t="str">
        <f>IFERROR(__xludf.DUMMYFUNCTION("""COMPUTED_VALUE"""),"ARCHISMITAC82")</f>
        <v>ARCHISMITAC82</v>
      </c>
      <c r="C1279" s="8">
        <f>IFERROR(__xludf.DUMMYFUNCTION("""COMPUTED_VALUE"""),0.0)</f>
        <v>0</v>
      </c>
      <c r="D1279" s="8"/>
    </row>
    <row r="1280">
      <c r="A1280" s="9" t="str">
        <f>IFERROR(__xludf.DUMMYFUNCTION("""COMPUTED_VALUE"""),"Batch 182")</f>
        <v>Batch 182</v>
      </c>
      <c r="B1280" s="9" t="str">
        <f>IFERROR(__xludf.DUMMYFUNCTION("""COMPUTED_VALUE"""),"NEHAC82")</f>
        <v>NEHAC82</v>
      </c>
      <c r="C1280" s="8">
        <f>IFERROR(__xludf.DUMMYFUNCTION("""COMPUTED_VALUE"""),0.0)</f>
        <v>0</v>
      </c>
      <c r="D1280" s="8"/>
    </row>
    <row r="1281">
      <c r="A1281" s="9" t="str">
        <f>IFERROR(__xludf.DUMMYFUNCTION("""COMPUTED_VALUE"""),"Batch 182")</f>
        <v>Batch 182</v>
      </c>
      <c r="B1281" s="9" t="str">
        <f>IFERROR(__xludf.DUMMYFUNCTION("""COMPUTED_VALUE"""),"RISHIC82")</f>
        <v>RISHIC82</v>
      </c>
      <c r="C1281" s="8">
        <f>IFERROR(__xludf.DUMMYFUNCTION("""COMPUTED_VALUE"""),0.0)</f>
        <v>0</v>
      </c>
      <c r="D1281" s="8"/>
    </row>
    <row r="1282">
      <c r="A1282" s="9" t="str">
        <f>IFERROR(__xludf.DUMMYFUNCTION("""COMPUTED_VALUE"""),"Batch 182")</f>
        <v>Batch 182</v>
      </c>
      <c r="B1282" s="9" t="str">
        <f>IFERROR(__xludf.DUMMYFUNCTION("""COMPUTED_VALUE"""),"ApuravC82")</f>
        <v>ApuravC82</v>
      </c>
      <c r="C1282" s="8">
        <f>IFERROR(__xludf.DUMMYFUNCTION("""COMPUTED_VALUE"""),0.0)</f>
        <v>0</v>
      </c>
      <c r="D1282" s="8"/>
    </row>
    <row r="1283">
      <c r="A1283" s="9" t="str">
        <f>IFERROR(__xludf.DUMMYFUNCTION("""COMPUTED_VALUE"""),"Batch 182")</f>
        <v>Batch 182</v>
      </c>
      <c r="B1283" s="9" t="str">
        <f>IFERROR(__xludf.DUMMYFUNCTION("""COMPUTED_VALUE"""),"SaumyaC82")</f>
        <v>SaumyaC82</v>
      </c>
      <c r="C1283" s="8">
        <f>IFERROR(__xludf.DUMMYFUNCTION("""COMPUTED_VALUE"""),0.0)</f>
        <v>0</v>
      </c>
      <c r="D1283" s="8"/>
    </row>
    <row r="1284">
      <c r="A1284" s="9" t="str">
        <f>IFERROR(__xludf.DUMMYFUNCTION("""COMPUTED_VALUE"""),"Batch 182")</f>
        <v>Batch 182</v>
      </c>
      <c r="B1284" s="9" t="str">
        <f>IFERROR(__xludf.DUMMYFUNCTION("""COMPUTED_VALUE"""),"EktaC82")</f>
        <v>EktaC82</v>
      </c>
      <c r="C1284" s="8">
        <f>IFERROR(__xludf.DUMMYFUNCTION("""COMPUTED_VALUE"""),0.0)</f>
        <v>0</v>
      </c>
      <c r="D1284" s="8"/>
    </row>
    <row r="1285">
      <c r="A1285" s="9" t="str">
        <f>IFERROR(__xludf.DUMMYFUNCTION("""COMPUTED_VALUE"""),"Batch 182")</f>
        <v>Batch 182</v>
      </c>
      <c r="B1285" s="9" t="str">
        <f>IFERROR(__xludf.DUMMYFUNCTION("""COMPUTED_VALUE"""),"TanishaGC82")</f>
        <v>TanishaGC82</v>
      </c>
      <c r="C1285" s="8">
        <f>IFERROR(__xludf.DUMMYFUNCTION("""COMPUTED_VALUE"""),0.0)</f>
        <v>0</v>
      </c>
      <c r="D1285" s="8"/>
    </row>
    <row r="1286">
      <c r="A1286" s="9" t="str">
        <f>IFERROR(__xludf.DUMMYFUNCTION("""COMPUTED_VALUE"""),"Batch 182")</f>
        <v>Batch 182</v>
      </c>
      <c r="B1286" s="9" t="str">
        <f>IFERROR(__xludf.DUMMYFUNCTION("""COMPUTED_VALUE"""),"SHREYAC82")</f>
        <v>SHREYAC82</v>
      </c>
      <c r="C1286" s="8">
        <f>IFERROR(__xludf.DUMMYFUNCTION("""COMPUTED_VALUE"""),0.0)</f>
        <v>0</v>
      </c>
      <c r="D1286" s="8"/>
    </row>
    <row r="1287">
      <c r="A1287" s="9" t="str">
        <f>IFERROR(__xludf.DUMMYFUNCTION("""COMPUTED_VALUE"""),"Batch 182")</f>
        <v>Batch 182</v>
      </c>
      <c r="B1287" s="9" t="str">
        <f>IFERROR(__xludf.DUMMYFUNCTION("""COMPUTED_VALUE"""),"CHAITANYAC82")</f>
        <v>CHAITANYAC82</v>
      </c>
      <c r="C1287" s="8">
        <f>IFERROR(__xludf.DUMMYFUNCTION("""COMPUTED_VALUE"""),0.0)</f>
        <v>0</v>
      </c>
      <c r="D1287" s="8"/>
    </row>
    <row r="1288">
      <c r="A1288" s="9" t="str">
        <f>IFERROR(__xludf.DUMMYFUNCTION("""COMPUTED_VALUE"""),"Batch 182")</f>
        <v>Batch 182</v>
      </c>
      <c r="B1288" s="9" t="str">
        <f>IFERROR(__xludf.DUMMYFUNCTION("""COMPUTED_VALUE"""),"ShreyaJC82")</f>
        <v>ShreyaJC82</v>
      </c>
      <c r="C1288" s="8">
        <f>IFERROR(__xludf.DUMMYFUNCTION("""COMPUTED_VALUE"""),0.0)</f>
        <v>0</v>
      </c>
      <c r="D1288" s="8"/>
    </row>
    <row r="1289">
      <c r="A1289" s="9" t="str">
        <f>IFERROR(__xludf.DUMMYFUNCTION("""COMPUTED_VALUE"""),"Batch 182")</f>
        <v>Batch 182</v>
      </c>
      <c r="B1289" s="9" t="str">
        <f>IFERROR(__xludf.DUMMYFUNCTION("""COMPUTED_VALUE"""),"tinaC82")</f>
        <v>tinaC82</v>
      </c>
      <c r="C1289" s="8">
        <f>IFERROR(__xludf.DUMMYFUNCTION("""COMPUTED_VALUE"""),0.0)</f>
        <v>0</v>
      </c>
      <c r="D1289" s="8"/>
    </row>
    <row r="1290">
      <c r="A1290" s="9" t="str">
        <f>IFERROR(__xludf.DUMMYFUNCTION("""COMPUTED_VALUE"""),"Batch 182")</f>
        <v>Batch 182</v>
      </c>
      <c r="B1290" s="9" t="str">
        <f>IFERROR(__xludf.DUMMYFUNCTION("""COMPUTED_VALUE"""),"ishikaC82")</f>
        <v>ishikaC82</v>
      </c>
      <c r="C1290" s="8">
        <f>IFERROR(__xludf.DUMMYFUNCTION("""COMPUTED_VALUE"""),0.0)</f>
        <v>0</v>
      </c>
      <c r="D1290" s="8"/>
    </row>
    <row r="1291">
      <c r="A1291" s="9" t="str">
        <f>IFERROR(__xludf.DUMMYFUNCTION("""COMPUTED_VALUE"""),"Batch 182")</f>
        <v>Batch 182</v>
      </c>
      <c r="B1291" s="9" t="str">
        <f>IFERROR(__xludf.DUMMYFUNCTION("""COMPUTED_VALUE"""),"HimaniC82")</f>
        <v>HimaniC82</v>
      </c>
      <c r="C1291" s="8">
        <f>IFERROR(__xludf.DUMMYFUNCTION("""COMPUTED_VALUE"""),0.0)</f>
        <v>0</v>
      </c>
      <c r="D1291" s="8"/>
    </row>
    <row r="1292">
      <c r="A1292" s="9" t="str">
        <f>IFERROR(__xludf.DUMMYFUNCTION("""COMPUTED_VALUE"""),"Batch 182")</f>
        <v>Batch 182</v>
      </c>
      <c r="B1292" s="9" t="str">
        <f>IFERROR(__xludf.DUMMYFUNCTION("""COMPUTED_VALUE"""),"NITYAC82")</f>
        <v>NITYAC82</v>
      </c>
      <c r="C1292" s="8">
        <f>IFERROR(__xludf.DUMMYFUNCTION("""COMPUTED_VALUE"""),0.0)</f>
        <v>0</v>
      </c>
      <c r="D1292" s="8"/>
    </row>
    <row r="1293">
      <c r="A1293" s="9" t="str">
        <f>IFERROR(__xludf.DUMMYFUNCTION("""COMPUTED_VALUE"""),"Batch 182")</f>
        <v>Batch 182</v>
      </c>
      <c r="B1293" s="9" t="str">
        <f>IFERROR(__xludf.DUMMYFUNCTION("""COMPUTED_VALUE"""),"AasthaC82")</f>
        <v>AasthaC82</v>
      </c>
      <c r="C1293" s="8">
        <f>IFERROR(__xludf.DUMMYFUNCTION("""COMPUTED_VALUE"""),0.0)</f>
        <v>0</v>
      </c>
      <c r="D1293" s="8"/>
    </row>
    <row r="1294">
      <c r="A1294" s="9" t="str">
        <f>IFERROR(__xludf.DUMMYFUNCTION("""COMPUTED_VALUE"""),"Batch 182")</f>
        <v>Batch 182</v>
      </c>
      <c r="B1294" s="9" t="str">
        <f>IFERROR(__xludf.DUMMYFUNCTION("""COMPUTED_VALUE"""),"YASWANTHC82")</f>
        <v>YASWANTHC82</v>
      </c>
      <c r="C1294" s="8">
        <f>IFERROR(__xludf.DUMMYFUNCTION("""COMPUTED_VALUE"""),0.0)</f>
        <v>0</v>
      </c>
      <c r="D1294" s="8"/>
    </row>
    <row r="1295">
      <c r="A1295" s="9" t="str">
        <f>IFERROR(__xludf.DUMMYFUNCTION("""COMPUTED_VALUE"""),"Batch 182")</f>
        <v>Batch 182</v>
      </c>
      <c r="B1295" s="9" t="str">
        <f>IFERROR(__xludf.DUMMYFUNCTION("""COMPUTED_VALUE"""),"saumyaC82")</f>
        <v>saumyaC82</v>
      </c>
      <c r="C1295" s="8">
        <f>IFERROR(__xludf.DUMMYFUNCTION("""COMPUTED_VALUE"""),0.0)</f>
        <v>0</v>
      </c>
      <c r="D1295" s="8"/>
    </row>
    <row r="1296">
      <c r="A1296" s="9" t="str">
        <f>IFERROR(__xludf.DUMMYFUNCTION("""COMPUTED_VALUE"""),"Batch 182")</f>
        <v>Batch 182</v>
      </c>
      <c r="B1296" s="9" t="str">
        <f>IFERROR(__xludf.DUMMYFUNCTION("""COMPUTED_VALUE"""),"VISHNUKUMARC82")</f>
        <v>VISHNUKUMARC82</v>
      </c>
      <c r="C1296" s="8">
        <f>IFERROR(__xludf.DUMMYFUNCTION("""COMPUTED_VALUE"""),0.0)</f>
        <v>0</v>
      </c>
      <c r="D1296" s="8"/>
    </row>
    <row r="1297">
      <c r="A1297" s="9" t="str">
        <f>IFERROR(__xludf.DUMMYFUNCTION("""COMPUTED_VALUE"""),"Batch 182")</f>
        <v>Batch 182</v>
      </c>
      <c r="B1297" s="9" t="str">
        <f>IFERROR(__xludf.DUMMYFUNCTION("""COMPUTED_VALUE"""),"AkshitaC82")</f>
        <v>AkshitaC82</v>
      </c>
      <c r="C1297" s="8">
        <f>IFERROR(__xludf.DUMMYFUNCTION("""COMPUTED_VALUE"""),0.0)</f>
        <v>0</v>
      </c>
      <c r="D1297" s="8"/>
    </row>
    <row r="1298">
      <c r="A1298" s="9" t="str">
        <f>IFERROR(__xludf.DUMMYFUNCTION("""COMPUTED_VALUE"""),"Batch 182")</f>
        <v>Batch 182</v>
      </c>
      <c r="B1298" s="9" t="str">
        <f>IFERROR(__xludf.DUMMYFUNCTION("""COMPUTED_VALUE"""),"RiyaC82")</f>
        <v>RiyaC82</v>
      </c>
      <c r="C1298" s="8">
        <f>IFERROR(__xludf.DUMMYFUNCTION("""COMPUTED_VALUE"""),0.0)</f>
        <v>0</v>
      </c>
      <c r="D1298" s="8"/>
    </row>
    <row r="1299">
      <c r="A1299" s="9" t="str">
        <f>IFERROR(__xludf.DUMMYFUNCTION("""COMPUTED_VALUE"""),"Batch 182")</f>
        <v>Batch 182</v>
      </c>
      <c r="B1299" s="9" t="str">
        <f>IFERROR(__xludf.DUMMYFUNCTION("""COMPUTED_VALUE"""),"SHIVANIC82")</f>
        <v>SHIVANIC82</v>
      </c>
      <c r="C1299" s="8">
        <f>IFERROR(__xludf.DUMMYFUNCTION("""COMPUTED_VALUE"""),0.0)</f>
        <v>0</v>
      </c>
      <c r="D1299" s="8"/>
    </row>
    <row r="1300">
      <c r="A1300" s="9" t="str">
        <f>IFERROR(__xludf.DUMMYFUNCTION("""COMPUTED_VALUE"""),"Batch 182")</f>
        <v>Batch 182</v>
      </c>
      <c r="B1300" s="9" t="str">
        <f>IFERROR(__xludf.DUMMYFUNCTION("""COMPUTED_VALUE"""),"AkhileshC82")</f>
        <v>AkhileshC82</v>
      </c>
      <c r="C1300" s="8">
        <f>IFERROR(__xludf.DUMMYFUNCTION("""COMPUTED_VALUE"""),0.0)</f>
        <v>0</v>
      </c>
      <c r="D1300" s="8"/>
    </row>
    <row r="1301">
      <c r="A1301" s="9" t="str">
        <f>IFERROR(__xludf.DUMMYFUNCTION("""COMPUTED_VALUE"""),"Batch 182")</f>
        <v>Batch 182</v>
      </c>
      <c r="B1301" s="9" t="str">
        <f>IFERROR(__xludf.DUMMYFUNCTION("""COMPUTED_VALUE"""),"PULKITC82")</f>
        <v>PULKITC82</v>
      </c>
      <c r="C1301" s="8">
        <f>IFERROR(__xludf.DUMMYFUNCTION("""COMPUTED_VALUE"""),0.0)</f>
        <v>0</v>
      </c>
      <c r="D1301" s="8"/>
    </row>
    <row r="1302">
      <c r="A1302" s="9" t="str">
        <f>IFERROR(__xludf.DUMMYFUNCTION("""COMPUTED_VALUE"""),"Batch 182")</f>
        <v>Batch 182</v>
      </c>
      <c r="B1302" s="9" t="str">
        <f>IFERROR(__xludf.DUMMYFUNCTION("""COMPUTED_VALUE"""),"SATYAMC82")</f>
        <v>SATYAMC82</v>
      </c>
      <c r="C1302" s="8">
        <f>IFERROR(__xludf.DUMMYFUNCTION("""COMPUTED_VALUE"""),0.0)</f>
        <v>0</v>
      </c>
      <c r="D1302" s="8"/>
    </row>
    <row r="1303">
      <c r="A1303" s="9" t="str">
        <f>IFERROR(__xludf.DUMMYFUNCTION("""COMPUTED_VALUE"""),"Batch 182")</f>
        <v>Batch 182</v>
      </c>
      <c r="B1303" s="9" t="str">
        <f>IFERROR(__xludf.DUMMYFUNCTION("""COMPUTED_VALUE"""),"adityaTC82")</f>
        <v>adityaTC82</v>
      </c>
      <c r="C1303" s="8">
        <f>IFERROR(__xludf.DUMMYFUNCTION("""COMPUTED_VALUE"""),0.0)</f>
        <v>0</v>
      </c>
      <c r="D1303" s="8"/>
    </row>
    <row r="1304">
      <c r="A1304" s="9" t="str">
        <f>IFERROR(__xludf.DUMMYFUNCTION("""COMPUTED_VALUE"""),"Batch 182")</f>
        <v>Batch 182</v>
      </c>
      <c r="B1304" s="9" t="str">
        <f>IFERROR(__xludf.DUMMYFUNCTION("""COMPUTED_VALUE"""),"NamrataC82")</f>
        <v>NamrataC82</v>
      </c>
      <c r="C1304" s="8">
        <f>IFERROR(__xludf.DUMMYFUNCTION("""COMPUTED_VALUE"""),0.0)</f>
        <v>0</v>
      </c>
      <c r="D1304" s="8"/>
    </row>
    <row r="1305">
      <c r="A1305" s="9" t="str">
        <f>IFERROR(__xludf.DUMMYFUNCTION("""COMPUTED_VALUE"""),"Batch 182")</f>
        <v>Batch 182</v>
      </c>
      <c r="B1305" s="9" t="str">
        <f>IFERROR(__xludf.DUMMYFUNCTION("""COMPUTED_VALUE"""),"DITIC82")</f>
        <v>DITIC82</v>
      </c>
      <c r="C1305" s="8">
        <f>IFERROR(__xludf.DUMMYFUNCTION("""COMPUTED_VALUE"""),0.0)</f>
        <v>0</v>
      </c>
      <c r="D1305" s="8"/>
    </row>
    <row r="1306">
      <c r="A1306" s="9" t="str">
        <f>IFERROR(__xludf.DUMMYFUNCTION("""COMPUTED_VALUE"""),"Batch 182")</f>
        <v>Batch 182</v>
      </c>
      <c r="B1306" s="9" t="str">
        <f>IFERROR(__xludf.DUMMYFUNCTION("""COMPUTED_VALUE"""),"VibhuC82")</f>
        <v>VibhuC82</v>
      </c>
      <c r="C1306" s="8">
        <f>IFERROR(__xludf.DUMMYFUNCTION("""COMPUTED_VALUE"""),0.0)</f>
        <v>0</v>
      </c>
      <c r="D1306" s="8"/>
    </row>
    <row r="1307">
      <c r="A1307" s="9" t="str">
        <f>IFERROR(__xludf.DUMMYFUNCTION("""COMPUTED_VALUE"""),"Batch 182")</f>
        <v>Batch 182</v>
      </c>
      <c r="B1307" s="9" t="str">
        <f>IFERROR(__xludf.DUMMYFUNCTION("""COMPUTED_VALUE"""),"PRAKHARC82")</f>
        <v>PRAKHARC82</v>
      </c>
      <c r="C1307" s="8">
        <f>IFERROR(__xludf.DUMMYFUNCTION("""COMPUTED_VALUE"""),0.0)</f>
        <v>0</v>
      </c>
      <c r="D1307" s="8"/>
    </row>
    <row r="1308">
      <c r="A1308" s="9" t="str">
        <f>IFERROR(__xludf.DUMMYFUNCTION("""COMPUTED_VALUE"""),"Batch 182")</f>
        <v>Batch 182</v>
      </c>
      <c r="B1308" s="9" t="str">
        <f>IFERROR(__xludf.DUMMYFUNCTION("""COMPUTED_VALUE"""),"KUNALC82")</f>
        <v>KUNALC82</v>
      </c>
      <c r="C1308" s="8">
        <f>IFERROR(__xludf.DUMMYFUNCTION("""COMPUTED_VALUE"""),0.0)</f>
        <v>0</v>
      </c>
      <c r="D1308" s="8"/>
    </row>
    <row r="1309">
      <c r="A1309" s="9" t="str">
        <f>IFERROR(__xludf.DUMMYFUNCTION("""COMPUTED_VALUE"""),"Batch 182")</f>
        <v>Batch 182</v>
      </c>
      <c r="B1309" s="9" t="str">
        <f>IFERROR(__xludf.DUMMYFUNCTION("""COMPUTED_VALUE"""),"SHIKSHAC82")</f>
        <v>SHIKSHAC82</v>
      </c>
      <c r="C1309" s="8">
        <f>IFERROR(__xludf.DUMMYFUNCTION("""COMPUTED_VALUE"""),0.0)</f>
        <v>0</v>
      </c>
      <c r="D1309" s="8"/>
    </row>
    <row r="1310">
      <c r="A1310" s="9" t="str">
        <f>IFERROR(__xludf.DUMMYFUNCTION("""COMPUTED_VALUE"""),"Batch 182")</f>
        <v>Batch 182</v>
      </c>
      <c r="B1310" s="9" t="str">
        <f>IFERROR(__xludf.DUMMYFUNCTION("""COMPUTED_VALUE"""),"ISHAANC82")</f>
        <v>ISHAANC82</v>
      </c>
      <c r="C1310" s="8">
        <f>IFERROR(__xludf.DUMMYFUNCTION("""COMPUTED_VALUE"""),0.0)</f>
        <v>0</v>
      </c>
      <c r="D1310" s="8"/>
    </row>
    <row r="1311">
      <c r="A1311" s="9" t="str">
        <f>IFERROR(__xludf.DUMMYFUNCTION("""COMPUTED_VALUE"""),"Batch 182")</f>
        <v>Batch 182</v>
      </c>
      <c r="B1311" s="9" t="str">
        <f>IFERROR(__xludf.DUMMYFUNCTION("""COMPUTED_VALUE"""),"SANKHAC82")</f>
        <v>SANKHAC82</v>
      </c>
      <c r="C1311" s="8">
        <f>IFERROR(__xludf.DUMMYFUNCTION("""COMPUTED_VALUE"""),0.0)</f>
        <v>0</v>
      </c>
      <c r="D1311" s="8"/>
    </row>
    <row r="1312">
      <c r="A1312" s="9" t="str">
        <f>IFERROR(__xludf.DUMMYFUNCTION("""COMPUTED_VALUE"""),"Batch 182")</f>
        <v>Batch 182</v>
      </c>
      <c r="B1312" s="9" t="str">
        <f>IFERROR(__xludf.DUMMYFUNCTION("""COMPUTED_VALUE"""),"SHUBHAMC82")</f>
        <v>SHUBHAMC82</v>
      </c>
      <c r="C1312" s="8">
        <f>IFERROR(__xludf.DUMMYFUNCTION("""COMPUTED_VALUE"""),0.0)</f>
        <v>0</v>
      </c>
      <c r="D1312" s="8"/>
    </row>
    <row r="1313">
      <c r="A1313" s="9" t="str">
        <f>IFERROR(__xludf.DUMMYFUNCTION("""COMPUTED_VALUE"""),"Batch 182")</f>
        <v>Batch 182</v>
      </c>
      <c r="B1313" s="9" t="str">
        <f>IFERROR(__xludf.DUMMYFUNCTION("""COMPUTED_VALUE"""),"ArunC82")</f>
        <v>ArunC82</v>
      </c>
      <c r="C1313" s="8">
        <f>IFERROR(__xludf.DUMMYFUNCTION("""COMPUTED_VALUE"""),0.0)</f>
        <v>0</v>
      </c>
      <c r="D1313" s="8"/>
    </row>
    <row r="1314">
      <c r="A1314" s="9" t="str">
        <f>IFERROR(__xludf.DUMMYFUNCTION("""COMPUTED_VALUE"""),"Batch 182")</f>
        <v>Batch 182</v>
      </c>
      <c r="B1314" s="9" t="str">
        <f>IFERROR(__xludf.DUMMYFUNCTION("""COMPUTED_VALUE"""),"ZulekhaC82")</f>
        <v>ZulekhaC82</v>
      </c>
      <c r="C1314" s="8">
        <f>IFERROR(__xludf.DUMMYFUNCTION("""COMPUTED_VALUE"""),0.0)</f>
        <v>0</v>
      </c>
      <c r="D1314" s="8"/>
    </row>
    <row r="1315">
      <c r="A1315" s="9" t="str">
        <f>IFERROR(__xludf.DUMMYFUNCTION("""COMPUTED_VALUE"""),"Batch 182")</f>
        <v>Batch 182</v>
      </c>
      <c r="B1315" s="9" t="str">
        <f>IFERROR(__xludf.DUMMYFUNCTION("""COMPUTED_VALUE"""),"KajalC82")</f>
        <v>KajalC82</v>
      </c>
      <c r="C1315" s="8">
        <f>IFERROR(__xludf.DUMMYFUNCTION("""COMPUTED_VALUE"""),0.0)</f>
        <v>0</v>
      </c>
      <c r="D1315" s="8"/>
    </row>
    <row r="1316">
      <c r="A1316" s="9" t="str">
        <f>IFERROR(__xludf.DUMMYFUNCTION("""COMPUTED_VALUE"""),"Batch 182")</f>
        <v>Batch 182</v>
      </c>
      <c r="B1316" s="9" t="str">
        <f>IFERROR(__xludf.DUMMYFUNCTION("""COMPUTED_VALUE"""),"KiranC82")</f>
        <v>KiranC82</v>
      </c>
      <c r="C1316" s="8">
        <f>IFERROR(__xludf.DUMMYFUNCTION("""COMPUTED_VALUE"""),0.0)</f>
        <v>0</v>
      </c>
      <c r="D1316" s="8"/>
    </row>
    <row r="1317">
      <c r="A1317" s="9" t="str">
        <f>IFERROR(__xludf.DUMMYFUNCTION("""COMPUTED_VALUE"""),"Batch 182")</f>
        <v>Batch 182</v>
      </c>
      <c r="B1317" s="9" t="str">
        <f>IFERROR(__xludf.DUMMYFUNCTION("""COMPUTED_VALUE"""),"Y.C82")</f>
        <v>Y.C82</v>
      </c>
      <c r="C1317" s="8">
        <f>IFERROR(__xludf.DUMMYFUNCTION("""COMPUTED_VALUE"""),0.0)</f>
        <v>0</v>
      </c>
      <c r="D1317" s="8"/>
    </row>
    <row r="1318">
      <c r="A1318" s="9" t="str">
        <f>IFERROR(__xludf.DUMMYFUNCTION("""COMPUTED_VALUE"""),"Batch 182")</f>
        <v>Batch 182</v>
      </c>
      <c r="B1318" s="9" t="str">
        <f>IFERROR(__xludf.DUMMYFUNCTION("""COMPUTED_VALUE"""),"VasanthKumarC82")</f>
        <v>VasanthKumarC82</v>
      </c>
      <c r="C1318" s="8">
        <f>IFERROR(__xludf.DUMMYFUNCTION("""COMPUTED_VALUE"""),0.0)</f>
        <v>0</v>
      </c>
      <c r="D1318" s="8"/>
    </row>
    <row r="1319">
      <c r="A1319" s="9" t="str">
        <f>IFERROR(__xludf.DUMMYFUNCTION("""COMPUTED_VALUE"""),"Batch 182")</f>
        <v>Batch 182</v>
      </c>
      <c r="B1319" s="9" t="str">
        <f>IFERROR(__xludf.DUMMYFUNCTION("""COMPUTED_VALUE"""),"NILMONIC82")</f>
        <v>NILMONIC82</v>
      </c>
      <c r="C1319" s="8">
        <f>IFERROR(__xludf.DUMMYFUNCTION("""COMPUTED_VALUE"""),0.0)</f>
        <v>0</v>
      </c>
      <c r="D1319" s="8"/>
    </row>
    <row r="1320">
      <c r="A1320" s="9"/>
      <c r="B1320" s="9"/>
      <c r="C1320" s="8">
        <f>IFERROR(__xludf.DUMMYFUNCTION("""COMPUTED_VALUE"""),0.0)</f>
        <v>0</v>
      </c>
      <c r="D1320" s="8"/>
    </row>
    <row r="1321">
      <c r="A1321" s="9" t="str">
        <f>IFERROR(__xludf.DUMMYFUNCTION("""COMPUTED_VALUE"""),"Batch 183")</f>
        <v>Batch 183</v>
      </c>
      <c r="B1321" s="9" t="str">
        <f>IFERROR(__xludf.DUMMYFUNCTION("""COMPUTED_VALUE"""),"HardikC82")</f>
        <v>HardikC82</v>
      </c>
      <c r="C1321" s="8">
        <f>IFERROR(__xludf.DUMMYFUNCTION("""COMPUTED_VALUE"""),12.0)</f>
        <v>12</v>
      </c>
      <c r="D1321" s="8">
        <f>IFERROR(__xludf.DUMMYFUNCTION("""COMPUTED_VALUE"""),1.0)</f>
        <v>1</v>
      </c>
    </row>
    <row r="1322">
      <c r="A1322" s="9" t="str">
        <f>IFERROR(__xludf.DUMMYFUNCTION("""COMPUTED_VALUE"""),"Batch 183")</f>
        <v>Batch 183</v>
      </c>
      <c r="B1322" s="9" t="str">
        <f>IFERROR(__xludf.DUMMYFUNCTION("""COMPUTED_VALUE"""),"JatinC82")</f>
        <v>JatinC82</v>
      </c>
      <c r="C1322" s="8">
        <f>IFERROR(__xludf.DUMMYFUNCTION("""COMPUTED_VALUE"""),0.0)</f>
        <v>0</v>
      </c>
      <c r="D1322" s="8"/>
    </row>
    <row r="1323">
      <c r="A1323" s="9" t="str">
        <f>IFERROR(__xludf.DUMMYFUNCTION("""COMPUTED_VALUE"""),"Batch 183")</f>
        <v>Batch 183</v>
      </c>
      <c r="B1323" s="9" t="str">
        <f>IFERROR(__xludf.DUMMYFUNCTION("""COMPUTED_VALUE"""),"SamarC82")</f>
        <v>SamarC82</v>
      </c>
      <c r="C1323" s="8">
        <f>IFERROR(__xludf.DUMMYFUNCTION("""COMPUTED_VALUE"""),0.0)</f>
        <v>0</v>
      </c>
      <c r="D1323" s="8"/>
    </row>
    <row r="1324">
      <c r="A1324" s="9" t="str">
        <f>IFERROR(__xludf.DUMMYFUNCTION("""COMPUTED_VALUE"""),"Batch 183")</f>
        <v>Batch 183</v>
      </c>
      <c r="B1324" s="9" t="str">
        <f>IFERROR(__xludf.DUMMYFUNCTION("""COMPUTED_VALUE"""),"DIPESHC82")</f>
        <v>DIPESHC82</v>
      </c>
      <c r="C1324" s="8">
        <f>IFERROR(__xludf.DUMMYFUNCTION("""COMPUTED_VALUE"""),0.0)</f>
        <v>0</v>
      </c>
      <c r="D1324" s="8"/>
    </row>
    <row r="1325">
      <c r="A1325" s="9" t="str">
        <f>IFERROR(__xludf.DUMMYFUNCTION("""COMPUTED_VALUE"""),"Batch 183")</f>
        <v>Batch 183</v>
      </c>
      <c r="B1325" s="9" t="str">
        <f>IFERROR(__xludf.DUMMYFUNCTION("""COMPUTED_VALUE"""),"AmanC82")</f>
        <v>AmanC82</v>
      </c>
      <c r="C1325" s="8">
        <f>IFERROR(__xludf.DUMMYFUNCTION("""COMPUTED_VALUE"""),0.0)</f>
        <v>0</v>
      </c>
      <c r="D1325" s="8"/>
    </row>
    <row r="1326">
      <c r="A1326" s="9" t="str">
        <f>IFERROR(__xludf.DUMMYFUNCTION("""COMPUTED_VALUE"""),"Batch 183")</f>
        <v>Batch 183</v>
      </c>
      <c r="B1326" s="9" t="str">
        <f>IFERROR(__xludf.DUMMYFUNCTION("""COMPUTED_VALUE"""),"AnuragC82")</f>
        <v>AnuragC82</v>
      </c>
      <c r="C1326" s="8">
        <f>IFERROR(__xludf.DUMMYFUNCTION("""COMPUTED_VALUE"""),1.0)</f>
        <v>1</v>
      </c>
      <c r="D1326" s="8"/>
    </row>
    <row r="1327">
      <c r="A1327" s="9" t="str">
        <f>IFERROR(__xludf.DUMMYFUNCTION("""COMPUTED_VALUE"""),"Batch 183")</f>
        <v>Batch 183</v>
      </c>
      <c r="B1327" s="9" t="str">
        <f>IFERROR(__xludf.DUMMYFUNCTION("""COMPUTED_VALUE"""),"BittuC83")</f>
        <v>BittuC83</v>
      </c>
      <c r="C1327" s="8">
        <f>IFERROR(__xludf.DUMMYFUNCTION("""COMPUTED_VALUE"""),0.0)</f>
        <v>0</v>
      </c>
      <c r="D1327" s="8"/>
    </row>
    <row r="1328">
      <c r="A1328" s="9" t="str">
        <f>IFERROR(__xludf.DUMMYFUNCTION("""COMPUTED_VALUE"""),"Batch 183")</f>
        <v>Batch 183</v>
      </c>
      <c r="B1328" s="9" t="str">
        <f>IFERROR(__xludf.DUMMYFUNCTION("""COMPUTED_VALUE"""),"NehaC83")</f>
        <v>NehaC83</v>
      </c>
      <c r="C1328" s="8">
        <f>IFERROR(__xludf.DUMMYFUNCTION("""COMPUTED_VALUE"""),0.0)</f>
        <v>0</v>
      </c>
      <c r="D1328" s="8"/>
    </row>
    <row r="1329">
      <c r="A1329" s="9" t="str">
        <f>IFERROR(__xludf.DUMMYFUNCTION("""COMPUTED_VALUE"""),"Batch 183")</f>
        <v>Batch 183</v>
      </c>
      <c r="B1329" s="9" t="str">
        <f>IFERROR(__xludf.DUMMYFUNCTION("""COMPUTED_VALUE"""),"ArjunC83")</f>
        <v>ArjunC83</v>
      </c>
      <c r="C1329" s="8">
        <f>IFERROR(__xludf.DUMMYFUNCTION("""COMPUTED_VALUE"""),0.0)</f>
        <v>0</v>
      </c>
      <c r="D1329" s="8"/>
    </row>
    <row r="1330">
      <c r="A1330" s="9" t="str">
        <f>IFERROR(__xludf.DUMMYFUNCTION("""COMPUTED_VALUE"""),"Batch 183")</f>
        <v>Batch 183</v>
      </c>
      <c r="B1330" s="9" t="str">
        <f>IFERROR(__xludf.DUMMYFUNCTION("""COMPUTED_VALUE"""),"MananC83")</f>
        <v>MananC83</v>
      </c>
      <c r="C1330" s="8">
        <f>IFERROR(__xludf.DUMMYFUNCTION("""COMPUTED_VALUE"""),0.0)</f>
        <v>0</v>
      </c>
      <c r="D1330" s="8"/>
    </row>
    <row r="1331">
      <c r="A1331" s="9" t="str">
        <f>IFERROR(__xludf.DUMMYFUNCTION("""COMPUTED_VALUE"""),"Batch 183")</f>
        <v>Batch 183</v>
      </c>
      <c r="B1331" s="9" t="str">
        <f>IFERROR(__xludf.DUMMYFUNCTION("""COMPUTED_VALUE"""),"AradhyaC83")</f>
        <v>AradhyaC83</v>
      </c>
      <c r="C1331" s="8">
        <f>IFERROR(__xludf.DUMMYFUNCTION("""COMPUTED_VALUE"""),0.0)</f>
        <v>0</v>
      </c>
      <c r="D1331" s="8"/>
    </row>
    <row r="1332">
      <c r="A1332" s="9" t="str">
        <f>IFERROR(__xludf.DUMMYFUNCTION("""COMPUTED_VALUE"""),"Batch 183")</f>
        <v>Batch 183</v>
      </c>
      <c r="B1332" s="9" t="str">
        <f>IFERROR(__xludf.DUMMYFUNCTION("""COMPUTED_VALUE"""),"SubhanshuC83")</f>
        <v>SubhanshuC83</v>
      </c>
      <c r="C1332" s="8">
        <f>IFERROR(__xludf.DUMMYFUNCTION("""COMPUTED_VALUE"""),0.0)</f>
        <v>0</v>
      </c>
      <c r="D1332" s="8"/>
    </row>
    <row r="1333">
      <c r="A1333" s="9" t="str">
        <f>IFERROR(__xludf.DUMMYFUNCTION("""COMPUTED_VALUE"""),"Batch 183")</f>
        <v>Batch 183</v>
      </c>
      <c r="B1333" s="9" t="str">
        <f>IFERROR(__xludf.DUMMYFUNCTION("""COMPUTED_VALUE"""),"AditiC83")</f>
        <v>AditiC83</v>
      </c>
      <c r="C1333" s="8">
        <f>IFERROR(__xludf.DUMMYFUNCTION("""COMPUTED_VALUE"""),0.0)</f>
        <v>0</v>
      </c>
      <c r="D1333" s="8"/>
    </row>
    <row r="1334">
      <c r="A1334" s="9" t="str">
        <f>IFERROR(__xludf.DUMMYFUNCTION("""COMPUTED_VALUE"""),"Batch 183")</f>
        <v>Batch 183</v>
      </c>
      <c r="B1334" s="9" t="str">
        <f>IFERROR(__xludf.DUMMYFUNCTION("""COMPUTED_VALUE"""),"DhanushC83")</f>
        <v>DhanushC83</v>
      </c>
      <c r="C1334" s="8">
        <f>IFERROR(__xludf.DUMMYFUNCTION("""COMPUTED_VALUE"""),0.0)</f>
        <v>0</v>
      </c>
      <c r="D1334" s="8"/>
    </row>
    <row r="1335">
      <c r="A1335" s="9" t="str">
        <f>IFERROR(__xludf.DUMMYFUNCTION("""COMPUTED_VALUE"""),"Batch 183")</f>
        <v>Batch 183</v>
      </c>
      <c r="B1335" s="9" t="str">
        <f>IFERROR(__xludf.DUMMYFUNCTION("""COMPUTED_VALUE"""),"ManishC83")</f>
        <v>ManishC83</v>
      </c>
      <c r="C1335" s="8">
        <f>IFERROR(__xludf.DUMMYFUNCTION("""COMPUTED_VALUE"""),0.0)</f>
        <v>0</v>
      </c>
      <c r="D1335" s="8"/>
    </row>
    <row r="1336">
      <c r="A1336" s="9" t="str">
        <f>IFERROR(__xludf.DUMMYFUNCTION("""COMPUTED_VALUE"""),"Batch 183")</f>
        <v>Batch 183</v>
      </c>
      <c r="B1336" s="9" t="str">
        <f>IFERROR(__xludf.DUMMYFUNCTION("""COMPUTED_VALUE"""),"NehaC83")</f>
        <v>NehaC83</v>
      </c>
      <c r="C1336" s="8">
        <f>IFERROR(__xludf.DUMMYFUNCTION("""COMPUTED_VALUE"""),0.0)</f>
        <v>0</v>
      </c>
      <c r="D1336" s="8"/>
    </row>
    <row r="1337">
      <c r="A1337" s="9" t="str">
        <f>IFERROR(__xludf.DUMMYFUNCTION("""COMPUTED_VALUE"""),"Batch 183")</f>
        <v>Batch 183</v>
      </c>
      <c r="B1337" s="9" t="str">
        <f>IFERROR(__xludf.DUMMYFUNCTION("""COMPUTED_VALUE"""),"HarshC83")</f>
        <v>HarshC83</v>
      </c>
      <c r="C1337" s="8">
        <f>IFERROR(__xludf.DUMMYFUNCTION("""COMPUTED_VALUE"""),0.0)</f>
        <v>0</v>
      </c>
      <c r="D1337" s="8"/>
    </row>
    <row r="1338">
      <c r="A1338" s="9" t="str">
        <f>IFERROR(__xludf.DUMMYFUNCTION("""COMPUTED_VALUE"""),"Batch 183")</f>
        <v>Batch 183</v>
      </c>
      <c r="B1338" s="9" t="str">
        <f>IFERROR(__xludf.DUMMYFUNCTION("""COMPUTED_VALUE"""),"RushikeshC83")</f>
        <v>RushikeshC83</v>
      </c>
      <c r="C1338" s="8">
        <f>IFERROR(__xludf.DUMMYFUNCTION("""COMPUTED_VALUE"""),8.0)</f>
        <v>8</v>
      </c>
      <c r="D1338" s="8"/>
    </row>
    <row r="1339">
      <c r="A1339" s="9" t="str">
        <f>IFERROR(__xludf.DUMMYFUNCTION("""COMPUTED_VALUE"""),"Batch 183")</f>
        <v>Batch 183</v>
      </c>
      <c r="B1339" s="9" t="str">
        <f>IFERROR(__xludf.DUMMYFUNCTION("""COMPUTED_VALUE"""),"AmanC83")</f>
        <v>AmanC83</v>
      </c>
      <c r="C1339" s="8">
        <f>IFERROR(__xludf.DUMMYFUNCTION("""COMPUTED_VALUE"""),0.0)</f>
        <v>0</v>
      </c>
      <c r="D1339" s="8"/>
    </row>
    <row r="1340">
      <c r="A1340" s="9" t="str">
        <f>IFERROR(__xludf.DUMMYFUNCTION("""COMPUTED_VALUE"""),"Batch 183")</f>
        <v>Batch 183</v>
      </c>
      <c r="B1340" s="9" t="str">
        <f>IFERROR(__xludf.DUMMYFUNCTION("""COMPUTED_VALUE"""),"KanishkaC83")</f>
        <v>KanishkaC83</v>
      </c>
      <c r="C1340" s="8">
        <f>IFERROR(__xludf.DUMMYFUNCTION("""COMPUTED_VALUE"""),0.0)</f>
        <v>0</v>
      </c>
      <c r="D1340" s="8"/>
    </row>
    <row r="1341">
      <c r="A1341" s="9" t="str">
        <f>IFERROR(__xludf.DUMMYFUNCTION("""COMPUTED_VALUE"""),"Batch 183")</f>
        <v>Batch 183</v>
      </c>
      <c r="B1341" s="9" t="str">
        <f>IFERROR(__xludf.DUMMYFUNCTION("""COMPUTED_VALUE"""),"JatinC83")</f>
        <v>JatinC83</v>
      </c>
      <c r="C1341" s="8">
        <f>IFERROR(__xludf.DUMMYFUNCTION("""COMPUTED_VALUE"""),0.0)</f>
        <v>0</v>
      </c>
      <c r="D1341" s="8"/>
    </row>
    <row r="1342">
      <c r="A1342" s="9" t="str">
        <f>IFERROR(__xludf.DUMMYFUNCTION("""COMPUTED_VALUE"""),"Batch 183")</f>
        <v>Batch 183</v>
      </c>
      <c r="B1342" s="9" t="str">
        <f>IFERROR(__xludf.DUMMYFUNCTION("""COMPUTED_VALUE"""),"HarshitC83")</f>
        <v>HarshitC83</v>
      </c>
      <c r="C1342" s="8">
        <f>IFERROR(__xludf.DUMMYFUNCTION("""COMPUTED_VALUE"""),0.0)</f>
        <v>0</v>
      </c>
      <c r="D1342" s="8"/>
    </row>
    <row r="1343">
      <c r="A1343" s="9" t="str">
        <f>IFERROR(__xludf.DUMMYFUNCTION("""COMPUTED_VALUE"""),"Batch 183")</f>
        <v>Batch 183</v>
      </c>
      <c r="B1343" s="9" t="str">
        <f>IFERROR(__xludf.DUMMYFUNCTION("""COMPUTED_VALUE"""),"AkashC83")</f>
        <v>AkashC83</v>
      </c>
      <c r="C1343" s="8">
        <f>IFERROR(__xludf.DUMMYFUNCTION("""COMPUTED_VALUE"""),0.0)</f>
        <v>0</v>
      </c>
      <c r="D1343" s="8"/>
    </row>
    <row r="1344">
      <c r="A1344" s="9" t="str">
        <f>IFERROR(__xludf.DUMMYFUNCTION("""COMPUTED_VALUE"""),"Batch 183")</f>
        <v>Batch 183</v>
      </c>
      <c r="B1344" s="9" t="str">
        <f>IFERROR(__xludf.DUMMYFUNCTION("""COMPUTED_VALUE"""),"SarthakC83")</f>
        <v>SarthakC83</v>
      </c>
      <c r="C1344" s="8">
        <f>IFERROR(__xludf.DUMMYFUNCTION("""COMPUTED_VALUE"""),0.0)</f>
        <v>0</v>
      </c>
      <c r="D1344" s="8"/>
    </row>
    <row r="1345">
      <c r="A1345" s="9" t="str">
        <f>IFERROR(__xludf.DUMMYFUNCTION("""COMPUTED_VALUE"""),"Batch 183")</f>
        <v>Batch 183</v>
      </c>
      <c r="B1345" s="9" t="str">
        <f>IFERROR(__xludf.DUMMYFUNCTION("""COMPUTED_VALUE"""),"ArjunC83")</f>
        <v>ArjunC83</v>
      </c>
      <c r="C1345" s="8">
        <f>IFERROR(__xludf.DUMMYFUNCTION("""COMPUTED_VALUE"""),0.0)</f>
        <v>0</v>
      </c>
      <c r="D1345" s="8"/>
    </row>
    <row r="1346">
      <c r="A1346" s="9" t="str">
        <f>IFERROR(__xludf.DUMMYFUNCTION("""COMPUTED_VALUE"""),"Batch 183")</f>
        <v>Batch 183</v>
      </c>
      <c r="B1346" s="9" t="str">
        <f>IFERROR(__xludf.DUMMYFUNCTION("""COMPUTED_VALUE"""),"SarthakC83")</f>
        <v>SarthakC83</v>
      </c>
      <c r="C1346" s="8">
        <f>IFERROR(__xludf.DUMMYFUNCTION("""COMPUTED_VALUE"""),0.0)</f>
        <v>0</v>
      </c>
      <c r="D1346" s="8"/>
    </row>
    <row r="1347">
      <c r="A1347" s="9"/>
      <c r="B1347" s="9"/>
      <c r="C1347" s="8">
        <f>IFERROR(__xludf.DUMMYFUNCTION("""COMPUTED_VALUE"""),0.0)</f>
        <v>0</v>
      </c>
      <c r="D1347" s="8"/>
    </row>
    <row r="1348">
      <c r="A1348" s="9" t="str">
        <f>IFERROR(__xludf.DUMMYFUNCTION("""COMPUTED_VALUE"""),"Batch 183")</f>
        <v>Batch 183</v>
      </c>
      <c r="B1348" s="9" t="str">
        <f>IFERROR(__xludf.DUMMYFUNCTION("""COMPUTED_VALUE"""),"RameshC83")</f>
        <v>RameshC83</v>
      </c>
      <c r="C1348" s="8">
        <f>IFERROR(__xludf.DUMMYFUNCTION("""COMPUTED_VALUE"""),0.0)</f>
        <v>0</v>
      </c>
      <c r="D1348" s="8"/>
    </row>
    <row r="1349">
      <c r="A1349" s="9" t="str">
        <f>IFERROR(__xludf.DUMMYFUNCTION("""COMPUTED_VALUE"""),"Batch 183")</f>
        <v>Batch 183</v>
      </c>
      <c r="B1349" s="9" t="str">
        <f>IFERROR(__xludf.DUMMYFUNCTION("""COMPUTED_VALUE"""),"SarmanpreetC83")</f>
        <v>SarmanpreetC83</v>
      </c>
      <c r="C1349" s="8">
        <f>IFERROR(__xludf.DUMMYFUNCTION("""COMPUTED_VALUE"""),0.0)</f>
        <v>0</v>
      </c>
      <c r="D1349" s="8"/>
    </row>
    <row r="1350">
      <c r="A1350" s="9" t="str">
        <f>IFERROR(__xludf.DUMMYFUNCTION("""COMPUTED_VALUE"""),"Batch 183")</f>
        <v>Batch 183</v>
      </c>
      <c r="B1350" s="9" t="str">
        <f>IFERROR(__xludf.DUMMYFUNCTION("""COMPUTED_VALUE"""),"SuriyaC83")</f>
        <v>SuriyaC83</v>
      </c>
      <c r="C1350" s="8">
        <f>IFERROR(__xludf.DUMMYFUNCTION("""COMPUTED_VALUE"""),0.0)</f>
        <v>0</v>
      </c>
      <c r="D1350" s="8"/>
    </row>
    <row r="1351">
      <c r="A1351" s="9" t="str">
        <f>IFERROR(__xludf.DUMMYFUNCTION("""COMPUTED_VALUE"""),"Batch 183")</f>
        <v>Batch 183</v>
      </c>
      <c r="B1351" s="9" t="str">
        <f>IFERROR(__xludf.DUMMYFUNCTION("""COMPUTED_VALUE"""),"IshanC83")</f>
        <v>IshanC83</v>
      </c>
      <c r="C1351" s="8">
        <f>IFERROR(__xludf.DUMMYFUNCTION("""COMPUTED_VALUE"""),0.0)</f>
        <v>0</v>
      </c>
      <c r="D1351" s="8"/>
    </row>
    <row r="1352">
      <c r="A1352" s="9" t="str">
        <f>IFERROR(__xludf.DUMMYFUNCTION("""COMPUTED_VALUE"""),"Batch 183")</f>
        <v>Batch 183</v>
      </c>
      <c r="B1352" s="9" t="str">
        <f>IFERROR(__xludf.DUMMYFUNCTION("""COMPUTED_VALUE"""),"DivyanshC83")</f>
        <v>DivyanshC83</v>
      </c>
      <c r="C1352" s="8">
        <f>IFERROR(__xludf.DUMMYFUNCTION("""COMPUTED_VALUE"""),0.0)</f>
        <v>0</v>
      </c>
      <c r="D1352" s="8"/>
    </row>
    <row r="1353">
      <c r="A1353" s="9" t="str">
        <f>IFERROR(__xludf.DUMMYFUNCTION("""COMPUTED_VALUE"""),"Batch 183")</f>
        <v>Batch 183</v>
      </c>
      <c r="B1353" s="9" t="str">
        <f>IFERROR(__xludf.DUMMYFUNCTION("""COMPUTED_VALUE"""),"AyushC83")</f>
        <v>AyushC83</v>
      </c>
      <c r="C1353" s="8">
        <f>IFERROR(__xludf.DUMMYFUNCTION("""COMPUTED_VALUE"""),0.0)</f>
        <v>0</v>
      </c>
      <c r="D1353" s="8"/>
    </row>
    <row r="1354">
      <c r="A1354" s="9" t="str">
        <f>IFERROR(__xludf.DUMMYFUNCTION("""COMPUTED_VALUE"""),"Batch 183")</f>
        <v>Batch 183</v>
      </c>
      <c r="B1354" s="9" t="str">
        <f>IFERROR(__xludf.DUMMYFUNCTION("""COMPUTED_VALUE"""),"AbhayPC83")</f>
        <v>AbhayPC83</v>
      </c>
      <c r="C1354" s="8">
        <f>IFERROR(__xludf.DUMMYFUNCTION("""COMPUTED_VALUE"""),0.0)</f>
        <v>0</v>
      </c>
      <c r="D1354" s="8"/>
    </row>
    <row r="1355">
      <c r="A1355" s="9" t="str">
        <f>IFERROR(__xludf.DUMMYFUNCTION("""COMPUTED_VALUE"""),"Batch 183")</f>
        <v>Batch 183</v>
      </c>
      <c r="B1355" s="9" t="str">
        <f>IFERROR(__xludf.DUMMYFUNCTION("""COMPUTED_VALUE"""),"PriyanshuC83")</f>
        <v>PriyanshuC83</v>
      </c>
      <c r="C1355" s="8">
        <f>IFERROR(__xludf.DUMMYFUNCTION("""COMPUTED_VALUE"""),0.0)</f>
        <v>0</v>
      </c>
      <c r="D1355" s="8"/>
    </row>
    <row r="1356">
      <c r="A1356" s="9" t="str">
        <f>IFERROR(__xludf.DUMMYFUNCTION("""COMPUTED_VALUE"""),"Batch 183")</f>
        <v>Batch 183</v>
      </c>
      <c r="B1356" s="9" t="str">
        <f>IFERROR(__xludf.DUMMYFUNCTION("""COMPUTED_VALUE"""),"HimaniC83")</f>
        <v>HimaniC83</v>
      </c>
      <c r="C1356" s="8">
        <f>IFERROR(__xludf.DUMMYFUNCTION("""COMPUTED_VALUE"""),0.0)</f>
        <v>0</v>
      </c>
      <c r="D1356" s="8"/>
    </row>
    <row r="1357">
      <c r="A1357" s="9" t="str">
        <f>IFERROR(__xludf.DUMMYFUNCTION("""COMPUTED_VALUE"""),"Batch 183")</f>
        <v>Batch 183</v>
      </c>
      <c r="B1357" s="9" t="str">
        <f>IFERROR(__xludf.DUMMYFUNCTION("""COMPUTED_VALUE"""),"KanishkaC83")</f>
        <v>KanishkaC83</v>
      </c>
      <c r="C1357" s="8">
        <f>IFERROR(__xludf.DUMMYFUNCTION("""COMPUTED_VALUE"""),0.0)</f>
        <v>0</v>
      </c>
      <c r="D1357" s="8"/>
    </row>
    <row r="1358">
      <c r="A1358" s="9" t="str">
        <f>IFERROR(__xludf.DUMMYFUNCTION("""COMPUTED_VALUE"""),"Batch 183")</f>
        <v>Batch 183</v>
      </c>
      <c r="B1358" s="9" t="str">
        <f>IFERROR(__xludf.DUMMYFUNCTION("""COMPUTED_VALUE"""),"VibhuC83")</f>
        <v>VibhuC83</v>
      </c>
      <c r="C1358" s="8">
        <f>IFERROR(__xludf.DUMMYFUNCTION("""COMPUTED_VALUE"""),0.0)</f>
        <v>0</v>
      </c>
      <c r="D1358" s="8"/>
    </row>
    <row r="1359">
      <c r="A1359" s="9" t="str">
        <f>IFERROR(__xludf.DUMMYFUNCTION("""COMPUTED_VALUE"""),"Batch 183")</f>
        <v>Batch 183</v>
      </c>
      <c r="B1359" s="9" t="str">
        <f>IFERROR(__xludf.DUMMYFUNCTION("""COMPUTED_VALUE"""),"AradhyaC83")</f>
        <v>AradhyaC83</v>
      </c>
      <c r="C1359" s="8">
        <f>IFERROR(__xludf.DUMMYFUNCTION("""COMPUTED_VALUE"""),0.0)</f>
        <v>0</v>
      </c>
      <c r="D1359" s="8"/>
    </row>
    <row r="1360">
      <c r="A1360" s="9" t="str">
        <f>IFERROR(__xludf.DUMMYFUNCTION("""COMPUTED_VALUE"""),"Batch 183")</f>
        <v>Batch 183</v>
      </c>
      <c r="B1360" s="9" t="str">
        <f>IFERROR(__xludf.DUMMYFUNCTION("""COMPUTED_VALUE"""),"NishaC83")</f>
        <v>NishaC83</v>
      </c>
      <c r="C1360" s="8">
        <f>IFERROR(__xludf.DUMMYFUNCTION("""COMPUTED_VALUE"""),0.0)</f>
        <v>0</v>
      </c>
      <c r="D1360" s="8"/>
    </row>
    <row r="1361">
      <c r="A1361" s="9" t="str">
        <f>IFERROR(__xludf.DUMMYFUNCTION("""COMPUTED_VALUE"""),"Batch 183")</f>
        <v>Batch 183</v>
      </c>
      <c r="B1361" s="9" t="str">
        <f>IFERROR(__xludf.DUMMYFUNCTION("""COMPUTED_VALUE"""),"SagarC83")</f>
        <v>SagarC83</v>
      </c>
      <c r="C1361" s="8">
        <f>IFERROR(__xludf.DUMMYFUNCTION("""COMPUTED_VALUE"""),0.0)</f>
        <v>0</v>
      </c>
      <c r="D1361" s="8"/>
    </row>
    <row r="1362">
      <c r="A1362" s="9" t="str">
        <f>IFERROR(__xludf.DUMMYFUNCTION("""COMPUTED_VALUE"""),"Batch 183")</f>
        <v>Batch 183</v>
      </c>
      <c r="B1362" s="9" t="str">
        <f>IFERROR(__xludf.DUMMYFUNCTION("""COMPUTED_VALUE"""),"SubhamC83")</f>
        <v>SubhamC83</v>
      </c>
      <c r="C1362" s="8">
        <f>IFERROR(__xludf.DUMMYFUNCTION("""COMPUTED_VALUE"""),0.0)</f>
        <v>0</v>
      </c>
      <c r="D1362" s="8"/>
    </row>
    <row r="1363">
      <c r="A1363" s="9"/>
      <c r="B1363" s="9"/>
      <c r="C1363" s="8">
        <f>IFERROR(__xludf.DUMMYFUNCTION("""COMPUTED_VALUE"""),0.0)</f>
        <v>0</v>
      </c>
      <c r="D1363" s="8"/>
    </row>
    <row r="1364">
      <c r="A1364" s="9" t="str">
        <f>IFERROR(__xludf.DUMMYFUNCTION("""COMPUTED_VALUE"""),"Batch 183")</f>
        <v>Batch 183</v>
      </c>
      <c r="B1364" s="9" t="str">
        <f>IFERROR(__xludf.DUMMYFUNCTION("""COMPUTED_VALUE"""),"HimanshuC83")</f>
        <v>HimanshuC83</v>
      </c>
      <c r="C1364" s="8">
        <f>IFERROR(__xludf.DUMMYFUNCTION("""COMPUTED_VALUE"""),0.0)</f>
        <v>0</v>
      </c>
      <c r="D1364" s="8"/>
    </row>
    <row r="1365">
      <c r="A1365" s="9" t="str">
        <f>IFERROR(__xludf.DUMMYFUNCTION("""COMPUTED_VALUE"""),"Batch 183")</f>
        <v>Batch 183</v>
      </c>
      <c r="B1365" s="9" t="str">
        <f>IFERROR(__xludf.DUMMYFUNCTION("""COMPUTED_VALUE"""),"RuqayaC83")</f>
        <v>RuqayaC83</v>
      </c>
      <c r="C1365" s="8">
        <f>IFERROR(__xludf.DUMMYFUNCTION("""COMPUTED_VALUE"""),0.0)</f>
        <v>0</v>
      </c>
      <c r="D1365" s="8"/>
    </row>
    <row r="1366">
      <c r="A1366" s="9" t="str">
        <f>IFERROR(__xludf.DUMMYFUNCTION("""COMPUTED_VALUE"""),"Batch 183")</f>
        <v>Batch 183</v>
      </c>
      <c r="B1366" s="9" t="str">
        <f>IFERROR(__xludf.DUMMYFUNCTION("""COMPUTED_VALUE"""),"MokshC83")</f>
        <v>MokshC83</v>
      </c>
      <c r="C1366" s="8">
        <f>IFERROR(__xludf.DUMMYFUNCTION("""COMPUTED_VALUE"""),0.0)</f>
        <v>0</v>
      </c>
      <c r="D1366" s="8"/>
    </row>
    <row r="1367">
      <c r="A1367" s="9" t="str">
        <f>IFERROR(__xludf.DUMMYFUNCTION("""COMPUTED_VALUE"""),"Batch 183")</f>
        <v>Batch 183</v>
      </c>
      <c r="B1367" s="9" t="str">
        <f>IFERROR(__xludf.DUMMYFUNCTION("""COMPUTED_VALUE"""),"MananC83")</f>
        <v>MananC83</v>
      </c>
      <c r="C1367" s="8">
        <f>IFERROR(__xludf.DUMMYFUNCTION("""COMPUTED_VALUE"""),0.0)</f>
        <v>0</v>
      </c>
      <c r="D1367" s="8"/>
    </row>
    <row r="1368">
      <c r="A1368" s="9" t="str">
        <f>IFERROR(__xludf.DUMMYFUNCTION("""COMPUTED_VALUE"""),"Batch 183")</f>
        <v>Batch 183</v>
      </c>
      <c r="B1368" s="9" t="str">
        <f>IFERROR(__xludf.DUMMYFUNCTION("""COMPUTED_VALUE"""),"RushikeshC83")</f>
        <v>RushikeshC83</v>
      </c>
      <c r="C1368" s="8">
        <f>IFERROR(__xludf.DUMMYFUNCTION("""COMPUTED_VALUE"""),0.0)</f>
        <v>0</v>
      </c>
      <c r="D1368" s="8"/>
    </row>
    <row r="1369">
      <c r="A1369" s="9" t="str">
        <f>IFERROR(__xludf.DUMMYFUNCTION("""COMPUTED_VALUE"""),"Batch 183")</f>
        <v>Batch 183</v>
      </c>
      <c r="B1369" s="9" t="str">
        <f>IFERROR(__xludf.DUMMYFUNCTION("""COMPUTED_VALUE"""),"GunsehajC83")</f>
        <v>GunsehajC83</v>
      </c>
      <c r="C1369" s="8">
        <f>IFERROR(__xludf.DUMMYFUNCTION("""COMPUTED_VALUE"""),0.0)</f>
        <v>0</v>
      </c>
      <c r="D1369" s="8"/>
    </row>
    <row r="1370">
      <c r="A1370" s="9"/>
      <c r="B1370" s="9"/>
      <c r="C1370" s="8">
        <f>IFERROR(__xludf.DUMMYFUNCTION("""COMPUTED_VALUE"""),0.0)</f>
        <v>0</v>
      </c>
      <c r="D1370" s="8"/>
    </row>
    <row r="1371">
      <c r="A1371" s="9" t="str">
        <f>IFERROR(__xludf.DUMMYFUNCTION("""COMPUTED_VALUE"""),"Batch 184")</f>
        <v>Batch 184</v>
      </c>
      <c r="B1371" s="9" t="str">
        <f>IFERROR(__xludf.DUMMYFUNCTION("""COMPUTED_VALUE"""),"RameshC84")</f>
        <v>RameshC84</v>
      </c>
      <c r="C1371" s="8">
        <f>IFERROR(__xludf.DUMMYFUNCTION("""COMPUTED_VALUE"""),0.0)</f>
        <v>0</v>
      </c>
      <c r="D1371" s="8"/>
    </row>
    <row r="1372">
      <c r="A1372" s="9" t="str">
        <f>IFERROR(__xludf.DUMMYFUNCTION("""COMPUTED_VALUE"""),"Batch 184")</f>
        <v>Batch 184</v>
      </c>
      <c r="B1372" s="9" t="str">
        <f>IFERROR(__xludf.DUMMYFUNCTION("""COMPUTED_VALUE"""),"SarmanpreetC84")</f>
        <v>SarmanpreetC84</v>
      </c>
      <c r="C1372" s="8">
        <f>IFERROR(__xludf.DUMMYFUNCTION("""COMPUTED_VALUE"""),0.0)</f>
        <v>0</v>
      </c>
      <c r="D1372" s="8"/>
    </row>
    <row r="1373">
      <c r="A1373" s="9" t="str">
        <f>IFERROR(__xludf.DUMMYFUNCTION("""COMPUTED_VALUE"""),"Batch 184")</f>
        <v>Batch 184</v>
      </c>
      <c r="B1373" s="9" t="str">
        <f>IFERROR(__xludf.DUMMYFUNCTION("""COMPUTED_VALUE"""),"SuriyaC84")</f>
        <v>SuriyaC84</v>
      </c>
      <c r="C1373" s="8">
        <f>IFERROR(__xludf.DUMMYFUNCTION("""COMPUTED_VALUE"""),0.0)</f>
        <v>0</v>
      </c>
      <c r="D1373" s="8"/>
    </row>
    <row r="1374">
      <c r="A1374" s="9" t="str">
        <f>IFERROR(__xludf.DUMMYFUNCTION("""COMPUTED_VALUE"""),"Batch 184")</f>
        <v>Batch 184</v>
      </c>
      <c r="B1374" s="9" t="str">
        <f>IFERROR(__xludf.DUMMYFUNCTION("""COMPUTED_VALUE"""),"IshanC84")</f>
        <v>IshanC84</v>
      </c>
      <c r="C1374" s="8">
        <f>IFERROR(__xludf.DUMMYFUNCTION("""COMPUTED_VALUE"""),0.0)</f>
        <v>0</v>
      </c>
      <c r="D1374" s="8"/>
    </row>
    <row r="1375">
      <c r="A1375" s="9" t="str">
        <f>IFERROR(__xludf.DUMMYFUNCTION("""COMPUTED_VALUE"""),"Batch 184")</f>
        <v>Batch 184</v>
      </c>
      <c r="B1375" s="9" t="str">
        <f>IFERROR(__xludf.DUMMYFUNCTION("""COMPUTED_VALUE"""),"DivyanshC84")</f>
        <v>DivyanshC84</v>
      </c>
      <c r="C1375" s="8">
        <f>IFERROR(__xludf.DUMMYFUNCTION("""COMPUTED_VALUE"""),0.0)</f>
        <v>0</v>
      </c>
      <c r="D1375" s="8"/>
    </row>
    <row r="1376">
      <c r="A1376" s="9" t="str">
        <f>IFERROR(__xludf.DUMMYFUNCTION("""COMPUTED_VALUE"""),"Batch 184")</f>
        <v>Batch 184</v>
      </c>
      <c r="B1376" s="9" t="str">
        <f>IFERROR(__xludf.DUMMYFUNCTION("""COMPUTED_VALUE"""),"AyushC84")</f>
        <v>AyushC84</v>
      </c>
      <c r="C1376" s="8">
        <f>IFERROR(__xludf.DUMMYFUNCTION("""COMPUTED_VALUE"""),0.0)</f>
        <v>0</v>
      </c>
      <c r="D1376" s="8"/>
    </row>
    <row r="1377">
      <c r="A1377" s="9" t="str">
        <f>IFERROR(__xludf.DUMMYFUNCTION("""COMPUTED_VALUE"""),"Batch 184")</f>
        <v>Batch 184</v>
      </c>
      <c r="B1377" s="9" t="str">
        <f>IFERROR(__xludf.DUMMYFUNCTION("""COMPUTED_VALUE"""),"AbhayC84")</f>
        <v>AbhayC84</v>
      </c>
      <c r="C1377" s="8">
        <f>IFERROR(__xludf.DUMMYFUNCTION("""COMPUTED_VALUE"""),0.0)</f>
        <v>0</v>
      </c>
      <c r="D1377" s="8"/>
    </row>
    <row r="1378">
      <c r="A1378" s="9" t="str">
        <f>IFERROR(__xludf.DUMMYFUNCTION("""COMPUTED_VALUE"""),"Batch 184")</f>
        <v>Batch 184</v>
      </c>
      <c r="B1378" s="9" t="str">
        <f>IFERROR(__xludf.DUMMYFUNCTION("""COMPUTED_VALUE"""),"PriyanshuC84")</f>
        <v>PriyanshuC84</v>
      </c>
      <c r="C1378" s="8">
        <f>IFERROR(__xludf.DUMMYFUNCTION("""COMPUTED_VALUE"""),0.0)</f>
        <v>0</v>
      </c>
      <c r="D1378" s="8"/>
    </row>
    <row r="1379">
      <c r="A1379" s="9" t="str">
        <f>IFERROR(__xludf.DUMMYFUNCTION("""COMPUTED_VALUE"""),"Batch 184")</f>
        <v>Batch 184</v>
      </c>
      <c r="B1379" s="9" t="str">
        <f>IFERROR(__xludf.DUMMYFUNCTION("""COMPUTED_VALUE"""),"HimaniC84")</f>
        <v>HimaniC84</v>
      </c>
      <c r="C1379" s="8">
        <f>IFERROR(__xludf.DUMMYFUNCTION("""COMPUTED_VALUE"""),0.0)</f>
        <v>0</v>
      </c>
      <c r="D1379" s="8"/>
    </row>
    <row r="1380">
      <c r="A1380" s="9" t="str">
        <f>IFERROR(__xludf.DUMMYFUNCTION("""COMPUTED_VALUE"""),"Batch 184")</f>
        <v>Batch 184</v>
      </c>
      <c r="B1380" s="9" t="str">
        <f>IFERROR(__xludf.DUMMYFUNCTION("""COMPUTED_VALUE"""),"KanishkaC84")</f>
        <v>KanishkaC84</v>
      </c>
      <c r="C1380" s="8">
        <f>IFERROR(__xludf.DUMMYFUNCTION("""COMPUTED_VALUE"""),0.0)</f>
        <v>0</v>
      </c>
      <c r="D1380" s="8"/>
    </row>
    <row r="1381">
      <c r="A1381" s="9" t="str">
        <f>IFERROR(__xludf.DUMMYFUNCTION("""COMPUTED_VALUE"""),"Batch 184")</f>
        <v>Batch 184</v>
      </c>
      <c r="B1381" s="9" t="str">
        <f>IFERROR(__xludf.DUMMYFUNCTION("""COMPUTED_VALUE"""),"VibhuC84")</f>
        <v>VibhuC84</v>
      </c>
      <c r="C1381" s="8">
        <f>IFERROR(__xludf.DUMMYFUNCTION("""COMPUTED_VALUE"""),0.0)</f>
        <v>0</v>
      </c>
      <c r="D1381" s="8"/>
    </row>
    <row r="1382">
      <c r="A1382" s="9" t="str">
        <f>IFERROR(__xludf.DUMMYFUNCTION("""COMPUTED_VALUE"""),"Batch 184")</f>
        <v>Batch 184</v>
      </c>
      <c r="B1382" s="9" t="str">
        <f>IFERROR(__xludf.DUMMYFUNCTION("""COMPUTED_VALUE"""),"AradhyaC84")</f>
        <v>AradhyaC84</v>
      </c>
      <c r="C1382" s="8">
        <f>IFERROR(__xludf.DUMMYFUNCTION("""COMPUTED_VALUE"""),0.0)</f>
        <v>0</v>
      </c>
      <c r="D1382" s="8"/>
    </row>
    <row r="1383">
      <c r="A1383" s="9" t="str">
        <f>IFERROR(__xludf.DUMMYFUNCTION("""COMPUTED_VALUE"""),"Batch 184")</f>
        <v>Batch 184</v>
      </c>
      <c r="B1383" s="9" t="str">
        <f>IFERROR(__xludf.DUMMYFUNCTION("""COMPUTED_VALUE"""),"NishaC84")</f>
        <v>NishaC84</v>
      </c>
      <c r="C1383" s="8">
        <f>IFERROR(__xludf.DUMMYFUNCTION("""COMPUTED_VALUE"""),0.0)</f>
        <v>0</v>
      </c>
      <c r="D1383" s="8">
        <f>IFERROR(__xludf.DUMMYFUNCTION("""COMPUTED_VALUE"""),1.0)</f>
        <v>1</v>
      </c>
    </row>
    <row r="1384">
      <c r="A1384" s="9" t="str">
        <f>IFERROR(__xludf.DUMMYFUNCTION("""COMPUTED_VALUE"""),"Batch 184")</f>
        <v>Batch 184</v>
      </c>
      <c r="B1384" s="9" t="str">
        <f>IFERROR(__xludf.DUMMYFUNCTION("""COMPUTED_VALUE"""),"SagarC84")</f>
        <v>SagarC84</v>
      </c>
      <c r="C1384" s="8">
        <f>IFERROR(__xludf.DUMMYFUNCTION("""COMPUTED_VALUE"""),0.0)</f>
        <v>0</v>
      </c>
      <c r="D1384" s="8"/>
    </row>
    <row r="1385">
      <c r="A1385" s="9" t="str">
        <f>IFERROR(__xludf.DUMMYFUNCTION("""COMPUTED_VALUE"""),"Batch 184")</f>
        <v>Batch 184</v>
      </c>
      <c r="B1385" s="9" t="str">
        <f>IFERROR(__xludf.DUMMYFUNCTION("""COMPUTED_VALUE"""),"SubhamC84")</f>
        <v>SubhamC84</v>
      </c>
      <c r="C1385" s="8">
        <f>IFERROR(__xludf.DUMMYFUNCTION("""COMPUTED_VALUE"""),1.0)</f>
        <v>1</v>
      </c>
      <c r="D1385" s="8"/>
    </row>
    <row r="1386">
      <c r="A1386" s="9" t="str">
        <f>IFERROR(__xludf.DUMMYFUNCTION("""COMPUTED_VALUE"""),"Batch 184")</f>
        <v>Batch 184</v>
      </c>
      <c r="B1386" s="9" t="str">
        <f>IFERROR(__xludf.DUMMYFUNCTION("""COMPUTED_VALUE"""),"AyushC84")</f>
        <v>AyushC84</v>
      </c>
      <c r="C1386" s="8">
        <f>IFERROR(__xludf.DUMMYFUNCTION("""COMPUTED_VALUE"""),0.0)</f>
        <v>0</v>
      </c>
      <c r="D1386" s="8"/>
    </row>
    <row r="1387">
      <c r="A1387" s="9" t="str">
        <f>IFERROR(__xludf.DUMMYFUNCTION("""COMPUTED_VALUE"""),"Batch 184")</f>
        <v>Batch 184</v>
      </c>
      <c r="B1387" s="9" t="str">
        <f>IFERROR(__xludf.DUMMYFUNCTION("""COMPUTED_VALUE"""),"HimanshuC84")</f>
        <v>HimanshuC84</v>
      </c>
      <c r="C1387" s="8">
        <f>IFERROR(__xludf.DUMMYFUNCTION("""COMPUTED_VALUE"""),0.0)</f>
        <v>0</v>
      </c>
      <c r="D1387" s="8"/>
    </row>
    <row r="1388">
      <c r="A1388" s="9" t="str">
        <f>IFERROR(__xludf.DUMMYFUNCTION("""COMPUTED_VALUE"""),"Batch 184")</f>
        <v>Batch 184</v>
      </c>
      <c r="B1388" s="9" t="str">
        <f>IFERROR(__xludf.DUMMYFUNCTION("""COMPUTED_VALUE"""),"DaniyaC84")</f>
        <v>DaniyaC84</v>
      </c>
      <c r="C1388" s="8">
        <f>IFERROR(__xludf.DUMMYFUNCTION("""COMPUTED_VALUE"""),0.0)</f>
        <v>0</v>
      </c>
      <c r="D1388" s="8"/>
    </row>
    <row r="1389">
      <c r="A1389" s="9" t="str">
        <f>IFERROR(__xludf.DUMMYFUNCTION("""COMPUTED_VALUE"""),"Batch 184")</f>
        <v>Batch 184</v>
      </c>
      <c r="B1389" s="9" t="str">
        <f>IFERROR(__xludf.DUMMYFUNCTION("""COMPUTED_VALUE"""),"ASIFC84")</f>
        <v>ASIFC84</v>
      </c>
      <c r="C1389" s="8">
        <f>IFERROR(__xludf.DUMMYFUNCTION("""COMPUTED_VALUE"""),0.0)</f>
        <v>0</v>
      </c>
      <c r="D1389" s="8"/>
    </row>
    <row r="1390">
      <c r="A1390" s="9" t="str">
        <f>IFERROR(__xludf.DUMMYFUNCTION("""COMPUTED_VALUE"""),"Batch 184")</f>
        <v>Batch 184</v>
      </c>
      <c r="B1390" s="9" t="str">
        <f>IFERROR(__xludf.DUMMYFUNCTION("""COMPUTED_VALUE"""),"umadeviC84")</f>
        <v>umadeviC84</v>
      </c>
      <c r="C1390" s="8">
        <f>IFERROR(__xludf.DUMMYFUNCTION("""COMPUTED_VALUE"""),0.0)</f>
        <v>0</v>
      </c>
      <c r="D1390" s="8"/>
    </row>
    <row r="1391">
      <c r="A1391" s="9" t="str">
        <f>IFERROR(__xludf.DUMMYFUNCTION("""COMPUTED_VALUE"""),"Batch 184")</f>
        <v>Batch 184</v>
      </c>
      <c r="B1391" s="9" t="str">
        <f>IFERROR(__xludf.DUMMYFUNCTION("""COMPUTED_VALUE"""),"umadeviC84")</f>
        <v>umadeviC84</v>
      </c>
      <c r="C1391" s="8">
        <f>IFERROR(__xludf.DUMMYFUNCTION("""COMPUTED_VALUE"""),0.0)</f>
        <v>0</v>
      </c>
      <c r="D1391" s="8"/>
    </row>
    <row r="1392">
      <c r="A1392" s="9" t="str">
        <f>IFERROR(__xludf.DUMMYFUNCTION("""COMPUTED_VALUE"""),"Batch 184")</f>
        <v>Batch 184</v>
      </c>
      <c r="B1392" s="9" t="str">
        <f>IFERROR(__xludf.DUMMYFUNCTION("""COMPUTED_VALUE"""),"SAHILC84")</f>
        <v>SAHILC84</v>
      </c>
      <c r="C1392" s="8">
        <f>IFERROR(__xludf.DUMMYFUNCTION("""COMPUTED_VALUE"""),1.0)</f>
        <v>1</v>
      </c>
      <c r="D1392" s="8"/>
    </row>
    <row r="1393">
      <c r="A1393" s="9" t="str">
        <f>IFERROR(__xludf.DUMMYFUNCTION("""COMPUTED_VALUE"""),"Batch 184")</f>
        <v>Batch 184</v>
      </c>
      <c r="B1393" s="9" t="str">
        <f>IFERROR(__xludf.DUMMYFUNCTION("""COMPUTED_VALUE"""),"VenmathiC84")</f>
        <v>VenmathiC84</v>
      </c>
      <c r="C1393" s="8">
        <f>IFERROR(__xludf.DUMMYFUNCTION("""COMPUTED_VALUE"""),0.0)</f>
        <v>0</v>
      </c>
      <c r="D1393" s="8"/>
    </row>
    <row r="1394">
      <c r="A1394" s="9" t="str">
        <f>IFERROR(__xludf.DUMMYFUNCTION("""COMPUTED_VALUE"""),"Batch 184")</f>
        <v>Batch 184</v>
      </c>
      <c r="B1394" s="9" t="str">
        <f>IFERROR(__xludf.DUMMYFUNCTION("""COMPUTED_VALUE"""),"TanviC84")</f>
        <v>TanviC84</v>
      </c>
      <c r="C1394" s="8">
        <f>IFERROR(__xludf.DUMMYFUNCTION("""COMPUTED_VALUE"""),0.0)</f>
        <v>0</v>
      </c>
      <c r="D1394" s="8"/>
    </row>
    <row r="1395">
      <c r="A1395" s="9" t="str">
        <f>IFERROR(__xludf.DUMMYFUNCTION("""COMPUTED_VALUE"""),"Batch 184")</f>
        <v>Batch 184</v>
      </c>
      <c r="B1395" s="9" t="str">
        <f>IFERROR(__xludf.DUMMYFUNCTION("""COMPUTED_VALUE"""),"HarmanpreetC84")</f>
        <v>HarmanpreetC84</v>
      </c>
      <c r="C1395" s="8">
        <f>IFERROR(__xludf.DUMMYFUNCTION("""COMPUTED_VALUE"""),0.0)</f>
        <v>0</v>
      </c>
      <c r="D1395" s="8"/>
    </row>
    <row r="1396">
      <c r="A1396" s="9" t="str">
        <f>IFERROR(__xludf.DUMMYFUNCTION("""COMPUTED_VALUE"""),"Batch 184")</f>
        <v>Batch 184</v>
      </c>
      <c r="B1396" s="9" t="str">
        <f>IFERROR(__xludf.DUMMYFUNCTION("""COMPUTED_VALUE"""),"ArshC84")</f>
        <v>ArshC84</v>
      </c>
      <c r="C1396" s="8">
        <f>IFERROR(__xludf.DUMMYFUNCTION("""COMPUTED_VALUE"""),0.0)</f>
        <v>0</v>
      </c>
      <c r="D1396" s="8"/>
    </row>
    <row r="1397">
      <c r="A1397" s="9" t="str">
        <f>IFERROR(__xludf.DUMMYFUNCTION("""COMPUTED_VALUE"""),"Batch 184")</f>
        <v>Batch 184</v>
      </c>
      <c r="B1397" s="9" t="str">
        <f>IFERROR(__xludf.DUMMYFUNCTION("""COMPUTED_VALUE"""),"RuqayaC84")</f>
        <v>RuqayaC84</v>
      </c>
      <c r="C1397" s="8">
        <f>IFERROR(__xludf.DUMMYFUNCTION("""COMPUTED_VALUE"""),0.0)</f>
        <v>0</v>
      </c>
      <c r="D1397" s="8"/>
    </row>
    <row r="1398">
      <c r="A1398" s="9" t="str">
        <f>IFERROR(__xludf.DUMMYFUNCTION("""COMPUTED_VALUE"""),"Batch 184")</f>
        <v>Batch 184</v>
      </c>
      <c r="B1398" s="9" t="str">
        <f>IFERROR(__xludf.DUMMYFUNCTION("""COMPUTED_VALUE"""),"MokshC84")</f>
        <v>MokshC84</v>
      </c>
      <c r="C1398" s="8">
        <f>IFERROR(__xludf.DUMMYFUNCTION("""COMPUTED_VALUE"""),0.0)</f>
        <v>0</v>
      </c>
      <c r="D1398" s="8"/>
    </row>
    <row r="1399">
      <c r="A1399" s="9" t="str">
        <f>IFERROR(__xludf.DUMMYFUNCTION("""COMPUTED_VALUE"""),"Batch 184")</f>
        <v>Batch 184</v>
      </c>
      <c r="B1399" s="9" t="str">
        <f>IFERROR(__xludf.DUMMYFUNCTION("""COMPUTED_VALUE"""),"MananC84")</f>
        <v>MananC84</v>
      </c>
      <c r="C1399" s="8">
        <f>IFERROR(__xludf.DUMMYFUNCTION("""COMPUTED_VALUE"""),0.0)</f>
        <v>0</v>
      </c>
      <c r="D1399" s="8"/>
    </row>
    <row r="1400">
      <c r="A1400" s="9" t="str">
        <f>IFERROR(__xludf.DUMMYFUNCTION("""COMPUTED_VALUE"""),"Batch 184")</f>
        <v>Batch 184</v>
      </c>
      <c r="B1400" s="9" t="str">
        <f>IFERROR(__xludf.DUMMYFUNCTION("""COMPUTED_VALUE"""),"RushikeshC84")</f>
        <v>RushikeshC84</v>
      </c>
      <c r="C1400" s="8">
        <f>IFERROR(__xludf.DUMMYFUNCTION("""COMPUTED_VALUE"""),0.0)</f>
        <v>0</v>
      </c>
      <c r="D1400" s="8"/>
    </row>
    <row r="1401">
      <c r="A1401" s="9" t="str">
        <f>IFERROR(__xludf.DUMMYFUNCTION("""COMPUTED_VALUE"""),"Batch 184")</f>
        <v>Batch 184</v>
      </c>
      <c r="B1401" s="9" t="str">
        <f>IFERROR(__xludf.DUMMYFUNCTION("""COMPUTED_VALUE"""),"GunsehajC84")</f>
        <v>GunsehajC84</v>
      </c>
      <c r="C1401" s="8">
        <f>IFERROR(__xludf.DUMMYFUNCTION("""COMPUTED_VALUE"""),0.0)</f>
        <v>0</v>
      </c>
      <c r="D1401" s="8"/>
    </row>
    <row r="1402">
      <c r="A1402" s="9" t="str">
        <f>IFERROR(__xludf.DUMMYFUNCTION("""COMPUTED_VALUE"""),"Batch 184")</f>
        <v>Batch 184</v>
      </c>
      <c r="B1402" s="9" t="str">
        <f>IFERROR(__xludf.DUMMYFUNCTION("""COMPUTED_VALUE"""),"B.C84")</f>
        <v>B.C84</v>
      </c>
      <c r="C1402" s="8">
        <f>IFERROR(__xludf.DUMMYFUNCTION("""COMPUTED_VALUE"""),0.0)</f>
        <v>0</v>
      </c>
      <c r="D1402" s="8"/>
    </row>
    <row r="1403">
      <c r="A1403" s="9"/>
      <c r="B1403" s="9"/>
      <c r="C1403" s="8">
        <f>IFERROR(__xludf.DUMMYFUNCTION("""COMPUTED_VALUE"""),0.0)</f>
        <v>0</v>
      </c>
      <c r="D1403" s="8"/>
    </row>
    <row r="1404">
      <c r="A1404" s="9" t="str">
        <f>IFERROR(__xludf.DUMMYFUNCTION("""COMPUTED_VALUE"""),"Batch 185")</f>
        <v>Batch 185</v>
      </c>
      <c r="B1404" s="9" t="str">
        <f>IFERROR(__xludf.DUMMYFUNCTION("""COMPUTED_VALUE"""),"ShwetYC85")</f>
        <v>ShwetYC85</v>
      </c>
      <c r="C1404" s="8">
        <f>IFERROR(__xludf.DUMMYFUNCTION("""COMPUTED_VALUE"""),0.0)</f>
        <v>0</v>
      </c>
      <c r="D1404" s="8"/>
    </row>
    <row r="1405">
      <c r="A1405" s="9" t="str">
        <f>IFERROR(__xludf.DUMMYFUNCTION("""COMPUTED_VALUE"""),"Batch 185")</f>
        <v>Batch 185</v>
      </c>
      <c r="B1405" s="9" t="str">
        <f>IFERROR(__xludf.DUMMYFUNCTION("""COMPUTED_VALUE"""),"KushC85")</f>
        <v>KushC85</v>
      </c>
      <c r="C1405" s="8">
        <f>IFERROR(__xludf.DUMMYFUNCTION("""COMPUTED_VALUE"""),8.0)</f>
        <v>8</v>
      </c>
      <c r="D1405" s="8">
        <f>IFERROR(__xludf.DUMMYFUNCTION("""COMPUTED_VALUE"""),1.0)</f>
        <v>1</v>
      </c>
    </row>
    <row r="1406">
      <c r="A1406" s="9" t="str">
        <f>IFERROR(__xludf.DUMMYFUNCTION("""COMPUTED_VALUE"""),"Batch 185")</f>
        <v>Batch 185</v>
      </c>
      <c r="B1406" s="9" t="str">
        <f>IFERROR(__xludf.DUMMYFUNCTION("""COMPUTED_VALUE"""),"SimranC85")</f>
        <v>SimranC85</v>
      </c>
      <c r="C1406" s="8">
        <f>IFERROR(__xludf.DUMMYFUNCTION("""COMPUTED_VALUE"""),0.0)</f>
        <v>0</v>
      </c>
      <c r="D1406" s="8"/>
    </row>
    <row r="1407">
      <c r="A1407" s="9" t="str">
        <f>IFERROR(__xludf.DUMMYFUNCTION("""COMPUTED_VALUE"""),"Batch 185")</f>
        <v>Batch 185</v>
      </c>
      <c r="B1407" s="9" t="str">
        <f>IFERROR(__xludf.DUMMYFUNCTION("""COMPUTED_VALUE"""),"ManasviC85")</f>
        <v>ManasviC85</v>
      </c>
      <c r="C1407" s="8">
        <f>IFERROR(__xludf.DUMMYFUNCTION("""COMPUTED_VALUE"""),0.0)</f>
        <v>0</v>
      </c>
      <c r="D1407" s="8"/>
    </row>
    <row r="1408">
      <c r="A1408" s="9" t="str">
        <f>IFERROR(__xludf.DUMMYFUNCTION("""COMPUTED_VALUE"""),"Batch 185")</f>
        <v>Batch 185</v>
      </c>
      <c r="B1408" s="9" t="str">
        <f>IFERROR(__xludf.DUMMYFUNCTION("""COMPUTED_VALUE"""),"SumedhaC85")</f>
        <v>SumedhaC85</v>
      </c>
      <c r="C1408" s="8">
        <f>IFERROR(__xludf.DUMMYFUNCTION("""COMPUTED_VALUE"""),0.0)</f>
        <v>0</v>
      </c>
      <c r="D1408" s="8"/>
    </row>
    <row r="1409">
      <c r="A1409" s="9" t="str">
        <f>IFERROR(__xludf.DUMMYFUNCTION("""COMPUTED_VALUE"""),"Batch 185")</f>
        <v>Batch 185</v>
      </c>
      <c r="B1409" s="9" t="str">
        <f>IFERROR(__xludf.DUMMYFUNCTION("""COMPUTED_VALUE"""),"SonalC85")</f>
        <v>SonalC85</v>
      </c>
      <c r="C1409" s="8">
        <f>IFERROR(__xludf.DUMMYFUNCTION("""COMPUTED_VALUE"""),0.0)</f>
        <v>0</v>
      </c>
      <c r="D1409" s="8"/>
    </row>
    <row r="1410">
      <c r="A1410" s="9" t="str">
        <f>IFERROR(__xludf.DUMMYFUNCTION("""COMPUTED_VALUE"""),"Batch 185")</f>
        <v>Batch 185</v>
      </c>
      <c r="B1410" s="9" t="str">
        <f>IFERROR(__xludf.DUMMYFUNCTION("""COMPUTED_VALUE"""),"GracyC85")</f>
        <v>GracyC85</v>
      </c>
      <c r="C1410" s="8">
        <f>IFERROR(__xludf.DUMMYFUNCTION("""COMPUTED_VALUE"""),0.0)</f>
        <v>0</v>
      </c>
      <c r="D1410" s="8"/>
    </row>
    <row r="1411">
      <c r="A1411" s="9" t="str">
        <f>IFERROR(__xludf.DUMMYFUNCTION("""COMPUTED_VALUE"""),"Batch 185")</f>
        <v>Batch 185</v>
      </c>
      <c r="B1411" s="9" t="str">
        <f>IFERROR(__xludf.DUMMYFUNCTION("""COMPUTED_VALUE"""),"NimishaC85")</f>
        <v>NimishaC85</v>
      </c>
      <c r="C1411" s="8">
        <f>IFERROR(__xludf.DUMMYFUNCTION("""COMPUTED_VALUE"""),0.0)</f>
        <v>0</v>
      </c>
      <c r="D1411" s="8"/>
    </row>
    <row r="1412">
      <c r="A1412" s="9" t="str">
        <f>IFERROR(__xludf.DUMMYFUNCTION("""COMPUTED_VALUE"""),"Batch 185")</f>
        <v>Batch 185</v>
      </c>
      <c r="B1412" s="9" t="str">
        <f>IFERROR(__xludf.DUMMYFUNCTION("""COMPUTED_VALUE"""),"ananyaC85")</f>
        <v>ananyaC85</v>
      </c>
      <c r="C1412" s="8">
        <f>IFERROR(__xludf.DUMMYFUNCTION("""COMPUTED_VALUE"""),0.0)</f>
        <v>0</v>
      </c>
      <c r="D1412" s="8"/>
    </row>
    <row r="1413">
      <c r="A1413" s="9" t="str">
        <f>IFERROR(__xludf.DUMMYFUNCTION("""COMPUTED_VALUE"""),"Batch 185")</f>
        <v>Batch 185</v>
      </c>
      <c r="B1413" s="9" t="str">
        <f>IFERROR(__xludf.DUMMYFUNCTION("""COMPUTED_VALUE"""),"YukthaC85")</f>
        <v>YukthaC85</v>
      </c>
      <c r="C1413" s="8">
        <f>IFERROR(__xludf.DUMMYFUNCTION("""COMPUTED_VALUE"""),0.0)</f>
        <v>0</v>
      </c>
      <c r="D1413" s="8"/>
    </row>
    <row r="1414">
      <c r="A1414" s="9" t="str">
        <f>IFERROR(__xludf.DUMMYFUNCTION("""COMPUTED_VALUE"""),"Batch 185")</f>
        <v>Batch 185</v>
      </c>
      <c r="B1414" s="9" t="str">
        <f>IFERROR(__xludf.DUMMYFUNCTION("""COMPUTED_VALUE"""),"ReemaC85")</f>
        <v>ReemaC85</v>
      </c>
      <c r="C1414" s="8">
        <f>IFERROR(__xludf.DUMMYFUNCTION("""COMPUTED_VALUE"""),0.0)</f>
        <v>0</v>
      </c>
      <c r="D1414" s="8"/>
    </row>
    <row r="1415">
      <c r="A1415" s="9" t="str">
        <f>IFERROR(__xludf.DUMMYFUNCTION("""COMPUTED_VALUE"""),"Batch 185")</f>
        <v>Batch 185</v>
      </c>
      <c r="B1415" s="9" t="str">
        <f>IFERROR(__xludf.DUMMYFUNCTION("""COMPUTED_VALUE"""),"PuneetC85")</f>
        <v>PuneetC85</v>
      </c>
      <c r="C1415" s="8">
        <f>IFERROR(__xludf.DUMMYFUNCTION("""COMPUTED_VALUE"""),1.0)</f>
        <v>1</v>
      </c>
      <c r="D1415" s="8">
        <f>IFERROR(__xludf.DUMMYFUNCTION("""COMPUTED_VALUE"""),1.0)</f>
        <v>1</v>
      </c>
    </row>
    <row r="1416">
      <c r="A1416" s="9" t="str">
        <f>IFERROR(__xludf.DUMMYFUNCTION("""COMPUTED_VALUE"""),"Batch 185")</f>
        <v>Batch 185</v>
      </c>
      <c r="B1416" s="9" t="str">
        <f>IFERROR(__xludf.DUMMYFUNCTION("""COMPUTED_VALUE"""),"RAHULC85")</f>
        <v>RAHULC85</v>
      </c>
      <c r="C1416" s="8">
        <f>IFERROR(__xludf.DUMMYFUNCTION("""COMPUTED_VALUE"""),1.0)</f>
        <v>1</v>
      </c>
      <c r="D1416" s="8">
        <f>IFERROR(__xludf.DUMMYFUNCTION("""COMPUTED_VALUE"""),2.0)</f>
        <v>2</v>
      </c>
    </row>
    <row r="1417">
      <c r="A1417" s="9" t="str">
        <f>IFERROR(__xludf.DUMMYFUNCTION("""COMPUTED_VALUE"""),"Batch 185")</f>
        <v>Batch 185</v>
      </c>
      <c r="B1417" s="9" t="str">
        <f>IFERROR(__xludf.DUMMYFUNCTION("""COMPUTED_VALUE"""),"DharshanaC85")</f>
        <v>DharshanaC85</v>
      </c>
      <c r="C1417" s="8">
        <f>IFERROR(__xludf.DUMMYFUNCTION("""COMPUTED_VALUE"""),0.0)</f>
        <v>0</v>
      </c>
      <c r="D1417" s="8"/>
    </row>
    <row r="1418">
      <c r="A1418" s="9" t="str">
        <f>IFERROR(__xludf.DUMMYFUNCTION("""COMPUTED_VALUE"""),"Batch 185")</f>
        <v>Batch 185</v>
      </c>
      <c r="B1418" s="9" t="str">
        <f>IFERROR(__xludf.DUMMYFUNCTION("""COMPUTED_VALUE"""),"SameerC85")</f>
        <v>SameerC85</v>
      </c>
      <c r="C1418" s="8">
        <f>IFERROR(__xludf.DUMMYFUNCTION("""COMPUTED_VALUE"""),0.0)</f>
        <v>0</v>
      </c>
      <c r="D1418" s="8"/>
    </row>
    <row r="1419">
      <c r="A1419" s="9" t="str">
        <f>IFERROR(__xludf.DUMMYFUNCTION("""COMPUTED_VALUE"""),"Batch 185")</f>
        <v>Batch 185</v>
      </c>
      <c r="B1419" s="9" t="str">
        <f>IFERROR(__xludf.DUMMYFUNCTION("""COMPUTED_VALUE"""),"GouravC85")</f>
        <v>GouravC85</v>
      </c>
      <c r="C1419" s="8">
        <f>IFERROR(__xludf.DUMMYFUNCTION("""COMPUTED_VALUE"""),0.0)</f>
        <v>0</v>
      </c>
      <c r="D1419" s="8"/>
    </row>
    <row r="1420">
      <c r="A1420" s="9" t="str">
        <f>IFERROR(__xludf.DUMMYFUNCTION("""COMPUTED_VALUE"""),"Batch 185")</f>
        <v>Batch 185</v>
      </c>
      <c r="B1420" s="9" t="str">
        <f>IFERROR(__xludf.DUMMYFUNCTION("""COMPUTED_VALUE"""),"UmangC85")</f>
        <v>UmangC85</v>
      </c>
      <c r="C1420" s="8">
        <f>IFERROR(__xludf.DUMMYFUNCTION("""COMPUTED_VALUE"""),0.0)</f>
        <v>0</v>
      </c>
      <c r="D1420" s="8">
        <f>IFERROR(__xludf.DUMMYFUNCTION("""COMPUTED_VALUE"""),1.0)</f>
        <v>1</v>
      </c>
    </row>
    <row r="1421">
      <c r="A1421" s="9" t="str">
        <f>IFERROR(__xludf.DUMMYFUNCTION("""COMPUTED_VALUE"""),"Batch 185")</f>
        <v>Batch 185</v>
      </c>
      <c r="B1421" s="9" t="str">
        <f>IFERROR(__xludf.DUMMYFUNCTION("""COMPUTED_VALUE"""),"SimranCC85")</f>
        <v>SimranCC85</v>
      </c>
      <c r="C1421" s="8">
        <f>IFERROR(__xludf.DUMMYFUNCTION("""COMPUTED_VALUE"""),0.0)</f>
        <v>0</v>
      </c>
      <c r="D1421" s="8"/>
    </row>
    <row r="1422">
      <c r="A1422" s="9" t="str">
        <f>IFERROR(__xludf.DUMMYFUNCTION("""COMPUTED_VALUE"""),"Batch 185")</f>
        <v>Batch 185</v>
      </c>
      <c r="B1422" s="9" t="str">
        <f>IFERROR(__xludf.DUMMYFUNCTION("""COMPUTED_VALUE"""),"DevanshiC85")</f>
        <v>DevanshiC85</v>
      </c>
      <c r="C1422" s="8">
        <f>IFERROR(__xludf.DUMMYFUNCTION("""COMPUTED_VALUE"""),0.0)</f>
        <v>0</v>
      </c>
      <c r="D1422" s="8"/>
    </row>
    <row r="1423">
      <c r="A1423" s="9" t="str">
        <f>IFERROR(__xludf.DUMMYFUNCTION("""COMPUTED_VALUE"""),"Batch 185")</f>
        <v>Batch 185</v>
      </c>
      <c r="B1423" s="9" t="str">
        <f>IFERROR(__xludf.DUMMYFUNCTION("""COMPUTED_VALUE"""),"VarshaC85")</f>
        <v>VarshaC85</v>
      </c>
      <c r="C1423" s="8">
        <f>IFERROR(__xludf.DUMMYFUNCTION("""COMPUTED_VALUE"""),0.0)</f>
        <v>0</v>
      </c>
      <c r="D1423" s="8"/>
    </row>
    <row r="1424">
      <c r="A1424" s="9" t="str">
        <f>IFERROR(__xludf.DUMMYFUNCTION("""COMPUTED_VALUE"""),"Batch 185")</f>
        <v>Batch 185</v>
      </c>
      <c r="B1424" s="9" t="str">
        <f>IFERROR(__xludf.DUMMYFUNCTION("""COMPUTED_VALUE"""),"MuskanC85")</f>
        <v>MuskanC85</v>
      </c>
      <c r="C1424" s="8">
        <f>IFERROR(__xludf.DUMMYFUNCTION("""COMPUTED_VALUE"""),0.0)</f>
        <v>0</v>
      </c>
      <c r="D1424" s="8"/>
    </row>
    <row r="1425">
      <c r="A1425" s="9" t="str">
        <f>IFERROR(__xludf.DUMMYFUNCTION("""COMPUTED_VALUE"""),"Batch 185")</f>
        <v>Batch 185</v>
      </c>
      <c r="B1425" s="9" t="str">
        <f>IFERROR(__xludf.DUMMYFUNCTION("""COMPUTED_VALUE"""),"ShreyoseeC85")</f>
        <v>ShreyoseeC85</v>
      </c>
      <c r="C1425" s="8">
        <f>IFERROR(__xludf.DUMMYFUNCTION("""COMPUTED_VALUE"""),0.0)</f>
        <v>0</v>
      </c>
      <c r="D1425" s="8"/>
    </row>
    <row r="1426">
      <c r="A1426" s="9" t="str">
        <f>IFERROR(__xludf.DUMMYFUNCTION("""COMPUTED_VALUE"""),"Batch 185")</f>
        <v>Batch 185</v>
      </c>
      <c r="B1426" s="9" t="str">
        <f>IFERROR(__xludf.DUMMYFUNCTION("""COMPUTED_VALUE"""),"RohitC85")</f>
        <v>RohitC85</v>
      </c>
      <c r="C1426" s="8">
        <f>IFERROR(__xludf.DUMMYFUNCTION("""COMPUTED_VALUE"""),0.0)</f>
        <v>0</v>
      </c>
      <c r="D1426" s="8"/>
    </row>
    <row r="1427">
      <c r="A1427" s="9" t="str">
        <f>IFERROR(__xludf.DUMMYFUNCTION("""COMPUTED_VALUE"""),"Batch 185")</f>
        <v>Batch 185</v>
      </c>
      <c r="B1427" s="9" t="str">
        <f>IFERROR(__xludf.DUMMYFUNCTION("""COMPUTED_VALUE"""),"RekhaC85")</f>
        <v>RekhaC85</v>
      </c>
      <c r="C1427" s="8">
        <f>IFERROR(__xludf.DUMMYFUNCTION("""COMPUTED_VALUE"""),0.0)</f>
        <v>0</v>
      </c>
      <c r="D1427" s="8"/>
    </row>
    <row r="1428">
      <c r="A1428" s="9" t="str">
        <f>IFERROR(__xludf.DUMMYFUNCTION("""COMPUTED_VALUE"""),"Batch 185")</f>
        <v>Batch 185</v>
      </c>
      <c r="B1428" s="9" t="str">
        <f>IFERROR(__xludf.DUMMYFUNCTION("""COMPUTED_VALUE"""),"ShwetSC85")</f>
        <v>ShwetSC85</v>
      </c>
      <c r="C1428" s="8">
        <f>IFERROR(__xludf.DUMMYFUNCTION("""COMPUTED_VALUE"""),2.0)</f>
        <v>2</v>
      </c>
      <c r="D1428" s="8">
        <f>IFERROR(__xludf.DUMMYFUNCTION("""COMPUTED_VALUE"""),1.0)</f>
        <v>1</v>
      </c>
    </row>
    <row r="1429">
      <c r="A1429" s="9" t="str">
        <f>IFERROR(__xludf.DUMMYFUNCTION("""COMPUTED_VALUE"""),"Batch 185")</f>
        <v>Batch 185</v>
      </c>
      <c r="B1429" s="9" t="str">
        <f>IFERROR(__xludf.DUMMYFUNCTION("""COMPUTED_VALUE"""),"AnishC85")</f>
        <v>AnishC85</v>
      </c>
      <c r="C1429" s="8">
        <f>IFERROR(__xludf.DUMMYFUNCTION("""COMPUTED_VALUE"""),0.0)</f>
        <v>0</v>
      </c>
      <c r="D1429" s="8"/>
    </row>
    <row r="1430">
      <c r="A1430" s="9" t="str">
        <f>IFERROR(__xludf.DUMMYFUNCTION("""COMPUTED_VALUE"""),"Batch 185")</f>
        <v>Batch 185</v>
      </c>
      <c r="B1430" s="9" t="str">
        <f>IFERROR(__xludf.DUMMYFUNCTION("""COMPUTED_VALUE"""),"LaebaC85")</f>
        <v>LaebaC85</v>
      </c>
      <c r="C1430" s="8">
        <f>IFERROR(__xludf.DUMMYFUNCTION("""COMPUTED_VALUE"""),0.0)</f>
        <v>0</v>
      </c>
      <c r="D1430" s="8"/>
    </row>
    <row r="1431">
      <c r="A1431" s="9" t="str">
        <f>IFERROR(__xludf.DUMMYFUNCTION("""COMPUTED_VALUE"""),"Batch 185")</f>
        <v>Batch 185</v>
      </c>
      <c r="B1431" s="9" t="str">
        <f>IFERROR(__xludf.DUMMYFUNCTION("""COMPUTED_VALUE"""),"SudhanshuC85")</f>
        <v>SudhanshuC85</v>
      </c>
      <c r="C1431" s="8">
        <f>IFERROR(__xludf.DUMMYFUNCTION("""COMPUTED_VALUE"""),0.0)</f>
        <v>0</v>
      </c>
      <c r="D1431" s="8">
        <f>IFERROR(__xludf.DUMMYFUNCTION("""COMPUTED_VALUE"""),1.0)</f>
        <v>1</v>
      </c>
    </row>
    <row r="1432">
      <c r="A1432" s="9" t="str">
        <f>IFERROR(__xludf.DUMMYFUNCTION("""COMPUTED_VALUE"""),"Batch 185")</f>
        <v>Batch 185</v>
      </c>
      <c r="B1432" s="9" t="str">
        <f>IFERROR(__xludf.DUMMYFUNCTION("""COMPUTED_VALUE"""),"OmC85")</f>
        <v>OmC85</v>
      </c>
      <c r="C1432" s="8">
        <f>IFERROR(__xludf.DUMMYFUNCTION("""COMPUTED_VALUE"""),1.0)</f>
        <v>1</v>
      </c>
      <c r="D1432" s="8"/>
    </row>
    <row r="1433">
      <c r="A1433" s="9" t="str">
        <f>IFERROR(__xludf.DUMMYFUNCTION("""COMPUTED_VALUE"""),"Batch 185")</f>
        <v>Batch 185</v>
      </c>
      <c r="B1433" s="9" t="str">
        <f>IFERROR(__xludf.DUMMYFUNCTION("""COMPUTED_VALUE"""),"AkshayC85")</f>
        <v>AkshayC85</v>
      </c>
      <c r="C1433" s="8">
        <f>IFERROR(__xludf.DUMMYFUNCTION("""COMPUTED_VALUE"""),0.0)</f>
        <v>0</v>
      </c>
      <c r="D1433" s="8"/>
    </row>
    <row r="1434">
      <c r="A1434" s="9" t="str">
        <f>IFERROR(__xludf.DUMMYFUNCTION("""COMPUTED_VALUE"""),"Batch 185")</f>
        <v>Batch 185</v>
      </c>
      <c r="B1434" s="9" t="str">
        <f>IFERROR(__xludf.DUMMYFUNCTION("""COMPUTED_VALUE"""),"MonikaC85")</f>
        <v>MonikaC85</v>
      </c>
      <c r="C1434" s="8">
        <f>IFERROR(__xludf.DUMMYFUNCTION("""COMPUTED_VALUE"""),3.0)</f>
        <v>3</v>
      </c>
      <c r="D1434" s="8">
        <f>IFERROR(__xludf.DUMMYFUNCTION("""COMPUTED_VALUE"""),2.0)</f>
        <v>2</v>
      </c>
    </row>
    <row r="1435">
      <c r="A1435" s="9" t="str">
        <f>IFERROR(__xludf.DUMMYFUNCTION("""COMPUTED_VALUE"""),"Batch 185")</f>
        <v>Batch 185</v>
      </c>
      <c r="B1435" s="9" t="str">
        <f>IFERROR(__xludf.DUMMYFUNCTION("""COMPUTED_VALUE"""),"VishakhaC85")</f>
        <v>VishakhaC85</v>
      </c>
      <c r="C1435" s="8">
        <f>IFERROR(__xludf.DUMMYFUNCTION("""COMPUTED_VALUE"""),0.0)</f>
        <v>0</v>
      </c>
      <c r="D1435" s="8"/>
    </row>
    <row r="1436">
      <c r="A1436" s="9" t="str">
        <f>IFERROR(__xludf.DUMMYFUNCTION("""COMPUTED_VALUE"""),"Batch 185")</f>
        <v>Batch 185</v>
      </c>
      <c r="B1436" s="9" t="str">
        <f>IFERROR(__xludf.DUMMYFUNCTION("""COMPUTED_VALUE"""),"AleenaC85")</f>
        <v>AleenaC85</v>
      </c>
      <c r="C1436" s="8">
        <f>IFERROR(__xludf.DUMMYFUNCTION("""COMPUTED_VALUE"""),0.0)</f>
        <v>0</v>
      </c>
      <c r="D1436" s="8"/>
    </row>
    <row r="1437">
      <c r="A1437" s="9"/>
      <c r="B1437" s="9"/>
      <c r="C1437" s="8">
        <f>IFERROR(__xludf.DUMMYFUNCTION("""COMPUTED_VALUE"""),0.0)</f>
        <v>0</v>
      </c>
      <c r="D1437" s="8"/>
    </row>
    <row r="1438">
      <c r="A1438" s="9" t="str">
        <f>IFERROR(__xludf.DUMMYFUNCTION("""COMPUTED_VALUE"""),"Batch 186")</f>
        <v>Batch 186</v>
      </c>
      <c r="B1438" s="9" t="str">
        <f>IFERROR(__xludf.DUMMYFUNCTION("""COMPUTED_VALUE"""),"VijetaC86")</f>
        <v>VijetaC86</v>
      </c>
      <c r="C1438" s="8">
        <f>IFERROR(__xludf.DUMMYFUNCTION("""COMPUTED_VALUE"""),0.0)</f>
        <v>0</v>
      </c>
      <c r="D1438" s="8"/>
    </row>
    <row r="1439">
      <c r="A1439" s="9" t="str">
        <f>IFERROR(__xludf.DUMMYFUNCTION("""COMPUTED_VALUE"""),"Batch 186")</f>
        <v>Batch 186</v>
      </c>
      <c r="B1439" s="9" t="str">
        <f>IFERROR(__xludf.DUMMYFUNCTION("""COMPUTED_VALUE"""),"VivekC86")</f>
        <v>VivekC86</v>
      </c>
      <c r="C1439" s="8">
        <f>IFERROR(__xludf.DUMMYFUNCTION("""COMPUTED_VALUE"""),0.0)</f>
        <v>0</v>
      </c>
      <c r="D1439" s="8"/>
    </row>
    <row r="1440">
      <c r="A1440" s="9" t="str">
        <f>IFERROR(__xludf.DUMMYFUNCTION("""COMPUTED_VALUE"""),"Batch 186")</f>
        <v>Batch 186</v>
      </c>
      <c r="B1440" s="9" t="str">
        <f>IFERROR(__xludf.DUMMYFUNCTION("""COMPUTED_VALUE"""),"NikithaC86")</f>
        <v>NikithaC86</v>
      </c>
      <c r="C1440" s="8">
        <f>IFERROR(__xludf.DUMMYFUNCTION("""COMPUTED_VALUE"""),0.0)</f>
        <v>0</v>
      </c>
      <c r="D1440" s="8"/>
    </row>
    <row r="1441">
      <c r="A1441" s="9" t="str">
        <f>IFERROR(__xludf.DUMMYFUNCTION("""COMPUTED_VALUE"""),"Batch 186")</f>
        <v>Batch 186</v>
      </c>
      <c r="B1441" s="9" t="str">
        <f>IFERROR(__xludf.DUMMYFUNCTION("""COMPUTED_VALUE"""),"AadilC86")</f>
        <v>AadilC86</v>
      </c>
      <c r="C1441" s="8">
        <f>IFERROR(__xludf.DUMMYFUNCTION("""COMPUTED_VALUE"""),0.0)</f>
        <v>0</v>
      </c>
      <c r="D1441" s="8"/>
    </row>
    <row r="1442">
      <c r="A1442" s="9" t="str">
        <f>IFERROR(__xludf.DUMMYFUNCTION("""COMPUTED_VALUE"""),"Batch 186")</f>
        <v>Batch 186</v>
      </c>
      <c r="B1442" s="9" t="str">
        <f>IFERROR(__xludf.DUMMYFUNCTION("""COMPUTED_VALUE"""),"MorziulC86")</f>
        <v>MorziulC86</v>
      </c>
      <c r="C1442" s="8">
        <f>IFERROR(__xludf.DUMMYFUNCTION("""COMPUTED_VALUE"""),0.0)</f>
        <v>0</v>
      </c>
      <c r="D1442" s="8"/>
    </row>
    <row r="1443">
      <c r="A1443" s="9" t="str">
        <f>IFERROR(__xludf.DUMMYFUNCTION("""COMPUTED_VALUE"""),"Batch 186")</f>
        <v>Batch 186</v>
      </c>
      <c r="B1443" s="9" t="str">
        <f>IFERROR(__xludf.DUMMYFUNCTION("""COMPUTED_VALUE"""),"DevanshC86")</f>
        <v>DevanshC86</v>
      </c>
      <c r="C1443" s="8">
        <f>IFERROR(__xludf.DUMMYFUNCTION("""COMPUTED_VALUE"""),0.0)</f>
        <v>0</v>
      </c>
      <c r="D1443" s="8"/>
    </row>
    <row r="1444">
      <c r="A1444" s="9" t="str">
        <f>IFERROR(__xludf.DUMMYFUNCTION("""COMPUTED_VALUE"""),"Batch 186")</f>
        <v>Batch 186</v>
      </c>
      <c r="B1444" s="9" t="str">
        <f>IFERROR(__xludf.DUMMYFUNCTION("""COMPUTED_VALUE"""),"KARTIKC86")</f>
        <v>KARTIKC86</v>
      </c>
      <c r="C1444" s="8">
        <f>IFERROR(__xludf.DUMMYFUNCTION("""COMPUTED_VALUE"""),0.0)</f>
        <v>0</v>
      </c>
      <c r="D1444" s="8"/>
    </row>
    <row r="1445">
      <c r="A1445" s="9" t="str">
        <f>IFERROR(__xludf.DUMMYFUNCTION("""COMPUTED_VALUE"""),"Batch 186")</f>
        <v>Batch 186</v>
      </c>
      <c r="B1445" s="9" t="str">
        <f>IFERROR(__xludf.DUMMYFUNCTION("""COMPUTED_VALUE"""),"GagandeepC86")</f>
        <v>GagandeepC86</v>
      </c>
      <c r="C1445" s="8">
        <f>IFERROR(__xludf.DUMMYFUNCTION("""COMPUTED_VALUE"""),2.0)</f>
        <v>2</v>
      </c>
      <c r="D1445" s="8"/>
    </row>
    <row r="1446">
      <c r="A1446" s="9" t="str">
        <f>IFERROR(__xludf.DUMMYFUNCTION("""COMPUTED_VALUE"""),"Batch 186")</f>
        <v>Batch 186</v>
      </c>
      <c r="B1446" s="9" t="str">
        <f>IFERROR(__xludf.DUMMYFUNCTION("""COMPUTED_VALUE"""),"SanaC86")</f>
        <v>SanaC86</v>
      </c>
      <c r="C1446" s="8">
        <f>IFERROR(__xludf.DUMMYFUNCTION("""COMPUTED_VALUE"""),0.0)</f>
        <v>0</v>
      </c>
      <c r="D1446" s="8"/>
    </row>
    <row r="1447">
      <c r="A1447" s="9" t="str">
        <f>IFERROR(__xludf.DUMMYFUNCTION("""COMPUTED_VALUE"""),"Batch 186")</f>
        <v>Batch 186</v>
      </c>
      <c r="B1447" s="9" t="str">
        <f>IFERROR(__xludf.DUMMYFUNCTION("""COMPUTED_VALUE"""),"YuktiC86")</f>
        <v>YuktiC86</v>
      </c>
      <c r="C1447" s="8">
        <f>IFERROR(__xludf.DUMMYFUNCTION("""COMPUTED_VALUE"""),4.0)</f>
        <v>4</v>
      </c>
      <c r="D1447" s="8">
        <f>IFERROR(__xludf.DUMMYFUNCTION("""COMPUTED_VALUE"""),1.0)</f>
        <v>1</v>
      </c>
    </row>
    <row r="1448">
      <c r="A1448" s="9" t="str">
        <f>IFERROR(__xludf.DUMMYFUNCTION("""COMPUTED_VALUE"""),"Batch 186")</f>
        <v>Batch 186</v>
      </c>
      <c r="B1448" s="9" t="str">
        <f>IFERROR(__xludf.DUMMYFUNCTION("""COMPUTED_VALUE"""),"AnantaC86")</f>
        <v>AnantaC86</v>
      </c>
      <c r="C1448" s="8">
        <f>IFERROR(__xludf.DUMMYFUNCTION("""COMPUTED_VALUE"""),4.0)</f>
        <v>4</v>
      </c>
      <c r="D1448" s="8">
        <f>IFERROR(__xludf.DUMMYFUNCTION("""COMPUTED_VALUE"""),6.0)</f>
        <v>6</v>
      </c>
    </row>
    <row r="1449">
      <c r="A1449" s="9" t="str">
        <f>IFERROR(__xludf.DUMMYFUNCTION("""COMPUTED_VALUE"""),"Batch 186")</f>
        <v>Batch 186</v>
      </c>
      <c r="B1449" s="9" t="str">
        <f>IFERROR(__xludf.DUMMYFUNCTION("""COMPUTED_VALUE"""),"BasitC86")</f>
        <v>BasitC86</v>
      </c>
      <c r="C1449" s="8">
        <f>IFERROR(__xludf.DUMMYFUNCTION("""COMPUTED_VALUE"""),0.0)</f>
        <v>0</v>
      </c>
      <c r="D1449" s="8"/>
    </row>
    <row r="1450">
      <c r="A1450" s="9" t="str">
        <f>IFERROR(__xludf.DUMMYFUNCTION("""COMPUTED_VALUE"""),"Batch 186")</f>
        <v>Batch 186</v>
      </c>
      <c r="B1450" s="9" t="str">
        <f>IFERROR(__xludf.DUMMYFUNCTION("""COMPUTED_VALUE"""),"BibiC86")</f>
        <v>BibiC86</v>
      </c>
      <c r="C1450" s="8">
        <f>IFERROR(__xludf.DUMMYFUNCTION("""COMPUTED_VALUE"""),0.0)</f>
        <v>0</v>
      </c>
      <c r="D1450" s="8"/>
    </row>
    <row r="1451">
      <c r="A1451" s="9" t="str">
        <f>IFERROR(__xludf.DUMMYFUNCTION("""COMPUTED_VALUE"""),"Batch 186")</f>
        <v>Batch 186</v>
      </c>
      <c r="B1451" s="9" t="str">
        <f>IFERROR(__xludf.DUMMYFUNCTION("""COMPUTED_VALUE"""),"SarikaC86")</f>
        <v>SarikaC86</v>
      </c>
      <c r="C1451" s="8">
        <f>IFERROR(__xludf.DUMMYFUNCTION("""COMPUTED_VALUE"""),12.0)</f>
        <v>12</v>
      </c>
      <c r="D1451" s="8">
        <f>IFERROR(__xludf.DUMMYFUNCTION("""COMPUTED_VALUE"""),6.0)</f>
        <v>6</v>
      </c>
    </row>
    <row r="1452">
      <c r="A1452" s="9" t="str">
        <f>IFERROR(__xludf.DUMMYFUNCTION("""COMPUTED_VALUE"""),"Batch 186")</f>
        <v>Batch 186</v>
      </c>
      <c r="B1452" s="9" t="str">
        <f>IFERROR(__xludf.DUMMYFUNCTION("""COMPUTED_VALUE"""),"GARLAPATIC86")</f>
        <v>GARLAPATIC86</v>
      </c>
      <c r="C1452" s="8">
        <f>IFERROR(__xludf.DUMMYFUNCTION("""COMPUTED_VALUE"""),0.0)</f>
        <v>0</v>
      </c>
      <c r="D1452" s="8"/>
    </row>
    <row r="1453">
      <c r="A1453" s="9" t="str">
        <f>IFERROR(__xludf.DUMMYFUNCTION("""COMPUTED_VALUE"""),"Batch 186")</f>
        <v>Batch 186</v>
      </c>
      <c r="B1453" s="9" t="str">
        <f>IFERROR(__xludf.DUMMYFUNCTION("""COMPUTED_VALUE"""),"TanviC86")</f>
        <v>TanviC86</v>
      </c>
      <c r="C1453" s="8">
        <f>IFERROR(__xludf.DUMMYFUNCTION("""COMPUTED_VALUE"""),0.0)</f>
        <v>0</v>
      </c>
      <c r="D1453" s="8"/>
    </row>
    <row r="1454">
      <c r="A1454" s="9" t="str">
        <f>IFERROR(__xludf.DUMMYFUNCTION("""COMPUTED_VALUE"""),"Batch 186")</f>
        <v>Batch 186</v>
      </c>
      <c r="B1454" s="9" t="str">
        <f>IFERROR(__xludf.DUMMYFUNCTION("""COMPUTED_VALUE"""),"TanuC86")</f>
        <v>TanuC86</v>
      </c>
      <c r="C1454" s="8">
        <f>IFERROR(__xludf.DUMMYFUNCTION("""COMPUTED_VALUE"""),0.0)</f>
        <v>0</v>
      </c>
      <c r="D1454" s="8"/>
    </row>
    <row r="1455">
      <c r="A1455" s="9" t="str">
        <f>IFERROR(__xludf.DUMMYFUNCTION("""COMPUTED_VALUE"""),"Batch 186")</f>
        <v>Batch 186</v>
      </c>
      <c r="B1455" s="9" t="str">
        <f>IFERROR(__xludf.DUMMYFUNCTION("""COMPUTED_VALUE"""),"SomyaC86")</f>
        <v>SomyaC86</v>
      </c>
      <c r="C1455" s="8">
        <f>IFERROR(__xludf.DUMMYFUNCTION("""COMPUTED_VALUE"""),0.0)</f>
        <v>0</v>
      </c>
      <c r="D1455" s="8"/>
    </row>
    <row r="1456">
      <c r="A1456" s="9" t="str">
        <f>IFERROR(__xludf.DUMMYFUNCTION("""COMPUTED_VALUE"""),"Batch 186")</f>
        <v>Batch 186</v>
      </c>
      <c r="B1456" s="9" t="str">
        <f>IFERROR(__xludf.DUMMYFUNCTION("""COMPUTED_VALUE"""),"MuskanC86")</f>
        <v>MuskanC86</v>
      </c>
      <c r="C1456" s="8">
        <f>IFERROR(__xludf.DUMMYFUNCTION("""COMPUTED_VALUE"""),3.0)</f>
        <v>3</v>
      </c>
      <c r="D1456" s="8">
        <f>IFERROR(__xludf.DUMMYFUNCTION("""COMPUTED_VALUE"""),2.0)</f>
        <v>2</v>
      </c>
    </row>
    <row r="1457">
      <c r="A1457" s="9" t="str">
        <f>IFERROR(__xludf.DUMMYFUNCTION("""COMPUTED_VALUE"""),"Batch 186")</f>
        <v>Batch 186</v>
      </c>
      <c r="B1457" s="9" t="str">
        <f>IFERROR(__xludf.DUMMYFUNCTION("""COMPUTED_VALUE"""),"medhaC86")</f>
        <v>medhaC86</v>
      </c>
      <c r="C1457" s="8">
        <f>IFERROR(__xludf.DUMMYFUNCTION("""COMPUTED_VALUE"""),0.0)</f>
        <v>0</v>
      </c>
      <c r="D1457" s="8"/>
    </row>
    <row r="1458">
      <c r="A1458" s="9" t="str">
        <f>IFERROR(__xludf.DUMMYFUNCTION("""COMPUTED_VALUE"""),"Batch 186")</f>
        <v>Batch 186</v>
      </c>
      <c r="B1458" s="9" t="str">
        <f>IFERROR(__xludf.DUMMYFUNCTION("""COMPUTED_VALUE"""),"YuthanC86")</f>
        <v>YuthanC86</v>
      </c>
      <c r="C1458" s="8">
        <f>IFERROR(__xludf.DUMMYFUNCTION("""COMPUTED_VALUE"""),0.0)</f>
        <v>0</v>
      </c>
      <c r="D1458" s="8"/>
    </row>
    <row r="1459">
      <c r="A1459" s="9" t="str">
        <f>IFERROR(__xludf.DUMMYFUNCTION("""COMPUTED_VALUE"""),"Batch 186")</f>
        <v>Batch 186</v>
      </c>
      <c r="B1459" s="9" t="str">
        <f>IFERROR(__xludf.DUMMYFUNCTION("""COMPUTED_VALUE"""),"KanhaC86")</f>
        <v>KanhaC86</v>
      </c>
      <c r="C1459" s="8">
        <f>IFERROR(__xludf.DUMMYFUNCTION("""COMPUTED_VALUE"""),0.0)</f>
        <v>0</v>
      </c>
      <c r="D1459" s="8"/>
    </row>
    <row r="1460">
      <c r="A1460" s="9" t="str">
        <f>IFERROR(__xludf.DUMMYFUNCTION("""COMPUTED_VALUE"""),"Batch 186")</f>
        <v>Batch 186</v>
      </c>
      <c r="B1460" s="9" t="str">
        <f>IFERROR(__xludf.DUMMYFUNCTION("""COMPUTED_VALUE"""),"HarshC86")</f>
        <v>HarshC86</v>
      </c>
      <c r="C1460" s="8">
        <f>IFERROR(__xludf.DUMMYFUNCTION("""COMPUTED_VALUE"""),0.0)</f>
        <v>0</v>
      </c>
      <c r="D1460" s="8"/>
    </row>
    <row r="1461">
      <c r="A1461" s="9" t="str">
        <f>IFERROR(__xludf.DUMMYFUNCTION("""COMPUTED_VALUE"""),"Batch 186")</f>
        <v>Batch 186</v>
      </c>
      <c r="B1461" s="9" t="str">
        <f>IFERROR(__xludf.DUMMYFUNCTION("""COMPUTED_VALUE"""),"SatyamC86")</f>
        <v>SatyamC86</v>
      </c>
      <c r="C1461" s="8">
        <f>IFERROR(__xludf.DUMMYFUNCTION("""COMPUTED_VALUE"""),1.0)</f>
        <v>1</v>
      </c>
      <c r="D1461" s="8"/>
    </row>
    <row r="1462">
      <c r="A1462" s="9" t="str">
        <f>IFERROR(__xludf.DUMMYFUNCTION("""COMPUTED_VALUE"""),"Batch 186")</f>
        <v>Batch 186</v>
      </c>
      <c r="B1462" s="9" t="str">
        <f>IFERROR(__xludf.DUMMYFUNCTION("""COMPUTED_VALUE"""),"SaurabhC86")</f>
        <v>SaurabhC86</v>
      </c>
      <c r="C1462" s="8">
        <f>IFERROR(__xludf.DUMMYFUNCTION("""COMPUTED_VALUE"""),9.0)</f>
        <v>9</v>
      </c>
      <c r="D1462" s="8">
        <f>IFERROR(__xludf.DUMMYFUNCTION("""COMPUTED_VALUE"""),1.0)</f>
        <v>1</v>
      </c>
    </row>
    <row r="1463">
      <c r="A1463" s="9" t="str">
        <f>IFERROR(__xludf.DUMMYFUNCTION("""COMPUTED_VALUE"""),"Batch 186")</f>
        <v>Batch 186</v>
      </c>
      <c r="B1463" s="9" t="str">
        <f>IFERROR(__xludf.DUMMYFUNCTION("""COMPUTED_VALUE"""),"shlokC86")</f>
        <v>shlokC86</v>
      </c>
      <c r="C1463" s="8">
        <f>IFERROR(__xludf.DUMMYFUNCTION("""COMPUTED_VALUE"""),0.0)</f>
        <v>0</v>
      </c>
      <c r="D1463" s="8"/>
    </row>
    <row r="1464">
      <c r="A1464" s="9" t="str">
        <f>IFERROR(__xludf.DUMMYFUNCTION("""COMPUTED_VALUE"""),"Batch 186")</f>
        <v>Batch 186</v>
      </c>
      <c r="B1464" s="9" t="str">
        <f>IFERROR(__xludf.DUMMYFUNCTION("""COMPUTED_VALUE"""),"GayatriC86")</f>
        <v>GayatriC86</v>
      </c>
      <c r="C1464" s="8">
        <f>IFERROR(__xludf.DUMMYFUNCTION("""COMPUTED_VALUE"""),0.0)</f>
        <v>0</v>
      </c>
      <c r="D1464" s="8"/>
    </row>
    <row r="1465">
      <c r="A1465" s="9" t="str">
        <f>IFERROR(__xludf.DUMMYFUNCTION("""COMPUTED_VALUE"""),"Batch 186")</f>
        <v>Batch 186</v>
      </c>
      <c r="B1465" s="9" t="str">
        <f>IFERROR(__xludf.DUMMYFUNCTION("""COMPUTED_VALUE"""),"ShaadC86")</f>
        <v>ShaadC86</v>
      </c>
      <c r="C1465" s="8">
        <f>IFERROR(__xludf.DUMMYFUNCTION("""COMPUTED_VALUE"""),0.0)</f>
        <v>0</v>
      </c>
      <c r="D1465" s="8"/>
    </row>
    <row r="1466">
      <c r="A1466" s="9" t="str">
        <f>IFERROR(__xludf.DUMMYFUNCTION("""COMPUTED_VALUE"""),"Batch 186")</f>
        <v>Batch 186</v>
      </c>
      <c r="B1466" s="9" t="str">
        <f>IFERROR(__xludf.DUMMYFUNCTION("""COMPUTED_VALUE"""),"SheikhC86")</f>
        <v>SheikhC86</v>
      </c>
      <c r="C1466" s="8">
        <f>IFERROR(__xludf.DUMMYFUNCTION("""COMPUTED_VALUE"""),0.0)</f>
        <v>0</v>
      </c>
      <c r="D1466" s="8"/>
    </row>
    <row r="1467">
      <c r="A1467" s="9" t="str">
        <f>IFERROR(__xludf.DUMMYFUNCTION("""COMPUTED_VALUE"""),"Batch 186")</f>
        <v>Batch 186</v>
      </c>
      <c r="B1467" s="9" t="str">
        <f>IFERROR(__xludf.DUMMYFUNCTION("""COMPUTED_VALUE"""),"YashC86")</f>
        <v>YashC86</v>
      </c>
      <c r="C1467" s="8">
        <f>IFERROR(__xludf.DUMMYFUNCTION("""COMPUTED_VALUE"""),0.0)</f>
        <v>0</v>
      </c>
      <c r="D1467" s="8"/>
    </row>
    <row r="1468">
      <c r="A1468" s="9" t="str">
        <f>IFERROR(__xludf.DUMMYFUNCTION("""COMPUTED_VALUE"""),"Batch 186")</f>
        <v>Batch 186</v>
      </c>
      <c r="B1468" s="9" t="str">
        <f>IFERROR(__xludf.DUMMYFUNCTION("""COMPUTED_VALUE"""),"RupankarC86")</f>
        <v>RupankarC86</v>
      </c>
      <c r="C1468" s="8">
        <f>IFERROR(__xludf.DUMMYFUNCTION("""COMPUTED_VALUE"""),0.0)</f>
        <v>0</v>
      </c>
      <c r="D1468" s="8"/>
    </row>
    <row r="1469">
      <c r="A1469" s="9" t="str">
        <f>IFERROR(__xludf.DUMMYFUNCTION("""COMPUTED_VALUE"""),"Batch 186")</f>
        <v>Batch 186</v>
      </c>
      <c r="B1469" s="9" t="str">
        <f>IFERROR(__xludf.DUMMYFUNCTION("""COMPUTED_VALUE"""),"MuskanC86")</f>
        <v>MuskanC86</v>
      </c>
      <c r="C1469" s="8">
        <f>IFERROR(__xludf.DUMMYFUNCTION("""COMPUTED_VALUE"""),0.0)</f>
        <v>0</v>
      </c>
      <c r="D1469" s="8"/>
    </row>
    <row r="1470">
      <c r="A1470" s="9" t="str">
        <f>IFERROR(__xludf.DUMMYFUNCTION("""COMPUTED_VALUE"""),"Batch 186")</f>
        <v>Batch 186</v>
      </c>
      <c r="B1470" s="9" t="str">
        <f>IFERROR(__xludf.DUMMYFUNCTION("""COMPUTED_VALUE"""),"ParthaC86")</f>
        <v>ParthaC86</v>
      </c>
      <c r="C1470" s="8">
        <f>IFERROR(__xludf.DUMMYFUNCTION("""COMPUTED_VALUE"""),1.0)</f>
        <v>1</v>
      </c>
      <c r="D1470" s="8"/>
    </row>
    <row r="1471">
      <c r="A1471" s="9" t="str">
        <f>IFERROR(__xludf.DUMMYFUNCTION("""COMPUTED_VALUE"""),"Batch 186")</f>
        <v>Batch 186</v>
      </c>
      <c r="B1471" s="9" t="str">
        <f>IFERROR(__xludf.DUMMYFUNCTION("""COMPUTED_VALUE"""),"SreeramC86")</f>
        <v>SreeramC86</v>
      </c>
      <c r="C1471" s="8">
        <f>IFERROR(__xludf.DUMMYFUNCTION("""COMPUTED_VALUE"""),1.0)</f>
        <v>1</v>
      </c>
      <c r="D1471" s="8"/>
    </row>
    <row r="1472">
      <c r="A1472" s="9" t="str">
        <f>IFERROR(__xludf.DUMMYFUNCTION("""COMPUTED_VALUE"""),"Batch 186")</f>
        <v>Batch 186</v>
      </c>
      <c r="B1472" s="9" t="str">
        <f>IFERROR(__xludf.DUMMYFUNCTION("""COMPUTED_VALUE"""),"ROYALC86")</f>
        <v>ROYALC86</v>
      </c>
      <c r="C1472" s="8">
        <f>IFERROR(__xludf.DUMMYFUNCTION("""COMPUTED_VALUE"""),0.0)</f>
        <v>0</v>
      </c>
      <c r="D1472" s="8"/>
    </row>
    <row r="1473">
      <c r="A1473" s="9"/>
      <c r="B1473" s="9"/>
      <c r="C1473" s="8">
        <f>IFERROR(__xludf.DUMMYFUNCTION("""COMPUTED_VALUE"""),0.0)</f>
        <v>0</v>
      </c>
      <c r="D1473" s="8"/>
    </row>
    <row r="1474">
      <c r="A1474" s="9" t="str">
        <f>IFERROR(__xludf.DUMMYFUNCTION("""COMPUTED_VALUE"""),"Batch 187")</f>
        <v>Batch 187</v>
      </c>
      <c r="B1474" s="9" t="str">
        <f>IFERROR(__xludf.DUMMYFUNCTION("""COMPUTED_VALUE"""),"ShivaniC86")</f>
        <v>ShivaniC86</v>
      </c>
      <c r="C1474" s="8">
        <f>IFERROR(__xludf.DUMMYFUNCTION("""COMPUTED_VALUE"""),1.0)</f>
        <v>1</v>
      </c>
      <c r="D1474" s="8"/>
    </row>
    <row r="1475">
      <c r="A1475" s="9" t="str">
        <f>IFERROR(__xludf.DUMMYFUNCTION("""COMPUTED_VALUE"""),"Batch 187")</f>
        <v>Batch 187</v>
      </c>
      <c r="B1475" s="9" t="str">
        <f>IFERROR(__xludf.DUMMYFUNCTION("""COMPUTED_VALUE"""),"AnweshC86")</f>
        <v>AnweshC86</v>
      </c>
      <c r="C1475" s="8">
        <f>IFERROR(__xludf.DUMMYFUNCTION("""COMPUTED_VALUE"""),8.0)</f>
        <v>8</v>
      </c>
      <c r="D1475" s="8">
        <f>IFERROR(__xludf.DUMMYFUNCTION("""COMPUTED_VALUE"""),1.0)</f>
        <v>1</v>
      </c>
    </row>
    <row r="1476">
      <c r="A1476" s="9" t="str">
        <f>IFERROR(__xludf.DUMMYFUNCTION("""COMPUTED_VALUE"""),"Batch 187")</f>
        <v>Batch 187</v>
      </c>
      <c r="B1476" s="9" t="str">
        <f>IFERROR(__xludf.DUMMYFUNCTION("""COMPUTED_VALUE"""),"DeepakC86")</f>
        <v>DeepakC86</v>
      </c>
      <c r="C1476" s="8">
        <f>IFERROR(__xludf.DUMMYFUNCTION("""COMPUTED_VALUE"""),2.0)</f>
        <v>2</v>
      </c>
      <c r="D1476" s="8">
        <f>IFERROR(__xludf.DUMMYFUNCTION("""COMPUTED_VALUE"""),1.0)</f>
        <v>1</v>
      </c>
    </row>
    <row r="1477">
      <c r="A1477" s="9" t="str">
        <f>IFERROR(__xludf.DUMMYFUNCTION("""COMPUTED_VALUE"""),"Batch 187")</f>
        <v>Batch 187</v>
      </c>
      <c r="B1477" s="9" t="str">
        <f>IFERROR(__xludf.DUMMYFUNCTION("""COMPUTED_VALUE"""),"PragyaC86")</f>
        <v>PragyaC86</v>
      </c>
      <c r="C1477" s="8">
        <f>IFERROR(__xludf.DUMMYFUNCTION("""COMPUTED_VALUE"""),0.0)</f>
        <v>0</v>
      </c>
      <c r="D1477" s="8"/>
    </row>
    <row r="1478">
      <c r="A1478" s="9" t="str">
        <f>IFERROR(__xludf.DUMMYFUNCTION("""COMPUTED_VALUE"""),"Batch 187")</f>
        <v>Batch 187</v>
      </c>
      <c r="B1478" s="9" t="str">
        <f>IFERROR(__xludf.DUMMYFUNCTION("""COMPUTED_VALUE"""),"DarshC86")</f>
        <v>DarshC86</v>
      </c>
      <c r="C1478" s="8">
        <f>IFERROR(__xludf.DUMMYFUNCTION("""COMPUTED_VALUE"""),0.0)</f>
        <v>0</v>
      </c>
      <c r="D1478" s="8"/>
    </row>
    <row r="1479">
      <c r="A1479" s="9" t="str">
        <f>IFERROR(__xludf.DUMMYFUNCTION("""COMPUTED_VALUE"""),"Batch 187")</f>
        <v>Batch 187</v>
      </c>
      <c r="B1479" s="9" t="str">
        <f>IFERROR(__xludf.DUMMYFUNCTION("""COMPUTED_VALUE"""),"ShradhaC86")</f>
        <v>ShradhaC86</v>
      </c>
      <c r="C1479" s="8">
        <f>IFERROR(__xludf.DUMMYFUNCTION("""COMPUTED_VALUE"""),0.0)</f>
        <v>0</v>
      </c>
      <c r="D1479" s="8"/>
    </row>
    <row r="1480">
      <c r="A1480" s="9" t="str">
        <f>IFERROR(__xludf.DUMMYFUNCTION("""COMPUTED_VALUE"""),"Batch 187")</f>
        <v>Batch 187</v>
      </c>
      <c r="B1480" s="9" t="str">
        <f>IFERROR(__xludf.DUMMYFUNCTION("""COMPUTED_VALUE"""),"CHINNIC86")</f>
        <v>CHINNIC86</v>
      </c>
      <c r="C1480" s="8">
        <f>IFERROR(__xludf.DUMMYFUNCTION("""COMPUTED_VALUE"""),0.0)</f>
        <v>0</v>
      </c>
      <c r="D1480" s="8"/>
    </row>
    <row r="1481">
      <c r="A1481" s="9" t="str">
        <f>IFERROR(__xludf.DUMMYFUNCTION("""COMPUTED_VALUE"""),"Batch 187")</f>
        <v>Batch 187</v>
      </c>
      <c r="B1481" s="9" t="str">
        <f>IFERROR(__xludf.DUMMYFUNCTION("""COMPUTED_VALUE"""),"SubhajitC86")</f>
        <v>SubhajitC86</v>
      </c>
      <c r="C1481" s="8">
        <f>IFERROR(__xludf.DUMMYFUNCTION("""COMPUTED_VALUE"""),0.0)</f>
        <v>0</v>
      </c>
      <c r="D1481" s="8"/>
    </row>
    <row r="1482">
      <c r="A1482" s="9" t="str">
        <f>IFERROR(__xludf.DUMMYFUNCTION("""COMPUTED_VALUE"""),"Batch 187")</f>
        <v>Batch 187</v>
      </c>
      <c r="B1482" s="9" t="str">
        <f>IFERROR(__xludf.DUMMYFUNCTION("""COMPUTED_VALUE"""),"VikasC86")</f>
        <v>VikasC86</v>
      </c>
      <c r="C1482" s="8">
        <f>IFERROR(__xludf.DUMMYFUNCTION("""COMPUTED_VALUE"""),0.0)</f>
        <v>0</v>
      </c>
      <c r="D1482" s="8"/>
    </row>
    <row r="1483">
      <c r="A1483" s="9" t="str">
        <f>IFERROR(__xludf.DUMMYFUNCTION("""COMPUTED_VALUE"""),"Batch 187")</f>
        <v>Batch 187</v>
      </c>
      <c r="B1483" s="9" t="str">
        <f>IFERROR(__xludf.DUMMYFUNCTION("""COMPUTED_VALUE"""),"SouravC86")</f>
        <v>SouravC86</v>
      </c>
      <c r="C1483" s="8">
        <f>IFERROR(__xludf.DUMMYFUNCTION("""COMPUTED_VALUE"""),0.0)</f>
        <v>0</v>
      </c>
      <c r="D1483" s="8"/>
    </row>
    <row r="1484">
      <c r="A1484" s="9" t="str">
        <f>IFERROR(__xludf.DUMMYFUNCTION("""COMPUTED_VALUE"""),"Batch 187")</f>
        <v>Batch 187</v>
      </c>
      <c r="B1484" s="9" t="str">
        <f>IFERROR(__xludf.DUMMYFUNCTION("""COMPUTED_VALUE"""),"GautamC86")</f>
        <v>GautamC86</v>
      </c>
      <c r="C1484" s="8">
        <f>IFERROR(__xludf.DUMMYFUNCTION("""COMPUTED_VALUE"""),0.0)</f>
        <v>0</v>
      </c>
      <c r="D1484" s="8"/>
    </row>
    <row r="1485">
      <c r="A1485" s="9" t="str">
        <f>IFERROR(__xludf.DUMMYFUNCTION("""COMPUTED_VALUE"""),"Batch 187")</f>
        <v>Batch 187</v>
      </c>
      <c r="B1485" s="9" t="str">
        <f>IFERROR(__xludf.DUMMYFUNCTION("""COMPUTED_VALUE"""),"AishwaryaC86")</f>
        <v>AishwaryaC86</v>
      </c>
      <c r="C1485" s="8">
        <f>IFERROR(__xludf.DUMMYFUNCTION("""COMPUTED_VALUE"""),0.0)</f>
        <v>0</v>
      </c>
      <c r="D1485" s="8"/>
    </row>
    <row r="1486">
      <c r="A1486" s="9" t="str">
        <f>IFERROR(__xludf.DUMMYFUNCTION("""COMPUTED_VALUE"""),"Batch 187")</f>
        <v>Batch 187</v>
      </c>
      <c r="B1486" s="9" t="str">
        <f>IFERROR(__xludf.DUMMYFUNCTION("""COMPUTED_VALUE"""),"KhushiC86")</f>
        <v>KhushiC86</v>
      </c>
      <c r="C1486" s="8">
        <f>IFERROR(__xludf.DUMMYFUNCTION("""COMPUTED_VALUE"""),0.0)</f>
        <v>0</v>
      </c>
      <c r="D1486" s="8"/>
    </row>
    <row r="1487">
      <c r="A1487" s="9" t="str">
        <f>IFERROR(__xludf.DUMMYFUNCTION("""COMPUTED_VALUE"""),"Batch 187")</f>
        <v>Batch 187</v>
      </c>
      <c r="B1487" s="9"/>
      <c r="C1487" s="8">
        <f>IFERROR(__xludf.DUMMYFUNCTION("""COMPUTED_VALUE"""),0.0)</f>
        <v>0</v>
      </c>
      <c r="D1487" s="8"/>
    </row>
    <row r="1488">
      <c r="A1488" s="9" t="str">
        <f>IFERROR(__xludf.DUMMYFUNCTION("""COMPUTED_VALUE"""),"Batch 187")</f>
        <v>Batch 187</v>
      </c>
      <c r="B1488" s="9" t="str">
        <f>IFERROR(__xludf.DUMMYFUNCTION("""COMPUTED_VALUE"""),"MadanC86")</f>
        <v>MadanC86</v>
      </c>
      <c r="C1488" s="8">
        <f>IFERROR(__xludf.DUMMYFUNCTION("""COMPUTED_VALUE"""),1.0)</f>
        <v>1</v>
      </c>
      <c r="D1488" s="8"/>
    </row>
    <row r="1489">
      <c r="A1489" s="9" t="str">
        <f>IFERROR(__xludf.DUMMYFUNCTION("""COMPUTED_VALUE"""),"Batch 187")</f>
        <v>Batch 187</v>
      </c>
      <c r="B1489" s="9" t="str">
        <f>IFERROR(__xludf.DUMMYFUNCTION("""COMPUTED_VALUE"""),"NeelambariC86")</f>
        <v>NeelambariC86</v>
      </c>
      <c r="C1489" s="8">
        <f>IFERROR(__xludf.DUMMYFUNCTION("""COMPUTED_VALUE"""),0.0)</f>
        <v>0</v>
      </c>
      <c r="D1489" s="8"/>
    </row>
    <row r="1490">
      <c r="A1490" s="9" t="str">
        <f>IFERROR(__xludf.DUMMYFUNCTION("""COMPUTED_VALUE"""),"Batch 187")</f>
        <v>Batch 187</v>
      </c>
      <c r="B1490" s="9" t="str">
        <f>IFERROR(__xludf.DUMMYFUNCTION("""COMPUTED_VALUE"""),"RiyaC86")</f>
        <v>RiyaC86</v>
      </c>
      <c r="C1490" s="8">
        <f>IFERROR(__xludf.DUMMYFUNCTION("""COMPUTED_VALUE"""),0.0)</f>
        <v>0</v>
      </c>
      <c r="D1490" s="8">
        <f>IFERROR(__xludf.DUMMYFUNCTION("""COMPUTED_VALUE"""),1.0)</f>
        <v>1</v>
      </c>
    </row>
    <row r="1491">
      <c r="A1491" s="9" t="str">
        <f>IFERROR(__xludf.DUMMYFUNCTION("""COMPUTED_VALUE"""),"Batch 187")</f>
        <v>Batch 187</v>
      </c>
      <c r="B1491" s="9" t="str">
        <f>IFERROR(__xludf.DUMMYFUNCTION("""COMPUTED_VALUE"""),"SHUBHAMC86")</f>
        <v>SHUBHAMC86</v>
      </c>
      <c r="C1491" s="8">
        <f>IFERROR(__xludf.DUMMYFUNCTION("""COMPUTED_VALUE"""),0.0)</f>
        <v>0</v>
      </c>
      <c r="D1491" s="8"/>
    </row>
    <row r="1492">
      <c r="A1492" s="9" t="str">
        <f>IFERROR(__xludf.DUMMYFUNCTION("""COMPUTED_VALUE"""),"Batch 187")</f>
        <v>Batch 187</v>
      </c>
      <c r="B1492" s="9" t="str">
        <f>IFERROR(__xludf.DUMMYFUNCTION("""COMPUTED_VALUE"""),"JanviC86")</f>
        <v>JanviC86</v>
      </c>
      <c r="C1492" s="8">
        <f>IFERROR(__xludf.DUMMYFUNCTION("""COMPUTED_VALUE"""),0.0)</f>
        <v>0</v>
      </c>
      <c r="D1492" s="8"/>
    </row>
    <row r="1493">
      <c r="A1493" s="9" t="str">
        <f>IFERROR(__xludf.DUMMYFUNCTION("""COMPUTED_VALUE"""),"Batch 187")</f>
        <v>Batch 187</v>
      </c>
      <c r="B1493" s="9" t="str">
        <f>IFERROR(__xludf.DUMMYFUNCTION("""COMPUTED_VALUE"""),"KankanaC86")</f>
        <v>KankanaC86</v>
      </c>
      <c r="C1493" s="8">
        <f>IFERROR(__xludf.DUMMYFUNCTION("""COMPUTED_VALUE"""),0.0)</f>
        <v>0</v>
      </c>
      <c r="D1493" s="8"/>
    </row>
    <row r="1494">
      <c r="A1494" s="9" t="str">
        <f>IFERROR(__xludf.DUMMYFUNCTION("""COMPUTED_VALUE"""),"Batch 187")</f>
        <v>Batch 187</v>
      </c>
      <c r="B1494" s="9" t="str">
        <f>IFERROR(__xludf.DUMMYFUNCTION("""COMPUTED_VALUE"""),"YashC86")</f>
        <v>YashC86</v>
      </c>
      <c r="C1494" s="8">
        <f>IFERROR(__xludf.DUMMYFUNCTION("""COMPUTED_VALUE"""),0.0)</f>
        <v>0</v>
      </c>
      <c r="D1494" s="8"/>
    </row>
    <row r="1495">
      <c r="A1495" s="9" t="str">
        <f>IFERROR(__xludf.DUMMYFUNCTION("""COMPUTED_VALUE"""),"Batch 187")</f>
        <v>Batch 187</v>
      </c>
      <c r="B1495" s="9" t="str">
        <f>IFERROR(__xludf.DUMMYFUNCTION("""COMPUTED_VALUE"""),"SoniaC86")</f>
        <v>SoniaC86</v>
      </c>
      <c r="C1495" s="8">
        <f>IFERROR(__xludf.DUMMYFUNCTION("""COMPUTED_VALUE"""),0.0)</f>
        <v>0</v>
      </c>
      <c r="D1495" s="8"/>
    </row>
    <row r="1496">
      <c r="A1496" s="9" t="str">
        <f>IFERROR(__xludf.DUMMYFUNCTION("""COMPUTED_VALUE"""),"Batch 187")</f>
        <v>Batch 187</v>
      </c>
      <c r="B1496" s="9" t="str">
        <f>IFERROR(__xludf.DUMMYFUNCTION("""COMPUTED_VALUE"""),"VaishnaviC86")</f>
        <v>VaishnaviC86</v>
      </c>
      <c r="C1496" s="8">
        <f>IFERROR(__xludf.DUMMYFUNCTION("""COMPUTED_VALUE"""),0.0)</f>
        <v>0</v>
      </c>
      <c r="D1496" s="8"/>
    </row>
    <row r="1497">
      <c r="A1497" s="9" t="str">
        <f>IFERROR(__xludf.DUMMYFUNCTION("""COMPUTED_VALUE"""),"Batch 187")</f>
        <v>Batch 187</v>
      </c>
      <c r="B1497" s="9" t="str">
        <f>IFERROR(__xludf.DUMMYFUNCTION("""COMPUTED_VALUE"""),"PranavC86")</f>
        <v>PranavC86</v>
      </c>
      <c r="C1497" s="8">
        <f>IFERROR(__xludf.DUMMYFUNCTION("""COMPUTED_VALUE"""),8.0)</f>
        <v>8</v>
      </c>
      <c r="D1497" s="8">
        <f>IFERROR(__xludf.DUMMYFUNCTION("""COMPUTED_VALUE"""),4.0)</f>
        <v>4</v>
      </c>
    </row>
    <row r="1498">
      <c r="A1498" s="9" t="str">
        <f>IFERROR(__xludf.DUMMYFUNCTION("""COMPUTED_VALUE"""),"Batch 187")</f>
        <v>Batch 187</v>
      </c>
      <c r="B1498" s="9" t="str">
        <f>IFERROR(__xludf.DUMMYFUNCTION("""COMPUTED_VALUE"""),"JAHANGEERC86")</f>
        <v>JAHANGEERC86</v>
      </c>
      <c r="C1498" s="8">
        <f>IFERROR(__xludf.DUMMYFUNCTION("""COMPUTED_VALUE"""),0.0)</f>
        <v>0</v>
      </c>
      <c r="D1498" s="8"/>
    </row>
    <row r="1499">
      <c r="A1499" s="9" t="str">
        <f>IFERROR(__xludf.DUMMYFUNCTION("""COMPUTED_VALUE"""),"Batch 187")</f>
        <v>Batch 187</v>
      </c>
      <c r="B1499" s="9" t="str">
        <f>IFERROR(__xludf.DUMMYFUNCTION("""COMPUTED_VALUE"""),"SITAC86")</f>
        <v>SITAC86</v>
      </c>
      <c r="C1499" s="8">
        <f>IFERROR(__xludf.DUMMYFUNCTION("""COMPUTED_VALUE"""),0.0)</f>
        <v>0</v>
      </c>
      <c r="D1499" s="8"/>
    </row>
    <row r="1500">
      <c r="A1500" s="9" t="str">
        <f>IFERROR(__xludf.DUMMYFUNCTION("""COMPUTED_VALUE"""),"Batch 187")</f>
        <v>Batch 187</v>
      </c>
      <c r="B1500" s="9" t="str">
        <f>IFERROR(__xludf.DUMMYFUNCTION("""COMPUTED_VALUE"""),"OmC86")</f>
        <v>OmC86</v>
      </c>
      <c r="C1500" s="8">
        <f>IFERROR(__xludf.DUMMYFUNCTION("""COMPUTED_VALUE"""),6.0)</f>
        <v>6</v>
      </c>
      <c r="D1500" s="8">
        <f>IFERROR(__xludf.DUMMYFUNCTION("""COMPUTED_VALUE"""),2.0)</f>
        <v>2</v>
      </c>
    </row>
    <row r="1501">
      <c r="A1501" s="9" t="str">
        <f>IFERROR(__xludf.DUMMYFUNCTION("""COMPUTED_VALUE"""),"Batch 187")</f>
        <v>Batch 187</v>
      </c>
      <c r="B1501" s="9" t="str">
        <f>IFERROR(__xludf.DUMMYFUNCTION("""COMPUTED_VALUE"""),"BhoomiGC86")</f>
        <v>BhoomiGC86</v>
      </c>
      <c r="C1501" s="8">
        <f>IFERROR(__xludf.DUMMYFUNCTION("""COMPUTED_VALUE"""),2.0)</f>
        <v>2</v>
      </c>
      <c r="D1501" s="8">
        <f>IFERROR(__xludf.DUMMYFUNCTION("""COMPUTED_VALUE"""),1.0)</f>
        <v>1</v>
      </c>
    </row>
    <row r="1502">
      <c r="A1502" s="9" t="str">
        <f>IFERROR(__xludf.DUMMYFUNCTION("""COMPUTED_VALUE"""),"Batch 187")</f>
        <v>Batch 187</v>
      </c>
      <c r="B1502" s="9" t="str">
        <f>IFERROR(__xludf.DUMMYFUNCTION("""COMPUTED_VALUE"""),"BhoomiDC86")</f>
        <v>BhoomiDC86</v>
      </c>
      <c r="C1502" s="8">
        <f>IFERROR(__xludf.DUMMYFUNCTION("""COMPUTED_VALUE"""),0.0)</f>
        <v>0</v>
      </c>
      <c r="D1502" s="8"/>
    </row>
    <row r="1503">
      <c r="A1503" s="9" t="str">
        <f>IFERROR(__xludf.DUMMYFUNCTION("""COMPUTED_VALUE"""),"Batch 187")</f>
        <v>Batch 187</v>
      </c>
      <c r="B1503" s="9" t="str">
        <f>IFERROR(__xludf.DUMMYFUNCTION("""COMPUTED_VALUE"""),"RitikC86")</f>
        <v>RitikC86</v>
      </c>
      <c r="C1503" s="8">
        <f>IFERROR(__xludf.DUMMYFUNCTION("""COMPUTED_VALUE"""),0.0)</f>
        <v>0</v>
      </c>
      <c r="D1503" s="8"/>
    </row>
    <row r="1504">
      <c r="A1504" s="9" t="str">
        <f>IFERROR(__xludf.DUMMYFUNCTION("""COMPUTED_VALUE"""),"Batch 187")</f>
        <v>Batch 187</v>
      </c>
      <c r="B1504" s="9" t="str">
        <f>IFERROR(__xludf.DUMMYFUNCTION("""COMPUTED_VALUE"""),"SamreenC86")</f>
        <v>SamreenC86</v>
      </c>
      <c r="C1504" s="8">
        <f>IFERROR(__xludf.DUMMYFUNCTION("""COMPUTED_VALUE"""),0.0)</f>
        <v>0</v>
      </c>
      <c r="D1504" s="8"/>
    </row>
    <row r="1505">
      <c r="A1505" s="9" t="str">
        <f>IFERROR(__xludf.DUMMYFUNCTION("""COMPUTED_VALUE"""),"Batch 187")</f>
        <v>Batch 187</v>
      </c>
      <c r="B1505" s="9" t="str">
        <f>IFERROR(__xludf.DUMMYFUNCTION("""COMPUTED_VALUE"""),"VishalC86")</f>
        <v>VishalC86</v>
      </c>
      <c r="C1505" s="8">
        <f>IFERROR(__xludf.DUMMYFUNCTION("""COMPUTED_VALUE"""),0.0)</f>
        <v>0</v>
      </c>
      <c r="D1505" s="8"/>
    </row>
    <row r="1506">
      <c r="A1506" s="9" t="str">
        <f>IFERROR(__xludf.DUMMYFUNCTION("""COMPUTED_VALUE"""),"Batch 187")</f>
        <v>Batch 187</v>
      </c>
      <c r="B1506" s="9" t="str">
        <f>IFERROR(__xludf.DUMMYFUNCTION("""COMPUTED_VALUE"""),"AaradhyaC86")</f>
        <v>AaradhyaC86</v>
      </c>
      <c r="C1506" s="8">
        <f>IFERROR(__xludf.DUMMYFUNCTION("""COMPUTED_VALUE"""),0.0)</f>
        <v>0</v>
      </c>
      <c r="D1506" s="8"/>
    </row>
    <row r="1507">
      <c r="A1507" s="9" t="str">
        <f>IFERROR(__xludf.DUMMYFUNCTION("""COMPUTED_VALUE"""),"Batch 187")</f>
        <v>Batch 187</v>
      </c>
      <c r="B1507" s="9" t="str">
        <f>IFERROR(__xludf.DUMMYFUNCTION("""COMPUTED_VALUE"""),"PriyaC86")</f>
        <v>PriyaC86</v>
      </c>
      <c r="C1507" s="8">
        <f>IFERROR(__xludf.DUMMYFUNCTION("""COMPUTED_VALUE"""),4.0)</f>
        <v>4</v>
      </c>
      <c r="D1507" s="8">
        <f>IFERROR(__xludf.DUMMYFUNCTION("""COMPUTED_VALUE"""),2.0)</f>
        <v>2</v>
      </c>
    </row>
    <row r="1508">
      <c r="A1508" s="9" t="str">
        <f>IFERROR(__xludf.DUMMYFUNCTION("""COMPUTED_VALUE"""),"Batch 187")</f>
        <v>Batch 187</v>
      </c>
      <c r="B1508" s="9" t="str">
        <f>IFERROR(__xludf.DUMMYFUNCTION("""COMPUTED_VALUE"""),"AakankshaKC86")</f>
        <v>AakankshaKC86</v>
      </c>
      <c r="C1508" s="8">
        <f>IFERROR(__xludf.DUMMYFUNCTION("""COMPUTED_VALUE"""),0.0)</f>
        <v>0</v>
      </c>
      <c r="D1508" s="8"/>
    </row>
    <row r="1509">
      <c r="A1509" s="9" t="str">
        <f>IFERROR(__xludf.DUMMYFUNCTION("""COMPUTED_VALUE"""),"Batch 187")</f>
        <v>Batch 187</v>
      </c>
      <c r="B1509" s="9" t="str">
        <f>IFERROR(__xludf.DUMMYFUNCTION("""COMPUTED_VALUE"""),"AkshC86")</f>
        <v>AkshC86</v>
      </c>
      <c r="C1509" s="8">
        <f>IFERROR(__xludf.DUMMYFUNCTION("""COMPUTED_VALUE"""),0.0)</f>
        <v>0</v>
      </c>
      <c r="D1509" s="8"/>
    </row>
    <row r="1510">
      <c r="A1510" s="9" t="str">
        <f>IFERROR(__xludf.DUMMYFUNCTION("""COMPUTED_VALUE"""),"Batch 187")</f>
        <v>Batch 187</v>
      </c>
      <c r="B1510" s="9" t="str">
        <f>IFERROR(__xludf.DUMMYFUNCTION("""COMPUTED_VALUE"""),"kommanaC86")</f>
        <v>kommanaC86</v>
      </c>
      <c r="C1510" s="8">
        <f>IFERROR(__xludf.DUMMYFUNCTION("""COMPUTED_VALUE"""),0.0)</f>
        <v>0</v>
      </c>
      <c r="D1510" s="8"/>
    </row>
    <row r="1511">
      <c r="A1511" s="9" t="str">
        <f>IFERROR(__xludf.DUMMYFUNCTION("""COMPUTED_VALUE"""),"Batch 187")</f>
        <v>Batch 187</v>
      </c>
      <c r="B1511" s="9" t="str">
        <f>IFERROR(__xludf.DUMMYFUNCTION("""COMPUTED_VALUE"""),"PavitraC86")</f>
        <v>PavitraC86</v>
      </c>
      <c r="C1511" s="8">
        <f>IFERROR(__xludf.DUMMYFUNCTION("""COMPUTED_VALUE"""),0.0)</f>
        <v>0</v>
      </c>
      <c r="D1511" s="8"/>
    </row>
    <row r="1512">
      <c r="A1512" s="9" t="str">
        <f>IFERROR(__xludf.DUMMYFUNCTION("""COMPUTED_VALUE"""),"Batch 187")</f>
        <v>Batch 187</v>
      </c>
      <c r="B1512" s="9" t="str">
        <f>IFERROR(__xludf.DUMMYFUNCTION("""COMPUTED_VALUE"""),"BaronC86")</f>
        <v>BaronC86</v>
      </c>
      <c r="C1512" s="8">
        <f>IFERROR(__xludf.DUMMYFUNCTION("""COMPUTED_VALUE"""),0.0)</f>
        <v>0</v>
      </c>
      <c r="D1512" s="8"/>
    </row>
    <row r="1513">
      <c r="A1513" s="9" t="str">
        <f>IFERROR(__xludf.DUMMYFUNCTION("""COMPUTED_VALUE"""),"Batch 187")</f>
        <v>Batch 187</v>
      </c>
      <c r="B1513" s="9" t="str">
        <f>IFERROR(__xludf.DUMMYFUNCTION("""COMPUTED_VALUE"""),"TanishaC86")</f>
        <v>TanishaC86</v>
      </c>
      <c r="C1513" s="8">
        <f>IFERROR(__xludf.DUMMYFUNCTION("""COMPUTED_VALUE"""),0.0)</f>
        <v>0</v>
      </c>
      <c r="D1513" s="8"/>
    </row>
    <row r="1514">
      <c r="A1514" s="9" t="str">
        <f>IFERROR(__xludf.DUMMYFUNCTION("""COMPUTED_VALUE"""),"Batch 187")</f>
        <v>Batch 187</v>
      </c>
      <c r="B1514" s="9" t="str">
        <f>IFERROR(__xludf.DUMMYFUNCTION("""COMPUTED_VALUE"""),"RoshanC86")</f>
        <v>RoshanC86</v>
      </c>
      <c r="C1514" s="8">
        <f>IFERROR(__xludf.DUMMYFUNCTION("""COMPUTED_VALUE"""),0.0)</f>
        <v>0</v>
      </c>
      <c r="D1514" s="8"/>
    </row>
    <row r="1515">
      <c r="A1515" s="9" t="str">
        <f>IFERROR(__xludf.DUMMYFUNCTION("""COMPUTED_VALUE"""),"Batch 187")</f>
        <v>Batch 187</v>
      </c>
      <c r="B1515" s="9" t="str">
        <f>IFERROR(__xludf.DUMMYFUNCTION("""COMPUTED_VALUE"""),"PrathamC86")</f>
        <v>PrathamC86</v>
      </c>
      <c r="C1515" s="8">
        <f>IFERROR(__xludf.DUMMYFUNCTION("""COMPUTED_VALUE"""),0.0)</f>
        <v>0</v>
      </c>
      <c r="D1515" s="8"/>
    </row>
    <row r="1516">
      <c r="A1516" s="9" t="str">
        <f>IFERROR(__xludf.DUMMYFUNCTION("""COMPUTED_VALUE"""),"Batch 187")</f>
        <v>Batch 187</v>
      </c>
      <c r="B1516" s="9" t="str">
        <f>IFERROR(__xludf.DUMMYFUNCTION("""COMPUTED_VALUE"""),"AyanC86")</f>
        <v>AyanC86</v>
      </c>
      <c r="C1516" s="8">
        <f>IFERROR(__xludf.DUMMYFUNCTION("""COMPUTED_VALUE"""),0.0)</f>
        <v>0</v>
      </c>
      <c r="D1516" s="8"/>
    </row>
    <row r="1517">
      <c r="A1517" s="9" t="str">
        <f>IFERROR(__xludf.DUMMYFUNCTION("""COMPUTED_VALUE"""),"Batch 187")</f>
        <v>Batch 187</v>
      </c>
      <c r="B1517" s="9" t="str">
        <f>IFERROR(__xludf.DUMMYFUNCTION("""COMPUTED_VALUE"""),"SudhansuC86")</f>
        <v>SudhansuC86</v>
      </c>
      <c r="C1517" s="8">
        <f>IFERROR(__xludf.DUMMYFUNCTION("""COMPUTED_VALUE"""),0.0)</f>
        <v>0</v>
      </c>
      <c r="D1517" s="8"/>
    </row>
    <row r="1518">
      <c r="A1518" s="9" t="str">
        <f>IFERROR(__xludf.DUMMYFUNCTION("""COMPUTED_VALUE"""),"Batch 187")</f>
        <v>Batch 187</v>
      </c>
      <c r="B1518" s="9" t="str">
        <f>IFERROR(__xludf.DUMMYFUNCTION("""COMPUTED_VALUE"""),"PanchalC86")</f>
        <v>PanchalC86</v>
      </c>
      <c r="C1518" s="8">
        <f>IFERROR(__xludf.DUMMYFUNCTION("""COMPUTED_VALUE"""),0.0)</f>
        <v>0</v>
      </c>
      <c r="D1518" s="8"/>
    </row>
    <row r="1519">
      <c r="A1519" s="9" t="str">
        <f>IFERROR(__xludf.DUMMYFUNCTION("""COMPUTED_VALUE"""),"Batch 187")</f>
        <v>Batch 187</v>
      </c>
      <c r="B1519" s="9" t="str">
        <f>IFERROR(__xludf.DUMMYFUNCTION("""COMPUTED_VALUE"""),"DipayanC86")</f>
        <v>DipayanC86</v>
      </c>
      <c r="C1519" s="8">
        <f>IFERROR(__xludf.DUMMYFUNCTION("""COMPUTED_VALUE"""),0.0)</f>
        <v>0</v>
      </c>
      <c r="D1519" s="8"/>
    </row>
    <row r="1520">
      <c r="A1520" s="9" t="str">
        <f>IFERROR(__xludf.DUMMYFUNCTION("""COMPUTED_VALUE"""),"Batch 187")</f>
        <v>Batch 187</v>
      </c>
      <c r="B1520" s="9" t="str">
        <f>IFERROR(__xludf.DUMMYFUNCTION("""COMPUTED_VALUE"""),"ReshmaC86")</f>
        <v>ReshmaC86</v>
      </c>
      <c r="C1520" s="8">
        <f>IFERROR(__xludf.DUMMYFUNCTION("""COMPUTED_VALUE"""),0.0)</f>
        <v>0</v>
      </c>
      <c r="D1520" s="8"/>
    </row>
    <row r="1521">
      <c r="A1521" s="9"/>
      <c r="B1521" s="9"/>
      <c r="C1521" s="8">
        <f>IFERROR(__xludf.DUMMYFUNCTION("""COMPUTED_VALUE"""),0.0)</f>
        <v>0</v>
      </c>
      <c r="D1521" s="8"/>
    </row>
    <row r="1522">
      <c r="A1522" s="9" t="str">
        <f>IFERROR(__xludf.DUMMYFUNCTION("""COMPUTED_VALUE"""),"Batch 188")</f>
        <v>Batch 188</v>
      </c>
      <c r="B1522" s="9" t="str">
        <f>IFERROR(__xludf.DUMMYFUNCTION("""COMPUTED_VALUE"""),"GundapaneniC88")</f>
        <v>GundapaneniC88</v>
      </c>
      <c r="C1522" s="8">
        <f>IFERROR(__xludf.DUMMYFUNCTION("""COMPUTED_VALUE"""),0.0)</f>
        <v>0</v>
      </c>
      <c r="D1522" s="8"/>
    </row>
    <row r="1523">
      <c r="A1523" s="9" t="str">
        <f>IFERROR(__xludf.DUMMYFUNCTION("""COMPUTED_VALUE"""),"Batch 188")</f>
        <v>Batch 188</v>
      </c>
      <c r="B1523" s="9" t="str">
        <f>IFERROR(__xludf.DUMMYFUNCTION("""COMPUTED_VALUE"""),"ManishC88")</f>
        <v>ManishC88</v>
      </c>
      <c r="C1523" s="8">
        <f>IFERROR(__xludf.DUMMYFUNCTION("""COMPUTED_VALUE"""),0.0)</f>
        <v>0</v>
      </c>
      <c r="D1523" s="8"/>
    </row>
    <row r="1524">
      <c r="A1524" s="9" t="str">
        <f>IFERROR(__xludf.DUMMYFUNCTION("""COMPUTED_VALUE"""),"Batch 188")</f>
        <v>Batch 188</v>
      </c>
      <c r="B1524" s="9" t="str">
        <f>IFERROR(__xludf.DUMMYFUNCTION("""COMPUTED_VALUE"""),"SumedhaC88")</f>
        <v>SumedhaC88</v>
      </c>
      <c r="C1524" s="8">
        <f>IFERROR(__xludf.DUMMYFUNCTION("""COMPUTED_VALUE"""),0.0)</f>
        <v>0</v>
      </c>
      <c r="D1524" s="8"/>
    </row>
    <row r="1525">
      <c r="A1525" s="9" t="str">
        <f>IFERROR(__xludf.DUMMYFUNCTION("""COMPUTED_VALUE"""),"Batch 188")</f>
        <v>Batch 188</v>
      </c>
      <c r="B1525" s="9" t="str">
        <f>IFERROR(__xludf.DUMMYFUNCTION("""COMPUTED_VALUE"""),"ujjwalC88")</f>
        <v>ujjwalC88</v>
      </c>
      <c r="C1525" s="8">
        <f>IFERROR(__xludf.DUMMYFUNCTION("""COMPUTED_VALUE"""),0.0)</f>
        <v>0</v>
      </c>
      <c r="D1525" s="8"/>
    </row>
    <row r="1526">
      <c r="A1526" s="9" t="str">
        <f>IFERROR(__xludf.DUMMYFUNCTION("""COMPUTED_VALUE"""),"Batch 188")</f>
        <v>Batch 188</v>
      </c>
      <c r="B1526" s="9" t="str">
        <f>IFERROR(__xludf.DUMMYFUNCTION("""COMPUTED_VALUE"""),"DivyanshuC88")</f>
        <v>DivyanshuC88</v>
      </c>
      <c r="C1526" s="8">
        <f>IFERROR(__xludf.DUMMYFUNCTION("""COMPUTED_VALUE"""),0.0)</f>
        <v>0</v>
      </c>
      <c r="D1526" s="8">
        <f>IFERROR(__xludf.DUMMYFUNCTION("""COMPUTED_VALUE"""),1.0)</f>
        <v>1</v>
      </c>
    </row>
    <row r="1527">
      <c r="A1527" s="9" t="str">
        <f>IFERROR(__xludf.DUMMYFUNCTION("""COMPUTED_VALUE"""),"Batch 188")</f>
        <v>Batch 188</v>
      </c>
      <c r="B1527" s="9" t="str">
        <f>IFERROR(__xludf.DUMMYFUNCTION("""COMPUTED_VALUE"""),"RhythmC88")</f>
        <v>RhythmC88</v>
      </c>
      <c r="C1527" s="8">
        <f>IFERROR(__xludf.DUMMYFUNCTION("""COMPUTED_VALUE"""),0.0)</f>
        <v>0</v>
      </c>
      <c r="D1527" s="8"/>
    </row>
    <row r="1528">
      <c r="A1528" s="9" t="str">
        <f>IFERROR(__xludf.DUMMYFUNCTION("""COMPUTED_VALUE"""),"Batch 188")</f>
        <v>Batch 188</v>
      </c>
      <c r="B1528" s="9" t="str">
        <f>IFERROR(__xludf.DUMMYFUNCTION("""COMPUTED_VALUE"""),"TauqeerC88")</f>
        <v>TauqeerC88</v>
      </c>
      <c r="C1528" s="8">
        <f>IFERROR(__xludf.DUMMYFUNCTION("""COMPUTED_VALUE"""),0.0)</f>
        <v>0</v>
      </c>
      <c r="D1528" s="8"/>
    </row>
    <row r="1529">
      <c r="A1529" s="9" t="str">
        <f>IFERROR(__xludf.DUMMYFUNCTION("""COMPUTED_VALUE"""),"Batch 188")</f>
        <v>Batch 188</v>
      </c>
      <c r="B1529" s="9" t="str">
        <f>IFERROR(__xludf.DUMMYFUNCTION("""COMPUTED_VALUE"""),"ShradhaC88")</f>
        <v>ShradhaC88</v>
      </c>
      <c r="C1529" s="8">
        <f>IFERROR(__xludf.DUMMYFUNCTION("""COMPUTED_VALUE"""),0.0)</f>
        <v>0</v>
      </c>
      <c r="D1529" s="8"/>
    </row>
    <row r="1530">
      <c r="A1530" s="9" t="str">
        <f>IFERROR(__xludf.DUMMYFUNCTION("""COMPUTED_VALUE"""),"Batch 188")</f>
        <v>Batch 188</v>
      </c>
      <c r="B1530" s="9" t="str">
        <f>IFERROR(__xludf.DUMMYFUNCTION("""COMPUTED_VALUE"""),"RushikeshC88")</f>
        <v>RushikeshC88</v>
      </c>
      <c r="C1530" s="8">
        <f>IFERROR(__xludf.DUMMYFUNCTION("""COMPUTED_VALUE"""),0.0)</f>
        <v>0</v>
      </c>
      <c r="D1530" s="8"/>
    </row>
    <row r="1531">
      <c r="A1531" s="9" t="str">
        <f>IFERROR(__xludf.DUMMYFUNCTION("""COMPUTED_VALUE"""),"Batch 188")</f>
        <v>Batch 188</v>
      </c>
      <c r="B1531" s="9" t="str">
        <f>IFERROR(__xludf.DUMMYFUNCTION("""COMPUTED_VALUE"""),"AnjaliC88")</f>
        <v>AnjaliC88</v>
      </c>
      <c r="C1531" s="8">
        <f>IFERROR(__xludf.DUMMYFUNCTION("""COMPUTED_VALUE"""),0.0)</f>
        <v>0</v>
      </c>
      <c r="D1531" s="8"/>
    </row>
    <row r="1532">
      <c r="A1532" s="9" t="str">
        <f>IFERROR(__xludf.DUMMYFUNCTION("""COMPUTED_VALUE"""),"Batch 188")</f>
        <v>Batch 188</v>
      </c>
      <c r="B1532" s="9" t="str">
        <f>IFERROR(__xludf.DUMMYFUNCTION("""COMPUTED_VALUE"""),"AnjaliC88")</f>
        <v>AnjaliC88</v>
      </c>
      <c r="C1532" s="8">
        <f>IFERROR(__xludf.DUMMYFUNCTION("""COMPUTED_VALUE"""),0.0)</f>
        <v>0</v>
      </c>
      <c r="D1532" s="8"/>
    </row>
    <row r="1533">
      <c r="A1533" s="9" t="str">
        <f>IFERROR(__xludf.DUMMYFUNCTION("""COMPUTED_VALUE"""),"Batch 188")</f>
        <v>Batch 188</v>
      </c>
      <c r="B1533" s="9" t="str">
        <f>IFERROR(__xludf.DUMMYFUNCTION("""COMPUTED_VALUE"""),"DeepjyotiC88")</f>
        <v>DeepjyotiC88</v>
      </c>
      <c r="C1533" s="8">
        <f>IFERROR(__xludf.DUMMYFUNCTION("""COMPUTED_VALUE"""),0.0)</f>
        <v>0</v>
      </c>
      <c r="D1533" s="8"/>
    </row>
    <row r="1534">
      <c r="A1534" s="9" t="str">
        <f>IFERROR(__xludf.DUMMYFUNCTION("""COMPUTED_VALUE"""),"Batch 188")</f>
        <v>Batch 188</v>
      </c>
      <c r="B1534" s="9" t="str">
        <f>IFERROR(__xludf.DUMMYFUNCTION("""COMPUTED_VALUE"""),"BhavanaC88")</f>
        <v>BhavanaC88</v>
      </c>
      <c r="C1534" s="8">
        <f>IFERROR(__xludf.DUMMYFUNCTION("""COMPUTED_VALUE"""),0.0)</f>
        <v>0</v>
      </c>
      <c r="D1534" s="8"/>
    </row>
    <row r="1535">
      <c r="A1535" s="9" t="str">
        <f>IFERROR(__xludf.DUMMYFUNCTION("""COMPUTED_VALUE"""),"Batch 188")</f>
        <v>Batch 188</v>
      </c>
      <c r="B1535" s="9" t="str">
        <f>IFERROR(__xludf.DUMMYFUNCTION("""COMPUTED_VALUE"""),"HarshC88")</f>
        <v>HarshC88</v>
      </c>
      <c r="C1535" s="8">
        <f>IFERROR(__xludf.DUMMYFUNCTION("""COMPUTED_VALUE"""),13.0)</f>
        <v>13</v>
      </c>
      <c r="D1535" s="8">
        <f>IFERROR(__xludf.DUMMYFUNCTION("""COMPUTED_VALUE"""),3.0)</f>
        <v>3</v>
      </c>
    </row>
    <row r="1536">
      <c r="A1536" s="9" t="str">
        <f>IFERROR(__xludf.DUMMYFUNCTION("""COMPUTED_VALUE"""),"Batch 188")</f>
        <v>Batch 188</v>
      </c>
      <c r="B1536" s="9" t="str">
        <f>IFERROR(__xludf.DUMMYFUNCTION("""COMPUTED_VALUE"""),"BhavanaC88")</f>
        <v>BhavanaC88</v>
      </c>
      <c r="C1536" s="8">
        <f>IFERROR(__xludf.DUMMYFUNCTION("""COMPUTED_VALUE"""),0.0)</f>
        <v>0</v>
      </c>
      <c r="D1536" s="8"/>
    </row>
    <row r="1537">
      <c r="A1537" s="9" t="str">
        <f>IFERROR(__xludf.DUMMYFUNCTION("""COMPUTED_VALUE"""),"Batch 188")</f>
        <v>Batch 188</v>
      </c>
      <c r="B1537" s="9" t="str">
        <f>IFERROR(__xludf.DUMMYFUNCTION("""COMPUTED_VALUE"""),"AnjaliC88")</f>
        <v>AnjaliC88</v>
      </c>
      <c r="C1537" s="8">
        <f>IFERROR(__xludf.DUMMYFUNCTION("""COMPUTED_VALUE"""),0.0)</f>
        <v>0</v>
      </c>
      <c r="D1537" s="8"/>
    </row>
    <row r="1538">
      <c r="A1538" s="9" t="str">
        <f>IFERROR(__xludf.DUMMYFUNCTION("""COMPUTED_VALUE"""),"Batch 188")</f>
        <v>Batch 188</v>
      </c>
      <c r="B1538" s="9" t="str">
        <f>IFERROR(__xludf.DUMMYFUNCTION("""COMPUTED_VALUE"""),"Amit.MC88")</f>
        <v>Amit.MC88</v>
      </c>
      <c r="C1538" s="8">
        <f>IFERROR(__xludf.DUMMYFUNCTION("""COMPUTED_VALUE"""),0.0)</f>
        <v>0</v>
      </c>
      <c r="D1538" s="8"/>
    </row>
    <row r="1539">
      <c r="A1539" s="9" t="str">
        <f>IFERROR(__xludf.DUMMYFUNCTION("""COMPUTED_VALUE"""),"Batch 188")</f>
        <v>Batch 188</v>
      </c>
      <c r="B1539" s="9" t="str">
        <f>IFERROR(__xludf.DUMMYFUNCTION("""COMPUTED_VALUE"""),"AnantC88")</f>
        <v>AnantC88</v>
      </c>
      <c r="C1539" s="8">
        <f>IFERROR(__xludf.DUMMYFUNCTION("""COMPUTED_VALUE"""),0.0)</f>
        <v>0</v>
      </c>
      <c r="D1539" s="8"/>
    </row>
    <row r="1540">
      <c r="A1540" s="9" t="str">
        <f>IFERROR(__xludf.DUMMYFUNCTION("""COMPUTED_VALUE"""),"Batch 188")</f>
        <v>Batch 188</v>
      </c>
      <c r="B1540" s="9" t="str">
        <f>IFERROR(__xludf.DUMMYFUNCTION("""COMPUTED_VALUE"""),"ShrutiC88")</f>
        <v>ShrutiC88</v>
      </c>
      <c r="C1540" s="8">
        <f>IFERROR(__xludf.DUMMYFUNCTION("""COMPUTED_VALUE"""),0.0)</f>
        <v>0</v>
      </c>
      <c r="D1540" s="8"/>
    </row>
    <row r="1541">
      <c r="A1541" s="9" t="str">
        <f>IFERROR(__xludf.DUMMYFUNCTION("""COMPUTED_VALUE"""),"Batch 188")</f>
        <v>Batch 188</v>
      </c>
      <c r="B1541" s="9" t="str">
        <f>IFERROR(__xludf.DUMMYFUNCTION("""COMPUTED_VALUE"""),"IshaC88")</f>
        <v>IshaC88</v>
      </c>
      <c r="C1541" s="8">
        <f>IFERROR(__xludf.DUMMYFUNCTION("""COMPUTED_VALUE"""),0.0)</f>
        <v>0</v>
      </c>
      <c r="D1541" s="8"/>
    </row>
    <row r="1542">
      <c r="A1542" s="9" t="str">
        <f>IFERROR(__xludf.DUMMYFUNCTION("""COMPUTED_VALUE"""),"Batch 188")</f>
        <v>Batch 188</v>
      </c>
      <c r="B1542" s="9" t="str">
        <f>IFERROR(__xludf.DUMMYFUNCTION("""COMPUTED_VALUE"""),"PriyanshuC88")</f>
        <v>PriyanshuC88</v>
      </c>
      <c r="C1542" s="8">
        <f>IFERROR(__xludf.DUMMYFUNCTION("""COMPUTED_VALUE"""),3.0)</f>
        <v>3</v>
      </c>
      <c r="D1542" s="8">
        <f>IFERROR(__xludf.DUMMYFUNCTION("""COMPUTED_VALUE"""),3.0)</f>
        <v>3</v>
      </c>
    </row>
    <row r="1543">
      <c r="A1543" s="9" t="str">
        <f>IFERROR(__xludf.DUMMYFUNCTION("""COMPUTED_VALUE"""),"Batch 188")</f>
        <v>Batch 188</v>
      </c>
      <c r="B1543" s="9" t="str">
        <f>IFERROR(__xludf.DUMMYFUNCTION("""COMPUTED_VALUE"""),"IshmeetC88")</f>
        <v>IshmeetC88</v>
      </c>
      <c r="C1543" s="8">
        <f>IFERROR(__xludf.DUMMYFUNCTION("""COMPUTED_VALUE"""),0.0)</f>
        <v>0</v>
      </c>
      <c r="D1543" s="8"/>
    </row>
    <row r="1544">
      <c r="A1544" s="9" t="str">
        <f>IFERROR(__xludf.DUMMYFUNCTION("""COMPUTED_VALUE"""),"Batch 188")</f>
        <v>Batch 188</v>
      </c>
      <c r="B1544" s="9" t="str">
        <f>IFERROR(__xludf.DUMMYFUNCTION("""COMPUTED_VALUE"""),"KumkumC88")</f>
        <v>KumkumC88</v>
      </c>
      <c r="C1544" s="8">
        <f>IFERROR(__xludf.DUMMYFUNCTION("""COMPUTED_VALUE"""),0.0)</f>
        <v>0</v>
      </c>
      <c r="D1544" s="8"/>
    </row>
    <row r="1545">
      <c r="A1545" s="9" t="str">
        <f>IFERROR(__xludf.DUMMYFUNCTION("""COMPUTED_VALUE"""),"Batch 188")</f>
        <v>Batch 188</v>
      </c>
      <c r="B1545" s="9" t="str">
        <f>IFERROR(__xludf.DUMMYFUNCTION("""COMPUTED_VALUE"""),"KritikaC88")</f>
        <v>KritikaC88</v>
      </c>
      <c r="C1545" s="8">
        <f>IFERROR(__xludf.DUMMYFUNCTION("""COMPUTED_VALUE"""),3.0)</f>
        <v>3</v>
      </c>
      <c r="D1545" s="8"/>
    </row>
    <row r="1546">
      <c r="A1546" s="9" t="str">
        <f>IFERROR(__xludf.DUMMYFUNCTION("""COMPUTED_VALUE"""),"Batch 188")</f>
        <v>Batch 188</v>
      </c>
      <c r="B1546" s="9" t="str">
        <f>IFERROR(__xludf.DUMMYFUNCTION("""COMPUTED_VALUE"""),"SaurabhC88")</f>
        <v>SaurabhC88</v>
      </c>
      <c r="C1546" s="8">
        <f>IFERROR(__xludf.DUMMYFUNCTION("""COMPUTED_VALUE"""),0.0)</f>
        <v>0</v>
      </c>
      <c r="D1546" s="8"/>
    </row>
    <row r="1547">
      <c r="A1547" s="9" t="str">
        <f>IFERROR(__xludf.DUMMYFUNCTION("""COMPUTED_VALUE"""),"Batch 188")</f>
        <v>Batch 188</v>
      </c>
      <c r="B1547" s="9" t="str">
        <f>IFERROR(__xludf.DUMMYFUNCTION("""COMPUTED_VALUE"""),"ShreshtaC88")</f>
        <v>ShreshtaC88</v>
      </c>
      <c r="C1547" s="8">
        <f>IFERROR(__xludf.DUMMYFUNCTION("""COMPUTED_VALUE"""),10.0)</f>
        <v>10</v>
      </c>
      <c r="D1547" s="8">
        <f>IFERROR(__xludf.DUMMYFUNCTION("""COMPUTED_VALUE"""),5.0)</f>
        <v>5</v>
      </c>
    </row>
    <row r="1548">
      <c r="A1548" s="9" t="str">
        <f>IFERROR(__xludf.DUMMYFUNCTION("""COMPUTED_VALUE"""),"Batch 188")</f>
        <v>Batch 188</v>
      </c>
      <c r="B1548" s="9"/>
      <c r="C1548" s="8"/>
      <c r="D1548" s="8"/>
    </row>
    <row r="1549">
      <c r="A1549" s="9" t="str">
        <f>IFERROR(__xludf.DUMMYFUNCTION("""COMPUTED_VALUE"""),"Batch 188")</f>
        <v>Batch 188</v>
      </c>
      <c r="B1549" s="9" t="str">
        <f>IFERROR(__xludf.DUMMYFUNCTION("""COMPUTED_VALUE"""),"KhyatiC88")</f>
        <v>KhyatiC88</v>
      </c>
      <c r="C1549" s="8">
        <f>IFERROR(__xludf.DUMMYFUNCTION("""COMPUTED_VALUE"""),0.0)</f>
        <v>0</v>
      </c>
      <c r="D1549" s="8"/>
    </row>
    <row r="1550">
      <c r="A1550" s="9" t="str">
        <f>IFERROR(__xludf.DUMMYFUNCTION("""COMPUTED_VALUE"""),"Batch 188")</f>
        <v>Batch 188</v>
      </c>
      <c r="B1550" s="9" t="str">
        <f>IFERROR(__xludf.DUMMYFUNCTION("""COMPUTED_VALUE"""),"AashiC88")</f>
        <v>AashiC88</v>
      </c>
      <c r="C1550" s="8">
        <f>IFERROR(__xludf.DUMMYFUNCTION("""COMPUTED_VALUE"""),6.0)</f>
        <v>6</v>
      </c>
      <c r="D1550" s="8">
        <f>IFERROR(__xludf.DUMMYFUNCTION("""COMPUTED_VALUE"""),3.0)</f>
        <v>3</v>
      </c>
    </row>
    <row r="1551">
      <c r="A1551" s="9" t="str">
        <f>IFERROR(__xludf.DUMMYFUNCTION("""COMPUTED_VALUE"""),"Batch 188")</f>
        <v>Batch 188</v>
      </c>
      <c r="B1551" s="9" t="str">
        <f>IFERROR(__xludf.DUMMYFUNCTION("""COMPUTED_VALUE"""),"JasmanC88")</f>
        <v>JasmanC88</v>
      </c>
      <c r="C1551" s="8">
        <f>IFERROR(__xludf.DUMMYFUNCTION("""COMPUTED_VALUE"""),4.0)</f>
        <v>4</v>
      </c>
      <c r="D1551" s="8">
        <f>IFERROR(__xludf.DUMMYFUNCTION("""COMPUTED_VALUE"""),1.0)</f>
        <v>1</v>
      </c>
    </row>
    <row r="1552">
      <c r="A1552" s="9" t="str">
        <f>IFERROR(__xludf.DUMMYFUNCTION("""COMPUTED_VALUE"""),"Batch 188")</f>
        <v>Batch 188</v>
      </c>
      <c r="B1552" s="9" t="str">
        <f>IFERROR(__xludf.DUMMYFUNCTION("""COMPUTED_VALUE"""),"ADRIZAC88")</f>
        <v>ADRIZAC88</v>
      </c>
      <c r="C1552" s="8">
        <f>IFERROR(__xludf.DUMMYFUNCTION("""COMPUTED_VALUE"""),0.0)</f>
        <v>0</v>
      </c>
      <c r="D1552" s="8"/>
    </row>
    <row r="1553">
      <c r="A1553" s="9" t="str">
        <f>IFERROR(__xludf.DUMMYFUNCTION("""COMPUTED_VALUE"""),"Batch 188")</f>
        <v>Batch 188</v>
      </c>
      <c r="B1553" s="9" t="str">
        <f>IFERROR(__xludf.DUMMYFUNCTION("""COMPUTED_VALUE"""),"ArchiC88")</f>
        <v>ArchiC88</v>
      </c>
      <c r="C1553" s="8">
        <f>IFERROR(__xludf.DUMMYFUNCTION("""COMPUTED_VALUE"""),5.0)</f>
        <v>5</v>
      </c>
      <c r="D1553" s="8">
        <f>IFERROR(__xludf.DUMMYFUNCTION("""COMPUTED_VALUE"""),1.0)</f>
        <v>1</v>
      </c>
    </row>
    <row r="1554">
      <c r="A1554" s="9" t="str">
        <f>IFERROR(__xludf.DUMMYFUNCTION("""COMPUTED_VALUE"""),"Batch 188")</f>
        <v>Batch 188</v>
      </c>
      <c r="B1554" s="9" t="str">
        <f>IFERROR(__xludf.DUMMYFUNCTION("""COMPUTED_VALUE"""),"AdityaC88")</f>
        <v>AdityaC88</v>
      </c>
      <c r="C1554" s="8">
        <f>IFERROR(__xludf.DUMMYFUNCTION("""COMPUTED_VALUE"""),1.0)</f>
        <v>1</v>
      </c>
      <c r="D1554" s="8"/>
    </row>
    <row r="1555">
      <c r="A1555" s="9"/>
      <c r="B1555" s="9"/>
      <c r="C1555" s="8">
        <f>IFERROR(__xludf.DUMMYFUNCTION("""COMPUTED_VALUE"""),0.0)</f>
        <v>0</v>
      </c>
      <c r="D1555" s="8"/>
    </row>
    <row r="1556">
      <c r="A1556" s="9" t="str">
        <f>IFERROR(__xludf.DUMMYFUNCTION("""COMPUTED_VALUE"""),"Batch 189")</f>
        <v>Batch 189</v>
      </c>
      <c r="B1556" s="9" t="str">
        <f>IFERROR(__xludf.DUMMYFUNCTION("""COMPUTED_VALUE"""),"JaveriyaC89")</f>
        <v>JaveriyaC89</v>
      </c>
      <c r="C1556" s="8">
        <f>IFERROR(__xludf.DUMMYFUNCTION("""COMPUTED_VALUE"""),0.0)</f>
        <v>0</v>
      </c>
      <c r="D1556" s="8"/>
    </row>
    <row r="1557">
      <c r="A1557" s="9" t="str">
        <f>IFERROR(__xludf.DUMMYFUNCTION("""COMPUTED_VALUE"""),"Batch 189")</f>
        <v>Batch 189</v>
      </c>
      <c r="B1557" s="9" t="str">
        <f>IFERROR(__xludf.DUMMYFUNCTION("""COMPUTED_VALUE"""),"K.JAYASRIC89")</f>
        <v>K.JAYASRIC89</v>
      </c>
      <c r="C1557" s="8">
        <f>IFERROR(__xludf.DUMMYFUNCTION("""COMPUTED_VALUE"""),0.0)</f>
        <v>0</v>
      </c>
      <c r="D1557" s="8">
        <f>IFERROR(__xludf.DUMMYFUNCTION("""COMPUTED_VALUE"""),1.0)</f>
        <v>1</v>
      </c>
    </row>
    <row r="1558">
      <c r="A1558" s="9" t="str">
        <f>IFERROR(__xludf.DUMMYFUNCTION("""COMPUTED_VALUE"""),"Batch 189")</f>
        <v>Batch 189</v>
      </c>
      <c r="B1558" s="9" t="str">
        <f>IFERROR(__xludf.DUMMYFUNCTION("""COMPUTED_VALUE"""),"GirishC89")</f>
        <v>GirishC89</v>
      </c>
      <c r="C1558" s="8">
        <f>IFERROR(__xludf.DUMMYFUNCTION("""COMPUTED_VALUE"""),0.0)</f>
        <v>0</v>
      </c>
      <c r="D1558" s="8"/>
    </row>
    <row r="1559">
      <c r="A1559" s="9" t="str">
        <f>IFERROR(__xludf.DUMMYFUNCTION("""COMPUTED_VALUE"""),"Batch 189")</f>
        <v>Batch 189</v>
      </c>
      <c r="B1559" s="9" t="str">
        <f>IFERROR(__xludf.DUMMYFUNCTION("""COMPUTED_VALUE"""),"AlinaC89")</f>
        <v>AlinaC89</v>
      </c>
      <c r="C1559" s="8">
        <f>IFERROR(__xludf.DUMMYFUNCTION("""COMPUTED_VALUE"""),0.0)</f>
        <v>0</v>
      </c>
      <c r="D1559" s="8"/>
    </row>
    <row r="1560">
      <c r="A1560" s="9" t="str">
        <f>IFERROR(__xludf.DUMMYFUNCTION("""COMPUTED_VALUE"""),"Batch 189")</f>
        <v>Batch 189</v>
      </c>
      <c r="B1560" s="9" t="str">
        <f>IFERROR(__xludf.DUMMYFUNCTION("""COMPUTED_VALUE"""),"AbhijitC89")</f>
        <v>AbhijitC89</v>
      </c>
      <c r="C1560" s="8">
        <f>IFERROR(__xludf.DUMMYFUNCTION("""COMPUTED_VALUE"""),4.0)</f>
        <v>4</v>
      </c>
      <c r="D1560" s="8"/>
    </row>
    <row r="1561">
      <c r="A1561" s="9" t="str">
        <f>IFERROR(__xludf.DUMMYFUNCTION("""COMPUTED_VALUE"""),"Batch 189")</f>
        <v>Batch 189</v>
      </c>
      <c r="B1561" s="9" t="str">
        <f>IFERROR(__xludf.DUMMYFUNCTION("""COMPUTED_VALUE"""),"HitashiC89")</f>
        <v>HitashiC89</v>
      </c>
      <c r="C1561" s="8">
        <f>IFERROR(__xludf.DUMMYFUNCTION("""COMPUTED_VALUE"""),0.0)</f>
        <v>0</v>
      </c>
      <c r="D1561" s="8"/>
    </row>
    <row r="1562">
      <c r="A1562" s="9" t="str">
        <f>IFERROR(__xludf.DUMMYFUNCTION("""COMPUTED_VALUE"""),"Batch 189")</f>
        <v>Batch 189</v>
      </c>
      <c r="B1562" s="9" t="str">
        <f>IFERROR(__xludf.DUMMYFUNCTION("""COMPUTED_VALUE"""),"AdityaC89")</f>
        <v>AdityaC89</v>
      </c>
      <c r="C1562" s="8">
        <f>IFERROR(__xludf.DUMMYFUNCTION("""COMPUTED_VALUE"""),0.0)</f>
        <v>0</v>
      </c>
      <c r="D1562" s="8"/>
    </row>
    <row r="1563">
      <c r="A1563" s="9" t="str">
        <f>IFERROR(__xludf.DUMMYFUNCTION("""COMPUTED_VALUE"""),"Batch 189")</f>
        <v>Batch 189</v>
      </c>
      <c r="B1563" s="9" t="str">
        <f>IFERROR(__xludf.DUMMYFUNCTION("""COMPUTED_VALUE"""),"AbdulC89")</f>
        <v>AbdulC89</v>
      </c>
      <c r="C1563" s="8">
        <f>IFERROR(__xludf.DUMMYFUNCTION("""COMPUTED_VALUE"""),0.0)</f>
        <v>0</v>
      </c>
      <c r="D1563" s="8"/>
    </row>
    <row r="1564">
      <c r="A1564" s="9" t="str">
        <f>IFERROR(__xludf.DUMMYFUNCTION("""COMPUTED_VALUE"""),"Batch 189")</f>
        <v>Batch 189</v>
      </c>
      <c r="B1564" s="9" t="str">
        <f>IFERROR(__xludf.DUMMYFUNCTION("""COMPUTED_VALUE"""),"DhruvC89")</f>
        <v>DhruvC89</v>
      </c>
      <c r="C1564" s="8">
        <f>IFERROR(__xludf.DUMMYFUNCTION("""COMPUTED_VALUE"""),0.0)</f>
        <v>0</v>
      </c>
      <c r="D1564" s="8"/>
    </row>
    <row r="1565">
      <c r="A1565" s="9" t="str">
        <f>IFERROR(__xludf.DUMMYFUNCTION("""COMPUTED_VALUE"""),"Batch 189")</f>
        <v>Batch 189</v>
      </c>
      <c r="B1565" s="9" t="str">
        <f>IFERROR(__xludf.DUMMYFUNCTION("""COMPUTED_VALUE"""),"SrushtiC89")</f>
        <v>SrushtiC89</v>
      </c>
      <c r="C1565" s="8">
        <f>IFERROR(__xludf.DUMMYFUNCTION("""COMPUTED_VALUE"""),0.0)</f>
        <v>0</v>
      </c>
      <c r="D1565" s="8"/>
    </row>
    <row r="1566">
      <c r="A1566" s="9" t="str">
        <f>IFERROR(__xludf.DUMMYFUNCTION("""COMPUTED_VALUE"""),"Batch 189")</f>
        <v>Batch 189</v>
      </c>
      <c r="B1566" s="9" t="str">
        <f>IFERROR(__xludf.DUMMYFUNCTION("""COMPUTED_VALUE"""),"AyushC89")</f>
        <v>AyushC89</v>
      </c>
      <c r="C1566" s="8">
        <f>IFERROR(__xludf.DUMMYFUNCTION("""COMPUTED_VALUE"""),0.0)</f>
        <v>0</v>
      </c>
      <c r="D1566" s="8"/>
    </row>
    <row r="1567">
      <c r="A1567" s="9" t="str">
        <f>IFERROR(__xludf.DUMMYFUNCTION("""COMPUTED_VALUE"""),"Batch 189")</f>
        <v>Batch 189</v>
      </c>
      <c r="B1567" s="9" t="str">
        <f>IFERROR(__xludf.DUMMYFUNCTION("""COMPUTED_VALUE"""),"KEWALC89")</f>
        <v>KEWALC89</v>
      </c>
      <c r="C1567" s="8">
        <f>IFERROR(__xludf.DUMMYFUNCTION("""COMPUTED_VALUE"""),0.0)</f>
        <v>0</v>
      </c>
      <c r="D1567" s="8"/>
    </row>
    <row r="1568">
      <c r="A1568" s="9" t="str">
        <f>IFERROR(__xludf.DUMMYFUNCTION("""COMPUTED_VALUE"""),"Batch 189")</f>
        <v>Batch 189</v>
      </c>
      <c r="B1568" s="9" t="str">
        <f>IFERROR(__xludf.DUMMYFUNCTION("""COMPUTED_VALUE"""),"AvinashC89")</f>
        <v>AvinashC89</v>
      </c>
      <c r="C1568" s="8">
        <f>IFERROR(__xludf.DUMMYFUNCTION("""COMPUTED_VALUE"""),0.0)</f>
        <v>0</v>
      </c>
      <c r="D1568" s="8"/>
    </row>
    <row r="1569">
      <c r="A1569" s="9" t="str">
        <f>IFERROR(__xludf.DUMMYFUNCTION("""COMPUTED_VALUE"""),"Batch 189")</f>
        <v>Batch 189</v>
      </c>
      <c r="B1569" s="9" t="str">
        <f>IFERROR(__xludf.DUMMYFUNCTION("""COMPUTED_VALUE"""),"ShresthaC89")</f>
        <v>ShresthaC89</v>
      </c>
      <c r="C1569" s="8">
        <f>IFERROR(__xludf.DUMMYFUNCTION("""COMPUTED_VALUE"""),2.0)</f>
        <v>2</v>
      </c>
      <c r="D1569" s="8">
        <f>IFERROR(__xludf.DUMMYFUNCTION("""COMPUTED_VALUE"""),2.0)</f>
        <v>2</v>
      </c>
    </row>
    <row r="1570">
      <c r="A1570" s="9" t="str">
        <f>IFERROR(__xludf.DUMMYFUNCTION("""COMPUTED_VALUE"""),"Batch 189")</f>
        <v>Batch 189</v>
      </c>
      <c r="B1570" s="9" t="str">
        <f>IFERROR(__xludf.DUMMYFUNCTION("""COMPUTED_VALUE"""),"ShivaC89")</f>
        <v>ShivaC89</v>
      </c>
      <c r="C1570" s="8">
        <f>IFERROR(__xludf.DUMMYFUNCTION("""COMPUTED_VALUE"""),3.0)</f>
        <v>3</v>
      </c>
      <c r="D1570" s="8"/>
    </row>
    <row r="1571">
      <c r="A1571" s="9" t="str">
        <f>IFERROR(__xludf.DUMMYFUNCTION("""COMPUTED_VALUE"""),"Batch 189")</f>
        <v>Batch 189</v>
      </c>
      <c r="B1571" s="9" t="str">
        <f>IFERROR(__xludf.DUMMYFUNCTION("""COMPUTED_VALUE"""),"TanyaC89")</f>
        <v>TanyaC89</v>
      </c>
      <c r="C1571" s="8">
        <f>IFERROR(__xludf.DUMMYFUNCTION("""COMPUTED_VALUE"""),0.0)</f>
        <v>0</v>
      </c>
      <c r="D1571" s="8"/>
    </row>
    <row r="1572">
      <c r="A1572" s="9" t="str">
        <f>IFERROR(__xludf.DUMMYFUNCTION("""COMPUTED_VALUE"""),"Batch 189")</f>
        <v>Batch 189</v>
      </c>
      <c r="B1572" s="9" t="str">
        <f>IFERROR(__xludf.DUMMYFUNCTION("""COMPUTED_VALUE"""),"KrishnaC89")</f>
        <v>KrishnaC89</v>
      </c>
      <c r="C1572" s="8">
        <f>IFERROR(__xludf.DUMMYFUNCTION("""COMPUTED_VALUE"""),0.0)</f>
        <v>0</v>
      </c>
      <c r="D1572" s="8"/>
    </row>
    <row r="1573">
      <c r="A1573" s="9" t="str">
        <f>IFERROR(__xludf.DUMMYFUNCTION("""COMPUTED_VALUE"""),"Batch 189")</f>
        <v>Batch 189</v>
      </c>
      <c r="B1573" s="9" t="str">
        <f>IFERROR(__xludf.DUMMYFUNCTION("""COMPUTED_VALUE"""),"YaswanthmodepalliC89")</f>
        <v>YaswanthmodepalliC89</v>
      </c>
      <c r="C1573" s="8">
        <f>IFERROR(__xludf.DUMMYFUNCTION("""COMPUTED_VALUE"""),0.0)</f>
        <v>0</v>
      </c>
      <c r="D1573" s="8"/>
    </row>
    <row r="1574">
      <c r="A1574" s="9" t="str">
        <f>IFERROR(__xludf.DUMMYFUNCTION("""COMPUTED_VALUE"""),"Batch 189")</f>
        <v>Batch 189</v>
      </c>
      <c r="B1574" s="9" t="str">
        <f>IFERROR(__xludf.DUMMYFUNCTION("""COMPUTED_VALUE"""),"UjjwalC89")</f>
        <v>UjjwalC89</v>
      </c>
      <c r="C1574" s="8">
        <f>IFERROR(__xludf.DUMMYFUNCTION("""COMPUTED_VALUE"""),1.0)</f>
        <v>1</v>
      </c>
      <c r="D1574" s="8"/>
    </row>
    <row r="1575">
      <c r="A1575" s="9" t="str">
        <f>IFERROR(__xludf.DUMMYFUNCTION("""COMPUTED_VALUE"""),"Batch 189")</f>
        <v>Batch 189</v>
      </c>
      <c r="B1575" s="9" t="str">
        <f>IFERROR(__xludf.DUMMYFUNCTION("""COMPUTED_VALUE"""),"ArghyaC89")</f>
        <v>ArghyaC89</v>
      </c>
      <c r="C1575" s="8">
        <f>IFERROR(__xludf.DUMMYFUNCTION("""COMPUTED_VALUE"""),5.0)</f>
        <v>5</v>
      </c>
      <c r="D1575" s="8">
        <f>IFERROR(__xludf.DUMMYFUNCTION("""COMPUTED_VALUE"""),1.0)</f>
        <v>1</v>
      </c>
    </row>
    <row r="1576">
      <c r="A1576" s="9" t="str">
        <f>IFERROR(__xludf.DUMMYFUNCTION("""COMPUTED_VALUE"""),"Batch 189")</f>
        <v>Batch 189</v>
      </c>
      <c r="B1576" s="9" t="str">
        <f>IFERROR(__xludf.DUMMYFUNCTION("""COMPUTED_VALUE"""),"VanshC89")</f>
        <v>VanshC89</v>
      </c>
      <c r="C1576" s="8">
        <f>IFERROR(__xludf.DUMMYFUNCTION("""COMPUTED_VALUE"""),0.0)</f>
        <v>0</v>
      </c>
      <c r="D1576" s="8"/>
    </row>
    <row r="1577">
      <c r="A1577" s="9" t="str">
        <f>IFERROR(__xludf.DUMMYFUNCTION("""COMPUTED_VALUE"""),"Batch 189")</f>
        <v>Batch 189</v>
      </c>
      <c r="B1577" s="9" t="str">
        <f>IFERROR(__xludf.DUMMYFUNCTION("""COMPUTED_VALUE"""),"HimanshuC89")</f>
        <v>HimanshuC89</v>
      </c>
      <c r="C1577" s="8">
        <f>IFERROR(__xludf.DUMMYFUNCTION("""COMPUTED_VALUE"""),0.0)</f>
        <v>0</v>
      </c>
      <c r="D1577" s="8"/>
    </row>
    <row r="1578">
      <c r="A1578" s="9" t="str">
        <f>IFERROR(__xludf.DUMMYFUNCTION("""COMPUTED_VALUE"""),"Batch 189")</f>
        <v>Batch 189</v>
      </c>
      <c r="B1578" s="9" t="str">
        <f>IFERROR(__xludf.DUMMYFUNCTION("""COMPUTED_VALUE"""),"ManjuPriyaC89")</f>
        <v>ManjuPriyaC89</v>
      </c>
      <c r="C1578" s="8">
        <f>IFERROR(__xludf.DUMMYFUNCTION("""COMPUTED_VALUE"""),1.0)</f>
        <v>1</v>
      </c>
      <c r="D1578" s="8"/>
    </row>
    <row r="1579">
      <c r="A1579" s="9" t="str">
        <f>IFERROR(__xludf.DUMMYFUNCTION("""COMPUTED_VALUE"""),"Batch 189")</f>
        <v>Batch 189</v>
      </c>
      <c r="B1579" s="9" t="str">
        <f>IFERROR(__xludf.DUMMYFUNCTION("""COMPUTED_VALUE"""),"TanoojC89")</f>
        <v>TanoojC89</v>
      </c>
      <c r="C1579" s="8">
        <f>IFERROR(__xludf.DUMMYFUNCTION("""COMPUTED_VALUE"""),0.0)</f>
        <v>0</v>
      </c>
      <c r="D1579" s="8"/>
    </row>
    <row r="1580">
      <c r="A1580" s="9" t="str">
        <f>IFERROR(__xludf.DUMMYFUNCTION("""COMPUTED_VALUE"""),"Batch 189")</f>
        <v>Batch 189</v>
      </c>
      <c r="B1580" s="9" t="str">
        <f>IFERROR(__xludf.DUMMYFUNCTION("""COMPUTED_VALUE"""),"AyushC89")</f>
        <v>AyushC89</v>
      </c>
      <c r="C1580" s="8">
        <f>IFERROR(__xludf.DUMMYFUNCTION("""COMPUTED_VALUE"""),0.0)</f>
        <v>0</v>
      </c>
      <c r="D1580" s="8"/>
    </row>
    <row r="1581">
      <c r="A1581" s="9" t="str">
        <f>IFERROR(__xludf.DUMMYFUNCTION("""COMPUTED_VALUE"""),"Batch 189")</f>
        <v>Batch 189</v>
      </c>
      <c r="B1581" s="9" t="str">
        <f>IFERROR(__xludf.DUMMYFUNCTION("""COMPUTED_VALUE"""),"JayaC89")</f>
        <v>JayaC89</v>
      </c>
      <c r="C1581" s="8">
        <f>IFERROR(__xludf.DUMMYFUNCTION("""COMPUTED_VALUE"""),0.0)</f>
        <v>0</v>
      </c>
      <c r="D1581" s="8"/>
    </row>
    <row r="1582">
      <c r="A1582" s="9" t="str">
        <f>IFERROR(__xludf.DUMMYFUNCTION("""COMPUTED_VALUE"""),"Batch 189")</f>
        <v>Batch 189</v>
      </c>
      <c r="B1582" s="9" t="str">
        <f>IFERROR(__xludf.DUMMYFUNCTION("""COMPUTED_VALUE"""),"SandraC89")</f>
        <v>SandraC89</v>
      </c>
      <c r="C1582" s="8">
        <f>IFERROR(__xludf.DUMMYFUNCTION("""COMPUTED_VALUE"""),0.0)</f>
        <v>0</v>
      </c>
      <c r="D1582" s="8"/>
    </row>
    <row r="1583">
      <c r="A1583" s="9" t="str">
        <f>IFERROR(__xludf.DUMMYFUNCTION("""COMPUTED_VALUE"""),"Batch 189")</f>
        <v>Batch 189</v>
      </c>
      <c r="B1583" s="9" t="str">
        <f>IFERROR(__xludf.DUMMYFUNCTION("""COMPUTED_VALUE"""),"PAPPULAC89")</f>
        <v>PAPPULAC89</v>
      </c>
      <c r="C1583" s="8">
        <f>IFERROR(__xludf.DUMMYFUNCTION("""COMPUTED_VALUE"""),0.0)</f>
        <v>0</v>
      </c>
      <c r="D1583" s="8"/>
    </row>
    <row r="1584">
      <c r="A1584" s="9" t="str">
        <f>IFERROR(__xludf.DUMMYFUNCTION("""COMPUTED_VALUE"""),"Batch 189")</f>
        <v>Batch 189</v>
      </c>
      <c r="B1584" s="9" t="str">
        <f>IFERROR(__xludf.DUMMYFUNCTION("""COMPUTED_VALUE"""),"AkashC89")</f>
        <v>AkashC89</v>
      </c>
      <c r="C1584" s="8">
        <f>IFERROR(__xludf.DUMMYFUNCTION("""COMPUTED_VALUE"""),0.0)</f>
        <v>0</v>
      </c>
      <c r="D1584" s="8"/>
    </row>
    <row r="1585">
      <c r="A1585" s="9" t="str">
        <f>IFERROR(__xludf.DUMMYFUNCTION("""COMPUTED_VALUE"""),"Batch 189")</f>
        <v>Batch 189</v>
      </c>
      <c r="B1585" s="9" t="str">
        <f>IFERROR(__xludf.DUMMYFUNCTION("""COMPUTED_VALUE"""),"AarushC89")</f>
        <v>AarushC89</v>
      </c>
      <c r="C1585" s="8">
        <f>IFERROR(__xludf.DUMMYFUNCTION("""COMPUTED_VALUE"""),6.0)</f>
        <v>6</v>
      </c>
      <c r="D1585" s="8"/>
    </row>
    <row r="1586">
      <c r="A1586" s="9" t="str">
        <f>IFERROR(__xludf.DUMMYFUNCTION("""COMPUTED_VALUE"""),"Batch 189")</f>
        <v>Batch 189</v>
      </c>
      <c r="B1586" s="9" t="str">
        <f>IFERROR(__xludf.DUMMYFUNCTION("""COMPUTED_VALUE"""),"SHANMUGASUBASHC89")</f>
        <v>SHANMUGASUBASHC89</v>
      </c>
      <c r="C1586" s="8">
        <f>IFERROR(__xludf.DUMMYFUNCTION("""COMPUTED_VALUE"""),5.0)</f>
        <v>5</v>
      </c>
      <c r="D1586" s="8">
        <f>IFERROR(__xludf.DUMMYFUNCTION("""COMPUTED_VALUE"""),1.0)</f>
        <v>1</v>
      </c>
    </row>
    <row r="1587">
      <c r="A1587" s="9" t="str">
        <f>IFERROR(__xludf.DUMMYFUNCTION("""COMPUTED_VALUE"""),"Batch 189")</f>
        <v>Batch 189</v>
      </c>
      <c r="B1587" s="9" t="str">
        <f>IFERROR(__xludf.DUMMYFUNCTION("""COMPUTED_VALUE"""),"AnchalC89")</f>
        <v>AnchalC89</v>
      </c>
      <c r="C1587" s="8">
        <f>IFERROR(__xludf.DUMMYFUNCTION("""COMPUTED_VALUE"""),0.0)</f>
        <v>0</v>
      </c>
      <c r="D1587" s="8"/>
    </row>
    <row r="1588">
      <c r="A1588" s="9" t="str">
        <f>IFERROR(__xludf.DUMMYFUNCTION("""COMPUTED_VALUE"""),"Batch 189")</f>
        <v>Batch 189</v>
      </c>
      <c r="B1588" s="9" t="str">
        <f>IFERROR(__xludf.DUMMYFUNCTION("""COMPUTED_VALUE"""),"AnuragC89")</f>
        <v>AnuragC89</v>
      </c>
      <c r="C1588" s="8">
        <f>IFERROR(__xludf.DUMMYFUNCTION("""COMPUTED_VALUE"""),0.0)</f>
        <v>0</v>
      </c>
      <c r="D1588" s="8"/>
    </row>
    <row r="1589">
      <c r="A1589" s="9" t="str">
        <f>IFERROR(__xludf.DUMMYFUNCTION("""COMPUTED_VALUE"""),"Batch 189")</f>
        <v>Batch 189</v>
      </c>
      <c r="B1589" s="9" t="str">
        <f>IFERROR(__xludf.DUMMYFUNCTION("""COMPUTED_VALUE"""),"RahulC89")</f>
        <v>RahulC89</v>
      </c>
      <c r="C1589" s="8">
        <f>IFERROR(__xludf.DUMMYFUNCTION("""COMPUTED_VALUE"""),2.0)</f>
        <v>2</v>
      </c>
      <c r="D1589" s="8">
        <f>IFERROR(__xludf.DUMMYFUNCTION("""COMPUTED_VALUE"""),1.0)</f>
        <v>1</v>
      </c>
    </row>
    <row r="1590">
      <c r="A1590" s="9" t="str">
        <f>IFERROR(__xludf.DUMMYFUNCTION("""COMPUTED_VALUE"""),"Batch 189")</f>
        <v>Batch 189</v>
      </c>
      <c r="B1590" s="9" t="str">
        <f>IFERROR(__xludf.DUMMYFUNCTION("""COMPUTED_VALUE"""),"ShaillyC89")</f>
        <v>ShaillyC89</v>
      </c>
      <c r="C1590" s="8">
        <f>IFERROR(__xludf.DUMMYFUNCTION("""COMPUTED_VALUE"""),7.0)</f>
        <v>7</v>
      </c>
      <c r="D1590" s="8">
        <f>IFERROR(__xludf.DUMMYFUNCTION("""COMPUTED_VALUE"""),2.0)</f>
        <v>2</v>
      </c>
    </row>
    <row r="1591">
      <c r="A1591" s="9"/>
      <c r="B1591" s="9"/>
      <c r="C1591" s="8">
        <f>IFERROR(__xludf.DUMMYFUNCTION("""COMPUTED_VALUE"""),0.0)</f>
        <v>0</v>
      </c>
      <c r="D1591" s="8"/>
    </row>
    <row r="1592">
      <c r="A1592" s="9" t="str">
        <f>IFERROR(__xludf.DUMMYFUNCTION("""COMPUTED_VALUE"""),"Batch 189")</f>
        <v>Batch 189</v>
      </c>
      <c r="B1592" s="9" t="str">
        <f>IFERROR(__xludf.DUMMYFUNCTION("""COMPUTED_VALUE"""),"AnubhavC89")</f>
        <v>AnubhavC89</v>
      </c>
      <c r="C1592" s="8">
        <f>IFERROR(__xludf.DUMMYFUNCTION("""COMPUTED_VALUE"""),0.0)</f>
        <v>0</v>
      </c>
      <c r="D1592" s="8"/>
    </row>
    <row r="1593">
      <c r="A1593" s="9"/>
      <c r="B1593" s="9"/>
      <c r="C1593" s="8">
        <f>IFERROR(__xludf.DUMMYFUNCTION("""COMPUTED_VALUE"""),0.0)</f>
        <v>0</v>
      </c>
      <c r="D1593" s="8"/>
    </row>
    <row r="1594">
      <c r="A1594" s="9" t="str">
        <f>IFERROR(__xludf.DUMMYFUNCTION("""COMPUTED_VALUE"""),"Batch 189")</f>
        <v>Batch 189</v>
      </c>
      <c r="B1594" s="9" t="str">
        <f>IFERROR(__xludf.DUMMYFUNCTION("""COMPUTED_VALUE"""),"AnirbanC89")</f>
        <v>AnirbanC89</v>
      </c>
      <c r="C1594" s="8">
        <f>IFERROR(__xludf.DUMMYFUNCTION("""COMPUTED_VALUE"""),1.0)</f>
        <v>1</v>
      </c>
      <c r="D1594" s="8"/>
    </row>
    <row r="1595">
      <c r="A1595" s="9"/>
      <c r="B1595" s="9"/>
      <c r="C1595" s="8">
        <f>IFERROR(__xludf.DUMMYFUNCTION("""COMPUTED_VALUE"""),0.0)</f>
        <v>0</v>
      </c>
      <c r="D1595" s="8"/>
    </row>
    <row r="1596">
      <c r="A1596" s="9" t="str">
        <f>IFERROR(__xludf.DUMMYFUNCTION("""COMPUTED_VALUE"""),"Batch 189")</f>
        <v>Batch 189</v>
      </c>
      <c r="B1596" s="9" t="str">
        <f>IFERROR(__xludf.DUMMYFUNCTION("""COMPUTED_VALUE"""),"RiyaC89")</f>
        <v>RiyaC89</v>
      </c>
      <c r="C1596" s="8">
        <f>IFERROR(__xludf.DUMMYFUNCTION("""COMPUTED_VALUE"""),0.0)</f>
        <v>0</v>
      </c>
      <c r="D1596" s="8"/>
    </row>
    <row r="1597">
      <c r="A1597" s="9" t="str">
        <f>IFERROR(__xludf.DUMMYFUNCTION("""COMPUTED_VALUE"""),"Batch 189")</f>
        <v>Batch 189</v>
      </c>
      <c r="B1597" s="9" t="str">
        <f>IFERROR(__xludf.DUMMYFUNCTION("""COMPUTED_VALUE"""),"SnehaC89")</f>
        <v>SnehaC89</v>
      </c>
      <c r="C1597" s="8">
        <f>IFERROR(__xludf.DUMMYFUNCTION("""COMPUTED_VALUE"""),0.0)</f>
        <v>0</v>
      </c>
      <c r="D1597" s="8"/>
    </row>
    <row r="1598">
      <c r="A1598" s="9" t="str">
        <f>IFERROR(__xludf.DUMMYFUNCTION("""COMPUTED_VALUE"""),"Batch 189")</f>
        <v>Batch 189</v>
      </c>
      <c r="B1598" s="9" t="str">
        <f>IFERROR(__xludf.DUMMYFUNCTION("""COMPUTED_VALUE"""),"RinkuC89")</f>
        <v>RinkuC89</v>
      </c>
      <c r="C1598" s="8">
        <f>IFERROR(__xludf.DUMMYFUNCTION("""COMPUTED_VALUE"""),1.0)</f>
        <v>1</v>
      </c>
      <c r="D1598" s="8"/>
    </row>
    <row r="1599">
      <c r="A1599" s="9" t="str">
        <f>IFERROR(__xludf.DUMMYFUNCTION("""COMPUTED_VALUE"""),"Batch 189")</f>
        <v>Batch 189</v>
      </c>
      <c r="B1599" s="9" t="str">
        <f>IFERROR(__xludf.DUMMYFUNCTION("""COMPUTED_VALUE"""),"AkashC89")</f>
        <v>AkashC89</v>
      </c>
      <c r="C1599" s="8">
        <f>IFERROR(__xludf.DUMMYFUNCTION("""COMPUTED_VALUE"""),0.0)</f>
        <v>0</v>
      </c>
      <c r="D1599" s="8"/>
    </row>
    <row r="1600">
      <c r="A1600" s="9" t="str">
        <f>IFERROR(__xludf.DUMMYFUNCTION("""COMPUTED_VALUE"""),"Batch 189")</f>
        <v>Batch 189</v>
      </c>
      <c r="B1600" s="9" t="str">
        <f>IFERROR(__xludf.DUMMYFUNCTION("""COMPUTED_VALUE"""),"NavtejC89")</f>
        <v>NavtejC89</v>
      </c>
      <c r="C1600" s="8">
        <f>IFERROR(__xludf.DUMMYFUNCTION("""COMPUTED_VALUE"""),3.0)</f>
        <v>3</v>
      </c>
      <c r="D1600" s="8"/>
    </row>
    <row r="1601">
      <c r="A1601" s="9" t="str">
        <f>IFERROR(__xludf.DUMMYFUNCTION("""COMPUTED_VALUE"""),"Batch 189")</f>
        <v>Batch 189</v>
      </c>
      <c r="B1601" s="9" t="str">
        <f>IFERROR(__xludf.DUMMYFUNCTION("""COMPUTED_VALUE"""),"AnshulC89")</f>
        <v>AnshulC89</v>
      </c>
      <c r="C1601" s="8">
        <f>IFERROR(__xludf.DUMMYFUNCTION("""COMPUTED_VALUE"""),0.0)</f>
        <v>0</v>
      </c>
      <c r="D1601" s="8"/>
    </row>
    <row r="1602">
      <c r="A1602" s="9" t="str">
        <f>IFERROR(__xludf.DUMMYFUNCTION("""COMPUTED_VALUE"""),"Batch 189")</f>
        <v>Batch 189</v>
      </c>
      <c r="B1602" s="9" t="str">
        <f>IFERROR(__xludf.DUMMYFUNCTION("""COMPUTED_VALUE"""),"ShrishtiC89")</f>
        <v>ShrishtiC89</v>
      </c>
      <c r="C1602" s="8">
        <f>IFERROR(__xludf.DUMMYFUNCTION("""COMPUTED_VALUE"""),0.0)</f>
        <v>0</v>
      </c>
      <c r="D1602" s="8"/>
    </row>
    <row r="1603">
      <c r="A1603" s="9" t="str">
        <f>IFERROR(__xludf.DUMMYFUNCTION("""COMPUTED_VALUE"""),"Batch 189")</f>
        <v>Batch 189</v>
      </c>
      <c r="B1603" s="9" t="str">
        <f>IFERROR(__xludf.DUMMYFUNCTION("""COMPUTED_VALUE"""),"SourabhC89")</f>
        <v>SourabhC89</v>
      </c>
      <c r="C1603" s="8">
        <f>IFERROR(__xludf.DUMMYFUNCTION("""COMPUTED_VALUE"""),0.0)</f>
        <v>0</v>
      </c>
      <c r="D1603" s="8"/>
    </row>
    <row r="1604">
      <c r="A1604" s="9" t="str">
        <f>IFERROR(__xludf.DUMMYFUNCTION("""COMPUTED_VALUE"""),"Batch 189")</f>
        <v>Batch 189</v>
      </c>
      <c r="B1604" s="9" t="str">
        <f>IFERROR(__xludf.DUMMYFUNCTION("""COMPUTED_VALUE"""),"LakshayC89")</f>
        <v>LakshayC89</v>
      </c>
      <c r="C1604" s="8">
        <f>IFERROR(__xludf.DUMMYFUNCTION("""COMPUTED_VALUE"""),0.0)</f>
        <v>0</v>
      </c>
      <c r="D1604" s="8"/>
    </row>
    <row r="1605">
      <c r="A1605" s="9" t="str">
        <f>IFERROR(__xludf.DUMMYFUNCTION("""COMPUTED_VALUE"""),"Batch 189")</f>
        <v>Batch 189</v>
      </c>
      <c r="B1605" s="9" t="str">
        <f>IFERROR(__xludf.DUMMYFUNCTION("""COMPUTED_VALUE"""),"DishuC89")</f>
        <v>DishuC89</v>
      </c>
      <c r="C1605" s="8">
        <f>IFERROR(__xludf.DUMMYFUNCTION("""COMPUTED_VALUE"""),0.0)</f>
        <v>0</v>
      </c>
      <c r="D1605" s="8"/>
    </row>
    <row r="1606">
      <c r="A1606" s="9" t="str">
        <f>IFERROR(__xludf.DUMMYFUNCTION("""COMPUTED_VALUE"""),"Batch 189")</f>
        <v>Batch 189</v>
      </c>
      <c r="B1606" s="9" t="str">
        <f>IFERROR(__xludf.DUMMYFUNCTION("""COMPUTED_VALUE"""),"RonakC89")</f>
        <v>RonakC89</v>
      </c>
      <c r="C1606" s="8">
        <f>IFERROR(__xludf.DUMMYFUNCTION("""COMPUTED_VALUE"""),0.0)</f>
        <v>0</v>
      </c>
      <c r="D1606" s="8"/>
    </row>
    <row r="1607">
      <c r="A1607" s="9" t="str">
        <f>IFERROR(__xludf.DUMMYFUNCTION("""COMPUTED_VALUE"""),"Batch 189")</f>
        <v>Batch 189</v>
      </c>
      <c r="B1607" s="9" t="str">
        <f>IFERROR(__xludf.DUMMYFUNCTION("""COMPUTED_VALUE"""),"GopiC89")</f>
        <v>GopiC89</v>
      </c>
      <c r="C1607" s="8">
        <f>IFERROR(__xludf.DUMMYFUNCTION("""COMPUTED_VALUE"""),0.0)</f>
        <v>0</v>
      </c>
      <c r="D1607" s="8"/>
    </row>
    <row r="1608">
      <c r="A1608" s="9" t="str">
        <f>IFERROR(__xludf.DUMMYFUNCTION("""COMPUTED_VALUE"""),"Batch 189")</f>
        <v>Batch 189</v>
      </c>
      <c r="B1608" s="9" t="str">
        <f>IFERROR(__xludf.DUMMYFUNCTION("""COMPUTED_VALUE"""),"SakshiC89")</f>
        <v>SakshiC89</v>
      </c>
      <c r="C1608" s="8">
        <f>IFERROR(__xludf.DUMMYFUNCTION("""COMPUTED_VALUE"""),0.0)</f>
        <v>0</v>
      </c>
      <c r="D1608" s="8"/>
    </row>
    <row r="1609">
      <c r="A1609" s="9" t="str">
        <f>IFERROR(__xludf.DUMMYFUNCTION("""COMPUTED_VALUE"""),"Batch 189")</f>
        <v>Batch 189</v>
      </c>
      <c r="B1609" s="9" t="str">
        <f>IFERROR(__xludf.DUMMYFUNCTION("""COMPUTED_VALUE"""),"KhushiC89")</f>
        <v>KhushiC89</v>
      </c>
      <c r="C1609" s="8">
        <f>IFERROR(__xludf.DUMMYFUNCTION("""COMPUTED_VALUE"""),8.0)</f>
        <v>8</v>
      </c>
      <c r="D1609" s="8">
        <f>IFERROR(__xludf.DUMMYFUNCTION("""COMPUTED_VALUE"""),1.0)</f>
        <v>1</v>
      </c>
    </row>
    <row r="1610">
      <c r="A1610" s="9" t="str">
        <f>IFERROR(__xludf.DUMMYFUNCTION("""COMPUTED_VALUE"""),"Batch 189")</f>
        <v>Batch 189</v>
      </c>
      <c r="B1610" s="9" t="str">
        <f>IFERROR(__xludf.DUMMYFUNCTION("""COMPUTED_VALUE"""),"AkankshaC89")</f>
        <v>AkankshaC89</v>
      </c>
      <c r="C1610" s="8">
        <f>IFERROR(__xludf.DUMMYFUNCTION("""COMPUTED_VALUE"""),0.0)</f>
        <v>0</v>
      </c>
      <c r="D1610" s="8"/>
    </row>
    <row r="1611">
      <c r="A1611" s="9" t="str">
        <f>IFERROR(__xludf.DUMMYFUNCTION("""COMPUTED_VALUE"""),"Batch 189")</f>
        <v>Batch 189</v>
      </c>
      <c r="B1611" s="9" t="str">
        <f>IFERROR(__xludf.DUMMYFUNCTION("""COMPUTED_VALUE"""),"ShivekC89")</f>
        <v>ShivekC89</v>
      </c>
      <c r="C1611" s="8">
        <f>IFERROR(__xludf.DUMMYFUNCTION("""COMPUTED_VALUE"""),0.0)</f>
        <v>0</v>
      </c>
      <c r="D1611" s="8"/>
    </row>
    <row r="1612">
      <c r="A1612" s="9" t="str">
        <f>IFERROR(__xludf.DUMMYFUNCTION("""COMPUTED_VALUE"""),"Batch 189")</f>
        <v>Batch 189</v>
      </c>
      <c r="B1612" s="9" t="str">
        <f>IFERROR(__xludf.DUMMYFUNCTION("""COMPUTED_VALUE"""),"ArtiC89")</f>
        <v>ArtiC89</v>
      </c>
      <c r="C1612" s="8">
        <f>IFERROR(__xludf.DUMMYFUNCTION("""COMPUTED_VALUE"""),0.0)</f>
        <v>0</v>
      </c>
      <c r="D1612" s="8"/>
    </row>
    <row r="1613">
      <c r="A1613" s="9" t="str">
        <f>IFERROR(__xludf.DUMMYFUNCTION("""COMPUTED_VALUE"""),"Batch 189")</f>
        <v>Batch 189</v>
      </c>
      <c r="B1613" s="9" t="str">
        <f>IFERROR(__xludf.DUMMYFUNCTION("""COMPUTED_VALUE"""),"JanviC89")</f>
        <v>JanviC89</v>
      </c>
      <c r="C1613" s="8">
        <f>IFERROR(__xludf.DUMMYFUNCTION("""COMPUTED_VALUE"""),0.0)</f>
        <v>0</v>
      </c>
      <c r="D1613" s="8"/>
    </row>
    <row r="1614">
      <c r="A1614" s="9" t="str">
        <f>IFERROR(__xludf.DUMMYFUNCTION("""COMPUTED_VALUE"""),"Batch 189")</f>
        <v>Batch 189</v>
      </c>
      <c r="B1614" s="9" t="str">
        <f>IFERROR(__xludf.DUMMYFUNCTION("""COMPUTED_VALUE"""),"HarshC89")</f>
        <v>HarshC89</v>
      </c>
      <c r="C1614" s="8">
        <f>IFERROR(__xludf.DUMMYFUNCTION("""COMPUTED_VALUE"""),0.0)</f>
        <v>0</v>
      </c>
      <c r="D1614" s="8"/>
    </row>
    <row r="1615">
      <c r="A1615" s="9" t="str">
        <f>IFERROR(__xludf.DUMMYFUNCTION("""COMPUTED_VALUE"""),"Batch 189")</f>
        <v>Batch 189</v>
      </c>
      <c r="B1615" s="9" t="str">
        <f>IFERROR(__xludf.DUMMYFUNCTION("""COMPUTED_VALUE"""),"PriyalC89")</f>
        <v>PriyalC89</v>
      </c>
      <c r="C1615" s="8">
        <f>IFERROR(__xludf.DUMMYFUNCTION("""COMPUTED_VALUE"""),0.0)</f>
        <v>0</v>
      </c>
      <c r="D1615" s="8"/>
    </row>
    <row r="1616">
      <c r="A1616" s="9" t="str">
        <f>IFERROR(__xludf.DUMMYFUNCTION("""COMPUTED_VALUE"""),"Batch 189")</f>
        <v>Batch 189</v>
      </c>
      <c r="B1616" s="9" t="str">
        <f>IFERROR(__xludf.DUMMYFUNCTION("""COMPUTED_VALUE"""),"VanshWC89")</f>
        <v>VanshWC89</v>
      </c>
      <c r="C1616" s="8">
        <f>IFERROR(__xludf.DUMMYFUNCTION("""COMPUTED_VALUE"""),33.0)</f>
        <v>33</v>
      </c>
      <c r="D1616" s="8">
        <f>IFERROR(__xludf.DUMMYFUNCTION("""COMPUTED_VALUE"""),1.0)</f>
        <v>1</v>
      </c>
    </row>
    <row r="1617">
      <c r="A1617" s="9" t="str">
        <f>IFERROR(__xludf.DUMMYFUNCTION("""COMPUTED_VALUE"""),"Batch 189")</f>
        <v>Batch 189</v>
      </c>
      <c r="B1617" s="9" t="str">
        <f>IFERROR(__xludf.DUMMYFUNCTION("""COMPUTED_VALUE"""),"ShaikC89")</f>
        <v>ShaikC89</v>
      </c>
      <c r="C1617" s="8">
        <f>IFERROR(__xludf.DUMMYFUNCTION("""COMPUTED_VALUE"""),0.0)</f>
        <v>0</v>
      </c>
      <c r="D1617" s="8"/>
    </row>
    <row r="1618">
      <c r="A1618" s="9" t="str">
        <f>IFERROR(__xludf.DUMMYFUNCTION("""COMPUTED_VALUE"""),"Batch 189")</f>
        <v>Batch 189</v>
      </c>
      <c r="B1618" s="9" t="str">
        <f>IFERROR(__xludf.DUMMYFUNCTION("""COMPUTED_VALUE"""),"AlapC89")</f>
        <v>AlapC89</v>
      </c>
      <c r="C1618" s="8">
        <f>IFERROR(__xludf.DUMMYFUNCTION("""COMPUTED_VALUE"""),1.0)</f>
        <v>1</v>
      </c>
      <c r="D1618" s="8"/>
    </row>
    <row r="1619">
      <c r="A1619" s="9" t="str">
        <f>IFERROR(__xludf.DUMMYFUNCTION("""COMPUTED_VALUE"""),"Batch 189")</f>
        <v>Batch 189</v>
      </c>
      <c r="B1619" s="9" t="str">
        <f>IFERROR(__xludf.DUMMYFUNCTION("""COMPUTED_VALUE"""),"ParagC89")</f>
        <v>ParagC89</v>
      </c>
      <c r="C1619" s="8">
        <f>IFERROR(__xludf.DUMMYFUNCTION("""COMPUTED_VALUE"""),1.0)</f>
        <v>1</v>
      </c>
      <c r="D1619" s="8"/>
    </row>
    <row r="1620">
      <c r="A1620" s="9" t="str">
        <f>IFERROR(__xludf.DUMMYFUNCTION("""COMPUTED_VALUE"""),"Batch 189")</f>
        <v>Batch 189</v>
      </c>
      <c r="B1620" s="9" t="str">
        <f>IFERROR(__xludf.DUMMYFUNCTION("""COMPUTED_VALUE"""),"MeghanjaliC89")</f>
        <v>MeghanjaliC89</v>
      </c>
      <c r="C1620" s="8">
        <f>IFERROR(__xludf.DUMMYFUNCTION("""COMPUTED_VALUE"""),0.0)</f>
        <v>0</v>
      </c>
      <c r="D1620" s="8"/>
    </row>
    <row r="1621">
      <c r="A1621" s="9" t="str">
        <f>IFERROR(__xludf.DUMMYFUNCTION("""COMPUTED_VALUE"""),"Batch 189")</f>
        <v>Batch 189</v>
      </c>
      <c r="B1621" s="9" t="str">
        <f>IFERROR(__xludf.DUMMYFUNCTION("""COMPUTED_VALUE"""),"CHAGANC89")</f>
        <v>CHAGANC89</v>
      </c>
      <c r="C1621" s="8">
        <f>IFERROR(__xludf.DUMMYFUNCTION("""COMPUTED_VALUE"""),0.0)</f>
        <v>0</v>
      </c>
      <c r="D1621" s="8"/>
    </row>
    <row r="1622">
      <c r="A1622" s="9" t="str">
        <f>IFERROR(__xludf.DUMMYFUNCTION("""COMPUTED_VALUE"""),"Batch 189")</f>
        <v>Batch 189</v>
      </c>
      <c r="B1622" s="9" t="str">
        <f>IFERROR(__xludf.DUMMYFUNCTION("""COMPUTED_VALUE"""),"DivyanshuC89")</f>
        <v>DivyanshuC89</v>
      </c>
      <c r="C1622" s="8">
        <f>IFERROR(__xludf.DUMMYFUNCTION("""COMPUTED_VALUE"""),0.0)</f>
        <v>0</v>
      </c>
      <c r="D1622" s="8"/>
    </row>
    <row r="1623">
      <c r="A1623" s="9" t="str">
        <f>IFERROR(__xludf.DUMMYFUNCTION("""COMPUTED_VALUE"""),"Batch 189")</f>
        <v>Batch 189</v>
      </c>
      <c r="B1623" s="9" t="str">
        <f>IFERROR(__xludf.DUMMYFUNCTION("""COMPUTED_VALUE"""),"VishnuC89")</f>
        <v>VishnuC89</v>
      </c>
      <c r="C1623" s="8">
        <f>IFERROR(__xludf.DUMMYFUNCTION("""COMPUTED_VALUE"""),0.0)</f>
        <v>0</v>
      </c>
      <c r="D1623" s="8"/>
    </row>
    <row r="1624">
      <c r="A1624" s="9" t="str">
        <f>IFERROR(__xludf.DUMMYFUNCTION("""COMPUTED_VALUE"""),"Batch 189")</f>
        <v>Batch 189</v>
      </c>
      <c r="B1624" s="9" t="str">
        <f>IFERROR(__xludf.DUMMYFUNCTION("""COMPUTED_VALUE"""),"DhairyaC89")</f>
        <v>DhairyaC89</v>
      </c>
      <c r="C1624" s="8">
        <f>IFERROR(__xludf.DUMMYFUNCTION("""COMPUTED_VALUE"""),0.0)</f>
        <v>0</v>
      </c>
      <c r="D1624" s="8"/>
    </row>
    <row r="1625">
      <c r="A1625" s="9" t="str">
        <f>IFERROR(__xludf.DUMMYFUNCTION("""COMPUTED_VALUE"""),"Batch 189")</f>
        <v>Batch 189</v>
      </c>
      <c r="B1625" s="9" t="str">
        <f>IFERROR(__xludf.DUMMYFUNCTION("""COMPUTED_VALUE"""),"PrithaC89")</f>
        <v>PrithaC89</v>
      </c>
      <c r="C1625" s="8">
        <f>IFERROR(__xludf.DUMMYFUNCTION("""COMPUTED_VALUE"""),0.0)</f>
        <v>0</v>
      </c>
      <c r="D1625" s="8"/>
    </row>
    <row r="1626">
      <c r="A1626" s="9" t="str">
        <f>IFERROR(__xludf.DUMMYFUNCTION("""COMPUTED_VALUE"""),"Batch 189")</f>
        <v>Batch 189</v>
      </c>
      <c r="B1626" s="9" t="str">
        <f>IFERROR(__xludf.DUMMYFUNCTION("""COMPUTED_VALUE"""),"hritijain4@gmail.comC89")</f>
        <v>hritijain4@gmail.comC89</v>
      </c>
      <c r="C1626" s="8">
        <f>IFERROR(__xludf.DUMMYFUNCTION("""COMPUTED_VALUE"""),0.0)</f>
        <v>0</v>
      </c>
      <c r="D1626" s="8"/>
    </row>
    <row r="1627">
      <c r="A1627" s="9" t="str">
        <f>IFERROR(__xludf.DUMMYFUNCTION("""COMPUTED_VALUE"""),"Batch 189")</f>
        <v>Batch 189</v>
      </c>
      <c r="B1627" s="9" t="str">
        <f>IFERROR(__xludf.DUMMYFUNCTION("""COMPUTED_VALUE"""),"SohamC89")</f>
        <v>SohamC89</v>
      </c>
      <c r="C1627" s="8">
        <f>IFERROR(__xludf.DUMMYFUNCTION("""COMPUTED_VALUE"""),0.0)</f>
        <v>0</v>
      </c>
      <c r="D1627" s="8"/>
    </row>
    <row r="1628">
      <c r="A1628" s="9" t="str">
        <f>IFERROR(__xludf.DUMMYFUNCTION("""COMPUTED_VALUE"""),"Batch 189")</f>
        <v>Batch 189</v>
      </c>
      <c r="B1628" s="9" t="str">
        <f>IFERROR(__xludf.DUMMYFUNCTION("""COMPUTED_VALUE"""),"NiranjanaC89")</f>
        <v>NiranjanaC89</v>
      </c>
      <c r="C1628" s="8">
        <f>IFERROR(__xludf.DUMMYFUNCTION("""COMPUTED_VALUE"""),0.0)</f>
        <v>0</v>
      </c>
      <c r="D1628" s="8"/>
    </row>
    <row r="1629">
      <c r="A1629" s="9" t="str">
        <f>IFERROR(__xludf.DUMMYFUNCTION("""COMPUTED_VALUE"""),"Batch 189")</f>
        <v>Batch 189</v>
      </c>
      <c r="B1629" s="9" t="str">
        <f>IFERROR(__xludf.DUMMYFUNCTION("""COMPUTED_VALUE"""),"KashafC89")</f>
        <v>KashafC89</v>
      </c>
      <c r="C1629" s="8">
        <f>IFERROR(__xludf.DUMMYFUNCTION("""COMPUTED_VALUE"""),0.0)</f>
        <v>0</v>
      </c>
      <c r="D1629" s="8"/>
    </row>
    <row r="1630">
      <c r="A1630" s="9" t="str">
        <f>IFERROR(__xludf.DUMMYFUNCTION("""COMPUTED_VALUE"""),"Batch 189")</f>
        <v>Batch 189</v>
      </c>
      <c r="B1630" s="9" t="str">
        <f>IFERROR(__xludf.DUMMYFUNCTION("""COMPUTED_VALUE"""),"RadhaC89")</f>
        <v>RadhaC89</v>
      </c>
      <c r="C1630" s="8">
        <f>IFERROR(__xludf.DUMMYFUNCTION("""COMPUTED_VALUE"""),2.0)</f>
        <v>2</v>
      </c>
      <c r="D1630" s="8"/>
    </row>
    <row r="1631">
      <c r="A1631" s="9" t="str">
        <f>IFERROR(__xludf.DUMMYFUNCTION("""COMPUTED_VALUE"""),"Batch 189")</f>
        <v>Batch 189</v>
      </c>
      <c r="B1631" s="9" t="str">
        <f>IFERROR(__xludf.DUMMYFUNCTION("""COMPUTED_VALUE"""),"AfsanaC89")</f>
        <v>AfsanaC89</v>
      </c>
      <c r="C1631" s="8">
        <f>IFERROR(__xludf.DUMMYFUNCTION("""COMPUTED_VALUE"""),0.0)</f>
        <v>0</v>
      </c>
      <c r="D1631" s="8"/>
    </row>
    <row r="1632">
      <c r="A1632" s="9" t="str">
        <f>IFERROR(__xludf.DUMMYFUNCTION("""COMPUTED_VALUE"""),"Batch 189")</f>
        <v>Batch 189</v>
      </c>
      <c r="B1632" s="9" t="str">
        <f>IFERROR(__xludf.DUMMYFUNCTION("""COMPUTED_VALUE"""),"Priyadharshini.NC89")</f>
        <v>Priyadharshini.NC89</v>
      </c>
      <c r="C1632" s="8">
        <f>IFERROR(__xludf.DUMMYFUNCTION("""COMPUTED_VALUE"""),0.0)</f>
        <v>0</v>
      </c>
      <c r="D1632" s="8"/>
    </row>
    <row r="1633">
      <c r="A1633" s="9" t="str">
        <f>IFERROR(__xludf.DUMMYFUNCTION("""COMPUTED_VALUE"""),"Batch 189")</f>
        <v>Batch 189</v>
      </c>
      <c r="B1633" s="9" t="str">
        <f>IFERROR(__xludf.DUMMYFUNCTION("""COMPUTED_VALUE"""),"ShivaliC89")</f>
        <v>ShivaliC89</v>
      </c>
      <c r="C1633" s="8">
        <f>IFERROR(__xludf.DUMMYFUNCTION("""COMPUTED_VALUE"""),0.0)</f>
        <v>0</v>
      </c>
      <c r="D1633" s="8"/>
    </row>
    <row r="1634">
      <c r="A1634" s="9" t="str">
        <f>IFERROR(__xludf.DUMMYFUNCTION("""COMPUTED_VALUE"""),"Batch 189")</f>
        <v>Batch 189</v>
      </c>
      <c r="B1634" s="9" t="str">
        <f>IFERROR(__xludf.DUMMYFUNCTION("""COMPUTED_VALUE"""),"PranayC89")</f>
        <v>PranayC89</v>
      </c>
      <c r="C1634" s="8">
        <f>IFERROR(__xludf.DUMMYFUNCTION("""COMPUTED_VALUE"""),0.0)</f>
        <v>0</v>
      </c>
      <c r="D1634" s="8"/>
    </row>
    <row r="1635">
      <c r="A1635" s="9" t="str">
        <f>IFERROR(__xludf.DUMMYFUNCTION("""COMPUTED_VALUE"""),"Batch 189")</f>
        <v>Batch 189</v>
      </c>
      <c r="B1635" s="9" t="str">
        <f>IFERROR(__xludf.DUMMYFUNCTION("""COMPUTED_VALUE"""),"HarapriyaC89")</f>
        <v>HarapriyaC89</v>
      </c>
      <c r="C1635" s="8">
        <f>IFERROR(__xludf.DUMMYFUNCTION("""COMPUTED_VALUE"""),0.0)</f>
        <v>0</v>
      </c>
      <c r="D1635" s="8"/>
    </row>
    <row r="1636">
      <c r="A1636" s="9" t="str">
        <f>IFERROR(__xludf.DUMMYFUNCTION("""COMPUTED_VALUE"""),"Batch 189")</f>
        <v>Batch 189</v>
      </c>
      <c r="B1636" s="9" t="str">
        <f>IFERROR(__xludf.DUMMYFUNCTION("""COMPUTED_VALUE"""),"KaranC89")</f>
        <v>KaranC89</v>
      </c>
      <c r="C1636" s="8">
        <f>IFERROR(__xludf.DUMMYFUNCTION("""COMPUTED_VALUE"""),0.0)</f>
        <v>0</v>
      </c>
      <c r="D1636" s="8"/>
    </row>
    <row r="1637">
      <c r="A1637" s="9" t="str">
        <f>IFERROR(__xludf.DUMMYFUNCTION("""COMPUTED_VALUE"""),"Batch 189")</f>
        <v>Batch 189</v>
      </c>
      <c r="B1637" s="9" t="str">
        <f>IFERROR(__xludf.DUMMYFUNCTION("""COMPUTED_VALUE"""),"PradhumnaC89")</f>
        <v>PradhumnaC89</v>
      </c>
      <c r="C1637" s="8">
        <f>IFERROR(__xludf.DUMMYFUNCTION("""COMPUTED_VALUE"""),0.0)</f>
        <v>0</v>
      </c>
      <c r="D1637" s="8"/>
    </row>
    <row r="1638">
      <c r="A1638" s="9" t="str">
        <f>IFERROR(__xludf.DUMMYFUNCTION("""COMPUTED_VALUE"""),"Batch 189")</f>
        <v>Batch 189</v>
      </c>
      <c r="B1638" s="9" t="str">
        <f>IFERROR(__xludf.DUMMYFUNCTION("""COMPUTED_VALUE"""),"YasheeC89")</f>
        <v>YasheeC89</v>
      </c>
      <c r="C1638" s="8">
        <f>IFERROR(__xludf.DUMMYFUNCTION("""COMPUTED_VALUE"""),0.0)</f>
        <v>0</v>
      </c>
      <c r="D1638" s="8"/>
    </row>
    <row r="1639">
      <c r="A1639" s="9" t="str">
        <f>IFERROR(__xludf.DUMMYFUNCTION("""COMPUTED_VALUE"""),"Batch 189")</f>
        <v>Batch 189</v>
      </c>
      <c r="B1639" s="9" t="str">
        <f>IFERROR(__xludf.DUMMYFUNCTION("""COMPUTED_VALUE"""),"ManishC89")</f>
        <v>ManishC89</v>
      </c>
      <c r="C1639" s="8">
        <f>IFERROR(__xludf.DUMMYFUNCTION("""COMPUTED_VALUE"""),0.0)</f>
        <v>0</v>
      </c>
      <c r="D1639" s="8"/>
    </row>
    <row r="1640">
      <c r="A1640" s="9" t="str">
        <f>IFERROR(__xludf.DUMMYFUNCTION("""COMPUTED_VALUE"""),"Batch 189")</f>
        <v>Batch 189</v>
      </c>
      <c r="B1640" s="9" t="str">
        <f>IFERROR(__xludf.DUMMYFUNCTION("""COMPUTED_VALUE"""),"NEHAC89")</f>
        <v>NEHAC89</v>
      </c>
      <c r="C1640" s="8">
        <f>IFERROR(__xludf.DUMMYFUNCTION("""COMPUTED_VALUE"""),0.0)</f>
        <v>0</v>
      </c>
      <c r="D1640" s="8"/>
    </row>
    <row r="1641">
      <c r="A1641" s="9" t="str">
        <f>IFERROR(__xludf.DUMMYFUNCTION("""COMPUTED_VALUE"""),"Batch 189")</f>
        <v>Batch 189</v>
      </c>
      <c r="B1641" s="9" t="str">
        <f>IFERROR(__xludf.DUMMYFUNCTION("""COMPUTED_VALUE"""),"ManishC89")</f>
        <v>ManishC89</v>
      </c>
      <c r="C1641" s="8">
        <f>IFERROR(__xludf.DUMMYFUNCTION("""COMPUTED_VALUE"""),0.0)</f>
        <v>0</v>
      </c>
      <c r="D1641" s="8"/>
    </row>
    <row r="1642">
      <c r="A1642" s="9" t="str">
        <f>IFERROR(__xludf.DUMMYFUNCTION("""COMPUTED_VALUE"""),"Batch 189")</f>
        <v>Batch 189</v>
      </c>
      <c r="B1642" s="9" t="str">
        <f>IFERROR(__xludf.DUMMYFUNCTION("""COMPUTED_VALUE"""),"C.HiranmayiC89")</f>
        <v>C.HiranmayiC89</v>
      </c>
      <c r="C1642" s="8">
        <f>IFERROR(__xludf.DUMMYFUNCTION("""COMPUTED_VALUE"""),20.0)</f>
        <v>20</v>
      </c>
      <c r="D1642" s="8">
        <f>IFERROR(__xludf.DUMMYFUNCTION("""COMPUTED_VALUE"""),3.0)</f>
        <v>3</v>
      </c>
    </row>
    <row r="1643">
      <c r="A1643" s="9" t="str">
        <f>IFERROR(__xludf.DUMMYFUNCTION("""COMPUTED_VALUE"""),"Batch 189")</f>
        <v>Batch 189</v>
      </c>
      <c r="B1643" s="9" t="str">
        <f>IFERROR(__xludf.DUMMYFUNCTION("""COMPUTED_VALUE"""),"NayasaC89")</f>
        <v>NayasaC89</v>
      </c>
      <c r="C1643" s="8">
        <f>IFERROR(__xludf.DUMMYFUNCTION("""COMPUTED_VALUE"""),0.0)</f>
        <v>0</v>
      </c>
      <c r="D1643" s="8"/>
    </row>
    <row r="1644">
      <c r="A1644" s="9" t="str">
        <f>IFERROR(__xludf.DUMMYFUNCTION("""COMPUTED_VALUE"""),"Batch 189")</f>
        <v>Batch 189</v>
      </c>
      <c r="B1644" s="9" t="str">
        <f>IFERROR(__xludf.DUMMYFUNCTION("""COMPUTED_VALUE"""),"PreetiC89")</f>
        <v>PreetiC89</v>
      </c>
      <c r="C1644" s="8">
        <f>IFERROR(__xludf.DUMMYFUNCTION("""COMPUTED_VALUE"""),0.0)</f>
        <v>0</v>
      </c>
      <c r="D1644" s="8"/>
    </row>
    <row r="1645">
      <c r="A1645" s="9" t="str">
        <f>IFERROR(__xludf.DUMMYFUNCTION("""COMPUTED_VALUE"""),"Batch 189")</f>
        <v>Batch 189</v>
      </c>
      <c r="B1645" s="9" t="str">
        <f>IFERROR(__xludf.DUMMYFUNCTION("""COMPUTED_VALUE"""),"SameerC89")</f>
        <v>SameerC89</v>
      </c>
      <c r="C1645" s="8">
        <f>IFERROR(__xludf.DUMMYFUNCTION("""COMPUTED_VALUE"""),0.0)</f>
        <v>0</v>
      </c>
      <c r="D1645" s="8"/>
    </row>
    <row r="1646">
      <c r="A1646" s="9" t="str">
        <f>IFERROR(__xludf.DUMMYFUNCTION("""COMPUTED_VALUE"""),"Batch 189")</f>
        <v>Batch 189</v>
      </c>
      <c r="B1646" s="9" t="str">
        <f>IFERROR(__xludf.DUMMYFUNCTION("""COMPUTED_VALUE"""),"ArjunC89")</f>
        <v>ArjunC89</v>
      </c>
      <c r="C1646" s="8">
        <f>IFERROR(__xludf.DUMMYFUNCTION("""COMPUTED_VALUE"""),0.0)</f>
        <v>0</v>
      </c>
      <c r="D1646" s="8"/>
    </row>
    <row r="1647">
      <c r="A1647" s="9" t="str">
        <f>IFERROR(__xludf.DUMMYFUNCTION("""COMPUTED_VALUE"""),"Batch 189")</f>
        <v>Batch 189</v>
      </c>
      <c r="B1647" s="9" t="str">
        <f>IFERROR(__xludf.DUMMYFUNCTION("""COMPUTED_VALUE"""),"JAJJARAC89")</f>
        <v>JAJJARAC89</v>
      </c>
      <c r="C1647" s="8">
        <f>IFERROR(__xludf.DUMMYFUNCTION("""COMPUTED_VALUE"""),1.0)</f>
        <v>1</v>
      </c>
      <c r="D1647" s="8"/>
    </row>
    <row r="1648">
      <c r="A1648" s="9" t="str">
        <f>IFERROR(__xludf.DUMMYFUNCTION("""COMPUTED_VALUE"""),"Batch 189")</f>
        <v>Batch 189</v>
      </c>
      <c r="B1648" s="9" t="str">
        <f>IFERROR(__xludf.DUMMYFUNCTION("""COMPUTED_VALUE"""),"YuvrajC89")</f>
        <v>YuvrajC89</v>
      </c>
      <c r="C1648" s="8">
        <f>IFERROR(__xludf.DUMMYFUNCTION("""COMPUTED_VALUE"""),0.0)</f>
        <v>0</v>
      </c>
      <c r="D1648" s="8"/>
    </row>
    <row r="1649">
      <c r="A1649" s="9" t="str">
        <f>IFERROR(__xludf.DUMMYFUNCTION("""COMPUTED_VALUE"""),"Batch 189")</f>
        <v>Batch 189</v>
      </c>
      <c r="B1649" s="9" t="str">
        <f>IFERROR(__xludf.DUMMYFUNCTION("""COMPUTED_VALUE"""),"PrachiC89")</f>
        <v>PrachiC89</v>
      </c>
      <c r="C1649" s="8">
        <f>IFERROR(__xludf.DUMMYFUNCTION("""COMPUTED_VALUE"""),0.0)</f>
        <v>0</v>
      </c>
      <c r="D1649" s="8"/>
    </row>
    <row r="1650">
      <c r="A1650" s="9" t="str">
        <f>IFERROR(__xludf.DUMMYFUNCTION("""COMPUTED_VALUE"""),"Batch 189")</f>
        <v>Batch 189</v>
      </c>
      <c r="B1650" s="9" t="str">
        <f>IFERROR(__xludf.DUMMYFUNCTION("""COMPUTED_VALUE"""),"ShreyaC89")</f>
        <v>ShreyaC89</v>
      </c>
      <c r="C1650" s="8">
        <f>IFERROR(__xludf.DUMMYFUNCTION("""COMPUTED_VALUE"""),2.0)</f>
        <v>2</v>
      </c>
      <c r="D1650" s="8"/>
    </row>
    <row r="1651">
      <c r="A1651" s="9" t="str">
        <f>IFERROR(__xludf.DUMMYFUNCTION("""COMPUTED_VALUE"""),"Batch 189")</f>
        <v>Batch 189</v>
      </c>
      <c r="B1651" s="9" t="str">
        <f>IFERROR(__xludf.DUMMYFUNCTION("""COMPUTED_VALUE"""),"ShreyasiC89")</f>
        <v>ShreyasiC89</v>
      </c>
      <c r="C1651" s="8">
        <f>IFERROR(__xludf.DUMMYFUNCTION("""COMPUTED_VALUE"""),0.0)</f>
        <v>0</v>
      </c>
      <c r="D1651" s="8"/>
    </row>
    <row r="1652">
      <c r="A1652" s="9" t="str">
        <f>IFERROR(__xludf.DUMMYFUNCTION("""COMPUTED_VALUE"""),"Batch 189")</f>
        <v>Batch 189</v>
      </c>
      <c r="B1652" s="9" t="str">
        <f>IFERROR(__xludf.DUMMYFUNCTION("""COMPUTED_VALUE"""),"MadaeshC89")</f>
        <v>MadaeshC89</v>
      </c>
      <c r="C1652" s="8">
        <f>IFERROR(__xludf.DUMMYFUNCTION("""COMPUTED_VALUE"""),0.0)</f>
        <v>0</v>
      </c>
      <c r="D1652" s="8"/>
    </row>
    <row r="1653">
      <c r="A1653" s="9" t="str">
        <f>IFERROR(__xludf.DUMMYFUNCTION("""COMPUTED_VALUE"""),"Batch 189")</f>
        <v>Batch 189</v>
      </c>
      <c r="B1653" s="9" t="str">
        <f>IFERROR(__xludf.DUMMYFUNCTION("""COMPUTED_VALUE"""),"RudranilC89")</f>
        <v>RudranilC89</v>
      </c>
      <c r="C1653" s="8">
        <f>IFERROR(__xludf.DUMMYFUNCTION("""COMPUTED_VALUE"""),0.0)</f>
        <v>0</v>
      </c>
      <c r="D1653" s="8"/>
    </row>
    <row r="1654">
      <c r="A1654" s="9" t="str">
        <f>IFERROR(__xludf.DUMMYFUNCTION("""COMPUTED_VALUE"""),"Batch 189")</f>
        <v>Batch 189</v>
      </c>
      <c r="B1654" s="9" t="str">
        <f>IFERROR(__xludf.DUMMYFUNCTION("""COMPUTED_VALUE"""),"YasmeenC89")</f>
        <v>YasmeenC89</v>
      </c>
      <c r="C1654" s="8">
        <f>IFERROR(__xludf.DUMMYFUNCTION("""COMPUTED_VALUE"""),1.0)</f>
        <v>1</v>
      </c>
      <c r="D1654" s="8"/>
    </row>
    <row r="1655">
      <c r="A1655" s="9" t="str">
        <f>IFERROR(__xludf.DUMMYFUNCTION("""COMPUTED_VALUE"""),"Batch 189")</f>
        <v>Batch 189</v>
      </c>
      <c r="B1655" s="9" t="str">
        <f>IFERROR(__xludf.DUMMYFUNCTION("""COMPUTED_VALUE"""),"CharithC89")</f>
        <v>CharithC89</v>
      </c>
      <c r="C1655" s="8">
        <f>IFERROR(__xludf.DUMMYFUNCTION("""COMPUTED_VALUE"""),0.0)</f>
        <v>0</v>
      </c>
      <c r="D1655" s="8"/>
    </row>
    <row r="1656">
      <c r="A1656" s="9" t="str">
        <f>IFERROR(__xludf.DUMMYFUNCTION("""COMPUTED_VALUE"""),"Batch 189")</f>
        <v>Batch 189</v>
      </c>
      <c r="B1656" s="9" t="str">
        <f>IFERROR(__xludf.DUMMYFUNCTION("""COMPUTED_VALUE"""),"RitikC89")</f>
        <v>RitikC89</v>
      </c>
      <c r="C1656" s="8">
        <f>IFERROR(__xludf.DUMMYFUNCTION("""COMPUTED_VALUE"""),1.0)</f>
        <v>1</v>
      </c>
      <c r="D1656" s="8"/>
    </row>
    <row r="1657">
      <c r="A1657" s="9" t="str">
        <f>IFERROR(__xludf.DUMMYFUNCTION("""COMPUTED_VALUE"""),"Batch 189")</f>
        <v>Batch 189</v>
      </c>
      <c r="B1657" s="9" t="str">
        <f>IFERROR(__xludf.DUMMYFUNCTION("""COMPUTED_VALUE"""),"HarshC89")</f>
        <v>HarshC89</v>
      </c>
      <c r="C1657" s="8">
        <f>IFERROR(__xludf.DUMMYFUNCTION("""COMPUTED_VALUE"""),0.0)</f>
        <v>0</v>
      </c>
      <c r="D1657" s="8"/>
    </row>
    <row r="1658">
      <c r="A1658" s="9"/>
      <c r="B1658" s="9"/>
      <c r="C1658" s="8">
        <f>IFERROR(__xludf.DUMMYFUNCTION("""COMPUTED_VALUE"""),0.0)</f>
        <v>0</v>
      </c>
      <c r="D1658" s="8"/>
    </row>
    <row r="1659">
      <c r="A1659" s="9" t="str">
        <f>IFERROR(__xludf.DUMMYFUNCTION("""COMPUTED_VALUE"""),"Batch 190")</f>
        <v>Batch 190</v>
      </c>
      <c r="B1659" s="9" t="str">
        <f>IFERROR(__xludf.DUMMYFUNCTION("""COMPUTED_VALUE"""),"Aadithya B Nambiar C90")</f>
        <v>Aadithya B Nambiar C90</v>
      </c>
      <c r="C1659" s="8">
        <f>IFERROR(__xludf.DUMMYFUNCTION("""COMPUTED_VALUE"""),0.0)</f>
        <v>0</v>
      </c>
      <c r="D1659" s="8"/>
    </row>
    <row r="1660">
      <c r="A1660" s="9" t="str">
        <f>IFERROR(__xludf.DUMMYFUNCTION("""COMPUTED_VALUE"""),"Batch 190")</f>
        <v>Batch 190</v>
      </c>
      <c r="B1660" s="9" t="str">
        <f>IFERROR(__xludf.DUMMYFUNCTION("""COMPUTED_VALUE"""),"Abhayanand Kumar C90")</f>
        <v>Abhayanand Kumar C90</v>
      </c>
      <c r="C1660" s="8">
        <f>IFERROR(__xludf.DUMMYFUNCTION("""COMPUTED_VALUE"""),0.0)</f>
        <v>0</v>
      </c>
      <c r="D1660" s="8"/>
    </row>
    <row r="1661">
      <c r="A1661" s="9" t="str">
        <f>IFERROR(__xludf.DUMMYFUNCTION("""COMPUTED_VALUE"""),"Batch 190")</f>
        <v>Batch 190</v>
      </c>
      <c r="B1661" s="9" t="str">
        <f>IFERROR(__xludf.DUMMYFUNCTION("""COMPUTED_VALUE"""),"Kalpana Singh C90")</f>
        <v>Kalpana Singh C90</v>
      </c>
      <c r="C1661" s="8">
        <f>IFERROR(__xludf.DUMMYFUNCTION("""COMPUTED_VALUE"""),0.0)</f>
        <v>0</v>
      </c>
      <c r="D1661" s="8"/>
    </row>
    <row r="1662">
      <c r="A1662" s="9" t="str">
        <f>IFERROR(__xludf.DUMMYFUNCTION("""COMPUTED_VALUE"""),"Batch 190")</f>
        <v>Batch 190</v>
      </c>
      <c r="B1662" s="9" t="str">
        <f>IFERROR(__xludf.DUMMYFUNCTION("""COMPUTED_VALUE"""),"Parinita DasC90")</f>
        <v>Parinita DasC90</v>
      </c>
      <c r="C1662" s="8">
        <f>IFERROR(__xludf.DUMMYFUNCTION("""COMPUTED_VALUE"""),0.0)</f>
        <v>0</v>
      </c>
      <c r="D1662" s="8"/>
    </row>
    <row r="1663">
      <c r="A1663" s="9" t="str">
        <f>IFERROR(__xludf.DUMMYFUNCTION("""COMPUTED_VALUE"""),"Batch 190")</f>
        <v>Batch 190</v>
      </c>
      <c r="B1663" s="9" t="str">
        <f>IFERROR(__xludf.DUMMYFUNCTION("""COMPUTED_VALUE"""),"Subhankar Dey C90")</f>
        <v>Subhankar Dey C90</v>
      </c>
      <c r="C1663" s="8">
        <f>IFERROR(__xludf.DUMMYFUNCTION("""COMPUTED_VALUE"""),0.0)</f>
        <v>0</v>
      </c>
      <c r="D1663" s="8"/>
    </row>
    <row r="1664">
      <c r="A1664" s="9" t="str">
        <f>IFERROR(__xludf.DUMMYFUNCTION("""COMPUTED_VALUE"""),"Batch 190")</f>
        <v>Batch 190</v>
      </c>
      <c r="B1664" s="9" t="str">
        <f>IFERROR(__xludf.DUMMYFUNCTION("""COMPUTED_VALUE"""),"Deepika Agrawal C90")</f>
        <v>Deepika Agrawal C90</v>
      </c>
      <c r="C1664" s="8">
        <f>IFERROR(__xludf.DUMMYFUNCTION("""COMPUTED_VALUE"""),0.0)</f>
        <v>0</v>
      </c>
      <c r="D1664" s="8"/>
    </row>
    <row r="1665">
      <c r="A1665" s="9" t="str">
        <f>IFERROR(__xludf.DUMMYFUNCTION("""COMPUTED_VALUE"""),"Batch 190")</f>
        <v>Batch 190</v>
      </c>
      <c r="B1665" s="9" t="str">
        <f>IFERROR(__xludf.DUMMYFUNCTION("""COMPUTED_VALUE"""),"Ayushman khareC90")</f>
        <v>Ayushman khareC90</v>
      </c>
      <c r="C1665" s="8">
        <f>IFERROR(__xludf.DUMMYFUNCTION("""COMPUTED_VALUE"""),0.0)</f>
        <v>0</v>
      </c>
      <c r="D1665" s="8"/>
    </row>
    <row r="1666">
      <c r="A1666" s="9" t="str">
        <f>IFERROR(__xludf.DUMMYFUNCTION("""COMPUTED_VALUE"""),"Batch 190")</f>
        <v>Batch 190</v>
      </c>
      <c r="B1666" s="9" t="str">
        <f>IFERROR(__xludf.DUMMYFUNCTION("""COMPUTED_VALUE"""),"Keerthana TK C90")</f>
        <v>Keerthana TK C90</v>
      </c>
      <c r="C1666" s="8">
        <f>IFERROR(__xludf.DUMMYFUNCTION("""COMPUTED_VALUE"""),0.0)</f>
        <v>0</v>
      </c>
      <c r="D1666" s="8"/>
    </row>
    <row r="1667">
      <c r="A1667" s="9" t="str">
        <f>IFERROR(__xludf.DUMMYFUNCTION("""COMPUTED_VALUE"""),"Batch 190")</f>
        <v>Batch 190</v>
      </c>
      <c r="B1667" s="9" t="str">
        <f>IFERROR(__xludf.DUMMYFUNCTION("""COMPUTED_VALUE"""),"DHARANISH S S C90")</f>
        <v>DHARANISH S S C90</v>
      </c>
      <c r="C1667" s="8">
        <f>IFERROR(__xludf.DUMMYFUNCTION("""COMPUTED_VALUE"""),4.0)</f>
        <v>4</v>
      </c>
      <c r="D1667" s="8">
        <f>IFERROR(__xludf.DUMMYFUNCTION("""COMPUTED_VALUE"""),1.0)</f>
        <v>1</v>
      </c>
    </row>
    <row r="1668">
      <c r="A1668" s="9" t="str">
        <f>IFERROR(__xludf.DUMMYFUNCTION("""COMPUTED_VALUE"""),"Batch 190")</f>
        <v>Batch 190</v>
      </c>
      <c r="B1668" s="9" t="str">
        <f>IFERROR(__xludf.DUMMYFUNCTION("""COMPUTED_VALUE"""),"Sivakumar SC90")</f>
        <v>Sivakumar SC90</v>
      </c>
      <c r="C1668" s="8">
        <f>IFERROR(__xludf.DUMMYFUNCTION("""COMPUTED_VALUE"""),0.0)</f>
        <v>0</v>
      </c>
      <c r="D1668" s="8"/>
    </row>
    <row r="1669">
      <c r="A1669" s="9" t="str">
        <f>IFERROR(__xludf.DUMMYFUNCTION("""COMPUTED_VALUE"""),"Batch 190")</f>
        <v>Batch 190</v>
      </c>
      <c r="B1669" s="9" t="str">
        <f>IFERROR(__xludf.DUMMYFUNCTION("""COMPUTED_VALUE"""),"Anmol Purwar C90")</f>
        <v>Anmol Purwar C90</v>
      </c>
      <c r="C1669" s="8">
        <f>IFERROR(__xludf.DUMMYFUNCTION("""COMPUTED_VALUE"""),3.0)</f>
        <v>3</v>
      </c>
      <c r="D1669" s="8">
        <f>IFERROR(__xludf.DUMMYFUNCTION("""COMPUTED_VALUE"""),1.0)</f>
        <v>1</v>
      </c>
    </row>
    <row r="1670">
      <c r="A1670" s="9" t="str">
        <f>IFERROR(__xludf.DUMMYFUNCTION("""COMPUTED_VALUE"""),"Batch 190")</f>
        <v>Batch 190</v>
      </c>
      <c r="B1670" s="9" t="str">
        <f>IFERROR(__xludf.DUMMYFUNCTION("""COMPUTED_VALUE"""),"Khushi SinghC90")</f>
        <v>Khushi SinghC90</v>
      </c>
      <c r="C1670" s="8">
        <f>IFERROR(__xludf.DUMMYFUNCTION("""COMPUTED_VALUE"""),0.0)</f>
        <v>0</v>
      </c>
      <c r="D1670" s="8"/>
    </row>
    <row r="1671">
      <c r="A1671" s="9" t="str">
        <f>IFERROR(__xludf.DUMMYFUNCTION("""COMPUTED_VALUE"""),"Batch 190")</f>
        <v>Batch 190</v>
      </c>
      <c r="B1671" s="9" t="str">
        <f>IFERROR(__xludf.DUMMYFUNCTION("""COMPUTED_VALUE"""),"Md Khalid C90")</f>
        <v>Md Khalid C90</v>
      </c>
      <c r="C1671" s="8">
        <f>IFERROR(__xludf.DUMMYFUNCTION("""COMPUTED_VALUE"""),0.0)</f>
        <v>0</v>
      </c>
      <c r="D1671" s="8"/>
    </row>
    <row r="1672">
      <c r="A1672" s="9" t="str">
        <f>IFERROR(__xludf.DUMMYFUNCTION("""COMPUTED_VALUE"""),"Batch 190")</f>
        <v>Batch 190</v>
      </c>
      <c r="B1672" s="9" t="str">
        <f>IFERROR(__xludf.DUMMYFUNCTION("""COMPUTED_VALUE"""),"Raumay AggarwalC90")</f>
        <v>Raumay AggarwalC90</v>
      </c>
      <c r="C1672" s="8">
        <f>IFERROR(__xludf.DUMMYFUNCTION("""COMPUTED_VALUE"""),7.0)</f>
        <v>7</v>
      </c>
      <c r="D1672" s="8">
        <f>IFERROR(__xludf.DUMMYFUNCTION("""COMPUTED_VALUE"""),2.0)</f>
        <v>2</v>
      </c>
    </row>
    <row r="1673">
      <c r="A1673" s="9" t="str">
        <f>IFERROR(__xludf.DUMMYFUNCTION("""COMPUTED_VALUE"""),"Batch 190")</f>
        <v>Batch 190</v>
      </c>
      <c r="B1673" s="9" t="str">
        <f>IFERROR(__xludf.DUMMYFUNCTION("""COMPUTED_VALUE"""),"vailability of degree for college review")</f>
        <v>vailability of degree for college review</v>
      </c>
      <c r="C1673" s="8">
        <f>IFERROR(__xludf.DUMMYFUNCTION("""COMPUTED_VALUE"""),0.0)</f>
        <v>0</v>
      </c>
      <c r="D1673" s="8"/>
    </row>
    <row r="1674">
      <c r="A1674" s="9" t="str">
        <f>IFERROR(__xludf.DUMMYFUNCTION("""COMPUTED_VALUE"""),"Batch 190")</f>
        <v>Batch 190</v>
      </c>
      <c r="B1674" s="9" t="str">
        <f>IFERROR(__xludf.DUMMYFUNCTION("""COMPUTED_VALUE"""),"External")</f>
        <v>External</v>
      </c>
      <c r="C1674" s="8">
        <f>IFERROR(__xludf.DUMMYFUNCTION("""COMPUTED_VALUE"""),0.0)</f>
        <v>0</v>
      </c>
      <c r="D1674" s="8"/>
    </row>
    <row r="1675">
      <c r="A1675" s="9" t="str">
        <f>IFERROR(__xludf.DUMMYFUNCTION("""COMPUTED_VALUE"""),"Batch 190")</f>
        <v>Batch 190</v>
      </c>
      <c r="B1675" s="9" t="str">
        <f>IFERROR(__xludf.DUMMYFUNCTION("""COMPUTED_VALUE"""),"InboxSearch for all messages with label Inbox")</f>
        <v>InboxSearch for all messages with label Inbox</v>
      </c>
      <c r="C1675" s="8">
        <f>IFERROR(__xludf.DUMMYFUNCTION("""COMPUTED_VALUE"""),0.0)</f>
        <v>0</v>
      </c>
      <c r="D1675" s="8"/>
    </row>
    <row r="1676">
      <c r="A1676" s="9" t="str">
        <f>IFERROR(__xludf.DUMMYFUNCTION("""COMPUTED_VALUE"""),"Batch 190")</f>
        <v>Batch 190</v>
      </c>
      <c r="B1676" s="9" t="str">
        <f>IFERROR(__xludf.DUMMYFUNCTION("""COMPUTED_VALUE"""),"Sakshi singhC90")</f>
        <v>Sakshi singhC90</v>
      </c>
      <c r="C1676" s="8">
        <f>IFERROR(__xludf.DUMMYFUNCTION("""COMPUTED_VALUE"""),0.0)</f>
        <v>0</v>
      </c>
      <c r="D1676" s="8"/>
    </row>
    <row r="1677">
      <c r="A1677" s="9" t="str">
        <f>IFERROR(__xludf.DUMMYFUNCTION("""COMPUTED_VALUE"""),"Batch 190")</f>
        <v>Batch 190</v>
      </c>
      <c r="B1677" s="9" t="str">
        <f>IFERROR(__xludf.DUMMYFUNCTION("""COMPUTED_VALUE"""),"Sahin Mehmud C90")</f>
        <v>Sahin Mehmud C90</v>
      </c>
      <c r="C1677" s="8">
        <f>IFERROR(__xludf.DUMMYFUNCTION("""COMPUTED_VALUE"""),0.0)</f>
        <v>0</v>
      </c>
      <c r="D1677" s="8"/>
    </row>
    <row r="1678">
      <c r="A1678" s="9" t="str">
        <f>IFERROR(__xludf.DUMMYFUNCTION("""COMPUTED_VALUE"""),"Batch 190")</f>
        <v>Batch 190</v>
      </c>
      <c r="B1678" s="9" t="str">
        <f>IFERROR(__xludf.DUMMYFUNCTION("""COMPUTED_VALUE"""),"Dinesh VissaC90")</f>
        <v>Dinesh VissaC90</v>
      </c>
      <c r="C1678" s="8">
        <f>IFERROR(__xludf.DUMMYFUNCTION("""COMPUTED_VALUE"""),0.0)</f>
        <v>0</v>
      </c>
      <c r="D1678" s="8"/>
    </row>
    <row r="1679">
      <c r="A1679" s="9" t="str">
        <f>IFERROR(__xludf.DUMMYFUNCTION("""COMPUTED_VALUE"""),"Batch 190")</f>
        <v>Batch 190</v>
      </c>
      <c r="B1679" s="9" t="str">
        <f>IFERROR(__xludf.DUMMYFUNCTION("""COMPUTED_VALUE"""),"SHASHIKANT PRAJAPATI C90")</f>
        <v>SHASHIKANT PRAJAPATI C90</v>
      </c>
      <c r="C1679" s="8">
        <f>IFERROR(__xludf.DUMMYFUNCTION("""COMPUTED_VALUE"""),0.0)</f>
        <v>0</v>
      </c>
      <c r="D1679" s="8"/>
    </row>
    <row r="1680">
      <c r="A1680" s="9" t="str">
        <f>IFERROR(__xludf.DUMMYFUNCTION("""COMPUTED_VALUE"""),"Batch 190")</f>
        <v>Batch 190</v>
      </c>
      <c r="B1680" s="9" t="str">
        <f>IFERROR(__xludf.DUMMYFUNCTION("""COMPUTED_VALUE"""),"ShivamC90")</f>
        <v>ShivamC90</v>
      </c>
      <c r="C1680" s="8">
        <f>IFERROR(__xludf.DUMMYFUNCTION("""COMPUTED_VALUE"""),0.0)</f>
        <v>0</v>
      </c>
      <c r="D1680" s="8"/>
    </row>
    <row r="1681">
      <c r="A1681" s="9" t="str">
        <f>IFERROR(__xludf.DUMMYFUNCTION("""COMPUTED_VALUE"""),"Batch 190")</f>
        <v>Batch 190</v>
      </c>
      <c r="B1681" s="9" t="str">
        <f>IFERROR(__xludf.DUMMYFUNCTION("""COMPUTED_VALUE"""),"KANHAIYA KUMARC90")</f>
        <v>KANHAIYA KUMARC90</v>
      </c>
      <c r="C1681" s="8">
        <f>IFERROR(__xludf.DUMMYFUNCTION("""COMPUTED_VALUE"""),0.0)</f>
        <v>0</v>
      </c>
      <c r="D1681" s="8"/>
    </row>
    <row r="1682">
      <c r="A1682" s="9" t="str">
        <f>IFERROR(__xludf.DUMMYFUNCTION("""COMPUTED_VALUE"""),"Batch 190")</f>
        <v>Batch 190</v>
      </c>
      <c r="B1682" s="9" t="str">
        <f>IFERROR(__xludf.DUMMYFUNCTION("""COMPUTED_VALUE"""),"PriyankaaC90")</f>
        <v>PriyankaaC90</v>
      </c>
      <c r="C1682" s="8">
        <f>IFERROR(__xludf.DUMMYFUNCTION("""COMPUTED_VALUE"""),1.0)</f>
        <v>1</v>
      </c>
      <c r="D1682" s="8"/>
    </row>
    <row r="1683">
      <c r="A1683" s="9" t="str">
        <f>IFERROR(__xludf.DUMMYFUNCTION("""COMPUTED_VALUE"""),"Batch 190")</f>
        <v>Batch 190</v>
      </c>
      <c r="B1683" s="9" t="str">
        <f>IFERROR(__xludf.DUMMYFUNCTION("""COMPUTED_VALUE"""),"Arth NanduC90")</f>
        <v>Arth NanduC90</v>
      </c>
      <c r="C1683" s="8">
        <f>IFERROR(__xludf.DUMMYFUNCTION("""COMPUTED_VALUE"""),0.0)</f>
        <v>0</v>
      </c>
      <c r="D1683" s="8"/>
    </row>
    <row r="1684">
      <c r="A1684" s="9" t="str">
        <f>IFERROR(__xludf.DUMMYFUNCTION("""COMPUTED_VALUE"""),"Batch 190")</f>
        <v>Batch 190</v>
      </c>
      <c r="B1684" s="9" t="str">
        <f>IFERROR(__xludf.DUMMYFUNCTION("""COMPUTED_VALUE"""),"PavithraC90")</f>
        <v>PavithraC90</v>
      </c>
      <c r="C1684" s="8">
        <f>IFERROR(__xludf.DUMMYFUNCTION("""COMPUTED_VALUE"""),0.0)</f>
        <v>0</v>
      </c>
      <c r="D1684" s="8"/>
    </row>
    <row r="1685">
      <c r="A1685" s="9" t="str">
        <f>IFERROR(__xludf.DUMMYFUNCTION("""COMPUTED_VALUE"""),"Batch 190")</f>
        <v>Batch 190</v>
      </c>
      <c r="B1685" s="9" t="str">
        <f>IFERROR(__xludf.DUMMYFUNCTION("""COMPUTED_VALUE"""),"Diljot singh groverC90")</f>
        <v>Diljot singh groverC90</v>
      </c>
      <c r="C1685" s="8">
        <f>IFERROR(__xludf.DUMMYFUNCTION("""COMPUTED_VALUE"""),0.0)</f>
        <v>0</v>
      </c>
      <c r="D1685" s="8"/>
    </row>
    <row r="1686">
      <c r="A1686" s="9" t="str">
        <f>IFERROR(__xludf.DUMMYFUNCTION("""COMPUTED_VALUE"""),"Batch 190")</f>
        <v>Batch 190</v>
      </c>
      <c r="B1686" s="9" t="str">
        <f>IFERROR(__xludf.DUMMYFUNCTION("""COMPUTED_VALUE"""),"Sonali Raju DangareC90")</f>
        <v>Sonali Raju DangareC90</v>
      </c>
      <c r="C1686" s="8">
        <f>IFERROR(__xludf.DUMMYFUNCTION("""COMPUTED_VALUE"""),0.0)</f>
        <v>0</v>
      </c>
      <c r="D1686" s="8"/>
    </row>
    <row r="1687">
      <c r="A1687" s="9" t="str">
        <f>IFERROR(__xludf.DUMMYFUNCTION("""COMPUTED_VALUE"""),"Batch 190")</f>
        <v>Batch 190</v>
      </c>
      <c r="B1687" s="9" t="str">
        <f>IFERROR(__xludf.DUMMYFUNCTION("""COMPUTED_VALUE"""),"Md Faraz Karim C90")</f>
        <v>Md Faraz Karim C90</v>
      </c>
      <c r="C1687" s="8">
        <f>IFERROR(__xludf.DUMMYFUNCTION("""COMPUTED_VALUE"""),0.0)</f>
        <v>0</v>
      </c>
      <c r="D1687" s="8"/>
    </row>
    <row r="1688">
      <c r="A1688" s="9" t="str">
        <f>IFERROR(__xludf.DUMMYFUNCTION("""COMPUTED_VALUE"""),"Batch 190")</f>
        <v>Batch 190</v>
      </c>
      <c r="B1688" s="9" t="str">
        <f>IFERROR(__xludf.DUMMYFUNCTION("""COMPUTED_VALUE"""),"Shyambaskar SC90")</f>
        <v>Shyambaskar SC90</v>
      </c>
      <c r="C1688" s="8">
        <f>IFERROR(__xludf.DUMMYFUNCTION("""COMPUTED_VALUE"""),1.0)</f>
        <v>1</v>
      </c>
      <c r="D1688" s="8"/>
    </row>
    <row r="1689">
      <c r="A1689" s="9" t="str">
        <f>IFERROR(__xludf.DUMMYFUNCTION("""COMPUTED_VALUE"""),"Batch 190")</f>
        <v>Batch 190</v>
      </c>
      <c r="B1689" s="9" t="str">
        <f>IFERROR(__xludf.DUMMYFUNCTION("""COMPUTED_VALUE"""),"Ayesha munavara RC90")</f>
        <v>Ayesha munavara RC90</v>
      </c>
      <c r="C1689" s="8">
        <f>IFERROR(__xludf.DUMMYFUNCTION("""COMPUTED_VALUE"""),0.0)</f>
        <v>0</v>
      </c>
      <c r="D1689" s="8"/>
    </row>
    <row r="1690">
      <c r="A1690" s="9" t="str">
        <f>IFERROR(__xludf.DUMMYFUNCTION("""COMPUTED_VALUE"""),"Batch 190")</f>
        <v>Batch 190</v>
      </c>
      <c r="B1690" s="9" t="str">
        <f>IFERROR(__xludf.DUMMYFUNCTION("""COMPUTED_VALUE"""),"Priti Rani BhoiC90")</f>
        <v>Priti Rani BhoiC90</v>
      </c>
      <c r="C1690" s="8">
        <f>IFERROR(__xludf.DUMMYFUNCTION("""COMPUTED_VALUE"""),0.0)</f>
        <v>0</v>
      </c>
      <c r="D1690" s="8"/>
    </row>
    <row r="1691">
      <c r="A1691" s="9" t="str">
        <f>IFERROR(__xludf.DUMMYFUNCTION("""COMPUTED_VALUE"""),"Batch 190")</f>
        <v>Batch 190</v>
      </c>
      <c r="B1691" s="9" t="str">
        <f>IFERROR(__xludf.DUMMYFUNCTION("""COMPUTED_VALUE"""),"Mehak JindalC90")</f>
        <v>Mehak JindalC90</v>
      </c>
      <c r="C1691" s="8">
        <f>IFERROR(__xludf.DUMMYFUNCTION("""COMPUTED_VALUE"""),0.0)</f>
        <v>0</v>
      </c>
      <c r="D1691" s="8"/>
    </row>
    <row r="1692">
      <c r="A1692" s="9" t="str">
        <f>IFERROR(__xludf.DUMMYFUNCTION("""COMPUTED_VALUE"""),"Batch 190")</f>
        <v>Batch 190</v>
      </c>
      <c r="B1692" s="9" t="str">
        <f>IFERROR(__xludf.DUMMYFUNCTION("""COMPUTED_VALUE"""),"Arjita kumawatC90")</f>
        <v>Arjita kumawatC90</v>
      </c>
      <c r="C1692" s="8">
        <f>IFERROR(__xludf.DUMMYFUNCTION("""COMPUTED_VALUE"""),0.0)</f>
        <v>0</v>
      </c>
      <c r="D1692" s="8"/>
    </row>
    <row r="1693">
      <c r="A1693" s="9" t="str">
        <f>IFERROR(__xludf.DUMMYFUNCTION("""COMPUTED_VALUE"""),"Batch 190")</f>
        <v>Batch 190</v>
      </c>
      <c r="B1693" s="9" t="str">
        <f>IFERROR(__xludf.DUMMYFUNCTION("""COMPUTED_VALUE"""),"R.SUSHMITHAC90")</f>
        <v>R.SUSHMITHAC90</v>
      </c>
      <c r="C1693" s="8">
        <f>IFERROR(__xludf.DUMMYFUNCTION("""COMPUTED_VALUE"""),0.0)</f>
        <v>0</v>
      </c>
      <c r="D1693" s="8"/>
    </row>
    <row r="1694">
      <c r="A1694" s="9" t="str">
        <f>IFERROR(__xludf.DUMMYFUNCTION("""COMPUTED_VALUE"""),"Batch 190")</f>
        <v>Batch 190</v>
      </c>
      <c r="B1694" s="9" t="str">
        <f>IFERROR(__xludf.DUMMYFUNCTION("""COMPUTED_VALUE"""),"Sanju kpC90")</f>
        <v>Sanju kpC90</v>
      </c>
      <c r="C1694" s="8">
        <f>IFERROR(__xludf.DUMMYFUNCTION("""COMPUTED_VALUE"""),0.0)</f>
        <v>0</v>
      </c>
      <c r="D1694" s="8"/>
    </row>
    <row r="1695">
      <c r="A1695" s="9" t="str">
        <f>IFERROR(__xludf.DUMMYFUNCTION("""COMPUTED_VALUE"""),"Batch 190")</f>
        <v>Batch 190</v>
      </c>
      <c r="B1695" s="9" t="str">
        <f>IFERROR(__xludf.DUMMYFUNCTION("""COMPUTED_VALUE"""),"Shrikant kushwaha C90")</f>
        <v>Shrikant kushwaha C90</v>
      </c>
      <c r="C1695" s="8">
        <f>IFERROR(__xludf.DUMMYFUNCTION("""COMPUTED_VALUE"""),1.0)</f>
        <v>1</v>
      </c>
      <c r="D1695" s="8"/>
    </row>
    <row r="1696">
      <c r="A1696" s="9" t="str">
        <f>IFERROR(__xludf.DUMMYFUNCTION("""COMPUTED_VALUE"""),"Batch 190")</f>
        <v>Batch 190</v>
      </c>
      <c r="B1696" s="9" t="str">
        <f>IFERROR(__xludf.DUMMYFUNCTION("""COMPUTED_VALUE"""),"Karishma AnandC90")</f>
        <v>Karishma AnandC90</v>
      </c>
      <c r="C1696" s="8">
        <f>IFERROR(__xludf.DUMMYFUNCTION("""COMPUTED_VALUE"""),0.0)</f>
        <v>0</v>
      </c>
      <c r="D1696" s="8"/>
    </row>
    <row r="1697">
      <c r="A1697" s="9" t="str">
        <f>IFERROR(__xludf.DUMMYFUNCTION("""COMPUTED_VALUE"""),"Batch 190")</f>
        <v>Batch 190</v>
      </c>
      <c r="B1697" s="9" t="str">
        <f>IFERROR(__xludf.DUMMYFUNCTION("""COMPUTED_VALUE"""),"Jiya Modwani C90")</f>
        <v>Jiya Modwani C90</v>
      </c>
      <c r="C1697" s="8">
        <f>IFERROR(__xludf.DUMMYFUNCTION("""COMPUTED_VALUE"""),0.0)</f>
        <v>0</v>
      </c>
      <c r="D1697" s="8"/>
    </row>
    <row r="1698">
      <c r="A1698" s="9" t="str">
        <f>IFERROR(__xludf.DUMMYFUNCTION("""COMPUTED_VALUE"""),"Batch 190")</f>
        <v>Batch 190</v>
      </c>
      <c r="B1698" s="9" t="str">
        <f>IFERROR(__xludf.DUMMYFUNCTION("""COMPUTED_VALUE"""),"DHRUV VERMA C90")</f>
        <v>DHRUV VERMA C90</v>
      </c>
      <c r="C1698" s="8">
        <f>IFERROR(__xludf.DUMMYFUNCTION("""COMPUTED_VALUE"""),0.0)</f>
        <v>0</v>
      </c>
      <c r="D1698" s="8"/>
    </row>
    <row r="1699">
      <c r="A1699" s="9" t="str">
        <f>IFERROR(__xludf.DUMMYFUNCTION("""COMPUTED_VALUE"""),"Batch 190")</f>
        <v>Batch 190</v>
      </c>
      <c r="B1699" s="9" t="str">
        <f>IFERROR(__xludf.DUMMYFUNCTION("""COMPUTED_VALUE"""),"komara RamyaC90")</f>
        <v>komara RamyaC90</v>
      </c>
      <c r="C1699" s="8">
        <f>IFERROR(__xludf.DUMMYFUNCTION("""COMPUTED_VALUE"""),0.0)</f>
        <v>0</v>
      </c>
      <c r="D1699" s="8"/>
    </row>
    <row r="1700">
      <c r="A1700" s="9" t="str">
        <f>IFERROR(__xludf.DUMMYFUNCTION("""COMPUTED_VALUE"""),"Batch 190")</f>
        <v>Batch 190</v>
      </c>
      <c r="B1700" s="9" t="str">
        <f>IFERROR(__xludf.DUMMYFUNCTION("""COMPUTED_VALUE"""),"Vaishnavi Bharambe C90")</f>
        <v>Vaishnavi Bharambe C90</v>
      </c>
      <c r="C1700" s="8">
        <f>IFERROR(__xludf.DUMMYFUNCTION("""COMPUTED_VALUE"""),0.0)</f>
        <v>0</v>
      </c>
      <c r="D1700" s="8"/>
    </row>
    <row r="1701">
      <c r="A1701" s="9" t="str">
        <f>IFERROR(__xludf.DUMMYFUNCTION("""COMPUTED_VALUE"""),"Batch 190")</f>
        <v>Batch 190</v>
      </c>
      <c r="B1701" s="9" t="str">
        <f>IFERROR(__xludf.DUMMYFUNCTION("""COMPUTED_VALUE"""),"Srijan MauryaC90")</f>
        <v>Srijan MauryaC90</v>
      </c>
      <c r="C1701" s="8">
        <f>IFERROR(__xludf.DUMMYFUNCTION("""COMPUTED_VALUE"""),0.0)</f>
        <v>0</v>
      </c>
      <c r="D1701" s="8"/>
    </row>
    <row r="1702">
      <c r="A1702" s="9" t="str">
        <f>IFERROR(__xludf.DUMMYFUNCTION("""COMPUTED_VALUE"""),"Batch 190")</f>
        <v>Batch 190</v>
      </c>
      <c r="B1702" s="9" t="str">
        <f>IFERROR(__xludf.DUMMYFUNCTION("""COMPUTED_VALUE"""),"Sachin C90")</f>
        <v>Sachin C90</v>
      </c>
      <c r="C1702" s="8">
        <f>IFERROR(__xludf.DUMMYFUNCTION("""COMPUTED_VALUE"""),0.0)</f>
        <v>0</v>
      </c>
      <c r="D1702" s="8"/>
    </row>
    <row r="1703">
      <c r="A1703" s="9" t="str">
        <f>IFERROR(__xludf.DUMMYFUNCTION("""COMPUTED_VALUE"""),"Batch 190")</f>
        <v>Batch 190</v>
      </c>
      <c r="B1703" s="9" t="str">
        <f>IFERROR(__xludf.DUMMYFUNCTION("""COMPUTED_VALUE"""),"JayavarshiniC90")</f>
        <v>JayavarshiniC90</v>
      </c>
      <c r="C1703" s="8">
        <f>IFERROR(__xludf.DUMMYFUNCTION("""COMPUTED_VALUE"""),0.0)</f>
        <v>0</v>
      </c>
      <c r="D1703" s="8"/>
    </row>
    <row r="1704">
      <c r="A1704" s="9" t="str">
        <f>IFERROR(__xludf.DUMMYFUNCTION("""COMPUTED_VALUE"""),"Batch 190")</f>
        <v>Batch 190</v>
      </c>
      <c r="B1704" s="9" t="str">
        <f>IFERROR(__xludf.DUMMYFUNCTION("""COMPUTED_VALUE"""),"SahilC90")</f>
        <v>SahilC90</v>
      </c>
      <c r="C1704" s="8">
        <f>IFERROR(__xludf.DUMMYFUNCTION("""COMPUTED_VALUE"""),0.0)</f>
        <v>0</v>
      </c>
      <c r="D1704" s="8"/>
    </row>
    <row r="1705">
      <c r="A1705" s="9" t="str">
        <f>IFERROR(__xludf.DUMMYFUNCTION("""COMPUTED_VALUE"""),"Batch 190")</f>
        <v>Batch 190</v>
      </c>
      <c r="B1705" s="9" t="str">
        <f>IFERROR(__xludf.DUMMYFUNCTION("""COMPUTED_VALUE"""),"Supriya R. GuthulaC90")</f>
        <v>Supriya R. GuthulaC90</v>
      </c>
      <c r="C1705" s="8">
        <f>IFERROR(__xludf.DUMMYFUNCTION("""COMPUTED_VALUE"""),0.0)</f>
        <v>0</v>
      </c>
      <c r="D1705" s="8"/>
    </row>
    <row r="1706">
      <c r="A1706" s="9" t="str">
        <f>IFERROR(__xludf.DUMMYFUNCTION("""COMPUTED_VALUE"""),"Batch 190")</f>
        <v>Batch 190</v>
      </c>
      <c r="B1706" s="9" t="str">
        <f>IFERROR(__xludf.DUMMYFUNCTION("""COMPUTED_VALUE"""),"Bhoopal Reddy.VC90")</f>
        <v>Bhoopal Reddy.VC90</v>
      </c>
      <c r="C1706" s="8">
        <f>IFERROR(__xludf.DUMMYFUNCTION("""COMPUTED_VALUE"""),0.0)</f>
        <v>0</v>
      </c>
      <c r="D1706" s="8"/>
    </row>
    <row r="1707">
      <c r="A1707" s="9" t="str">
        <f>IFERROR(__xludf.DUMMYFUNCTION("""COMPUTED_VALUE"""),"Batch 190")</f>
        <v>Batch 190</v>
      </c>
      <c r="B1707" s="9" t="str">
        <f>IFERROR(__xludf.DUMMYFUNCTION("""COMPUTED_VALUE"""),"Nargish Parveen C90")</f>
        <v>Nargish Parveen C90</v>
      </c>
      <c r="C1707" s="8">
        <f>IFERROR(__xludf.DUMMYFUNCTION("""COMPUTED_VALUE"""),0.0)</f>
        <v>0</v>
      </c>
      <c r="D1707" s="8"/>
    </row>
    <row r="1708">
      <c r="A1708" s="9" t="str">
        <f>IFERROR(__xludf.DUMMYFUNCTION("""COMPUTED_VALUE"""),"Batch 190")</f>
        <v>Batch 190</v>
      </c>
      <c r="B1708" s="9" t="str">
        <f>IFERROR(__xludf.DUMMYFUNCTION("""COMPUTED_VALUE"""),"GeethaC90")</f>
        <v>GeethaC90</v>
      </c>
      <c r="C1708" s="8">
        <f>IFERROR(__xludf.DUMMYFUNCTION("""COMPUTED_VALUE"""),0.0)</f>
        <v>0</v>
      </c>
      <c r="D1708" s="8"/>
    </row>
    <row r="1709">
      <c r="A1709" s="9" t="str">
        <f>IFERROR(__xludf.DUMMYFUNCTION("""COMPUTED_VALUE"""),"Batch 190")</f>
        <v>Batch 190</v>
      </c>
      <c r="B1709" s="9" t="str">
        <f>IFERROR(__xludf.DUMMYFUNCTION("""COMPUTED_VALUE"""),"Purvesh GhodeC90")</f>
        <v>Purvesh GhodeC90</v>
      </c>
      <c r="C1709" s="8">
        <f>IFERROR(__xludf.DUMMYFUNCTION("""COMPUTED_VALUE"""),0.0)</f>
        <v>0</v>
      </c>
      <c r="D1709" s="8"/>
    </row>
    <row r="1710">
      <c r="A1710" s="9" t="str">
        <f>IFERROR(__xludf.DUMMYFUNCTION("""COMPUTED_VALUE"""),"Batch 190")</f>
        <v>Batch 190</v>
      </c>
      <c r="B1710" s="9" t="str">
        <f>IFERROR(__xludf.DUMMYFUNCTION("""COMPUTED_VALUE"""),"Daksh BajajC90")</f>
        <v>Daksh BajajC90</v>
      </c>
      <c r="C1710" s="8">
        <f>IFERROR(__xludf.DUMMYFUNCTION("""COMPUTED_VALUE"""),0.0)</f>
        <v>0</v>
      </c>
      <c r="D1710" s="8"/>
    </row>
    <row r="1711">
      <c r="A1711" s="9" t="str">
        <f>IFERROR(__xludf.DUMMYFUNCTION("""COMPUTED_VALUE"""),"Batch 190")</f>
        <v>Batch 190</v>
      </c>
      <c r="B1711" s="9" t="str">
        <f>IFERROR(__xludf.DUMMYFUNCTION("""COMPUTED_VALUE"""),"Kareena C90")</f>
        <v>Kareena C90</v>
      </c>
      <c r="C1711" s="8">
        <f>IFERROR(__xludf.DUMMYFUNCTION("""COMPUTED_VALUE"""),0.0)</f>
        <v>0</v>
      </c>
      <c r="D1711" s="8"/>
    </row>
    <row r="1712">
      <c r="A1712" s="9" t="str">
        <f>IFERROR(__xludf.DUMMYFUNCTION("""COMPUTED_VALUE"""),"Batch 190")</f>
        <v>Batch 190</v>
      </c>
      <c r="B1712" s="9" t="str">
        <f>IFERROR(__xludf.DUMMYFUNCTION("""COMPUTED_VALUE"""),"Divya Surana C90")</f>
        <v>Divya Surana C90</v>
      </c>
      <c r="C1712" s="8">
        <f>IFERROR(__xludf.DUMMYFUNCTION("""COMPUTED_VALUE"""),1.0)</f>
        <v>1</v>
      </c>
      <c r="D1712" s="8"/>
    </row>
    <row r="1713">
      <c r="A1713" s="9" t="str">
        <f>IFERROR(__xludf.DUMMYFUNCTION("""COMPUTED_VALUE"""),"Batch 190")</f>
        <v>Batch 190</v>
      </c>
      <c r="B1713" s="9" t="str">
        <f>IFERROR(__xludf.DUMMYFUNCTION("""COMPUTED_VALUE"""),"Omeyr voraC90")</f>
        <v>Omeyr voraC90</v>
      </c>
      <c r="C1713" s="8">
        <f>IFERROR(__xludf.DUMMYFUNCTION("""COMPUTED_VALUE"""),0.0)</f>
        <v>0</v>
      </c>
      <c r="D1713" s="8"/>
    </row>
    <row r="1714">
      <c r="A1714" s="9" t="str">
        <f>IFERROR(__xludf.DUMMYFUNCTION("""COMPUTED_VALUE"""),"Batch 190")</f>
        <v>Batch 190</v>
      </c>
      <c r="B1714" s="9" t="str">
        <f>IFERROR(__xludf.DUMMYFUNCTION("""COMPUTED_VALUE"""),"Neha singhC90")</f>
        <v>Neha singhC90</v>
      </c>
      <c r="C1714" s="8">
        <f>IFERROR(__xludf.DUMMYFUNCTION("""COMPUTED_VALUE"""),0.0)</f>
        <v>0</v>
      </c>
      <c r="D1714" s="8"/>
    </row>
    <row r="1715">
      <c r="A1715" s="9" t="str">
        <f>IFERROR(__xludf.DUMMYFUNCTION("""COMPUTED_VALUE"""),"Batch 190")</f>
        <v>Batch 190</v>
      </c>
      <c r="B1715" s="9" t="str">
        <f>IFERROR(__xludf.DUMMYFUNCTION("""COMPUTED_VALUE"""),"Astha jainC90")</f>
        <v>Astha jainC90</v>
      </c>
      <c r="C1715" s="8">
        <f>IFERROR(__xludf.DUMMYFUNCTION("""COMPUTED_VALUE"""),1.0)</f>
        <v>1</v>
      </c>
      <c r="D1715" s="8"/>
    </row>
    <row r="1716">
      <c r="A1716" s="9" t="str">
        <f>IFERROR(__xludf.DUMMYFUNCTION("""COMPUTED_VALUE"""),"Batch 190")</f>
        <v>Batch 190</v>
      </c>
      <c r="B1716" s="9">
        <f>IFERROR(__xludf.DUMMYFUNCTION("""COMPUTED_VALUE"""),3.0)</f>
        <v>3</v>
      </c>
      <c r="C1716" s="8">
        <f>IFERROR(__xludf.DUMMYFUNCTION("""COMPUTED_VALUE"""),32.0)</f>
        <v>32</v>
      </c>
      <c r="D1716" s="8">
        <f>IFERROR(__xludf.DUMMYFUNCTION("""COMPUTED_VALUE"""),5.0)</f>
        <v>5</v>
      </c>
    </row>
    <row r="1717">
      <c r="A1717" s="9" t="str">
        <f>IFERROR(__xludf.DUMMYFUNCTION("""COMPUTED_VALUE"""),"Batch 190")</f>
        <v>Batch 190</v>
      </c>
      <c r="B1717" s="9" t="str">
        <f>IFERROR(__xludf.DUMMYFUNCTION("""COMPUTED_VALUE"""),"Zishan shaikhC90")</f>
        <v>Zishan shaikhC90</v>
      </c>
      <c r="C1717" s="8">
        <f>IFERROR(__xludf.DUMMYFUNCTION("""COMPUTED_VALUE"""),0.0)</f>
        <v>0</v>
      </c>
      <c r="D1717" s="8"/>
    </row>
    <row r="1718">
      <c r="A1718" s="9" t="str">
        <f>IFERROR(__xludf.DUMMYFUNCTION("""COMPUTED_VALUE"""),"Batch 190")</f>
        <v>Batch 190</v>
      </c>
      <c r="B1718" s="9" t="str">
        <f>IFERROR(__xludf.DUMMYFUNCTION("""COMPUTED_VALUE"""),"Suyash potdar C90")</f>
        <v>Suyash potdar C90</v>
      </c>
      <c r="C1718" s="8">
        <f>IFERROR(__xludf.DUMMYFUNCTION("""COMPUTED_VALUE"""),0.0)</f>
        <v>0</v>
      </c>
      <c r="D1718" s="8"/>
    </row>
    <row r="1719">
      <c r="A1719" s="9" t="str">
        <f>IFERROR(__xludf.DUMMYFUNCTION("""COMPUTED_VALUE"""),"Batch 190")</f>
        <v>Batch 190</v>
      </c>
      <c r="B1719" s="9" t="str">
        <f>IFERROR(__xludf.DUMMYFUNCTION("""COMPUTED_VALUE"""),"Rakshit Ingole C90")</f>
        <v>Rakshit Ingole C90</v>
      </c>
      <c r="C1719" s="8">
        <f>IFERROR(__xludf.DUMMYFUNCTION("""COMPUTED_VALUE"""),0.0)</f>
        <v>0</v>
      </c>
      <c r="D1719" s="8"/>
    </row>
    <row r="1720">
      <c r="A1720" s="9" t="str">
        <f>IFERROR(__xludf.DUMMYFUNCTION("""COMPUTED_VALUE"""),"Batch 190")</f>
        <v>Batch 190</v>
      </c>
      <c r="B1720" s="9" t="str">
        <f>IFERROR(__xludf.DUMMYFUNCTION("""COMPUTED_VALUE"""),"Rincy MathewC90")</f>
        <v>Rincy MathewC90</v>
      </c>
      <c r="C1720" s="8">
        <f>IFERROR(__xludf.DUMMYFUNCTION("""COMPUTED_VALUE"""),0.0)</f>
        <v>0</v>
      </c>
      <c r="D1720" s="8"/>
    </row>
    <row r="1721">
      <c r="A1721" s="9" t="str">
        <f>IFERROR(__xludf.DUMMYFUNCTION("""COMPUTED_VALUE"""),"Batch 190")</f>
        <v>Batch 190</v>
      </c>
      <c r="B1721" s="9" t="str">
        <f>IFERROR(__xludf.DUMMYFUNCTION("""COMPUTED_VALUE"""),"KADI SHANMUKHA SAI VIGNESHC90")</f>
        <v>KADI SHANMUKHA SAI VIGNESHC90</v>
      </c>
      <c r="C1721" s="8">
        <f>IFERROR(__xludf.DUMMYFUNCTION("""COMPUTED_VALUE"""),0.0)</f>
        <v>0</v>
      </c>
      <c r="D1721" s="8"/>
    </row>
    <row r="1722">
      <c r="A1722" s="9" t="str">
        <f>IFERROR(__xludf.DUMMYFUNCTION("""COMPUTED_VALUE"""),"Batch 190")</f>
        <v>Batch 190</v>
      </c>
      <c r="B1722" s="9" t="str">
        <f>IFERROR(__xludf.DUMMYFUNCTION("""COMPUTED_VALUE"""),"Aditya kumarC90")</f>
        <v>Aditya kumarC90</v>
      </c>
      <c r="C1722" s="8">
        <f>IFERROR(__xludf.DUMMYFUNCTION("""COMPUTED_VALUE"""),0.0)</f>
        <v>0</v>
      </c>
      <c r="D1722" s="8"/>
    </row>
    <row r="1723">
      <c r="A1723" s="9" t="str">
        <f>IFERROR(__xludf.DUMMYFUNCTION("""COMPUTED_VALUE"""),"Batch 190")</f>
        <v>Batch 190</v>
      </c>
      <c r="B1723" s="9" t="str">
        <f>IFERROR(__xludf.DUMMYFUNCTION("""COMPUTED_VALUE"""),"Jayesh bhati C90")</f>
        <v>Jayesh bhati C90</v>
      </c>
      <c r="C1723" s="8">
        <f>IFERROR(__xludf.DUMMYFUNCTION("""COMPUTED_VALUE"""),0.0)</f>
        <v>0</v>
      </c>
      <c r="D1723" s="8"/>
    </row>
    <row r="1724">
      <c r="A1724" s="9" t="str">
        <f>IFERROR(__xludf.DUMMYFUNCTION("""COMPUTED_VALUE"""),"Batch 190")</f>
        <v>Batch 190</v>
      </c>
      <c r="B1724" s="9" t="str">
        <f>IFERROR(__xludf.DUMMYFUNCTION("""COMPUTED_VALUE"""),"Tavishi SharmaC90")</f>
        <v>Tavishi SharmaC90</v>
      </c>
      <c r="C1724" s="8">
        <f>IFERROR(__xludf.DUMMYFUNCTION("""COMPUTED_VALUE"""),0.0)</f>
        <v>0</v>
      </c>
      <c r="D1724" s="8"/>
    </row>
    <row r="1725">
      <c r="A1725" s="9" t="str">
        <f>IFERROR(__xludf.DUMMYFUNCTION("""COMPUTED_VALUE"""),"Batch 190")</f>
        <v>Batch 190</v>
      </c>
      <c r="B1725" s="9" t="str">
        <f>IFERROR(__xludf.DUMMYFUNCTION("""COMPUTED_VALUE"""),"Chinki bhatnagar C90")</f>
        <v>Chinki bhatnagar C90</v>
      </c>
      <c r="C1725" s="8">
        <f>IFERROR(__xludf.DUMMYFUNCTION("""COMPUTED_VALUE"""),0.0)</f>
        <v>0</v>
      </c>
      <c r="D1725" s="8"/>
    </row>
    <row r="1726">
      <c r="A1726" s="9" t="str">
        <f>IFERROR(__xludf.DUMMYFUNCTION("""COMPUTED_VALUE"""),"Batch 190")</f>
        <v>Batch 190</v>
      </c>
      <c r="B1726" s="9" t="str">
        <f>IFERROR(__xludf.DUMMYFUNCTION("""COMPUTED_VALUE"""),"Vaishnavi soni C90")</f>
        <v>Vaishnavi soni C90</v>
      </c>
      <c r="C1726" s="8">
        <f>IFERROR(__xludf.DUMMYFUNCTION("""COMPUTED_VALUE"""),0.0)</f>
        <v>0</v>
      </c>
      <c r="D1726" s="8"/>
    </row>
    <row r="1727">
      <c r="A1727" s="9" t="str">
        <f>IFERROR(__xludf.DUMMYFUNCTION("""COMPUTED_VALUE"""),"Batch 190")</f>
        <v>Batch 190</v>
      </c>
      <c r="B1727" s="9" t="str">
        <f>IFERROR(__xludf.DUMMYFUNCTION("""COMPUTED_VALUE"""),"Jeba kirubaC90")</f>
        <v>Jeba kirubaC90</v>
      </c>
      <c r="C1727" s="8">
        <f>IFERROR(__xludf.DUMMYFUNCTION("""COMPUTED_VALUE"""),0.0)</f>
        <v>0</v>
      </c>
      <c r="D1727" s="8"/>
    </row>
    <row r="1728">
      <c r="A1728" s="9" t="str">
        <f>IFERROR(__xludf.DUMMYFUNCTION("""COMPUTED_VALUE"""),"Batch 190")</f>
        <v>Batch 190</v>
      </c>
      <c r="B1728" s="9" t="str">
        <f>IFERROR(__xludf.DUMMYFUNCTION("""COMPUTED_VALUE"""),"Deepjyoti Das C90")</f>
        <v>Deepjyoti Das C90</v>
      </c>
      <c r="C1728" s="8">
        <f>IFERROR(__xludf.DUMMYFUNCTION("""COMPUTED_VALUE"""),0.0)</f>
        <v>0</v>
      </c>
      <c r="D1728" s="8"/>
    </row>
    <row r="1729">
      <c r="A1729" s="9" t="str">
        <f>IFERROR(__xludf.DUMMYFUNCTION("""COMPUTED_VALUE"""),"Batch 190")</f>
        <v>Batch 190</v>
      </c>
      <c r="B1729" s="9" t="str">
        <f>IFERROR(__xludf.DUMMYFUNCTION("""COMPUTED_VALUE"""),"JIBIN M NAIRC90")</f>
        <v>JIBIN M NAIRC90</v>
      </c>
      <c r="C1729" s="8">
        <f>IFERROR(__xludf.DUMMYFUNCTION("""COMPUTED_VALUE"""),0.0)</f>
        <v>0</v>
      </c>
      <c r="D1729" s="8"/>
    </row>
    <row r="1730">
      <c r="A1730" s="9" t="str">
        <f>IFERROR(__xludf.DUMMYFUNCTION("""COMPUTED_VALUE"""),"Batch 190")</f>
        <v>Batch 190</v>
      </c>
      <c r="B1730" s="9" t="str">
        <f>IFERROR(__xludf.DUMMYFUNCTION("""COMPUTED_VALUE"""),"Ayushi Tiwari C90")</f>
        <v>Ayushi Tiwari C90</v>
      </c>
      <c r="C1730" s="8">
        <f>IFERROR(__xludf.DUMMYFUNCTION("""COMPUTED_VALUE"""),0.0)</f>
        <v>0</v>
      </c>
      <c r="D1730" s="8"/>
    </row>
    <row r="1731">
      <c r="A1731" s="9" t="str">
        <f>IFERROR(__xludf.DUMMYFUNCTION("""COMPUTED_VALUE"""),"Batch 190")</f>
        <v>Batch 190</v>
      </c>
      <c r="B1731" s="9" t="str">
        <f>IFERROR(__xludf.DUMMYFUNCTION("""COMPUTED_VALUE"""),"Yuthan NC90")</f>
        <v>Yuthan NC90</v>
      </c>
      <c r="C1731" s="8">
        <f>IFERROR(__xludf.DUMMYFUNCTION("""COMPUTED_VALUE"""),0.0)</f>
        <v>0</v>
      </c>
      <c r="D1731" s="8"/>
    </row>
    <row r="1732">
      <c r="A1732" s="9" t="str">
        <f>IFERROR(__xludf.DUMMYFUNCTION("""COMPUTED_VALUE"""),"Batch 190")</f>
        <v>Batch 190</v>
      </c>
      <c r="B1732" s="9" t="str">
        <f>IFERROR(__xludf.DUMMYFUNCTION("""COMPUTED_VALUE"""),"PRINCE KUMARC90")</f>
        <v>PRINCE KUMARC90</v>
      </c>
      <c r="C1732" s="8">
        <f>IFERROR(__xludf.DUMMYFUNCTION("""COMPUTED_VALUE"""),0.0)</f>
        <v>0</v>
      </c>
      <c r="D1732" s="8"/>
    </row>
    <row r="1733">
      <c r="A1733" s="9" t="str">
        <f>IFERROR(__xludf.DUMMYFUNCTION("""COMPUTED_VALUE"""),"Batch 190")</f>
        <v>Batch 190</v>
      </c>
      <c r="B1733" s="9" t="str">
        <f>IFERROR(__xludf.DUMMYFUNCTION("""COMPUTED_VALUE"""),"Aadithya B Nambiar C90")</f>
        <v>Aadithya B Nambiar C90</v>
      </c>
      <c r="C1733" s="8">
        <f>IFERROR(__xludf.DUMMYFUNCTION("""COMPUTED_VALUE"""),0.0)</f>
        <v>0</v>
      </c>
      <c r="D1733" s="8"/>
    </row>
    <row r="1734">
      <c r="A1734" s="9" t="str">
        <f>IFERROR(__xludf.DUMMYFUNCTION("""COMPUTED_VALUE"""),"Batch 190")</f>
        <v>Batch 190</v>
      </c>
      <c r="B1734" s="9" t="str">
        <f>IFERROR(__xludf.DUMMYFUNCTION("""COMPUTED_VALUE"""),"Akanksha Sharma C90")</f>
        <v>Akanksha Sharma C90</v>
      </c>
      <c r="C1734" s="8">
        <f>IFERROR(__xludf.DUMMYFUNCTION("""COMPUTED_VALUE"""),0.0)</f>
        <v>0</v>
      </c>
      <c r="D1734" s="8"/>
    </row>
    <row r="1735">
      <c r="A1735" s="9" t="str">
        <f>IFERROR(__xludf.DUMMYFUNCTION("""COMPUTED_VALUE"""),"Batch 190")</f>
        <v>Batch 190</v>
      </c>
      <c r="B1735" s="9" t="str">
        <f>IFERROR(__xludf.DUMMYFUNCTION("""COMPUTED_VALUE"""),"Rupesh VarshneyC90")</f>
        <v>Rupesh VarshneyC90</v>
      </c>
      <c r="C1735" s="8">
        <f>IFERROR(__xludf.DUMMYFUNCTION("""COMPUTED_VALUE"""),0.0)</f>
        <v>0</v>
      </c>
      <c r="D1735" s="8"/>
    </row>
    <row r="1736">
      <c r="A1736" s="9" t="str">
        <f>IFERROR(__xludf.DUMMYFUNCTION("""COMPUTED_VALUE"""),"Batch 190")</f>
        <v>Batch 190</v>
      </c>
      <c r="B1736" s="9" t="str">
        <f>IFERROR(__xludf.DUMMYFUNCTION("""COMPUTED_VALUE"""),"ABHAY SINGH C90")</f>
        <v>ABHAY SINGH C90</v>
      </c>
      <c r="C1736" s="8">
        <f>IFERROR(__xludf.DUMMYFUNCTION("""COMPUTED_VALUE"""),0.0)</f>
        <v>0</v>
      </c>
      <c r="D1736" s="8"/>
    </row>
    <row r="1737">
      <c r="A1737" s="9" t="str">
        <f>IFERROR(__xludf.DUMMYFUNCTION("""COMPUTED_VALUE"""),"Batch 190")</f>
        <v>Batch 190</v>
      </c>
      <c r="B1737" s="9" t="str">
        <f>IFERROR(__xludf.DUMMYFUNCTION("""COMPUTED_VALUE"""),"Rahul Yadav C90")</f>
        <v>Rahul Yadav C90</v>
      </c>
      <c r="C1737" s="8">
        <f>IFERROR(__xludf.DUMMYFUNCTION("""COMPUTED_VALUE"""),0.0)</f>
        <v>0</v>
      </c>
      <c r="D1737" s="8"/>
    </row>
    <row r="1738">
      <c r="A1738" s="9" t="str">
        <f>IFERROR(__xludf.DUMMYFUNCTION("""COMPUTED_VALUE"""),"Batch 190")</f>
        <v>Batch 190</v>
      </c>
      <c r="B1738" s="9" t="str">
        <f>IFERROR(__xludf.DUMMYFUNCTION("""COMPUTED_VALUE"""),"Satyam Kumar C90")</f>
        <v>Satyam Kumar C90</v>
      </c>
      <c r="C1738" s="8">
        <f>IFERROR(__xludf.DUMMYFUNCTION("""COMPUTED_VALUE"""),0.0)</f>
        <v>0</v>
      </c>
      <c r="D1738" s="8"/>
    </row>
    <row r="1739">
      <c r="A1739" s="9" t="str">
        <f>IFERROR(__xludf.DUMMYFUNCTION("""COMPUTED_VALUE"""),"Batch 190")</f>
        <v>Batch 190</v>
      </c>
      <c r="B1739" s="9" t="str">
        <f>IFERROR(__xludf.DUMMYFUNCTION("""COMPUTED_VALUE"""),"Karishma AnandC90")</f>
        <v>Karishma AnandC90</v>
      </c>
      <c r="C1739" s="8">
        <f>IFERROR(__xludf.DUMMYFUNCTION("""COMPUTED_VALUE"""),0.0)</f>
        <v>0</v>
      </c>
      <c r="D1739" s="8"/>
    </row>
    <row r="1740">
      <c r="A1740" s="9" t="str">
        <f>IFERROR(__xludf.DUMMYFUNCTION("""COMPUTED_VALUE"""),"Batch 190")</f>
        <v>Batch 190</v>
      </c>
      <c r="B1740" s="9" t="str">
        <f>IFERROR(__xludf.DUMMYFUNCTION("""COMPUTED_VALUE"""),"Mohammad Bilal Azam C90")</f>
        <v>Mohammad Bilal Azam C90</v>
      </c>
      <c r="C1740" s="8">
        <f>IFERROR(__xludf.DUMMYFUNCTION("""COMPUTED_VALUE"""),0.0)</f>
        <v>0</v>
      </c>
      <c r="D1740" s="8"/>
    </row>
    <row r="1741">
      <c r="A1741" s="9" t="str">
        <f>IFERROR(__xludf.DUMMYFUNCTION("""COMPUTED_VALUE"""),"Batch 190")</f>
        <v>Batch 190</v>
      </c>
      <c r="B1741" s="9" t="str">
        <f>IFERROR(__xludf.DUMMYFUNCTION("""COMPUTED_VALUE"""),"Om Gupta C90")</f>
        <v>Om Gupta C90</v>
      </c>
      <c r="C1741" s="8">
        <f>IFERROR(__xludf.DUMMYFUNCTION("""COMPUTED_VALUE"""),0.0)</f>
        <v>0</v>
      </c>
      <c r="D1741" s="8"/>
    </row>
    <row r="1742">
      <c r="A1742" s="9" t="str">
        <f>IFERROR(__xludf.DUMMYFUNCTION("""COMPUTED_VALUE"""),"Batch 190")</f>
        <v>Batch 190</v>
      </c>
      <c r="B1742" s="9" t="str">
        <f>IFERROR(__xludf.DUMMYFUNCTION("""COMPUTED_VALUE"""),"Ankisha DeyC90")</f>
        <v>Ankisha DeyC90</v>
      </c>
      <c r="C1742" s="8">
        <f>IFERROR(__xludf.DUMMYFUNCTION("""COMPUTED_VALUE"""),0.0)</f>
        <v>0</v>
      </c>
      <c r="D1742" s="8">
        <f>IFERROR(__xludf.DUMMYFUNCTION("""COMPUTED_VALUE"""),1.0)</f>
        <v>1</v>
      </c>
    </row>
    <row r="1743">
      <c r="A1743" s="9" t="str">
        <f>IFERROR(__xludf.DUMMYFUNCTION("""COMPUTED_VALUE"""),"Batch 190")</f>
        <v>Batch 190</v>
      </c>
      <c r="B1743" s="9" t="str">
        <f>IFERROR(__xludf.DUMMYFUNCTION("""COMPUTED_VALUE"""),"Janhvi Rathod C90")</f>
        <v>Janhvi Rathod C90</v>
      </c>
      <c r="C1743" s="8">
        <f>IFERROR(__xludf.DUMMYFUNCTION("""COMPUTED_VALUE"""),0.0)</f>
        <v>0</v>
      </c>
      <c r="D1743" s="8"/>
    </row>
    <row r="1744">
      <c r="A1744" s="9" t="str">
        <f>IFERROR(__xludf.DUMMYFUNCTION("""COMPUTED_VALUE"""),"Batch 190")</f>
        <v>Batch 190</v>
      </c>
      <c r="B1744" s="9" t="str">
        <f>IFERROR(__xludf.DUMMYFUNCTION("""COMPUTED_VALUE"""),"Anjali kumariC90")</f>
        <v>Anjali kumariC90</v>
      </c>
      <c r="C1744" s="8">
        <f>IFERROR(__xludf.DUMMYFUNCTION("""COMPUTED_VALUE"""),0.0)</f>
        <v>0</v>
      </c>
      <c r="D1744" s="8"/>
    </row>
    <row r="1745">
      <c r="A1745" s="9" t="str">
        <f>IFERROR(__xludf.DUMMYFUNCTION("""COMPUTED_VALUE"""),"Batch 190")</f>
        <v>Batch 190</v>
      </c>
      <c r="B1745" s="9" t="str">
        <f>IFERROR(__xludf.DUMMYFUNCTION("""COMPUTED_VALUE"""),"ArtiC90")</f>
        <v>ArtiC90</v>
      </c>
      <c r="C1745" s="8">
        <f>IFERROR(__xludf.DUMMYFUNCTION("""COMPUTED_VALUE"""),0.0)</f>
        <v>0</v>
      </c>
      <c r="D1745" s="8"/>
    </row>
    <row r="1746">
      <c r="A1746" s="9" t="str">
        <f>IFERROR(__xludf.DUMMYFUNCTION("""COMPUTED_VALUE"""),"Batch 190")</f>
        <v>Batch 190</v>
      </c>
      <c r="B1746" s="9" t="str">
        <f>IFERROR(__xludf.DUMMYFUNCTION("""COMPUTED_VALUE"""),"Gracy Pandey C90")</f>
        <v>Gracy Pandey C90</v>
      </c>
      <c r="C1746" s="8">
        <f>IFERROR(__xludf.DUMMYFUNCTION("""COMPUTED_VALUE"""),0.0)</f>
        <v>0</v>
      </c>
      <c r="D1746" s="8"/>
    </row>
    <row r="1747">
      <c r="A1747" s="9" t="str">
        <f>IFERROR(__xludf.DUMMYFUNCTION("""COMPUTED_VALUE"""),"Batch 190")</f>
        <v>Batch 190</v>
      </c>
      <c r="B1747" s="9" t="str">
        <f>IFERROR(__xludf.DUMMYFUNCTION("""COMPUTED_VALUE"""),"Aneesha Afreen C90")</f>
        <v>Aneesha Afreen C90</v>
      </c>
      <c r="C1747" s="8">
        <f>IFERROR(__xludf.DUMMYFUNCTION("""COMPUTED_VALUE"""),0.0)</f>
        <v>0</v>
      </c>
      <c r="D1747" s="8"/>
    </row>
    <row r="1748">
      <c r="A1748" s="9" t="str">
        <f>IFERROR(__xludf.DUMMYFUNCTION("""COMPUTED_VALUE"""),"Batch 190")</f>
        <v>Batch 190</v>
      </c>
      <c r="B1748" s="9" t="str">
        <f>IFERROR(__xludf.DUMMYFUNCTION("""COMPUTED_VALUE"""),"Vanshika choudhary C90")</f>
        <v>Vanshika choudhary C90</v>
      </c>
      <c r="C1748" s="8">
        <f>IFERROR(__xludf.DUMMYFUNCTION("""COMPUTED_VALUE"""),0.0)</f>
        <v>0</v>
      </c>
      <c r="D1748" s="8"/>
    </row>
    <row r="1749">
      <c r="A1749" s="9" t="str">
        <f>IFERROR(__xludf.DUMMYFUNCTION("""COMPUTED_VALUE"""),"Batch 190")</f>
        <v>Batch 190</v>
      </c>
      <c r="B1749" s="9" t="str">
        <f>IFERROR(__xludf.DUMMYFUNCTION("""COMPUTED_VALUE"""),"UjjwalC90")</f>
        <v>UjjwalC90</v>
      </c>
      <c r="C1749" s="8">
        <f>IFERROR(__xludf.DUMMYFUNCTION("""COMPUTED_VALUE"""),2.0)</f>
        <v>2</v>
      </c>
      <c r="D1749" s="8"/>
    </row>
    <row r="1750">
      <c r="A1750" s="9"/>
      <c r="B1750" s="9"/>
      <c r="C1750" s="8">
        <f>IFERROR(__xludf.DUMMYFUNCTION("""COMPUTED_VALUE"""),0.0)</f>
        <v>0</v>
      </c>
      <c r="D1750" s="8"/>
    </row>
    <row r="1751">
      <c r="A1751" s="9" t="str">
        <f>IFERROR(__xludf.DUMMYFUNCTION("""COMPUTED_VALUE"""),"Batch 191")</f>
        <v>Batch 191</v>
      </c>
      <c r="B1751" s="9" t="str">
        <f>IFERROR(__xludf.DUMMYFUNCTION("""COMPUTED_VALUE"""),"AyushaC91")</f>
        <v>AyushaC91</v>
      </c>
      <c r="C1751" s="8">
        <f>IFERROR(__xludf.DUMMYFUNCTION("""COMPUTED_VALUE"""),0.0)</f>
        <v>0</v>
      </c>
      <c r="D1751" s="8"/>
    </row>
    <row r="1752">
      <c r="A1752" s="9" t="str">
        <f>IFERROR(__xludf.DUMMYFUNCTION("""COMPUTED_VALUE"""),"Batch 191")</f>
        <v>Batch 191</v>
      </c>
      <c r="B1752" s="9" t="str">
        <f>IFERROR(__xludf.DUMMYFUNCTION("""COMPUTED_VALUE"""),"AnkitC91")</f>
        <v>AnkitC91</v>
      </c>
      <c r="C1752" s="8">
        <f>IFERROR(__xludf.DUMMYFUNCTION("""COMPUTED_VALUE"""),0.0)</f>
        <v>0</v>
      </c>
      <c r="D1752" s="8"/>
    </row>
    <row r="1753">
      <c r="A1753" s="9" t="str">
        <f>IFERROR(__xludf.DUMMYFUNCTION("""COMPUTED_VALUE"""),"Batch 191")</f>
        <v>Batch 191</v>
      </c>
      <c r="B1753" s="9" t="str">
        <f>IFERROR(__xludf.DUMMYFUNCTION("""COMPUTED_VALUE"""),"UnnatiC91")</f>
        <v>UnnatiC91</v>
      </c>
      <c r="C1753" s="8">
        <f>IFERROR(__xludf.DUMMYFUNCTION("""COMPUTED_VALUE"""),0.0)</f>
        <v>0</v>
      </c>
      <c r="D1753" s="8"/>
    </row>
    <row r="1754">
      <c r="A1754" s="9" t="str">
        <f>IFERROR(__xludf.DUMMYFUNCTION("""COMPUTED_VALUE"""),"Batch 191")</f>
        <v>Batch 191</v>
      </c>
      <c r="B1754" s="9" t="str">
        <f>IFERROR(__xludf.DUMMYFUNCTION("""COMPUTED_VALUE"""),"AnushkaC91")</f>
        <v>AnushkaC91</v>
      </c>
      <c r="C1754" s="8">
        <f>IFERROR(__xludf.DUMMYFUNCTION("""COMPUTED_VALUE"""),0.0)</f>
        <v>0</v>
      </c>
      <c r="D1754" s="8"/>
    </row>
    <row r="1755">
      <c r="A1755" s="9" t="str">
        <f>IFERROR(__xludf.DUMMYFUNCTION("""COMPUTED_VALUE"""),"Batch 191")</f>
        <v>Batch 191</v>
      </c>
      <c r="B1755" s="9" t="str">
        <f>IFERROR(__xludf.DUMMYFUNCTION("""COMPUTED_VALUE"""),"SwatiC91")</f>
        <v>SwatiC91</v>
      </c>
      <c r="C1755" s="8">
        <f>IFERROR(__xludf.DUMMYFUNCTION("""COMPUTED_VALUE"""),0.0)</f>
        <v>0</v>
      </c>
      <c r="D1755" s="8"/>
    </row>
    <row r="1756">
      <c r="A1756" s="9" t="str">
        <f>IFERROR(__xludf.DUMMYFUNCTION("""COMPUTED_VALUE"""),"Batch 191")</f>
        <v>Batch 191</v>
      </c>
      <c r="B1756" s="9" t="str">
        <f>IFERROR(__xludf.DUMMYFUNCTION("""COMPUTED_VALUE"""),"KapilC91")</f>
        <v>KapilC91</v>
      </c>
      <c r="C1756" s="8">
        <f>IFERROR(__xludf.DUMMYFUNCTION("""COMPUTED_VALUE"""),0.0)</f>
        <v>0</v>
      </c>
      <c r="D1756" s="8"/>
    </row>
    <row r="1757">
      <c r="A1757" s="9" t="str">
        <f>IFERROR(__xludf.DUMMYFUNCTION("""COMPUTED_VALUE"""),"Batch 191")</f>
        <v>Batch 191</v>
      </c>
      <c r="B1757" s="9" t="str">
        <f>IFERROR(__xludf.DUMMYFUNCTION("""COMPUTED_VALUE"""),"SupriyaC91")</f>
        <v>SupriyaC91</v>
      </c>
      <c r="C1757" s="8">
        <f>IFERROR(__xludf.DUMMYFUNCTION("""COMPUTED_VALUE"""),0.0)</f>
        <v>0</v>
      </c>
      <c r="D1757" s="8"/>
    </row>
    <row r="1758">
      <c r="A1758" s="9" t="str">
        <f>IFERROR(__xludf.DUMMYFUNCTION("""COMPUTED_VALUE"""),"Batch 191")</f>
        <v>Batch 191</v>
      </c>
      <c r="B1758" s="9" t="str">
        <f>IFERROR(__xludf.DUMMYFUNCTION("""COMPUTED_VALUE"""),"PrainaC91")</f>
        <v>PrainaC91</v>
      </c>
      <c r="C1758" s="8">
        <f>IFERROR(__xludf.DUMMYFUNCTION("""COMPUTED_VALUE"""),0.0)</f>
        <v>0</v>
      </c>
      <c r="D1758" s="8"/>
    </row>
    <row r="1759">
      <c r="A1759" s="9" t="str">
        <f>IFERROR(__xludf.DUMMYFUNCTION("""COMPUTED_VALUE"""),"Batch 191")</f>
        <v>Batch 191</v>
      </c>
      <c r="B1759" s="9" t="str">
        <f>IFERROR(__xludf.DUMMYFUNCTION("""COMPUTED_VALUE"""),"VinnyC91")</f>
        <v>VinnyC91</v>
      </c>
      <c r="C1759" s="8">
        <f>IFERROR(__xludf.DUMMYFUNCTION("""COMPUTED_VALUE"""),0.0)</f>
        <v>0</v>
      </c>
      <c r="D1759" s="8"/>
    </row>
    <row r="1760">
      <c r="A1760" s="9" t="str">
        <f>IFERROR(__xludf.DUMMYFUNCTION("""COMPUTED_VALUE"""),"Batch 191")</f>
        <v>Batch 191</v>
      </c>
      <c r="B1760" s="9" t="str">
        <f>IFERROR(__xludf.DUMMYFUNCTION("""COMPUTED_VALUE"""),"MehakC91")</f>
        <v>MehakC91</v>
      </c>
      <c r="C1760" s="8">
        <f>IFERROR(__xludf.DUMMYFUNCTION("""COMPUTED_VALUE"""),0.0)</f>
        <v>0</v>
      </c>
      <c r="D1760" s="8"/>
    </row>
    <row r="1761">
      <c r="A1761" s="9" t="str">
        <f>IFERROR(__xludf.DUMMYFUNCTION("""COMPUTED_VALUE"""),"Batch 191")</f>
        <v>Batch 191</v>
      </c>
      <c r="B1761" s="9" t="str">
        <f>IFERROR(__xludf.DUMMYFUNCTION("""COMPUTED_VALUE"""),"ParthC91")</f>
        <v>ParthC91</v>
      </c>
      <c r="C1761" s="8">
        <f>IFERROR(__xludf.DUMMYFUNCTION("""COMPUTED_VALUE"""),0.0)</f>
        <v>0</v>
      </c>
      <c r="D1761" s="8"/>
    </row>
    <row r="1762">
      <c r="A1762" s="9" t="str">
        <f>IFERROR(__xludf.DUMMYFUNCTION("""COMPUTED_VALUE"""),"Batch 191")</f>
        <v>Batch 191</v>
      </c>
      <c r="B1762" s="9" t="str">
        <f>IFERROR(__xludf.DUMMYFUNCTION("""COMPUTED_VALUE"""),"MonikaC91")</f>
        <v>MonikaC91</v>
      </c>
      <c r="C1762" s="8">
        <f>IFERROR(__xludf.DUMMYFUNCTION("""COMPUTED_VALUE"""),0.0)</f>
        <v>0</v>
      </c>
      <c r="D1762" s="8"/>
    </row>
    <row r="1763">
      <c r="A1763" s="9" t="str">
        <f>IFERROR(__xludf.DUMMYFUNCTION("""COMPUTED_VALUE"""),"Batch 191")</f>
        <v>Batch 191</v>
      </c>
      <c r="B1763" s="9" t="str">
        <f>IFERROR(__xludf.DUMMYFUNCTION("""COMPUTED_VALUE"""),"VEERANKIC91")</f>
        <v>VEERANKIC91</v>
      </c>
      <c r="C1763" s="8">
        <f>IFERROR(__xludf.DUMMYFUNCTION("""COMPUTED_VALUE"""),0.0)</f>
        <v>0</v>
      </c>
      <c r="D1763" s="8"/>
    </row>
    <row r="1764">
      <c r="A1764" s="9" t="str">
        <f>IFERROR(__xludf.DUMMYFUNCTION("""COMPUTED_VALUE"""),"Batch 191")</f>
        <v>Batch 191</v>
      </c>
      <c r="B1764" s="9" t="str">
        <f>IFERROR(__xludf.DUMMYFUNCTION("""COMPUTED_VALUE"""),"HimanshuC91")</f>
        <v>HimanshuC91</v>
      </c>
      <c r="C1764" s="8">
        <f>IFERROR(__xludf.DUMMYFUNCTION("""COMPUTED_VALUE"""),0.0)</f>
        <v>0</v>
      </c>
      <c r="D1764" s="8"/>
    </row>
    <row r="1765">
      <c r="A1765" s="9" t="str">
        <f>IFERROR(__xludf.DUMMYFUNCTION("""COMPUTED_VALUE"""),"Batch 191")</f>
        <v>Batch 191</v>
      </c>
      <c r="B1765" s="9" t="str">
        <f>IFERROR(__xludf.DUMMYFUNCTION("""COMPUTED_VALUE"""),"MuskanKC91")</f>
        <v>MuskanKC91</v>
      </c>
      <c r="C1765" s="8">
        <f>IFERROR(__xludf.DUMMYFUNCTION("""COMPUTED_VALUE"""),0.0)</f>
        <v>0</v>
      </c>
      <c r="D1765" s="8"/>
    </row>
    <row r="1766">
      <c r="A1766" s="9" t="str">
        <f>IFERROR(__xludf.DUMMYFUNCTION("""COMPUTED_VALUE"""),"Batch 191")</f>
        <v>Batch 191</v>
      </c>
      <c r="B1766" s="9" t="str">
        <f>IFERROR(__xludf.DUMMYFUNCTION("""COMPUTED_VALUE"""),"SriRakshaC91")</f>
        <v>SriRakshaC91</v>
      </c>
      <c r="C1766" s="8">
        <f>IFERROR(__xludf.DUMMYFUNCTION("""COMPUTED_VALUE"""),0.0)</f>
        <v>0</v>
      </c>
      <c r="D1766" s="8"/>
    </row>
    <row r="1767">
      <c r="A1767" s="9" t="str">
        <f>IFERROR(__xludf.DUMMYFUNCTION("""COMPUTED_VALUE"""),"Batch 191")</f>
        <v>Batch 191</v>
      </c>
      <c r="B1767" s="9" t="str">
        <f>IFERROR(__xludf.DUMMYFUNCTION("""COMPUTED_VALUE"""),"ShiwangiC91")</f>
        <v>ShiwangiC91</v>
      </c>
      <c r="C1767" s="8">
        <f>IFERROR(__xludf.DUMMYFUNCTION("""COMPUTED_VALUE"""),0.0)</f>
        <v>0</v>
      </c>
      <c r="D1767" s="8"/>
    </row>
    <row r="1768">
      <c r="A1768" s="9" t="str">
        <f>IFERROR(__xludf.DUMMYFUNCTION("""COMPUTED_VALUE"""),"Batch 191")</f>
        <v>Batch 191</v>
      </c>
      <c r="B1768" s="9" t="str">
        <f>IFERROR(__xludf.DUMMYFUNCTION("""COMPUTED_VALUE"""),"PrachyaC91")</f>
        <v>PrachyaC91</v>
      </c>
      <c r="C1768" s="8">
        <f>IFERROR(__xludf.DUMMYFUNCTION("""COMPUTED_VALUE"""),0.0)</f>
        <v>0</v>
      </c>
      <c r="D1768" s="8"/>
    </row>
    <row r="1769">
      <c r="A1769" s="9" t="str">
        <f>IFERROR(__xludf.DUMMYFUNCTION("""COMPUTED_VALUE"""),"Batch 191")</f>
        <v>Batch 191</v>
      </c>
      <c r="B1769" s="9" t="str">
        <f>IFERROR(__xludf.DUMMYFUNCTION("""COMPUTED_VALUE"""),"SadhnaC91")</f>
        <v>SadhnaC91</v>
      </c>
      <c r="C1769" s="8">
        <f>IFERROR(__xludf.DUMMYFUNCTION("""COMPUTED_VALUE"""),0.0)</f>
        <v>0</v>
      </c>
      <c r="D1769" s="8"/>
    </row>
    <row r="1770">
      <c r="A1770" s="9" t="str">
        <f>IFERROR(__xludf.DUMMYFUNCTION("""COMPUTED_VALUE"""),"Batch 191")</f>
        <v>Batch 191</v>
      </c>
      <c r="B1770" s="9" t="str">
        <f>IFERROR(__xludf.DUMMYFUNCTION("""COMPUTED_VALUE"""),"SameerC91")</f>
        <v>SameerC91</v>
      </c>
      <c r="C1770" s="8">
        <f>IFERROR(__xludf.DUMMYFUNCTION("""COMPUTED_VALUE"""),0.0)</f>
        <v>0</v>
      </c>
      <c r="D1770" s="8"/>
    </row>
    <row r="1771">
      <c r="A1771" s="9" t="str">
        <f>IFERROR(__xludf.DUMMYFUNCTION("""COMPUTED_VALUE"""),"Batch 191")</f>
        <v>Batch 191</v>
      </c>
      <c r="B1771" s="9" t="str">
        <f>IFERROR(__xludf.DUMMYFUNCTION("""COMPUTED_VALUE"""),"DeepikaC91")</f>
        <v>DeepikaC91</v>
      </c>
      <c r="C1771" s="8">
        <f>IFERROR(__xludf.DUMMYFUNCTION("""COMPUTED_VALUE"""),0.0)</f>
        <v>0</v>
      </c>
      <c r="D1771" s="8"/>
    </row>
    <row r="1772">
      <c r="A1772" s="9" t="str">
        <f>IFERROR(__xludf.DUMMYFUNCTION("""COMPUTED_VALUE"""),"Batch 191")</f>
        <v>Batch 191</v>
      </c>
      <c r="B1772" s="9" t="str">
        <f>IFERROR(__xludf.DUMMYFUNCTION("""COMPUTED_VALUE"""),"AryaC91")</f>
        <v>AryaC91</v>
      </c>
      <c r="C1772" s="8">
        <f>IFERROR(__xludf.DUMMYFUNCTION("""COMPUTED_VALUE"""),32.0)</f>
        <v>32</v>
      </c>
      <c r="D1772" s="8">
        <f>IFERROR(__xludf.DUMMYFUNCTION("""COMPUTED_VALUE"""),6.0)</f>
        <v>6</v>
      </c>
    </row>
    <row r="1773">
      <c r="A1773" s="9" t="str">
        <f>IFERROR(__xludf.DUMMYFUNCTION("""COMPUTED_VALUE"""),"Batch 191")</f>
        <v>Batch 191</v>
      </c>
      <c r="B1773" s="9" t="str">
        <f>IFERROR(__xludf.DUMMYFUNCTION("""COMPUTED_VALUE"""),"RajC91")</f>
        <v>RajC91</v>
      </c>
      <c r="C1773" s="8">
        <f>IFERROR(__xludf.DUMMYFUNCTION("""COMPUTED_VALUE"""),0.0)</f>
        <v>0</v>
      </c>
      <c r="D1773" s="8"/>
    </row>
    <row r="1774">
      <c r="A1774" s="9" t="str">
        <f>IFERROR(__xludf.DUMMYFUNCTION("""COMPUTED_VALUE"""),"Batch 191")</f>
        <v>Batch 191</v>
      </c>
      <c r="B1774" s="9" t="str">
        <f>IFERROR(__xludf.DUMMYFUNCTION("""COMPUTED_VALUE"""),"YashviC91")</f>
        <v>YashviC91</v>
      </c>
      <c r="C1774" s="8">
        <f>IFERROR(__xludf.DUMMYFUNCTION("""COMPUTED_VALUE"""),0.0)</f>
        <v>0</v>
      </c>
      <c r="D1774" s="8"/>
    </row>
    <row r="1775">
      <c r="A1775" s="9" t="str">
        <f>IFERROR(__xludf.DUMMYFUNCTION("""COMPUTED_VALUE"""),"Batch 191")</f>
        <v>Batch 191</v>
      </c>
      <c r="B1775" s="9" t="str">
        <f>IFERROR(__xludf.DUMMYFUNCTION("""COMPUTED_VALUE"""),"AshishC91")</f>
        <v>AshishC91</v>
      </c>
      <c r="C1775" s="8">
        <f>IFERROR(__xludf.DUMMYFUNCTION("""COMPUTED_VALUE"""),0.0)</f>
        <v>0</v>
      </c>
      <c r="D1775" s="8"/>
    </row>
    <row r="1776">
      <c r="A1776" s="9" t="str">
        <f>IFERROR(__xludf.DUMMYFUNCTION("""COMPUTED_VALUE"""),"Batch 191")</f>
        <v>Batch 191</v>
      </c>
      <c r="B1776" s="9" t="str">
        <f>IFERROR(__xludf.DUMMYFUNCTION("""COMPUTED_VALUE"""),"KoushikC91")</f>
        <v>KoushikC91</v>
      </c>
      <c r="C1776" s="8">
        <f>IFERROR(__xludf.DUMMYFUNCTION("""COMPUTED_VALUE"""),0.0)</f>
        <v>0</v>
      </c>
      <c r="D1776" s="8"/>
    </row>
    <row r="1777">
      <c r="A1777" s="9" t="str">
        <f>IFERROR(__xludf.DUMMYFUNCTION("""COMPUTED_VALUE"""),"Batch 191")</f>
        <v>Batch 191</v>
      </c>
      <c r="B1777" s="9" t="str">
        <f>IFERROR(__xludf.DUMMYFUNCTION("""COMPUTED_VALUE"""),"JYOTIC91")</f>
        <v>JYOTIC91</v>
      </c>
      <c r="C1777" s="8">
        <f>IFERROR(__xludf.DUMMYFUNCTION("""COMPUTED_VALUE"""),0.0)</f>
        <v>0</v>
      </c>
      <c r="D1777" s="8"/>
    </row>
    <row r="1778">
      <c r="A1778" s="9" t="str">
        <f>IFERROR(__xludf.DUMMYFUNCTION("""COMPUTED_VALUE"""),"Batch 191")</f>
        <v>Batch 191</v>
      </c>
      <c r="B1778" s="9" t="str">
        <f>IFERROR(__xludf.DUMMYFUNCTION("""COMPUTED_VALUE"""),"NIHALC91")</f>
        <v>NIHALC91</v>
      </c>
      <c r="C1778" s="8">
        <f>IFERROR(__xludf.DUMMYFUNCTION("""COMPUTED_VALUE"""),0.0)</f>
        <v>0</v>
      </c>
      <c r="D1778" s="8"/>
    </row>
    <row r="1779">
      <c r="A1779" s="9" t="str">
        <f>IFERROR(__xludf.DUMMYFUNCTION("""COMPUTED_VALUE"""),"Batch 191")</f>
        <v>Batch 191</v>
      </c>
      <c r="B1779" s="9" t="str">
        <f>IFERROR(__xludf.DUMMYFUNCTION("""COMPUTED_VALUE"""),"RajC91")</f>
        <v>RajC91</v>
      </c>
      <c r="C1779" s="8">
        <f>IFERROR(__xludf.DUMMYFUNCTION("""COMPUTED_VALUE"""),0.0)</f>
        <v>0</v>
      </c>
      <c r="D1779" s="8"/>
    </row>
    <row r="1780">
      <c r="A1780" s="9" t="str">
        <f>IFERROR(__xludf.DUMMYFUNCTION("""COMPUTED_VALUE"""),"Batch 191")</f>
        <v>Batch 191</v>
      </c>
      <c r="B1780" s="9" t="str">
        <f>IFERROR(__xludf.DUMMYFUNCTION("""COMPUTED_VALUE"""),"AmanC91")</f>
        <v>AmanC91</v>
      </c>
      <c r="C1780" s="8">
        <f>IFERROR(__xludf.DUMMYFUNCTION("""COMPUTED_VALUE"""),0.0)</f>
        <v>0</v>
      </c>
      <c r="D1780" s="8"/>
    </row>
    <row r="1781">
      <c r="A1781" s="9" t="str">
        <f>IFERROR(__xludf.DUMMYFUNCTION("""COMPUTED_VALUE"""),"Batch 191")</f>
        <v>Batch 191</v>
      </c>
      <c r="B1781" s="9" t="str">
        <f>IFERROR(__xludf.DUMMYFUNCTION("""COMPUTED_VALUE"""),"NikitaC91")</f>
        <v>NikitaC91</v>
      </c>
      <c r="C1781" s="8">
        <f>IFERROR(__xludf.DUMMYFUNCTION("""COMPUTED_VALUE"""),0.0)</f>
        <v>0</v>
      </c>
      <c r="D1781" s="8"/>
    </row>
    <row r="1782">
      <c r="A1782" s="9" t="str">
        <f>IFERROR(__xludf.DUMMYFUNCTION("""COMPUTED_VALUE"""),"Batch 191")</f>
        <v>Batch 191</v>
      </c>
      <c r="B1782" s="9" t="str">
        <f>IFERROR(__xludf.DUMMYFUNCTION("""COMPUTED_VALUE"""),"RishiC91")</f>
        <v>RishiC91</v>
      </c>
      <c r="C1782" s="8">
        <f>IFERROR(__xludf.DUMMYFUNCTION("""COMPUTED_VALUE"""),0.0)</f>
        <v>0</v>
      </c>
      <c r="D1782" s="8"/>
    </row>
    <row r="1783">
      <c r="A1783" s="9" t="str">
        <f>IFERROR(__xludf.DUMMYFUNCTION("""COMPUTED_VALUE"""),"Batch 191")</f>
        <v>Batch 191</v>
      </c>
      <c r="B1783" s="9" t="str">
        <f>IFERROR(__xludf.DUMMYFUNCTION("""COMPUTED_VALUE"""),"SHIVAMC91")</f>
        <v>SHIVAMC91</v>
      </c>
      <c r="C1783" s="8">
        <f>IFERROR(__xludf.DUMMYFUNCTION("""COMPUTED_VALUE"""),0.0)</f>
        <v>0</v>
      </c>
      <c r="D1783" s="8"/>
    </row>
    <row r="1784">
      <c r="A1784" s="9" t="str">
        <f>IFERROR(__xludf.DUMMYFUNCTION("""COMPUTED_VALUE"""),"Batch 191")</f>
        <v>Batch 191</v>
      </c>
      <c r="B1784" s="9" t="str">
        <f>IFERROR(__xludf.DUMMYFUNCTION("""COMPUTED_VALUE"""),"SelvarajC91")</f>
        <v>SelvarajC91</v>
      </c>
      <c r="C1784" s="8">
        <f>IFERROR(__xludf.DUMMYFUNCTION("""COMPUTED_VALUE"""),0.0)</f>
        <v>0</v>
      </c>
      <c r="D1784" s="8"/>
    </row>
    <row r="1785">
      <c r="A1785" s="9" t="str">
        <f>IFERROR(__xludf.DUMMYFUNCTION("""COMPUTED_VALUE"""),"Batch 191")</f>
        <v>Batch 191</v>
      </c>
      <c r="B1785" s="9" t="str">
        <f>IFERROR(__xludf.DUMMYFUNCTION("""COMPUTED_VALUE"""),"SatwikC91")</f>
        <v>SatwikC91</v>
      </c>
      <c r="C1785" s="8">
        <f>IFERROR(__xludf.DUMMYFUNCTION("""COMPUTED_VALUE"""),0.0)</f>
        <v>0</v>
      </c>
      <c r="D1785" s="8"/>
    </row>
    <row r="1786">
      <c r="A1786" s="9" t="str">
        <f>IFERROR(__xludf.DUMMYFUNCTION("""COMPUTED_VALUE"""),"Batch 191")</f>
        <v>Batch 191</v>
      </c>
      <c r="B1786" s="9" t="str">
        <f>IFERROR(__xludf.DUMMYFUNCTION("""COMPUTED_VALUE"""),"NandanaC91")</f>
        <v>NandanaC91</v>
      </c>
      <c r="C1786" s="8">
        <f>IFERROR(__xludf.DUMMYFUNCTION("""COMPUTED_VALUE"""),0.0)</f>
        <v>0</v>
      </c>
      <c r="D1786" s="8"/>
    </row>
    <row r="1787">
      <c r="A1787" s="9" t="str">
        <f>IFERROR(__xludf.DUMMYFUNCTION("""COMPUTED_VALUE"""),"Batch 191")</f>
        <v>Batch 191</v>
      </c>
      <c r="B1787" s="9" t="str">
        <f>IFERROR(__xludf.DUMMYFUNCTION("""COMPUTED_VALUE"""),"ShubhankarC91")</f>
        <v>ShubhankarC91</v>
      </c>
      <c r="C1787" s="8">
        <f>IFERROR(__xludf.DUMMYFUNCTION("""COMPUTED_VALUE"""),0.0)</f>
        <v>0</v>
      </c>
      <c r="D1787" s="8"/>
    </row>
    <row r="1788">
      <c r="A1788" s="9" t="str">
        <f>IFERROR(__xludf.DUMMYFUNCTION("""COMPUTED_VALUE"""),"Batch 191")</f>
        <v>Batch 191</v>
      </c>
      <c r="B1788" s="9" t="str">
        <f>IFERROR(__xludf.DUMMYFUNCTION("""COMPUTED_VALUE"""),"HimanshuC91")</f>
        <v>HimanshuC91</v>
      </c>
      <c r="C1788" s="8">
        <f>IFERROR(__xludf.DUMMYFUNCTION("""COMPUTED_VALUE"""),0.0)</f>
        <v>0</v>
      </c>
      <c r="D1788" s="8"/>
    </row>
    <row r="1789">
      <c r="A1789" s="9" t="str">
        <f>IFERROR(__xludf.DUMMYFUNCTION("""COMPUTED_VALUE"""),"Batch 191")</f>
        <v>Batch 191</v>
      </c>
      <c r="B1789" s="9" t="str">
        <f>IFERROR(__xludf.DUMMYFUNCTION("""COMPUTED_VALUE"""),"JillellamudiC91")</f>
        <v>JillellamudiC91</v>
      </c>
      <c r="C1789" s="8">
        <f>IFERROR(__xludf.DUMMYFUNCTION("""COMPUTED_VALUE"""),0.0)</f>
        <v>0</v>
      </c>
      <c r="D1789" s="8"/>
    </row>
    <row r="1790">
      <c r="A1790" s="9" t="str">
        <f>IFERROR(__xludf.DUMMYFUNCTION("""COMPUTED_VALUE"""),"Batch 191")</f>
        <v>Batch 191</v>
      </c>
      <c r="B1790" s="9" t="str">
        <f>IFERROR(__xludf.DUMMYFUNCTION("""COMPUTED_VALUE"""),"AnjaliC91")</f>
        <v>AnjaliC91</v>
      </c>
      <c r="C1790" s="8">
        <f>IFERROR(__xludf.DUMMYFUNCTION("""COMPUTED_VALUE"""),0.0)</f>
        <v>0</v>
      </c>
      <c r="D1790" s="8"/>
    </row>
    <row r="1791">
      <c r="A1791" s="9" t="str">
        <f>IFERROR(__xludf.DUMMYFUNCTION("""COMPUTED_VALUE"""),"Batch 191")</f>
        <v>Batch 191</v>
      </c>
      <c r="B1791" s="9" t="str">
        <f>IFERROR(__xludf.DUMMYFUNCTION("""COMPUTED_VALUE"""),"GungunC91")</f>
        <v>GungunC91</v>
      </c>
      <c r="C1791" s="8">
        <f>IFERROR(__xludf.DUMMYFUNCTION("""COMPUTED_VALUE"""),0.0)</f>
        <v>0</v>
      </c>
      <c r="D1791" s="8"/>
    </row>
    <row r="1792">
      <c r="A1792" s="9" t="str">
        <f>IFERROR(__xludf.DUMMYFUNCTION("""COMPUTED_VALUE"""),"Batch 191")</f>
        <v>Batch 191</v>
      </c>
      <c r="B1792" s="9" t="str">
        <f>IFERROR(__xludf.DUMMYFUNCTION("""COMPUTED_VALUE"""),"NithinC91")</f>
        <v>NithinC91</v>
      </c>
      <c r="C1792" s="8">
        <f>IFERROR(__xludf.DUMMYFUNCTION("""COMPUTED_VALUE"""),0.0)</f>
        <v>0</v>
      </c>
      <c r="D1792" s="8"/>
    </row>
    <row r="1793">
      <c r="A1793" s="9" t="str">
        <f>IFERROR(__xludf.DUMMYFUNCTION("""COMPUTED_VALUE"""),"Batch 191")</f>
        <v>Batch 191</v>
      </c>
      <c r="B1793" s="9" t="str">
        <f>IFERROR(__xludf.DUMMYFUNCTION("""COMPUTED_VALUE"""),"VinitC91")</f>
        <v>VinitC91</v>
      </c>
      <c r="C1793" s="8">
        <f>IFERROR(__xludf.DUMMYFUNCTION("""COMPUTED_VALUE"""),0.0)</f>
        <v>0</v>
      </c>
      <c r="D1793" s="8"/>
    </row>
    <row r="1794">
      <c r="A1794" s="9" t="str">
        <f>IFERROR(__xludf.DUMMYFUNCTION("""COMPUTED_VALUE"""),"Batch 191")</f>
        <v>Batch 191</v>
      </c>
      <c r="B1794" s="9" t="str">
        <f>IFERROR(__xludf.DUMMYFUNCTION("""COMPUTED_VALUE"""),"KrishnaC91")</f>
        <v>KrishnaC91</v>
      </c>
      <c r="C1794" s="8">
        <f>IFERROR(__xludf.DUMMYFUNCTION("""COMPUTED_VALUE"""),0.0)</f>
        <v>0</v>
      </c>
      <c r="D1794" s="8"/>
    </row>
    <row r="1795">
      <c r="A1795" s="9" t="str">
        <f>IFERROR(__xludf.DUMMYFUNCTION("""COMPUTED_VALUE"""),"Batch 191")</f>
        <v>Batch 191</v>
      </c>
      <c r="B1795" s="9" t="str">
        <f>IFERROR(__xludf.DUMMYFUNCTION("""COMPUTED_VALUE"""),"AmanC91")</f>
        <v>AmanC91</v>
      </c>
      <c r="C1795" s="8">
        <f>IFERROR(__xludf.DUMMYFUNCTION("""COMPUTED_VALUE"""),0.0)</f>
        <v>0</v>
      </c>
      <c r="D1795" s="8"/>
    </row>
    <row r="1796">
      <c r="A1796" s="9" t="str">
        <f>IFERROR(__xludf.DUMMYFUNCTION("""COMPUTED_VALUE"""),"Batch 191")</f>
        <v>Batch 191</v>
      </c>
      <c r="B1796" s="9" t="str">
        <f>IFERROR(__xludf.DUMMYFUNCTION("""COMPUTED_VALUE"""),"SarveshC91")</f>
        <v>SarveshC91</v>
      </c>
      <c r="C1796" s="8">
        <f>IFERROR(__xludf.DUMMYFUNCTION("""COMPUTED_VALUE"""),0.0)</f>
        <v>0</v>
      </c>
      <c r="D1796" s="8"/>
    </row>
    <row r="1797">
      <c r="A1797" s="9" t="str">
        <f>IFERROR(__xludf.DUMMYFUNCTION("""COMPUTED_VALUE"""),"Batch 191")</f>
        <v>Batch 191</v>
      </c>
      <c r="B1797" s="9" t="str">
        <f>IFERROR(__xludf.DUMMYFUNCTION("""COMPUTED_VALUE"""),"SrujanC91")</f>
        <v>SrujanC91</v>
      </c>
      <c r="C1797" s="8">
        <f>IFERROR(__xludf.DUMMYFUNCTION("""COMPUTED_VALUE"""),17.0)</f>
        <v>17</v>
      </c>
      <c r="D1797" s="8">
        <f>IFERROR(__xludf.DUMMYFUNCTION("""COMPUTED_VALUE"""),2.0)</f>
        <v>2</v>
      </c>
    </row>
    <row r="1798">
      <c r="A1798" s="9" t="str">
        <f>IFERROR(__xludf.DUMMYFUNCTION("""COMPUTED_VALUE"""),"Batch 191")</f>
        <v>Batch 191</v>
      </c>
      <c r="B1798" s="9" t="str">
        <f>IFERROR(__xludf.DUMMYFUNCTION("""COMPUTED_VALUE"""),"JayaC91")</f>
        <v>JayaC91</v>
      </c>
      <c r="C1798" s="8">
        <f>IFERROR(__xludf.DUMMYFUNCTION("""COMPUTED_VALUE"""),0.0)</f>
        <v>0</v>
      </c>
      <c r="D1798" s="8"/>
    </row>
    <row r="1799">
      <c r="A1799" s="9" t="str">
        <f>IFERROR(__xludf.DUMMYFUNCTION("""COMPUTED_VALUE"""),"Batch 191")</f>
        <v>Batch 191</v>
      </c>
      <c r="B1799" s="9" t="str">
        <f>IFERROR(__xludf.DUMMYFUNCTION("""COMPUTED_VALUE"""),"AditiC91")</f>
        <v>AditiC91</v>
      </c>
      <c r="C1799" s="8">
        <f>IFERROR(__xludf.DUMMYFUNCTION("""COMPUTED_VALUE"""),0.0)</f>
        <v>0</v>
      </c>
      <c r="D1799" s="8"/>
    </row>
    <row r="1800">
      <c r="A1800" s="9" t="str">
        <f>IFERROR(__xludf.DUMMYFUNCTION("""COMPUTED_VALUE"""),"Batch 191")</f>
        <v>Batch 191</v>
      </c>
      <c r="B1800" s="9" t="str">
        <f>IFERROR(__xludf.DUMMYFUNCTION("""COMPUTED_VALUE"""),"RiyaC91")</f>
        <v>RiyaC91</v>
      </c>
      <c r="C1800" s="8">
        <f>IFERROR(__xludf.DUMMYFUNCTION("""COMPUTED_VALUE"""),0.0)</f>
        <v>0</v>
      </c>
      <c r="D1800" s="8"/>
    </row>
    <row r="1801">
      <c r="A1801" s="9" t="str">
        <f>IFERROR(__xludf.DUMMYFUNCTION("""COMPUTED_VALUE"""),"Batch 191")</f>
        <v>Batch 191</v>
      </c>
      <c r="B1801" s="9" t="str">
        <f>IFERROR(__xludf.DUMMYFUNCTION("""COMPUTED_VALUE"""),"AnchalC91")</f>
        <v>AnchalC91</v>
      </c>
      <c r="C1801" s="8">
        <f>IFERROR(__xludf.DUMMYFUNCTION("""COMPUTED_VALUE"""),0.0)</f>
        <v>0</v>
      </c>
      <c r="D1801" s="8"/>
    </row>
    <row r="1802">
      <c r="A1802" s="9" t="str">
        <f>IFERROR(__xludf.DUMMYFUNCTION("""COMPUTED_VALUE"""),"Batch 191")</f>
        <v>Batch 191</v>
      </c>
      <c r="B1802" s="9" t="str">
        <f>IFERROR(__xludf.DUMMYFUNCTION("""COMPUTED_VALUE"""),"MoshmiC91")</f>
        <v>MoshmiC91</v>
      </c>
      <c r="C1802" s="8">
        <f>IFERROR(__xludf.DUMMYFUNCTION("""COMPUTED_VALUE"""),0.0)</f>
        <v>0</v>
      </c>
      <c r="D1802" s="8"/>
    </row>
    <row r="1803">
      <c r="A1803" s="9" t="str">
        <f>IFERROR(__xludf.DUMMYFUNCTION("""COMPUTED_VALUE"""),"Batch 191")</f>
        <v>Batch 191</v>
      </c>
      <c r="B1803" s="9" t="str">
        <f>IFERROR(__xludf.DUMMYFUNCTION("""COMPUTED_VALUE"""),"MohammadC91")</f>
        <v>MohammadC91</v>
      </c>
      <c r="C1803" s="8">
        <f>IFERROR(__xludf.DUMMYFUNCTION("""COMPUTED_VALUE"""),0.0)</f>
        <v>0</v>
      </c>
      <c r="D1803" s="8"/>
    </row>
    <row r="1804">
      <c r="A1804" s="9" t="str">
        <f>IFERROR(__xludf.DUMMYFUNCTION("""COMPUTED_VALUE"""),"Batch 191")</f>
        <v>Batch 191</v>
      </c>
      <c r="B1804" s="9" t="str">
        <f>IFERROR(__xludf.DUMMYFUNCTION("""COMPUTED_VALUE"""),"SachinC91")</f>
        <v>SachinC91</v>
      </c>
      <c r="C1804" s="8">
        <f>IFERROR(__xludf.DUMMYFUNCTION("""COMPUTED_VALUE"""),0.0)</f>
        <v>0</v>
      </c>
      <c r="D1804" s="8"/>
    </row>
    <row r="1805">
      <c r="A1805" s="9" t="str">
        <f>IFERROR(__xludf.DUMMYFUNCTION("""COMPUTED_VALUE"""),"Batch 191")</f>
        <v>Batch 191</v>
      </c>
      <c r="B1805" s="9" t="str">
        <f>IFERROR(__xludf.DUMMYFUNCTION("""COMPUTED_VALUE"""),"ManjariC91")</f>
        <v>ManjariC91</v>
      </c>
      <c r="C1805" s="8">
        <f>IFERROR(__xludf.DUMMYFUNCTION("""COMPUTED_VALUE"""),0.0)</f>
        <v>0</v>
      </c>
      <c r="D1805" s="8"/>
    </row>
    <row r="1806">
      <c r="A1806" s="9" t="str">
        <f>IFERROR(__xludf.DUMMYFUNCTION("""COMPUTED_VALUE"""),"Batch 191")</f>
        <v>Batch 191</v>
      </c>
      <c r="B1806" s="9" t="str">
        <f>IFERROR(__xludf.DUMMYFUNCTION("""COMPUTED_VALUE"""),"PriyabrataC91")</f>
        <v>PriyabrataC91</v>
      </c>
      <c r="C1806" s="8">
        <f>IFERROR(__xludf.DUMMYFUNCTION("""COMPUTED_VALUE"""),0.0)</f>
        <v>0</v>
      </c>
      <c r="D1806" s="8"/>
    </row>
    <row r="1807">
      <c r="A1807" s="9" t="str">
        <f>IFERROR(__xludf.DUMMYFUNCTION("""COMPUTED_VALUE"""),"Batch 191")</f>
        <v>Batch 191</v>
      </c>
      <c r="B1807" s="9" t="str">
        <f>IFERROR(__xludf.DUMMYFUNCTION("""COMPUTED_VALUE"""),"HarshitaC91")</f>
        <v>HarshitaC91</v>
      </c>
      <c r="C1807" s="8">
        <f>IFERROR(__xludf.DUMMYFUNCTION("""COMPUTED_VALUE"""),8.0)</f>
        <v>8</v>
      </c>
      <c r="D1807" s="8">
        <f>IFERROR(__xludf.DUMMYFUNCTION("""COMPUTED_VALUE"""),3.0)</f>
        <v>3</v>
      </c>
    </row>
    <row r="1808">
      <c r="A1808" s="9" t="str">
        <f>IFERROR(__xludf.DUMMYFUNCTION("""COMPUTED_VALUE"""),"Batch 191")</f>
        <v>Batch 191</v>
      </c>
      <c r="B1808" s="9" t="str">
        <f>IFERROR(__xludf.DUMMYFUNCTION("""COMPUTED_VALUE"""),"RohiniC91")</f>
        <v>RohiniC91</v>
      </c>
      <c r="C1808" s="8">
        <f>IFERROR(__xludf.DUMMYFUNCTION("""COMPUTED_VALUE"""),0.0)</f>
        <v>0</v>
      </c>
      <c r="D1808" s="8"/>
    </row>
    <row r="1809">
      <c r="A1809" s="9" t="str">
        <f>IFERROR(__xludf.DUMMYFUNCTION("""COMPUTED_VALUE"""),"Batch 191")</f>
        <v>Batch 191</v>
      </c>
      <c r="B1809" s="9" t="str">
        <f>IFERROR(__xludf.DUMMYFUNCTION("""COMPUTED_VALUE"""),"RagulC91")</f>
        <v>RagulC91</v>
      </c>
      <c r="C1809" s="8">
        <f>IFERROR(__xludf.DUMMYFUNCTION("""COMPUTED_VALUE"""),0.0)</f>
        <v>0</v>
      </c>
      <c r="D1809" s="8"/>
    </row>
    <row r="1810">
      <c r="A1810" s="9" t="str">
        <f>IFERROR(__xludf.DUMMYFUNCTION("""COMPUTED_VALUE"""),"Batch 191")</f>
        <v>Batch 191</v>
      </c>
      <c r="B1810" s="9" t="str">
        <f>IFERROR(__xludf.DUMMYFUNCTION("""COMPUTED_VALUE"""),"BIPLABC91")</f>
        <v>BIPLABC91</v>
      </c>
      <c r="C1810" s="8">
        <f>IFERROR(__xludf.DUMMYFUNCTION("""COMPUTED_VALUE"""),0.0)</f>
        <v>0</v>
      </c>
      <c r="D1810" s="8"/>
    </row>
    <row r="1811">
      <c r="A1811" s="9" t="str">
        <f>IFERROR(__xludf.DUMMYFUNCTION("""COMPUTED_VALUE"""),"Batch 191")</f>
        <v>Batch 191</v>
      </c>
      <c r="B1811" s="9" t="str">
        <f>IFERROR(__xludf.DUMMYFUNCTION("""COMPUTED_VALUE"""),"sumitC91")</f>
        <v>sumitC91</v>
      </c>
      <c r="C1811" s="8">
        <f>IFERROR(__xludf.DUMMYFUNCTION("""COMPUTED_VALUE"""),0.0)</f>
        <v>0</v>
      </c>
      <c r="D1811" s="8"/>
    </row>
    <row r="1812">
      <c r="A1812" s="9" t="str">
        <f>IFERROR(__xludf.DUMMYFUNCTION("""COMPUTED_VALUE"""),"Batch 191")</f>
        <v>Batch 191</v>
      </c>
      <c r="B1812" s="9" t="str">
        <f>IFERROR(__xludf.DUMMYFUNCTION("""COMPUTED_VALUE"""),"ShikshaC91")</f>
        <v>ShikshaC91</v>
      </c>
      <c r="C1812" s="8">
        <f>IFERROR(__xludf.DUMMYFUNCTION("""COMPUTED_VALUE"""),0.0)</f>
        <v>0</v>
      </c>
      <c r="D1812" s="8"/>
    </row>
    <row r="1813">
      <c r="A1813" s="9" t="str">
        <f>IFERROR(__xludf.DUMMYFUNCTION("""COMPUTED_VALUE"""),"Batch 191")</f>
        <v>Batch 191</v>
      </c>
      <c r="B1813" s="9" t="str">
        <f>IFERROR(__xludf.DUMMYFUNCTION("""COMPUTED_VALUE"""),"SophieC91")</f>
        <v>SophieC91</v>
      </c>
      <c r="C1813" s="8">
        <f>IFERROR(__xludf.DUMMYFUNCTION("""COMPUTED_VALUE"""),0.0)</f>
        <v>0</v>
      </c>
      <c r="D1813" s="8"/>
    </row>
    <row r="1814">
      <c r="A1814" s="9" t="str">
        <f>IFERROR(__xludf.DUMMYFUNCTION("""COMPUTED_VALUE"""),"Batch 191")</f>
        <v>Batch 191</v>
      </c>
      <c r="B1814" s="9" t="str">
        <f>IFERROR(__xludf.DUMMYFUNCTION("""COMPUTED_VALUE"""),"SorthiyaC91")</f>
        <v>SorthiyaC91</v>
      </c>
      <c r="C1814" s="8">
        <f>IFERROR(__xludf.DUMMYFUNCTION("""COMPUTED_VALUE"""),0.0)</f>
        <v>0</v>
      </c>
      <c r="D1814" s="8"/>
    </row>
    <row r="1815">
      <c r="A1815" s="9" t="str">
        <f>IFERROR(__xludf.DUMMYFUNCTION("""COMPUTED_VALUE"""),"Batch 191")</f>
        <v>Batch 191</v>
      </c>
      <c r="B1815" s="9" t="str">
        <f>IFERROR(__xludf.DUMMYFUNCTION("""COMPUTED_VALUE"""),"JayasriC91")</f>
        <v>JayasriC91</v>
      </c>
      <c r="C1815" s="8">
        <f>IFERROR(__xludf.DUMMYFUNCTION("""COMPUTED_VALUE"""),0.0)</f>
        <v>0</v>
      </c>
      <c r="D1815" s="8"/>
    </row>
    <row r="1816">
      <c r="A1816" s="9" t="str">
        <f>IFERROR(__xludf.DUMMYFUNCTION("""COMPUTED_VALUE"""),"Batch 191")</f>
        <v>Batch 191</v>
      </c>
      <c r="B1816" s="9" t="str">
        <f>IFERROR(__xludf.DUMMYFUNCTION("""COMPUTED_VALUE"""),"TanuC91")</f>
        <v>TanuC91</v>
      </c>
      <c r="C1816" s="8">
        <f>IFERROR(__xludf.DUMMYFUNCTION("""COMPUTED_VALUE"""),0.0)</f>
        <v>0</v>
      </c>
      <c r="D1816" s="8"/>
    </row>
    <row r="1817">
      <c r="A1817" s="9" t="str">
        <f>IFERROR(__xludf.DUMMYFUNCTION("""COMPUTED_VALUE"""),"Batch 191")</f>
        <v>Batch 191</v>
      </c>
      <c r="B1817" s="9" t="str">
        <f>IFERROR(__xludf.DUMMYFUNCTION("""COMPUTED_VALUE"""),"SharadC91")</f>
        <v>SharadC91</v>
      </c>
      <c r="C1817" s="8">
        <f>IFERROR(__xludf.DUMMYFUNCTION("""COMPUTED_VALUE"""),4.0)</f>
        <v>4</v>
      </c>
      <c r="D1817" s="8">
        <f>IFERROR(__xludf.DUMMYFUNCTION("""COMPUTED_VALUE"""),1.0)</f>
        <v>1</v>
      </c>
    </row>
    <row r="1818">
      <c r="A1818" s="9" t="str">
        <f>IFERROR(__xludf.DUMMYFUNCTION("""COMPUTED_VALUE"""),"Batch 191")</f>
        <v>Batch 191</v>
      </c>
      <c r="B1818" s="9" t="str">
        <f>IFERROR(__xludf.DUMMYFUNCTION("""COMPUTED_VALUE"""),"ShreyC91")</f>
        <v>ShreyC91</v>
      </c>
      <c r="C1818" s="8">
        <f>IFERROR(__xludf.DUMMYFUNCTION("""COMPUTED_VALUE"""),0.0)</f>
        <v>0</v>
      </c>
      <c r="D1818" s="8"/>
    </row>
    <row r="1819">
      <c r="A1819" s="9" t="str">
        <f>IFERROR(__xludf.DUMMYFUNCTION("""COMPUTED_VALUE"""),"Batch 191")</f>
        <v>Batch 191</v>
      </c>
      <c r="B1819" s="9" t="str">
        <f>IFERROR(__xludf.DUMMYFUNCTION("""COMPUTED_VALUE"""),"SidharthC91")</f>
        <v>SidharthC91</v>
      </c>
      <c r="C1819" s="8">
        <f>IFERROR(__xludf.DUMMYFUNCTION("""COMPUTED_VALUE"""),1.0)</f>
        <v>1</v>
      </c>
      <c r="D1819" s="8"/>
    </row>
    <row r="1820">
      <c r="A1820" s="9" t="str">
        <f>IFERROR(__xludf.DUMMYFUNCTION("""COMPUTED_VALUE"""),"Batch 191")</f>
        <v>Batch 191</v>
      </c>
      <c r="B1820" s="9" t="str">
        <f>IFERROR(__xludf.DUMMYFUNCTION("""COMPUTED_VALUE"""),"KartikC91")</f>
        <v>KartikC91</v>
      </c>
      <c r="C1820" s="8">
        <f>IFERROR(__xludf.DUMMYFUNCTION("""COMPUTED_VALUE"""),0.0)</f>
        <v>0</v>
      </c>
      <c r="D1820" s="8"/>
    </row>
    <row r="1821">
      <c r="A1821" s="9" t="str">
        <f>IFERROR(__xludf.DUMMYFUNCTION("""COMPUTED_VALUE"""),"Batch 191")</f>
        <v>Batch 191</v>
      </c>
      <c r="B1821" s="9" t="str">
        <f>IFERROR(__xludf.DUMMYFUNCTION("""COMPUTED_VALUE"""),"AishanyaC91")</f>
        <v>AishanyaC91</v>
      </c>
      <c r="C1821" s="8">
        <f>IFERROR(__xludf.DUMMYFUNCTION("""COMPUTED_VALUE"""),0.0)</f>
        <v>0</v>
      </c>
      <c r="D1821" s="8"/>
    </row>
    <row r="1822">
      <c r="A1822" s="9" t="str">
        <f>IFERROR(__xludf.DUMMYFUNCTION("""COMPUTED_VALUE"""),"Batch 191")</f>
        <v>Batch 191</v>
      </c>
      <c r="B1822" s="9" t="str">
        <f>IFERROR(__xludf.DUMMYFUNCTION("""COMPUTED_VALUE"""),"RaunakC91")</f>
        <v>RaunakC91</v>
      </c>
      <c r="C1822" s="8">
        <f>IFERROR(__xludf.DUMMYFUNCTION("""COMPUTED_VALUE"""),0.0)</f>
        <v>0</v>
      </c>
      <c r="D1822" s="8"/>
    </row>
    <row r="1823">
      <c r="A1823" s="9" t="str">
        <f>IFERROR(__xludf.DUMMYFUNCTION("""COMPUTED_VALUE"""),"Batch 191")</f>
        <v>Batch 191</v>
      </c>
      <c r="B1823" s="9" t="str">
        <f>IFERROR(__xludf.DUMMYFUNCTION("""COMPUTED_VALUE"""),"KARANC91")</f>
        <v>KARANC91</v>
      </c>
      <c r="C1823" s="8">
        <f>IFERROR(__xludf.DUMMYFUNCTION("""COMPUTED_VALUE"""),8.0)</f>
        <v>8</v>
      </c>
      <c r="D1823" s="8">
        <f>IFERROR(__xludf.DUMMYFUNCTION("""COMPUTED_VALUE"""),15.0)</f>
        <v>15</v>
      </c>
    </row>
    <row r="1824">
      <c r="A1824" s="9" t="str">
        <f>IFERROR(__xludf.DUMMYFUNCTION("""COMPUTED_VALUE"""),"Batch 191")</f>
        <v>Batch 191</v>
      </c>
      <c r="B1824" s="9" t="str">
        <f>IFERROR(__xludf.DUMMYFUNCTION("""COMPUTED_VALUE"""),"KeshavC91")</f>
        <v>KeshavC91</v>
      </c>
      <c r="C1824" s="8">
        <f>IFERROR(__xludf.DUMMYFUNCTION("""COMPUTED_VALUE"""),0.0)</f>
        <v>0</v>
      </c>
      <c r="D1824" s="8"/>
    </row>
    <row r="1825">
      <c r="A1825" s="9" t="str">
        <f>IFERROR(__xludf.DUMMYFUNCTION("""COMPUTED_VALUE"""),"Batch 191")</f>
        <v>Batch 191</v>
      </c>
      <c r="B1825" s="9" t="str">
        <f>IFERROR(__xludf.DUMMYFUNCTION("""COMPUTED_VALUE"""),"PallaviC91")</f>
        <v>PallaviC91</v>
      </c>
      <c r="C1825" s="8">
        <f>IFERROR(__xludf.DUMMYFUNCTION("""COMPUTED_VALUE"""),0.0)</f>
        <v>0</v>
      </c>
      <c r="D1825" s="8"/>
    </row>
    <row r="1826">
      <c r="A1826" s="9" t="str">
        <f>IFERROR(__xludf.DUMMYFUNCTION("""COMPUTED_VALUE"""),"Batch 191")</f>
        <v>Batch 191</v>
      </c>
      <c r="B1826" s="9" t="str">
        <f>IFERROR(__xludf.DUMMYFUNCTION("""COMPUTED_VALUE"""),"AnshikaC91")</f>
        <v>AnshikaC91</v>
      </c>
      <c r="C1826" s="8">
        <f>IFERROR(__xludf.DUMMYFUNCTION("""COMPUTED_VALUE"""),33.0)</f>
        <v>33</v>
      </c>
      <c r="D1826" s="8">
        <f>IFERROR(__xludf.DUMMYFUNCTION("""COMPUTED_VALUE"""),3.0)</f>
        <v>3</v>
      </c>
    </row>
    <row r="1827">
      <c r="A1827" s="9" t="str">
        <f>IFERROR(__xludf.DUMMYFUNCTION("""COMPUTED_VALUE"""),"Batch 191")</f>
        <v>Batch 191</v>
      </c>
      <c r="B1827" s="9" t="str">
        <f>IFERROR(__xludf.DUMMYFUNCTION("""COMPUTED_VALUE"""),"SyedC91")</f>
        <v>SyedC91</v>
      </c>
      <c r="C1827" s="8">
        <f>IFERROR(__xludf.DUMMYFUNCTION("""COMPUTED_VALUE"""),0.0)</f>
        <v>0</v>
      </c>
      <c r="D1827" s="8"/>
    </row>
    <row r="1828">
      <c r="A1828" s="9" t="str">
        <f>IFERROR(__xludf.DUMMYFUNCTION("""COMPUTED_VALUE"""),"Batch 191")</f>
        <v>Batch 191</v>
      </c>
      <c r="B1828" s="9" t="str">
        <f>IFERROR(__xludf.DUMMYFUNCTION("""COMPUTED_VALUE"""),"KC91")</f>
        <v>KC91</v>
      </c>
      <c r="C1828" s="8">
        <f>IFERROR(__xludf.DUMMYFUNCTION("""COMPUTED_VALUE"""),0.0)</f>
        <v>0</v>
      </c>
      <c r="D1828" s="8"/>
    </row>
    <row r="1829">
      <c r="A1829" s="9" t="str">
        <f>IFERROR(__xludf.DUMMYFUNCTION("""COMPUTED_VALUE"""),"Batch 191")</f>
        <v>Batch 191</v>
      </c>
      <c r="B1829" s="9" t="str">
        <f>IFERROR(__xludf.DUMMYFUNCTION("""COMPUTED_VALUE"""),"VidhuC91")</f>
        <v>VidhuC91</v>
      </c>
      <c r="C1829" s="8">
        <f>IFERROR(__xludf.DUMMYFUNCTION("""COMPUTED_VALUE"""),0.0)</f>
        <v>0</v>
      </c>
      <c r="D1829" s="8"/>
    </row>
    <row r="1830">
      <c r="A1830" s="9" t="str">
        <f>IFERROR(__xludf.DUMMYFUNCTION("""COMPUTED_VALUE"""),"Batch 191")</f>
        <v>Batch 191</v>
      </c>
      <c r="B1830" s="9" t="str">
        <f>IFERROR(__xludf.DUMMYFUNCTION("""COMPUTED_VALUE"""),"ShaikC91")</f>
        <v>ShaikC91</v>
      </c>
      <c r="C1830" s="8">
        <f>IFERROR(__xludf.DUMMYFUNCTION("""COMPUTED_VALUE"""),2.0)</f>
        <v>2</v>
      </c>
      <c r="D1830" s="8"/>
    </row>
    <row r="1831">
      <c r="A1831" s="9" t="str">
        <f>IFERROR(__xludf.DUMMYFUNCTION("""COMPUTED_VALUE"""),"Batch 191")</f>
        <v>Batch 191</v>
      </c>
      <c r="B1831" s="9" t="str">
        <f>IFERROR(__xludf.DUMMYFUNCTION("""COMPUTED_VALUE"""),"OmC91")</f>
        <v>OmC91</v>
      </c>
      <c r="C1831" s="8">
        <f>IFERROR(__xludf.DUMMYFUNCTION("""COMPUTED_VALUE"""),0.0)</f>
        <v>0</v>
      </c>
      <c r="D1831" s="8"/>
    </row>
    <row r="1832">
      <c r="A1832" s="9" t="str">
        <f>IFERROR(__xludf.DUMMYFUNCTION("""COMPUTED_VALUE"""),"Batch 191")</f>
        <v>Batch 191</v>
      </c>
      <c r="B1832" s="9" t="str">
        <f>IFERROR(__xludf.DUMMYFUNCTION("""COMPUTED_VALUE"""),"VanguriC91")</f>
        <v>VanguriC91</v>
      </c>
      <c r="C1832" s="8">
        <f>IFERROR(__xludf.DUMMYFUNCTION("""COMPUTED_VALUE"""),0.0)</f>
        <v>0</v>
      </c>
      <c r="D1832" s="8"/>
    </row>
    <row r="1833">
      <c r="A1833" s="9" t="str">
        <f>IFERROR(__xludf.DUMMYFUNCTION("""COMPUTED_VALUE"""),"Batch 191")</f>
        <v>Batch 191</v>
      </c>
      <c r="B1833" s="9" t="str">
        <f>IFERROR(__xludf.DUMMYFUNCTION("""COMPUTED_VALUE"""),"PrakritiC91")</f>
        <v>PrakritiC91</v>
      </c>
      <c r="C1833" s="8">
        <f>IFERROR(__xludf.DUMMYFUNCTION("""COMPUTED_VALUE"""),1.0)</f>
        <v>1</v>
      </c>
      <c r="D1833" s="8"/>
    </row>
    <row r="1834">
      <c r="A1834" s="9" t="str">
        <f>IFERROR(__xludf.DUMMYFUNCTION("""COMPUTED_VALUE"""),"Batch 191")</f>
        <v>Batch 191</v>
      </c>
      <c r="B1834" s="9" t="str">
        <f>IFERROR(__xludf.DUMMYFUNCTION("""COMPUTED_VALUE"""),"LaxmiC91")</f>
        <v>LaxmiC91</v>
      </c>
      <c r="C1834" s="8">
        <f>IFERROR(__xludf.DUMMYFUNCTION("""COMPUTED_VALUE"""),0.0)</f>
        <v>0</v>
      </c>
      <c r="D1834" s="8"/>
    </row>
    <row r="1835">
      <c r="A1835" s="9" t="str">
        <f>IFERROR(__xludf.DUMMYFUNCTION("""COMPUTED_VALUE"""),"Batch 191")</f>
        <v>Batch 191</v>
      </c>
      <c r="B1835" s="9" t="str">
        <f>IFERROR(__xludf.DUMMYFUNCTION("""COMPUTED_VALUE"""),"SandeepC91")</f>
        <v>SandeepC91</v>
      </c>
      <c r="C1835" s="8">
        <f>IFERROR(__xludf.DUMMYFUNCTION("""COMPUTED_VALUE"""),0.0)</f>
        <v>0</v>
      </c>
      <c r="D1835" s="8"/>
    </row>
    <row r="1836">
      <c r="A1836" s="9" t="str">
        <f>IFERROR(__xludf.DUMMYFUNCTION("""COMPUTED_VALUE"""),"Batch 191")</f>
        <v>Batch 191</v>
      </c>
      <c r="B1836" s="9" t="str">
        <f>IFERROR(__xludf.DUMMYFUNCTION("""COMPUTED_VALUE"""),"MahimaC91")</f>
        <v>MahimaC91</v>
      </c>
      <c r="C1836" s="8">
        <f>IFERROR(__xludf.DUMMYFUNCTION("""COMPUTED_VALUE"""),0.0)</f>
        <v>0</v>
      </c>
      <c r="D1836" s="8"/>
    </row>
    <row r="1837">
      <c r="A1837" s="9" t="str">
        <f>IFERROR(__xludf.DUMMYFUNCTION("""COMPUTED_VALUE"""),"Batch 191")</f>
        <v>Batch 191</v>
      </c>
      <c r="B1837" s="9" t="str">
        <f>IFERROR(__xludf.DUMMYFUNCTION("""COMPUTED_VALUE"""),"T.KoshikaC91")</f>
        <v>T.KoshikaC91</v>
      </c>
      <c r="C1837" s="8">
        <f>IFERROR(__xludf.DUMMYFUNCTION("""COMPUTED_VALUE"""),0.0)</f>
        <v>0</v>
      </c>
      <c r="D1837" s="8"/>
    </row>
    <row r="1838">
      <c r="A1838" s="9" t="str">
        <f>IFERROR(__xludf.DUMMYFUNCTION("""COMPUTED_VALUE"""),"Batch 191")</f>
        <v>Batch 191</v>
      </c>
      <c r="B1838" s="9" t="str">
        <f>IFERROR(__xludf.DUMMYFUNCTION("""COMPUTED_VALUE"""),"SwethaC91")</f>
        <v>SwethaC91</v>
      </c>
      <c r="C1838" s="8">
        <f>IFERROR(__xludf.DUMMYFUNCTION("""COMPUTED_VALUE"""),0.0)</f>
        <v>0</v>
      </c>
      <c r="D1838" s="8"/>
    </row>
    <row r="1839">
      <c r="A1839" s="9" t="str">
        <f>IFERROR(__xludf.DUMMYFUNCTION("""COMPUTED_VALUE"""),"Batch 191")</f>
        <v>Batch 191</v>
      </c>
      <c r="B1839" s="9" t="str">
        <f>IFERROR(__xludf.DUMMYFUNCTION("""COMPUTED_VALUE"""),"SharadC91")</f>
        <v>SharadC91</v>
      </c>
      <c r="C1839" s="8">
        <f>IFERROR(__xludf.DUMMYFUNCTION("""COMPUTED_VALUE"""),0.0)</f>
        <v>0</v>
      </c>
      <c r="D1839" s="8"/>
    </row>
    <row r="1840">
      <c r="A1840" s="9" t="str">
        <f>IFERROR(__xludf.DUMMYFUNCTION("""COMPUTED_VALUE"""),"Batch 191")</f>
        <v>Batch 191</v>
      </c>
      <c r="B1840" s="9" t="str">
        <f>IFERROR(__xludf.DUMMYFUNCTION("""COMPUTED_VALUE"""),"RathodC91")</f>
        <v>RathodC91</v>
      </c>
      <c r="C1840" s="8">
        <f>IFERROR(__xludf.DUMMYFUNCTION("""COMPUTED_VALUE"""),0.0)</f>
        <v>0</v>
      </c>
      <c r="D1840" s="8"/>
    </row>
    <row r="1841">
      <c r="A1841" s="9" t="str">
        <f>IFERROR(__xludf.DUMMYFUNCTION("""COMPUTED_VALUE"""),"Batch 191")</f>
        <v>Batch 191</v>
      </c>
      <c r="B1841" s="9" t="str">
        <f>IFERROR(__xludf.DUMMYFUNCTION("""COMPUTED_VALUE"""),"RishavC91")</f>
        <v>RishavC91</v>
      </c>
      <c r="C1841" s="8">
        <f>IFERROR(__xludf.DUMMYFUNCTION("""COMPUTED_VALUE"""),1.0)</f>
        <v>1</v>
      </c>
      <c r="D1841" s="8"/>
    </row>
    <row r="1842">
      <c r="A1842" s="9" t="str">
        <f>IFERROR(__xludf.DUMMYFUNCTION("""COMPUTED_VALUE"""),"Batch 191")</f>
        <v>Batch 191</v>
      </c>
      <c r="B1842" s="9" t="str">
        <f>IFERROR(__xludf.DUMMYFUNCTION("""COMPUTED_VALUE"""),"VaibhavC91")</f>
        <v>VaibhavC91</v>
      </c>
      <c r="C1842" s="8">
        <f>IFERROR(__xludf.DUMMYFUNCTION("""COMPUTED_VALUE"""),0.0)</f>
        <v>0</v>
      </c>
      <c r="D1842" s="8"/>
    </row>
    <row r="1843">
      <c r="A1843" s="9" t="str">
        <f>IFERROR(__xludf.DUMMYFUNCTION("""COMPUTED_VALUE"""),"Batch 191")</f>
        <v>Batch 191</v>
      </c>
      <c r="B1843" s="9" t="str">
        <f>IFERROR(__xludf.DUMMYFUNCTION("""COMPUTED_VALUE"""),"DushyantC91")</f>
        <v>DushyantC91</v>
      </c>
      <c r="C1843" s="8">
        <f>IFERROR(__xludf.DUMMYFUNCTION("""COMPUTED_VALUE"""),0.0)</f>
        <v>0</v>
      </c>
      <c r="D1843" s="8"/>
    </row>
    <row r="1844">
      <c r="A1844" s="9" t="str">
        <f>IFERROR(__xludf.DUMMYFUNCTION("""COMPUTED_VALUE"""),"Batch 191")</f>
        <v>Batch 191</v>
      </c>
      <c r="B1844" s="9" t="str">
        <f>IFERROR(__xludf.DUMMYFUNCTION("""COMPUTED_VALUE"""),"ShrushtiC91")</f>
        <v>ShrushtiC91</v>
      </c>
      <c r="C1844" s="8">
        <f>IFERROR(__xludf.DUMMYFUNCTION("""COMPUTED_VALUE"""),0.0)</f>
        <v>0</v>
      </c>
      <c r="D1844" s="8"/>
    </row>
    <row r="1845">
      <c r="A1845" s="9" t="str">
        <f>IFERROR(__xludf.DUMMYFUNCTION("""COMPUTED_VALUE"""),"Batch 191")</f>
        <v>Batch 191</v>
      </c>
      <c r="B1845" s="9" t="str">
        <f>IFERROR(__xludf.DUMMYFUNCTION("""COMPUTED_VALUE"""),"T.C91")</f>
        <v>T.C91</v>
      </c>
      <c r="C1845" s="8">
        <f>IFERROR(__xludf.DUMMYFUNCTION("""COMPUTED_VALUE"""),0.0)</f>
        <v>0</v>
      </c>
      <c r="D1845" s="8"/>
    </row>
    <row r="1846">
      <c r="A1846" s="9" t="str">
        <f>IFERROR(__xludf.DUMMYFUNCTION("""COMPUTED_VALUE"""),"Batch 191")</f>
        <v>Batch 191</v>
      </c>
      <c r="B1846" s="9" t="str">
        <f>IFERROR(__xludf.DUMMYFUNCTION("""COMPUTED_VALUE"""),"AbhishekC91")</f>
        <v>AbhishekC91</v>
      </c>
      <c r="C1846" s="8">
        <f>IFERROR(__xludf.DUMMYFUNCTION("""COMPUTED_VALUE"""),0.0)</f>
        <v>0</v>
      </c>
      <c r="D1846" s="8"/>
    </row>
    <row r="1847">
      <c r="A1847" s="9" t="str">
        <f>IFERROR(__xludf.DUMMYFUNCTION("""COMPUTED_VALUE"""),"Batch 191")</f>
        <v>Batch 191</v>
      </c>
      <c r="B1847" s="9" t="str">
        <f>IFERROR(__xludf.DUMMYFUNCTION("""COMPUTED_VALUE"""),"RakshitC91")</f>
        <v>RakshitC91</v>
      </c>
      <c r="C1847" s="8">
        <f>IFERROR(__xludf.DUMMYFUNCTION("""COMPUTED_VALUE"""),0.0)</f>
        <v>0</v>
      </c>
      <c r="D1847" s="8"/>
    </row>
    <row r="1848">
      <c r="A1848" s="9" t="str">
        <f>IFERROR(__xludf.DUMMYFUNCTION("""COMPUTED_VALUE"""),"Batch 191")</f>
        <v>Batch 191</v>
      </c>
      <c r="B1848" s="9" t="str">
        <f>IFERROR(__xludf.DUMMYFUNCTION("""COMPUTED_VALUE"""),"DeviC91")</f>
        <v>DeviC91</v>
      </c>
      <c r="C1848" s="8">
        <f>IFERROR(__xludf.DUMMYFUNCTION("""COMPUTED_VALUE"""),0.0)</f>
        <v>0</v>
      </c>
      <c r="D1848" s="8"/>
    </row>
    <row r="1849">
      <c r="A1849" s="9"/>
      <c r="B1849" s="9"/>
      <c r="C1849" s="8">
        <f>IFERROR(__xludf.DUMMYFUNCTION("""COMPUTED_VALUE"""),0.0)</f>
        <v>0</v>
      </c>
      <c r="D1849" s="8"/>
    </row>
    <row r="1850">
      <c r="A1850" s="9" t="str">
        <f>IFERROR(__xludf.DUMMYFUNCTION("""COMPUTED_VALUE"""),"Batch 192")</f>
        <v>Batch 192</v>
      </c>
      <c r="B1850" s="9" t="str">
        <f>IFERROR(__xludf.DUMMYFUNCTION("""COMPUTED_VALUE"""),"KrishnaC92")</f>
        <v>KrishnaC92</v>
      </c>
      <c r="C1850" s="8">
        <f>IFERROR(__xludf.DUMMYFUNCTION("""COMPUTED_VALUE"""),0.0)</f>
        <v>0</v>
      </c>
      <c r="D1850" s="8"/>
    </row>
    <row r="1851">
      <c r="A1851" s="9" t="str">
        <f>IFERROR(__xludf.DUMMYFUNCTION("""COMPUTED_VALUE"""),"Batch 192")</f>
        <v>Batch 192</v>
      </c>
      <c r="B1851" s="9" t="str">
        <f>IFERROR(__xludf.DUMMYFUNCTION("""COMPUTED_VALUE"""),"AshishC92")</f>
        <v>AshishC92</v>
      </c>
      <c r="C1851" s="8">
        <f>IFERROR(__xludf.DUMMYFUNCTION("""COMPUTED_VALUE"""),0.0)</f>
        <v>0</v>
      </c>
      <c r="D1851" s="8"/>
    </row>
    <row r="1852">
      <c r="A1852" s="9" t="str">
        <f>IFERROR(__xludf.DUMMYFUNCTION("""COMPUTED_VALUE"""),"Batch 192")</f>
        <v>Batch 192</v>
      </c>
      <c r="B1852" s="9" t="str">
        <f>IFERROR(__xludf.DUMMYFUNCTION("""COMPUTED_VALUE"""),"SalmanC92")</f>
        <v>SalmanC92</v>
      </c>
      <c r="C1852" s="8">
        <f>IFERROR(__xludf.DUMMYFUNCTION("""COMPUTED_VALUE"""),0.0)</f>
        <v>0</v>
      </c>
      <c r="D1852" s="8"/>
    </row>
    <row r="1853">
      <c r="A1853" s="9" t="str">
        <f>IFERROR(__xludf.DUMMYFUNCTION("""COMPUTED_VALUE"""),"Batch 192")</f>
        <v>Batch 192</v>
      </c>
      <c r="B1853" s="9" t="str">
        <f>IFERROR(__xludf.DUMMYFUNCTION("""COMPUTED_VALUE"""),"RiyaC92")</f>
        <v>RiyaC92</v>
      </c>
      <c r="C1853" s="8">
        <f>IFERROR(__xludf.DUMMYFUNCTION("""COMPUTED_VALUE"""),4.0)</f>
        <v>4</v>
      </c>
      <c r="D1853" s="8"/>
    </row>
    <row r="1854">
      <c r="A1854" s="9" t="str">
        <f>IFERROR(__xludf.DUMMYFUNCTION("""COMPUTED_VALUE"""),"Batch 192")</f>
        <v>Batch 192</v>
      </c>
      <c r="B1854" s="9" t="str">
        <f>IFERROR(__xludf.DUMMYFUNCTION("""COMPUTED_VALUE"""),"UnmeshC92")</f>
        <v>UnmeshC92</v>
      </c>
      <c r="C1854" s="8">
        <f>IFERROR(__xludf.DUMMYFUNCTION("""COMPUTED_VALUE"""),0.0)</f>
        <v>0</v>
      </c>
      <c r="D1854" s="8"/>
    </row>
    <row r="1855">
      <c r="A1855" s="9" t="str">
        <f>IFERROR(__xludf.DUMMYFUNCTION("""COMPUTED_VALUE"""),"Batch 192")</f>
        <v>Batch 192</v>
      </c>
      <c r="B1855" s="9" t="str">
        <f>IFERROR(__xludf.DUMMYFUNCTION("""COMPUTED_VALUE"""),"VisheshC92")</f>
        <v>VisheshC92</v>
      </c>
      <c r="C1855" s="8">
        <f>IFERROR(__xludf.DUMMYFUNCTION("""COMPUTED_VALUE"""),9.0)</f>
        <v>9</v>
      </c>
      <c r="D1855" s="8"/>
    </row>
    <row r="1856">
      <c r="A1856" s="9" t="str">
        <f>IFERROR(__xludf.DUMMYFUNCTION("""COMPUTED_VALUE"""),"Batch 192")</f>
        <v>Batch 192</v>
      </c>
      <c r="B1856" s="9" t="str">
        <f>IFERROR(__xludf.DUMMYFUNCTION("""COMPUTED_VALUE"""),"SATHYA.C92")</f>
        <v>SATHYA.C92</v>
      </c>
      <c r="C1856" s="8">
        <f>IFERROR(__xludf.DUMMYFUNCTION("""COMPUTED_VALUE"""),0.0)</f>
        <v>0</v>
      </c>
      <c r="D1856" s="8"/>
    </row>
    <row r="1857">
      <c r="A1857" s="9" t="str">
        <f>IFERROR(__xludf.DUMMYFUNCTION("""COMPUTED_VALUE"""),"Batch 192")</f>
        <v>Batch 192</v>
      </c>
      <c r="B1857" s="9" t="str">
        <f>IFERROR(__xludf.DUMMYFUNCTION("""COMPUTED_VALUE"""),"AbhishekC92")</f>
        <v>AbhishekC92</v>
      </c>
      <c r="C1857" s="8">
        <f>IFERROR(__xludf.DUMMYFUNCTION("""COMPUTED_VALUE"""),0.0)</f>
        <v>0</v>
      </c>
      <c r="D1857" s="8"/>
    </row>
    <row r="1858">
      <c r="A1858" s="9" t="str">
        <f>IFERROR(__xludf.DUMMYFUNCTION("""COMPUTED_VALUE"""),"Batch 192")</f>
        <v>Batch 192</v>
      </c>
      <c r="B1858" s="9" t="str">
        <f>IFERROR(__xludf.DUMMYFUNCTION("""COMPUTED_VALUE"""),"HrichaC92")</f>
        <v>HrichaC92</v>
      </c>
      <c r="C1858" s="8">
        <f>IFERROR(__xludf.DUMMYFUNCTION("""COMPUTED_VALUE"""),1.0)</f>
        <v>1</v>
      </c>
      <c r="D1858" s="8"/>
    </row>
    <row r="1859">
      <c r="A1859" s="9" t="str">
        <f>IFERROR(__xludf.DUMMYFUNCTION("""COMPUTED_VALUE"""),"Batch 192")</f>
        <v>Batch 192</v>
      </c>
      <c r="B1859" s="9" t="str">
        <f>IFERROR(__xludf.DUMMYFUNCTION("""COMPUTED_VALUE"""),"ArshimaC92")</f>
        <v>ArshimaC92</v>
      </c>
      <c r="C1859" s="8">
        <f>IFERROR(__xludf.DUMMYFUNCTION("""COMPUTED_VALUE"""),0.0)</f>
        <v>0</v>
      </c>
      <c r="D1859" s="8"/>
    </row>
    <row r="1860">
      <c r="A1860" s="9" t="str">
        <f>IFERROR(__xludf.DUMMYFUNCTION("""COMPUTED_VALUE"""),"Batch 192")</f>
        <v>Batch 192</v>
      </c>
      <c r="B1860" s="9" t="str">
        <f>IFERROR(__xludf.DUMMYFUNCTION("""COMPUTED_VALUE"""),"ManishC92")</f>
        <v>ManishC92</v>
      </c>
      <c r="C1860" s="8">
        <f>IFERROR(__xludf.DUMMYFUNCTION("""COMPUTED_VALUE"""),0.0)</f>
        <v>0</v>
      </c>
      <c r="D1860" s="8"/>
    </row>
    <row r="1861">
      <c r="A1861" s="9" t="str">
        <f>IFERROR(__xludf.DUMMYFUNCTION("""COMPUTED_VALUE"""),"Batch 192")</f>
        <v>Batch 192</v>
      </c>
      <c r="B1861" s="9" t="str">
        <f>IFERROR(__xludf.DUMMYFUNCTION("""COMPUTED_VALUE"""),"SatyamC92")</f>
        <v>SatyamC92</v>
      </c>
      <c r="C1861" s="8">
        <f>IFERROR(__xludf.DUMMYFUNCTION("""COMPUTED_VALUE"""),0.0)</f>
        <v>0</v>
      </c>
      <c r="D1861" s="8">
        <f>IFERROR(__xludf.DUMMYFUNCTION("""COMPUTED_VALUE"""),1.0)</f>
        <v>1</v>
      </c>
    </row>
    <row r="1862">
      <c r="A1862" s="9" t="str">
        <f>IFERROR(__xludf.DUMMYFUNCTION("""COMPUTED_VALUE"""),"Batch 192")</f>
        <v>Batch 192</v>
      </c>
      <c r="B1862" s="9" t="str">
        <f>IFERROR(__xludf.DUMMYFUNCTION("""COMPUTED_VALUE"""),"HarshitC92")</f>
        <v>HarshitC92</v>
      </c>
      <c r="C1862" s="8">
        <f>IFERROR(__xludf.DUMMYFUNCTION("""COMPUTED_VALUE"""),0.0)</f>
        <v>0</v>
      </c>
      <c r="D1862" s="8"/>
    </row>
    <row r="1863">
      <c r="A1863" s="9" t="str">
        <f>IFERROR(__xludf.DUMMYFUNCTION("""COMPUTED_VALUE"""),"Batch 192")</f>
        <v>Batch 192</v>
      </c>
      <c r="B1863" s="9" t="str">
        <f>IFERROR(__xludf.DUMMYFUNCTION("""COMPUTED_VALUE"""),"AmanC92")</f>
        <v>AmanC92</v>
      </c>
      <c r="C1863" s="8">
        <f>IFERROR(__xludf.DUMMYFUNCTION("""COMPUTED_VALUE"""),0.0)</f>
        <v>0</v>
      </c>
      <c r="D1863" s="8"/>
    </row>
    <row r="1864">
      <c r="A1864" s="9" t="str">
        <f>IFERROR(__xludf.DUMMYFUNCTION("""COMPUTED_VALUE"""),"Batch 192")</f>
        <v>Batch 192</v>
      </c>
      <c r="B1864" s="9" t="str">
        <f>IFERROR(__xludf.DUMMYFUNCTION("""COMPUTED_VALUE"""),"KommirisettyC92")</f>
        <v>KommirisettyC92</v>
      </c>
      <c r="C1864" s="8">
        <f>IFERROR(__xludf.DUMMYFUNCTION("""COMPUTED_VALUE"""),4.0)</f>
        <v>4</v>
      </c>
      <c r="D1864" s="8">
        <f>IFERROR(__xludf.DUMMYFUNCTION("""COMPUTED_VALUE"""),4.0)</f>
        <v>4</v>
      </c>
    </row>
    <row r="1865">
      <c r="A1865" s="9" t="str">
        <f>IFERROR(__xludf.DUMMYFUNCTION("""COMPUTED_VALUE"""),"Batch 192")</f>
        <v>Batch 192</v>
      </c>
      <c r="B1865" s="9" t="str">
        <f>IFERROR(__xludf.DUMMYFUNCTION("""COMPUTED_VALUE"""),"ShaliniC92")</f>
        <v>ShaliniC92</v>
      </c>
      <c r="C1865" s="8">
        <f>IFERROR(__xludf.DUMMYFUNCTION("""COMPUTED_VALUE"""),0.0)</f>
        <v>0</v>
      </c>
      <c r="D1865" s="8"/>
    </row>
    <row r="1866">
      <c r="A1866" s="9" t="str">
        <f>IFERROR(__xludf.DUMMYFUNCTION("""COMPUTED_VALUE"""),"Batch 192")</f>
        <v>Batch 192</v>
      </c>
      <c r="B1866" s="9" t="str">
        <f>IFERROR(__xludf.DUMMYFUNCTION("""COMPUTED_VALUE"""),"AnaviC92")</f>
        <v>AnaviC92</v>
      </c>
      <c r="C1866" s="8">
        <f>IFERROR(__xludf.DUMMYFUNCTION("""COMPUTED_VALUE"""),0.0)</f>
        <v>0</v>
      </c>
      <c r="D1866" s="8"/>
    </row>
    <row r="1867">
      <c r="A1867" s="9" t="str">
        <f>IFERROR(__xludf.DUMMYFUNCTION("""COMPUTED_VALUE"""),"Batch 192")</f>
        <v>Batch 192</v>
      </c>
      <c r="B1867" s="9" t="str">
        <f>IFERROR(__xludf.DUMMYFUNCTION("""COMPUTED_VALUE"""),"PragyaC92")</f>
        <v>PragyaC92</v>
      </c>
      <c r="C1867" s="8">
        <f>IFERROR(__xludf.DUMMYFUNCTION("""COMPUTED_VALUE"""),0.0)</f>
        <v>0</v>
      </c>
      <c r="D1867" s="8"/>
    </row>
    <row r="1868">
      <c r="A1868" s="9" t="str">
        <f>IFERROR(__xludf.DUMMYFUNCTION("""COMPUTED_VALUE"""),"Batch 192")</f>
        <v>Batch 192</v>
      </c>
      <c r="B1868" s="9" t="str">
        <f>IFERROR(__xludf.DUMMYFUNCTION("""COMPUTED_VALUE"""),"HarshilC92")</f>
        <v>HarshilC92</v>
      </c>
      <c r="C1868" s="8">
        <f>IFERROR(__xludf.DUMMYFUNCTION("""COMPUTED_VALUE"""),0.0)</f>
        <v>0</v>
      </c>
      <c r="D1868" s="8"/>
    </row>
    <row r="1869">
      <c r="A1869" s="9" t="str">
        <f>IFERROR(__xludf.DUMMYFUNCTION("""COMPUTED_VALUE"""),"Batch 192")</f>
        <v>Batch 192</v>
      </c>
      <c r="B1869" s="9" t="str">
        <f>IFERROR(__xludf.DUMMYFUNCTION("""COMPUTED_VALUE"""),"MedhaC92")</f>
        <v>MedhaC92</v>
      </c>
      <c r="C1869" s="8">
        <f>IFERROR(__xludf.DUMMYFUNCTION("""COMPUTED_VALUE"""),0.0)</f>
        <v>0</v>
      </c>
      <c r="D1869" s="8"/>
    </row>
    <row r="1870">
      <c r="A1870" s="9" t="str">
        <f>IFERROR(__xludf.DUMMYFUNCTION("""COMPUTED_VALUE"""),"Batch 192")</f>
        <v>Batch 192</v>
      </c>
      <c r="B1870" s="9" t="str">
        <f>IFERROR(__xludf.DUMMYFUNCTION("""COMPUTED_VALUE"""),"VanshitaC92")</f>
        <v>VanshitaC92</v>
      </c>
      <c r="C1870" s="8">
        <f>IFERROR(__xludf.DUMMYFUNCTION("""COMPUTED_VALUE"""),0.0)</f>
        <v>0</v>
      </c>
      <c r="D1870" s="8"/>
    </row>
    <row r="1871">
      <c r="A1871" s="9" t="str">
        <f>IFERROR(__xludf.DUMMYFUNCTION("""COMPUTED_VALUE"""),"Batch 192")</f>
        <v>Batch 192</v>
      </c>
      <c r="B1871" s="9" t="str">
        <f>IFERROR(__xludf.DUMMYFUNCTION("""COMPUTED_VALUE"""),"SayantikaC92")</f>
        <v>SayantikaC92</v>
      </c>
      <c r="C1871" s="8">
        <f>IFERROR(__xludf.DUMMYFUNCTION("""COMPUTED_VALUE"""),0.0)</f>
        <v>0</v>
      </c>
      <c r="D1871" s="8"/>
    </row>
    <row r="1872">
      <c r="A1872" s="9" t="str">
        <f>IFERROR(__xludf.DUMMYFUNCTION("""COMPUTED_VALUE"""),"Batch 192")</f>
        <v>Batch 192</v>
      </c>
      <c r="B1872" s="9" t="str">
        <f>IFERROR(__xludf.DUMMYFUNCTION("""COMPUTED_VALUE"""),"BuddhadebC92")</f>
        <v>BuddhadebC92</v>
      </c>
      <c r="C1872" s="8">
        <f>IFERROR(__xludf.DUMMYFUNCTION("""COMPUTED_VALUE"""),0.0)</f>
        <v>0</v>
      </c>
      <c r="D1872" s="8"/>
    </row>
    <row r="1873">
      <c r="A1873" s="9" t="str">
        <f>IFERROR(__xludf.DUMMYFUNCTION("""COMPUTED_VALUE"""),"Batch 192")</f>
        <v>Batch 192</v>
      </c>
      <c r="B1873" s="9" t="str">
        <f>IFERROR(__xludf.DUMMYFUNCTION("""COMPUTED_VALUE"""),"ParuchuriC92")</f>
        <v>ParuchuriC92</v>
      </c>
      <c r="C1873" s="8">
        <f>IFERROR(__xludf.DUMMYFUNCTION("""COMPUTED_VALUE"""),0.0)</f>
        <v>0</v>
      </c>
      <c r="D1873" s="8"/>
    </row>
    <row r="1874">
      <c r="A1874" s="9" t="str">
        <f>IFERROR(__xludf.DUMMYFUNCTION("""COMPUTED_VALUE"""),"Batch 192")</f>
        <v>Batch 192</v>
      </c>
      <c r="B1874" s="9" t="str">
        <f>IFERROR(__xludf.DUMMYFUNCTION("""COMPUTED_VALUE"""),"VC92")</f>
        <v>VC92</v>
      </c>
      <c r="C1874" s="8">
        <f>IFERROR(__xludf.DUMMYFUNCTION("""COMPUTED_VALUE"""),0.0)</f>
        <v>0</v>
      </c>
      <c r="D1874" s="8"/>
    </row>
    <row r="1875">
      <c r="A1875" s="9" t="str">
        <f>IFERROR(__xludf.DUMMYFUNCTION("""COMPUTED_VALUE"""),"Batch 192")</f>
        <v>Batch 192</v>
      </c>
      <c r="B1875" s="9" t="str">
        <f>IFERROR(__xludf.DUMMYFUNCTION("""COMPUTED_VALUE"""),"AparanaC92")</f>
        <v>AparanaC92</v>
      </c>
      <c r="C1875" s="8">
        <f>IFERROR(__xludf.DUMMYFUNCTION("""COMPUTED_VALUE"""),0.0)</f>
        <v>0</v>
      </c>
      <c r="D1875" s="8"/>
    </row>
    <row r="1876">
      <c r="A1876" s="9" t="str">
        <f>IFERROR(__xludf.DUMMYFUNCTION("""COMPUTED_VALUE"""),"Batch 192")</f>
        <v>Batch 192</v>
      </c>
      <c r="B1876" s="9" t="str">
        <f>IFERROR(__xludf.DUMMYFUNCTION("""COMPUTED_VALUE"""),"AnujC92")</f>
        <v>AnujC92</v>
      </c>
      <c r="C1876" s="8">
        <f>IFERROR(__xludf.DUMMYFUNCTION("""COMPUTED_VALUE"""),0.0)</f>
        <v>0</v>
      </c>
      <c r="D1876" s="8"/>
    </row>
    <row r="1877">
      <c r="A1877" s="9" t="str">
        <f>IFERROR(__xludf.DUMMYFUNCTION("""COMPUTED_VALUE"""),"Batch 192")</f>
        <v>Batch 192</v>
      </c>
      <c r="B1877" s="9" t="str">
        <f>IFERROR(__xludf.DUMMYFUNCTION("""COMPUTED_VALUE"""),"RohanC92")</f>
        <v>RohanC92</v>
      </c>
      <c r="C1877" s="8">
        <f>IFERROR(__xludf.DUMMYFUNCTION("""COMPUTED_VALUE"""),0.0)</f>
        <v>0</v>
      </c>
      <c r="D1877" s="8"/>
    </row>
    <row r="1878">
      <c r="A1878" s="9" t="str">
        <f>IFERROR(__xludf.DUMMYFUNCTION("""COMPUTED_VALUE"""),"Batch 192")</f>
        <v>Batch 192</v>
      </c>
      <c r="B1878" s="9" t="str">
        <f>IFERROR(__xludf.DUMMYFUNCTION("""COMPUTED_VALUE"""),"SnehaC92")</f>
        <v>SnehaC92</v>
      </c>
      <c r="C1878" s="8">
        <f>IFERROR(__xludf.DUMMYFUNCTION("""COMPUTED_VALUE"""),0.0)</f>
        <v>0</v>
      </c>
      <c r="D1878" s="8"/>
    </row>
    <row r="1879">
      <c r="A1879" s="9" t="str">
        <f>IFERROR(__xludf.DUMMYFUNCTION("""COMPUTED_VALUE"""),"Batch 192")</f>
        <v>Batch 192</v>
      </c>
      <c r="B1879" s="9" t="str">
        <f>IFERROR(__xludf.DUMMYFUNCTION("""COMPUTED_VALUE"""),"SiddhantC92")</f>
        <v>SiddhantC92</v>
      </c>
      <c r="C1879" s="8">
        <f>IFERROR(__xludf.DUMMYFUNCTION("""COMPUTED_VALUE"""),0.0)</f>
        <v>0</v>
      </c>
      <c r="D1879" s="8"/>
    </row>
    <row r="1880">
      <c r="A1880" s="9" t="str">
        <f>IFERROR(__xludf.DUMMYFUNCTION("""COMPUTED_VALUE"""),"Batch 192")</f>
        <v>Batch 192</v>
      </c>
      <c r="B1880" s="9" t="str">
        <f>IFERROR(__xludf.DUMMYFUNCTION("""COMPUTED_VALUE"""),"SuvronilC92")</f>
        <v>SuvronilC92</v>
      </c>
      <c r="C1880" s="8">
        <f>IFERROR(__xludf.DUMMYFUNCTION("""COMPUTED_VALUE"""),0.0)</f>
        <v>0</v>
      </c>
      <c r="D1880" s="8"/>
    </row>
    <row r="1881">
      <c r="A1881" s="9" t="str">
        <f>IFERROR(__xludf.DUMMYFUNCTION("""COMPUTED_VALUE"""),"Batch 192")</f>
        <v>Batch 192</v>
      </c>
      <c r="B1881" s="9" t="str">
        <f>IFERROR(__xludf.DUMMYFUNCTION("""COMPUTED_VALUE"""),"KamyaC92")</f>
        <v>KamyaC92</v>
      </c>
      <c r="C1881" s="8">
        <f>IFERROR(__xludf.DUMMYFUNCTION("""COMPUTED_VALUE"""),0.0)</f>
        <v>0</v>
      </c>
      <c r="D1881" s="8"/>
    </row>
    <row r="1882">
      <c r="A1882" s="9" t="str">
        <f>IFERROR(__xludf.DUMMYFUNCTION("""COMPUTED_VALUE"""),"Batch 192")</f>
        <v>Batch 192</v>
      </c>
      <c r="B1882" s="9" t="str">
        <f>IFERROR(__xludf.DUMMYFUNCTION("""COMPUTED_VALUE"""),"SmrutisikhaC92")</f>
        <v>SmrutisikhaC92</v>
      </c>
      <c r="C1882" s="8">
        <f>IFERROR(__xludf.DUMMYFUNCTION("""COMPUTED_VALUE"""),0.0)</f>
        <v>0</v>
      </c>
      <c r="D1882" s="8"/>
    </row>
    <row r="1883">
      <c r="A1883" s="9" t="str">
        <f>IFERROR(__xludf.DUMMYFUNCTION("""COMPUTED_VALUE"""),"Batch 192")</f>
        <v>Batch 192</v>
      </c>
      <c r="B1883" s="9" t="str">
        <f>IFERROR(__xludf.DUMMYFUNCTION("""COMPUTED_VALUE"""),"MDC92")</f>
        <v>MDC92</v>
      </c>
      <c r="C1883" s="8">
        <f>IFERROR(__xludf.DUMMYFUNCTION("""COMPUTED_VALUE"""),1.0)</f>
        <v>1</v>
      </c>
      <c r="D1883" s="8"/>
    </row>
    <row r="1884">
      <c r="A1884" s="9" t="str">
        <f>IFERROR(__xludf.DUMMYFUNCTION("""COMPUTED_VALUE"""),"Batch 192")</f>
        <v>Batch 192</v>
      </c>
      <c r="B1884" s="9" t="str">
        <f>IFERROR(__xludf.DUMMYFUNCTION("""COMPUTED_VALUE"""),"NehaC92")</f>
        <v>NehaC92</v>
      </c>
      <c r="C1884" s="8">
        <f>IFERROR(__xludf.DUMMYFUNCTION("""COMPUTED_VALUE"""),0.0)</f>
        <v>0</v>
      </c>
      <c r="D1884" s="8"/>
    </row>
    <row r="1885">
      <c r="A1885" s="9" t="str">
        <f>IFERROR(__xludf.DUMMYFUNCTION("""COMPUTED_VALUE"""),"Batch 192")</f>
        <v>Batch 192</v>
      </c>
      <c r="B1885" s="9" t="str">
        <f>IFERROR(__xludf.DUMMYFUNCTION("""COMPUTED_VALUE"""),"SatishC92")</f>
        <v>SatishC92</v>
      </c>
      <c r="C1885" s="8">
        <f>IFERROR(__xludf.DUMMYFUNCTION("""COMPUTED_VALUE"""),0.0)</f>
        <v>0</v>
      </c>
      <c r="D1885" s="8"/>
    </row>
    <row r="1886">
      <c r="A1886" s="9" t="str">
        <f>IFERROR(__xludf.DUMMYFUNCTION("""COMPUTED_VALUE"""),"Batch 192")</f>
        <v>Batch 192</v>
      </c>
      <c r="B1886" s="9" t="str">
        <f>IFERROR(__xludf.DUMMYFUNCTION("""COMPUTED_VALUE"""),"SakshiC92")</f>
        <v>SakshiC92</v>
      </c>
      <c r="C1886" s="8">
        <f>IFERROR(__xludf.DUMMYFUNCTION("""COMPUTED_VALUE"""),0.0)</f>
        <v>0</v>
      </c>
      <c r="D1886" s="8"/>
    </row>
    <row r="1887">
      <c r="A1887" s="9" t="str">
        <f>IFERROR(__xludf.DUMMYFUNCTION("""COMPUTED_VALUE"""),"Batch 192")</f>
        <v>Batch 192</v>
      </c>
      <c r="B1887" s="9" t="str">
        <f>IFERROR(__xludf.DUMMYFUNCTION("""COMPUTED_VALUE"""),"MinhajC92")</f>
        <v>MinhajC92</v>
      </c>
      <c r="C1887" s="8">
        <f>IFERROR(__xludf.DUMMYFUNCTION("""COMPUTED_VALUE"""),4.0)</f>
        <v>4</v>
      </c>
      <c r="D1887" s="8"/>
    </row>
    <row r="1888">
      <c r="A1888" s="9" t="str">
        <f>IFERROR(__xludf.DUMMYFUNCTION("""COMPUTED_VALUE"""),"Batch 192")</f>
        <v>Batch 192</v>
      </c>
      <c r="B1888" s="9" t="str">
        <f>IFERROR(__xludf.DUMMYFUNCTION("""COMPUTED_VALUE"""),"BASHAC92")</f>
        <v>BASHAC92</v>
      </c>
      <c r="C1888" s="8">
        <f>IFERROR(__xludf.DUMMYFUNCTION("""COMPUTED_VALUE"""),5.0)</f>
        <v>5</v>
      </c>
      <c r="D1888" s="8"/>
    </row>
    <row r="1889">
      <c r="A1889" s="9" t="str">
        <f>IFERROR(__xludf.DUMMYFUNCTION("""COMPUTED_VALUE"""),"Batch 192")</f>
        <v>Batch 192</v>
      </c>
      <c r="B1889" s="9" t="str">
        <f>IFERROR(__xludf.DUMMYFUNCTION("""COMPUTED_VALUE"""),"NidhiC92")</f>
        <v>NidhiC92</v>
      </c>
      <c r="C1889" s="8">
        <f>IFERROR(__xludf.DUMMYFUNCTION("""COMPUTED_VALUE"""),0.0)</f>
        <v>0</v>
      </c>
      <c r="D1889" s="8"/>
    </row>
    <row r="1890">
      <c r="A1890" s="9" t="str">
        <f>IFERROR(__xludf.DUMMYFUNCTION("""COMPUTED_VALUE"""),"Batch 192")</f>
        <v>Batch 192</v>
      </c>
      <c r="B1890" s="9" t="str">
        <f>IFERROR(__xludf.DUMMYFUNCTION("""COMPUTED_VALUE"""),"YashC92")</f>
        <v>YashC92</v>
      </c>
      <c r="C1890" s="8">
        <f>IFERROR(__xludf.DUMMYFUNCTION("""COMPUTED_VALUE"""),1.0)</f>
        <v>1</v>
      </c>
      <c r="D1890" s="8"/>
    </row>
    <row r="1891">
      <c r="A1891" s="9" t="str">
        <f>IFERROR(__xludf.DUMMYFUNCTION("""COMPUTED_VALUE"""),"Batch 192")</f>
        <v>Batch 192</v>
      </c>
      <c r="B1891" s="9" t="str">
        <f>IFERROR(__xludf.DUMMYFUNCTION("""COMPUTED_VALUE"""),"ManishC92")</f>
        <v>ManishC92</v>
      </c>
      <c r="C1891" s="8">
        <f>IFERROR(__xludf.DUMMYFUNCTION("""COMPUTED_VALUE"""),0.0)</f>
        <v>0</v>
      </c>
      <c r="D1891" s="8"/>
    </row>
    <row r="1892">
      <c r="A1892" s="9" t="str">
        <f>IFERROR(__xludf.DUMMYFUNCTION("""COMPUTED_VALUE"""),"Batch 192")</f>
        <v>Batch 192</v>
      </c>
      <c r="B1892" s="9" t="str">
        <f>IFERROR(__xludf.DUMMYFUNCTION("""COMPUTED_VALUE"""),"AaravC92")</f>
        <v>AaravC92</v>
      </c>
      <c r="C1892" s="8">
        <f>IFERROR(__xludf.DUMMYFUNCTION("""COMPUTED_VALUE"""),3.0)</f>
        <v>3</v>
      </c>
      <c r="D1892" s="8">
        <f>IFERROR(__xludf.DUMMYFUNCTION("""COMPUTED_VALUE"""),1.0)</f>
        <v>1</v>
      </c>
    </row>
    <row r="1893">
      <c r="A1893" s="9" t="str">
        <f>IFERROR(__xludf.DUMMYFUNCTION("""COMPUTED_VALUE"""),"Batch 192")</f>
        <v>Batch 192</v>
      </c>
      <c r="B1893" s="9" t="str">
        <f>IFERROR(__xludf.DUMMYFUNCTION("""COMPUTED_VALUE"""),"JC92")</f>
        <v>JC92</v>
      </c>
      <c r="C1893" s="8">
        <f>IFERROR(__xludf.DUMMYFUNCTION("""COMPUTED_VALUE"""),0.0)</f>
        <v>0</v>
      </c>
      <c r="D1893" s="8"/>
    </row>
    <row r="1894">
      <c r="A1894" s="9" t="str">
        <f>IFERROR(__xludf.DUMMYFUNCTION("""COMPUTED_VALUE"""),"Batch 192")</f>
        <v>Batch 192</v>
      </c>
      <c r="B1894" s="9" t="str">
        <f>IFERROR(__xludf.DUMMYFUNCTION("""COMPUTED_VALUE"""),"AdrishaC92")</f>
        <v>AdrishaC92</v>
      </c>
      <c r="C1894" s="8">
        <f>IFERROR(__xludf.DUMMYFUNCTION("""COMPUTED_VALUE"""),0.0)</f>
        <v>0</v>
      </c>
      <c r="D1894" s="8"/>
    </row>
    <row r="1895">
      <c r="A1895" s="9" t="str">
        <f>IFERROR(__xludf.DUMMYFUNCTION("""COMPUTED_VALUE"""),"Batch 192")</f>
        <v>Batch 192</v>
      </c>
      <c r="B1895" s="9" t="str">
        <f>IFERROR(__xludf.DUMMYFUNCTION("""COMPUTED_VALUE"""),"SoubhagyaC92")</f>
        <v>SoubhagyaC92</v>
      </c>
      <c r="C1895" s="8">
        <f>IFERROR(__xludf.DUMMYFUNCTION("""COMPUTED_VALUE"""),0.0)</f>
        <v>0</v>
      </c>
      <c r="D1895" s="8"/>
    </row>
    <row r="1896">
      <c r="A1896" s="9" t="str">
        <f>IFERROR(__xludf.DUMMYFUNCTION("""COMPUTED_VALUE"""),"Batch 192")</f>
        <v>Batch 192</v>
      </c>
      <c r="B1896" s="9" t="str">
        <f>IFERROR(__xludf.DUMMYFUNCTION("""COMPUTED_VALUE"""),"TahaC92")</f>
        <v>TahaC92</v>
      </c>
      <c r="C1896" s="8">
        <f>IFERROR(__xludf.DUMMYFUNCTION("""COMPUTED_VALUE"""),0.0)</f>
        <v>0</v>
      </c>
      <c r="D1896" s="8"/>
    </row>
    <row r="1897">
      <c r="A1897" s="9" t="str">
        <f>IFERROR(__xludf.DUMMYFUNCTION("""COMPUTED_VALUE"""),"Batch 192")</f>
        <v>Batch 192</v>
      </c>
      <c r="B1897" s="9" t="str">
        <f>IFERROR(__xludf.DUMMYFUNCTION("""COMPUTED_VALUE"""),"DeepC92")</f>
        <v>DeepC92</v>
      </c>
      <c r="C1897" s="8">
        <f>IFERROR(__xludf.DUMMYFUNCTION("""COMPUTED_VALUE"""),0.0)</f>
        <v>0</v>
      </c>
      <c r="D1897" s="8"/>
    </row>
    <row r="1898">
      <c r="A1898" s="9" t="str">
        <f>IFERROR(__xludf.DUMMYFUNCTION("""COMPUTED_VALUE"""),"Batch 192")</f>
        <v>Batch 192</v>
      </c>
      <c r="B1898" s="9" t="str">
        <f>IFERROR(__xludf.DUMMYFUNCTION("""COMPUTED_VALUE"""),"KaifC92")</f>
        <v>KaifC92</v>
      </c>
      <c r="C1898" s="8">
        <f>IFERROR(__xludf.DUMMYFUNCTION("""COMPUTED_VALUE"""),1.0)</f>
        <v>1</v>
      </c>
      <c r="D1898" s="8"/>
    </row>
    <row r="1899">
      <c r="A1899" s="9" t="str">
        <f>IFERROR(__xludf.DUMMYFUNCTION("""COMPUTED_VALUE"""),"Batch 192")</f>
        <v>Batch 192</v>
      </c>
      <c r="B1899" s="9" t="str">
        <f>IFERROR(__xludf.DUMMYFUNCTION("""COMPUTED_VALUE"""),"SindhuC92")</f>
        <v>SindhuC92</v>
      </c>
      <c r="C1899" s="8">
        <f>IFERROR(__xludf.DUMMYFUNCTION("""COMPUTED_VALUE"""),0.0)</f>
        <v>0</v>
      </c>
      <c r="D1899" s="8"/>
    </row>
    <row r="1900">
      <c r="A1900" s="9" t="str">
        <f>IFERROR(__xludf.DUMMYFUNCTION("""COMPUTED_VALUE"""),"Batch 192")</f>
        <v>Batch 192</v>
      </c>
      <c r="B1900" s="9" t="str">
        <f>IFERROR(__xludf.DUMMYFUNCTION("""COMPUTED_VALUE"""),"AnkushC92")</f>
        <v>AnkushC92</v>
      </c>
      <c r="C1900" s="8">
        <f>IFERROR(__xludf.DUMMYFUNCTION("""COMPUTED_VALUE"""),0.0)</f>
        <v>0</v>
      </c>
      <c r="D1900" s="8"/>
    </row>
    <row r="1901">
      <c r="A1901" s="9" t="str">
        <f>IFERROR(__xludf.DUMMYFUNCTION("""COMPUTED_VALUE"""),"Batch 192")</f>
        <v>Batch 192</v>
      </c>
      <c r="B1901" s="9" t="str">
        <f>IFERROR(__xludf.DUMMYFUNCTION("""COMPUTED_VALUE"""),"MadhavC92")</f>
        <v>MadhavC92</v>
      </c>
      <c r="C1901" s="8">
        <f>IFERROR(__xludf.DUMMYFUNCTION("""COMPUTED_VALUE"""),0.0)</f>
        <v>0</v>
      </c>
      <c r="D1901" s="8"/>
    </row>
    <row r="1902">
      <c r="A1902" s="9" t="str">
        <f>IFERROR(__xludf.DUMMYFUNCTION("""COMPUTED_VALUE"""),"Batch 192")</f>
        <v>Batch 192</v>
      </c>
      <c r="B1902" s="9" t="str">
        <f>IFERROR(__xludf.DUMMYFUNCTION("""COMPUTED_VALUE"""),"AyushC92")</f>
        <v>AyushC92</v>
      </c>
      <c r="C1902" s="8">
        <f>IFERROR(__xludf.DUMMYFUNCTION("""COMPUTED_VALUE"""),0.0)</f>
        <v>0</v>
      </c>
      <c r="D1902" s="8"/>
    </row>
    <row r="1903">
      <c r="A1903" s="9" t="str">
        <f>IFERROR(__xludf.DUMMYFUNCTION("""COMPUTED_VALUE"""),"Batch 192")</f>
        <v>Batch 192</v>
      </c>
      <c r="B1903" s="9" t="str">
        <f>IFERROR(__xludf.DUMMYFUNCTION("""COMPUTED_VALUE"""),"AudrikaC92")</f>
        <v>AudrikaC92</v>
      </c>
      <c r="C1903" s="8">
        <f>IFERROR(__xludf.DUMMYFUNCTION("""COMPUTED_VALUE"""),0.0)</f>
        <v>0</v>
      </c>
      <c r="D1903" s="8"/>
    </row>
    <row r="1904">
      <c r="A1904" s="9" t="str">
        <f>IFERROR(__xludf.DUMMYFUNCTION("""COMPUTED_VALUE"""),"Batch 192")</f>
        <v>Batch 192</v>
      </c>
      <c r="B1904" s="9" t="str">
        <f>IFERROR(__xludf.DUMMYFUNCTION("""COMPUTED_VALUE"""),"R.C92")</f>
        <v>R.C92</v>
      </c>
      <c r="C1904" s="8">
        <f>IFERROR(__xludf.DUMMYFUNCTION("""COMPUTED_VALUE"""),0.0)</f>
        <v>0</v>
      </c>
      <c r="D1904" s="8"/>
    </row>
    <row r="1905">
      <c r="A1905" s="9" t="str">
        <f>IFERROR(__xludf.DUMMYFUNCTION("""COMPUTED_VALUE"""),"Batch 192")</f>
        <v>Batch 192</v>
      </c>
      <c r="B1905" s="9" t="str">
        <f>IFERROR(__xludf.DUMMYFUNCTION("""COMPUTED_VALUE"""),"SaurabhC92")</f>
        <v>SaurabhC92</v>
      </c>
      <c r="C1905" s="8">
        <f>IFERROR(__xludf.DUMMYFUNCTION("""COMPUTED_VALUE"""),1.0)</f>
        <v>1</v>
      </c>
      <c r="D1905" s="8"/>
    </row>
    <row r="1906">
      <c r="A1906" s="9" t="str">
        <f>IFERROR(__xludf.DUMMYFUNCTION("""COMPUTED_VALUE"""),"Batch 192")</f>
        <v>Batch 192</v>
      </c>
      <c r="B1906" s="9" t="str">
        <f>IFERROR(__xludf.DUMMYFUNCTION("""COMPUTED_VALUE"""),"M.VijayC92")</f>
        <v>M.VijayC92</v>
      </c>
      <c r="C1906" s="8">
        <f>IFERROR(__xludf.DUMMYFUNCTION("""COMPUTED_VALUE"""),0.0)</f>
        <v>0</v>
      </c>
      <c r="D1906" s="8"/>
    </row>
    <row r="1907">
      <c r="A1907" s="9" t="str">
        <f>IFERROR(__xludf.DUMMYFUNCTION("""COMPUTED_VALUE"""),"Batch 192")</f>
        <v>Batch 192</v>
      </c>
      <c r="B1907" s="9" t="str">
        <f>IFERROR(__xludf.DUMMYFUNCTION("""COMPUTED_VALUE"""),"KalagatlaC92")</f>
        <v>KalagatlaC92</v>
      </c>
      <c r="C1907" s="8">
        <f>IFERROR(__xludf.DUMMYFUNCTION("""COMPUTED_VALUE"""),1.0)</f>
        <v>1</v>
      </c>
      <c r="D1907" s="8"/>
    </row>
    <row r="1908">
      <c r="A1908" s="9" t="str">
        <f>IFERROR(__xludf.DUMMYFUNCTION("""COMPUTED_VALUE"""),"Batch 192")</f>
        <v>Batch 192</v>
      </c>
      <c r="B1908" s="9" t="str">
        <f>IFERROR(__xludf.DUMMYFUNCTION("""COMPUTED_VALUE"""),"sayantika.saha.1234@gmail.comC92")</f>
        <v>sayantika.saha.1234@gmail.comC92</v>
      </c>
      <c r="C1908" s="8">
        <f>IFERROR(__xludf.DUMMYFUNCTION("""COMPUTED_VALUE"""),0.0)</f>
        <v>0</v>
      </c>
      <c r="D1908" s="8"/>
    </row>
    <row r="1909">
      <c r="A1909" s="9" t="str">
        <f>IFERROR(__xludf.DUMMYFUNCTION("""COMPUTED_VALUE"""),"Batch 192")</f>
        <v>Batch 192</v>
      </c>
      <c r="B1909" s="9" t="str">
        <f>IFERROR(__xludf.DUMMYFUNCTION("""COMPUTED_VALUE"""),"FarhaC92")</f>
        <v>FarhaC92</v>
      </c>
      <c r="C1909" s="8">
        <f>IFERROR(__xludf.DUMMYFUNCTION("""COMPUTED_VALUE"""),2.0)</f>
        <v>2</v>
      </c>
      <c r="D1909" s="8">
        <f>IFERROR(__xludf.DUMMYFUNCTION("""COMPUTED_VALUE"""),1.0)</f>
        <v>1</v>
      </c>
    </row>
    <row r="1910">
      <c r="A1910" s="9" t="str">
        <f>IFERROR(__xludf.DUMMYFUNCTION("""COMPUTED_VALUE"""),"Batch 192")</f>
        <v>Batch 192</v>
      </c>
      <c r="B1910" s="9" t="str">
        <f>IFERROR(__xludf.DUMMYFUNCTION("""COMPUTED_VALUE"""),"MuditC92")</f>
        <v>MuditC92</v>
      </c>
      <c r="C1910" s="8">
        <f>IFERROR(__xludf.DUMMYFUNCTION("""COMPUTED_VALUE"""),0.0)</f>
        <v>0</v>
      </c>
      <c r="D1910" s="8"/>
    </row>
    <row r="1911">
      <c r="A1911" s="9" t="str">
        <f>IFERROR(__xludf.DUMMYFUNCTION("""COMPUTED_VALUE"""),"Batch 192")</f>
        <v>Batch 192</v>
      </c>
      <c r="B1911" s="9" t="str">
        <f>IFERROR(__xludf.DUMMYFUNCTION("""COMPUTED_VALUE"""),"MuskanC92")</f>
        <v>MuskanC92</v>
      </c>
      <c r="C1911" s="8">
        <f>IFERROR(__xludf.DUMMYFUNCTION("""COMPUTED_VALUE"""),3.0)</f>
        <v>3</v>
      </c>
      <c r="D1911" s="8"/>
    </row>
    <row r="1912">
      <c r="A1912" s="9" t="str">
        <f>IFERROR(__xludf.DUMMYFUNCTION("""COMPUTED_VALUE"""),"Batch 192")</f>
        <v>Batch 192</v>
      </c>
      <c r="B1912" s="9" t="str">
        <f>IFERROR(__xludf.DUMMYFUNCTION("""COMPUTED_VALUE"""),"BobbyC92")</f>
        <v>BobbyC92</v>
      </c>
      <c r="C1912" s="8">
        <f>IFERROR(__xludf.DUMMYFUNCTION("""COMPUTED_VALUE"""),0.0)</f>
        <v>0</v>
      </c>
      <c r="D1912" s="8"/>
    </row>
    <row r="1913">
      <c r="A1913" s="9" t="str">
        <f>IFERROR(__xludf.DUMMYFUNCTION("""COMPUTED_VALUE"""),"Batch 192")</f>
        <v>Batch 192</v>
      </c>
      <c r="B1913" s="9" t="str">
        <f>IFERROR(__xludf.DUMMYFUNCTION("""COMPUTED_VALUE"""),"RupsaC92")</f>
        <v>RupsaC92</v>
      </c>
      <c r="C1913" s="8">
        <f>IFERROR(__xludf.DUMMYFUNCTION("""COMPUTED_VALUE"""),9.0)</f>
        <v>9</v>
      </c>
      <c r="D1913" s="8">
        <f>IFERROR(__xludf.DUMMYFUNCTION("""COMPUTED_VALUE"""),2.0)</f>
        <v>2</v>
      </c>
    </row>
    <row r="1914">
      <c r="A1914" s="9" t="str">
        <f>IFERROR(__xludf.DUMMYFUNCTION("""COMPUTED_VALUE"""),"Batch 192")</f>
        <v>Batch 192</v>
      </c>
      <c r="B1914" s="9" t="str">
        <f>IFERROR(__xludf.DUMMYFUNCTION("""COMPUTED_VALUE"""),"MuskanKC92")</f>
        <v>MuskanKC92</v>
      </c>
      <c r="C1914" s="8">
        <f>IFERROR(__xludf.DUMMYFUNCTION("""COMPUTED_VALUE"""),0.0)</f>
        <v>0</v>
      </c>
      <c r="D1914" s="8"/>
    </row>
    <row r="1915">
      <c r="A1915" s="9"/>
      <c r="B1915" s="9"/>
      <c r="C1915" s="8">
        <f>IFERROR(__xludf.DUMMYFUNCTION("""COMPUTED_VALUE"""),0.0)</f>
        <v>0</v>
      </c>
      <c r="D1915" s="8"/>
    </row>
    <row r="1916">
      <c r="A1916" s="9" t="str">
        <f>IFERROR(__xludf.DUMMYFUNCTION("""COMPUTED_VALUE"""),"Batch 192")</f>
        <v>Batch 192</v>
      </c>
      <c r="B1916" s="9" t="str">
        <f>IFERROR(__xludf.DUMMYFUNCTION("""COMPUTED_VALUE"""),"AnkitaC92")</f>
        <v>AnkitaC92</v>
      </c>
      <c r="C1916" s="8">
        <f>IFERROR(__xludf.DUMMYFUNCTION("""COMPUTED_VALUE"""),0.0)</f>
        <v>0</v>
      </c>
      <c r="D1916" s="8"/>
    </row>
    <row r="1917">
      <c r="A1917" s="9" t="str">
        <f>IFERROR(__xludf.DUMMYFUNCTION("""COMPUTED_VALUE"""),"Batch 192")</f>
        <v>Batch 192</v>
      </c>
      <c r="B1917" s="9" t="str">
        <f>IFERROR(__xludf.DUMMYFUNCTION("""COMPUTED_VALUE"""),"R.VC92")</f>
        <v>R.VC92</v>
      </c>
      <c r="C1917" s="8">
        <f>IFERROR(__xludf.DUMMYFUNCTION("""COMPUTED_VALUE"""),0.0)</f>
        <v>0</v>
      </c>
      <c r="D1917" s="8"/>
    </row>
    <row r="1918">
      <c r="A1918" s="9" t="str">
        <f>IFERROR(__xludf.DUMMYFUNCTION("""COMPUTED_VALUE"""),"Batch 192")</f>
        <v>Batch 192</v>
      </c>
      <c r="B1918" s="9" t="str">
        <f>IFERROR(__xludf.DUMMYFUNCTION("""COMPUTED_VALUE"""),"NavyasriC92")</f>
        <v>NavyasriC92</v>
      </c>
      <c r="C1918" s="8">
        <f>IFERROR(__xludf.DUMMYFUNCTION("""COMPUTED_VALUE"""),0.0)</f>
        <v>0</v>
      </c>
      <c r="D1918" s="8"/>
    </row>
    <row r="1919">
      <c r="A1919" s="9" t="str">
        <f>IFERROR(__xludf.DUMMYFUNCTION("""COMPUTED_VALUE"""),"Batch 192")</f>
        <v>Batch 192</v>
      </c>
      <c r="B1919" s="9" t="str">
        <f>IFERROR(__xludf.DUMMYFUNCTION("""COMPUTED_VALUE"""),"RakshitaC92")</f>
        <v>RakshitaC92</v>
      </c>
      <c r="C1919" s="8">
        <f>IFERROR(__xludf.DUMMYFUNCTION("""COMPUTED_VALUE"""),0.0)</f>
        <v>0</v>
      </c>
      <c r="D1919" s="8"/>
    </row>
    <row r="1920">
      <c r="A1920" s="9" t="str">
        <f>IFERROR(__xludf.DUMMYFUNCTION("""COMPUTED_VALUE"""),"Batch 192")</f>
        <v>Batch 192</v>
      </c>
      <c r="B1920" s="9" t="str">
        <f>IFERROR(__xludf.DUMMYFUNCTION("""COMPUTED_VALUE"""),"RishiC92")</f>
        <v>RishiC92</v>
      </c>
      <c r="C1920" s="8">
        <f>IFERROR(__xludf.DUMMYFUNCTION("""COMPUTED_VALUE"""),7.0)</f>
        <v>7</v>
      </c>
      <c r="D1920" s="8">
        <f>IFERROR(__xludf.DUMMYFUNCTION("""COMPUTED_VALUE"""),1.0)</f>
        <v>1</v>
      </c>
    </row>
    <row r="1921">
      <c r="A1921" s="9" t="str">
        <f>IFERROR(__xludf.DUMMYFUNCTION("""COMPUTED_VALUE"""),"Batch 192")</f>
        <v>Batch 192</v>
      </c>
      <c r="B1921" s="9" t="str">
        <f>IFERROR(__xludf.DUMMYFUNCTION("""COMPUTED_VALUE"""),"KrushalC92")</f>
        <v>KrushalC92</v>
      </c>
      <c r="C1921" s="8">
        <f>IFERROR(__xludf.DUMMYFUNCTION("""COMPUTED_VALUE"""),34.0)</f>
        <v>34</v>
      </c>
      <c r="D1921" s="8">
        <f>IFERROR(__xludf.DUMMYFUNCTION("""COMPUTED_VALUE"""),7.0)</f>
        <v>7</v>
      </c>
    </row>
    <row r="1922">
      <c r="A1922" s="9" t="str">
        <f>IFERROR(__xludf.DUMMYFUNCTION("""COMPUTED_VALUE"""),"Batch 192")</f>
        <v>Batch 192</v>
      </c>
      <c r="B1922" s="9" t="str">
        <f>IFERROR(__xludf.DUMMYFUNCTION("""COMPUTED_VALUE"""),"NirbhayC92")</f>
        <v>NirbhayC92</v>
      </c>
      <c r="C1922" s="8">
        <f>IFERROR(__xludf.DUMMYFUNCTION("""COMPUTED_VALUE"""),4.0)</f>
        <v>4</v>
      </c>
      <c r="D1922" s="8"/>
    </row>
    <row r="1923">
      <c r="A1923" s="9" t="str">
        <f>IFERROR(__xludf.DUMMYFUNCTION("""COMPUTED_VALUE"""),"Batch 192")</f>
        <v>Batch 192</v>
      </c>
      <c r="B1923" s="9" t="str">
        <f>IFERROR(__xludf.DUMMYFUNCTION("""COMPUTED_VALUE"""),"PrakritiC92")</f>
        <v>PrakritiC92</v>
      </c>
      <c r="C1923" s="8">
        <f>IFERROR(__xludf.DUMMYFUNCTION("""COMPUTED_VALUE"""),12.0)</f>
        <v>12</v>
      </c>
      <c r="D1923" s="8"/>
    </row>
    <row r="1924">
      <c r="A1924" s="9" t="str">
        <f>IFERROR(__xludf.DUMMYFUNCTION("""COMPUTED_VALUE"""),"Batch 192")</f>
        <v>Batch 192</v>
      </c>
      <c r="B1924" s="9" t="str">
        <f>IFERROR(__xludf.DUMMYFUNCTION("""COMPUTED_VALUE"""),"KrishnaC92")</f>
        <v>KrishnaC92</v>
      </c>
      <c r="C1924" s="8">
        <f>IFERROR(__xludf.DUMMYFUNCTION("""COMPUTED_VALUE"""),0.0)</f>
        <v>0</v>
      </c>
      <c r="D1924" s="8"/>
    </row>
    <row r="1925">
      <c r="A1925" s="9" t="str">
        <f>IFERROR(__xludf.DUMMYFUNCTION("""COMPUTED_VALUE"""),"Batch 192")</f>
        <v>Batch 192</v>
      </c>
      <c r="B1925" s="9" t="str">
        <f>IFERROR(__xludf.DUMMYFUNCTION("""COMPUTED_VALUE"""),"SaloniC92")</f>
        <v>SaloniC92</v>
      </c>
      <c r="C1925" s="8">
        <f>IFERROR(__xludf.DUMMYFUNCTION("""COMPUTED_VALUE"""),0.0)</f>
        <v>0</v>
      </c>
      <c r="D1925" s="8"/>
    </row>
    <row r="1926">
      <c r="A1926" s="9" t="str">
        <f>IFERROR(__xludf.DUMMYFUNCTION("""COMPUTED_VALUE"""),"Batch 192")</f>
        <v>Batch 192</v>
      </c>
      <c r="B1926" s="9" t="str">
        <f>IFERROR(__xludf.DUMMYFUNCTION("""COMPUTED_VALUE"""),"AsthaC92")</f>
        <v>AsthaC92</v>
      </c>
      <c r="C1926" s="8">
        <f>IFERROR(__xludf.DUMMYFUNCTION("""COMPUTED_VALUE"""),0.0)</f>
        <v>0</v>
      </c>
      <c r="D1926" s="8"/>
    </row>
    <row r="1927">
      <c r="A1927" s="9" t="str">
        <f>IFERROR(__xludf.DUMMYFUNCTION("""COMPUTED_VALUE"""),"Batch 192")</f>
        <v>Batch 192</v>
      </c>
      <c r="B1927" s="9" t="str">
        <f>IFERROR(__xludf.DUMMYFUNCTION("""COMPUTED_VALUE"""),"AnkitC92")</f>
        <v>AnkitC92</v>
      </c>
      <c r="C1927" s="8">
        <f>IFERROR(__xludf.DUMMYFUNCTION("""COMPUTED_VALUE"""),0.0)</f>
        <v>0</v>
      </c>
      <c r="D1927" s="8"/>
    </row>
    <row r="1928">
      <c r="A1928" s="9" t="str">
        <f>IFERROR(__xludf.DUMMYFUNCTION("""COMPUTED_VALUE"""),"Batch 192")</f>
        <v>Batch 192</v>
      </c>
      <c r="B1928" s="9" t="str">
        <f>IFERROR(__xludf.DUMMYFUNCTION("""COMPUTED_VALUE"""),"ShivamaniC92")</f>
        <v>ShivamaniC92</v>
      </c>
      <c r="C1928" s="8">
        <f>IFERROR(__xludf.DUMMYFUNCTION("""COMPUTED_VALUE"""),0.0)</f>
        <v>0</v>
      </c>
      <c r="D1928" s="8"/>
    </row>
    <row r="1929">
      <c r="A1929" s="9"/>
      <c r="B1929" s="9"/>
      <c r="C1929" s="8">
        <f>IFERROR(__xludf.DUMMYFUNCTION("""COMPUTED_VALUE"""),0.0)</f>
        <v>0</v>
      </c>
      <c r="D1929" s="8"/>
    </row>
    <row r="1930">
      <c r="A1930" s="9" t="str">
        <f>IFERROR(__xludf.DUMMYFUNCTION("""COMPUTED_VALUE"""),"Batch 192")</f>
        <v>Batch 192</v>
      </c>
      <c r="B1930" s="9" t="str">
        <f>IFERROR(__xludf.DUMMYFUNCTION("""COMPUTED_VALUE"""),"BhipanshuC92")</f>
        <v>BhipanshuC92</v>
      </c>
      <c r="C1930" s="8">
        <f>IFERROR(__xludf.DUMMYFUNCTION("""COMPUTED_VALUE"""),0.0)</f>
        <v>0</v>
      </c>
      <c r="D1930" s="8"/>
    </row>
    <row r="1931">
      <c r="A1931" s="9" t="str">
        <f>IFERROR(__xludf.DUMMYFUNCTION("""COMPUTED_VALUE"""),"Batch 192")</f>
        <v>Batch 192</v>
      </c>
      <c r="B1931" s="9" t="str">
        <f>IFERROR(__xludf.DUMMYFUNCTION("""COMPUTED_VALUE"""),"AtharvaC92")</f>
        <v>AtharvaC92</v>
      </c>
      <c r="C1931" s="8">
        <f>IFERROR(__xludf.DUMMYFUNCTION("""COMPUTED_VALUE"""),0.0)</f>
        <v>0</v>
      </c>
      <c r="D1931" s="8"/>
    </row>
    <row r="1932">
      <c r="A1932" s="9" t="str">
        <f>IFERROR(__xludf.DUMMYFUNCTION("""COMPUTED_VALUE"""),"Batch 192")</f>
        <v>Batch 192</v>
      </c>
      <c r="B1932" s="9" t="str">
        <f>IFERROR(__xludf.DUMMYFUNCTION("""COMPUTED_VALUE"""),"BokuriC92")</f>
        <v>BokuriC92</v>
      </c>
      <c r="C1932" s="8">
        <f>IFERROR(__xludf.DUMMYFUNCTION("""COMPUTED_VALUE"""),0.0)</f>
        <v>0</v>
      </c>
      <c r="D1932" s="8"/>
    </row>
    <row r="1933">
      <c r="A1933" s="9" t="str">
        <f>IFERROR(__xludf.DUMMYFUNCTION("""COMPUTED_VALUE"""),"Batch 192")</f>
        <v>Batch 192</v>
      </c>
      <c r="B1933" s="9" t="str">
        <f>IFERROR(__xludf.DUMMYFUNCTION("""COMPUTED_VALUE"""),"MananC92")</f>
        <v>MananC92</v>
      </c>
      <c r="C1933" s="8">
        <f>IFERROR(__xludf.DUMMYFUNCTION("""COMPUTED_VALUE"""),0.0)</f>
        <v>0</v>
      </c>
      <c r="D1933" s="8"/>
    </row>
    <row r="1934">
      <c r="A1934" s="9" t="str">
        <f>IFERROR(__xludf.DUMMYFUNCTION("""COMPUTED_VALUE"""),"Batch 192")</f>
        <v>Batch 192</v>
      </c>
      <c r="B1934" s="9" t="str">
        <f>IFERROR(__xludf.DUMMYFUNCTION("""COMPUTED_VALUE"""),"PrateekC92")</f>
        <v>PrateekC92</v>
      </c>
      <c r="C1934" s="8">
        <f>IFERROR(__xludf.DUMMYFUNCTION("""COMPUTED_VALUE"""),0.0)</f>
        <v>0</v>
      </c>
      <c r="D1934" s="8"/>
    </row>
    <row r="1935">
      <c r="A1935" s="9" t="str">
        <f>IFERROR(__xludf.DUMMYFUNCTION("""COMPUTED_VALUE"""),"Batch 192")</f>
        <v>Batch 192</v>
      </c>
      <c r="B1935" s="9" t="str">
        <f>IFERROR(__xludf.DUMMYFUNCTION("""COMPUTED_VALUE"""),"AksharaC92")</f>
        <v>AksharaC92</v>
      </c>
      <c r="C1935" s="8">
        <f>IFERROR(__xludf.DUMMYFUNCTION("""COMPUTED_VALUE"""),0.0)</f>
        <v>0</v>
      </c>
      <c r="D1935" s="8"/>
    </row>
    <row r="1936">
      <c r="A1936" s="9" t="str">
        <f>IFERROR(__xludf.DUMMYFUNCTION("""COMPUTED_VALUE"""),"Batch 192")</f>
        <v>Batch 192</v>
      </c>
      <c r="B1936" s="9" t="str">
        <f>IFERROR(__xludf.DUMMYFUNCTION("""COMPUTED_VALUE"""),"PiyushC92")</f>
        <v>PiyushC92</v>
      </c>
      <c r="C1936" s="8">
        <f>IFERROR(__xludf.DUMMYFUNCTION("""COMPUTED_VALUE"""),1.0)</f>
        <v>1</v>
      </c>
      <c r="D1936" s="8"/>
    </row>
    <row r="1937">
      <c r="A1937" s="9" t="str">
        <f>IFERROR(__xludf.DUMMYFUNCTION("""COMPUTED_VALUE"""),"Batch 192")</f>
        <v>Batch 192</v>
      </c>
      <c r="B1937" s="9" t="str">
        <f>IFERROR(__xludf.DUMMYFUNCTION("""COMPUTED_VALUE"""),"TanyaC92")</f>
        <v>TanyaC92</v>
      </c>
      <c r="C1937" s="8">
        <f>IFERROR(__xludf.DUMMYFUNCTION("""COMPUTED_VALUE"""),1.0)</f>
        <v>1</v>
      </c>
      <c r="D1937" s="8">
        <f>IFERROR(__xludf.DUMMYFUNCTION("""COMPUTED_VALUE"""),2.0)</f>
        <v>2</v>
      </c>
    </row>
    <row r="1938">
      <c r="A1938" s="9" t="str">
        <f>IFERROR(__xludf.DUMMYFUNCTION("""COMPUTED_VALUE"""),"Batch 192")</f>
        <v>Batch 192</v>
      </c>
      <c r="B1938" s="9" t="str">
        <f>IFERROR(__xludf.DUMMYFUNCTION("""COMPUTED_VALUE"""),"GurpreetC92")</f>
        <v>GurpreetC92</v>
      </c>
      <c r="C1938" s="8">
        <f>IFERROR(__xludf.DUMMYFUNCTION("""COMPUTED_VALUE"""),1.0)</f>
        <v>1</v>
      </c>
      <c r="D1938" s="8"/>
    </row>
    <row r="1939">
      <c r="A1939" s="9" t="str">
        <f>IFERROR(__xludf.DUMMYFUNCTION("""COMPUTED_VALUE"""),"Batch 192")</f>
        <v>Batch 192</v>
      </c>
      <c r="B1939" s="9" t="str">
        <f>IFERROR(__xludf.DUMMYFUNCTION("""COMPUTED_VALUE"""),"KhumeshC92")</f>
        <v>KhumeshC92</v>
      </c>
      <c r="C1939" s="8">
        <f>IFERROR(__xludf.DUMMYFUNCTION("""COMPUTED_VALUE"""),0.0)</f>
        <v>0</v>
      </c>
      <c r="D1939" s="8"/>
    </row>
    <row r="1940">
      <c r="A1940" s="9" t="str">
        <f>IFERROR(__xludf.DUMMYFUNCTION("""COMPUTED_VALUE"""),"Batch 192")</f>
        <v>Batch 192</v>
      </c>
      <c r="B1940" s="9" t="str">
        <f>IFERROR(__xludf.DUMMYFUNCTION("""COMPUTED_VALUE"""),"VasudhaC92")</f>
        <v>VasudhaC92</v>
      </c>
      <c r="C1940" s="8">
        <f>IFERROR(__xludf.DUMMYFUNCTION("""COMPUTED_VALUE"""),0.0)</f>
        <v>0</v>
      </c>
      <c r="D1940" s="8"/>
    </row>
    <row r="1941">
      <c r="A1941" s="9" t="str">
        <f>IFERROR(__xludf.DUMMYFUNCTION("""COMPUTED_VALUE"""),"Batch 192")</f>
        <v>Batch 192</v>
      </c>
      <c r="B1941" s="9" t="str">
        <f>IFERROR(__xludf.DUMMYFUNCTION("""COMPUTED_VALUE"""),"JagarnathC92")</f>
        <v>JagarnathC92</v>
      </c>
      <c r="C1941" s="8">
        <f>IFERROR(__xludf.DUMMYFUNCTION("""COMPUTED_VALUE"""),0.0)</f>
        <v>0</v>
      </c>
      <c r="D1941" s="8"/>
    </row>
    <row r="1942">
      <c r="A1942" s="9" t="str">
        <f>IFERROR(__xludf.DUMMYFUNCTION("""COMPUTED_VALUE"""),"Batch 192")</f>
        <v>Batch 192</v>
      </c>
      <c r="B1942" s="9" t="str">
        <f>IFERROR(__xludf.DUMMYFUNCTION("""COMPUTED_VALUE"""),"AradhyaC92")</f>
        <v>AradhyaC92</v>
      </c>
      <c r="C1942" s="8">
        <f>IFERROR(__xludf.DUMMYFUNCTION("""COMPUTED_VALUE"""),0.0)</f>
        <v>0</v>
      </c>
      <c r="D1942" s="8"/>
    </row>
    <row r="1943">
      <c r="A1943" s="9" t="str">
        <f>IFERROR(__xludf.DUMMYFUNCTION("""COMPUTED_VALUE"""),"Batch 192")</f>
        <v>Batch 192</v>
      </c>
      <c r="B1943" s="9" t="str">
        <f>IFERROR(__xludf.DUMMYFUNCTION("""COMPUTED_VALUE"""),"MollyC92")</f>
        <v>MollyC92</v>
      </c>
      <c r="C1943" s="8">
        <f>IFERROR(__xludf.DUMMYFUNCTION("""COMPUTED_VALUE"""),0.0)</f>
        <v>0</v>
      </c>
      <c r="D1943" s="8"/>
    </row>
    <row r="1944">
      <c r="A1944" s="9" t="str">
        <f>IFERROR(__xludf.DUMMYFUNCTION("""COMPUTED_VALUE"""),"Batch 192")</f>
        <v>Batch 192</v>
      </c>
      <c r="B1944" s="9" t="str">
        <f>IFERROR(__xludf.DUMMYFUNCTION("""COMPUTED_VALUE"""),"ArchanaC92")</f>
        <v>ArchanaC92</v>
      </c>
      <c r="C1944" s="8">
        <f>IFERROR(__xludf.DUMMYFUNCTION("""COMPUTED_VALUE"""),0.0)</f>
        <v>0</v>
      </c>
      <c r="D1944" s="8"/>
    </row>
    <row r="1945">
      <c r="A1945" s="9" t="str">
        <f>IFERROR(__xludf.DUMMYFUNCTION("""COMPUTED_VALUE"""),"Batch 192")</f>
        <v>Batch 192</v>
      </c>
      <c r="B1945" s="9" t="str">
        <f>IFERROR(__xludf.DUMMYFUNCTION("""COMPUTED_VALUE"""),"SC92")</f>
        <v>SC92</v>
      </c>
      <c r="C1945" s="8">
        <f>IFERROR(__xludf.DUMMYFUNCTION("""COMPUTED_VALUE"""),0.0)</f>
        <v>0</v>
      </c>
      <c r="D1945" s="8"/>
    </row>
    <row r="1946">
      <c r="A1946" s="9" t="str">
        <f>IFERROR(__xludf.DUMMYFUNCTION("""COMPUTED_VALUE"""),"Batch 192")</f>
        <v>Batch 192</v>
      </c>
      <c r="B1946" s="9" t="str">
        <f>IFERROR(__xludf.DUMMYFUNCTION("""COMPUTED_VALUE"""),"PrerithaC92")</f>
        <v>PrerithaC92</v>
      </c>
      <c r="C1946" s="8">
        <f>IFERROR(__xludf.DUMMYFUNCTION("""COMPUTED_VALUE"""),0.0)</f>
        <v>0</v>
      </c>
      <c r="D1946" s="8"/>
    </row>
    <row r="1947">
      <c r="A1947" s="9" t="str">
        <f>IFERROR(__xludf.DUMMYFUNCTION("""COMPUTED_VALUE"""),"Batch 192")</f>
        <v>Batch 192</v>
      </c>
      <c r="B1947" s="9" t="str">
        <f>IFERROR(__xludf.DUMMYFUNCTION("""COMPUTED_VALUE"""),"SiddhiC92")</f>
        <v>SiddhiC92</v>
      </c>
      <c r="C1947" s="8">
        <f>IFERROR(__xludf.DUMMYFUNCTION("""COMPUTED_VALUE"""),0.0)</f>
        <v>0</v>
      </c>
      <c r="D1947" s="8"/>
    </row>
    <row r="1948">
      <c r="A1948" s="9" t="str">
        <f>IFERROR(__xludf.DUMMYFUNCTION("""COMPUTED_VALUE"""),"Batch 192")</f>
        <v>Batch 192</v>
      </c>
      <c r="B1948" s="9" t="str">
        <f>IFERROR(__xludf.DUMMYFUNCTION("""COMPUTED_VALUE"""),"NikitaC92")</f>
        <v>NikitaC92</v>
      </c>
      <c r="C1948" s="8">
        <f>IFERROR(__xludf.DUMMYFUNCTION("""COMPUTED_VALUE"""),1.0)</f>
        <v>1</v>
      </c>
      <c r="D1948" s="8"/>
    </row>
    <row r="1949">
      <c r="A1949" s="9" t="str">
        <f>IFERROR(__xludf.DUMMYFUNCTION("""COMPUTED_VALUE"""),"Batch 192")</f>
        <v>Batch 192</v>
      </c>
      <c r="B1949" s="9" t="str">
        <f>IFERROR(__xludf.DUMMYFUNCTION("""COMPUTED_VALUE"""),"RojashreeC92")</f>
        <v>RojashreeC92</v>
      </c>
      <c r="C1949" s="8">
        <f>IFERROR(__xludf.DUMMYFUNCTION("""COMPUTED_VALUE"""),0.0)</f>
        <v>0</v>
      </c>
      <c r="D1949" s="8"/>
    </row>
    <row r="1950">
      <c r="A1950" s="9" t="str">
        <f>IFERROR(__xludf.DUMMYFUNCTION("""COMPUTED_VALUE"""),"Batch 192")</f>
        <v>Batch 192</v>
      </c>
      <c r="B1950" s="9" t="str">
        <f>IFERROR(__xludf.DUMMYFUNCTION("""COMPUTED_VALUE"""),"DiyaC92")</f>
        <v>DiyaC92</v>
      </c>
      <c r="C1950" s="8">
        <f>IFERROR(__xludf.DUMMYFUNCTION("""COMPUTED_VALUE"""),0.0)</f>
        <v>0</v>
      </c>
      <c r="D1950" s="8"/>
    </row>
    <row r="1951">
      <c r="A1951" s="9" t="str">
        <f>IFERROR(__xludf.DUMMYFUNCTION("""COMPUTED_VALUE"""),"Batch 192")</f>
        <v>Batch 192</v>
      </c>
      <c r="B1951" s="9" t="str">
        <f>IFERROR(__xludf.DUMMYFUNCTION("""COMPUTED_VALUE"""),"TanishC92")</f>
        <v>TanishC92</v>
      </c>
      <c r="C1951" s="8">
        <f>IFERROR(__xludf.DUMMYFUNCTION("""COMPUTED_VALUE"""),0.0)</f>
        <v>0</v>
      </c>
      <c r="D1951" s="8"/>
    </row>
    <row r="1952">
      <c r="A1952" s="9" t="str">
        <f>IFERROR(__xludf.DUMMYFUNCTION("""COMPUTED_VALUE"""),"Batch 192")</f>
        <v>Batch 192</v>
      </c>
      <c r="B1952" s="9" t="str">
        <f>IFERROR(__xludf.DUMMYFUNCTION("""COMPUTED_VALUE"""),"AishwaryaC92")</f>
        <v>AishwaryaC92</v>
      </c>
      <c r="C1952" s="8">
        <f>IFERROR(__xludf.DUMMYFUNCTION("""COMPUTED_VALUE"""),0.0)</f>
        <v>0</v>
      </c>
      <c r="D1952" s="8"/>
    </row>
    <row r="1953">
      <c r="A1953" s="9" t="str">
        <f>IFERROR(__xludf.DUMMYFUNCTION("""COMPUTED_VALUE"""),"Batch 192")</f>
        <v>Batch 192</v>
      </c>
      <c r="B1953" s="9" t="str">
        <f>IFERROR(__xludf.DUMMYFUNCTION("""COMPUTED_VALUE"""),"ShaikC92")</f>
        <v>ShaikC92</v>
      </c>
      <c r="C1953" s="8">
        <f>IFERROR(__xludf.DUMMYFUNCTION("""COMPUTED_VALUE"""),0.0)</f>
        <v>0</v>
      </c>
      <c r="D1953" s="8"/>
    </row>
    <row r="1954">
      <c r="A1954" s="9" t="str">
        <f>IFERROR(__xludf.DUMMYFUNCTION("""COMPUTED_VALUE"""),"Batch 192")</f>
        <v>Batch 192</v>
      </c>
      <c r="B1954" s="9" t="str">
        <f>IFERROR(__xludf.DUMMYFUNCTION("""COMPUTED_VALUE"""),"LankipalliC92")</f>
        <v>LankipalliC92</v>
      </c>
      <c r="C1954" s="8">
        <f>IFERROR(__xludf.DUMMYFUNCTION("""COMPUTED_VALUE"""),0.0)</f>
        <v>0</v>
      </c>
      <c r="D1954" s="8"/>
    </row>
    <row r="1955">
      <c r="A1955" s="9" t="str">
        <f>IFERROR(__xludf.DUMMYFUNCTION("""COMPUTED_VALUE"""),"Batch 192")</f>
        <v>Batch 192</v>
      </c>
      <c r="B1955" s="9" t="str">
        <f>IFERROR(__xludf.DUMMYFUNCTION("""COMPUTED_VALUE"""),"SemonC92")</f>
        <v>SemonC92</v>
      </c>
      <c r="C1955" s="8">
        <f>IFERROR(__xludf.DUMMYFUNCTION("""COMPUTED_VALUE"""),1.0)</f>
        <v>1</v>
      </c>
      <c r="D1955" s="8"/>
    </row>
    <row r="1956">
      <c r="A1956" s="9" t="str">
        <f>IFERROR(__xludf.DUMMYFUNCTION("""COMPUTED_VALUE"""),"Batch 192")</f>
        <v>Batch 192</v>
      </c>
      <c r="B1956" s="9" t="str">
        <f>IFERROR(__xludf.DUMMYFUNCTION("""COMPUTED_VALUE"""),"NeehaC92")</f>
        <v>NeehaC92</v>
      </c>
      <c r="C1956" s="8">
        <f>IFERROR(__xludf.DUMMYFUNCTION("""COMPUTED_VALUE"""),0.0)</f>
        <v>0</v>
      </c>
      <c r="D1956" s="8"/>
    </row>
    <row r="1957">
      <c r="A1957" s="9"/>
      <c r="B1957" s="9"/>
      <c r="C1957" s="8">
        <f>IFERROR(__xludf.DUMMYFUNCTION("""COMPUTED_VALUE"""),0.0)</f>
        <v>0</v>
      </c>
      <c r="D1957" s="8"/>
    </row>
    <row r="1958">
      <c r="A1958" s="9" t="str">
        <f>IFERROR(__xludf.DUMMYFUNCTION("""COMPUTED_VALUE"""),"Batch 193")</f>
        <v>Batch 193</v>
      </c>
      <c r="B1958" s="9" t="str">
        <f>IFERROR(__xludf.DUMMYFUNCTION("""COMPUTED_VALUE"""),"VedantC93")</f>
        <v>VedantC93</v>
      </c>
      <c r="C1958" s="8">
        <f>IFERROR(__xludf.DUMMYFUNCTION("""COMPUTED_VALUE"""),0.0)</f>
        <v>0</v>
      </c>
      <c r="D1958" s="8"/>
    </row>
    <row r="1959">
      <c r="A1959" s="9" t="str">
        <f>IFERROR(__xludf.DUMMYFUNCTION("""COMPUTED_VALUE"""),"Batch 193")</f>
        <v>Batch 193</v>
      </c>
      <c r="B1959" s="9" t="str">
        <f>IFERROR(__xludf.DUMMYFUNCTION("""COMPUTED_VALUE"""),"KumarjitC93")</f>
        <v>KumarjitC93</v>
      </c>
      <c r="C1959" s="8">
        <f>IFERROR(__xludf.DUMMYFUNCTION("""COMPUTED_VALUE"""),0.0)</f>
        <v>0</v>
      </c>
      <c r="D1959" s="8"/>
    </row>
    <row r="1960">
      <c r="A1960" s="9" t="str">
        <f>IFERROR(__xludf.DUMMYFUNCTION("""COMPUTED_VALUE"""),"Batch 193")</f>
        <v>Batch 193</v>
      </c>
      <c r="B1960" s="9" t="str">
        <f>IFERROR(__xludf.DUMMYFUNCTION("""COMPUTED_VALUE"""),"YashC93")</f>
        <v>YashC93</v>
      </c>
      <c r="C1960" s="8">
        <f>IFERROR(__xludf.DUMMYFUNCTION("""COMPUTED_VALUE"""),0.0)</f>
        <v>0</v>
      </c>
      <c r="D1960" s="8"/>
    </row>
    <row r="1961">
      <c r="A1961" s="9" t="str">
        <f>IFERROR(__xludf.DUMMYFUNCTION("""COMPUTED_VALUE"""),"Batch 193")</f>
        <v>Batch 193</v>
      </c>
      <c r="B1961" s="9" t="str">
        <f>IFERROR(__xludf.DUMMYFUNCTION("""COMPUTED_VALUE"""),"AridraC93")</f>
        <v>AridraC93</v>
      </c>
      <c r="C1961" s="8">
        <f>IFERROR(__xludf.DUMMYFUNCTION("""COMPUTED_VALUE"""),0.0)</f>
        <v>0</v>
      </c>
      <c r="D1961" s="8"/>
    </row>
    <row r="1962">
      <c r="A1962" s="9" t="str">
        <f>IFERROR(__xludf.DUMMYFUNCTION("""COMPUTED_VALUE"""),"Batch 193")</f>
        <v>Batch 193</v>
      </c>
      <c r="B1962" s="9" t="str">
        <f>IFERROR(__xludf.DUMMYFUNCTION("""COMPUTED_VALUE"""),"ArnabC93")</f>
        <v>ArnabC93</v>
      </c>
      <c r="C1962" s="8">
        <f>IFERROR(__xludf.DUMMYFUNCTION("""COMPUTED_VALUE"""),1.0)</f>
        <v>1</v>
      </c>
      <c r="D1962" s="8"/>
    </row>
    <row r="1963">
      <c r="A1963" s="9" t="str">
        <f>IFERROR(__xludf.DUMMYFUNCTION("""COMPUTED_VALUE"""),"Batch 193")</f>
        <v>Batch 193</v>
      </c>
      <c r="B1963" s="9" t="str">
        <f>IFERROR(__xludf.DUMMYFUNCTION("""COMPUTED_VALUE"""),"ArchitC93")</f>
        <v>ArchitC93</v>
      </c>
      <c r="C1963" s="8">
        <f>IFERROR(__xludf.DUMMYFUNCTION("""COMPUTED_VALUE"""),4.0)</f>
        <v>4</v>
      </c>
      <c r="D1963" s="8">
        <f>IFERROR(__xludf.DUMMYFUNCTION("""COMPUTED_VALUE"""),2.0)</f>
        <v>2</v>
      </c>
    </row>
    <row r="1964">
      <c r="A1964" s="9" t="str">
        <f>IFERROR(__xludf.DUMMYFUNCTION("""COMPUTED_VALUE"""),"Batch 193")</f>
        <v>Batch 193</v>
      </c>
      <c r="B1964" s="9" t="str">
        <f>IFERROR(__xludf.DUMMYFUNCTION("""COMPUTED_VALUE"""),"AnjaliC93")</f>
        <v>AnjaliC93</v>
      </c>
      <c r="C1964" s="8">
        <f>IFERROR(__xludf.DUMMYFUNCTION("""COMPUTED_VALUE"""),0.0)</f>
        <v>0</v>
      </c>
      <c r="D1964" s="8"/>
    </row>
    <row r="1965">
      <c r="A1965" s="9" t="str">
        <f>IFERROR(__xludf.DUMMYFUNCTION("""COMPUTED_VALUE"""),"Batch 193")</f>
        <v>Batch 193</v>
      </c>
      <c r="B1965" s="9" t="str">
        <f>IFERROR(__xludf.DUMMYFUNCTION("""COMPUTED_VALUE"""),"KartikC93")</f>
        <v>KartikC93</v>
      </c>
      <c r="C1965" s="8">
        <f>IFERROR(__xludf.DUMMYFUNCTION("""COMPUTED_VALUE"""),3.0)</f>
        <v>3</v>
      </c>
      <c r="D1965" s="8">
        <f>IFERROR(__xludf.DUMMYFUNCTION("""COMPUTED_VALUE"""),1.0)</f>
        <v>1</v>
      </c>
    </row>
    <row r="1966">
      <c r="A1966" s="9" t="str">
        <f>IFERROR(__xludf.DUMMYFUNCTION("""COMPUTED_VALUE"""),"Batch 193")</f>
        <v>Batch 193</v>
      </c>
      <c r="B1966" s="9" t="str">
        <f>IFERROR(__xludf.DUMMYFUNCTION("""COMPUTED_VALUE"""),"PrashanthC93")</f>
        <v>PrashanthC93</v>
      </c>
      <c r="C1966" s="8">
        <f>IFERROR(__xludf.DUMMYFUNCTION("""COMPUTED_VALUE"""),0.0)</f>
        <v>0</v>
      </c>
      <c r="D1966" s="8"/>
    </row>
    <row r="1967">
      <c r="A1967" s="9" t="str">
        <f>IFERROR(__xludf.DUMMYFUNCTION("""COMPUTED_VALUE"""),"Batch 193")</f>
        <v>Batch 193</v>
      </c>
      <c r="B1967" s="9" t="str">
        <f>IFERROR(__xludf.DUMMYFUNCTION("""COMPUTED_VALUE"""),"HimanshuC93")</f>
        <v>HimanshuC93</v>
      </c>
      <c r="C1967" s="8">
        <f>IFERROR(__xludf.DUMMYFUNCTION("""COMPUTED_VALUE"""),0.0)</f>
        <v>0</v>
      </c>
      <c r="D1967" s="8"/>
    </row>
    <row r="1968">
      <c r="A1968" s="9" t="str">
        <f>IFERROR(__xludf.DUMMYFUNCTION("""COMPUTED_VALUE"""),"Batch 193")</f>
        <v>Batch 193</v>
      </c>
      <c r="B1968" s="9" t="str">
        <f>IFERROR(__xludf.DUMMYFUNCTION("""COMPUTED_VALUE"""),"PremC93")</f>
        <v>PremC93</v>
      </c>
      <c r="C1968" s="8">
        <f>IFERROR(__xludf.DUMMYFUNCTION("""COMPUTED_VALUE"""),0.0)</f>
        <v>0</v>
      </c>
      <c r="D1968" s="8"/>
    </row>
    <row r="1969">
      <c r="A1969" s="9" t="str">
        <f>IFERROR(__xludf.DUMMYFUNCTION("""COMPUTED_VALUE"""),"Batch 193")</f>
        <v>Batch 193</v>
      </c>
      <c r="B1969" s="9" t="str">
        <f>IFERROR(__xludf.DUMMYFUNCTION("""COMPUTED_VALUE"""),"PriyeshC93")</f>
        <v>PriyeshC93</v>
      </c>
      <c r="C1969" s="8">
        <f>IFERROR(__xludf.DUMMYFUNCTION("""COMPUTED_VALUE"""),1.0)</f>
        <v>1</v>
      </c>
      <c r="D1969" s="8"/>
    </row>
    <row r="1970">
      <c r="A1970" s="9" t="str">
        <f>IFERROR(__xludf.DUMMYFUNCTION("""COMPUTED_VALUE"""),"Batch 193")</f>
        <v>Batch 193</v>
      </c>
      <c r="B1970" s="9" t="str">
        <f>IFERROR(__xludf.DUMMYFUNCTION("""COMPUTED_VALUE"""),"SnehaC93")</f>
        <v>SnehaC93</v>
      </c>
      <c r="C1970" s="8">
        <f>IFERROR(__xludf.DUMMYFUNCTION("""COMPUTED_VALUE"""),4.0)</f>
        <v>4</v>
      </c>
      <c r="D1970" s="8"/>
    </row>
    <row r="1971">
      <c r="A1971" s="9" t="str">
        <f>IFERROR(__xludf.DUMMYFUNCTION("""COMPUTED_VALUE"""),"Batch 193")</f>
        <v>Batch 193</v>
      </c>
      <c r="B1971" s="9" t="str">
        <f>IFERROR(__xludf.DUMMYFUNCTION("""COMPUTED_VALUE"""),"PrashantKC93")</f>
        <v>PrashantKC93</v>
      </c>
      <c r="C1971" s="8">
        <f>IFERROR(__xludf.DUMMYFUNCTION("""COMPUTED_VALUE"""),0.0)</f>
        <v>0</v>
      </c>
      <c r="D1971" s="8"/>
    </row>
    <row r="1972">
      <c r="A1972" s="9" t="str">
        <f>IFERROR(__xludf.DUMMYFUNCTION("""COMPUTED_VALUE"""),"Batch 193")</f>
        <v>Batch 193</v>
      </c>
      <c r="B1972" s="9" t="str">
        <f>IFERROR(__xludf.DUMMYFUNCTION("""COMPUTED_VALUE"""),"AadityaC93")</f>
        <v>AadityaC93</v>
      </c>
      <c r="C1972" s="8">
        <f>IFERROR(__xludf.DUMMYFUNCTION("""COMPUTED_VALUE"""),2.0)</f>
        <v>2</v>
      </c>
      <c r="D1972" s="8">
        <f>IFERROR(__xludf.DUMMYFUNCTION("""COMPUTED_VALUE"""),1.0)</f>
        <v>1</v>
      </c>
    </row>
    <row r="1973">
      <c r="A1973" s="9" t="str">
        <f>IFERROR(__xludf.DUMMYFUNCTION("""COMPUTED_VALUE"""),"Batch 193")</f>
        <v>Batch 193</v>
      </c>
      <c r="B1973" s="9" t="str">
        <f>IFERROR(__xludf.DUMMYFUNCTION("""COMPUTED_VALUE"""),"PrasantMC93")</f>
        <v>PrasantMC93</v>
      </c>
      <c r="C1973" s="8">
        <f>IFERROR(__xludf.DUMMYFUNCTION("""COMPUTED_VALUE"""),0.0)</f>
        <v>0</v>
      </c>
      <c r="D1973" s="8"/>
    </row>
    <row r="1974">
      <c r="A1974" s="9" t="str">
        <f>IFERROR(__xludf.DUMMYFUNCTION("""COMPUTED_VALUE"""),"Batch 193")</f>
        <v>Batch 193</v>
      </c>
      <c r="B1974" s="9" t="str">
        <f>IFERROR(__xludf.DUMMYFUNCTION("""COMPUTED_VALUE"""),"AsthaC93")</f>
        <v>AsthaC93</v>
      </c>
      <c r="C1974" s="8">
        <f>IFERROR(__xludf.DUMMYFUNCTION("""COMPUTED_VALUE"""),0.0)</f>
        <v>0</v>
      </c>
      <c r="D1974" s="8"/>
    </row>
    <row r="1975">
      <c r="A1975" s="9" t="str">
        <f>IFERROR(__xludf.DUMMYFUNCTION("""COMPUTED_VALUE"""),"Batch 193")</f>
        <v>Batch 193</v>
      </c>
      <c r="B1975" s="9" t="str">
        <f>IFERROR(__xludf.DUMMYFUNCTION("""COMPUTED_VALUE"""),"vaibhavC93")</f>
        <v>vaibhavC93</v>
      </c>
      <c r="C1975" s="8">
        <f>IFERROR(__xludf.DUMMYFUNCTION("""COMPUTED_VALUE"""),0.0)</f>
        <v>0</v>
      </c>
      <c r="D1975" s="8"/>
    </row>
    <row r="1976">
      <c r="A1976" s="9" t="str">
        <f>IFERROR(__xludf.DUMMYFUNCTION("""COMPUTED_VALUE"""),"Batch 193")</f>
        <v>Batch 193</v>
      </c>
      <c r="B1976" s="9" t="str">
        <f>IFERROR(__xludf.DUMMYFUNCTION("""COMPUTED_VALUE"""),"PYDIC93")</f>
        <v>PYDIC93</v>
      </c>
      <c r="C1976" s="8">
        <f>IFERROR(__xludf.DUMMYFUNCTION("""COMPUTED_VALUE"""),0.0)</f>
        <v>0</v>
      </c>
      <c r="D1976" s="8"/>
    </row>
    <row r="1977">
      <c r="A1977" s="9" t="str">
        <f>IFERROR(__xludf.DUMMYFUNCTION("""COMPUTED_VALUE"""),"Batch 193")</f>
        <v>Batch 193</v>
      </c>
      <c r="B1977" s="9" t="str">
        <f>IFERROR(__xludf.DUMMYFUNCTION("""COMPUTED_VALUE"""),"AshutoshC93")</f>
        <v>AshutoshC93</v>
      </c>
      <c r="C1977" s="8">
        <f>IFERROR(__xludf.DUMMYFUNCTION("""COMPUTED_VALUE"""),0.0)</f>
        <v>0</v>
      </c>
      <c r="D1977" s="8"/>
    </row>
    <row r="1978">
      <c r="A1978" s="9" t="str">
        <f>IFERROR(__xludf.DUMMYFUNCTION("""COMPUTED_VALUE"""),"Batch 193")</f>
        <v>Batch 193</v>
      </c>
      <c r="B1978" s="9" t="str">
        <f>IFERROR(__xludf.DUMMYFUNCTION("""COMPUTED_VALUE"""),"DeveshBC93")</f>
        <v>DeveshBC93</v>
      </c>
      <c r="C1978" s="8">
        <f>IFERROR(__xludf.DUMMYFUNCTION("""COMPUTED_VALUE"""),0.0)</f>
        <v>0</v>
      </c>
      <c r="D1978" s="8"/>
    </row>
    <row r="1979">
      <c r="A1979" s="9" t="str">
        <f>IFERROR(__xludf.DUMMYFUNCTION("""COMPUTED_VALUE"""),"Batch 193")</f>
        <v>Batch 193</v>
      </c>
      <c r="B1979" s="9" t="str">
        <f>IFERROR(__xludf.DUMMYFUNCTION("""COMPUTED_VALUE"""),"VasudhaC93")</f>
        <v>VasudhaC93</v>
      </c>
      <c r="C1979" s="8">
        <f>IFERROR(__xludf.DUMMYFUNCTION("""COMPUTED_VALUE"""),0.0)</f>
        <v>0</v>
      </c>
      <c r="D1979" s="8"/>
    </row>
    <row r="1980">
      <c r="A1980" s="9" t="str">
        <f>IFERROR(__xludf.DUMMYFUNCTION("""COMPUTED_VALUE"""),"Batch 193")</f>
        <v>Batch 193</v>
      </c>
      <c r="B1980" s="9" t="str">
        <f>IFERROR(__xludf.DUMMYFUNCTION("""COMPUTED_VALUE"""),"KethavathC93")</f>
        <v>KethavathC93</v>
      </c>
      <c r="C1980" s="8">
        <f>IFERROR(__xludf.DUMMYFUNCTION("""COMPUTED_VALUE"""),0.0)</f>
        <v>0</v>
      </c>
      <c r="D1980" s="8"/>
    </row>
    <row r="1981">
      <c r="A1981" s="9" t="str">
        <f>IFERROR(__xludf.DUMMYFUNCTION("""COMPUTED_VALUE"""),"Batch 193")</f>
        <v>Batch 193</v>
      </c>
      <c r="B1981" s="9" t="str">
        <f>IFERROR(__xludf.DUMMYFUNCTION("""COMPUTED_VALUE"""),"RajC93")</f>
        <v>RajC93</v>
      </c>
      <c r="C1981" s="8">
        <f>IFERROR(__xludf.DUMMYFUNCTION("""COMPUTED_VALUE"""),0.0)</f>
        <v>0</v>
      </c>
      <c r="D1981" s="8"/>
    </row>
    <row r="1982">
      <c r="A1982" s="9" t="str">
        <f>IFERROR(__xludf.DUMMYFUNCTION("""COMPUTED_VALUE"""),"Batch 193")</f>
        <v>Batch 193</v>
      </c>
      <c r="B1982" s="9" t="str">
        <f>IFERROR(__xludf.DUMMYFUNCTION("""COMPUTED_VALUE"""),"NeelotpalC93")</f>
        <v>NeelotpalC93</v>
      </c>
      <c r="C1982" s="8">
        <f>IFERROR(__xludf.DUMMYFUNCTION("""COMPUTED_VALUE"""),0.0)</f>
        <v>0</v>
      </c>
      <c r="D1982" s="8"/>
    </row>
    <row r="1983">
      <c r="A1983" s="9" t="str">
        <f>IFERROR(__xludf.DUMMYFUNCTION("""COMPUTED_VALUE"""),"Batch 193")</f>
        <v>Batch 193</v>
      </c>
      <c r="B1983" s="9" t="str">
        <f>IFERROR(__xludf.DUMMYFUNCTION("""COMPUTED_VALUE"""),"DevanshC93")</f>
        <v>DevanshC93</v>
      </c>
      <c r="C1983" s="8">
        <f>IFERROR(__xludf.DUMMYFUNCTION("""COMPUTED_VALUE"""),0.0)</f>
        <v>0</v>
      </c>
      <c r="D1983" s="8"/>
    </row>
    <row r="1984">
      <c r="A1984" s="9" t="str">
        <f>IFERROR(__xludf.DUMMYFUNCTION("""COMPUTED_VALUE"""),"Batch 193")</f>
        <v>Batch 193</v>
      </c>
      <c r="B1984" s="9" t="str">
        <f>IFERROR(__xludf.DUMMYFUNCTION("""COMPUTED_VALUE"""),"SumitC93")</f>
        <v>SumitC93</v>
      </c>
      <c r="C1984" s="8">
        <f>IFERROR(__xludf.DUMMYFUNCTION("""COMPUTED_VALUE"""),0.0)</f>
        <v>0</v>
      </c>
      <c r="D1984" s="8"/>
    </row>
    <row r="1985">
      <c r="A1985" s="9" t="str">
        <f>IFERROR(__xludf.DUMMYFUNCTION("""COMPUTED_VALUE"""),"Batch 193")</f>
        <v>Batch 193</v>
      </c>
      <c r="B1985" s="9" t="str">
        <f>IFERROR(__xludf.DUMMYFUNCTION("""COMPUTED_VALUE"""),"AhmadC93")</f>
        <v>AhmadC93</v>
      </c>
      <c r="C1985" s="8">
        <f>IFERROR(__xludf.DUMMYFUNCTION("""COMPUTED_VALUE"""),0.0)</f>
        <v>0</v>
      </c>
      <c r="D1985" s="8"/>
    </row>
    <row r="1986">
      <c r="A1986" s="9" t="str">
        <f>IFERROR(__xludf.DUMMYFUNCTION("""COMPUTED_VALUE"""),"Batch 193")</f>
        <v>Batch 193</v>
      </c>
      <c r="B1986" s="9" t="str">
        <f>IFERROR(__xludf.DUMMYFUNCTION("""COMPUTED_VALUE"""),"ShreyaC93")</f>
        <v>ShreyaC93</v>
      </c>
      <c r="C1986" s="8">
        <f>IFERROR(__xludf.DUMMYFUNCTION("""COMPUTED_VALUE"""),0.0)</f>
        <v>0</v>
      </c>
      <c r="D1986" s="8"/>
    </row>
    <row r="1987">
      <c r="A1987" s="9" t="str">
        <f>IFERROR(__xludf.DUMMYFUNCTION("""COMPUTED_VALUE"""),"Batch 193")</f>
        <v>Batch 193</v>
      </c>
      <c r="B1987" s="9" t="str">
        <f>IFERROR(__xludf.DUMMYFUNCTION("""COMPUTED_VALUE"""),"AbhiramC93")</f>
        <v>AbhiramC93</v>
      </c>
      <c r="C1987" s="8">
        <f>IFERROR(__xludf.DUMMYFUNCTION("""COMPUTED_VALUE"""),0.0)</f>
        <v>0</v>
      </c>
      <c r="D1987" s="8"/>
    </row>
    <row r="1988">
      <c r="A1988" s="9" t="str">
        <f>IFERROR(__xludf.DUMMYFUNCTION("""COMPUTED_VALUE"""),"Batch 193")</f>
        <v>Batch 193</v>
      </c>
      <c r="B1988" s="9" t="str">
        <f>IFERROR(__xludf.DUMMYFUNCTION("""COMPUTED_VALUE"""),"ADAPAKAC93")</f>
        <v>ADAPAKAC93</v>
      </c>
      <c r="C1988" s="8">
        <f>IFERROR(__xludf.DUMMYFUNCTION("""COMPUTED_VALUE"""),0.0)</f>
        <v>0</v>
      </c>
      <c r="D1988" s="8"/>
    </row>
    <row r="1989">
      <c r="A1989" s="9" t="str">
        <f>IFERROR(__xludf.DUMMYFUNCTION("""COMPUTED_VALUE"""),"Batch 193")</f>
        <v>Batch 193</v>
      </c>
      <c r="B1989" s="9" t="str">
        <f>IFERROR(__xludf.DUMMYFUNCTION("""COMPUTED_VALUE"""),"YuthanC93")</f>
        <v>YuthanC93</v>
      </c>
      <c r="C1989" s="8">
        <f>IFERROR(__xludf.DUMMYFUNCTION("""COMPUTED_VALUE"""),0.0)</f>
        <v>0</v>
      </c>
      <c r="D1989" s="8"/>
    </row>
    <row r="1990">
      <c r="A1990" s="9" t="str">
        <f>IFERROR(__xludf.DUMMYFUNCTION("""COMPUTED_VALUE"""),"Batch 193")</f>
        <v>Batch 193</v>
      </c>
      <c r="B1990" s="9" t="str">
        <f>IFERROR(__xludf.DUMMYFUNCTION("""COMPUTED_VALUE"""),"AsthaC93")</f>
        <v>AsthaC93</v>
      </c>
      <c r="C1990" s="8">
        <f>IFERROR(__xludf.DUMMYFUNCTION("""COMPUTED_VALUE"""),0.0)</f>
        <v>0</v>
      </c>
      <c r="D1990" s="8"/>
    </row>
    <row r="1991">
      <c r="A1991" s="9" t="str">
        <f>IFERROR(__xludf.DUMMYFUNCTION("""COMPUTED_VALUE"""),"Batch 193")</f>
        <v>Batch 193</v>
      </c>
      <c r="B1991" s="9" t="str">
        <f>IFERROR(__xludf.DUMMYFUNCTION("""COMPUTED_VALUE"""),"SanviC93")</f>
        <v>SanviC93</v>
      </c>
      <c r="C1991" s="8">
        <f>IFERROR(__xludf.DUMMYFUNCTION("""COMPUTED_VALUE"""),0.0)</f>
        <v>0</v>
      </c>
      <c r="D1991" s="8"/>
    </row>
    <row r="1992">
      <c r="A1992" s="9" t="str">
        <f>IFERROR(__xludf.DUMMYFUNCTION("""COMPUTED_VALUE"""),"Batch 193")</f>
        <v>Batch 193</v>
      </c>
      <c r="B1992" s="9" t="str">
        <f>IFERROR(__xludf.DUMMYFUNCTION("""COMPUTED_VALUE"""),"JatinC93")</f>
        <v>JatinC93</v>
      </c>
      <c r="C1992" s="8">
        <f>IFERROR(__xludf.DUMMYFUNCTION("""COMPUTED_VALUE"""),0.0)</f>
        <v>0</v>
      </c>
      <c r="D1992" s="8"/>
    </row>
    <row r="1993">
      <c r="A1993" s="9" t="str">
        <f>IFERROR(__xludf.DUMMYFUNCTION("""COMPUTED_VALUE"""),"Batch 193")</f>
        <v>Batch 193</v>
      </c>
      <c r="B1993" s="9" t="str">
        <f>IFERROR(__xludf.DUMMYFUNCTION("""COMPUTED_VALUE"""),"AmbatiC93")</f>
        <v>AmbatiC93</v>
      </c>
      <c r="C1993" s="8">
        <f>IFERROR(__xludf.DUMMYFUNCTION("""COMPUTED_VALUE"""),0.0)</f>
        <v>0</v>
      </c>
      <c r="D1993" s="8"/>
    </row>
    <row r="1994">
      <c r="A1994" s="9" t="str">
        <f>IFERROR(__xludf.DUMMYFUNCTION("""COMPUTED_VALUE"""),"Batch 193")</f>
        <v>Batch 193</v>
      </c>
      <c r="B1994" s="9" t="str">
        <f>IFERROR(__xludf.DUMMYFUNCTION("""COMPUTED_VALUE"""),"NancyC93")</f>
        <v>NancyC93</v>
      </c>
      <c r="C1994" s="8">
        <f>IFERROR(__xludf.DUMMYFUNCTION("""COMPUTED_VALUE"""),0.0)</f>
        <v>0</v>
      </c>
      <c r="D1994" s="8"/>
    </row>
    <row r="1995">
      <c r="A1995" s="9"/>
      <c r="B1995" s="9"/>
      <c r="C1995" s="8">
        <f>IFERROR(__xludf.DUMMYFUNCTION("""COMPUTED_VALUE"""),0.0)</f>
        <v>0</v>
      </c>
      <c r="D1995" s="8"/>
    </row>
    <row r="1996">
      <c r="A1996" s="9" t="str">
        <f>IFERROR(__xludf.DUMMYFUNCTION("""COMPUTED_VALUE"""),"Batch 193")</f>
        <v>Batch 193</v>
      </c>
      <c r="B1996" s="9" t="str">
        <f>IFERROR(__xludf.DUMMYFUNCTION("""COMPUTED_VALUE"""),"SomyC93")</f>
        <v>SomyC93</v>
      </c>
      <c r="C1996" s="8">
        <f>IFERROR(__xludf.DUMMYFUNCTION("""COMPUTED_VALUE"""),0.0)</f>
        <v>0</v>
      </c>
      <c r="D1996" s="8"/>
    </row>
    <row r="1997">
      <c r="A1997" s="9" t="str">
        <f>IFERROR(__xludf.DUMMYFUNCTION("""COMPUTED_VALUE"""),"Batch 193")</f>
        <v>Batch 193</v>
      </c>
      <c r="B1997" s="9" t="str">
        <f>IFERROR(__xludf.DUMMYFUNCTION("""COMPUTED_VALUE"""),"PiyushC93")</f>
        <v>PiyushC93</v>
      </c>
      <c r="C1997" s="8">
        <f>IFERROR(__xludf.DUMMYFUNCTION("""COMPUTED_VALUE"""),0.0)</f>
        <v>0</v>
      </c>
      <c r="D1997" s="8">
        <f>IFERROR(__xludf.DUMMYFUNCTION("""COMPUTED_VALUE"""),1.0)</f>
        <v>1</v>
      </c>
    </row>
    <row r="1998">
      <c r="A1998" s="9" t="str">
        <f>IFERROR(__xludf.DUMMYFUNCTION("""COMPUTED_VALUE"""),"Batch 193")</f>
        <v>Batch 193</v>
      </c>
      <c r="B1998" s="9" t="str">
        <f>IFERROR(__xludf.DUMMYFUNCTION("""COMPUTED_VALUE"""),"DevanshC93")</f>
        <v>DevanshC93</v>
      </c>
      <c r="C1998" s="8">
        <f>IFERROR(__xludf.DUMMYFUNCTION("""COMPUTED_VALUE"""),0.0)</f>
        <v>0</v>
      </c>
      <c r="D1998" s="8"/>
    </row>
    <row r="1999">
      <c r="A1999" s="9" t="str">
        <f>IFERROR(__xludf.DUMMYFUNCTION("""COMPUTED_VALUE"""),"Batch 193")</f>
        <v>Batch 193</v>
      </c>
      <c r="B1999" s="9" t="str">
        <f>IFERROR(__xludf.DUMMYFUNCTION("""COMPUTED_VALUE"""),"VikashC93")</f>
        <v>VikashC93</v>
      </c>
      <c r="C1999" s="8">
        <f>IFERROR(__xludf.DUMMYFUNCTION("""COMPUTED_VALUE"""),0.0)</f>
        <v>0</v>
      </c>
      <c r="D1999" s="8"/>
    </row>
    <row r="2000">
      <c r="A2000" s="9" t="str">
        <f>IFERROR(__xludf.DUMMYFUNCTION("""COMPUTED_VALUE"""),"Batch 193")</f>
        <v>Batch 193</v>
      </c>
      <c r="B2000" s="9" t="str">
        <f>IFERROR(__xludf.DUMMYFUNCTION("""COMPUTED_VALUE"""),"MehulC93")</f>
        <v>MehulC93</v>
      </c>
      <c r="C2000" s="8">
        <f>IFERROR(__xludf.DUMMYFUNCTION("""COMPUTED_VALUE"""),0.0)</f>
        <v>0</v>
      </c>
      <c r="D2000" s="8"/>
    </row>
    <row r="2001">
      <c r="A2001" s="9" t="str">
        <f>IFERROR(__xludf.DUMMYFUNCTION("""COMPUTED_VALUE"""),"Batch 193")</f>
        <v>Batch 193</v>
      </c>
      <c r="B2001" s="9" t="str">
        <f>IFERROR(__xludf.DUMMYFUNCTION("""COMPUTED_VALUE"""),"SomC93")</f>
        <v>SomC93</v>
      </c>
      <c r="C2001" s="8">
        <f>IFERROR(__xludf.DUMMYFUNCTION("""COMPUTED_VALUE"""),5.0)</f>
        <v>5</v>
      </c>
      <c r="D2001" s="8"/>
    </row>
    <row r="2002">
      <c r="A2002" s="9" t="str">
        <f>IFERROR(__xludf.DUMMYFUNCTION("""COMPUTED_VALUE"""),"Batch 193")</f>
        <v>Batch 193</v>
      </c>
      <c r="B2002" s="9" t="str">
        <f>IFERROR(__xludf.DUMMYFUNCTION("""COMPUTED_VALUE"""),"ArjunC93")</f>
        <v>ArjunC93</v>
      </c>
      <c r="C2002" s="8">
        <f>IFERROR(__xludf.DUMMYFUNCTION("""COMPUTED_VALUE"""),0.0)</f>
        <v>0</v>
      </c>
      <c r="D2002" s="8">
        <f>IFERROR(__xludf.DUMMYFUNCTION("""COMPUTED_VALUE"""),2.0)</f>
        <v>2</v>
      </c>
    </row>
    <row r="2003">
      <c r="A2003" s="9" t="str">
        <f>IFERROR(__xludf.DUMMYFUNCTION("""COMPUTED_VALUE"""),"Batch 193")</f>
        <v>Batch 193</v>
      </c>
      <c r="B2003" s="9" t="str">
        <f>IFERROR(__xludf.DUMMYFUNCTION("""COMPUTED_VALUE"""),"ParvC93")</f>
        <v>ParvC93</v>
      </c>
      <c r="C2003" s="8">
        <f>IFERROR(__xludf.DUMMYFUNCTION("""COMPUTED_VALUE"""),0.0)</f>
        <v>0</v>
      </c>
      <c r="D2003" s="8"/>
    </row>
    <row r="2004">
      <c r="A2004" s="9" t="str">
        <f>IFERROR(__xludf.DUMMYFUNCTION("""COMPUTED_VALUE"""),"Batch 193")</f>
        <v>Batch 193</v>
      </c>
      <c r="B2004" s="9" t="str">
        <f>IFERROR(__xludf.DUMMYFUNCTION("""COMPUTED_VALUE"""),"ChaitanyakirtiC93")</f>
        <v>ChaitanyakirtiC93</v>
      </c>
      <c r="C2004" s="8">
        <f>IFERROR(__xludf.DUMMYFUNCTION("""COMPUTED_VALUE"""),0.0)</f>
        <v>0</v>
      </c>
      <c r="D2004" s="8"/>
    </row>
    <row r="2005">
      <c r="A2005" s="9" t="str">
        <f>IFERROR(__xludf.DUMMYFUNCTION("""COMPUTED_VALUE"""),"Batch 193")</f>
        <v>Batch 193</v>
      </c>
      <c r="B2005" s="9" t="str">
        <f>IFERROR(__xludf.DUMMYFUNCTION("""COMPUTED_VALUE"""),"NeelotpalC93")</f>
        <v>NeelotpalC93</v>
      </c>
      <c r="C2005" s="8">
        <f>IFERROR(__xludf.DUMMYFUNCTION("""COMPUTED_VALUE"""),0.0)</f>
        <v>0</v>
      </c>
      <c r="D2005" s="8"/>
    </row>
    <row r="2006">
      <c r="A2006" s="9" t="str">
        <f>IFERROR(__xludf.DUMMYFUNCTION("""COMPUTED_VALUE"""),"Batch 193")</f>
        <v>Batch 193</v>
      </c>
      <c r="B2006" s="9" t="str">
        <f>IFERROR(__xludf.DUMMYFUNCTION("""COMPUTED_VALUE"""),"ShreyaC93")</f>
        <v>ShreyaC93</v>
      </c>
      <c r="C2006" s="8">
        <f>IFERROR(__xludf.DUMMYFUNCTION("""COMPUTED_VALUE"""),0.0)</f>
        <v>0</v>
      </c>
      <c r="D2006" s="8"/>
    </row>
    <row r="2007">
      <c r="A2007" s="9" t="str">
        <f>IFERROR(__xludf.DUMMYFUNCTION("""COMPUTED_VALUE"""),"Batch 193")</f>
        <v>Batch 193</v>
      </c>
      <c r="B2007" s="9" t="str">
        <f>IFERROR(__xludf.DUMMYFUNCTION("""COMPUTED_VALUE"""),"PuneetC93")</f>
        <v>PuneetC93</v>
      </c>
      <c r="C2007" s="8">
        <f>IFERROR(__xludf.DUMMYFUNCTION("""COMPUTED_VALUE"""),15.0)</f>
        <v>15</v>
      </c>
      <c r="D2007" s="8"/>
    </row>
    <row r="2008">
      <c r="A2008" s="9" t="str">
        <f>IFERROR(__xludf.DUMMYFUNCTION("""COMPUTED_VALUE"""),"Batch 193")</f>
        <v>Batch 193</v>
      </c>
      <c r="B2008" s="9" t="str">
        <f>IFERROR(__xludf.DUMMYFUNCTION("""COMPUTED_VALUE"""),"PrasannaC93")</f>
        <v>PrasannaC93</v>
      </c>
      <c r="C2008" s="8">
        <f>IFERROR(__xludf.DUMMYFUNCTION("""COMPUTED_VALUE"""),0.0)</f>
        <v>0</v>
      </c>
      <c r="D2008" s="8"/>
    </row>
    <row r="2009">
      <c r="A2009" s="9" t="str">
        <f>IFERROR(__xludf.DUMMYFUNCTION("""COMPUTED_VALUE"""),"Batch 193")</f>
        <v>Batch 193</v>
      </c>
      <c r="B2009" s="9" t="str">
        <f>IFERROR(__xludf.DUMMYFUNCTION("""COMPUTED_VALUE"""),"lizaC93")</f>
        <v>lizaC93</v>
      </c>
      <c r="C2009" s="8">
        <f>IFERROR(__xludf.DUMMYFUNCTION("""COMPUTED_VALUE"""),4.0)</f>
        <v>4</v>
      </c>
      <c r="D2009" s="8"/>
    </row>
    <row r="2010">
      <c r="A2010" s="9" t="str">
        <f>IFERROR(__xludf.DUMMYFUNCTION("""COMPUTED_VALUE"""),"Batch 193")</f>
        <v>Batch 193</v>
      </c>
      <c r="B2010" s="9" t="str">
        <f>IFERROR(__xludf.DUMMYFUNCTION("""COMPUTED_VALUE"""),"ChaitanyaC93")</f>
        <v>ChaitanyaC93</v>
      </c>
      <c r="C2010" s="8">
        <f>IFERROR(__xludf.DUMMYFUNCTION("""COMPUTED_VALUE"""),1.0)</f>
        <v>1</v>
      </c>
      <c r="D2010" s="8"/>
    </row>
    <row r="2011">
      <c r="A2011" s="9"/>
      <c r="B2011" s="9"/>
      <c r="C2011" s="8">
        <f>IFERROR(__xludf.DUMMYFUNCTION("""COMPUTED_VALUE"""),0.0)</f>
        <v>0</v>
      </c>
      <c r="D2011" s="8"/>
    </row>
    <row r="2012">
      <c r="A2012" s="9"/>
      <c r="B2012" s="9"/>
      <c r="C2012" s="8">
        <f>IFERROR(__xludf.DUMMYFUNCTION("""COMPUTED_VALUE"""),0.0)</f>
        <v>0</v>
      </c>
      <c r="D2012" s="8"/>
    </row>
    <row r="2013">
      <c r="A2013" s="9" t="str">
        <f>IFERROR(__xludf.DUMMYFUNCTION("""COMPUTED_VALUE"""),"Batch 194")</f>
        <v>Batch 194</v>
      </c>
      <c r="B2013" s="9" t="str">
        <f>IFERROR(__xludf.DUMMYFUNCTION("""COMPUTED_VALUE"""),"BijendraC94")</f>
        <v>BijendraC94</v>
      </c>
      <c r="C2013" s="8">
        <f>IFERROR(__xludf.DUMMYFUNCTION("""COMPUTED_VALUE"""),0.0)</f>
        <v>0</v>
      </c>
      <c r="D2013" s="8"/>
    </row>
    <row r="2014">
      <c r="A2014" s="9" t="str">
        <f>IFERROR(__xludf.DUMMYFUNCTION("""COMPUTED_VALUE"""),"Batch 194")</f>
        <v>Batch 194</v>
      </c>
      <c r="B2014" s="9" t="str">
        <f>IFERROR(__xludf.DUMMYFUNCTION("""COMPUTED_VALUE"""),"AyushC94")</f>
        <v>AyushC94</v>
      </c>
      <c r="C2014" s="8">
        <f>IFERROR(__xludf.DUMMYFUNCTION("""COMPUTED_VALUE"""),0.0)</f>
        <v>0</v>
      </c>
      <c r="D2014" s="8"/>
    </row>
    <row r="2015">
      <c r="A2015" s="9" t="str">
        <f>IFERROR(__xludf.DUMMYFUNCTION("""COMPUTED_VALUE"""),"Batch 194")</f>
        <v>Batch 194</v>
      </c>
      <c r="B2015" s="9" t="str">
        <f>IFERROR(__xludf.DUMMYFUNCTION("""COMPUTED_VALUE"""),"THIPIRISHETTYC94")</f>
        <v>THIPIRISHETTYC94</v>
      </c>
      <c r="C2015" s="8">
        <f>IFERROR(__xludf.DUMMYFUNCTION("""COMPUTED_VALUE"""),1.0)</f>
        <v>1</v>
      </c>
      <c r="D2015" s="8">
        <f>IFERROR(__xludf.DUMMYFUNCTION("""COMPUTED_VALUE"""),1.0)</f>
        <v>1</v>
      </c>
    </row>
    <row r="2016">
      <c r="A2016" s="9" t="str">
        <f>IFERROR(__xludf.DUMMYFUNCTION("""COMPUTED_VALUE"""),"Batch 194")</f>
        <v>Batch 194</v>
      </c>
      <c r="B2016" s="9" t="str">
        <f>IFERROR(__xludf.DUMMYFUNCTION("""COMPUTED_VALUE"""),"maramC94")</f>
        <v>maramC94</v>
      </c>
      <c r="C2016" s="8">
        <f>IFERROR(__xludf.DUMMYFUNCTION("""COMPUTED_VALUE"""),1.0)</f>
        <v>1</v>
      </c>
      <c r="D2016" s="8"/>
    </row>
    <row r="2017">
      <c r="A2017" s="9" t="str">
        <f>IFERROR(__xludf.DUMMYFUNCTION("""COMPUTED_VALUE"""),"Batch 194")</f>
        <v>Batch 194</v>
      </c>
      <c r="B2017" s="9" t="str">
        <f>IFERROR(__xludf.DUMMYFUNCTION("""COMPUTED_VALUE"""),"KUNDANC94")</f>
        <v>KUNDANC94</v>
      </c>
      <c r="C2017" s="8">
        <f>IFERROR(__xludf.DUMMYFUNCTION("""COMPUTED_VALUE"""),2.0)</f>
        <v>2</v>
      </c>
      <c r="D2017" s="8">
        <f>IFERROR(__xludf.DUMMYFUNCTION("""COMPUTED_VALUE"""),1.0)</f>
        <v>1</v>
      </c>
    </row>
    <row r="2018">
      <c r="A2018" s="9" t="str">
        <f>IFERROR(__xludf.DUMMYFUNCTION("""COMPUTED_VALUE"""),"Batch 194")</f>
        <v>Batch 194</v>
      </c>
      <c r="B2018" s="9" t="str">
        <f>IFERROR(__xludf.DUMMYFUNCTION("""COMPUTED_VALUE"""),"AnubhabC94")</f>
        <v>AnubhabC94</v>
      </c>
      <c r="C2018" s="8">
        <f>IFERROR(__xludf.DUMMYFUNCTION("""COMPUTED_VALUE"""),1.0)</f>
        <v>1</v>
      </c>
      <c r="D2018" s="8"/>
    </row>
    <row r="2019">
      <c r="A2019" s="9" t="str">
        <f>IFERROR(__xludf.DUMMYFUNCTION("""COMPUTED_VALUE"""),"Batch 194")</f>
        <v>Batch 194</v>
      </c>
      <c r="B2019" s="9" t="str">
        <f>IFERROR(__xludf.DUMMYFUNCTION("""COMPUTED_VALUE"""),"AanandC94")</f>
        <v>AanandC94</v>
      </c>
      <c r="C2019" s="8">
        <f>IFERROR(__xludf.DUMMYFUNCTION("""COMPUTED_VALUE"""),0.0)</f>
        <v>0</v>
      </c>
      <c r="D2019" s="8"/>
    </row>
    <row r="2020">
      <c r="A2020" s="9" t="str">
        <f>IFERROR(__xludf.DUMMYFUNCTION("""COMPUTED_VALUE"""),"Batch 194")</f>
        <v>Batch 194</v>
      </c>
      <c r="B2020" s="9" t="str">
        <f>IFERROR(__xludf.DUMMYFUNCTION("""COMPUTED_VALUE"""),"ShivamRC94")</f>
        <v>ShivamRC94</v>
      </c>
      <c r="C2020" s="8">
        <f>IFERROR(__xludf.DUMMYFUNCTION("""COMPUTED_VALUE"""),1.0)</f>
        <v>1</v>
      </c>
      <c r="D2020" s="8"/>
    </row>
    <row r="2021">
      <c r="A2021" s="9" t="str">
        <f>IFERROR(__xludf.DUMMYFUNCTION("""COMPUTED_VALUE"""),"Batch 194")</f>
        <v>Batch 194</v>
      </c>
      <c r="B2021" s="9" t="str">
        <f>IFERROR(__xludf.DUMMYFUNCTION("""COMPUTED_VALUE"""),"SohiniC94")</f>
        <v>SohiniC94</v>
      </c>
      <c r="C2021" s="8">
        <f>IFERROR(__xludf.DUMMYFUNCTION("""COMPUTED_VALUE"""),0.0)</f>
        <v>0</v>
      </c>
      <c r="D2021" s="8"/>
    </row>
    <row r="2022">
      <c r="A2022" s="9" t="str">
        <f>IFERROR(__xludf.DUMMYFUNCTION("""COMPUTED_VALUE"""),"Batch 194")</f>
        <v>Batch 194</v>
      </c>
      <c r="B2022" s="9" t="str">
        <f>IFERROR(__xludf.DUMMYFUNCTION("""COMPUTED_VALUE"""),"AritraC94")</f>
        <v>AritraC94</v>
      </c>
      <c r="C2022" s="8">
        <f>IFERROR(__xludf.DUMMYFUNCTION("""COMPUTED_VALUE"""),0.0)</f>
        <v>0</v>
      </c>
      <c r="D2022" s="8"/>
    </row>
    <row r="2023">
      <c r="A2023" s="9" t="str">
        <f>IFERROR(__xludf.DUMMYFUNCTION("""COMPUTED_VALUE"""),"Batch 194")</f>
        <v>Batch 194</v>
      </c>
      <c r="B2023" s="9" t="str">
        <f>IFERROR(__xludf.DUMMYFUNCTION("""COMPUTED_VALUE"""),"MimanshaC94")</f>
        <v>MimanshaC94</v>
      </c>
      <c r="C2023" s="8">
        <f>IFERROR(__xludf.DUMMYFUNCTION("""COMPUTED_VALUE"""),0.0)</f>
        <v>0</v>
      </c>
      <c r="D2023" s="8"/>
    </row>
    <row r="2024">
      <c r="A2024" s="9" t="str">
        <f>IFERROR(__xludf.DUMMYFUNCTION("""COMPUTED_VALUE"""),"Batch 194")</f>
        <v>Batch 194</v>
      </c>
      <c r="B2024" s="9" t="str">
        <f>IFERROR(__xludf.DUMMYFUNCTION("""COMPUTED_VALUE"""),"AvinashC94")</f>
        <v>AvinashC94</v>
      </c>
      <c r="C2024" s="8">
        <f>IFERROR(__xludf.DUMMYFUNCTION("""COMPUTED_VALUE"""),0.0)</f>
        <v>0</v>
      </c>
      <c r="D2024" s="8"/>
    </row>
    <row r="2025">
      <c r="A2025" s="9" t="str">
        <f>IFERROR(__xludf.DUMMYFUNCTION("""COMPUTED_VALUE"""),"Batch 194")</f>
        <v>Batch 194</v>
      </c>
      <c r="B2025" s="9" t="str">
        <f>IFERROR(__xludf.DUMMYFUNCTION("""COMPUTED_VALUE"""),"YuthanC94")</f>
        <v>YuthanC94</v>
      </c>
      <c r="C2025" s="8">
        <f>IFERROR(__xludf.DUMMYFUNCTION("""COMPUTED_VALUE"""),21.0)</f>
        <v>21</v>
      </c>
      <c r="D2025" s="8"/>
    </row>
    <row r="2026">
      <c r="A2026" s="9" t="str">
        <f>IFERROR(__xludf.DUMMYFUNCTION("""COMPUTED_VALUE"""),"Batch 194")</f>
        <v>Batch 194</v>
      </c>
      <c r="B2026" s="9" t="str">
        <f>IFERROR(__xludf.DUMMYFUNCTION("""COMPUTED_VALUE"""),"EkraC94")</f>
        <v>EkraC94</v>
      </c>
      <c r="C2026" s="8">
        <f>IFERROR(__xludf.DUMMYFUNCTION("""COMPUTED_VALUE"""),0.0)</f>
        <v>0</v>
      </c>
      <c r="D2026" s="8"/>
    </row>
    <row r="2027">
      <c r="A2027" s="9" t="str">
        <f>IFERROR(__xludf.DUMMYFUNCTION("""COMPUTED_VALUE"""),"Batch 194")</f>
        <v>Batch 194</v>
      </c>
      <c r="B2027" s="9" t="str">
        <f>IFERROR(__xludf.DUMMYFUNCTION("""COMPUTED_VALUE"""),"IshuC94")</f>
        <v>IshuC94</v>
      </c>
      <c r="C2027" s="8">
        <f>IFERROR(__xludf.DUMMYFUNCTION("""COMPUTED_VALUE"""),0.0)</f>
        <v>0</v>
      </c>
      <c r="D2027" s="8"/>
    </row>
    <row r="2028">
      <c r="A2028" s="9" t="str">
        <f>IFERROR(__xludf.DUMMYFUNCTION("""COMPUTED_VALUE"""),"Batch 194")</f>
        <v>Batch 194</v>
      </c>
      <c r="B2028" s="9" t="str">
        <f>IFERROR(__xludf.DUMMYFUNCTION("""COMPUTED_VALUE"""),"DebarpanC94")</f>
        <v>DebarpanC94</v>
      </c>
      <c r="C2028" s="8">
        <f>IFERROR(__xludf.DUMMYFUNCTION("""COMPUTED_VALUE"""),1.0)</f>
        <v>1</v>
      </c>
      <c r="D2028" s="8">
        <f>IFERROR(__xludf.DUMMYFUNCTION("""COMPUTED_VALUE"""),3.0)</f>
        <v>3</v>
      </c>
    </row>
    <row r="2029">
      <c r="A2029" s="9" t="str">
        <f>IFERROR(__xludf.DUMMYFUNCTION("""COMPUTED_VALUE"""),"Batch 194")</f>
        <v>Batch 194</v>
      </c>
      <c r="B2029" s="9" t="str">
        <f>IFERROR(__xludf.DUMMYFUNCTION("""COMPUTED_VALUE"""),"AnilC94")</f>
        <v>AnilC94</v>
      </c>
      <c r="C2029" s="8">
        <f>IFERROR(__xludf.DUMMYFUNCTION("""COMPUTED_VALUE"""),0.0)</f>
        <v>0</v>
      </c>
      <c r="D2029" s="8"/>
    </row>
    <row r="2030">
      <c r="A2030" s="9" t="str">
        <f>IFERROR(__xludf.DUMMYFUNCTION("""COMPUTED_VALUE"""),"Batch 194")</f>
        <v>Batch 194</v>
      </c>
      <c r="B2030" s="9" t="str">
        <f>IFERROR(__xludf.DUMMYFUNCTION("""COMPUTED_VALUE"""),"NamanC94")</f>
        <v>NamanC94</v>
      </c>
      <c r="C2030" s="8">
        <f>IFERROR(__xludf.DUMMYFUNCTION("""COMPUTED_VALUE"""),0.0)</f>
        <v>0</v>
      </c>
      <c r="D2030" s="8"/>
    </row>
    <row r="2031">
      <c r="A2031" s="9" t="str">
        <f>IFERROR(__xludf.DUMMYFUNCTION("""COMPUTED_VALUE"""),"Batch 194")</f>
        <v>Batch 194</v>
      </c>
      <c r="B2031" s="9" t="str">
        <f>IFERROR(__xludf.DUMMYFUNCTION("""COMPUTED_VALUE"""),"CC94")</f>
        <v>CC94</v>
      </c>
      <c r="C2031" s="8">
        <f>IFERROR(__xludf.DUMMYFUNCTION("""COMPUTED_VALUE"""),0.0)</f>
        <v>0</v>
      </c>
      <c r="D2031" s="8"/>
    </row>
    <row r="2032">
      <c r="A2032" s="9" t="str">
        <f>IFERROR(__xludf.DUMMYFUNCTION("""COMPUTED_VALUE"""),"Batch 194")</f>
        <v>Batch 194</v>
      </c>
      <c r="B2032" s="9" t="str">
        <f>IFERROR(__xludf.DUMMYFUNCTION("""COMPUTED_VALUE"""),"ShivamMC94")</f>
        <v>ShivamMC94</v>
      </c>
      <c r="C2032" s="8">
        <f>IFERROR(__xludf.DUMMYFUNCTION("""COMPUTED_VALUE"""),0.0)</f>
        <v>0</v>
      </c>
      <c r="D2032" s="8"/>
    </row>
    <row r="2033">
      <c r="A2033" s="9" t="str">
        <f>IFERROR(__xludf.DUMMYFUNCTION("""COMPUTED_VALUE"""),"Batch 194")</f>
        <v>Batch 194</v>
      </c>
      <c r="B2033" s="9" t="str">
        <f>IFERROR(__xludf.DUMMYFUNCTION("""COMPUTED_VALUE"""),"SnehaC94")</f>
        <v>SnehaC94</v>
      </c>
      <c r="C2033" s="8">
        <f>IFERROR(__xludf.DUMMYFUNCTION("""COMPUTED_VALUE"""),6.0)</f>
        <v>6</v>
      </c>
      <c r="D2033" s="8"/>
    </row>
    <row r="2034">
      <c r="A2034" s="9" t="str">
        <f>IFERROR(__xludf.DUMMYFUNCTION("""COMPUTED_VALUE"""),"Batch 194")</f>
        <v>Batch 194</v>
      </c>
      <c r="B2034" s="9" t="str">
        <f>IFERROR(__xludf.DUMMYFUNCTION("""COMPUTED_VALUE"""),"ArkaC94")</f>
        <v>ArkaC94</v>
      </c>
      <c r="C2034" s="8">
        <f>IFERROR(__xludf.DUMMYFUNCTION("""COMPUTED_VALUE"""),0.0)</f>
        <v>0</v>
      </c>
      <c r="D2034" s="8"/>
    </row>
    <row r="2035">
      <c r="A2035" s="9" t="str">
        <f>IFERROR(__xludf.DUMMYFUNCTION("""COMPUTED_VALUE"""),"Batch 194")</f>
        <v>Batch 194</v>
      </c>
      <c r="B2035" s="9" t="str">
        <f>IFERROR(__xludf.DUMMYFUNCTION("""COMPUTED_VALUE"""),"AfzalC94")</f>
        <v>AfzalC94</v>
      </c>
      <c r="C2035" s="8">
        <f>IFERROR(__xludf.DUMMYFUNCTION("""COMPUTED_VALUE"""),0.0)</f>
        <v>0</v>
      </c>
      <c r="D2035" s="8"/>
    </row>
    <row r="2036">
      <c r="A2036" s="9" t="str">
        <f>IFERROR(__xludf.DUMMYFUNCTION("""COMPUTED_VALUE"""),"Batch 194")</f>
        <v>Batch 194</v>
      </c>
      <c r="B2036" s="9" t="str">
        <f>IFERROR(__xludf.DUMMYFUNCTION("""COMPUTED_VALUE"""),"AhmadC94")</f>
        <v>AhmadC94</v>
      </c>
      <c r="C2036" s="8">
        <f>IFERROR(__xludf.DUMMYFUNCTION("""COMPUTED_VALUE"""),0.0)</f>
        <v>0</v>
      </c>
      <c r="D2036" s="8"/>
    </row>
    <row r="2037">
      <c r="A2037" s="9" t="str">
        <f>IFERROR(__xludf.DUMMYFUNCTION("""COMPUTED_VALUE"""),"Batch 194")</f>
        <v>Batch 194</v>
      </c>
      <c r="B2037" s="9" t="str">
        <f>IFERROR(__xludf.DUMMYFUNCTION("""COMPUTED_VALUE"""),"AnubhabC94")</f>
        <v>AnubhabC94</v>
      </c>
      <c r="C2037" s="8">
        <f>IFERROR(__xludf.DUMMYFUNCTION("""COMPUTED_VALUE"""),0.0)</f>
        <v>0</v>
      </c>
      <c r="D2037" s="8"/>
    </row>
    <row r="2038">
      <c r="A2038" s="9" t="str">
        <f>IFERROR(__xludf.DUMMYFUNCTION("""COMPUTED_VALUE"""),"Batch 194")</f>
        <v>Batch 194</v>
      </c>
      <c r="B2038" s="9" t="str">
        <f>IFERROR(__xludf.DUMMYFUNCTION("""COMPUTED_VALUE"""),"BibhutiC94")</f>
        <v>BibhutiC94</v>
      </c>
      <c r="C2038" s="8">
        <f>IFERROR(__xludf.DUMMYFUNCTION("""COMPUTED_VALUE"""),0.0)</f>
        <v>0</v>
      </c>
      <c r="D2038" s="8"/>
    </row>
    <row r="2039">
      <c r="A2039" s="9" t="str">
        <f>IFERROR(__xludf.DUMMYFUNCTION("""COMPUTED_VALUE"""),"Batch 194")</f>
        <v>Batch 194</v>
      </c>
      <c r="B2039" s="9" t="str">
        <f>IFERROR(__xludf.DUMMYFUNCTION("""COMPUTED_VALUE"""),"SoumyojitC94")</f>
        <v>SoumyojitC94</v>
      </c>
      <c r="C2039" s="8">
        <f>IFERROR(__xludf.DUMMYFUNCTION("""COMPUTED_VALUE"""),0.0)</f>
        <v>0</v>
      </c>
      <c r="D2039" s="8"/>
    </row>
    <row r="2040">
      <c r="A2040" s="9" t="str">
        <f>IFERROR(__xludf.DUMMYFUNCTION("""COMPUTED_VALUE"""),"Batch 194")</f>
        <v>Batch 194</v>
      </c>
      <c r="B2040" s="9" t="str">
        <f>IFERROR(__xludf.DUMMYFUNCTION("""COMPUTED_VALUE"""),"DarshanC94")</f>
        <v>DarshanC94</v>
      </c>
      <c r="C2040" s="8">
        <f>IFERROR(__xludf.DUMMYFUNCTION("""COMPUTED_VALUE"""),0.0)</f>
        <v>0</v>
      </c>
      <c r="D2040" s="8"/>
    </row>
    <row r="2041">
      <c r="A2041" s="9" t="str">
        <f>IFERROR(__xludf.DUMMYFUNCTION("""COMPUTED_VALUE"""),"Batch 194")</f>
        <v>Batch 194</v>
      </c>
      <c r="B2041" s="9" t="str">
        <f>IFERROR(__xludf.DUMMYFUNCTION("""COMPUTED_VALUE"""),"VishalC94")</f>
        <v>VishalC94</v>
      </c>
      <c r="C2041" s="8">
        <f>IFERROR(__xludf.DUMMYFUNCTION("""COMPUTED_VALUE"""),0.0)</f>
        <v>0</v>
      </c>
      <c r="D2041" s="8"/>
    </row>
    <row r="2042">
      <c r="A2042" s="9" t="str">
        <f>IFERROR(__xludf.DUMMYFUNCTION("""COMPUTED_VALUE"""),"Batch 194")</f>
        <v>Batch 194</v>
      </c>
      <c r="B2042" s="9" t="str">
        <f>IFERROR(__xludf.DUMMYFUNCTION("""COMPUTED_VALUE"""),"AmanLC94")</f>
        <v>AmanLC94</v>
      </c>
      <c r="C2042" s="8">
        <f>IFERROR(__xludf.DUMMYFUNCTION("""COMPUTED_VALUE"""),0.0)</f>
        <v>0</v>
      </c>
      <c r="D2042" s="8"/>
    </row>
    <row r="2043">
      <c r="A2043" s="9" t="str">
        <f>IFERROR(__xludf.DUMMYFUNCTION("""COMPUTED_VALUE"""),"Batch 194")</f>
        <v>Batch 194</v>
      </c>
      <c r="B2043" s="9" t="str">
        <f>IFERROR(__xludf.DUMMYFUNCTION("""COMPUTED_VALUE"""),"VangoluC94")</f>
        <v>VangoluC94</v>
      </c>
      <c r="C2043" s="8">
        <f>IFERROR(__xludf.DUMMYFUNCTION("""COMPUTED_VALUE"""),0.0)</f>
        <v>0</v>
      </c>
      <c r="D2043" s="8"/>
    </row>
    <row r="2044">
      <c r="A2044" s="9" t="str">
        <f>IFERROR(__xludf.DUMMYFUNCTION("""COMPUTED_VALUE"""),"Batch 194")</f>
        <v>Batch 194</v>
      </c>
      <c r="B2044" s="9" t="str">
        <f>IFERROR(__xludf.DUMMYFUNCTION("""COMPUTED_VALUE"""),"SuryaC94")</f>
        <v>SuryaC94</v>
      </c>
      <c r="C2044" s="8">
        <f>IFERROR(__xludf.DUMMYFUNCTION("""COMPUTED_VALUE"""),4.0)</f>
        <v>4</v>
      </c>
      <c r="D2044" s="8">
        <f>IFERROR(__xludf.DUMMYFUNCTION("""COMPUTED_VALUE"""),6.0)</f>
        <v>6</v>
      </c>
    </row>
    <row r="2045">
      <c r="A2045" s="9" t="str">
        <f>IFERROR(__xludf.DUMMYFUNCTION("""COMPUTED_VALUE"""),"Batch 194")</f>
        <v>Batch 194</v>
      </c>
      <c r="B2045" s="9" t="str">
        <f>IFERROR(__xludf.DUMMYFUNCTION("""COMPUTED_VALUE"""),"bethinaC94")</f>
        <v>bethinaC94</v>
      </c>
      <c r="C2045" s="8">
        <f>IFERROR(__xludf.DUMMYFUNCTION("""COMPUTED_VALUE"""),0.0)</f>
        <v>0</v>
      </c>
      <c r="D2045" s="8"/>
    </row>
    <row r="2046">
      <c r="A2046" s="9" t="str">
        <f>IFERROR(__xludf.DUMMYFUNCTION("""COMPUTED_VALUE"""),"Batch 194")</f>
        <v>Batch 194</v>
      </c>
      <c r="B2046" s="9" t="str">
        <f>IFERROR(__xludf.DUMMYFUNCTION("""COMPUTED_VALUE"""),"lavanyaC94")</f>
        <v>lavanyaC94</v>
      </c>
      <c r="C2046" s="8">
        <f>IFERROR(__xludf.DUMMYFUNCTION("""COMPUTED_VALUE"""),0.0)</f>
        <v>0</v>
      </c>
      <c r="D2046" s="8"/>
    </row>
    <row r="2047">
      <c r="A2047" s="9" t="str">
        <f>IFERROR(__xludf.DUMMYFUNCTION("""COMPUTED_VALUE"""),"Batch 194")</f>
        <v>Batch 194</v>
      </c>
      <c r="B2047" s="9" t="str">
        <f>IFERROR(__xludf.DUMMYFUNCTION("""COMPUTED_VALUE"""),"NiyatiC94")</f>
        <v>NiyatiC94</v>
      </c>
      <c r="C2047" s="8">
        <f>IFERROR(__xludf.DUMMYFUNCTION("""COMPUTED_VALUE"""),0.0)</f>
        <v>0</v>
      </c>
      <c r="D2047" s="8"/>
    </row>
    <row r="2048">
      <c r="A2048" s="9" t="str">
        <f>IFERROR(__xludf.DUMMYFUNCTION("""COMPUTED_VALUE"""),"Batch 194")</f>
        <v>Batch 194</v>
      </c>
      <c r="B2048" s="9" t="str">
        <f>IFERROR(__xludf.DUMMYFUNCTION("""COMPUTED_VALUE"""),"RudramadhabC94")</f>
        <v>RudramadhabC94</v>
      </c>
      <c r="C2048" s="8">
        <f>IFERROR(__xludf.DUMMYFUNCTION("""COMPUTED_VALUE"""),0.0)</f>
        <v>0</v>
      </c>
      <c r="D2048" s="8"/>
    </row>
    <row r="2049">
      <c r="A2049" s="9" t="str">
        <f>IFERROR(__xludf.DUMMYFUNCTION("""COMPUTED_VALUE"""),"Batch 194")</f>
        <v>Batch 194</v>
      </c>
      <c r="B2049" s="9" t="str">
        <f>IFERROR(__xludf.DUMMYFUNCTION("""COMPUTED_VALUE"""),"BhumikaC94")</f>
        <v>BhumikaC94</v>
      </c>
      <c r="C2049" s="8">
        <f>IFERROR(__xludf.DUMMYFUNCTION("""COMPUTED_VALUE"""),0.0)</f>
        <v>0</v>
      </c>
      <c r="D2049" s="8"/>
    </row>
    <row r="2050">
      <c r="A2050" s="9" t="str">
        <f>IFERROR(__xludf.DUMMYFUNCTION("""COMPUTED_VALUE"""),"Batch 194")</f>
        <v>Batch 194</v>
      </c>
      <c r="B2050" s="9" t="str">
        <f>IFERROR(__xludf.DUMMYFUNCTION("""COMPUTED_VALUE"""),"AnkitC94")</f>
        <v>AnkitC94</v>
      </c>
      <c r="C2050" s="8">
        <f>IFERROR(__xludf.DUMMYFUNCTION("""COMPUTED_VALUE"""),0.0)</f>
        <v>0</v>
      </c>
      <c r="D2050" s="8"/>
    </row>
    <row r="2051">
      <c r="A2051" s="9" t="str">
        <f>IFERROR(__xludf.DUMMYFUNCTION("""COMPUTED_VALUE"""),"Batch 194")</f>
        <v>Batch 194</v>
      </c>
      <c r="B2051" s="9" t="str">
        <f>IFERROR(__xludf.DUMMYFUNCTION("""COMPUTED_VALUE"""),"PillarisettiC94")</f>
        <v>PillarisettiC94</v>
      </c>
      <c r="C2051" s="8">
        <f>IFERROR(__xludf.DUMMYFUNCTION("""COMPUTED_VALUE"""),0.0)</f>
        <v>0</v>
      </c>
      <c r="D2051" s="8">
        <f>IFERROR(__xludf.DUMMYFUNCTION("""COMPUTED_VALUE"""),1.0)</f>
        <v>1</v>
      </c>
    </row>
    <row r="2052">
      <c r="A2052" s="9" t="str">
        <f>IFERROR(__xludf.DUMMYFUNCTION("""COMPUTED_VALUE"""),"Batch 194")</f>
        <v>Batch 194</v>
      </c>
      <c r="B2052" s="9" t="str">
        <f>IFERROR(__xludf.DUMMYFUNCTION("""COMPUTED_VALUE"""),"SkC94")</f>
        <v>SkC94</v>
      </c>
      <c r="C2052" s="8">
        <f>IFERROR(__xludf.DUMMYFUNCTION("""COMPUTED_VALUE"""),0.0)</f>
        <v>0</v>
      </c>
      <c r="D2052" s="8"/>
    </row>
    <row r="2053">
      <c r="A2053" s="9" t="str">
        <f>IFERROR(__xludf.DUMMYFUNCTION("""COMPUTED_VALUE"""),"Batch 194")</f>
        <v>Batch 194</v>
      </c>
      <c r="B2053" s="9" t="str">
        <f>IFERROR(__xludf.DUMMYFUNCTION("""COMPUTED_VALUE"""),"SahilC94")</f>
        <v>SahilC94</v>
      </c>
      <c r="C2053" s="8">
        <f>IFERROR(__xludf.DUMMYFUNCTION("""COMPUTED_VALUE"""),0.0)</f>
        <v>0</v>
      </c>
      <c r="D2053" s="8"/>
    </row>
    <row r="2054">
      <c r="A2054" s="9" t="str">
        <f>IFERROR(__xludf.DUMMYFUNCTION("""COMPUTED_VALUE"""),"Batch 194")</f>
        <v>Batch 194</v>
      </c>
      <c r="B2054" s="9" t="str">
        <f>IFERROR(__xludf.DUMMYFUNCTION("""COMPUTED_VALUE"""),"SahifaC94")</f>
        <v>SahifaC94</v>
      </c>
      <c r="C2054" s="8">
        <f>IFERROR(__xludf.DUMMYFUNCTION("""COMPUTED_VALUE"""),0.0)</f>
        <v>0</v>
      </c>
      <c r="D2054" s="8"/>
    </row>
    <row r="2055">
      <c r="A2055" s="9" t="str">
        <f>IFERROR(__xludf.DUMMYFUNCTION("""COMPUTED_VALUE"""),"Batch 194")</f>
        <v>Batch 194</v>
      </c>
      <c r="B2055" s="9" t="str">
        <f>IFERROR(__xludf.DUMMYFUNCTION("""COMPUTED_VALUE"""),"AdityaC94")</f>
        <v>AdityaC94</v>
      </c>
      <c r="C2055" s="8">
        <f>IFERROR(__xludf.DUMMYFUNCTION("""COMPUTED_VALUE"""),0.0)</f>
        <v>0</v>
      </c>
      <c r="D2055" s="8"/>
    </row>
    <row r="2056">
      <c r="A2056" s="9" t="str">
        <f>IFERROR(__xludf.DUMMYFUNCTION("""COMPUTED_VALUE"""),"Batch 194")</f>
        <v>Batch 194</v>
      </c>
      <c r="B2056" s="9" t="str">
        <f>IFERROR(__xludf.DUMMYFUNCTION("""COMPUTED_VALUE"""),"ShafinC94")</f>
        <v>ShafinC94</v>
      </c>
      <c r="C2056" s="8">
        <f>IFERROR(__xludf.DUMMYFUNCTION("""COMPUTED_VALUE"""),0.0)</f>
        <v>0</v>
      </c>
      <c r="D2056" s="8"/>
    </row>
    <row r="2057">
      <c r="A2057" s="9" t="str">
        <f>IFERROR(__xludf.DUMMYFUNCTION("""COMPUTED_VALUE"""),"Batch 194")</f>
        <v>Batch 194</v>
      </c>
      <c r="B2057" s="9" t="str">
        <f>IFERROR(__xludf.DUMMYFUNCTION("""COMPUTED_VALUE"""),"AyushiC94")</f>
        <v>AyushiC94</v>
      </c>
      <c r="C2057" s="8">
        <f>IFERROR(__xludf.DUMMYFUNCTION("""COMPUTED_VALUE"""),0.0)</f>
        <v>0</v>
      </c>
      <c r="D2057" s="8"/>
    </row>
    <row r="2058">
      <c r="A2058" s="9" t="str">
        <f>IFERROR(__xludf.DUMMYFUNCTION("""COMPUTED_VALUE"""),"Batch 194")</f>
        <v>Batch 194</v>
      </c>
      <c r="B2058" s="9" t="str">
        <f>IFERROR(__xludf.DUMMYFUNCTION("""COMPUTED_VALUE"""),"ShivamKMC94")</f>
        <v>ShivamKMC94</v>
      </c>
      <c r="C2058" s="8">
        <f>IFERROR(__xludf.DUMMYFUNCTION("""COMPUTED_VALUE"""),0.0)</f>
        <v>0</v>
      </c>
      <c r="D2058" s="8"/>
    </row>
    <row r="2059">
      <c r="A2059" s="9" t="str">
        <f>IFERROR(__xludf.DUMMYFUNCTION("""COMPUTED_VALUE"""),"Batch 194")</f>
        <v>Batch 194</v>
      </c>
      <c r="B2059" s="9" t="str">
        <f>IFERROR(__xludf.DUMMYFUNCTION("""COMPUTED_VALUE"""),"MDC94")</f>
        <v>MDC94</v>
      </c>
      <c r="C2059" s="8">
        <f>IFERROR(__xludf.DUMMYFUNCTION("""COMPUTED_VALUE"""),0.0)</f>
        <v>0</v>
      </c>
      <c r="D2059" s="8"/>
    </row>
    <row r="2060">
      <c r="A2060" s="9" t="str">
        <f>IFERROR(__xludf.DUMMYFUNCTION("""COMPUTED_VALUE"""),"Batch 194")</f>
        <v>Batch 194</v>
      </c>
      <c r="B2060" s="9" t="str">
        <f>IFERROR(__xludf.DUMMYFUNCTION("""COMPUTED_VALUE"""),"VivekC94")</f>
        <v>VivekC94</v>
      </c>
      <c r="C2060" s="8">
        <f>IFERROR(__xludf.DUMMYFUNCTION("""COMPUTED_VALUE"""),0.0)</f>
        <v>0</v>
      </c>
      <c r="D2060" s="8"/>
    </row>
    <row r="2061">
      <c r="A2061" s="9" t="str">
        <f>IFERROR(__xludf.DUMMYFUNCTION("""COMPUTED_VALUE"""),"Batch 194")</f>
        <v>Batch 194</v>
      </c>
      <c r="B2061" s="9" t="str">
        <f>IFERROR(__xludf.DUMMYFUNCTION("""COMPUTED_VALUE"""),"AlkaC94")</f>
        <v>AlkaC94</v>
      </c>
      <c r="C2061" s="8">
        <f>IFERROR(__xludf.DUMMYFUNCTION("""COMPUTED_VALUE"""),0.0)</f>
        <v>0</v>
      </c>
      <c r="D2061" s="8"/>
    </row>
    <row r="2062">
      <c r="A2062" s="9" t="str">
        <f>IFERROR(__xludf.DUMMYFUNCTION("""COMPUTED_VALUE"""),"Batch 194")</f>
        <v>Batch 194</v>
      </c>
      <c r="B2062" s="9" t="str">
        <f>IFERROR(__xludf.DUMMYFUNCTION("""COMPUTED_VALUE"""),"SaiC94")</f>
        <v>SaiC94</v>
      </c>
      <c r="C2062" s="8">
        <f>IFERROR(__xludf.DUMMYFUNCTION("""COMPUTED_VALUE"""),3.0)</f>
        <v>3</v>
      </c>
      <c r="D2062" s="8">
        <f>IFERROR(__xludf.DUMMYFUNCTION("""COMPUTED_VALUE"""),4.0)</f>
        <v>4</v>
      </c>
    </row>
    <row r="2063">
      <c r="A2063" s="9" t="str">
        <f>IFERROR(__xludf.DUMMYFUNCTION("""COMPUTED_VALUE"""),"Batch 194")</f>
        <v>Batch 194</v>
      </c>
      <c r="B2063" s="9" t="str">
        <f>IFERROR(__xludf.DUMMYFUNCTION("""COMPUTED_VALUE"""),"AmarnathC94")</f>
        <v>AmarnathC94</v>
      </c>
      <c r="C2063" s="8">
        <f>IFERROR(__xludf.DUMMYFUNCTION("""COMPUTED_VALUE"""),0.0)</f>
        <v>0</v>
      </c>
      <c r="D2063" s="8"/>
    </row>
    <row r="2064">
      <c r="A2064" s="9" t="str">
        <f>IFERROR(__xludf.DUMMYFUNCTION("""COMPUTED_VALUE"""),"Batch 194")</f>
        <v>Batch 194</v>
      </c>
      <c r="B2064" s="9" t="str">
        <f>IFERROR(__xludf.DUMMYFUNCTION("""COMPUTED_VALUE"""),"SanatanC94")</f>
        <v>SanatanC94</v>
      </c>
      <c r="C2064" s="8">
        <f>IFERROR(__xludf.DUMMYFUNCTION("""COMPUTED_VALUE"""),0.0)</f>
        <v>0</v>
      </c>
      <c r="D2064" s="8"/>
    </row>
    <row r="2065">
      <c r="A2065" s="9" t="str">
        <f>IFERROR(__xludf.DUMMYFUNCTION("""COMPUTED_VALUE"""),"Batch 194")</f>
        <v>Batch 194</v>
      </c>
      <c r="B2065" s="9" t="str">
        <f>IFERROR(__xludf.DUMMYFUNCTION("""COMPUTED_VALUE"""),"GIREESHAC94")</f>
        <v>GIREESHAC94</v>
      </c>
      <c r="C2065" s="8">
        <f>IFERROR(__xludf.DUMMYFUNCTION("""COMPUTED_VALUE"""),0.0)</f>
        <v>0</v>
      </c>
      <c r="D2065" s="8"/>
    </row>
    <row r="2066">
      <c r="A2066" s="9" t="str">
        <f>IFERROR(__xludf.DUMMYFUNCTION("""COMPUTED_VALUE"""),"Batch 194")</f>
        <v>Batch 194</v>
      </c>
      <c r="B2066" s="9" t="str">
        <f>IFERROR(__xludf.DUMMYFUNCTION("""COMPUTED_VALUE"""),"MahakC94")</f>
        <v>MahakC94</v>
      </c>
      <c r="C2066" s="8">
        <f>IFERROR(__xludf.DUMMYFUNCTION("""COMPUTED_VALUE"""),1.0)</f>
        <v>1</v>
      </c>
      <c r="D2066" s="8"/>
    </row>
    <row r="2067">
      <c r="A2067" s="9" t="str">
        <f>IFERROR(__xludf.DUMMYFUNCTION("""COMPUTED_VALUE"""),"Batch 194")</f>
        <v>Batch 194</v>
      </c>
      <c r="B2067" s="9" t="str">
        <f>IFERROR(__xludf.DUMMYFUNCTION("""COMPUTED_VALUE"""),"SakshiC94")</f>
        <v>SakshiC94</v>
      </c>
      <c r="C2067" s="8">
        <f>IFERROR(__xludf.DUMMYFUNCTION("""COMPUTED_VALUE"""),0.0)</f>
        <v>0</v>
      </c>
      <c r="D2067" s="8"/>
    </row>
    <row r="2068">
      <c r="A2068" s="9" t="str">
        <f>IFERROR(__xludf.DUMMYFUNCTION("""COMPUTED_VALUE"""),"Batch 194")</f>
        <v>Batch 194</v>
      </c>
      <c r="B2068" s="9" t="str">
        <f>IFERROR(__xludf.DUMMYFUNCTION("""COMPUTED_VALUE"""),"AnubhavC94")</f>
        <v>AnubhavC94</v>
      </c>
      <c r="C2068" s="8">
        <f>IFERROR(__xludf.DUMMYFUNCTION("""COMPUTED_VALUE"""),0.0)</f>
        <v>0</v>
      </c>
      <c r="D2068" s="8"/>
    </row>
    <row r="2069">
      <c r="A2069" s="9" t="str">
        <f>IFERROR(__xludf.DUMMYFUNCTION("""COMPUTED_VALUE"""),"Batch 194")</f>
        <v>Batch 194</v>
      </c>
      <c r="B2069" s="9" t="str">
        <f>IFERROR(__xludf.DUMMYFUNCTION("""COMPUTED_VALUE"""),"NomulaC94")</f>
        <v>NomulaC94</v>
      </c>
      <c r="C2069" s="8">
        <f>IFERROR(__xludf.DUMMYFUNCTION("""COMPUTED_VALUE"""),0.0)</f>
        <v>0</v>
      </c>
      <c r="D2069" s="8"/>
    </row>
    <row r="2070">
      <c r="A2070" s="9" t="str">
        <f>IFERROR(__xludf.DUMMYFUNCTION("""COMPUTED_VALUE"""),"Batch 194")</f>
        <v>Batch 194</v>
      </c>
      <c r="B2070" s="9" t="str">
        <f>IFERROR(__xludf.DUMMYFUNCTION("""COMPUTED_VALUE"""),"AbhayC94")</f>
        <v>AbhayC94</v>
      </c>
      <c r="C2070" s="8">
        <f>IFERROR(__xludf.DUMMYFUNCTION("""COMPUTED_VALUE"""),4.0)</f>
        <v>4</v>
      </c>
      <c r="D2070" s="8"/>
    </row>
    <row r="2071">
      <c r="A2071" s="9" t="str">
        <f>IFERROR(__xludf.DUMMYFUNCTION("""COMPUTED_VALUE"""),"Batch 194")</f>
        <v>Batch 194</v>
      </c>
      <c r="B2071" s="9" t="str">
        <f>IFERROR(__xludf.DUMMYFUNCTION("""COMPUTED_VALUE"""),"PurnimaC94")</f>
        <v>PurnimaC94</v>
      </c>
      <c r="C2071" s="8">
        <f>IFERROR(__xludf.DUMMYFUNCTION("""COMPUTED_VALUE"""),0.0)</f>
        <v>0</v>
      </c>
      <c r="D2071" s="8"/>
    </row>
    <row r="2072">
      <c r="A2072" s="9" t="str">
        <f>IFERROR(__xludf.DUMMYFUNCTION("""COMPUTED_VALUE"""),"Batch 194")</f>
        <v>Batch 194</v>
      </c>
      <c r="B2072" s="9" t="str">
        <f>IFERROR(__xludf.DUMMYFUNCTION("""COMPUTED_VALUE"""),"SoumyaC94")</f>
        <v>SoumyaC94</v>
      </c>
      <c r="C2072" s="8">
        <f>IFERROR(__xludf.DUMMYFUNCTION("""COMPUTED_VALUE"""),0.0)</f>
        <v>0</v>
      </c>
      <c r="D2072" s="8"/>
    </row>
    <row r="2073">
      <c r="A2073" s="9" t="str">
        <f>IFERROR(__xludf.DUMMYFUNCTION("""COMPUTED_VALUE"""),"Batch 194")</f>
        <v>Batch 194</v>
      </c>
      <c r="B2073" s="9" t="str">
        <f>IFERROR(__xludf.DUMMYFUNCTION("""COMPUTED_VALUE"""),"AnkitaC94")</f>
        <v>AnkitaC94</v>
      </c>
      <c r="C2073" s="8">
        <f>IFERROR(__xludf.DUMMYFUNCTION("""COMPUTED_VALUE"""),0.0)</f>
        <v>0</v>
      </c>
      <c r="D2073" s="8"/>
    </row>
    <row r="2074">
      <c r="A2074" s="9" t="str">
        <f>IFERROR(__xludf.DUMMYFUNCTION("""COMPUTED_VALUE"""),"Batch 194")</f>
        <v>Batch 194</v>
      </c>
      <c r="B2074" s="9" t="str">
        <f>IFERROR(__xludf.DUMMYFUNCTION("""COMPUTED_VALUE"""),"ShivamKC94")</f>
        <v>ShivamKC94</v>
      </c>
      <c r="C2074" s="8">
        <f>IFERROR(__xludf.DUMMYFUNCTION("""COMPUTED_VALUE"""),0.0)</f>
        <v>0</v>
      </c>
      <c r="D2074" s="8"/>
    </row>
    <row r="2075">
      <c r="A2075" s="9" t="str">
        <f>IFERROR(__xludf.DUMMYFUNCTION("""COMPUTED_VALUE"""),"Batch 194")</f>
        <v>Batch 194</v>
      </c>
      <c r="B2075" s="9" t="str">
        <f>IFERROR(__xludf.DUMMYFUNCTION("""COMPUTED_VALUE"""),"HarshC94")</f>
        <v>HarshC94</v>
      </c>
      <c r="C2075" s="8">
        <f>IFERROR(__xludf.DUMMYFUNCTION("""COMPUTED_VALUE"""),0.0)</f>
        <v>0</v>
      </c>
      <c r="D2075" s="8"/>
    </row>
    <row r="2076">
      <c r="A2076" s="9" t="str">
        <f>IFERROR(__xludf.DUMMYFUNCTION("""COMPUTED_VALUE"""),"Batch 194")</f>
        <v>Batch 194</v>
      </c>
      <c r="B2076" s="9" t="str">
        <f>IFERROR(__xludf.DUMMYFUNCTION("""COMPUTED_VALUE"""),"NiloyC94")</f>
        <v>NiloyC94</v>
      </c>
      <c r="C2076" s="8">
        <f>IFERROR(__xludf.DUMMYFUNCTION("""COMPUTED_VALUE"""),0.0)</f>
        <v>0</v>
      </c>
      <c r="D2076" s="8"/>
    </row>
    <row r="2077">
      <c r="A2077" s="9" t="str">
        <f>IFERROR(__xludf.DUMMYFUNCTION("""COMPUTED_VALUE"""),"Batch 194")</f>
        <v>Batch 194</v>
      </c>
      <c r="B2077" s="9" t="str">
        <f>IFERROR(__xludf.DUMMYFUNCTION("""COMPUTED_VALUE"""),"SonuC94")</f>
        <v>SonuC94</v>
      </c>
      <c r="C2077" s="8">
        <f>IFERROR(__xludf.DUMMYFUNCTION("""COMPUTED_VALUE"""),0.0)</f>
        <v>0</v>
      </c>
      <c r="D2077" s="8"/>
    </row>
    <row r="2078">
      <c r="A2078" s="9" t="str">
        <f>IFERROR(__xludf.DUMMYFUNCTION("""COMPUTED_VALUE"""),"Batch 194")</f>
        <v>Batch 194</v>
      </c>
      <c r="B2078" s="9" t="str">
        <f>IFERROR(__xludf.DUMMYFUNCTION("""COMPUTED_VALUE"""),"SamudranilC94")</f>
        <v>SamudranilC94</v>
      </c>
      <c r="C2078" s="8">
        <f>IFERROR(__xludf.DUMMYFUNCTION("""COMPUTED_VALUE"""),0.0)</f>
        <v>0</v>
      </c>
      <c r="D2078" s="8"/>
    </row>
    <row r="2079">
      <c r="A2079" s="9" t="str">
        <f>IFERROR(__xludf.DUMMYFUNCTION("""COMPUTED_VALUE"""),"Batch 194")</f>
        <v>Batch 194</v>
      </c>
      <c r="B2079" s="9" t="str">
        <f>IFERROR(__xludf.DUMMYFUNCTION("""COMPUTED_VALUE"""),"AshishC94")</f>
        <v>AshishC94</v>
      </c>
      <c r="C2079" s="8">
        <f>IFERROR(__xludf.DUMMYFUNCTION("""COMPUTED_VALUE"""),0.0)</f>
        <v>0</v>
      </c>
      <c r="D2079" s="8"/>
    </row>
    <row r="2080">
      <c r="A2080" s="9" t="str">
        <f>IFERROR(__xludf.DUMMYFUNCTION("""COMPUTED_VALUE"""),"Batch 194")</f>
        <v>Batch 194</v>
      </c>
      <c r="B2080" s="9" t="str">
        <f>IFERROR(__xludf.DUMMYFUNCTION("""COMPUTED_VALUE"""),"AmanC94")</f>
        <v>AmanC94</v>
      </c>
      <c r="C2080" s="8">
        <f>IFERROR(__xludf.DUMMYFUNCTION("""COMPUTED_VALUE"""),0.0)</f>
        <v>0</v>
      </c>
      <c r="D2080" s="8"/>
    </row>
    <row r="2081">
      <c r="A2081" s="9" t="str">
        <f>IFERROR(__xludf.DUMMYFUNCTION("""COMPUTED_VALUE"""),"Batch 194")</f>
        <v>Batch 194</v>
      </c>
      <c r="B2081" s="9" t="str">
        <f>IFERROR(__xludf.DUMMYFUNCTION("""COMPUTED_VALUE"""),"KataramC94")</f>
        <v>KataramC94</v>
      </c>
      <c r="C2081" s="8">
        <f>IFERROR(__xludf.DUMMYFUNCTION("""COMPUTED_VALUE"""),0.0)</f>
        <v>0</v>
      </c>
      <c r="D2081" s="8"/>
    </row>
    <row r="2082">
      <c r="A2082" s="9" t="str">
        <f>IFERROR(__xludf.DUMMYFUNCTION("""COMPUTED_VALUE"""),"Batch 194")</f>
        <v>Batch 194</v>
      </c>
      <c r="B2082" s="9" t="str">
        <f>IFERROR(__xludf.DUMMYFUNCTION("""COMPUTED_VALUE"""),"RajC94")</f>
        <v>RajC94</v>
      </c>
      <c r="C2082" s="8">
        <f>IFERROR(__xludf.DUMMYFUNCTION("""COMPUTED_VALUE"""),0.0)</f>
        <v>0</v>
      </c>
      <c r="D2082" s="8"/>
    </row>
    <row r="2083">
      <c r="A2083" s="9" t="str">
        <f>IFERROR(__xludf.DUMMYFUNCTION("""COMPUTED_VALUE"""),"Batch 194")</f>
        <v>Batch 194</v>
      </c>
      <c r="B2083" s="9" t="str">
        <f>IFERROR(__xludf.DUMMYFUNCTION("""COMPUTED_VALUE"""),"DeepakC94")</f>
        <v>DeepakC94</v>
      </c>
      <c r="C2083" s="8">
        <f>IFERROR(__xludf.DUMMYFUNCTION("""COMPUTED_VALUE"""),0.0)</f>
        <v>0</v>
      </c>
      <c r="D2083" s="8"/>
    </row>
    <row r="2084">
      <c r="A2084" s="9" t="str">
        <f>IFERROR(__xludf.DUMMYFUNCTION("""COMPUTED_VALUE"""),"Batch 194")</f>
        <v>Batch 194</v>
      </c>
      <c r="B2084" s="9" t="str">
        <f>IFERROR(__xludf.DUMMYFUNCTION("""COMPUTED_VALUE"""),"JyotiC94")</f>
        <v>JyotiC94</v>
      </c>
      <c r="C2084" s="8">
        <f>IFERROR(__xludf.DUMMYFUNCTION("""COMPUTED_VALUE"""),0.0)</f>
        <v>0</v>
      </c>
      <c r="D2084" s="8"/>
    </row>
    <row r="2085">
      <c r="A2085" s="9" t="str">
        <f>IFERROR(__xludf.DUMMYFUNCTION("""COMPUTED_VALUE"""),"Batch 194")</f>
        <v>Batch 194</v>
      </c>
      <c r="B2085" s="9" t="str">
        <f>IFERROR(__xludf.DUMMYFUNCTION("""COMPUTED_VALUE"""),"NikitaC94")</f>
        <v>NikitaC94</v>
      </c>
      <c r="C2085" s="8">
        <f>IFERROR(__xludf.DUMMYFUNCTION("""COMPUTED_VALUE"""),0.0)</f>
        <v>0</v>
      </c>
      <c r="D2085" s="8"/>
    </row>
    <row r="2086">
      <c r="A2086" s="9" t="str">
        <f>IFERROR(__xludf.DUMMYFUNCTION("""COMPUTED_VALUE"""),"Batch 194")</f>
        <v>Batch 194</v>
      </c>
      <c r="B2086" s="9" t="str">
        <f>IFERROR(__xludf.DUMMYFUNCTION("""COMPUTED_VALUE"""),"KrishnaC94")</f>
        <v>KrishnaC94</v>
      </c>
      <c r="C2086" s="8">
        <f>IFERROR(__xludf.DUMMYFUNCTION("""COMPUTED_VALUE"""),0.0)</f>
        <v>0</v>
      </c>
      <c r="D2086" s="8"/>
    </row>
    <row r="2087">
      <c r="A2087" s="9" t="str">
        <f>IFERROR(__xludf.DUMMYFUNCTION("""COMPUTED_VALUE"""),"Batch 194")</f>
        <v>Batch 194</v>
      </c>
      <c r="B2087" s="9" t="str">
        <f>IFERROR(__xludf.DUMMYFUNCTION("""COMPUTED_VALUE"""),"KundanC94")</f>
        <v>KundanC94</v>
      </c>
      <c r="C2087" s="8">
        <f>IFERROR(__xludf.DUMMYFUNCTION("""COMPUTED_VALUE"""),0.0)</f>
        <v>0</v>
      </c>
      <c r="D2087" s="8"/>
    </row>
    <row r="2088">
      <c r="A2088" s="9" t="str">
        <f>IFERROR(__xludf.DUMMYFUNCTION("""COMPUTED_VALUE"""),"Batch 194")</f>
        <v>Batch 194</v>
      </c>
      <c r="B2088" s="9" t="str">
        <f>IFERROR(__xludf.DUMMYFUNCTION("""COMPUTED_VALUE"""),"SahilC94")</f>
        <v>SahilC94</v>
      </c>
      <c r="C2088" s="8">
        <f>IFERROR(__xludf.DUMMYFUNCTION("""COMPUTED_VALUE"""),0.0)</f>
        <v>0</v>
      </c>
      <c r="D2088" s="8"/>
    </row>
    <row r="2089">
      <c r="A2089" s="9" t="str">
        <f>IFERROR(__xludf.DUMMYFUNCTION("""COMPUTED_VALUE"""),"Batch 194")</f>
        <v>Batch 194</v>
      </c>
      <c r="B2089" s="9" t="str">
        <f>IFERROR(__xludf.DUMMYFUNCTION("""COMPUTED_VALUE"""),"SujalC94")</f>
        <v>SujalC94</v>
      </c>
      <c r="C2089" s="8">
        <f>IFERROR(__xludf.DUMMYFUNCTION("""COMPUTED_VALUE"""),0.0)</f>
        <v>0</v>
      </c>
      <c r="D2089" s="8"/>
    </row>
    <row r="2090">
      <c r="A2090" s="9"/>
      <c r="B2090" s="9"/>
      <c r="C2090" s="8">
        <f>IFERROR(__xludf.DUMMYFUNCTION("""COMPUTED_VALUE"""),0.0)</f>
        <v>0</v>
      </c>
      <c r="D2090" s="8"/>
    </row>
    <row r="2091">
      <c r="A2091" s="9" t="str">
        <f>IFERROR(__xludf.DUMMYFUNCTION("""COMPUTED_VALUE"""),"Batch 195")</f>
        <v>Batch 195</v>
      </c>
      <c r="B2091" s="9" t="str">
        <f>IFERROR(__xludf.DUMMYFUNCTION("""COMPUTED_VALUE"""),"AnkitC95")</f>
        <v>AnkitC95</v>
      </c>
      <c r="C2091" s="8">
        <f>IFERROR(__xludf.DUMMYFUNCTION("""COMPUTED_VALUE"""),0.0)</f>
        <v>0</v>
      </c>
      <c r="D2091" s="8"/>
    </row>
    <row r="2092">
      <c r="A2092" s="9" t="str">
        <f>IFERROR(__xludf.DUMMYFUNCTION("""COMPUTED_VALUE"""),"Batch 195")</f>
        <v>Batch 195</v>
      </c>
      <c r="B2092" s="9" t="str">
        <f>IFERROR(__xludf.DUMMYFUNCTION("""COMPUTED_VALUE"""),"DiyaC95")</f>
        <v>DiyaC95</v>
      </c>
      <c r="C2092" s="8">
        <f>IFERROR(__xludf.DUMMYFUNCTION("""COMPUTED_VALUE"""),0.0)</f>
        <v>0</v>
      </c>
      <c r="D2092" s="8"/>
    </row>
    <row r="2093">
      <c r="A2093" s="9" t="str">
        <f>IFERROR(__xludf.DUMMYFUNCTION("""COMPUTED_VALUE"""),"Batch 195")</f>
        <v>Batch 195</v>
      </c>
      <c r="B2093" s="9" t="str">
        <f>IFERROR(__xludf.DUMMYFUNCTION("""COMPUTED_VALUE"""),"AnkitaC95")</f>
        <v>AnkitaC95</v>
      </c>
      <c r="C2093" s="8">
        <f>IFERROR(__xludf.DUMMYFUNCTION("""COMPUTED_VALUE"""),0.0)</f>
        <v>0</v>
      </c>
      <c r="D2093" s="8"/>
    </row>
    <row r="2094">
      <c r="A2094" s="9" t="str">
        <f>IFERROR(__xludf.DUMMYFUNCTION("""COMPUTED_VALUE"""),"Batch 195")</f>
        <v>Batch 195</v>
      </c>
      <c r="B2094" s="9" t="str">
        <f>IFERROR(__xludf.DUMMYFUNCTION("""COMPUTED_VALUE"""),"AyushC95")</f>
        <v>AyushC95</v>
      </c>
      <c r="C2094" s="8">
        <f>IFERROR(__xludf.DUMMYFUNCTION("""COMPUTED_VALUE"""),0.0)</f>
        <v>0</v>
      </c>
      <c r="D2094" s="8"/>
    </row>
    <row r="2095">
      <c r="A2095" s="9" t="str">
        <f>IFERROR(__xludf.DUMMYFUNCTION("""COMPUTED_VALUE"""),"Batch 195")</f>
        <v>Batch 195</v>
      </c>
      <c r="B2095" s="9" t="str">
        <f>IFERROR(__xludf.DUMMYFUNCTION("""COMPUTED_VALUE"""),"SanjayC95")</f>
        <v>SanjayC95</v>
      </c>
      <c r="C2095" s="8">
        <f>IFERROR(__xludf.DUMMYFUNCTION("""COMPUTED_VALUE"""),0.0)</f>
        <v>0</v>
      </c>
      <c r="D2095" s="8"/>
    </row>
    <row r="2096">
      <c r="A2096" s="9" t="str">
        <f>IFERROR(__xludf.DUMMYFUNCTION("""COMPUTED_VALUE"""),"Batch 195")</f>
        <v>Batch 195</v>
      </c>
      <c r="B2096" s="9" t="str">
        <f>IFERROR(__xludf.DUMMYFUNCTION("""COMPUTED_VALUE"""),"RahulC95")</f>
        <v>RahulC95</v>
      </c>
      <c r="C2096" s="8">
        <f>IFERROR(__xludf.DUMMYFUNCTION("""COMPUTED_VALUE"""),0.0)</f>
        <v>0</v>
      </c>
      <c r="D2096" s="8"/>
    </row>
    <row r="2097">
      <c r="A2097" s="9" t="str">
        <f>IFERROR(__xludf.DUMMYFUNCTION("""COMPUTED_VALUE"""),"Batch 195")</f>
        <v>Batch 195</v>
      </c>
      <c r="B2097" s="9" t="str">
        <f>IFERROR(__xludf.DUMMYFUNCTION("""COMPUTED_VALUE"""),"VedeshwariC95")</f>
        <v>VedeshwariC95</v>
      </c>
      <c r="C2097" s="8">
        <f>IFERROR(__xludf.DUMMYFUNCTION("""COMPUTED_VALUE"""),0.0)</f>
        <v>0</v>
      </c>
      <c r="D2097" s="8"/>
    </row>
    <row r="2098">
      <c r="A2098" s="9" t="str">
        <f>IFERROR(__xludf.DUMMYFUNCTION("""COMPUTED_VALUE"""),"Batch 195")</f>
        <v>Batch 195</v>
      </c>
      <c r="B2098" s="9" t="str">
        <f>IFERROR(__xludf.DUMMYFUNCTION("""COMPUTED_VALUE"""),"KanikaC95")</f>
        <v>KanikaC95</v>
      </c>
      <c r="C2098" s="8">
        <f>IFERROR(__xludf.DUMMYFUNCTION("""COMPUTED_VALUE"""),0.0)</f>
        <v>0</v>
      </c>
      <c r="D2098" s="8"/>
    </row>
    <row r="2099">
      <c r="A2099" s="9" t="str">
        <f>IFERROR(__xludf.DUMMYFUNCTION("""COMPUTED_VALUE"""),"Batch 195")</f>
        <v>Batch 195</v>
      </c>
      <c r="B2099" s="9" t="str">
        <f>IFERROR(__xludf.DUMMYFUNCTION("""COMPUTED_VALUE"""),"ChetanaC95")</f>
        <v>ChetanaC95</v>
      </c>
      <c r="C2099" s="8">
        <f>IFERROR(__xludf.DUMMYFUNCTION("""COMPUTED_VALUE"""),0.0)</f>
        <v>0</v>
      </c>
      <c r="D2099" s="8"/>
    </row>
    <row r="2100">
      <c r="A2100" s="9" t="str">
        <f>IFERROR(__xludf.DUMMYFUNCTION("""COMPUTED_VALUE"""),"Batch 195")</f>
        <v>Batch 195</v>
      </c>
      <c r="B2100" s="9" t="str">
        <f>IFERROR(__xludf.DUMMYFUNCTION("""COMPUTED_VALUE"""),"RutujaC95")</f>
        <v>RutujaC95</v>
      </c>
      <c r="C2100" s="8">
        <f>IFERROR(__xludf.DUMMYFUNCTION("""COMPUTED_VALUE"""),1.0)</f>
        <v>1</v>
      </c>
      <c r="D2100" s="8"/>
    </row>
    <row r="2101">
      <c r="A2101" s="9" t="str">
        <f>IFERROR(__xludf.DUMMYFUNCTION("""COMPUTED_VALUE"""),"Batch 195")</f>
        <v>Batch 195</v>
      </c>
      <c r="B2101" s="9" t="str">
        <f>IFERROR(__xludf.DUMMYFUNCTION("""COMPUTED_VALUE"""),"SHAHRUKHC95")</f>
        <v>SHAHRUKHC95</v>
      </c>
      <c r="C2101" s="8">
        <f>IFERROR(__xludf.DUMMYFUNCTION("""COMPUTED_VALUE"""),0.0)</f>
        <v>0</v>
      </c>
      <c r="D2101" s="8"/>
    </row>
    <row r="2102">
      <c r="A2102" s="9" t="str">
        <f>IFERROR(__xludf.DUMMYFUNCTION("""COMPUTED_VALUE"""),"Batch 195")</f>
        <v>Batch 195</v>
      </c>
      <c r="B2102" s="9" t="str">
        <f>IFERROR(__xludf.DUMMYFUNCTION("""COMPUTED_VALUE"""),"SrinuC95")</f>
        <v>SrinuC95</v>
      </c>
      <c r="C2102" s="8">
        <f>IFERROR(__xludf.DUMMYFUNCTION("""COMPUTED_VALUE"""),0.0)</f>
        <v>0</v>
      </c>
      <c r="D2102" s="8"/>
    </row>
    <row r="2103">
      <c r="A2103" s="9" t="str">
        <f>IFERROR(__xludf.DUMMYFUNCTION("""COMPUTED_VALUE"""),"Batch 195")</f>
        <v>Batch 195</v>
      </c>
      <c r="B2103" s="9" t="str">
        <f>IFERROR(__xludf.DUMMYFUNCTION("""COMPUTED_VALUE"""),"PrernaC95")</f>
        <v>PrernaC95</v>
      </c>
      <c r="C2103" s="8">
        <f>IFERROR(__xludf.DUMMYFUNCTION("""COMPUTED_VALUE"""),0.0)</f>
        <v>0</v>
      </c>
      <c r="D2103" s="8"/>
    </row>
    <row r="2104">
      <c r="A2104" s="9" t="str">
        <f>IFERROR(__xludf.DUMMYFUNCTION("""COMPUTED_VALUE"""),"Batch 195")</f>
        <v>Batch 195</v>
      </c>
      <c r="B2104" s="9" t="str">
        <f>IFERROR(__xludf.DUMMYFUNCTION("""COMPUTED_VALUE"""),"ToshitC95")</f>
        <v>ToshitC95</v>
      </c>
      <c r="C2104" s="8">
        <f>IFERROR(__xludf.DUMMYFUNCTION("""COMPUTED_VALUE"""),0.0)</f>
        <v>0</v>
      </c>
      <c r="D2104" s="8"/>
    </row>
    <row r="2105">
      <c r="A2105" s="9" t="str">
        <f>IFERROR(__xludf.DUMMYFUNCTION("""COMPUTED_VALUE"""),"Batch 195")</f>
        <v>Batch 195</v>
      </c>
      <c r="B2105" s="9" t="str">
        <f>IFERROR(__xludf.DUMMYFUNCTION("""COMPUTED_VALUE"""),"AntaraC95")</f>
        <v>AntaraC95</v>
      </c>
      <c r="C2105" s="8">
        <f>IFERROR(__xludf.DUMMYFUNCTION("""COMPUTED_VALUE"""),0.0)</f>
        <v>0</v>
      </c>
      <c r="D2105" s="8"/>
    </row>
    <row r="2106">
      <c r="A2106" s="9" t="str">
        <f>IFERROR(__xludf.DUMMYFUNCTION("""COMPUTED_VALUE"""),"Batch 195")</f>
        <v>Batch 195</v>
      </c>
      <c r="B2106" s="9" t="str">
        <f>IFERROR(__xludf.DUMMYFUNCTION("""COMPUTED_VALUE"""),"KanishkC95")</f>
        <v>KanishkC95</v>
      </c>
      <c r="C2106" s="8">
        <f>IFERROR(__xludf.DUMMYFUNCTION("""COMPUTED_VALUE"""),0.0)</f>
        <v>0</v>
      </c>
      <c r="D2106" s="8"/>
    </row>
    <row r="2107">
      <c r="A2107" s="9" t="str">
        <f>IFERROR(__xludf.DUMMYFUNCTION("""COMPUTED_VALUE"""),"Batch 195")</f>
        <v>Batch 195</v>
      </c>
      <c r="B2107" s="9"/>
      <c r="C2107" s="8">
        <f>IFERROR(__xludf.DUMMYFUNCTION("""COMPUTED_VALUE"""),0.0)</f>
        <v>0</v>
      </c>
      <c r="D2107" s="8"/>
    </row>
    <row r="2108">
      <c r="A2108" s="9" t="str">
        <f>IFERROR(__xludf.DUMMYFUNCTION("""COMPUTED_VALUE"""),"Batch 195")</f>
        <v>Batch 195</v>
      </c>
      <c r="B2108" s="9" t="str">
        <f>IFERROR(__xludf.DUMMYFUNCTION("""COMPUTED_VALUE"""),"SivaC95")</f>
        <v>SivaC95</v>
      </c>
      <c r="C2108" s="8">
        <f>IFERROR(__xludf.DUMMYFUNCTION("""COMPUTED_VALUE"""),0.0)</f>
        <v>0</v>
      </c>
      <c r="D2108" s="8"/>
    </row>
    <row r="2109">
      <c r="A2109" s="9" t="str">
        <f>IFERROR(__xludf.DUMMYFUNCTION("""COMPUTED_VALUE"""),"Batch 195")</f>
        <v>Batch 195</v>
      </c>
      <c r="B2109" s="9" t="str">
        <f>IFERROR(__xludf.DUMMYFUNCTION("""COMPUTED_VALUE"""),"SuryaC95")</f>
        <v>SuryaC95</v>
      </c>
      <c r="C2109" s="8">
        <f>IFERROR(__xludf.DUMMYFUNCTION("""COMPUTED_VALUE"""),0.0)</f>
        <v>0</v>
      </c>
      <c r="D2109" s="8"/>
    </row>
    <row r="2110">
      <c r="A2110" s="9" t="str">
        <f>IFERROR(__xludf.DUMMYFUNCTION("""COMPUTED_VALUE"""),"Batch 195")</f>
        <v>Batch 195</v>
      </c>
      <c r="B2110" s="9" t="str">
        <f>IFERROR(__xludf.DUMMYFUNCTION("""COMPUTED_VALUE"""),"ShafinC95")</f>
        <v>ShafinC95</v>
      </c>
      <c r="C2110" s="8">
        <f>IFERROR(__xludf.DUMMYFUNCTION("""COMPUTED_VALUE"""),0.0)</f>
        <v>0</v>
      </c>
      <c r="D2110" s="8"/>
    </row>
    <row r="2111">
      <c r="A2111" s="9" t="str">
        <f>IFERROR(__xludf.DUMMYFUNCTION("""COMPUTED_VALUE"""),"Batch 195")</f>
        <v>Batch 195</v>
      </c>
      <c r="B2111" s="9" t="str">
        <f>IFERROR(__xludf.DUMMYFUNCTION("""COMPUTED_VALUE"""),"ShreyaC95")</f>
        <v>ShreyaC95</v>
      </c>
      <c r="C2111" s="8">
        <f>IFERROR(__xludf.DUMMYFUNCTION("""COMPUTED_VALUE"""),0.0)</f>
        <v>0</v>
      </c>
      <c r="D2111" s="8"/>
    </row>
    <row r="2112">
      <c r="A2112" s="9" t="str">
        <f>IFERROR(__xludf.DUMMYFUNCTION("""COMPUTED_VALUE"""),"Batch 195")</f>
        <v>Batch 195</v>
      </c>
      <c r="B2112" s="9" t="str">
        <f>IFERROR(__xludf.DUMMYFUNCTION("""COMPUTED_VALUE"""),"MohitoshC95")</f>
        <v>MohitoshC95</v>
      </c>
      <c r="C2112" s="8">
        <f>IFERROR(__xludf.DUMMYFUNCTION("""COMPUTED_VALUE"""),0.0)</f>
        <v>0</v>
      </c>
      <c r="D2112" s="8"/>
    </row>
    <row r="2113">
      <c r="A2113" s="9" t="str">
        <f>IFERROR(__xludf.DUMMYFUNCTION("""COMPUTED_VALUE"""),"Batch 195")</f>
        <v>Batch 195</v>
      </c>
      <c r="B2113" s="9" t="str">
        <f>IFERROR(__xludf.DUMMYFUNCTION("""COMPUTED_VALUE"""),"AbhishekC95")</f>
        <v>AbhishekC95</v>
      </c>
      <c r="C2113" s="8">
        <f>IFERROR(__xludf.DUMMYFUNCTION("""COMPUTED_VALUE"""),0.0)</f>
        <v>0</v>
      </c>
      <c r="D2113" s="8"/>
    </row>
    <row r="2114">
      <c r="A2114" s="9" t="str">
        <f>IFERROR(__xludf.DUMMYFUNCTION("""COMPUTED_VALUE"""),"Batch 195")</f>
        <v>Batch 195</v>
      </c>
      <c r="B2114" s="9" t="str">
        <f>IFERROR(__xludf.DUMMYFUNCTION("""COMPUTED_VALUE"""),"KAUSHIKIC95")</f>
        <v>KAUSHIKIC95</v>
      </c>
      <c r="C2114" s="8">
        <f>IFERROR(__xludf.DUMMYFUNCTION("""COMPUTED_VALUE"""),0.0)</f>
        <v>0</v>
      </c>
      <c r="D2114" s="8"/>
    </row>
    <row r="2115">
      <c r="A2115" s="9" t="str">
        <f>IFERROR(__xludf.DUMMYFUNCTION("""COMPUTED_VALUE"""),"Batch 195")</f>
        <v>Batch 195</v>
      </c>
      <c r="B2115" s="9" t="str">
        <f>IFERROR(__xludf.DUMMYFUNCTION("""COMPUTED_VALUE"""),"SumitC95")</f>
        <v>SumitC95</v>
      </c>
      <c r="C2115" s="8">
        <f>IFERROR(__xludf.DUMMYFUNCTION("""COMPUTED_VALUE"""),0.0)</f>
        <v>0</v>
      </c>
      <c r="D2115" s="8"/>
    </row>
    <row r="2116">
      <c r="A2116" s="9" t="str">
        <f>IFERROR(__xludf.DUMMYFUNCTION("""COMPUTED_VALUE"""),"Batch 195")</f>
        <v>Batch 195</v>
      </c>
      <c r="B2116" s="9" t="str">
        <f>IFERROR(__xludf.DUMMYFUNCTION("""COMPUTED_VALUE"""),"RashiC95")</f>
        <v>RashiC95</v>
      </c>
      <c r="C2116" s="8">
        <f>IFERROR(__xludf.DUMMYFUNCTION("""COMPUTED_VALUE"""),0.0)</f>
        <v>0</v>
      </c>
      <c r="D2116" s="8"/>
    </row>
    <row r="2117">
      <c r="A2117" s="9" t="str">
        <f>IFERROR(__xludf.DUMMYFUNCTION("""COMPUTED_VALUE"""),"Batch 195")</f>
        <v>Batch 195</v>
      </c>
      <c r="B2117" s="9" t="str">
        <f>IFERROR(__xludf.DUMMYFUNCTION("""COMPUTED_VALUE"""),"alishaC95")</f>
        <v>alishaC95</v>
      </c>
      <c r="C2117" s="8">
        <f>IFERROR(__xludf.DUMMYFUNCTION("""COMPUTED_VALUE"""),0.0)</f>
        <v>0</v>
      </c>
      <c r="D2117" s="8"/>
    </row>
    <row r="2118">
      <c r="A2118" s="9" t="str">
        <f>IFERROR(__xludf.DUMMYFUNCTION("""COMPUTED_VALUE"""),"Batch 195")</f>
        <v>Batch 195</v>
      </c>
      <c r="B2118" s="9" t="str">
        <f>IFERROR(__xludf.DUMMYFUNCTION("""COMPUTED_VALUE"""),"AdityaC95")</f>
        <v>AdityaC95</v>
      </c>
      <c r="C2118" s="8">
        <f>IFERROR(__xludf.DUMMYFUNCTION("""COMPUTED_VALUE"""),0.0)</f>
        <v>0</v>
      </c>
      <c r="D2118" s="8"/>
    </row>
    <row r="2119">
      <c r="A2119" s="9" t="str">
        <f>IFERROR(__xludf.DUMMYFUNCTION("""COMPUTED_VALUE"""),"Batch 195")</f>
        <v>Batch 195</v>
      </c>
      <c r="B2119" s="9" t="str">
        <f>IFERROR(__xludf.DUMMYFUNCTION("""COMPUTED_VALUE"""),"HarshC95")</f>
        <v>HarshC95</v>
      </c>
      <c r="C2119" s="8">
        <f>IFERROR(__xludf.DUMMYFUNCTION("""COMPUTED_VALUE"""),0.0)</f>
        <v>0</v>
      </c>
      <c r="D2119" s="8"/>
    </row>
    <row r="2120">
      <c r="A2120" s="9" t="str">
        <f>IFERROR(__xludf.DUMMYFUNCTION("""COMPUTED_VALUE"""),"Batch 195")</f>
        <v>Batch 195</v>
      </c>
      <c r="B2120" s="9" t="str">
        <f>IFERROR(__xludf.DUMMYFUNCTION("""COMPUTED_VALUE"""),"PavithraC95")</f>
        <v>PavithraC95</v>
      </c>
      <c r="C2120" s="8">
        <f>IFERROR(__xludf.DUMMYFUNCTION("""COMPUTED_VALUE"""),0.0)</f>
        <v>0</v>
      </c>
      <c r="D2120" s="8"/>
    </row>
    <row r="2121">
      <c r="A2121" s="9" t="str">
        <f>IFERROR(__xludf.DUMMYFUNCTION("""COMPUTED_VALUE"""),"Batch 195")</f>
        <v>Batch 195</v>
      </c>
      <c r="B2121" s="9" t="str">
        <f>IFERROR(__xludf.DUMMYFUNCTION("""COMPUTED_VALUE"""),"SakshiC95")</f>
        <v>SakshiC95</v>
      </c>
      <c r="C2121" s="8">
        <f>IFERROR(__xludf.DUMMYFUNCTION("""COMPUTED_VALUE"""),0.0)</f>
        <v>0</v>
      </c>
      <c r="D2121" s="8"/>
    </row>
    <row r="2122">
      <c r="A2122" s="9" t="str">
        <f>IFERROR(__xludf.DUMMYFUNCTION("""COMPUTED_VALUE"""),"Batch 195")</f>
        <v>Batch 195</v>
      </c>
      <c r="B2122" s="9" t="str">
        <f>IFERROR(__xludf.DUMMYFUNCTION("""COMPUTED_VALUE"""),"RahulC95")</f>
        <v>RahulC95</v>
      </c>
      <c r="C2122" s="8">
        <f>IFERROR(__xludf.DUMMYFUNCTION("""COMPUTED_VALUE"""),1.0)</f>
        <v>1</v>
      </c>
      <c r="D2122" s="8"/>
    </row>
    <row r="2123">
      <c r="A2123" s="9" t="str">
        <f>IFERROR(__xludf.DUMMYFUNCTION("""COMPUTED_VALUE"""),"Batch 195")</f>
        <v>Batch 195</v>
      </c>
      <c r="B2123" s="9" t="str">
        <f>IFERROR(__xludf.DUMMYFUNCTION("""COMPUTED_VALUE"""),"MohammadC95")</f>
        <v>MohammadC95</v>
      </c>
      <c r="C2123" s="8">
        <f>IFERROR(__xludf.DUMMYFUNCTION("""COMPUTED_VALUE"""),0.0)</f>
        <v>0</v>
      </c>
      <c r="D2123" s="8"/>
    </row>
    <row r="2124">
      <c r="A2124" s="9" t="str">
        <f>IFERROR(__xludf.DUMMYFUNCTION("""COMPUTED_VALUE"""),"Batch 195")</f>
        <v>Batch 195</v>
      </c>
      <c r="B2124" s="9" t="str">
        <f>IFERROR(__xludf.DUMMYFUNCTION("""COMPUTED_VALUE"""),"ShobhaC95")</f>
        <v>ShobhaC95</v>
      </c>
      <c r="C2124" s="8">
        <f>IFERROR(__xludf.DUMMYFUNCTION("""COMPUTED_VALUE"""),0.0)</f>
        <v>0</v>
      </c>
      <c r="D2124" s="8"/>
    </row>
    <row r="2125">
      <c r="A2125" s="9" t="str">
        <f>IFERROR(__xludf.DUMMYFUNCTION("""COMPUTED_VALUE"""),"Batch 195")</f>
        <v>Batch 195</v>
      </c>
      <c r="B2125" s="9" t="str">
        <f>IFERROR(__xludf.DUMMYFUNCTION("""COMPUTED_VALUE"""),"YuvrajC95")</f>
        <v>YuvrajC95</v>
      </c>
      <c r="C2125" s="8">
        <f>IFERROR(__xludf.DUMMYFUNCTION("""COMPUTED_VALUE"""),0.0)</f>
        <v>0</v>
      </c>
      <c r="D2125" s="8"/>
    </row>
    <row r="2126">
      <c r="A2126" s="9" t="str">
        <f>IFERROR(__xludf.DUMMYFUNCTION("""COMPUTED_VALUE"""),"Batch 195")</f>
        <v>Batch 195</v>
      </c>
      <c r="B2126" s="9" t="str">
        <f>IFERROR(__xludf.DUMMYFUNCTION("""COMPUTED_VALUE"""),"AyushTC95")</f>
        <v>AyushTC95</v>
      </c>
      <c r="C2126" s="8">
        <f>IFERROR(__xludf.DUMMYFUNCTION("""COMPUTED_VALUE"""),0.0)</f>
        <v>0</v>
      </c>
      <c r="D2126" s="8"/>
    </row>
    <row r="2127">
      <c r="A2127" s="9" t="str">
        <f>IFERROR(__xludf.DUMMYFUNCTION("""COMPUTED_VALUE"""),"Batch 195")</f>
        <v>Batch 195</v>
      </c>
      <c r="B2127" s="9" t="str">
        <f>IFERROR(__xludf.DUMMYFUNCTION("""COMPUTED_VALUE"""),"SonaliC95")</f>
        <v>SonaliC95</v>
      </c>
      <c r="C2127" s="8">
        <f>IFERROR(__xludf.DUMMYFUNCTION("""COMPUTED_VALUE"""),2.0)</f>
        <v>2</v>
      </c>
      <c r="D2127" s="8"/>
    </row>
    <row r="2128">
      <c r="A2128" s="9" t="str">
        <f>IFERROR(__xludf.DUMMYFUNCTION("""COMPUTED_VALUE"""),"Batch 195")</f>
        <v>Batch 195</v>
      </c>
      <c r="B2128" s="9" t="str">
        <f>IFERROR(__xludf.DUMMYFUNCTION("""COMPUTED_VALUE"""),"IshaC95")</f>
        <v>IshaC95</v>
      </c>
      <c r="C2128" s="8">
        <f>IFERROR(__xludf.DUMMYFUNCTION("""COMPUTED_VALUE"""),0.0)</f>
        <v>0</v>
      </c>
      <c r="D2128" s="8"/>
    </row>
    <row r="2129">
      <c r="A2129" s="9" t="str">
        <f>IFERROR(__xludf.DUMMYFUNCTION("""COMPUTED_VALUE"""),"Batch 195")</f>
        <v>Batch 195</v>
      </c>
      <c r="B2129" s="9" t="str">
        <f>IFERROR(__xludf.DUMMYFUNCTION("""COMPUTED_VALUE"""),"RahulC95")</f>
        <v>RahulC95</v>
      </c>
      <c r="C2129" s="8">
        <f>IFERROR(__xludf.DUMMYFUNCTION("""COMPUTED_VALUE"""),0.0)</f>
        <v>0</v>
      </c>
      <c r="D2129" s="8"/>
    </row>
    <row r="2130">
      <c r="A2130" s="9" t="str">
        <f>IFERROR(__xludf.DUMMYFUNCTION("""COMPUTED_VALUE"""),"Batch 195")</f>
        <v>Batch 195</v>
      </c>
      <c r="B2130" s="9" t="str">
        <f>IFERROR(__xludf.DUMMYFUNCTION("""COMPUTED_VALUE"""),"JayeshC95")</f>
        <v>JayeshC95</v>
      </c>
      <c r="C2130" s="8">
        <f>IFERROR(__xludf.DUMMYFUNCTION("""COMPUTED_VALUE"""),0.0)</f>
        <v>0</v>
      </c>
      <c r="D2130" s="8">
        <f>IFERROR(__xludf.DUMMYFUNCTION("""COMPUTED_VALUE"""),1.0)</f>
        <v>1</v>
      </c>
    </row>
    <row r="2131">
      <c r="A2131" s="9" t="str">
        <f>IFERROR(__xludf.DUMMYFUNCTION("""COMPUTED_VALUE"""),"Batch 195")</f>
        <v>Batch 195</v>
      </c>
      <c r="B2131" s="9" t="str">
        <f>IFERROR(__xludf.DUMMYFUNCTION("""COMPUTED_VALUE"""),"AmmarC95")</f>
        <v>AmmarC95</v>
      </c>
      <c r="C2131" s="8">
        <f>IFERROR(__xludf.DUMMYFUNCTION("""COMPUTED_VALUE"""),0.0)</f>
        <v>0</v>
      </c>
      <c r="D2131" s="8"/>
    </row>
    <row r="2132">
      <c r="A2132" s="9" t="str">
        <f>IFERROR(__xludf.DUMMYFUNCTION("""COMPUTED_VALUE"""),"Batch 195")</f>
        <v>Batch 195</v>
      </c>
      <c r="B2132" s="9" t="str">
        <f>IFERROR(__xludf.DUMMYFUNCTION("""COMPUTED_VALUE"""),"AC95")</f>
        <v>AC95</v>
      </c>
      <c r="C2132" s="8">
        <f>IFERROR(__xludf.DUMMYFUNCTION("""COMPUTED_VALUE"""),0.0)</f>
        <v>0</v>
      </c>
      <c r="D2132" s="8"/>
    </row>
    <row r="2133">
      <c r="A2133" s="9" t="str">
        <f>IFERROR(__xludf.DUMMYFUNCTION("""COMPUTED_VALUE"""),"Batch 195")</f>
        <v>Batch 195</v>
      </c>
      <c r="B2133" s="9" t="str">
        <f>IFERROR(__xludf.DUMMYFUNCTION("""COMPUTED_VALUE"""),"NaincyC95")</f>
        <v>NaincyC95</v>
      </c>
      <c r="C2133" s="8">
        <f>IFERROR(__xludf.DUMMYFUNCTION("""COMPUTED_VALUE"""),1.0)</f>
        <v>1</v>
      </c>
      <c r="D2133" s="8"/>
    </row>
    <row r="2134">
      <c r="A2134" s="9" t="str">
        <f>IFERROR(__xludf.DUMMYFUNCTION("""COMPUTED_VALUE"""),"Batch 195")</f>
        <v>Batch 195</v>
      </c>
      <c r="B2134" s="9" t="str">
        <f>IFERROR(__xludf.DUMMYFUNCTION("""COMPUTED_VALUE"""),"BhojannapallyC95")</f>
        <v>BhojannapallyC95</v>
      </c>
      <c r="C2134" s="8">
        <f>IFERROR(__xludf.DUMMYFUNCTION("""COMPUTED_VALUE"""),1.0)</f>
        <v>1</v>
      </c>
      <c r="D2134" s="8"/>
    </row>
    <row r="2135">
      <c r="A2135" s="9" t="str">
        <f>IFERROR(__xludf.DUMMYFUNCTION("""COMPUTED_VALUE"""),"Batch 195")</f>
        <v>Batch 195</v>
      </c>
      <c r="B2135" s="9" t="str">
        <f>IFERROR(__xludf.DUMMYFUNCTION("""COMPUTED_VALUE"""),"MONISHC95")</f>
        <v>MONISHC95</v>
      </c>
      <c r="C2135" s="8">
        <f>IFERROR(__xludf.DUMMYFUNCTION("""COMPUTED_VALUE"""),1.0)</f>
        <v>1</v>
      </c>
      <c r="D2135" s="8"/>
    </row>
    <row r="2136">
      <c r="A2136" s="9" t="str">
        <f>IFERROR(__xludf.DUMMYFUNCTION("""COMPUTED_VALUE"""),"Batch 195")</f>
        <v>Batch 195</v>
      </c>
      <c r="B2136" s="9" t="str">
        <f>IFERROR(__xludf.DUMMYFUNCTION("""COMPUTED_VALUE"""),"ShreyashriC95")</f>
        <v>ShreyashriC95</v>
      </c>
      <c r="C2136" s="8">
        <f>IFERROR(__xludf.DUMMYFUNCTION("""COMPUTED_VALUE"""),1.0)</f>
        <v>1</v>
      </c>
      <c r="D2136" s="8"/>
    </row>
    <row r="2137">
      <c r="A2137" s="9" t="str">
        <f>IFERROR(__xludf.DUMMYFUNCTION("""COMPUTED_VALUE"""),"Batch 195")</f>
        <v>Batch 195</v>
      </c>
      <c r="B2137" s="9" t="str">
        <f>IFERROR(__xludf.DUMMYFUNCTION("""COMPUTED_VALUE"""),"RiyaC95")</f>
        <v>RiyaC95</v>
      </c>
      <c r="C2137" s="8">
        <f>IFERROR(__xludf.DUMMYFUNCTION("""COMPUTED_VALUE"""),0.0)</f>
        <v>0</v>
      </c>
      <c r="D2137" s="8"/>
    </row>
    <row r="2138">
      <c r="A2138" s="9" t="str">
        <f>IFERROR(__xludf.DUMMYFUNCTION("""COMPUTED_VALUE"""),"Batch 195")</f>
        <v>Batch 195</v>
      </c>
      <c r="B2138" s="9" t="str">
        <f>IFERROR(__xludf.DUMMYFUNCTION("""COMPUTED_VALUE"""),"ManashaviC95")</f>
        <v>ManashaviC95</v>
      </c>
      <c r="C2138" s="8">
        <f>IFERROR(__xludf.DUMMYFUNCTION("""COMPUTED_VALUE"""),0.0)</f>
        <v>0</v>
      </c>
      <c r="D2138" s="8"/>
    </row>
    <row r="2139">
      <c r="A2139" s="9"/>
      <c r="B2139" s="9"/>
      <c r="C2139" s="8">
        <f>IFERROR(__xludf.DUMMYFUNCTION("""COMPUTED_VALUE"""),0.0)</f>
        <v>0</v>
      </c>
      <c r="D2139" s="8"/>
    </row>
    <row r="2140">
      <c r="A2140" s="9" t="str">
        <f>IFERROR(__xludf.DUMMYFUNCTION("""COMPUTED_VALUE"""),"Batch 196")</f>
        <v>Batch 196</v>
      </c>
      <c r="B2140" s="9" t="str">
        <f>IFERROR(__xludf.DUMMYFUNCTION("""COMPUTED_VALUE"""),"KrishC96")</f>
        <v>KrishC96</v>
      </c>
      <c r="C2140" s="8">
        <f>IFERROR(__xludf.DUMMYFUNCTION("""COMPUTED_VALUE"""),0.0)</f>
        <v>0</v>
      </c>
      <c r="D2140" s="8"/>
    </row>
    <row r="2141">
      <c r="A2141" s="9" t="str">
        <f>IFERROR(__xludf.DUMMYFUNCTION("""COMPUTED_VALUE"""),"Batch 196")</f>
        <v>Batch 196</v>
      </c>
      <c r="B2141" s="9" t="str">
        <f>IFERROR(__xludf.DUMMYFUNCTION("""COMPUTED_VALUE"""),"SrimoyeeC96")</f>
        <v>SrimoyeeC96</v>
      </c>
      <c r="C2141" s="8">
        <f>IFERROR(__xludf.DUMMYFUNCTION("""COMPUTED_VALUE"""),0.0)</f>
        <v>0</v>
      </c>
      <c r="D2141" s="8"/>
    </row>
    <row r="2142">
      <c r="A2142" s="9" t="str">
        <f>IFERROR(__xludf.DUMMYFUNCTION("""COMPUTED_VALUE"""),"Batch 196")</f>
        <v>Batch 196</v>
      </c>
      <c r="B2142" s="9" t="str">
        <f>IFERROR(__xludf.DUMMYFUNCTION("""COMPUTED_VALUE"""),"SreeC96")</f>
        <v>SreeC96</v>
      </c>
      <c r="C2142" s="8">
        <f>IFERROR(__xludf.DUMMYFUNCTION("""COMPUTED_VALUE"""),4.0)</f>
        <v>4</v>
      </c>
      <c r="D2142" s="8"/>
    </row>
    <row r="2143">
      <c r="A2143" s="9" t="str">
        <f>IFERROR(__xludf.DUMMYFUNCTION("""COMPUTED_VALUE"""),"Batch 196")</f>
        <v>Batch 196</v>
      </c>
      <c r="B2143" s="9" t="str">
        <f>IFERROR(__xludf.DUMMYFUNCTION("""COMPUTED_VALUE"""),"ThoratC96")</f>
        <v>ThoratC96</v>
      </c>
      <c r="C2143" s="8">
        <f>IFERROR(__xludf.DUMMYFUNCTION("""COMPUTED_VALUE"""),4.0)</f>
        <v>4</v>
      </c>
      <c r="D2143" s="8"/>
    </row>
    <row r="2144">
      <c r="A2144" s="9" t="str">
        <f>IFERROR(__xludf.DUMMYFUNCTION("""COMPUTED_VALUE"""),"Batch 196")</f>
        <v>Batch 196</v>
      </c>
      <c r="B2144" s="9" t="str">
        <f>IFERROR(__xludf.DUMMYFUNCTION("""COMPUTED_VALUE"""),"AnamikaC96")</f>
        <v>AnamikaC96</v>
      </c>
      <c r="C2144" s="8">
        <f>IFERROR(__xludf.DUMMYFUNCTION("""COMPUTED_VALUE"""),103.0)</f>
        <v>103</v>
      </c>
      <c r="D2144" s="8">
        <f>IFERROR(__xludf.DUMMYFUNCTION("""COMPUTED_VALUE"""),44.0)</f>
        <v>44</v>
      </c>
    </row>
    <row r="2145">
      <c r="A2145" s="9" t="str">
        <f>IFERROR(__xludf.DUMMYFUNCTION("""COMPUTED_VALUE"""),"Batch 196")</f>
        <v>Batch 196</v>
      </c>
      <c r="B2145" s="9" t="str">
        <f>IFERROR(__xludf.DUMMYFUNCTION("""COMPUTED_VALUE"""),"UtkarshC96")</f>
        <v>UtkarshC96</v>
      </c>
      <c r="C2145" s="8">
        <f>IFERROR(__xludf.DUMMYFUNCTION("""COMPUTED_VALUE"""),1.0)</f>
        <v>1</v>
      </c>
      <c r="D2145" s="8"/>
    </row>
    <row r="2146">
      <c r="A2146" s="9" t="str">
        <f>IFERROR(__xludf.DUMMYFUNCTION("""COMPUTED_VALUE"""),"Batch 196")</f>
        <v>Batch 196</v>
      </c>
      <c r="B2146" s="9" t="str">
        <f>IFERROR(__xludf.DUMMYFUNCTION("""COMPUTED_VALUE"""),"MeghaC96")</f>
        <v>MeghaC96</v>
      </c>
      <c r="C2146" s="8">
        <f>IFERROR(__xludf.DUMMYFUNCTION("""COMPUTED_VALUE"""),0.0)</f>
        <v>0</v>
      </c>
      <c r="D2146" s="8"/>
    </row>
    <row r="2147">
      <c r="A2147" s="9" t="str">
        <f>IFERROR(__xludf.DUMMYFUNCTION("""COMPUTED_VALUE"""),"Batch 196")</f>
        <v>Batch 196</v>
      </c>
      <c r="B2147" s="9" t="str">
        <f>IFERROR(__xludf.DUMMYFUNCTION("""COMPUTED_VALUE"""),"SnehaC96")</f>
        <v>SnehaC96</v>
      </c>
      <c r="C2147" s="8">
        <f>IFERROR(__xludf.DUMMYFUNCTION("""COMPUTED_VALUE"""),0.0)</f>
        <v>0</v>
      </c>
      <c r="D2147" s="8"/>
    </row>
    <row r="2148">
      <c r="A2148" s="9" t="str">
        <f>IFERROR(__xludf.DUMMYFUNCTION("""COMPUTED_VALUE"""),"Batch 196")</f>
        <v>Batch 196</v>
      </c>
      <c r="B2148" s="9" t="str">
        <f>IFERROR(__xludf.DUMMYFUNCTION("""COMPUTED_VALUE"""),"ArshiyaC96")</f>
        <v>ArshiyaC96</v>
      </c>
      <c r="C2148" s="8">
        <f>IFERROR(__xludf.DUMMYFUNCTION("""COMPUTED_VALUE"""),0.0)</f>
        <v>0</v>
      </c>
      <c r="D2148" s="8"/>
    </row>
    <row r="2149">
      <c r="A2149" s="9" t="str">
        <f>IFERROR(__xludf.DUMMYFUNCTION("""COMPUTED_VALUE"""),"Batch 196")</f>
        <v>Batch 196</v>
      </c>
      <c r="B2149" s="9" t="str">
        <f>IFERROR(__xludf.DUMMYFUNCTION("""COMPUTED_VALUE"""),"PrachiC96")</f>
        <v>PrachiC96</v>
      </c>
      <c r="C2149" s="8">
        <f>IFERROR(__xludf.DUMMYFUNCTION("""COMPUTED_VALUE"""),0.0)</f>
        <v>0</v>
      </c>
      <c r="D2149" s="8"/>
    </row>
    <row r="2150">
      <c r="A2150" s="9" t="str">
        <f>IFERROR(__xludf.DUMMYFUNCTION("""COMPUTED_VALUE"""),"Batch 196")</f>
        <v>Batch 196</v>
      </c>
      <c r="B2150" s="9" t="str">
        <f>IFERROR(__xludf.DUMMYFUNCTION("""COMPUTED_VALUE"""),"MahakC96")</f>
        <v>MahakC96</v>
      </c>
      <c r="C2150" s="8">
        <f>IFERROR(__xludf.DUMMYFUNCTION("""COMPUTED_VALUE"""),0.0)</f>
        <v>0</v>
      </c>
      <c r="D2150" s="8"/>
    </row>
    <row r="2151">
      <c r="A2151" s="9" t="str">
        <f>IFERROR(__xludf.DUMMYFUNCTION("""COMPUTED_VALUE"""),"Batch 196")</f>
        <v>Batch 196</v>
      </c>
      <c r="B2151" s="9" t="str">
        <f>IFERROR(__xludf.DUMMYFUNCTION("""COMPUTED_VALUE"""),"ArpitC96")</f>
        <v>ArpitC96</v>
      </c>
      <c r="C2151" s="8">
        <f>IFERROR(__xludf.DUMMYFUNCTION("""COMPUTED_VALUE"""),5.0)</f>
        <v>5</v>
      </c>
      <c r="D2151" s="8">
        <f>IFERROR(__xludf.DUMMYFUNCTION("""COMPUTED_VALUE"""),3.0)</f>
        <v>3</v>
      </c>
    </row>
    <row r="2152">
      <c r="A2152" s="9" t="str">
        <f>IFERROR(__xludf.DUMMYFUNCTION("""COMPUTED_VALUE"""),"Batch 196")</f>
        <v>Batch 196</v>
      </c>
      <c r="B2152" s="9" t="str">
        <f>IFERROR(__xludf.DUMMYFUNCTION("""COMPUTED_VALUE"""),"TrishaC96")</f>
        <v>TrishaC96</v>
      </c>
      <c r="C2152" s="8">
        <f>IFERROR(__xludf.DUMMYFUNCTION("""COMPUTED_VALUE"""),0.0)</f>
        <v>0</v>
      </c>
      <c r="D2152" s="8"/>
    </row>
    <row r="2153">
      <c r="A2153" s="9" t="str">
        <f>IFERROR(__xludf.DUMMYFUNCTION("""COMPUTED_VALUE"""),"Batch 196")</f>
        <v>Batch 196</v>
      </c>
      <c r="B2153" s="9" t="str">
        <f>IFERROR(__xludf.DUMMYFUNCTION("""COMPUTED_VALUE"""),"TryambakC96")</f>
        <v>TryambakC96</v>
      </c>
      <c r="C2153" s="8">
        <f>IFERROR(__xludf.DUMMYFUNCTION("""COMPUTED_VALUE"""),5.0)</f>
        <v>5</v>
      </c>
      <c r="D2153" s="8"/>
    </row>
    <row r="2154">
      <c r="A2154" s="9" t="str">
        <f>IFERROR(__xludf.DUMMYFUNCTION("""COMPUTED_VALUE"""),"Batch 196")</f>
        <v>Batch 196</v>
      </c>
      <c r="B2154" s="9" t="str">
        <f>IFERROR(__xludf.DUMMYFUNCTION("""COMPUTED_VALUE"""),"ChaudharyC96")</f>
        <v>ChaudharyC96</v>
      </c>
      <c r="C2154" s="8">
        <f>IFERROR(__xludf.DUMMYFUNCTION("""COMPUTED_VALUE"""),0.0)</f>
        <v>0</v>
      </c>
      <c r="D2154" s="8"/>
    </row>
    <row r="2155">
      <c r="A2155" s="9" t="str">
        <f>IFERROR(__xludf.DUMMYFUNCTION("""COMPUTED_VALUE"""),"Batch 196")</f>
        <v>Batch 196</v>
      </c>
      <c r="B2155" s="9" t="str">
        <f>IFERROR(__xludf.DUMMYFUNCTION("""COMPUTED_VALUE"""),"AayushC96")</f>
        <v>AayushC96</v>
      </c>
      <c r="C2155" s="8">
        <f>IFERROR(__xludf.DUMMYFUNCTION("""COMPUTED_VALUE"""),0.0)</f>
        <v>0</v>
      </c>
      <c r="D2155" s="8"/>
    </row>
    <row r="2156">
      <c r="A2156" s="9" t="str">
        <f>IFERROR(__xludf.DUMMYFUNCTION("""COMPUTED_VALUE"""),"Batch 196")</f>
        <v>Batch 196</v>
      </c>
      <c r="B2156" s="9" t="str">
        <f>IFERROR(__xludf.DUMMYFUNCTION("""COMPUTED_VALUE"""),"PRABAHARANC96")</f>
        <v>PRABAHARANC96</v>
      </c>
      <c r="C2156" s="8">
        <f>IFERROR(__xludf.DUMMYFUNCTION("""COMPUTED_VALUE"""),0.0)</f>
        <v>0</v>
      </c>
      <c r="D2156" s="8"/>
    </row>
    <row r="2157">
      <c r="A2157" s="9" t="str">
        <f>IFERROR(__xludf.DUMMYFUNCTION("""COMPUTED_VALUE"""),"Batch 196")</f>
        <v>Batch 196</v>
      </c>
      <c r="B2157" s="9" t="str">
        <f>IFERROR(__xludf.DUMMYFUNCTION("""COMPUTED_VALUE"""),"SaniyaC96")</f>
        <v>SaniyaC96</v>
      </c>
      <c r="C2157" s="8">
        <f>IFERROR(__xludf.DUMMYFUNCTION("""COMPUTED_VALUE"""),3.0)</f>
        <v>3</v>
      </c>
      <c r="D2157" s="8"/>
    </row>
    <row r="2158">
      <c r="A2158" s="9" t="str">
        <f>IFERROR(__xludf.DUMMYFUNCTION("""COMPUTED_VALUE"""),"Batch 196")</f>
        <v>Batch 196</v>
      </c>
      <c r="B2158" s="9" t="str">
        <f>IFERROR(__xludf.DUMMYFUNCTION("""COMPUTED_VALUE"""),"IshikaC96")</f>
        <v>IshikaC96</v>
      </c>
      <c r="C2158" s="8">
        <f>IFERROR(__xludf.DUMMYFUNCTION("""COMPUTED_VALUE"""),0.0)</f>
        <v>0</v>
      </c>
      <c r="D2158" s="8"/>
    </row>
    <row r="2159">
      <c r="A2159" s="9" t="str">
        <f>IFERROR(__xludf.DUMMYFUNCTION("""COMPUTED_VALUE"""),"Batch 196")</f>
        <v>Batch 196</v>
      </c>
      <c r="B2159" s="9" t="str">
        <f>IFERROR(__xludf.DUMMYFUNCTION("""COMPUTED_VALUE"""),"AmanC96")</f>
        <v>AmanC96</v>
      </c>
      <c r="C2159" s="8">
        <f>IFERROR(__xludf.DUMMYFUNCTION("""COMPUTED_VALUE"""),0.0)</f>
        <v>0</v>
      </c>
      <c r="D2159" s="8"/>
    </row>
    <row r="2160">
      <c r="A2160" s="9" t="str">
        <f>IFERROR(__xludf.DUMMYFUNCTION("""COMPUTED_VALUE"""),"Batch 196")</f>
        <v>Batch 196</v>
      </c>
      <c r="B2160" s="9" t="str">
        <f>IFERROR(__xludf.DUMMYFUNCTION("""COMPUTED_VALUE"""),"GouravC96")</f>
        <v>GouravC96</v>
      </c>
      <c r="C2160" s="8">
        <f>IFERROR(__xludf.DUMMYFUNCTION("""COMPUTED_VALUE"""),0.0)</f>
        <v>0</v>
      </c>
      <c r="D2160" s="8"/>
    </row>
    <row r="2161">
      <c r="A2161" s="9" t="str">
        <f>IFERROR(__xludf.DUMMYFUNCTION("""COMPUTED_VALUE"""),"Batch 196")</f>
        <v>Batch 196</v>
      </c>
      <c r="B2161" s="9" t="str">
        <f>IFERROR(__xludf.DUMMYFUNCTION("""COMPUTED_VALUE"""),"MAkashC96")</f>
        <v>MAkashC96</v>
      </c>
      <c r="C2161" s="8">
        <f>IFERROR(__xludf.DUMMYFUNCTION("""COMPUTED_VALUE"""),0.0)</f>
        <v>0</v>
      </c>
      <c r="D2161" s="8"/>
    </row>
    <row r="2162">
      <c r="A2162" s="9" t="str">
        <f>IFERROR(__xludf.DUMMYFUNCTION("""COMPUTED_VALUE"""),"Batch 196")</f>
        <v>Batch 196</v>
      </c>
      <c r="B2162" s="9" t="str">
        <f>IFERROR(__xludf.DUMMYFUNCTION("""COMPUTED_VALUE"""),"YashC96")</f>
        <v>YashC96</v>
      </c>
      <c r="C2162" s="8">
        <f>IFERROR(__xludf.DUMMYFUNCTION("""COMPUTED_VALUE"""),9.0)</f>
        <v>9</v>
      </c>
      <c r="D2162" s="8">
        <f>IFERROR(__xludf.DUMMYFUNCTION("""COMPUTED_VALUE"""),1.0)</f>
        <v>1</v>
      </c>
    </row>
    <row r="2163">
      <c r="A2163" s="9" t="str">
        <f>IFERROR(__xludf.DUMMYFUNCTION("""COMPUTED_VALUE"""),"Batch 196")</f>
        <v>Batch 196</v>
      </c>
      <c r="B2163" s="9" t="str">
        <f>IFERROR(__xludf.DUMMYFUNCTION("""COMPUTED_VALUE"""),"KhushiC96")</f>
        <v>KhushiC96</v>
      </c>
      <c r="C2163" s="8">
        <f>IFERROR(__xludf.DUMMYFUNCTION("""COMPUTED_VALUE"""),0.0)</f>
        <v>0</v>
      </c>
      <c r="D2163" s="8"/>
    </row>
    <row r="2164">
      <c r="A2164" s="9" t="str">
        <f>IFERROR(__xludf.DUMMYFUNCTION("""COMPUTED_VALUE"""),"Batch 196")</f>
        <v>Batch 196</v>
      </c>
      <c r="B2164" s="9" t="str">
        <f>IFERROR(__xludf.DUMMYFUNCTION("""COMPUTED_VALUE"""),"HimanshuC96")</f>
        <v>HimanshuC96</v>
      </c>
      <c r="C2164" s="8">
        <f>IFERROR(__xludf.DUMMYFUNCTION("""COMPUTED_VALUE"""),0.0)</f>
        <v>0</v>
      </c>
      <c r="D2164" s="8"/>
    </row>
    <row r="2165">
      <c r="A2165" s="9" t="str">
        <f>IFERROR(__xludf.DUMMYFUNCTION("""COMPUTED_VALUE"""),"Batch 196")</f>
        <v>Batch 196</v>
      </c>
      <c r="B2165" s="9" t="str">
        <f>IFERROR(__xludf.DUMMYFUNCTION("""COMPUTED_VALUE"""),"GOLIC96")</f>
        <v>GOLIC96</v>
      </c>
      <c r="C2165" s="8">
        <f>IFERROR(__xludf.DUMMYFUNCTION("""COMPUTED_VALUE"""),0.0)</f>
        <v>0</v>
      </c>
      <c r="D2165" s="8"/>
    </row>
    <row r="2166">
      <c r="A2166" s="9" t="str">
        <f>IFERROR(__xludf.DUMMYFUNCTION("""COMPUTED_VALUE"""),"Batch 196")</f>
        <v>Batch 196</v>
      </c>
      <c r="B2166" s="9">
        <f>IFERROR(__xludf.DUMMYFUNCTION("""COMPUTED_VALUE"""),4.0)</f>
        <v>4</v>
      </c>
      <c r="C2166" s="8">
        <f>IFERROR(__xludf.DUMMYFUNCTION("""COMPUTED_VALUE"""),11.0)</f>
        <v>11</v>
      </c>
      <c r="D2166" s="8"/>
    </row>
    <row r="2167">
      <c r="A2167" s="9" t="str">
        <f>IFERROR(__xludf.DUMMYFUNCTION("""COMPUTED_VALUE"""),"Batch 196")</f>
        <v>Batch 196</v>
      </c>
      <c r="B2167" s="9" t="str">
        <f>IFERROR(__xludf.DUMMYFUNCTION("""COMPUTED_VALUE"""),"SimranC96")</f>
        <v>SimranC96</v>
      </c>
      <c r="C2167" s="8">
        <f>IFERROR(__xludf.DUMMYFUNCTION("""COMPUTED_VALUE"""),0.0)</f>
        <v>0</v>
      </c>
      <c r="D2167" s="8"/>
    </row>
    <row r="2168">
      <c r="A2168" s="9" t="str">
        <f>IFERROR(__xludf.DUMMYFUNCTION("""COMPUTED_VALUE"""),"Batch 196")</f>
        <v>Batch 196</v>
      </c>
      <c r="B2168" s="9" t="str">
        <f>IFERROR(__xludf.DUMMYFUNCTION("""COMPUTED_VALUE"""),"DevC96")</f>
        <v>DevC96</v>
      </c>
      <c r="C2168" s="8">
        <f>IFERROR(__xludf.DUMMYFUNCTION("""COMPUTED_VALUE"""),0.0)</f>
        <v>0</v>
      </c>
      <c r="D2168" s="8"/>
    </row>
    <row r="2169">
      <c r="A2169" s="9" t="str">
        <f>IFERROR(__xludf.DUMMYFUNCTION("""COMPUTED_VALUE"""),"Batch 196")</f>
        <v>Batch 196</v>
      </c>
      <c r="B2169" s="9" t="str">
        <f>IFERROR(__xludf.DUMMYFUNCTION("""COMPUTED_VALUE"""),"P.KrishnasreeC96")</f>
        <v>P.KrishnasreeC96</v>
      </c>
      <c r="C2169" s="8">
        <f>IFERROR(__xludf.DUMMYFUNCTION("""COMPUTED_VALUE"""),0.0)</f>
        <v>0</v>
      </c>
      <c r="D2169" s="8"/>
    </row>
    <row r="2170">
      <c r="A2170" s="9" t="str">
        <f>IFERROR(__xludf.DUMMYFUNCTION("""COMPUTED_VALUE"""),"Batch 196")</f>
        <v>Batch 196</v>
      </c>
      <c r="B2170" s="9" t="str">
        <f>IFERROR(__xludf.DUMMYFUNCTION("""COMPUTED_VALUE"""),"SomeshC96")</f>
        <v>SomeshC96</v>
      </c>
      <c r="C2170" s="8">
        <f>IFERROR(__xludf.DUMMYFUNCTION("""COMPUTED_VALUE"""),0.0)</f>
        <v>0</v>
      </c>
      <c r="D2170" s="8"/>
    </row>
    <row r="2171">
      <c r="A2171" s="9" t="str">
        <f>IFERROR(__xludf.DUMMYFUNCTION("""COMPUTED_VALUE"""),"Batch 196")</f>
        <v>Batch 196</v>
      </c>
      <c r="B2171" s="9" t="str">
        <f>IFERROR(__xludf.DUMMYFUNCTION("""COMPUTED_VALUE"""),"LovelyC96")</f>
        <v>LovelyC96</v>
      </c>
      <c r="C2171" s="8">
        <f>IFERROR(__xludf.DUMMYFUNCTION("""COMPUTED_VALUE"""),0.0)</f>
        <v>0</v>
      </c>
      <c r="D2171" s="8"/>
    </row>
    <row r="2172">
      <c r="A2172" s="9" t="str">
        <f>IFERROR(__xludf.DUMMYFUNCTION("""COMPUTED_VALUE"""),"Batch 196")</f>
        <v>Batch 196</v>
      </c>
      <c r="B2172" s="9" t="str">
        <f>IFERROR(__xludf.DUMMYFUNCTION("""COMPUTED_VALUE"""),"RanaC96")</f>
        <v>RanaC96</v>
      </c>
      <c r="C2172" s="8">
        <f>IFERROR(__xludf.DUMMYFUNCTION("""COMPUTED_VALUE"""),2.0)</f>
        <v>2</v>
      </c>
      <c r="D2172" s="8"/>
    </row>
    <row r="2173">
      <c r="A2173" s="9" t="str">
        <f>IFERROR(__xludf.DUMMYFUNCTION("""COMPUTED_VALUE"""),"Batch 196")</f>
        <v>Batch 196</v>
      </c>
      <c r="B2173" s="9" t="str">
        <f>IFERROR(__xludf.DUMMYFUNCTION("""COMPUTED_VALUE"""),"RimitaC96")</f>
        <v>RimitaC96</v>
      </c>
      <c r="C2173" s="8">
        <f>IFERROR(__xludf.DUMMYFUNCTION("""COMPUTED_VALUE"""),0.0)</f>
        <v>0</v>
      </c>
      <c r="D2173" s="8"/>
    </row>
    <row r="2174">
      <c r="A2174" s="9" t="str">
        <f>IFERROR(__xludf.DUMMYFUNCTION("""COMPUTED_VALUE"""),"Batch 196")</f>
        <v>Batch 196</v>
      </c>
      <c r="B2174" s="9" t="str">
        <f>IFERROR(__xludf.DUMMYFUNCTION("""COMPUTED_VALUE"""),"MuskanC96")</f>
        <v>MuskanC96</v>
      </c>
      <c r="C2174" s="8">
        <f>IFERROR(__xludf.DUMMYFUNCTION("""COMPUTED_VALUE"""),33.0)</f>
        <v>33</v>
      </c>
      <c r="D2174" s="8">
        <f>IFERROR(__xludf.DUMMYFUNCTION("""COMPUTED_VALUE"""),2.0)</f>
        <v>2</v>
      </c>
    </row>
    <row r="2175">
      <c r="A2175" s="9" t="str">
        <f>IFERROR(__xludf.DUMMYFUNCTION("""COMPUTED_VALUE"""),"Batch 196")</f>
        <v>Batch 196</v>
      </c>
      <c r="B2175" s="9" t="str">
        <f>IFERROR(__xludf.DUMMYFUNCTION("""COMPUTED_VALUE"""),"PidigundlaC96")</f>
        <v>PidigundlaC96</v>
      </c>
      <c r="C2175" s="8">
        <f>IFERROR(__xludf.DUMMYFUNCTION("""COMPUTED_VALUE"""),0.0)</f>
        <v>0</v>
      </c>
      <c r="D2175" s="8"/>
    </row>
    <row r="2176">
      <c r="A2176" s="9"/>
      <c r="B2176" s="9"/>
      <c r="C2176" s="8">
        <f>IFERROR(__xludf.DUMMYFUNCTION("""COMPUTED_VALUE"""),0.0)</f>
        <v>0</v>
      </c>
      <c r="D2176" s="8"/>
    </row>
    <row r="2177">
      <c r="A2177" s="9" t="str">
        <f>IFERROR(__xludf.DUMMYFUNCTION("""COMPUTED_VALUE"""),"Batch 197")</f>
        <v>Batch 197</v>
      </c>
      <c r="B2177" s="9" t="str">
        <f>IFERROR(__xludf.DUMMYFUNCTION("""COMPUTED_VALUE"""),"PriyankaC97")</f>
        <v>PriyankaC97</v>
      </c>
      <c r="C2177" s="8">
        <f>IFERROR(__xludf.DUMMYFUNCTION("""COMPUTED_VALUE"""),0.0)</f>
        <v>0</v>
      </c>
      <c r="D2177" s="8"/>
    </row>
    <row r="2178">
      <c r="A2178" s="9" t="str">
        <f>IFERROR(__xludf.DUMMYFUNCTION("""COMPUTED_VALUE"""),"Batch 197")</f>
        <v>Batch 197</v>
      </c>
      <c r="B2178" s="9" t="str">
        <f>IFERROR(__xludf.DUMMYFUNCTION("""COMPUTED_VALUE"""),"HarshiniC97")</f>
        <v>HarshiniC97</v>
      </c>
      <c r="C2178" s="8">
        <f>IFERROR(__xludf.DUMMYFUNCTION("""COMPUTED_VALUE"""),0.0)</f>
        <v>0</v>
      </c>
      <c r="D2178" s="8"/>
    </row>
    <row r="2179">
      <c r="A2179" s="9" t="str">
        <f>IFERROR(__xludf.DUMMYFUNCTION("""COMPUTED_VALUE"""),"Batch 197")</f>
        <v>Batch 197</v>
      </c>
      <c r="B2179" s="9" t="str">
        <f>IFERROR(__xludf.DUMMYFUNCTION("""COMPUTED_VALUE"""),"SAYANTANC97")</f>
        <v>SAYANTANC97</v>
      </c>
      <c r="C2179" s="8">
        <f>IFERROR(__xludf.DUMMYFUNCTION("""COMPUTED_VALUE"""),0.0)</f>
        <v>0</v>
      </c>
      <c r="D2179" s="8"/>
    </row>
    <row r="2180">
      <c r="A2180" s="9" t="str">
        <f>IFERROR(__xludf.DUMMYFUNCTION("""COMPUTED_VALUE"""),"Batch 197")</f>
        <v>Batch 197</v>
      </c>
      <c r="B2180" s="9" t="str">
        <f>IFERROR(__xludf.DUMMYFUNCTION("""COMPUTED_VALUE"""),"GarvC97")</f>
        <v>GarvC97</v>
      </c>
      <c r="C2180" s="8">
        <f>IFERROR(__xludf.DUMMYFUNCTION("""COMPUTED_VALUE"""),1.0)</f>
        <v>1</v>
      </c>
      <c r="D2180" s="8"/>
    </row>
    <row r="2181">
      <c r="A2181" s="9" t="str">
        <f>IFERROR(__xludf.DUMMYFUNCTION("""COMPUTED_VALUE"""),"Batch 197")</f>
        <v>Batch 197</v>
      </c>
      <c r="B2181" s="9" t="str">
        <f>IFERROR(__xludf.DUMMYFUNCTION("""COMPUTED_VALUE"""),"SanchitaC97")</f>
        <v>SanchitaC97</v>
      </c>
      <c r="C2181" s="8">
        <f>IFERROR(__xludf.DUMMYFUNCTION("""COMPUTED_VALUE"""),0.0)</f>
        <v>0</v>
      </c>
      <c r="D2181" s="8"/>
    </row>
    <row r="2182">
      <c r="A2182" s="9" t="str">
        <f>IFERROR(__xludf.DUMMYFUNCTION("""COMPUTED_VALUE"""),"Batch 197")</f>
        <v>Batch 197</v>
      </c>
      <c r="B2182" s="9" t="str">
        <f>IFERROR(__xludf.DUMMYFUNCTION("""COMPUTED_VALUE"""),"ArdhraC97")</f>
        <v>ArdhraC97</v>
      </c>
      <c r="C2182" s="8">
        <f>IFERROR(__xludf.DUMMYFUNCTION("""COMPUTED_VALUE"""),0.0)</f>
        <v>0</v>
      </c>
      <c r="D2182" s="8"/>
    </row>
    <row r="2183">
      <c r="A2183" s="9" t="str">
        <f>IFERROR(__xludf.DUMMYFUNCTION("""COMPUTED_VALUE"""),"Batch 197")</f>
        <v>Batch 197</v>
      </c>
      <c r="B2183" s="9" t="str">
        <f>IFERROR(__xludf.DUMMYFUNCTION("""COMPUTED_VALUE"""),"RishavC97")</f>
        <v>RishavC97</v>
      </c>
      <c r="C2183" s="8">
        <f>IFERROR(__xludf.DUMMYFUNCTION("""COMPUTED_VALUE"""),2.0)</f>
        <v>2</v>
      </c>
      <c r="D2183" s="8"/>
    </row>
    <row r="2184">
      <c r="A2184" s="9" t="str">
        <f>IFERROR(__xludf.DUMMYFUNCTION("""COMPUTED_VALUE"""),"Batch 197")</f>
        <v>Batch 197</v>
      </c>
      <c r="B2184" s="9" t="str">
        <f>IFERROR(__xludf.DUMMYFUNCTION("""COMPUTED_VALUE"""),"AmruthaC97")</f>
        <v>AmruthaC97</v>
      </c>
      <c r="C2184" s="8">
        <f>IFERROR(__xludf.DUMMYFUNCTION("""COMPUTED_VALUE"""),0.0)</f>
        <v>0</v>
      </c>
      <c r="D2184" s="8"/>
    </row>
    <row r="2185">
      <c r="A2185" s="9" t="str">
        <f>IFERROR(__xludf.DUMMYFUNCTION("""COMPUTED_VALUE"""),"Batch 197")</f>
        <v>Batch 197</v>
      </c>
      <c r="B2185" s="9" t="str">
        <f>IFERROR(__xludf.DUMMYFUNCTION("""COMPUTED_VALUE"""),"R.JamunaraniC97")</f>
        <v>R.JamunaraniC97</v>
      </c>
      <c r="C2185" s="8">
        <f>IFERROR(__xludf.DUMMYFUNCTION("""COMPUTED_VALUE"""),0.0)</f>
        <v>0</v>
      </c>
      <c r="D2185" s="8"/>
    </row>
    <row r="2186">
      <c r="A2186" s="9" t="str">
        <f>IFERROR(__xludf.DUMMYFUNCTION("""COMPUTED_VALUE"""),"Batch 197")</f>
        <v>Batch 197</v>
      </c>
      <c r="B2186" s="9" t="str">
        <f>IFERROR(__xludf.DUMMYFUNCTION("""COMPUTED_VALUE"""),"PurnakamC97")</f>
        <v>PurnakamC97</v>
      </c>
      <c r="C2186" s="8">
        <f>IFERROR(__xludf.DUMMYFUNCTION("""COMPUTED_VALUE"""),0.0)</f>
        <v>0</v>
      </c>
      <c r="D2186" s="8"/>
    </row>
    <row r="2187">
      <c r="A2187" s="9" t="str">
        <f>IFERROR(__xludf.DUMMYFUNCTION("""COMPUTED_VALUE"""),"Batch 197")</f>
        <v>Batch 197</v>
      </c>
      <c r="B2187" s="9" t="str">
        <f>IFERROR(__xludf.DUMMYFUNCTION("""COMPUTED_VALUE"""),"ShivaniC97")</f>
        <v>ShivaniC97</v>
      </c>
      <c r="C2187" s="8">
        <f>IFERROR(__xludf.DUMMYFUNCTION("""COMPUTED_VALUE"""),0.0)</f>
        <v>0</v>
      </c>
      <c r="D2187" s="8"/>
    </row>
    <row r="2188">
      <c r="A2188" s="9" t="str">
        <f>IFERROR(__xludf.DUMMYFUNCTION("""COMPUTED_VALUE"""),"Batch 197")</f>
        <v>Batch 197</v>
      </c>
      <c r="B2188" s="9" t="str">
        <f>IFERROR(__xludf.DUMMYFUNCTION("""COMPUTED_VALUE"""),"ZamanC97")</f>
        <v>ZamanC97</v>
      </c>
      <c r="C2188" s="8">
        <f>IFERROR(__xludf.DUMMYFUNCTION("""COMPUTED_VALUE"""),1.0)</f>
        <v>1</v>
      </c>
      <c r="D2188" s="8"/>
    </row>
    <row r="2189">
      <c r="A2189" s="9" t="str">
        <f>IFERROR(__xludf.DUMMYFUNCTION("""COMPUTED_VALUE"""),"Batch 197")</f>
        <v>Batch 197</v>
      </c>
      <c r="B2189" s="9" t="str">
        <f>IFERROR(__xludf.DUMMYFUNCTION("""COMPUTED_VALUE"""),"RishavC97")</f>
        <v>RishavC97</v>
      </c>
      <c r="C2189" s="8">
        <f>IFERROR(__xludf.DUMMYFUNCTION("""COMPUTED_VALUE"""),0.0)</f>
        <v>0</v>
      </c>
      <c r="D2189" s="8"/>
    </row>
    <row r="2190">
      <c r="A2190" s="9" t="str">
        <f>IFERROR(__xludf.DUMMYFUNCTION("""COMPUTED_VALUE"""),"Batch 197")</f>
        <v>Batch 197</v>
      </c>
      <c r="B2190" s="9" t="str">
        <f>IFERROR(__xludf.DUMMYFUNCTION("""COMPUTED_VALUE"""),"GaliC97")</f>
        <v>GaliC97</v>
      </c>
      <c r="C2190" s="8">
        <f>IFERROR(__xludf.DUMMYFUNCTION("""COMPUTED_VALUE"""),0.0)</f>
        <v>0</v>
      </c>
      <c r="D2190" s="8"/>
    </row>
    <row r="2191">
      <c r="A2191" s="9"/>
      <c r="B2191" s="9"/>
      <c r="C2191" s="8">
        <f>IFERROR(__xludf.DUMMYFUNCTION("""COMPUTED_VALUE"""),0.0)</f>
        <v>0</v>
      </c>
      <c r="D2191" s="8"/>
    </row>
    <row r="2192">
      <c r="A2192" s="9" t="str">
        <f>IFERROR(__xludf.DUMMYFUNCTION("""COMPUTED_VALUE"""),"Batch 197")</f>
        <v>Batch 197</v>
      </c>
      <c r="B2192" s="9" t="str">
        <f>IFERROR(__xludf.DUMMYFUNCTION("""COMPUTED_VALUE"""),"AyushC97")</f>
        <v>AyushC97</v>
      </c>
      <c r="C2192" s="8">
        <f>IFERROR(__xludf.DUMMYFUNCTION("""COMPUTED_VALUE"""),2.0)</f>
        <v>2</v>
      </c>
      <c r="D2192" s="8">
        <f>IFERROR(__xludf.DUMMYFUNCTION("""COMPUTED_VALUE"""),4.0)</f>
        <v>4</v>
      </c>
    </row>
    <row r="2193">
      <c r="A2193" s="9" t="str">
        <f>IFERROR(__xludf.DUMMYFUNCTION("""COMPUTED_VALUE"""),"Batch 197")</f>
        <v>Batch 197</v>
      </c>
      <c r="B2193" s="9" t="str">
        <f>IFERROR(__xludf.DUMMYFUNCTION("""COMPUTED_VALUE"""),"VinayakC97")</f>
        <v>VinayakC97</v>
      </c>
      <c r="C2193" s="8">
        <f>IFERROR(__xludf.DUMMYFUNCTION("""COMPUTED_VALUE"""),0.0)</f>
        <v>0</v>
      </c>
      <c r="D2193" s="8"/>
    </row>
    <row r="2194">
      <c r="A2194" s="9" t="str">
        <f>IFERROR(__xludf.DUMMYFUNCTION("""COMPUTED_VALUE"""),"Batch 197")</f>
        <v>Batch 197</v>
      </c>
      <c r="B2194" s="9" t="str">
        <f>IFERROR(__xludf.DUMMYFUNCTION("""COMPUTED_VALUE"""),"SAIC97")</f>
        <v>SAIC97</v>
      </c>
      <c r="C2194" s="8">
        <f>IFERROR(__xludf.DUMMYFUNCTION("""COMPUTED_VALUE"""),0.0)</f>
        <v>0</v>
      </c>
      <c r="D2194" s="8"/>
    </row>
    <row r="2195">
      <c r="A2195" s="9" t="str">
        <f>IFERROR(__xludf.DUMMYFUNCTION("""COMPUTED_VALUE"""),"Batch 197")</f>
        <v>Batch 197</v>
      </c>
      <c r="B2195" s="9" t="str">
        <f>IFERROR(__xludf.DUMMYFUNCTION("""COMPUTED_VALUE"""),"MohakC97")</f>
        <v>MohakC97</v>
      </c>
      <c r="C2195" s="8">
        <f>IFERROR(__xludf.DUMMYFUNCTION("""COMPUTED_VALUE"""),0.0)</f>
        <v>0</v>
      </c>
      <c r="D2195" s="8"/>
    </row>
    <row r="2196">
      <c r="A2196" s="9" t="str">
        <f>IFERROR(__xludf.DUMMYFUNCTION("""COMPUTED_VALUE"""),"Batch 197")</f>
        <v>Batch 197</v>
      </c>
      <c r="B2196" s="9" t="str">
        <f>IFERROR(__xludf.DUMMYFUNCTION("""COMPUTED_VALUE"""),"VyshnaviC97")</f>
        <v>VyshnaviC97</v>
      </c>
      <c r="C2196" s="8">
        <f>IFERROR(__xludf.DUMMYFUNCTION("""COMPUTED_VALUE"""),0.0)</f>
        <v>0</v>
      </c>
      <c r="D2196" s="8"/>
    </row>
    <row r="2197">
      <c r="A2197" s="9" t="str">
        <f>IFERROR(__xludf.DUMMYFUNCTION("""COMPUTED_VALUE"""),"Batch 197")</f>
        <v>Batch 197</v>
      </c>
      <c r="B2197" s="9" t="str">
        <f>IFERROR(__xludf.DUMMYFUNCTION("""COMPUTED_VALUE"""),"AnushiyaC97")</f>
        <v>AnushiyaC97</v>
      </c>
      <c r="C2197" s="8">
        <f>IFERROR(__xludf.DUMMYFUNCTION("""COMPUTED_VALUE"""),1.0)</f>
        <v>1</v>
      </c>
      <c r="D2197" s="8"/>
    </row>
    <row r="2198">
      <c r="A2198" s="9" t="str">
        <f>IFERROR(__xludf.DUMMYFUNCTION("""COMPUTED_VALUE"""),"Batch 197")</f>
        <v>Batch 197</v>
      </c>
      <c r="B2198" s="9" t="str">
        <f>IFERROR(__xludf.DUMMYFUNCTION("""COMPUTED_VALUE"""),"TanviC97")</f>
        <v>TanviC97</v>
      </c>
      <c r="C2198" s="8">
        <f>IFERROR(__xludf.DUMMYFUNCTION("""COMPUTED_VALUE"""),0.0)</f>
        <v>0</v>
      </c>
      <c r="D2198" s="8"/>
    </row>
    <row r="2199">
      <c r="A2199" s="9" t="str">
        <f>IFERROR(__xludf.DUMMYFUNCTION("""COMPUTED_VALUE"""),"Batch 197")</f>
        <v>Batch 197</v>
      </c>
      <c r="B2199" s="9" t="str">
        <f>IFERROR(__xludf.DUMMYFUNCTION("""COMPUTED_VALUE"""),"AmanC97")</f>
        <v>AmanC97</v>
      </c>
      <c r="C2199" s="8">
        <f>IFERROR(__xludf.DUMMYFUNCTION("""COMPUTED_VALUE"""),60.0)</f>
        <v>60</v>
      </c>
      <c r="D2199" s="8">
        <f>IFERROR(__xludf.DUMMYFUNCTION("""COMPUTED_VALUE"""),8.0)</f>
        <v>8</v>
      </c>
    </row>
    <row r="2200">
      <c r="A2200" s="9" t="str">
        <f>IFERROR(__xludf.DUMMYFUNCTION("""COMPUTED_VALUE"""),"Batch 197")</f>
        <v>Batch 197</v>
      </c>
      <c r="B2200" s="9" t="str">
        <f>IFERROR(__xludf.DUMMYFUNCTION("""COMPUTED_VALUE"""),"KEERTHIC97")</f>
        <v>KEERTHIC97</v>
      </c>
      <c r="C2200" s="8">
        <f>IFERROR(__xludf.DUMMYFUNCTION("""COMPUTED_VALUE"""),0.0)</f>
        <v>0</v>
      </c>
      <c r="D2200" s="8"/>
    </row>
    <row r="2201">
      <c r="A2201" s="9" t="str">
        <f>IFERROR(__xludf.DUMMYFUNCTION("""COMPUTED_VALUE"""),"Batch 197")</f>
        <v>Batch 197</v>
      </c>
      <c r="B2201" s="9" t="str">
        <f>IFERROR(__xludf.DUMMYFUNCTION("""COMPUTED_VALUE"""),"SaiC97")</f>
        <v>SaiC97</v>
      </c>
      <c r="C2201" s="8">
        <f>IFERROR(__xludf.DUMMYFUNCTION("""COMPUTED_VALUE"""),0.0)</f>
        <v>0</v>
      </c>
      <c r="D2201" s="8"/>
    </row>
    <row r="2202">
      <c r="A2202" s="9" t="str">
        <f>IFERROR(__xludf.DUMMYFUNCTION("""COMPUTED_VALUE"""),"Batch 197")</f>
        <v>Batch 197</v>
      </c>
      <c r="B2202" s="9" t="str">
        <f>IFERROR(__xludf.DUMMYFUNCTION("""COMPUTED_VALUE"""),"RasheedC97")</f>
        <v>RasheedC97</v>
      </c>
      <c r="C2202" s="8">
        <f>IFERROR(__xludf.DUMMYFUNCTION("""COMPUTED_VALUE"""),0.0)</f>
        <v>0</v>
      </c>
      <c r="D2202" s="8"/>
    </row>
    <row r="2203">
      <c r="A2203" s="9" t="str">
        <f>IFERROR(__xludf.DUMMYFUNCTION("""COMPUTED_VALUE"""),"Batch 197")</f>
        <v>Batch 197</v>
      </c>
      <c r="B2203" s="9" t="str">
        <f>IFERROR(__xludf.DUMMYFUNCTION("""COMPUTED_VALUE"""),"ManasC97")</f>
        <v>ManasC97</v>
      </c>
      <c r="C2203" s="8">
        <f>IFERROR(__xludf.DUMMYFUNCTION("""COMPUTED_VALUE"""),0.0)</f>
        <v>0</v>
      </c>
      <c r="D2203" s="8"/>
    </row>
    <row r="2204">
      <c r="A2204" s="9" t="str">
        <f>IFERROR(__xludf.DUMMYFUNCTION("""COMPUTED_VALUE"""),"Batch 197")</f>
        <v>Batch 197</v>
      </c>
      <c r="B2204" s="9" t="str">
        <f>IFERROR(__xludf.DUMMYFUNCTION("""COMPUTED_VALUE"""),"KripeshC97")</f>
        <v>KripeshC97</v>
      </c>
      <c r="C2204" s="8">
        <f>IFERROR(__xludf.DUMMYFUNCTION("""COMPUTED_VALUE"""),0.0)</f>
        <v>0</v>
      </c>
      <c r="D2204" s="8"/>
    </row>
    <row r="2205">
      <c r="A2205" s="9" t="str">
        <f>IFERROR(__xludf.DUMMYFUNCTION("""COMPUTED_VALUE"""),"Batch 197")</f>
        <v>Batch 197</v>
      </c>
      <c r="B2205" s="9" t="str">
        <f>IFERROR(__xludf.DUMMYFUNCTION("""COMPUTED_VALUE"""),"CharviC97")</f>
        <v>CharviC97</v>
      </c>
      <c r="C2205" s="8">
        <f>IFERROR(__xludf.DUMMYFUNCTION("""COMPUTED_VALUE"""),0.0)</f>
        <v>0</v>
      </c>
      <c r="D2205" s="8"/>
    </row>
    <row r="2206">
      <c r="A2206" s="9" t="str">
        <f>IFERROR(__xludf.DUMMYFUNCTION("""COMPUTED_VALUE"""),"Batch 197")</f>
        <v>Batch 197</v>
      </c>
      <c r="B2206" s="9" t="str">
        <f>IFERROR(__xludf.DUMMYFUNCTION("""COMPUTED_VALUE"""),"AlonC97")</f>
        <v>AlonC97</v>
      </c>
      <c r="C2206" s="8">
        <f>IFERROR(__xludf.DUMMYFUNCTION("""COMPUTED_VALUE"""),0.0)</f>
        <v>0</v>
      </c>
      <c r="D2206" s="8"/>
    </row>
    <row r="2207">
      <c r="A2207" s="9" t="str">
        <f>IFERROR(__xludf.DUMMYFUNCTION("""COMPUTED_VALUE"""),"Batch 197")</f>
        <v>Batch 197</v>
      </c>
      <c r="B2207" s="9" t="str">
        <f>IFERROR(__xludf.DUMMYFUNCTION("""COMPUTED_VALUE"""),"SramantikaC97")</f>
        <v>SramantikaC97</v>
      </c>
      <c r="C2207" s="8">
        <f>IFERROR(__xludf.DUMMYFUNCTION("""COMPUTED_VALUE"""),0.0)</f>
        <v>0</v>
      </c>
      <c r="D2207" s="8"/>
    </row>
    <row r="2208">
      <c r="A2208" s="9" t="str">
        <f>IFERROR(__xludf.DUMMYFUNCTION("""COMPUTED_VALUE"""),"Batch 197")</f>
        <v>Batch 197</v>
      </c>
      <c r="B2208" s="9" t="str">
        <f>IFERROR(__xludf.DUMMYFUNCTION("""COMPUTED_VALUE"""),"A.RehanaC97")</f>
        <v>A.RehanaC97</v>
      </c>
      <c r="C2208" s="8">
        <f>IFERROR(__xludf.DUMMYFUNCTION("""COMPUTED_VALUE"""),0.0)</f>
        <v>0</v>
      </c>
      <c r="D2208" s="8"/>
    </row>
    <row r="2209">
      <c r="A2209" s="9" t="str">
        <f>IFERROR(__xludf.DUMMYFUNCTION("""COMPUTED_VALUE"""),"Batch 197")</f>
        <v>Batch 197</v>
      </c>
      <c r="B2209" s="9" t="str">
        <f>IFERROR(__xludf.DUMMYFUNCTION("""COMPUTED_VALUE"""),"SherylC97")</f>
        <v>SherylC97</v>
      </c>
      <c r="C2209" s="8">
        <f>IFERROR(__xludf.DUMMYFUNCTION("""COMPUTED_VALUE"""),0.0)</f>
        <v>0</v>
      </c>
      <c r="D2209" s="8"/>
    </row>
    <row r="2210">
      <c r="A2210" s="9" t="str">
        <f>IFERROR(__xludf.DUMMYFUNCTION("""COMPUTED_VALUE"""),"Batch 197")</f>
        <v>Batch 197</v>
      </c>
      <c r="B2210" s="9" t="str">
        <f>IFERROR(__xludf.DUMMYFUNCTION("""COMPUTED_VALUE"""),"T.SatishC97")</f>
        <v>T.SatishC97</v>
      </c>
      <c r="C2210" s="8">
        <f>IFERROR(__xludf.DUMMYFUNCTION("""COMPUTED_VALUE"""),0.0)</f>
        <v>0</v>
      </c>
      <c r="D2210" s="8"/>
    </row>
    <row r="2211">
      <c r="A2211" s="9" t="str">
        <f>IFERROR(__xludf.DUMMYFUNCTION("""COMPUTED_VALUE"""),"Batch 197")</f>
        <v>Batch 197</v>
      </c>
      <c r="B2211" s="9" t="str">
        <f>IFERROR(__xludf.DUMMYFUNCTION("""COMPUTED_VALUE"""),"AbhishekC97")</f>
        <v>AbhishekC97</v>
      </c>
      <c r="C2211" s="8">
        <f>IFERROR(__xludf.DUMMYFUNCTION("""COMPUTED_VALUE"""),0.0)</f>
        <v>0</v>
      </c>
      <c r="D2211" s="8"/>
    </row>
    <row r="2212">
      <c r="A2212" s="9" t="str">
        <f>IFERROR(__xludf.DUMMYFUNCTION("""COMPUTED_VALUE"""),"Batch 197")</f>
        <v>Batch 197</v>
      </c>
      <c r="B2212" s="9" t="str">
        <f>IFERROR(__xludf.DUMMYFUNCTION("""COMPUTED_VALUE"""),"ShashwatC97")</f>
        <v>ShashwatC97</v>
      </c>
      <c r="C2212" s="8">
        <f>IFERROR(__xludf.DUMMYFUNCTION("""COMPUTED_VALUE"""),1.0)</f>
        <v>1</v>
      </c>
      <c r="D2212" s="8"/>
    </row>
    <row r="2213">
      <c r="A2213" s="9" t="str">
        <f>IFERROR(__xludf.DUMMYFUNCTION("""COMPUTED_VALUE"""),"Batch 197")</f>
        <v>Batch 197</v>
      </c>
      <c r="B2213" s="9" t="str">
        <f>IFERROR(__xludf.DUMMYFUNCTION("""COMPUTED_VALUE"""),"MonikaC97")</f>
        <v>MonikaC97</v>
      </c>
      <c r="C2213" s="8">
        <f>IFERROR(__xludf.DUMMYFUNCTION("""COMPUTED_VALUE"""),0.0)</f>
        <v>0</v>
      </c>
      <c r="D2213" s="8"/>
    </row>
    <row r="2214">
      <c r="A2214" s="9" t="str">
        <f>IFERROR(__xludf.DUMMYFUNCTION("""COMPUTED_VALUE"""),"Batch 197")</f>
        <v>Batch 197</v>
      </c>
      <c r="B2214" s="9" t="str">
        <f>IFERROR(__xludf.DUMMYFUNCTION("""COMPUTED_VALUE"""),"DeepakC97")</f>
        <v>DeepakC97</v>
      </c>
      <c r="C2214" s="8">
        <f>IFERROR(__xludf.DUMMYFUNCTION("""COMPUTED_VALUE"""),0.0)</f>
        <v>0</v>
      </c>
      <c r="D2214" s="8"/>
    </row>
    <row r="2215">
      <c r="A2215" s="9" t="str">
        <f>IFERROR(__xludf.DUMMYFUNCTION("""COMPUTED_VALUE"""),"Batch 197")</f>
        <v>Batch 197</v>
      </c>
      <c r="B2215" s="9" t="str">
        <f>IFERROR(__xludf.DUMMYFUNCTION("""COMPUTED_VALUE"""),"HarryC97")</f>
        <v>HarryC97</v>
      </c>
      <c r="C2215" s="8">
        <f>IFERROR(__xludf.DUMMYFUNCTION("""COMPUTED_VALUE"""),0.0)</f>
        <v>0</v>
      </c>
      <c r="D2215" s="8"/>
    </row>
    <row r="2216">
      <c r="A2216" s="9" t="str">
        <f>IFERROR(__xludf.DUMMYFUNCTION("""COMPUTED_VALUE"""),"Batch 197")</f>
        <v>Batch 197</v>
      </c>
      <c r="B2216" s="9" t="str">
        <f>IFERROR(__xludf.DUMMYFUNCTION("""COMPUTED_VALUE"""),"SudhanshuC97")</f>
        <v>SudhanshuC97</v>
      </c>
      <c r="C2216" s="8">
        <f>IFERROR(__xludf.DUMMYFUNCTION("""COMPUTED_VALUE"""),0.0)</f>
        <v>0</v>
      </c>
      <c r="D2216" s="8"/>
    </row>
    <row r="2217">
      <c r="A2217" s="9" t="str">
        <f>IFERROR(__xludf.DUMMYFUNCTION("""COMPUTED_VALUE"""),"Batch 197")</f>
        <v>Batch 197</v>
      </c>
      <c r="B2217" s="9" t="str">
        <f>IFERROR(__xludf.DUMMYFUNCTION("""COMPUTED_VALUE"""),"IshaC97")</f>
        <v>IshaC97</v>
      </c>
      <c r="C2217" s="8">
        <f>IFERROR(__xludf.DUMMYFUNCTION("""COMPUTED_VALUE"""),1.0)</f>
        <v>1</v>
      </c>
      <c r="D2217" s="8"/>
    </row>
    <row r="2218">
      <c r="A2218" s="9" t="str">
        <f>IFERROR(__xludf.DUMMYFUNCTION("""COMPUTED_VALUE"""),"Batch 197")</f>
        <v>Batch 197</v>
      </c>
      <c r="B2218" s="9" t="str">
        <f>IFERROR(__xludf.DUMMYFUNCTION("""COMPUTED_VALUE"""),"AnjaliC97")</f>
        <v>AnjaliC97</v>
      </c>
      <c r="C2218" s="8">
        <f>IFERROR(__xludf.DUMMYFUNCTION("""COMPUTED_VALUE"""),0.0)</f>
        <v>0</v>
      </c>
      <c r="D2218" s="8"/>
    </row>
    <row r="2219">
      <c r="A2219" s="9" t="str">
        <f>IFERROR(__xludf.DUMMYFUNCTION("""COMPUTED_VALUE"""),"Batch 197")</f>
        <v>Batch 197</v>
      </c>
      <c r="B2219" s="9" t="str">
        <f>IFERROR(__xludf.DUMMYFUNCTION("""COMPUTED_VALUE"""),"GowlikarC97")</f>
        <v>GowlikarC97</v>
      </c>
      <c r="C2219" s="8">
        <f>IFERROR(__xludf.DUMMYFUNCTION("""COMPUTED_VALUE"""),0.0)</f>
        <v>0</v>
      </c>
      <c r="D2219" s="8"/>
    </row>
    <row r="2220">
      <c r="A2220" s="9" t="str">
        <f>IFERROR(__xludf.DUMMYFUNCTION("""COMPUTED_VALUE"""),"Batch 197")</f>
        <v>Batch 197</v>
      </c>
      <c r="B2220" s="9" t="str">
        <f>IFERROR(__xludf.DUMMYFUNCTION("""COMPUTED_VALUE"""),"AbigailC97")</f>
        <v>AbigailC97</v>
      </c>
      <c r="C2220" s="8">
        <f>IFERROR(__xludf.DUMMYFUNCTION("""COMPUTED_VALUE"""),0.0)</f>
        <v>0</v>
      </c>
      <c r="D2220" s="8"/>
    </row>
    <row r="2221">
      <c r="A2221" s="9" t="str">
        <f>IFERROR(__xludf.DUMMYFUNCTION("""COMPUTED_VALUE"""),"Batch 197")</f>
        <v>Batch 197</v>
      </c>
      <c r="B2221" s="9" t="str">
        <f>IFERROR(__xludf.DUMMYFUNCTION("""COMPUTED_VALUE"""),"TahirC97")</f>
        <v>TahirC97</v>
      </c>
      <c r="C2221" s="8">
        <f>IFERROR(__xludf.DUMMYFUNCTION("""COMPUTED_VALUE"""),0.0)</f>
        <v>0</v>
      </c>
      <c r="D2221" s="8"/>
    </row>
    <row r="2222">
      <c r="A2222" s="9" t="str">
        <f>IFERROR(__xludf.DUMMYFUNCTION("""COMPUTED_VALUE"""),"Batch 197")</f>
        <v>Batch 197</v>
      </c>
      <c r="B2222" s="9" t="str">
        <f>IFERROR(__xludf.DUMMYFUNCTION("""COMPUTED_VALUE"""),"SafdarC97")</f>
        <v>SafdarC97</v>
      </c>
      <c r="C2222" s="8">
        <f>IFERROR(__xludf.DUMMYFUNCTION("""COMPUTED_VALUE"""),0.0)</f>
        <v>0</v>
      </c>
      <c r="D2222" s="8"/>
    </row>
    <row r="2223">
      <c r="A2223" s="9" t="str">
        <f>IFERROR(__xludf.DUMMYFUNCTION("""COMPUTED_VALUE"""),"Batch 197")</f>
        <v>Batch 197</v>
      </c>
      <c r="B2223" s="9" t="str">
        <f>IFERROR(__xludf.DUMMYFUNCTION("""COMPUTED_VALUE"""),"PrakharC97")</f>
        <v>PrakharC97</v>
      </c>
      <c r="C2223" s="8">
        <f>IFERROR(__xludf.DUMMYFUNCTION("""COMPUTED_VALUE"""),0.0)</f>
        <v>0</v>
      </c>
      <c r="D2223" s="8"/>
    </row>
    <row r="2224">
      <c r="A2224" s="9" t="str">
        <f>IFERROR(__xludf.DUMMYFUNCTION("""COMPUTED_VALUE"""),"Batch 197")</f>
        <v>Batch 197</v>
      </c>
      <c r="B2224" s="9" t="str">
        <f>IFERROR(__xludf.DUMMYFUNCTION("""COMPUTED_VALUE"""),"ChandrishnaC97")</f>
        <v>ChandrishnaC97</v>
      </c>
      <c r="C2224" s="8">
        <f>IFERROR(__xludf.DUMMYFUNCTION("""COMPUTED_VALUE"""),0.0)</f>
        <v>0</v>
      </c>
      <c r="D2224" s="8"/>
    </row>
    <row r="2225">
      <c r="A2225" s="9" t="str">
        <f>IFERROR(__xludf.DUMMYFUNCTION("""COMPUTED_VALUE"""),"Batch 197")</f>
        <v>Batch 197</v>
      </c>
      <c r="B2225" s="9" t="str">
        <f>IFERROR(__xludf.DUMMYFUNCTION("""COMPUTED_VALUE"""),"NithyaC97")</f>
        <v>NithyaC97</v>
      </c>
      <c r="C2225" s="8">
        <f>IFERROR(__xludf.DUMMYFUNCTION("""COMPUTED_VALUE"""),0.0)</f>
        <v>0</v>
      </c>
      <c r="D2225" s="8"/>
    </row>
    <row r="2226">
      <c r="A2226" s="9" t="str">
        <f>IFERROR(__xludf.DUMMYFUNCTION("""COMPUTED_VALUE"""),"Batch 197")</f>
        <v>Batch 197</v>
      </c>
      <c r="B2226" s="9" t="str">
        <f>IFERROR(__xludf.DUMMYFUNCTION("""COMPUTED_VALUE"""),"ShivaniC97")</f>
        <v>ShivaniC97</v>
      </c>
      <c r="C2226" s="8">
        <f>IFERROR(__xludf.DUMMYFUNCTION("""COMPUTED_VALUE"""),0.0)</f>
        <v>0</v>
      </c>
      <c r="D2226" s="8"/>
    </row>
    <row r="2227">
      <c r="A2227" s="9" t="str">
        <f>IFERROR(__xludf.DUMMYFUNCTION("""COMPUTED_VALUE"""),"Batch 197")</f>
        <v>Batch 197</v>
      </c>
      <c r="B2227" s="9" t="str">
        <f>IFERROR(__xludf.DUMMYFUNCTION("""COMPUTED_VALUE"""),"SanskarC97")</f>
        <v>SanskarC97</v>
      </c>
      <c r="C2227" s="8">
        <f>IFERROR(__xludf.DUMMYFUNCTION("""COMPUTED_VALUE"""),0.0)</f>
        <v>0</v>
      </c>
      <c r="D2227" s="8"/>
    </row>
    <row r="2228">
      <c r="A2228" s="9" t="str">
        <f>IFERROR(__xludf.DUMMYFUNCTION("""COMPUTED_VALUE"""),"Batch 197")</f>
        <v>Batch 197</v>
      </c>
      <c r="B2228" s="9" t="str">
        <f>IFERROR(__xludf.DUMMYFUNCTION("""COMPUTED_VALUE"""),"BHUMIKAC97")</f>
        <v>BHUMIKAC97</v>
      </c>
      <c r="C2228" s="8">
        <f>IFERROR(__xludf.DUMMYFUNCTION("""COMPUTED_VALUE"""),0.0)</f>
        <v>0</v>
      </c>
      <c r="D2228" s="8"/>
    </row>
    <row r="2229">
      <c r="A2229" s="9" t="str">
        <f>IFERROR(__xludf.DUMMYFUNCTION("""COMPUTED_VALUE"""),"Batch 197")</f>
        <v>Batch 197</v>
      </c>
      <c r="B2229" s="9" t="str">
        <f>IFERROR(__xludf.DUMMYFUNCTION("""COMPUTED_VALUE"""),"MahakC97")</f>
        <v>MahakC97</v>
      </c>
      <c r="C2229" s="8">
        <f>IFERROR(__xludf.DUMMYFUNCTION("""COMPUTED_VALUE"""),0.0)</f>
        <v>0</v>
      </c>
      <c r="D2229" s="8"/>
    </row>
    <row r="2230">
      <c r="A2230" s="9" t="str">
        <f>IFERROR(__xludf.DUMMYFUNCTION("""COMPUTED_VALUE"""),"Batch 197")</f>
        <v>Batch 197</v>
      </c>
      <c r="B2230" s="9" t="str">
        <f>IFERROR(__xludf.DUMMYFUNCTION("""COMPUTED_VALUE"""),"P.C97")</f>
        <v>P.C97</v>
      </c>
      <c r="C2230" s="8">
        <f>IFERROR(__xludf.DUMMYFUNCTION("""COMPUTED_VALUE"""),0.0)</f>
        <v>0</v>
      </c>
      <c r="D2230" s="8"/>
    </row>
    <row r="2231">
      <c r="A2231" s="9" t="str">
        <f>IFERROR(__xludf.DUMMYFUNCTION("""COMPUTED_VALUE"""),"Batch 197")</f>
        <v>Batch 197</v>
      </c>
      <c r="B2231" s="9" t="str">
        <f>IFERROR(__xludf.DUMMYFUNCTION("""COMPUTED_VALUE"""),"VivekC97")</f>
        <v>VivekC97</v>
      </c>
      <c r="C2231" s="8">
        <f>IFERROR(__xludf.DUMMYFUNCTION("""COMPUTED_VALUE"""),0.0)</f>
        <v>0</v>
      </c>
      <c r="D2231" s="8"/>
    </row>
    <row r="2232">
      <c r="A2232" s="9" t="str">
        <f>IFERROR(__xludf.DUMMYFUNCTION("""COMPUTED_VALUE"""),"Batch 197")</f>
        <v>Batch 197</v>
      </c>
      <c r="B2232" s="9" t="str">
        <f>IFERROR(__xludf.DUMMYFUNCTION("""COMPUTED_VALUE"""),"AjayC97")</f>
        <v>AjayC97</v>
      </c>
      <c r="C2232" s="8">
        <f>IFERROR(__xludf.DUMMYFUNCTION("""COMPUTED_VALUE"""),0.0)</f>
        <v>0</v>
      </c>
      <c r="D2232" s="8"/>
    </row>
    <row r="2233">
      <c r="A2233" s="9" t="str">
        <f>IFERROR(__xludf.DUMMYFUNCTION("""COMPUTED_VALUE"""),"Batch 197")</f>
        <v>Batch 197</v>
      </c>
      <c r="B2233" s="9" t="str">
        <f>IFERROR(__xludf.DUMMYFUNCTION("""COMPUTED_VALUE"""),"HarivamshiC97")</f>
        <v>HarivamshiC97</v>
      </c>
      <c r="C2233" s="8">
        <f>IFERROR(__xludf.DUMMYFUNCTION("""COMPUTED_VALUE"""),0.0)</f>
        <v>0</v>
      </c>
      <c r="D2233" s="8"/>
    </row>
    <row r="2234">
      <c r="A2234" s="9"/>
      <c r="B2234" s="9"/>
      <c r="C2234" s="8">
        <f>IFERROR(__xludf.DUMMYFUNCTION("""COMPUTED_VALUE"""),0.0)</f>
        <v>0</v>
      </c>
      <c r="D2234" s="8"/>
    </row>
    <row r="2235">
      <c r="A2235" s="9" t="str">
        <f>IFERROR(__xludf.DUMMYFUNCTION("""COMPUTED_VALUE"""),"Batch 198")</f>
        <v>Batch 198</v>
      </c>
      <c r="B2235" s="9" t="str">
        <f>IFERROR(__xludf.DUMMYFUNCTION("""COMPUTED_VALUE"""),"HarivamshiC98")</f>
        <v>HarivamshiC98</v>
      </c>
      <c r="C2235" s="8">
        <f>IFERROR(__xludf.DUMMYFUNCTION("""COMPUTED_VALUE"""),0.0)</f>
        <v>0</v>
      </c>
      <c r="D2235" s="8"/>
    </row>
    <row r="2236">
      <c r="A2236" s="9" t="str">
        <f>IFERROR(__xludf.DUMMYFUNCTION("""COMPUTED_VALUE"""),"Batch 198")</f>
        <v>Batch 198</v>
      </c>
      <c r="B2236" s="9" t="str">
        <f>IFERROR(__xludf.DUMMYFUNCTION("""COMPUTED_VALUE"""),"DC98")</f>
        <v>DC98</v>
      </c>
      <c r="C2236" s="8">
        <f>IFERROR(__xludf.DUMMYFUNCTION("""COMPUTED_VALUE"""),0.0)</f>
        <v>0</v>
      </c>
      <c r="D2236" s="8"/>
    </row>
    <row r="2237">
      <c r="A2237" s="9" t="str">
        <f>IFERROR(__xludf.DUMMYFUNCTION("""COMPUTED_VALUE"""),"Batch 198")</f>
        <v>Batch 198</v>
      </c>
      <c r="B2237" s="9" t="str">
        <f>IFERROR(__xludf.DUMMYFUNCTION("""COMPUTED_VALUE"""),"SimranC98")</f>
        <v>SimranC98</v>
      </c>
      <c r="C2237" s="8">
        <f>IFERROR(__xludf.DUMMYFUNCTION("""COMPUTED_VALUE"""),0.0)</f>
        <v>0</v>
      </c>
      <c r="D2237" s="8"/>
    </row>
    <row r="2238">
      <c r="A2238" s="9" t="str">
        <f>IFERROR(__xludf.DUMMYFUNCTION("""COMPUTED_VALUE"""),"Batch 198")</f>
        <v>Batch 198</v>
      </c>
      <c r="B2238" s="9" t="str">
        <f>IFERROR(__xludf.DUMMYFUNCTION("""COMPUTED_VALUE"""),"MAHEKC98")</f>
        <v>MAHEKC98</v>
      </c>
      <c r="C2238" s="8">
        <f>IFERROR(__xludf.DUMMYFUNCTION("""COMPUTED_VALUE"""),0.0)</f>
        <v>0</v>
      </c>
      <c r="D2238" s="8"/>
    </row>
    <row r="2239">
      <c r="A2239" s="9" t="str">
        <f>IFERROR(__xludf.DUMMYFUNCTION("""COMPUTED_VALUE"""),"Batch 198")</f>
        <v>Batch 198</v>
      </c>
      <c r="B2239" s="9" t="str">
        <f>IFERROR(__xludf.DUMMYFUNCTION("""COMPUTED_VALUE"""),"PrachiC98")</f>
        <v>PrachiC98</v>
      </c>
      <c r="C2239" s="8">
        <f>IFERROR(__xludf.DUMMYFUNCTION("""COMPUTED_VALUE"""),0.0)</f>
        <v>0</v>
      </c>
      <c r="D2239" s="8"/>
    </row>
    <row r="2240">
      <c r="A2240" s="9" t="str">
        <f>IFERROR(__xludf.DUMMYFUNCTION("""COMPUTED_VALUE"""),"Batch 198")</f>
        <v>Batch 198</v>
      </c>
      <c r="B2240" s="9" t="str">
        <f>IFERROR(__xludf.DUMMYFUNCTION("""COMPUTED_VALUE"""),"DeepikaC98")</f>
        <v>DeepikaC98</v>
      </c>
      <c r="C2240" s="8">
        <f>IFERROR(__xludf.DUMMYFUNCTION("""COMPUTED_VALUE"""),3.0)</f>
        <v>3</v>
      </c>
      <c r="D2240" s="8">
        <f>IFERROR(__xludf.DUMMYFUNCTION("""COMPUTED_VALUE"""),1.0)</f>
        <v>1</v>
      </c>
    </row>
    <row r="2241">
      <c r="A2241" s="9" t="str">
        <f>IFERROR(__xludf.DUMMYFUNCTION("""COMPUTED_VALUE"""),"Batch 198")</f>
        <v>Batch 198</v>
      </c>
      <c r="B2241" s="9" t="str">
        <f>IFERROR(__xludf.DUMMYFUNCTION("""COMPUTED_VALUE"""),"vipulC98")</f>
        <v>vipulC98</v>
      </c>
      <c r="C2241" s="8">
        <f>IFERROR(__xludf.DUMMYFUNCTION("""COMPUTED_VALUE"""),0.0)</f>
        <v>0</v>
      </c>
      <c r="D2241" s="8"/>
    </row>
    <row r="2242">
      <c r="A2242" s="9" t="str">
        <f>IFERROR(__xludf.DUMMYFUNCTION("""COMPUTED_VALUE"""),"Batch 198")</f>
        <v>Batch 198</v>
      </c>
      <c r="B2242" s="9" t="str">
        <f>IFERROR(__xludf.DUMMYFUNCTION("""COMPUTED_VALUE"""),"RamyaC98")</f>
        <v>RamyaC98</v>
      </c>
      <c r="C2242" s="8">
        <f>IFERROR(__xludf.DUMMYFUNCTION("""COMPUTED_VALUE"""),0.0)</f>
        <v>0</v>
      </c>
      <c r="D2242" s="8"/>
    </row>
    <row r="2243">
      <c r="A2243" s="9" t="str">
        <f>IFERROR(__xludf.DUMMYFUNCTION("""COMPUTED_VALUE"""),"Batch 198")</f>
        <v>Batch 198</v>
      </c>
      <c r="B2243" s="9" t="str">
        <f>IFERROR(__xludf.DUMMYFUNCTION("""COMPUTED_VALUE"""),"NehaC98")</f>
        <v>NehaC98</v>
      </c>
      <c r="C2243" s="8">
        <f>IFERROR(__xludf.DUMMYFUNCTION("""COMPUTED_VALUE"""),0.0)</f>
        <v>0</v>
      </c>
      <c r="D2243" s="8"/>
    </row>
    <row r="2244">
      <c r="A2244" s="9" t="str">
        <f>IFERROR(__xludf.DUMMYFUNCTION("""COMPUTED_VALUE"""),"Batch 198")</f>
        <v>Batch 198</v>
      </c>
      <c r="B2244" s="9" t="str">
        <f>IFERROR(__xludf.DUMMYFUNCTION("""COMPUTED_VALUE"""),"KrishnakantC98")</f>
        <v>KrishnakantC98</v>
      </c>
      <c r="C2244" s="8">
        <f>IFERROR(__xludf.DUMMYFUNCTION("""COMPUTED_VALUE"""),0.0)</f>
        <v>0</v>
      </c>
      <c r="D2244" s="8"/>
    </row>
    <row r="2245">
      <c r="A2245" s="9" t="str">
        <f>IFERROR(__xludf.DUMMYFUNCTION("""COMPUTED_VALUE"""),"Batch 198")</f>
        <v>Batch 198</v>
      </c>
      <c r="B2245" s="9" t="str">
        <f>IFERROR(__xludf.DUMMYFUNCTION("""COMPUTED_VALUE"""),"SonamC98")</f>
        <v>SonamC98</v>
      </c>
      <c r="C2245" s="8">
        <f>IFERROR(__xludf.DUMMYFUNCTION("""COMPUTED_VALUE"""),0.0)</f>
        <v>0</v>
      </c>
      <c r="D2245" s="8"/>
    </row>
    <row r="2246">
      <c r="A2246" s="9" t="str">
        <f>IFERROR(__xludf.DUMMYFUNCTION("""COMPUTED_VALUE"""),"Batch 198")</f>
        <v>Batch 198</v>
      </c>
      <c r="B2246" s="9" t="str">
        <f>IFERROR(__xludf.DUMMYFUNCTION("""COMPUTED_VALUE"""),"SC98")</f>
        <v>SC98</v>
      </c>
      <c r="C2246" s="8">
        <f>IFERROR(__xludf.DUMMYFUNCTION("""COMPUTED_VALUE"""),1.0)</f>
        <v>1</v>
      </c>
      <c r="D2246" s="8"/>
    </row>
    <row r="2247">
      <c r="A2247" s="9" t="str">
        <f>IFERROR(__xludf.DUMMYFUNCTION("""COMPUTED_VALUE"""),"Batch 198")</f>
        <v>Batch 198</v>
      </c>
      <c r="B2247" s="9" t="str">
        <f>IFERROR(__xludf.DUMMYFUNCTION("""COMPUTED_VALUE"""),"ShaikC98")</f>
        <v>ShaikC98</v>
      </c>
      <c r="C2247" s="8">
        <f>IFERROR(__xludf.DUMMYFUNCTION("""COMPUTED_VALUE"""),0.0)</f>
        <v>0</v>
      </c>
      <c r="D2247" s="8"/>
    </row>
    <row r="2248">
      <c r="A2248" s="9" t="str">
        <f>IFERROR(__xludf.DUMMYFUNCTION("""COMPUTED_VALUE"""),"Batch 198")</f>
        <v>Batch 198</v>
      </c>
      <c r="B2248" s="9" t="str">
        <f>IFERROR(__xludf.DUMMYFUNCTION("""COMPUTED_VALUE"""),"Mohd.C98")</f>
        <v>Mohd.C98</v>
      </c>
      <c r="C2248" s="8">
        <f>IFERROR(__xludf.DUMMYFUNCTION("""COMPUTED_VALUE"""),0.0)</f>
        <v>0</v>
      </c>
      <c r="D2248" s="8"/>
    </row>
    <row r="2249">
      <c r="A2249" s="9" t="str">
        <f>IFERROR(__xludf.DUMMYFUNCTION("""COMPUTED_VALUE"""),"Batch 198")</f>
        <v>Batch 198</v>
      </c>
      <c r="B2249" s="9" t="str">
        <f>IFERROR(__xludf.DUMMYFUNCTION("""COMPUTED_VALUE"""),"PrakharC98")</f>
        <v>PrakharC98</v>
      </c>
      <c r="C2249" s="8">
        <f>IFERROR(__xludf.DUMMYFUNCTION("""COMPUTED_VALUE"""),0.0)</f>
        <v>0</v>
      </c>
      <c r="D2249" s="8"/>
    </row>
    <row r="2250">
      <c r="A2250" s="9" t="str">
        <f>IFERROR(__xludf.DUMMYFUNCTION("""COMPUTED_VALUE"""),"Batch 198")</f>
        <v>Batch 198</v>
      </c>
      <c r="B2250" s="9" t="str">
        <f>IFERROR(__xludf.DUMMYFUNCTION("""COMPUTED_VALUE"""),"RinkiC98")</f>
        <v>RinkiC98</v>
      </c>
      <c r="C2250" s="8">
        <f>IFERROR(__xludf.DUMMYFUNCTION("""COMPUTED_VALUE"""),0.0)</f>
        <v>0</v>
      </c>
      <c r="D2250" s="8"/>
    </row>
    <row r="2251">
      <c r="A2251" s="9" t="str">
        <f>IFERROR(__xludf.DUMMYFUNCTION("""COMPUTED_VALUE"""),"Batch 198")</f>
        <v>Batch 198</v>
      </c>
      <c r="B2251" s="9" t="str">
        <f>IFERROR(__xludf.DUMMYFUNCTION("""COMPUTED_VALUE"""),"SimranC98")</f>
        <v>SimranC98</v>
      </c>
      <c r="C2251" s="8">
        <f>IFERROR(__xludf.DUMMYFUNCTION("""COMPUTED_VALUE"""),0.0)</f>
        <v>0</v>
      </c>
      <c r="D2251" s="8"/>
    </row>
    <row r="2252">
      <c r="A2252" s="9" t="str">
        <f>IFERROR(__xludf.DUMMYFUNCTION("""COMPUTED_VALUE"""),"Batch 198")</f>
        <v>Batch 198</v>
      </c>
      <c r="B2252" s="9" t="str">
        <f>IFERROR(__xludf.DUMMYFUNCTION("""COMPUTED_VALUE"""),"LovelyC98")</f>
        <v>LovelyC98</v>
      </c>
      <c r="C2252" s="8">
        <f>IFERROR(__xludf.DUMMYFUNCTION("""COMPUTED_VALUE"""),0.0)</f>
        <v>0</v>
      </c>
      <c r="D2252" s="8"/>
    </row>
    <row r="2253">
      <c r="A2253" s="9" t="str">
        <f>IFERROR(__xludf.DUMMYFUNCTION("""COMPUTED_VALUE"""),"Batch 198")</f>
        <v>Batch 198</v>
      </c>
      <c r="B2253" s="9" t="str">
        <f>IFERROR(__xludf.DUMMYFUNCTION("""COMPUTED_VALUE"""),"ShubhamC98")</f>
        <v>ShubhamC98</v>
      </c>
      <c r="C2253" s="8">
        <f>IFERROR(__xludf.DUMMYFUNCTION("""COMPUTED_VALUE"""),0.0)</f>
        <v>0</v>
      </c>
      <c r="D2253" s="8"/>
    </row>
    <row r="2254">
      <c r="A2254" s="9" t="str">
        <f>IFERROR(__xludf.DUMMYFUNCTION("""COMPUTED_VALUE"""),"Batch 198")</f>
        <v>Batch 198</v>
      </c>
      <c r="B2254" s="9" t="str">
        <f>IFERROR(__xludf.DUMMYFUNCTION("""COMPUTED_VALUE"""),"MonikaC98")</f>
        <v>MonikaC98</v>
      </c>
      <c r="C2254" s="8">
        <f>IFERROR(__xludf.DUMMYFUNCTION("""COMPUTED_VALUE"""),0.0)</f>
        <v>0</v>
      </c>
      <c r="D2254" s="8"/>
    </row>
    <row r="2255">
      <c r="A2255" s="9" t="str">
        <f>IFERROR(__xludf.DUMMYFUNCTION("""COMPUTED_VALUE"""),"Batch 198")</f>
        <v>Batch 198</v>
      </c>
      <c r="B2255" s="9" t="str">
        <f>IFERROR(__xludf.DUMMYFUNCTION("""COMPUTED_VALUE"""),"ShreshthC98")</f>
        <v>ShreshthC98</v>
      </c>
      <c r="C2255" s="8">
        <f>IFERROR(__xludf.DUMMYFUNCTION("""COMPUTED_VALUE"""),0.0)</f>
        <v>0</v>
      </c>
      <c r="D2255" s="8"/>
    </row>
    <row r="2256">
      <c r="A2256" s="9" t="str">
        <f>IFERROR(__xludf.DUMMYFUNCTION("""COMPUTED_VALUE"""),"Batch 198")</f>
        <v>Batch 198</v>
      </c>
      <c r="B2256" s="9" t="str">
        <f>IFERROR(__xludf.DUMMYFUNCTION("""COMPUTED_VALUE"""),"AnandC98")</f>
        <v>AnandC98</v>
      </c>
      <c r="C2256" s="8">
        <f>IFERROR(__xludf.DUMMYFUNCTION("""COMPUTED_VALUE"""),0.0)</f>
        <v>0</v>
      </c>
      <c r="D2256" s="8"/>
    </row>
    <row r="2257">
      <c r="A2257" s="9" t="str">
        <f>IFERROR(__xludf.DUMMYFUNCTION("""COMPUTED_VALUE"""),"Batch 198")</f>
        <v>Batch 198</v>
      </c>
      <c r="B2257" s="9" t="str">
        <f>IFERROR(__xludf.DUMMYFUNCTION("""COMPUTED_VALUE"""),"DhanushC98")</f>
        <v>DhanushC98</v>
      </c>
      <c r="C2257" s="8">
        <f>IFERROR(__xludf.DUMMYFUNCTION("""COMPUTED_VALUE"""),0.0)</f>
        <v>0</v>
      </c>
      <c r="D2257" s="8"/>
    </row>
    <row r="2258">
      <c r="A2258" s="9" t="str">
        <f>IFERROR(__xludf.DUMMYFUNCTION("""COMPUTED_VALUE"""),"Batch 198")</f>
        <v>Batch 198</v>
      </c>
      <c r="B2258" s="9" t="str">
        <f>IFERROR(__xludf.DUMMYFUNCTION("""COMPUTED_VALUE"""),"PulkitC98")</f>
        <v>PulkitC98</v>
      </c>
      <c r="C2258" s="8">
        <f>IFERROR(__xludf.DUMMYFUNCTION("""COMPUTED_VALUE"""),61.0)</f>
        <v>61</v>
      </c>
      <c r="D2258" s="8">
        <f>IFERROR(__xludf.DUMMYFUNCTION("""COMPUTED_VALUE"""),10.0)</f>
        <v>10</v>
      </c>
    </row>
    <row r="2259">
      <c r="A2259" s="9" t="str">
        <f>IFERROR(__xludf.DUMMYFUNCTION("""COMPUTED_VALUE"""),"Batch 198")</f>
        <v>Batch 198</v>
      </c>
      <c r="B2259" s="9" t="str">
        <f>IFERROR(__xludf.DUMMYFUNCTION("""COMPUTED_VALUE"""),"RoshanC98")</f>
        <v>RoshanC98</v>
      </c>
      <c r="C2259" s="8">
        <f>IFERROR(__xludf.DUMMYFUNCTION("""COMPUTED_VALUE"""),0.0)</f>
        <v>0</v>
      </c>
      <c r="D2259" s="8"/>
    </row>
    <row r="2260">
      <c r="A2260" s="9" t="str">
        <f>IFERROR(__xludf.DUMMYFUNCTION("""COMPUTED_VALUE"""),"Batch 198")</f>
        <v>Batch 198</v>
      </c>
      <c r="B2260" s="9" t="str">
        <f>IFERROR(__xludf.DUMMYFUNCTION("""COMPUTED_VALUE"""),"AryaC98")</f>
        <v>AryaC98</v>
      </c>
      <c r="C2260" s="8">
        <f>IFERROR(__xludf.DUMMYFUNCTION("""COMPUTED_VALUE"""),2.0)</f>
        <v>2</v>
      </c>
      <c r="D2260" s="8"/>
    </row>
    <row r="2261">
      <c r="A2261" s="9" t="str">
        <f>IFERROR(__xludf.DUMMYFUNCTION("""COMPUTED_VALUE"""),"Batch 198")</f>
        <v>Batch 198</v>
      </c>
      <c r="B2261" s="9" t="str">
        <f>IFERROR(__xludf.DUMMYFUNCTION("""COMPUTED_VALUE"""),"AyushKC98")</f>
        <v>AyushKC98</v>
      </c>
      <c r="C2261" s="8">
        <f>IFERROR(__xludf.DUMMYFUNCTION("""COMPUTED_VALUE"""),0.0)</f>
        <v>0</v>
      </c>
      <c r="D2261" s="8"/>
    </row>
    <row r="2262">
      <c r="A2262" s="9" t="str">
        <f>IFERROR(__xludf.DUMMYFUNCTION("""COMPUTED_VALUE"""),"Batch 198")</f>
        <v>Batch 198</v>
      </c>
      <c r="B2262" s="9" t="str">
        <f>IFERROR(__xludf.DUMMYFUNCTION("""COMPUTED_VALUE"""),"KarthikC98")</f>
        <v>KarthikC98</v>
      </c>
      <c r="C2262" s="8">
        <f>IFERROR(__xludf.DUMMYFUNCTION("""COMPUTED_VALUE"""),0.0)</f>
        <v>0</v>
      </c>
      <c r="D2262" s="8"/>
    </row>
    <row r="2263">
      <c r="A2263" s="9" t="str">
        <f>IFERROR(__xludf.DUMMYFUNCTION("""COMPUTED_VALUE"""),"Batch 198")</f>
        <v>Batch 198</v>
      </c>
      <c r="B2263" s="9" t="str">
        <f>IFERROR(__xludf.DUMMYFUNCTION("""COMPUTED_VALUE"""),"MdC98")</f>
        <v>MdC98</v>
      </c>
      <c r="C2263" s="8">
        <f>IFERROR(__xludf.DUMMYFUNCTION("""COMPUTED_VALUE"""),0.0)</f>
        <v>0</v>
      </c>
      <c r="D2263" s="8"/>
    </row>
    <row r="2264">
      <c r="A2264" s="9" t="str">
        <f>IFERROR(__xludf.DUMMYFUNCTION("""COMPUTED_VALUE"""),"Batch 198")</f>
        <v>Batch 198</v>
      </c>
      <c r="B2264" s="9" t="str">
        <f>IFERROR(__xludf.DUMMYFUNCTION("""COMPUTED_VALUE"""),"SnehaC98")</f>
        <v>SnehaC98</v>
      </c>
      <c r="C2264" s="8">
        <f>IFERROR(__xludf.DUMMYFUNCTION("""COMPUTED_VALUE"""),0.0)</f>
        <v>0</v>
      </c>
      <c r="D2264" s="8"/>
    </row>
    <row r="2265">
      <c r="A2265" s="9" t="str">
        <f>IFERROR(__xludf.DUMMYFUNCTION("""COMPUTED_VALUE"""),"Batch 198")</f>
        <v>Batch 198</v>
      </c>
      <c r="B2265" s="9" t="str">
        <f>IFERROR(__xludf.DUMMYFUNCTION("""COMPUTED_VALUE"""),"MrinmayeeC98")</f>
        <v>MrinmayeeC98</v>
      </c>
      <c r="C2265" s="8">
        <f>IFERROR(__xludf.DUMMYFUNCTION("""COMPUTED_VALUE"""),0.0)</f>
        <v>0</v>
      </c>
      <c r="D2265" s="8"/>
    </row>
    <row r="2266">
      <c r="A2266" s="9" t="str">
        <f>IFERROR(__xludf.DUMMYFUNCTION("""COMPUTED_VALUE"""),"Batch 198")</f>
        <v>Batch 198</v>
      </c>
      <c r="B2266" s="9" t="str">
        <f>IFERROR(__xludf.DUMMYFUNCTION("""COMPUTED_VALUE"""),"MadduriC98")</f>
        <v>MadduriC98</v>
      </c>
      <c r="C2266" s="8">
        <f>IFERROR(__xludf.DUMMYFUNCTION("""COMPUTED_VALUE"""),1.0)</f>
        <v>1</v>
      </c>
      <c r="D2266" s="8"/>
    </row>
    <row r="2267">
      <c r="A2267" s="9" t="str">
        <f>IFERROR(__xludf.DUMMYFUNCTION("""COMPUTED_VALUE"""),"Batch 198")</f>
        <v>Batch 198</v>
      </c>
      <c r="B2267" s="9" t="str">
        <f>IFERROR(__xludf.DUMMYFUNCTION("""COMPUTED_VALUE"""),"PITTALAC98")</f>
        <v>PITTALAC98</v>
      </c>
      <c r="C2267" s="8">
        <f>IFERROR(__xludf.DUMMYFUNCTION("""COMPUTED_VALUE"""),0.0)</f>
        <v>0</v>
      </c>
      <c r="D2267" s="8"/>
    </row>
    <row r="2268">
      <c r="A2268" s="9" t="str">
        <f>IFERROR(__xludf.DUMMYFUNCTION("""COMPUTED_VALUE"""),"Batch 198")</f>
        <v>Batch 198</v>
      </c>
      <c r="B2268" s="9" t="str">
        <f>IFERROR(__xludf.DUMMYFUNCTION("""COMPUTED_VALUE"""),"AakashC98")</f>
        <v>AakashC98</v>
      </c>
      <c r="C2268" s="8">
        <f>IFERROR(__xludf.DUMMYFUNCTION("""COMPUTED_VALUE"""),1.0)</f>
        <v>1</v>
      </c>
      <c r="D2268" s="8"/>
    </row>
    <row r="2269">
      <c r="A2269" s="9" t="str">
        <f>IFERROR(__xludf.DUMMYFUNCTION("""COMPUTED_VALUE"""),"Batch 198")</f>
        <v>Batch 198</v>
      </c>
      <c r="B2269" s="9" t="str">
        <f>IFERROR(__xludf.DUMMYFUNCTION("""COMPUTED_VALUE"""),"HARSHC98")</f>
        <v>HARSHC98</v>
      </c>
      <c r="C2269" s="8">
        <f>IFERROR(__xludf.DUMMYFUNCTION("""COMPUTED_VALUE"""),22.0)</f>
        <v>22</v>
      </c>
      <c r="D2269" s="8">
        <f>IFERROR(__xludf.DUMMYFUNCTION("""COMPUTED_VALUE"""),3.0)</f>
        <v>3</v>
      </c>
    </row>
    <row r="2270">
      <c r="A2270" s="9" t="str">
        <f>IFERROR(__xludf.DUMMYFUNCTION("""COMPUTED_VALUE"""),"Batch 198")</f>
        <v>Batch 198</v>
      </c>
      <c r="B2270" s="9" t="str">
        <f>IFERROR(__xludf.DUMMYFUNCTION("""COMPUTED_VALUE"""),"HimanshuC98")</f>
        <v>HimanshuC98</v>
      </c>
      <c r="C2270" s="8">
        <f>IFERROR(__xludf.DUMMYFUNCTION("""COMPUTED_VALUE"""),15.0)</f>
        <v>15</v>
      </c>
      <c r="D2270" s="8">
        <f>IFERROR(__xludf.DUMMYFUNCTION("""COMPUTED_VALUE"""),3.0)</f>
        <v>3</v>
      </c>
    </row>
    <row r="2271">
      <c r="A2271" s="9" t="str">
        <f>IFERROR(__xludf.DUMMYFUNCTION("""COMPUTED_VALUE"""),"Batch 198")</f>
        <v>Batch 198</v>
      </c>
      <c r="B2271" s="9" t="str">
        <f>IFERROR(__xludf.DUMMYFUNCTION("""COMPUTED_VALUE"""),"AyushGC98")</f>
        <v>AyushGC98</v>
      </c>
      <c r="C2271" s="8">
        <f>IFERROR(__xludf.DUMMYFUNCTION("""COMPUTED_VALUE"""),0.0)</f>
        <v>0</v>
      </c>
      <c r="D2271" s="8"/>
    </row>
    <row r="2272">
      <c r="A2272" s="9" t="str">
        <f>IFERROR(__xludf.DUMMYFUNCTION("""COMPUTED_VALUE"""),"Batch 198")</f>
        <v>Batch 198</v>
      </c>
      <c r="B2272" s="9" t="str">
        <f>IFERROR(__xludf.DUMMYFUNCTION("""COMPUTED_VALUE"""),"PRABAHARANC98")</f>
        <v>PRABAHARANC98</v>
      </c>
      <c r="C2272" s="8">
        <f>IFERROR(__xludf.DUMMYFUNCTION("""COMPUTED_VALUE"""),0.0)</f>
        <v>0</v>
      </c>
      <c r="D2272" s="8"/>
    </row>
    <row r="2273">
      <c r="A2273" s="9" t="str">
        <f>IFERROR(__xludf.DUMMYFUNCTION("""COMPUTED_VALUE"""),"Batch 198")</f>
        <v>Batch 198</v>
      </c>
      <c r="B2273" s="9" t="str">
        <f>IFERROR(__xludf.DUMMYFUNCTION("""COMPUTED_VALUE"""),"MeghaC98")</f>
        <v>MeghaC98</v>
      </c>
      <c r="C2273" s="8">
        <f>IFERROR(__xludf.DUMMYFUNCTION("""COMPUTED_VALUE"""),0.0)</f>
        <v>0</v>
      </c>
      <c r="D2273" s="8"/>
    </row>
    <row r="2274">
      <c r="A2274" s="9" t="str">
        <f>IFERROR(__xludf.DUMMYFUNCTION("""COMPUTED_VALUE"""),"Batch 198")</f>
        <v>Batch 198</v>
      </c>
      <c r="B2274" s="9" t="str">
        <f>IFERROR(__xludf.DUMMYFUNCTION("""COMPUTED_VALUE"""),"NehaC98")</f>
        <v>NehaC98</v>
      </c>
      <c r="C2274" s="8">
        <f>IFERROR(__xludf.DUMMYFUNCTION("""COMPUTED_VALUE"""),0.0)</f>
        <v>0</v>
      </c>
      <c r="D2274" s="8"/>
    </row>
    <row r="2275">
      <c r="A2275" s="9" t="str">
        <f>IFERROR(__xludf.DUMMYFUNCTION("""COMPUTED_VALUE"""),"Batch 198")</f>
        <v>Batch 198</v>
      </c>
      <c r="B2275" s="9" t="str">
        <f>IFERROR(__xludf.DUMMYFUNCTION("""COMPUTED_VALUE"""),"HardikC98")</f>
        <v>HardikC98</v>
      </c>
      <c r="C2275" s="8">
        <f>IFERROR(__xludf.DUMMYFUNCTION("""COMPUTED_VALUE"""),0.0)</f>
        <v>0</v>
      </c>
      <c r="D2275" s="8"/>
    </row>
    <row r="2276">
      <c r="A2276" s="9" t="str">
        <f>IFERROR(__xludf.DUMMYFUNCTION("""COMPUTED_VALUE"""),"Batch 198")</f>
        <v>Batch 198</v>
      </c>
      <c r="B2276" s="9" t="str">
        <f>IFERROR(__xludf.DUMMYFUNCTION("""COMPUTED_VALUE"""),"HritanjayC98")</f>
        <v>HritanjayC98</v>
      </c>
      <c r="C2276" s="8">
        <f>IFERROR(__xludf.DUMMYFUNCTION("""COMPUTED_VALUE"""),0.0)</f>
        <v>0</v>
      </c>
      <c r="D2276" s="8"/>
    </row>
    <row r="2277">
      <c r="A2277" s="9"/>
      <c r="B2277" s="9"/>
      <c r="C2277" s="8">
        <f>IFERROR(__xludf.DUMMYFUNCTION("""COMPUTED_VALUE"""),0.0)</f>
        <v>0</v>
      </c>
      <c r="D2277" s="8"/>
    </row>
    <row r="2278">
      <c r="A2278" s="9" t="str">
        <f>IFERROR(__xludf.DUMMYFUNCTION("""COMPUTED_VALUE"""),"Batch 199")</f>
        <v>Batch 199</v>
      </c>
      <c r="B2278" s="9" t="str">
        <f>IFERROR(__xludf.DUMMYFUNCTION("""COMPUTED_VALUE"""),"ShubhamC99")</f>
        <v>ShubhamC99</v>
      </c>
      <c r="C2278" s="8">
        <f>IFERROR(__xludf.DUMMYFUNCTION("""COMPUTED_VALUE"""),0.0)</f>
        <v>0</v>
      </c>
      <c r="D2278" s="8"/>
    </row>
    <row r="2279">
      <c r="A2279" s="9" t="str">
        <f>IFERROR(__xludf.DUMMYFUNCTION("""COMPUTED_VALUE"""),"Batch 199")</f>
        <v>Batch 199</v>
      </c>
      <c r="B2279" s="9" t="str">
        <f>IFERROR(__xludf.DUMMYFUNCTION("""COMPUTED_VALUE"""),"KoustuvaC99")</f>
        <v>KoustuvaC99</v>
      </c>
      <c r="C2279" s="8">
        <f>IFERROR(__xludf.DUMMYFUNCTION("""COMPUTED_VALUE"""),0.0)</f>
        <v>0</v>
      </c>
      <c r="D2279" s="8"/>
    </row>
    <row r="2280">
      <c r="A2280" s="9" t="str">
        <f>IFERROR(__xludf.DUMMYFUNCTION("""COMPUTED_VALUE"""),"Batch 199")</f>
        <v>Batch 199</v>
      </c>
      <c r="B2280" s="9" t="str">
        <f>IFERROR(__xludf.DUMMYFUNCTION("""COMPUTED_VALUE"""),"SuzainC99")</f>
        <v>SuzainC99</v>
      </c>
      <c r="C2280" s="8">
        <f>IFERROR(__xludf.DUMMYFUNCTION("""COMPUTED_VALUE"""),0.0)</f>
        <v>0</v>
      </c>
      <c r="D2280" s="8"/>
    </row>
    <row r="2281">
      <c r="A2281" s="9" t="str">
        <f>IFERROR(__xludf.DUMMYFUNCTION("""COMPUTED_VALUE"""),"Batch 199")</f>
        <v>Batch 199</v>
      </c>
      <c r="B2281" s="9" t="str">
        <f>IFERROR(__xludf.DUMMYFUNCTION("""COMPUTED_VALUE"""),"AsthaC99")</f>
        <v>AsthaC99</v>
      </c>
      <c r="C2281" s="8">
        <f>IFERROR(__xludf.DUMMYFUNCTION("""COMPUTED_VALUE"""),0.0)</f>
        <v>0</v>
      </c>
      <c r="D2281" s="8"/>
    </row>
    <row r="2282">
      <c r="A2282" s="9" t="str">
        <f>IFERROR(__xludf.DUMMYFUNCTION("""COMPUTED_VALUE"""),"Batch 199")</f>
        <v>Batch 199</v>
      </c>
      <c r="B2282" s="9" t="str">
        <f>IFERROR(__xludf.DUMMYFUNCTION("""COMPUTED_VALUE"""),"tanyaC99")</f>
        <v>tanyaC99</v>
      </c>
      <c r="C2282" s="8">
        <f>IFERROR(__xludf.DUMMYFUNCTION("""COMPUTED_VALUE"""),0.0)</f>
        <v>0</v>
      </c>
      <c r="D2282" s="8"/>
    </row>
    <row r="2283">
      <c r="A2283" s="9" t="str">
        <f>IFERROR(__xludf.DUMMYFUNCTION("""COMPUTED_VALUE"""),"Batch 199")</f>
        <v>Batch 199</v>
      </c>
      <c r="B2283" s="9" t="str">
        <f>IFERROR(__xludf.DUMMYFUNCTION("""COMPUTED_VALUE"""),"MahakC99")</f>
        <v>MahakC99</v>
      </c>
      <c r="C2283" s="8">
        <f>IFERROR(__xludf.DUMMYFUNCTION("""COMPUTED_VALUE"""),0.0)</f>
        <v>0</v>
      </c>
      <c r="D2283" s="8"/>
    </row>
    <row r="2284">
      <c r="A2284" s="9" t="str">
        <f>IFERROR(__xludf.DUMMYFUNCTION("""COMPUTED_VALUE"""),"Batch 199")</f>
        <v>Batch 199</v>
      </c>
      <c r="B2284" s="9" t="str">
        <f>IFERROR(__xludf.DUMMYFUNCTION("""COMPUTED_VALUE"""),"AshimaC99")</f>
        <v>AshimaC99</v>
      </c>
      <c r="C2284" s="8">
        <f>IFERROR(__xludf.DUMMYFUNCTION("""COMPUTED_VALUE"""),0.0)</f>
        <v>0</v>
      </c>
      <c r="D2284" s="8"/>
    </row>
    <row r="2285">
      <c r="A2285" s="9" t="str">
        <f>IFERROR(__xludf.DUMMYFUNCTION("""COMPUTED_VALUE"""),"Batch 199")</f>
        <v>Batch 199</v>
      </c>
      <c r="B2285" s="9" t="str">
        <f>IFERROR(__xludf.DUMMYFUNCTION("""COMPUTED_VALUE"""),"MansiC99")</f>
        <v>MansiC99</v>
      </c>
      <c r="C2285" s="8">
        <f>IFERROR(__xludf.DUMMYFUNCTION("""COMPUTED_VALUE"""),0.0)</f>
        <v>0</v>
      </c>
      <c r="D2285" s="8"/>
    </row>
    <row r="2286">
      <c r="A2286" s="9" t="str">
        <f>IFERROR(__xludf.DUMMYFUNCTION("""COMPUTED_VALUE"""),"Batch 199")</f>
        <v>Batch 199</v>
      </c>
      <c r="B2286" s="9" t="str">
        <f>IFERROR(__xludf.DUMMYFUNCTION("""COMPUTED_VALUE"""),"VishalC99")</f>
        <v>VishalC99</v>
      </c>
      <c r="C2286" s="8">
        <f>IFERROR(__xludf.DUMMYFUNCTION("""COMPUTED_VALUE"""),0.0)</f>
        <v>0</v>
      </c>
      <c r="D2286" s="8"/>
    </row>
    <row r="2287">
      <c r="A2287" s="9" t="str">
        <f>IFERROR(__xludf.DUMMYFUNCTION("""COMPUTED_VALUE"""),"Batch 199")</f>
        <v>Batch 199</v>
      </c>
      <c r="B2287" s="9" t="str">
        <f>IFERROR(__xludf.DUMMYFUNCTION("""COMPUTED_VALUE"""),"SumitC99")</f>
        <v>SumitC99</v>
      </c>
      <c r="C2287" s="8">
        <f>IFERROR(__xludf.DUMMYFUNCTION("""COMPUTED_VALUE"""),0.0)</f>
        <v>0</v>
      </c>
      <c r="D2287" s="8"/>
    </row>
    <row r="2288">
      <c r="A2288" s="9" t="str">
        <f>IFERROR(__xludf.DUMMYFUNCTION("""COMPUTED_VALUE"""),"Batch 199")</f>
        <v>Batch 199</v>
      </c>
      <c r="B2288" s="9" t="str">
        <f>IFERROR(__xludf.DUMMYFUNCTION("""COMPUTED_VALUE"""),"ANKITC99")</f>
        <v>ANKITC99</v>
      </c>
      <c r="C2288" s="8">
        <f>IFERROR(__xludf.DUMMYFUNCTION("""COMPUTED_VALUE"""),0.0)</f>
        <v>0</v>
      </c>
      <c r="D2288" s="8"/>
    </row>
    <row r="2289">
      <c r="A2289" s="9" t="str">
        <f>IFERROR(__xludf.DUMMYFUNCTION("""COMPUTED_VALUE"""),"Batch 199")</f>
        <v>Batch 199</v>
      </c>
      <c r="B2289" s="9" t="str">
        <f>IFERROR(__xludf.DUMMYFUNCTION("""COMPUTED_VALUE"""),"KeerthanaC99")</f>
        <v>KeerthanaC99</v>
      </c>
      <c r="C2289" s="8">
        <f>IFERROR(__xludf.DUMMYFUNCTION("""COMPUTED_VALUE"""),0.0)</f>
        <v>0</v>
      </c>
      <c r="D2289" s="8"/>
    </row>
    <row r="2290">
      <c r="A2290" s="9" t="str">
        <f>IFERROR(__xludf.DUMMYFUNCTION("""COMPUTED_VALUE"""),"Batch 199")</f>
        <v>Batch 199</v>
      </c>
      <c r="B2290" s="9" t="str">
        <f>IFERROR(__xludf.DUMMYFUNCTION("""COMPUTED_VALUE"""),"SravanthiC99")</f>
        <v>SravanthiC99</v>
      </c>
      <c r="C2290" s="8">
        <f>IFERROR(__xludf.DUMMYFUNCTION("""COMPUTED_VALUE"""),0.0)</f>
        <v>0</v>
      </c>
      <c r="D2290" s="8"/>
    </row>
    <row r="2291">
      <c r="A2291" s="9" t="str">
        <f>IFERROR(__xludf.DUMMYFUNCTION("""COMPUTED_VALUE"""),"Batch 199")</f>
        <v>Batch 199</v>
      </c>
      <c r="B2291" s="9" t="str">
        <f>IFERROR(__xludf.DUMMYFUNCTION("""COMPUTED_VALUE"""),"ManthanC99")</f>
        <v>ManthanC99</v>
      </c>
      <c r="C2291" s="8">
        <f>IFERROR(__xludf.DUMMYFUNCTION("""COMPUTED_VALUE"""),0.0)</f>
        <v>0</v>
      </c>
      <c r="D2291" s="8"/>
    </row>
    <row r="2292">
      <c r="A2292" s="9" t="str">
        <f>IFERROR(__xludf.DUMMYFUNCTION("""COMPUTED_VALUE"""),"Batch 199")</f>
        <v>Batch 199</v>
      </c>
      <c r="B2292" s="9" t="str">
        <f>IFERROR(__xludf.DUMMYFUNCTION("""COMPUTED_VALUE"""),"BHUMIC99")</f>
        <v>BHUMIC99</v>
      </c>
      <c r="C2292" s="8">
        <f>IFERROR(__xludf.DUMMYFUNCTION("""COMPUTED_VALUE"""),2.0)</f>
        <v>2</v>
      </c>
      <c r="D2292" s="8"/>
    </row>
    <row r="2293">
      <c r="A2293" s="9" t="str">
        <f>IFERROR(__xludf.DUMMYFUNCTION("""COMPUTED_VALUE"""),"Batch 199")</f>
        <v>Batch 199</v>
      </c>
      <c r="B2293" s="9" t="str">
        <f>IFERROR(__xludf.DUMMYFUNCTION("""COMPUTED_VALUE"""),"GantyadaC99")</f>
        <v>GantyadaC99</v>
      </c>
      <c r="C2293" s="8">
        <f>IFERROR(__xludf.DUMMYFUNCTION("""COMPUTED_VALUE"""),2.0)</f>
        <v>2</v>
      </c>
      <c r="D2293" s="8"/>
    </row>
    <row r="2294">
      <c r="A2294" s="9" t="str">
        <f>IFERROR(__xludf.DUMMYFUNCTION("""COMPUTED_VALUE"""),"Batch 199")</f>
        <v>Batch 199</v>
      </c>
      <c r="B2294" s="9" t="str">
        <f>IFERROR(__xludf.DUMMYFUNCTION("""COMPUTED_VALUE"""),"AnshC99")</f>
        <v>AnshC99</v>
      </c>
      <c r="C2294" s="8">
        <f>IFERROR(__xludf.DUMMYFUNCTION("""COMPUTED_VALUE"""),0.0)</f>
        <v>0</v>
      </c>
      <c r="D2294" s="8"/>
    </row>
    <row r="2295">
      <c r="A2295" s="9" t="str">
        <f>IFERROR(__xludf.DUMMYFUNCTION("""COMPUTED_VALUE"""),"Batch 199")</f>
        <v>Batch 199</v>
      </c>
      <c r="B2295" s="9" t="str">
        <f>IFERROR(__xludf.DUMMYFUNCTION("""COMPUTED_VALUE"""),"AdityaC99")</f>
        <v>AdityaC99</v>
      </c>
      <c r="C2295" s="8">
        <f>IFERROR(__xludf.DUMMYFUNCTION("""COMPUTED_VALUE"""),0.0)</f>
        <v>0</v>
      </c>
      <c r="D2295" s="8"/>
    </row>
    <row r="2296">
      <c r="A2296" s="9" t="str">
        <f>IFERROR(__xludf.DUMMYFUNCTION("""COMPUTED_VALUE"""),"Batch 199")</f>
        <v>Batch 199</v>
      </c>
      <c r="B2296" s="9" t="str">
        <f>IFERROR(__xludf.DUMMYFUNCTION("""COMPUTED_VALUE"""),"NishantC99")</f>
        <v>NishantC99</v>
      </c>
      <c r="C2296" s="8">
        <f>IFERROR(__xludf.DUMMYFUNCTION("""COMPUTED_VALUE"""),0.0)</f>
        <v>0</v>
      </c>
      <c r="D2296" s="8"/>
    </row>
    <row r="2297">
      <c r="A2297" s="9" t="str">
        <f>IFERROR(__xludf.DUMMYFUNCTION("""COMPUTED_VALUE"""),"Batch 199")</f>
        <v>Batch 199</v>
      </c>
      <c r="B2297" s="9" t="str">
        <f>IFERROR(__xludf.DUMMYFUNCTION("""COMPUTED_VALUE"""),"PriyaC99")</f>
        <v>PriyaC99</v>
      </c>
      <c r="C2297" s="8">
        <f>IFERROR(__xludf.DUMMYFUNCTION("""COMPUTED_VALUE"""),0.0)</f>
        <v>0</v>
      </c>
      <c r="D2297" s="8"/>
    </row>
    <row r="2298">
      <c r="A2298" s="9" t="str">
        <f>IFERROR(__xludf.DUMMYFUNCTION("""COMPUTED_VALUE"""),"Batch 199")</f>
        <v>Batch 199</v>
      </c>
      <c r="B2298" s="9" t="str">
        <f>IFERROR(__xludf.DUMMYFUNCTION("""COMPUTED_VALUE"""),"DhananjayC99")</f>
        <v>DhananjayC99</v>
      </c>
      <c r="C2298" s="8">
        <f>IFERROR(__xludf.DUMMYFUNCTION("""COMPUTED_VALUE"""),2.0)</f>
        <v>2</v>
      </c>
      <c r="D2298" s="8">
        <f>IFERROR(__xludf.DUMMYFUNCTION("""COMPUTED_VALUE"""),1.0)</f>
        <v>1</v>
      </c>
    </row>
    <row r="2299">
      <c r="A2299" s="9" t="str">
        <f>IFERROR(__xludf.DUMMYFUNCTION("""COMPUTED_VALUE"""),"Batch 199")</f>
        <v>Batch 199</v>
      </c>
      <c r="B2299" s="9" t="str">
        <f>IFERROR(__xludf.DUMMYFUNCTION("""COMPUTED_VALUE"""),"ShivamBC99")</f>
        <v>ShivamBC99</v>
      </c>
      <c r="C2299" s="8">
        <f>IFERROR(__xludf.DUMMYFUNCTION("""COMPUTED_VALUE"""),0.0)</f>
        <v>0</v>
      </c>
      <c r="D2299" s="8"/>
    </row>
    <row r="2300">
      <c r="A2300" s="9" t="str">
        <f>IFERROR(__xludf.DUMMYFUNCTION("""COMPUTED_VALUE"""),"Batch 199")</f>
        <v>Batch 199</v>
      </c>
      <c r="B2300" s="9" t="str">
        <f>IFERROR(__xludf.DUMMYFUNCTION("""COMPUTED_VALUE"""),"AakashGC99")</f>
        <v>AakashGC99</v>
      </c>
      <c r="C2300" s="8">
        <f>IFERROR(__xludf.DUMMYFUNCTION("""COMPUTED_VALUE"""),0.0)</f>
        <v>0</v>
      </c>
      <c r="D2300" s="8"/>
    </row>
    <row r="2301">
      <c r="A2301" s="9" t="str">
        <f>IFERROR(__xludf.DUMMYFUNCTION("""COMPUTED_VALUE"""),"Batch 199")</f>
        <v>Batch 199</v>
      </c>
      <c r="B2301" s="9" t="str">
        <f>IFERROR(__xludf.DUMMYFUNCTION("""COMPUTED_VALUE"""),"ShreyasC99")</f>
        <v>ShreyasC99</v>
      </c>
      <c r="C2301" s="8">
        <f>IFERROR(__xludf.DUMMYFUNCTION("""COMPUTED_VALUE"""),4.0)</f>
        <v>4</v>
      </c>
      <c r="D2301" s="8"/>
    </row>
    <row r="2302">
      <c r="A2302" s="9" t="str">
        <f>IFERROR(__xludf.DUMMYFUNCTION("""COMPUTED_VALUE"""),"Batch 199")</f>
        <v>Batch 199</v>
      </c>
      <c r="B2302" s="9" t="str">
        <f>IFERROR(__xludf.DUMMYFUNCTION("""COMPUTED_VALUE"""),"VISHVABHARATHIC99")</f>
        <v>VISHVABHARATHIC99</v>
      </c>
      <c r="C2302" s="8">
        <f>IFERROR(__xludf.DUMMYFUNCTION("""COMPUTED_VALUE"""),0.0)</f>
        <v>0</v>
      </c>
      <c r="D2302" s="8"/>
    </row>
    <row r="2303">
      <c r="A2303" s="9" t="str">
        <f>IFERROR(__xludf.DUMMYFUNCTION("""COMPUTED_VALUE"""),"Batch 199")</f>
        <v>Batch 199</v>
      </c>
      <c r="B2303" s="9" t="str">
        <f>IFERROR(__xludf.DUMMYFUNCTION("""COMPUTED_VALUE"""),"SuhaniC99")</f>
        <v>SuhaniC99</v>
      </c>
      <c r="C2303" s="8">
        <f>IFERROR(__xludf.DUMMYFUNCTION("""COMPUTED_VALUE"""),0.0)</f>
        <v>0</v>
      </c>
      <c r="D2303" s="8"/>
    </row>
    <row r="2304">
      <c r="A2304" s="9" t="str">
        <f>IFERROR(__xludf.DUMMYFUNCTION("""COMPUTED_VALUE"""),"Batch 199")</f>
        <v>Batch 199</v>
      </c>
      <c r="B2304" s="9" t="str">
        <f>IFERROR(__xludf.DUMMYFUNCTION("""COMPUTED_VALUE"""),"SrijaC99")</f>
        <v>SrijaC99</v>
      </c>
      <c r="C2304" s="8">
        <f>IFERROR(__xludf.DUMMYFUNCTION("""COMPUTED_VALUE"""),1.0)</f>
        <v>1</v>
      </c>
      <c r="D2304" s="8"/>
    </row>
    <row r="2305">
      <c r="A2305" s="9" t="str">
        <f>IFERROR(__xludf.DUMMYFUNCTION("""COMPUTED_VALUE"""),"Batch 199")</f>
        <v>Batch 199</v>
      </c>
      <c r="B2305" s="9" t="str">
        <f>IFERROR(__xludf.DUMMYFUNCTION("""COMPUTED_VALUE"""),"KalyaniC99")</f>
        <v>KalyaniC99</v>
      </c>
      <c r="C2305" s="8">
        <f>IFERROR(__xludf.DUMMYFUNCTION("""COMPUTED_VALUE"""),0.0)</f>
        <v>0</v>
      </c>
      <c r="D2305" s="8"/>
    </row>
    <row r="2306">
      <c r="A2306" s="9" t="str">
        <f>IFERROR(__xludf.DUMMYFUNCTION("""COMPUTED_VALUE"""),"Batch 199")</f>
        <v>Batch 199</v>
      </c>
      <c r="B2306" s="9" t="str">
        <f>IFERROR(__xludf.DUMMYFUNCTION("""COMPUTED_VALUE"""),"YogeshC99")</f>
        <v>YogeshC99</v>
      </c>
      <c r="C2306" s="8">
        <f>IFERROR(__xludf.DUMMYFUNCTION("""COMPUTED_VALUE"""),0.0)</f>
        <v>0</v>
      </c>
      <c r="D2306" s="8"/>
    </row>
    <row r="2307">
      <c r="A2307" s="9" t="str">
        <f>IFERROR(__xludf.DUMMYFUNCTION("""COMPUTED_VALUE"""),"Batch 199")</f>
        <v>Batch 199</v>
      </c>
      <c r="B2307" s="9" t="str">
        <f>IFERROR(__xludf.DUMMYFUNCTION("""COMPUTED_VALUE"""),"RiyaC99")</f>
        <v>RiyaC99</v>
      </c>
      <c r="C2307" s="8">
        <f>IFERROR(__xludf.DUMMYFUNCTION("""COMPUTED_VALUE"""),0.0)</f>
        <v>0</v>
      </c>
      <c r="D2307" s="8"/>
    </row>
    <row r="2308">
      <c r="A2308" s="9" t="str">
        <f>IFERROR(__xludf.DUMMYFUNCTION("""COMPUTED_VALUE"""),"Batch 199")</f>
        <v>Batch 199</v>
      </c>
      <c r="B2308" s="9" t="str">
        <f>IFERROR(__xludf.DUMMYFUNCTION("""COMPUTED_VALUE"""),"GOKULC99")</f>
        <v>GOKULC99</v>
      </c>
      <c r="C2308" s="8">
        <f>IFERROR(__xludf.DUMMYFUNCTION("""COMPUTED_VALUE"""),0.0)</f>
        <v>0</v>
      </c>
      <c r="D2308" s="8"/>
    </row>
    <row r="2309">
      <c r="A2309" s="9" t="str">
        <f>IFERROR(__xludf.DUMMYFUNCTION("""COMPUTED_VALUE"""),"Batch 199")</f>
        <v>Batch 199</v>
      </c>
      <c r="B2309" s="9" t="str">
        <f>IFERROR(__xludf.DUMMYFUNCTION("""COMPUTED_VALUE"""),"AjmalC99")</f>
        <v>AjmalC99</v>
      </c>
      <c r="C2309" s="8">
        <f>IFERROR(__xludf.DUMMYFUNCTION("""COMPUTED_VALUE"""),0.0)</f>
        <v>0</v>
      </c>
      <c r="D2309" s="8"/>
    </row>
    <row r="2310">
      <c r="A2310" s="9" t="str">
        <f>IFERROR(__xludf.DUMMYFUNCTION("""COMPUTED_VALUE"""),"Batch 199")</f>
        <v>Batch 199</v>
      </c>
      <c r="B2310" s="9" t="str">
        <f>IFERROR(__xludf.DUMMYFUNCTION("""COMPUTED_VALUE"""),"BirajC99")</f>
        <v>BirajC99</v>
      </c>
      <c r="C2310" s="8">
        <f>IFERROR(__xludf.DUMMYFUNCTION("""COMPUTED_VALUE"""),0.0)</f>
        <v>0</v>
      </c>
      <c r="D2310" s="8"/>
    </row>
    <row r="2311">
      <c r="A2311" s="9" t="str">
        <f>IFERROR(__xludf.DUMMYFUNCTION("""COMPUTED_VALUE"""),"Batch 199")</f>
        <v>Batch 199</v>
      </c>
      <c r="B2311" s="9" t="str">
        <f>IFERROR(__xludf.DUMMYFUNCTION("""COMPUTED_VALUE"""),"P.GowthamC99")</f>
        <v>P.GowthamC99</v>
      </c>
      <c r="C2311" s="8">
        <f>IFERROR(__xludf.DUMMYFUNCTION("""COMPUTED_VALUE"""),16.0)</f>
        <v>16</v>
      </c>
      <c r="D2311" s="8">
        <f>IFERROR(__xludf.DUMMYFUNCTION("""COMPUTED_VALUE"""),2.0)</f>
        <v>2</v>
      </c>
    </row>
    <row r="2312">
      <c r="A2312" s="9" t="str">
        <f>IFERROR(__xludf.DUMMYFUNCTION("""COMPUTED_VALUE"""),"Batch 199")</f>
        <v>Batch 199</v>
      </c>
      <c r="B2312" s="9" t="str">
        <f>IFERROR(__xludf.DUMMYFUNCTION("""COMPUTED_VALUE"""),"ROYALC99")</f>
        <v>ROYALC99</v>
      </c>
      <c r="C2312" s="8">
        <f>IFERROR(__xludf.DUMMYFUNCTION("""COMPUTED_VALUE"""),0.0)</f>
        <v>0</v>
      </c>
      <c r="D2312" s="8"/>
    </row>
    <row r="2313">
      <c r="A2313" s="9" t="str">
        <f>IFERROR(__xludf.DUMMYFUNCTION("""COMPUTED_VALUE"""),"Batch 199")</f>
        <v>Batch 199</v>
      </c>
      <c r="B2313" s="9" t="str">
        <f>IFERROR(__xludf.DUMMYFUNCTION("""COMPUTED_VALUE"""),"DiyaC99")</f>
        <v>DiyaC99</v>
      </c>
      <c r="C2313" s="8">
        <f>IFERROR(__xludf.DUMMYFUNCTION("""COMPUTED_VALUE"""),0.0)</f>
        <v>0</v>
      </c>
      <c r="D2313" s="8"/>
    </row>
    <row r="2314">
      <c r="A2314" s="9" t="str">
        <f>IFERROR(__xludf.DUMMYFUNCTION("""COMPUTED_VALUE"""),"Batch 199")</f>
        <v>Batch 199</v>
      </c>
      <c r="B2314" s="9" t="str">
        <f>IFERROR(__xludf.DUMMYFUNCTION("""COMPUTED_VALUE"""),"JagdeepC99")</f>
        <v>JagdeepC99</v>
      </c>
      <c r="C2314" s="8">
        <f>IFERROR(__xludf.DUMMYFUNCTION("""COMPUTED_VALUE"""),0.0)</f>
        <v>0</v>
      </c>
      <c r="D2314" s="8"/>
    </row>
    <row r="2315">
      <c r="A2315" s="9" t="str">
        <f>IFERROR(__xludf.DUMMYFUNCTION("""COMPUTED_VALUE"""),"Batch 199")</f>
        <v>Batch 199</v>
      </c>
      <c r="B2315" s="9" t="str">
        <f>IFERROR(__xludf.DUMMYFUNCTION("""COMPUTED_VALUE"""),"KrishanC99")</f>
        <v>KrishanC99</v>
      </c>
      <c r="C2315" s="8">
        <f>IFERROR(__xludf.DUMMYFUNCTION("""COMPUTED_VALUE"""),0.0)</f>
        <v>0</v>
      </c>
      <c r="D2315" s="8"/>
    </row>
    <row r="2316">
      <c r="A2316" s="9" t="str">
        <f>IFERROR(__xludf.DUMMYFUNCTION("""COMPUTED_VALUE"""),"Batch 199")</f>
        <v>Batch 199</v>
      </c>
      <c r="B2316" s="9" t="str">
        <f>IFERROR(__xludf.DUMMYFUNCTION("""COMPUTED_VALUE"""),"SHYAMC99")</f>
        <v>SHYAMC99</v>
      </c>
      <c r="C2316" s="8">
        <f>IFERROR(__xludf.DUMMYFUNCTION("""COMPUTED_VALUE"""),1.0)</f>
        <v>1</v>
      </c>
      <c r="D2316" s="8"/>
    </row>
    <row r="2317">
      <c r="A2317" s="9" t="str">
        <f>IFERROR(__xludf.DUMMYFUNCTION("""COMPUTED_VALUE"""),"Batch 199")</f>
        <v>Batch 199</v>
      </c>
      <c r="B2317" s="9" t="str">
        <f>IFERROR(__xludf.DUMMYFUNCTION("""COMPUTED_VALUE"""),"PragatiC99")</f>
        <v>PragatiC99</v>
      </c>
      <c r="C2317" s="8">
        <f>IFERROR(__xludf.DUMMYFUNCTION("""COMPUTED_VALUE"""),0.0)</f>
        <v>0</v>
      </c>
      <c r="D2317" s="8"/>
    </row>
    <row r="2318">
      <c r="A2318" s="9" t="str">
        <f>IFERROR(__xludf.DUMMYFUNCTION("""COMPUTED_VALUE"""),"Batch 199")</f>
        <v>Batch 199</v>
      </c>
      <c r="B2318" s="9" t="str">
        <f>IFERROR(__xludf.DUMMYFUNCTION("""COMPUTED_VALUE"""),"AbdullahC99")</f>
        <v>AbdullahC99</v>
      </c>
      <c r="C2318" s="8">
        <f>IFERROR(__xludf.DUMMYFUNCTION("""COMPUTED_VALUE"""),0.0)</f>
        <v>0</v>
      </c>
      <c r="D2318" s="8"/>
    </row>
    <row r="2319">
      <c r="A2319" s="9" t="str">
        <f>IFERROR(__xludf.DUMMYFUNCTION("""COMPUTED_VALUE"""),"Batch 199")</f>
        <v>Batch 199</v>
      </c>
      <c r="B2319" s="9" t="str">
        <f>IFERROR(__xludf.DUMMYFUNCTION("""COMPUTED_VALUE"""),"AishwaryaC99")</f>
        <v>AishwaryaC99</v>
      </c>
      <c r="C2319" s="8">
        <f>IFERROR(__xludf.DUMMYFUNCTION("""COMPUTED_VALUE"""),0.0)</f>
        <v>0</v>
      </c>
      <c r="D2319" s="8"/>
    </row>
    <row r="2320">
      <c r="A2320" s="9" t="str">
        <f>IFERROR(__xludf.DUMMYFUNCTION("""COMPUTED_VALUE"""),"Batch 199")</f>
        <v>Batch 199</v>
      </c>
      <c r="B2320" s="9" t="str">
        <f>IFERROR(__xludf.DUMMYFUNCTION("""COMPUTED_VALUE"""),"ShivamBC99")</f>
        <v>ShivamBC99</v>
      </c>
      <c r="C2320" s="8">
        <f>IFERROR(__xludf.DUMMYFUNCTION("""COMPUTED_VALUE"""),0.0)</f>
        <v>0</v>
      </c>
      <c r="D2320" s="8"/>
    </row>
    <row r="2321">
      <c r="A2321" s="9"/>
      <c r="B2321" s="9"/>
      <c r="C2321" s="8">
        <f>IFERROR(__xludf.DUMMYFUNCTION("""COMPUTED_VALUE"""),0.0)</f>
        <v>0</v>
      </c>
      <c r="D2321" s="8"/>
    </row>
    <row r="2322">
      <c r="A2322" s="9" t="str">
        <f>IFERROR(__xludf.DUMMYFUNCTION("""COMPUTED_VALUE"""),"Batch 200")</f>
        <v>Batch 200</v>
      </c>
      <c r="B2322" s="9" t="str">
        <f>IFERROR(__xludf.DUMMYFUNCTION("""COMPUTED_VALUE"""),"AayushDC00")</f>
        <v>AayushDC00</v>
      </c>
      <c r="C2322" s="8">
        <f>IFERROR(__xludf.DUMMYFUNCTION("""COMPUTED_VALUE"""),1.0)</f>
        <v>1</v>
      </c>
      <c r="D2322" s="8"/>
    </row>
    <row r="2323">
      <c r="A2323" s="9" t="str">
        <f>IFERROR(__xludf.DUMMYFUNCTION("""COMPUTED_VALUE"""),"Batch 200")</f>
        <v>Batch 200</v>
      </c>
      <c r="B2323" s="9" t="str">
        <f>IFERROR(__xludf.DUMMYFUNCTION("""COMPUTED_VALUE"""),"RohitC00")</f>
        <v>RohitC00</v>
      </c>
      <c r="C2323" s="8">
        <f>IFERROR(__xludf.DUMMYFUNCTION("""COMPUTED_VALUE"""),1.0)</f>
        <v>1</v>
      </c>
      <c r="D2323" s="8"/>
    </row>
    <row r="2324">
      <c r="A2324" s="9" t="str">
        <f>IFERROR(__xludf.DUMMYFUNCTION("""COMPUTED_VALUE"""),"Batch 200")</f>
        <v>Batch 200</v>
      </c>
      <c r="B2324" s="9" t="str">
        <f>IFERROR(__xludf.DUMMYFUNCTION("""COMPUTED_VALUE"""),"AnkitC00")</f>
        <v>AnkitC00</v>
      </c>
      <c r="C2324" s="8">
        <f>IFERROR(__xludf.DUMMYFUNCTION("""COMPUTED_VALUE"""),0.0)</f>
        <v>0</v>
      </c>
      <c r="D2324" s="8"/>
    </row>
    <row r="2325">
      <c r="A2325" s="9" t="str">
        <f>IFERROR(__xludf.DUMMYFUNCTION("""COMPUTED_VALUE"""),"Batch 200")</f>
        <v>Batch 200</v>
      </c>
      <c r="B2325" s="9" t="str">
        <f>IFERROR(__xludf.DUMMYFUNCTION("""COMPUTED_VALUE"""),"HasfiaC00")</f>
        <v>HasfiaC00</v>
      </c>
      <c r="C2325" s="8">
        <f>IFERROR(__xludf.DUMMYFUNCTION("""COMPUTED_VALUE"""),2.0)</f>
        <v>2</v>
      </c>
      <c r="D2325" s="8"/>
    </row>
    <row r="2326">
      <c r="A2326" s="9" t="str">
        <f>IFERROR(__xludf.DUMMYFUNCTION("""COMPUTED_VALUE"""),"Batch 200")</f>
        <v>Batch 200</v>
      </c>
      <c r="B2326" s="9" t="str">
        <f>IFERROR(__xludf.DUMMYFUNCTION("""COMPUTED_VALUE"""),"NancyC00")</f>
        <v>NancyC00</v>
      </c>
      <c r="C2326" s="8">
        <f>IFERROR(__xludf.DUMMYFUNCTION("""COMPUTED_VALUE"""),4.0)</f>
        <v>4</v>
      </c>
      <c r="D2326" s="8"/>
    </row>
    <row r="2327">
      <c r="A2327" s="9" t="str">
        <f>IFERROR(__xludf.DUMMYFUNCTION("""COMPUTED_VALUE"""),"Batch 200")</f>
        <v>Batch 200</v>
      </c>
      <c r="B2327" s="9" t="str">
        <f>IFERROR(__xludf.DUMMYFUNCTION("""COMPUTED_VALUE"""),"NiteshC00")</f>
        <v>NiteshC00</v>
      </c>
      <c r="C2327" s="8">
        <f>IFERROR(__xludf.DUMMYFUNCTION("""COMPUTED_VALUE"""),0.0)</f>
        <v>0</v>
      </c>
      <c r="D2327" s="8"/>
    </row>
    <row r="2328">
      <c r="A2328" s="9" t="str">
        <f>IFERROR(__xludf.DUMMYFUNCTION("""COMPUTED_VALUE"""),"Batch 200")</f>
        <v>Batch 200</v>
      </c>
      <c r="B2328" s="9" t="str">
        <f>IFERROR(__xludf.DUMMYFUNCTION("""COMPUTED_VALUE"""),"ASHOKC00")</f>
        <v>ASHOKC00</v>
      </c>
      <c r="C2328" s="8">
        <f>IFERROR(__xludf.DUMMYFUNCTION("""COMPUTED_VALUE"""),0.0)</f>
        <v>0</v>
      </c>
      <c r="D2328" s="8"/>
    </row>
    <row r="2329">
      <c r="A2329" s="9" t="str">
        <f>IFERROR(__xludf.DUMMYFUNCTION("""COMPUTED_VALUE"""),"Batch 200")</f>
        <v>Batch 200</v>
      </c>
      <c r="B2329" s="9" t="str">
        <f>IFERROR(__xludf.DUMMYFUNCTION("""COMPUTED_VALUE"""),"ChamanC00")</f>
        <v>ChamanC00</v>
      </c>
      <c r="C2329" s="8">
        <f>IFERROR(__xludf.DUMMYFUNCTION("""COMPUTED_VALUE"""),0.0)</f>
        <v>0</v>
      </c>
      <c r="D2329" s="8"/>
    </row>
    <row r="2330">
      <c r="A2330" s="9" t="str">
        <f>IFERROR(__xludf.DUMMYFUNCTION("""COMPUTED_VALUE"""),"Batch 200")</f>
        <v>Batch 200</v>
      </c>
      <c r="B2330" s="9" t="str">
        <f>IFERROR(__xludf.DUMMYFUNCTION("""COMPUTED_VALUE"""),"SaadC00")</f>
        <v>SaadC00</v>
      </c>
      <c r="C2330" s="8">
        <f>IFERROR(__xludf.DUMMYFUNCTION("""COMPUTED_VALUE"""),2.0)</f>
        <v>2</v>
      </c>
      <c r="D2330" s="8"/>
    </row>
    <row r="2331">
      <c r="A2331" s="9" t="str">
        <f>IFERROR(__xludf.DUMMYFUNCTION("""COMPUTED_VALUE"""),"Batch 200")</f>
        <v>Batch 200</v>
      </c>
      <c r="B2331" s="9" t="str">
        <f>IFERROR(__xludf.DUMMYFUNCTION("""COMPUTED_VALUE"""),"VaddiC00")</f>
        <v>VaddiC00</v>
      </c>
      <c r="C2331" s="8">
        <f>IFERROR(__xludf.DUMMYFUNCTION("""COMPUTED_VALUE"""),2.0)</f>
        <v>2</v>
      </c>
      <c r="D2331" s="8"/>
    </row>
    <row r="2332">
      <c r="A2332" s="9" t="str">
        <f>IFERROR(__xludf.DUMMYFUNCTION("""COMPUTED_VALUE"""),"Batch 200")</f>
        <v>Batch 200</v>
      </c>
      <c r="B2332" s="9" t="str">
        <f>IFERROR(__xludf.DUMMYFUNCTION("""COMPUTED_VALUE"""),"KanishkaC00")</f>
        <v>KanishkaC00</v>
      </c>
      <c r="C2332" s="8">
        <f>IFERROR(__xludf.DUMMYFUNCTION("""COMPUTED_VALUE"""),0.0)</f>
        <v>0</v>
      </c>
      <c r="D2332" s="8"/>
    </row>
    <row r="2333">
      <c r="A2333" s="9" t="str">
        <f>IFERROR(__xludf.DUMMYFUNCTION("""COMPUTED_VALUE"""),"Batch 200")</f>
        <v>Batch 200</v>
      </c>
      <c r="B2333" s="9" t="str">
        <f>IFERROR(__xludf.DUMMYFUNCTION("""COMPUTED_VALUE"""),"AadvikC00")</f>
        <v>AadvikC00</v>
      </c>
      <c r="C2333" s="8">
        <f>IFERROR(__xludf.DUMMYFUNCTION("""COMPUTED_VALUE"""),0.0)</f>
        <v>0</v>
      </c>
      <c r="D2333" s="8"/>
    </row>
    <row r="2334">
      <c r="A2334" s="9" t="str">
        <f>IFERROR(__xludf.DUMMYFUNCTION("""COMPUTED_VALUE"""),"Batch 200")</f>
        <v>Batch 200</v>
      </c>
      <c r="B2334" s="9" t="str">
        <f>IFERROR(__xludf.DUMMYFUNCTION("""COMPUTED_VALUE"""),"ThanuC00")</f>
        <v>ThanuC00</v>
      </c>
      <c r="C2334" s="8">
        <f>IFERROR(__xludf.DUMMYFUNCTION("""COMPUTED_VALUE"""),0.0)</f>
        <v>0</v>
      </c>
      <c r="D2334" s="8"/>
    </row>
    <row r="2335">
      <c r="A2335" s="9" t="str">
        <f>IFERROR(__xludf.DUMMYFUNCTION("""COMPUTED_VALUE"""),"Batch 200")</f>
        <v>Batch 200</v>
      </c>
      <c r="B2335" s="9" t="str">
        <f>IFERROR(__xludf.DUMMYFUNCTION("""COMPUTED_VALUE"""),"PrateekC00")</f>
        <v>PrateekC00</v>
      </c>
      <c r="C2335" s="8">
        <f>IFERROR(__xludf.DUMMYFUNCTION("""COMPUTED_VALUE"""),10.0)</f>
        <v>10</v>
      </c>
      <c r="D2335" s="8">
        <f>IFERROR(__xludf.DUMMYFUNCTION("""COMPUTED_VALUE"""),1.0)</f>
        <v>1</v>
      </c>
    </row>
    <row r="2336">
      <c r="A2336" s="9" t="str">
        <f>IFERROR(__xludf.DUMMYFUNCTION("""COMPUTED_VALUE"""),"Batch 200")</f>
        <v>Batch 200</v>
      </c>
      <c r="B2336" s="9" t="str">
        <f>IFERROR(__xludf.DUMMYFUNCTION("""COMPUTED_VALUE"""),"AgastyaC00")</f>
        <v>AgastyaC00</v>
      </c>
      <c r="C2336" s="8">
        <f>IFERROR(__xludf.DUMMYFUNCTION("""COMPUTED_VALUE"""),0.0)</f>
        <v>0</v>
      </c>
      <c r="D2336" s="8"/>
    </row>
    <row r="2337">
      <c r="A2337" s="9" t="str">
        <f>IFERROR(__xludf.DUMMYFUNCTION("""COMPUTED_VALUE"""),"Batch 200")</f>
        <v>Batch 200</v>
      </c>
      <c r="B2337" s="9" t="str">
        <f>IFERROR(__xludf.DUMMYFUNCTION("""COMPUTED_VALUE"""),"AyushGC00")</f>
        <v>AyushGC00</v>
      </c>
      <c r="C2337" s="8">
        <f>IFERROR(__xludf.DUMMYFUNCTION("""COMPUTED_VALUE"""),3.0)</f>
        <v>3</v>
      </c>
      <c r="D2337" s="8">
        <f>IFERROR(__xludf.DUMMYFUNCTION("""COMPUTED_VALUE"""),1.0)</f>
        <v>1</v>
      </c>
    </row>
    <row r="2338">
      <c r="A2338" s="9" t="str">
        <f>IFERROR(__xludf.DUMMYFUNCTION("""COMPUTED_VALUE"""),"Batch 200")</f>
        <v>Batch 200</v>
      </c>
      <c r="B2338" s="9" t="str">
        <f>IFERROR(__xludf.DUMMYFUNCTION("""COMPUTED_VALUE"""),"KavyaC00")</f>
        <v>KavyaC00</v>
      </c>
      <c r="C2338" s="8">
        <f>IFERROR(__xludf.DUMMYFUNCTION("""COMPUTED_VALUE"""),0.0)</f>
        <v>0</v>
      </c>
      <c r="D2338" s="8"/>
    </row>
    <row r="2339">
      <c r="A2339" s="9" t="str">
        <f>IFERROR(__xludf.DUMMYFUNCTION("""COMPUTED_VALUE"""),"Batch 200")</f>
        <v>Batch 200</v>
      </c>
      <c r="B2339" s="9" t="str">
        <f>IFERROR(__xludf.DUMMYFUNCTION("""COMPUTED_VALUE"""),"AnanyaC00")</f>
        <v>AnanyaC00</v>
      </c>
      <c r="C2339" s="8">
        <f>IFERROR(__xludf.DUMMYFUNCTION("""COMPUTED_VALUE"""),0.0)</f>
        <v>0</v>
      </c>
      <c r="D2339" s="8"/>
    </row>
    <row r="2340">
      <c r="A2340" s="9" t="str">
        <f>IFERROR(__xludf.DUMMYFUNCTION("""COMPUTED_VALUE"""),"Batch 200")</f>
        <v>Batch 200</v>
      </c>
      <c r="B2340" s="9" t="str">
        <f>IFERROR(__xludf.DUMMYFUNCTION("""COMPUTED_VALUE"""),"RakshitC00")</f>
        <v>RakshitC00</v>
      </c>
      <c r="C2340" s="8">
        <f>IFERROR(__xludf.DUMMYFUNCTION("""COMPUTED_VALUE"""),0.0)</f>
        <v>0</v>
      </c>
      <c r="D2340" s="8"/>
    </row>
    <row r="2341">
      <c r="A2341" s="9" t="str">
        <f>IFERROR(__xludf.DUMMYFUNCTION("""COMPUTED_VALUE"""),"Batch 200")</f>
        <v>Batch 200</v>
      </c>
      <c r="B2341" s="9" t="str">
        <f>IFERROR(__xludf.DUMMYFUNCTION("""COMPUTED_VALUE"""),"SomyaC00")</f>
        <v>SomyaC00</v>
      </c>
      <c r="C2341" s="8">
        <f>IFERROR(__xludf.DUMMYFUNCTION("""COMPUTED_VALUE"""),0.0)</f>
        <v>0</v>
      </c>
      <c r="D2341" s="8"/>
    </row>
    <row r="2342">
      <c r="A2342" s="9" t="str">
        <f>IFERROR(__xludf.DUMMYFUNCTION("""COMPUTED_VALUE"""),"Batch 200")</f>
        <v>Batch 200</v>
      </c>
      <c r="B2342" s="9" t="str">
        <f>IFERROR(__xludf.DUMMYFUNCTION("""COMPUTED_VALUE"""),"KritikC00")</f>
        <v>KritikC00</v>
      </c>
      <c r="C2342" s="8">
        <f>IFERROR(__xludf.DUMMYFUNCTION("""COMPUTED_VALUE"""),0.0)</f>
        <v>0</v>
      </c>
      <c r="D2342" s="8"/>
    </row>
    <row r="2343">
      <c r="A2343" s="9" t="str">
        <f>IFERROR(__xludf.DUMMYFUNCTION("""COMPUTED_VALUE"""),"Batch 200")</f>
        <v>Batch 200</v>
      </c>
      <c r="B2343" s="9" t="str">
        <f>IFERROR(__xludf.DUMMYFUNCTION("""COMPUTED_VALUE"""),"SoumyadeepC00")</f>
        <v>SoumyadeepC00</v>
      </c>
      <c r="C2343" s="8">
        <f>IFERROR(__xludf.DUMMYFUNCTION("""COMPUTED_VALUE"""),0.0)</f>
        <v>0</v>
      </c>
      <c r="D2343" s="8"/>
    </row>
    <row r="2344">
      <c r="A2344" s="9" t="str">
        <f>IFERROR(__xludf.DUMMYFUNCTION("""COMPUTED_VALUE"""),"Batch 200")</f>
        <v>Batch 200</v>
      </c>
      <c r="B2344" s="9" t="str">
        <f>IFERROR(__xludf.DUMMYFUNCTION("""COMPUTED_VALUE"""),"DeepakC00")</f>
        <v>DeepakC00</v>
      </c>
      <c r="C2344" s="8">
        <f>IFERROR(__xludf.DUMMYFUNCTION("""COMPUTED_VALUE"""),0.0)</f>
        <v>0</v>
      </c>
      <c r="D2344" s="8"/>
    </row>
    <row r="2345">
      <c r="A2345" s="9" t="str">
        <f>IFERROR(__xludf.DUMMYFUNCTION("""COMPUTED_VALUE"""),"Batch 200")</f>
        <v>Batch 200</v>
      </c>
      <c r="B2345" s="9" t="str">
        <f>IFERROR(__xludf.DUMMYFUNCTION("""COMPUTED_VALUE"""),"RavikantC00")</f>
        <v>RavikantC00</v>
      </c>
      <c r="C2345" s="8">
        <f>IFERROR(__xludf.DUMMYFUNCTION("""COMPUTED_VALUE"""),0.0)</f>
        <v>0</v>
      </c>
      <c r="D2345" s="8"/>
    </row>
    <row r="2346">
      <c r="A2346" s="9" t="str">
        <f>IFERROR(__xludf.DUMMYFUNCTION("""COMPUTED_VALUE"""),"Batch 200")</f>
        <v>Batch 200</v>
      </c>
      <c r="B2346" s="9" t="str">
        <f>IFERROR(__xludf.DUMMYFUNCTION("""COMPUTED_VALUE"""),"AnmolC00")</f>
        <v>AnmolC00</v>
      </c>
      <c r="C2346" s="8">
        <f>IFERROR(__xludf.DUMMYFUNCTION("""COMPUTED_VALUE"""),0.0)</f>
        <v>0</v>
      </c>
      <c r="D2346" s="8"/>
    </row>
    <row r="2347">
      <c r="A2347" s="9" t="str">
        <f>IFERROR(__xludf.DUMMYFUNCTION("""COMPUTED_VALUE"""),"Batch 200")</f>
        <v>Batch 200</v>
      </c>
      <c r="B2347" s="9" t="str">
        <f>IFERROR(__xludf.DUMMYFUNCTION("""COMPUTED_VALUE"""),"SATYAMC00")</f>
        <v>SATYAMC00</v>
      </c>
      <c r="C2347" s="8">
        <f>IFERROR(__xludf.DUMMYFUNCTION("""COMPUTED_VALUE"""),0.0)</f>
        <v>0</v>
      </c>
      <c r="D2347" s="8"/>
    </row>
    <row r="2348">
      <c r="A2348" s="9" t="str">
        <f>IFERROR(__xludf.DUMMYFUNCTION("""COMPUTED_VALUE"""),"Batch 200")</f>
        <v>Batch 200</v>
      </c>
      <c r="B2348" s="9" t="str">
        <f>IFERROR(__xludf.DUMMYFUNCTION("""COMPUTED_VALUE"""),"ShubhangiC00")</f>
        <v>ShubhangiC00</v>
      </c>
      <c r="C2348" s="8">
        <f>IFERROR(__xludf.DUMMYFUNCTION("""COMPUTED_VALUE"""),0.0)</f>
        <v>0</v>
      </c>
      <c r="D2348" s="8"/>
    </row>
    <row r="2349">
      <c r="A2349" s="9" t="str">
        <f>IFERROR(__xludf.DUMMYFUNCTION("""COMPUTED_VALUE"""),"Batch 200")</f>
        <v>Batch 200</v>
      </c>
      <c r="B2349" s="9" t="str">
        <f>IFERROR(__xludf.DUMMYFUNCTION("""COMPUTED_VALUE"""),"AryanC00")</f>
        <v>AryanC00</v>
      </c>
      <c r="C2349" s="8">
        <f>IFERROR(__xludf.DUMMYFUNCTION("""COMPUTED_VALUE"""),0.0)</f>
        <v>0</v>
      </c>
      <c r="D2349" s="8"/>
    </row>
    <row r="2350">
      <c r="A2350" s="9" t="str">
        <f>IFERROR(__xludf.DUMMYFUNCTION("""COMPUTED_VALUE"""),"Batch 200")</f>
        <v>Batch 200</v>
      </c>
      <c r="B2350" s="9" t="str">
        <f>IFERROR(__xludf.DUMMYFUNCTION("""COMPUTED_VALUE"""),"AkankshaC00")</f>
        <v>AkankshaC00</v>
      </c>
      <c r="C2350" s="8">
        <f>IFERROR(__xludf.DUMMYFUNCTION("""COMPUTED_VALUE"""),0.0)</f>
        <v>0</v>
      </c>
      <c r="D2350" s="8"/>
    </row>
    <row r="2351">
      <c r="A2351" s="9" t="str">
        <f>IFERROR(__xludf.DUMMYFUNCTION("""COMPUTED_VALUE"""),"Batch 200")</f>
        <v>Batch 200</v>
      </c>
      <c r="B2351" s="9" t="str">
        <f>IFERROR(__xludf.DUMMYFUNCTION("""COMPUTED_VALUE"""),"GantlaC00")</f>
        <v>GantlaC00</v>
      </c>
      <c r="C2351" s="8">
        <f>IFERROR(__xludf.DUMMYFUNCTION("""COMPUTED_VALUE"""),0.0)</f>
        <v>0</v>
      </c>
      <c r="D2351" s="8"/>
    </row>
    <row r="2352">
      <c r="A2352" s="9"/>
      <c r="B2352" s="9"/>
      <c r="C2352" s="8">
        <f>IFERROR(__xludf.DUMMYFUNCTION("""COMPUTED_VALUE"""),0.0)</f>
        <v>0</v>
      </c>
      <c r="D2352" s="8"/>
    </row>
    <row r="2353">
      <c r="A2353" s="9" t="str">
        <f>IFERROR(__xludf.DUMMYFUNCTION("""COMPUTED_VALUE"""),"Batch 201")</f>
        <v>Batch 201</v>
      </c>
      <c r="B2353" s="9" t="str">
        <f>IFERROR(__xludf.DUMMYFUNCTION("""COMPUTED_VALUE"""),"VINITC01")</f>
        <v>VINITC01</v>
      </c>
      <c r="C2353" s="8">
        <f>IFERROR(__xludf.DUMMYFUNCTION("""COMPUTED_VALUE"""),5.0)</f>
        <v>5</v>
      </c>
      <c r="D2353" s="8"/>
    </row>
    <row r="2354">
      <c r="A2354" s="9" t="str">
        <f>IFERROR(__xludf.DUMMYFUNCTION("""COMPUTED_VALUE"""),"Batch 201")</f>
        <v>Batch 201</v>
      </c>
      <c r="B2354" s="9" t="str">
        <f>IFERROR(__xludf.DUMMYFUNCTION("""COMPUTED_VALUE"""),"VrindaC01")</f>
        <v>VrindaC01</v>
      </c>
      <c r="C2354" s="8">
        <f>IFERROR(__xludf.DUMMYFUNCTION("""COMPUTED_VALUE"""),7.0)</f>
        <v>7</v>
      </c>
      <c r="D2354" s="8"/>
    </row>
    <row r="2355">
      <c r="A2355" s="9" t="str">
        <f>IFERROR(__xludf.DUMMYFUNCTION("""COMPUTED_VALUE"""),"Batch 201")</f>
        <v>Batch 201</v>
      </c>
      <c r="B2355" s="9" t="str">
        <f>IFERROR(__xludf.DUMMYFUNCTION("""COMPUTED_VALUE"""),"HarshiC01")</f>
        <v>HarshiC01</v>
      </c>
      <c r="C2355" s="8">
        <f>IFERROR(__xludf.DUMMYFUNCTION("""COMPUTED_VALUE"""),0.0)</f>
        <v>0</v>
      </c>
      <c r="D2355" s="8"/>
    </row>
    <row r="2356">
      <c r="A2356" s="9" t="str">
        <f>IFERROR(__xludf.DUMMYFUNCTION("""COMPUTED_VALUE"""),"Batch 201")</f>
        <v>Batch 201</v>
      </c>
      <c r="B2356" s="9" t="str">
        <f>IFERROR(__xludf.DUMMYFUNCTION("""COMPUTED_VALUE"""),"VaibhavC01")</f>
        <v>VaibhavC01</v>
      </c>
      <c r="C2356" s="8">
        <f>IFERROR(__xludf.DUMMYFUNCTION("""COMPUTED_VALUE"""),0.0)</f>
        <v>0</v>
      </c>
      <c r="D2356" s="8"/>
    </row>
    <row r="2357">
      <c r="A2357" s="9" t="str">
        <f>IFERROR(__xludf.DUMMYFUNCTION("""COMPUTED_VALUE"""),"Batch 201")</f>
        <v>Batch 201</v>
      </c>
      <c r="B2357" s="9" t="str">
        <f>IFERROR(__xludf.DUMMYFUNCTION("""COMPUTED_VALUE"""),"DimpyC01")</f>
        <v>DimpyC01</v>
      </c>
      <c r="C2357" s="8">
        <f>IFERROR(__xludf.DUMMYFUNCTION("""COMPUTED_VALUE"""),3.0)</f>
        <v>3</v>
      </c>
      <c r="D2357" s="8"/>
    </row>
    <row r="2358">
      <c r="A2358" s="9" t="str">
        <f>IFERROR(__xludf.DUMMYFUNCTION("""COMPUTED_VALUE"""),"Batch 201")</f>
        <v>Batch 201</v>
      </c>
      <c r="B2358" s="9" t="str">
        <f>IFERROR(__xludf.DUMMYFUNCTION("""COMPUTED_VALUE"""),"SaranshC01")</f>
        <v>SaranshC01</v>
      </c>
      <c r="C2358" s="8">
        <f>IFERROR(__xludf.DUMMYFUNCTION("""COMPUTED_VALUE"""),0.0)</f>
        <v>0</v>
      </c>
      <c r="D2358" s="8"/>
    </row>
    <row r="2359">
      <c r="A2359" s="9" t="str">
        <f>IFERROR(__xludf.DUMMYFUNCTION("""COMPUTED_VALUE"""),"Batch 201")</f>
        <v>Batch 201</v>
      </c>
      <c r="B2359" s="9" t="str">
        <f>IFERROR(__xludf.DUMMYFUNCTION("""COMPUTED_VALUE"""),"TejashwiniC01")</f>
        <v>TejashwiniC01</v>
      </c>
      <c r="C2359" s="8">
        <f>IFERROR(__xludf.DUMMYFUNCTION("""COMPUTED_VALUE"""),0.0)</f>
        <v>0</v>
      </c>
      <c r="D2359" s="8"/>
    </row>
    <row r="2360">
      <c r="A2360" s="9" t="str">
        <f>IFERROR(__xludf.DUMMYFUNCTION("""COMPUTED_VALUE"""),"Batch 201")</f>
        <v>Batch 201</v>
      </c>
      <c r="B2360" s="9" t="str">
        <f>IFERROR(__xludf.DUMMYFUNCTION("""COMPUTED_VALUE"""),"AnandC01")</f>
        <v>AnandC01</v>
      </c>
      <c r="C2360" s="8">
        <f>IFERROR(__xludf.DUMMYFUNCTION("""COMPUTED_VALUE"""),1.0)</f>
        <v>1</v>
      </c>
      <c r="D2360" s="8"/>
    </row>
    <row r="2361">
      <c r="A2361" s="9" t="str">
        <f>IFERROR(__xludf.DUMMYFUNCTION("""COMPUTED_VALUE"""),"Batch 201")</f>
        <v>Batch 201</v>
      </c>
      <c r="B2361" s="9" t="str">
        <f>IFERROR(__xludf.DUMMYFUNCTION("""COMPUTED_VALUE"""),"VarnitC01")</f>
        <v>VarnitC01</v>
      </c>
      <c r="C2361" s="8">
        <f>IFERROR(__xludf.DUMMYFUNCTION("""COMPUTED_VALUE"""),0.0)</f>
        <v>0</v>
      </c>
      <c r="D2361" s="8"/>
    </row>
    <row r="2362">
      <c r="A2362" s="9" t="str">
        <f>IFERROR(__xludf.DUMMYFUNCTION("""COMPUTED_VALUE"""),"Batch 201")</f>
        <v>Batch 201</v>
      </c>
      <c r="B2362" s="9" t="str">
        <f>IFERROR(__xludf.DUMMYFUNCTION("""COMPUTED_VALUE"""),"AninyaC01")</f>
        <v>AninyaC01</v>
      </c>
      <c r="C2362" s="8">
        <f>IFERROR(__xludf.DUMMYFUNCTION("""COMPUTED_VALUE"""),2.0)</f>
        <v>2</v>
      </c>
      <c r="D2362" s="8"/>
    </row>
    <row r="2363">
      <c r="A2363" s="9" t="str">
        <f>IFERROR(__xludf.DUMMYFUNCTION("""COMPUTED_VALUE"""),"Batch 201")</f>
        <v>Batch 201</v>
      </c>
      <c r="B2363" s="9" t="str">
        <f>IFERROR(__xludf.DUMMYFUNCTION("""COMPUTED_VALUE"""),"LohithaC01")</f>
        <v>LohithaC01</v>
      </c>
      <c r="C2363" s="8">
        <f>IFERROR(__xludf.DUMMYFUNCTION("""COMPUTED_VALUE"""),0.0)</f>
        <v>0</v>
      </c>
      <c r="D2363" s="8"/>
    </row>
    <row r="2364">
      <c r="A2364" s="9" t="str">
        <f>IFERROR(__xludf.DUMMYFUNCTION("""COMPUTED_VALUE"""),"Batch 201")</f>
        <v>Batch 201</v>
      </c>
      <c r="B2364" s="9" t="str">
        <f>IFERROR(__xludf.DUMMYFUNCTION("""COMPUTED_VALUE"""),"PriyaC01")</f>
        <v>PriyaC01</v>
      </c>
      <c r="C2364" s="8">
        <f>IFERROR(__xludf.DUMMYFUNCTION("""COMPUTED_VALUE"""),1.0)</f>
        <v>1</v>
      </c>
      <c r="D2364" s="8"/>
    </row>
    <row r="2365">
      <c r="A2365" s="9" t="str">
        <f>IFERROR(__xludf.DUMMYFUNCTION("""COMPUTED_VALUE"""),"Batch 201")</f>
        <v>Batch 201</v>
      </c>
      <c r="B2365" s="9" t="str">
        <f>IFERROR(__xludf.DUMMYFUNCTION("""COMPUTED_VALUE"""),"DikshaC01")</f>
        <v>DikshaC01</v>
      </c>
      <c r="C2365" s="8">
        <f>IFERROR(__xludf.DUMMYFUNCTION("""COMPUTED_VALUE"""),0.0)</f>
        <v>0</v>
      </c>
      <c r="D2365" s="8"/>
    </row>
    <row r="2366">
      <c r="A2366" s="9" t="str">
        <f>IFERROR(__xludf.DUMMYFUNCTION("""COMPUTED_VALUE"""),"Batch 201")</f>
        <v>Batch 201</v>
      </c>
      <c r="B2366" s="9" t="str">
        <f>IFERROR(__xludf.DUMMYFUNCTION("""COMPUTED_VALUE"""),"VanshC01")</f>
        <v>VanshC01</v>
      </c>
      <c r="C2366" s="8">
        <f>IFERROR(__xludf.DUMMYFUNCTION("""COMPUTED_VALUE"""),0.0)</f>
        <v>0</v>
      </c>
      <c r="D2366" s="8"/>
    </row>
    <row r="2367">
      <c r="A2367" s="9" t="str">
        <f>IFERROR(__xludf.DUMMYFUNCTION("""COMPUTED_VALUE"""),"Batch 201")</f>
        <v>Batch 201</v>
      </c>
      <c r="B2367" s="9" t="str">
        <f>IFERROR(__xludf.DUMMYFUNCTION("""COMPUTED_VALUE"""),"SanskarC01")</f>
        <v>SanskarC01</v>
      </c>
      <c r="C2367" s="8">
        <f>IFERROR(__xludf.DUMMYFUNCTION("""COMPUTED_VALUE"""),0.0)</f>
        <v>0</v>
      </c>
      <c r="D2367" s="8"/>
    </row>
    <row r="2368">
      <c r="A2368" s="9" t="str">
        <f>IFERROR(__xludf.DUMMYFUNCTION("""COMPUTED_VALUE"""),"Batch 201")</f>
        <v>Batch 201</v>
      </c>
      <c r="B2368" s="9" t="str">
        <f>IFERROR(__xludf.DUMMYFUNCTION("""COMPUTED_VALUE"""),"JyotsnaC01")</f>
        <v>JyotsnaC01</v>
      </c>
      <c r="C2368" s="8">
        <f>IFERROR(__xludf.DUMMYFUNCTION("""COMPUTED_VALUE"""),7.0)</f>
        <v>7</v>
      </c>
      <c r="D2368" s="8"/>
    </row>
    <row r="2369">
      <c r="A2369" s="9" t="str">
        <f>IFERROR(__xludf.DUMMYFUNCTION("""COMPUTED_VALUE"""),"Batch 201")</f>
        <v>Batch 201</v>
      </c>
      <c r="B2369" s="9" t="str">
        <f>IFERROR(__xludf.DUMMYFUNCTION("""COMPUTED_VALUE"""),"KevinC01")</f>
        <v>KevinC01</v>
      </c>
      <c r="C2369" s="8">
        <f>IFERROR(__xludf.DUMMYFUNCTION("""COMPUTED_VALUE"""),0.0)</f>
        <v>0</v>
      </c>
      <c r="D2369" s="8"/>
    </row>
    <row r="2370">
      <c r="A2370" s="9" t="str">
        <f>IFERROR(__xludf.DUMMYFUNCTION("""COMPUTED_VALUE"""),"Batch 201")</f>
        <v>Batch 201</v>
      </c>
      <c r="B2370" s="9" t="str">
        <f>IFERROR(__xludf.DUMMYFUNCTION("""COMPUTED_VALUE"""),"SayantanC01")</f>
        <v>SayantanC01</v>
      </c>
      <c r="C2370" s="8">
        <f>IFERROR(__xludf.DUMMYFUNCTION("""COMPUTED_VALUE"""),2.0)</f>
        <v>2</v>
      </c>
      <c r="D2370" s="8"/>
    </row>
    <row r="2371">
      <c r="A2371" s="9" t="str">
        <f>IFERROR(__xludf.DUMMYFUNCTION("""COMPUTED_VALUE"""),"Batch 201")</f>
        <v>Batch 201</v>
      </c>
      <c r="B2371" s="9" t="str">
        <f>IFERROR(__xludf.DUMMYFUNCTION("""COMPUTED_VALUE"""),"SamikshaC01")</f>
        <v>SamikshaC01</v>
      </c>
      <c r="C2371" s="8">
        <f>IFERROR(__xludf.DUMMYFUNCTION("""COMPUTED_VALUE"""),4.0)</f>
        <v>4</v>
      </c>
      <c r="D2371" s="8"/>
    </row>
    <row r="2372">
      <c r="A2372" s="9" t="str">
        <f>IFERROR(__xludf.DUMMYFUNCTION("""COMPUTED_VALUE"""),"Batch 201")</f>
        <v>Batch 201</v>
      </c>
      <c r="B2372" s="9" t="str">
        <f>IFERROR(__xludf.DUMMYFUNCTION("""COMPUTED_VALUE"""),"AryaC01")</f>
        <v>AryaC01</v>
      </c>
      <c r="C2372" s="8">
        <f>IFERROR(__xludf.DUMMYFUNCTION("""COMPUTED_VALUE"""),0.0)</f>
        <v>0</v>
      </c>
      <c r="D2372" s="8"/>
    </row>
    <row r="2373">
      <c r="A2373" s="9" t="str">
        <f>IFERROR(__xludf.DUMMYFUNCTION("""COMPUTED_VALUE"""),"Batch 201")</f>
        <v>Batch 201</v>
      </c>
      <c r="B2373" s="9" t="str">
        <f>IFERROR(__xludf.DUMMYFUNCTION("""COMPUTED_VALUE"""),"SapnaC01")</f>
        <v>SapnaC01</v>
      </c>
      <c r="C2373" s="8">
        <f>IFERROR(__xludf.DUMMYFUNCTION("""COMPUTED_VALUE"""),0.0)</f>
        <v>0</v>
      </c>
      <c r="D2373" s="8"/>
    </row>
    <row r="2374">
      <c r="A2374" s="9"/>
      <c r="B2374" s="9"/>
      <c r="C2374" s="8">
        <f>IFERROR(__xludf.DUMMYFUNCTION("""COMPUTED_VALUE"""),0.0)</f>
        <v>0</v>
      </c>
      <c r="D2374" s="8"/>
    </row>
    <row r="2375">
      <c r="A2375" s="9" t="str">
        <f>IFERROR(__xludf.DUMMYFUNCTION("""COMPUTED_VALUE"""),"Batch 202")</f>
        <v>Batch 202</v>
      </c>
      <c r="B2375" s="9" t="str">
        <f>IFERROR(__xludf.DUMMYFUNCTION("""COMPUTED_VALUE"""),"mungamuruC02")</f>
        <v>mungamuruC02</v>
      </c>
      <c r="C2375" s="8">
        <f>IFERROR(__xludf.DUMMYFUNCTION("""COMPUTED_VALUE"""),0.0)</f>
        <v>0</v>
      </c>
      <c r="D2375" s="8"/>
    </row>
    <row r="2376">
      <c r="A2376" s="9" t="str">
        <f>IFERROR(__xludf.DUMMYFUNCTION("""COMPUTED_VALUE"""),"Batch 202")</f>
        <v>Batch 202</v>
      </c>
      <c r="B2376" s="9" t="str">
        <f>IFERROR(__xludf.DUMMYFUNCTION("""COMPUTED_VALUE"""),"ArkajyotiC02")</f>
        <v>ArkajyotiC02</v>
      </c>
      <c r="C2376" s="8">
        <f>IFERROR(__xludf.DUMMYFUNCTION("""COMPUTED_VALUE"""),0.0)</f>
        <v>0</v>
      </c>
      <c r="D2376" s="8"/>
    </row>
    <row r="2377">
      <c r="A2377" s="9" t="str">
        <f>IFERROR(__xludf.DUMMYFUNCTION("""COMPUTED_VALUE"""),"Batch 202")</f>
        <v>Batch 202</v>
      </c>
      <c r="B2377" s="9" t="str">
        <f>IFERROR(__xludf.DUMMYFUNCTION("""COMPUTED_VALUE"""),"AnthonyC02")</f>
        <v>AnthonyC02</v>
      </c>
      <c r="C2377" s="8">
        <f>IFERROR(__xludf.DUMMYFUNCTION("""COMPUTED_VALUE"""),0.0)</f>
        <v>0</v>
      </c>
      <c r="D2377" s="8"/>
    </row>
    <row r="2378">
      <c r="A2378" s="9" t="str">
        <f>IFERROR(__xludf.DUMMYFUNCTION("""COMPUTED_VALUE"""),"Batch 202")</f>
        <v>Batch 202</v>
      </c>
      <c r="B2378" s="9" t="str">
        <f>IFERROR(__xludf.DUMMYFUNCTION("""COMPUTED_VALUE"""),"AnuragC02")</f>
        <v>AnuragC02</v>
      </c>
      <c r="C2378" s="8">
        <f>IFERROR(__xludf.DUMMYFUNCTION("""COMPUTED_VALUE"""),0.0)</f>
        <v>0</v>
      </c>
      <c r="D2378" s="8"/>
    </row>
    <row r="2379">
      <c r="A2379" s="9" t="str">
        <f>IFERROR(__xludf.DUMMYFUNCTION("""COMPUTED_VALUE"""),"Batch 202")</f>
        <v>Batch 202</v>
      </c>
      <c r="B2379" s="9" t="str">
        <f>IFERROR(__xludf.DUMMYFUNCTION("""COMPUTED_VALUE"""),"RiyaC02")</f>
        <v>RiyaC02</v>
      </c>
      <c r="C2379" s="8">
        <f>IFERROR(__xludf.DUMMYFUNCTION("""COMPUTED_VALUE"""),8.0)</f>
        <v>8</v>
      </c>
      <c r="D2379" s="8">
        <f>IFERROR(__xludf.DUMMYFUNCTION("""COMPUTED_VALUE"""),1.0)</f>
        <v>1</v>
      </c>
    </row>
    <row r="2380">
      <c r="A2380" s="9" t="str">
        <f>IFERROR(__xludf.DUMMYFUNCTION("""COMPUTED_VALUE"""),"Batch 202")</f>
        <v>Batch 202</v>
      </c>
      <c r="B2380" s="9" t="str">
        <f>IFERROR(__xludf.DUMMYFUNCTION("""COMPUTED_VALUE"""),"GarvitC02")</f>
        <v>GarvitC02</v>
      </c>
      <c r="C2380" s="8">
        <f>IFERROR(__xludf.DUMMYFUNCTION("""COMPUTED_VALUE"""),0.0)</f>
        <v>0</v>
      </c>
      <c r="D2380" s="8"/>
    </row>
    <row r="2381">
      <c r="A2381" s="9" t="str">
        <f>IFERROR(__xludf.DUMMYFUNCTION("""COMPUTED_VALUE"""),"Batch 202")</f>
        <v>Batch 202</v>
      </c>
      <c r="B2381" s="9" t="str">
        <f>IFERROR(__xludf.DUMMYFUNCTION("""COMPUTED_VALUE"""),"YashitaC02")</f>
        <v>YashitaC02</v>
      </c>
      <c r="C2381" s="8">
        <f>IFERROR(__xludf.DUMMYFUNCTION("""COMPUTED_VALUE"""),0.0)</f>
        <v>0</v>
      </c>
      <c r="D2381" s="8"/>
    </row>
    <row r="2382">
      <c r="A2382" s="9" t="str">
        <f>IFERROR(__xludf.DUMMYFUNCTION("""COMPUTED_VALUE"""),"Batch 202")</f>
        <v>Batch 202</v>
      </c>
      <c r="B2382" s="9" t="str">
        <f>IFERROR(__xludf.DUMMYFUNCTION("""COMPUTED_VALUE"""),"ChandniC02")</f>
        <v>ChandniC02</v>
      </c>
      <c r="C2382" s="8">
        <f>IFERROR(__xludf.DUMMYFUNCTION("""COMPUTED_VALUE"""),1.0)</f>
        <v>1</v>
      </c>
      <c r="D2382" s="8"/>
    </row>
    <row r="2383">
      <c r="A2383" s="9" t="str">
        <f>IFERROR(__xludf.DUMMYFUNCTION("""COMPUTED_VALUE"""),"Batch 202")</f>
        <v>Batch 202</v>
      </c>
      <c r="B2383" s="9" t="str">
        <f>IFERROR(__xludf.DUMMYFUNCTION("""COMPUTED_VALUE"""),"PriyanshuC02")</f>
        <v>PriyanshuC02</v>
      </c>
      <c r="C2383" s="8">
        <f>IFERROR(__xludf.DUMMYFUNCTION("""COMPUTED_VALUE"""),0.0)</f>
        <v>0</v>
      </c>
      <c r="D2383" s="8"/>
    </row>
    <row r="2384">
      <c r="A2384" s="9" t="str">
        <f>IFERROR(__xludf.DUMMYFUNCTION("""COMPUTED_VALUE"""),"Batch 202")</f>
        <v>Batch 202</v>
      </c>
      <c r="B2384" s="9" t="str">
        <f>IFERROR(__xludf.DUMMYFUNCTION("""COMPUTED_VALUE"""),"JatavathC02")</f>
        <v>JatavathC02</v>
      </c>
      <c r="C2384" s="8">
        <f>IFERROR(__xludf.DUMMYFUNCTION("""COMPUTED_VALUE"""),0.0)</f>
        <v>0</v>
      </c>
      <c r="D2384" s="8"/>
    </row>
    <row r="2385">
      <c r="A2385" s="9" t="str">
        <f>IFERROR(__xludf.DUMMYFUNCTION("""COMPUTED_VALUE"""),"Batch 202")</f>
        <v>Batch 202</v>
      </c>
      <c r="B2385" s="9" t="str">
        <f>IFERROR(__xludf.DUMMYFUNCTION("""COMPUTED_VALUE"""),"GungunC02")</f>
        <v>GungunC02</v>
      </c>
      <c r="C2385" s="8">
        <f>IFERROR(__xludf.DUMMYFUNCTION("""COMPUTED_VALUE"""),0.0)</f>
        <v>0</v>
      </c>
      <c r="D2385" s="8"/>
    </row>
    <row r="2386">
      <c r="A2386" s="9" t="str">
        <f>IFERROR(__xludf.DUMMYFUNCTION("""COMPUTED_VALUE"""),"Batch 202")</f>
        <v>Batch 202</v>
      </c>
      <c r="B2386" s="9" t="str">
        <f>IFERROR(__xludf.DUMMYFUNCTION("""COMPUTED_VALUE"""),"LakshmiC02")</f>
        <v>LakshmiC02</v>
      </c>
      <c r="C2386" s="8">
        <f>IFERROR(__xludf.DUMMYFUNCTION("""COMPUTED_VALUE"""),0.0)</f>
        <v>0</v>
      </c>
      <c r="D2386" s="8"/>
    </row>
    <row r="2387">
      <c r="A2387" s="9" t="str">
        <f>IFERROR(__xludf.DUMMYFUNCTION("""COMPUTED_VALUE"""),"Batch 202")</f>
        <v>Batch 202</v>
      </c>
      <c r="B2387" s="9" t="str">
        <f>IFERROR(__xludf.DUMMYFUNCTION("""COMPUTED_VALUE"""),"AnushkaC02")</f>
        <v>AnushkaC02</v>
      </c>
      <c r="C2387" s="8">
        <f>IFERROR(__xludf.DUMMYFUNCTION("""COMPUTED_VALUE"""),2.0)</f>
        <v>2</v>
      </c>
      <c r="D2387" s="8"/>
    </row>
    <row r="2388">
      <c r="A2388" s="9" t="str">
        <f>IFERROR(__xludf.DUMMYFUNCTION("""COMPUTED_VALUE"""),"Batch 202")</f>
        <v>Batch 202</v>
      </c>
      <c r="B2388" s="9" t="str">
        <f>IFERROR(__xludf.DUMMYFUNCTION("""COMPUTED_VALUE"""),"RituC02")</f>
        <v>RituC02</v>
      </c>
      <c r="C2388" s="8">
        <f>IFERROR(__xludf.DUMMYFUNCTION("""COMPUTED_VALUE"""),4.0)</f>
        <v>4</v>
      </c>
      <c r="D2388" s="8">
        <f>IFERROR(__xludf.DUMMYFUNCTION("""COMPUTED_VALUE"""),1.0)</f>
        <v>1</v>
      </c>
    </row>
    <row r="2389">
      <c r="A2389" s="9" t="str">
        <f>IFERROR(__xludf.DUMMYFUNCTION("""COMPUTED_VALUE"""),"Batch 202")</f>
        <v>Batch 202</v>
      </c>
      <c r="B2389" s="9" t="str">
        <f>IFERROR(__xludf.DUMMYFUNCTION("""COMPUTED_VALUE"""),"PrakharC02")</f>
        <v>PrakharC02</v>
      </c>
      <c r="C2389" s="8">
        <f>IFERROR(__xludf.DUMMYFUNCTION("""COMPUTED_VALUE"""),0.0)</f>
        <v>0</v>
      </c>
      <c r="D2389" s="8"/>
    </row>
    <row r="2390">
      <c r="A2390" s="9" t="str">
        <f>IFERROR(__xludf.DUMMYFUNCTION("""COMPUTED_VALUE"""),"Batch 202")</f>
        <v>Batch 202</v>
      </c>
      <c r="B2390" s="9" t="str">
        <f>IFERROR(__xludf.DUMMYFUNCTION("""COMPUTED_VALUE"""),"MonikaC02")</f>
        <v>MonikaC02</v>
      </c>
      <c r="C2390" s="8">
        <f>IFERROR(__xludf.DUMMYFUNCTION("""COMPUTED_VALUE"""),0.0)</f>
        <v>0</v>
      </c>
      <c r="D2390" s="8"/>
    </row>
    <row r="2391">
      <c r="A2391" s="9" t="str">
        <f>IFERROR(__xludf.DUMMYFUNCTION("""COMPUTED_VALUE"""),"Batch 202")</f>
        <v>Batch 202</v>
      </c>
      <c r="B2391" s="9" t="str">
        <f>IFERROR(__xludf.DUMMYFUNCTION("""COMPUTED_VALUE"""),"PeddasaaleC02")</f>
        <v>PeddasaaleC02</v>
      </c>
      <c r="C2391" s="8">
        <f>IFERROR(__xludf.DUMMYFUNCTION("""COMPUTED_VALUE"""),0.0)</f>
        <v>0</v>
      </c>
      <c r="D2391" s="8"/>
    </row>
    <row r="2392">
      <c r="A2392" s="9" t="str">
        <f>IFERROR(__xludf.DUMMYFUNCTION("""COMPUTED_VALUE"""),"Batch 202")</f>
        <v>Batch 202</v>
      </c>
      <c r="B2392" s="9" t="str">
        <f>IFERROR(__xludf.DUMMYFUNCTION("""COMPUTED_VALUE"""),"LakshayC02")</f>
        <v>LakshayC02</v>
      </c>
      <c r="C2392" s="8">
        <f>IFERROR(__xludf.DUMMYFUNCTION("""COMPUTED_VALUE"""),0.0)</f>
        <v>0</v>
      </c>
      <c r="D2392" s="8"/>
    </row>
    <row r="2393">
      <c r="A2393" s="9" t="str">
        <f>IFERROR(__xludf.DUMMYFUNCTION("""COMPUTED_VALUE"""),"Batch 202")</f>
        <v>Batch 202</v>
      </c>
      <c r="B2393" s="9" t="str">
        <f>IFERROR(__xludf.DUMMYFUNCTION("""COMPUTED_VALUE"""),"AmitC02")</f>
        <v>AmitC02</v>
      </c>
      <c r="C2393" s="8">
        <f>IFERROR(__xludf.DUMMYFUNCTION("""COMPUTED_VALUE"""),0.0)</f>
        <v>0</v>
      </c>
      <c r="D2393" s="8"/>
    </row>
    <row r="2394">
      <c r="A2394" s="9" t="str">
        <f>IFERROR(__xludf.DUMMYFUNCTION("""COMPUTED_VALUE"""),"Batch 202")</f>
        <v>Batch 202</v>
      </c>
      <c r="B2394" s="9" t="str">
        <f>IFERROR(__xludf.DUMMYFUNCTION("""COMPUTED_VALUE"""),"MrunalC02")</f>
        <v>MrunalC02</v>
      </c>
      <c r="C2394" s="8">
        <f>IFERROR(__xludf.DUMMYFUNCTION("""COMPUTED_VALUE"""),0.0)</f>
        <v>0</v>
      </c>
      <c r="D2394" s="8"/>
    </row>
    <row r="2395">
      <c r="A2395" s="9" t="str">
        <f>IFERROR(__xludf.DUMMYFUNCTION("""COMPUTED_VALUE"""),"Batch 202")</f>
        <v>Batch 202</v>
      </c>
      <c r="B2395" s="9" t="str">
        <f>IFERROR(__xludf.DUMMYFUNCTION("""COMPUTED_VALUE"""),"MosesC02")</f>
        <v>MosesC02</v>
      </c>
      <c r="C2395" s="8">
        <f>IFERROR(__xludf.DUMMYFUNCTION("""COMPUTED_VALUE"""),1.0)</f>
        <v>1</v>
      </c>
      <c r="D2395" s="8"/>
    </row>
    <row r="2396">
      <c r="A2396" s="9" t="str">
        <f>IFERROR(__xludf.DUMMYFUNCTION("""COMPUTED_VALUE"""),"Batch 202")</f>
        <v>Batch 202</v>
      </c>
      <c r="B2396" s="9" t="str">
        <f>IFERROR(__xludf.DUMMYFUNCTION("""COMPUTED_VALUE"""),"SaurabhC02")</f>
        <v>SaurabhC02</v>
      </c>
      <c r="C2396" s="8">
        <f>IFERROR(__xludf.DUMMYFUNCTION("""COMPUTED_VALUE"""),1.0)</f>
        <v>1</v>
      </c>
      <c r="D2396" s="8"/>
    </row>
    <row r="2397">
      <c r="A2397" s="9" t="str">
        <f>IFERROR(__xludf.DUMMYFUNCTION("""COMPUTED_VALUE"""),"Batch 202")</f>
        <v>Batch 202</v>
      </c>
      <c r="B2397" s="9" t="str">
        <f>IFERROR(__xludf.DUMMYFUNCTION("""COMPUTED_VALUE"""),"MohdC02")</f>
        <v>MohdC02</v>
      </c>
      <c r="C2397" s="8">
        <f>IFERROR(__xludf.DUMMYFUNCTION("""COMPUTED_VALUE"""),0.0)</f>
        <v>0</v>
      </c>
      <c r="D2397" s="8"/>
    </row>
    <row r="2398">
      <c r="A2398" s="9" t="str">
        <f>IFERROR(__xludf.DUMMYFUNCTION("""COMPUTED_VALUE"""),"Batch 202")</f>
        <v>Batch 202</v>
      </c>
      <c r="B2398" s="9" t="str">
        <f>IFERROR(__xludf.DUMMYFUNCTION("""COMPUTED_VALUE"""),"KajalC02")</f>
        <v>KajalC02</v>
      </c>
      <c r="C2398" s="8">
        <f>IFERROR(__xludf.DUMMYFUNCTION("""COMPUTED_VALUE"""),0.0)</f>
        <v>0</v>
      </c>
      <c r="D2398" s="8"/>
    </row>
    <row r="2399">
      <c r="A2399" s="9" t="str">
        <f>IFERROR(__xludf.DUMMYFUNCTION("""COMPUTED_VALUE"""),"Batch 202")</f>
        <v>Batch 202</v>
      </c>
      <c r="B2399" s="9" t="str">
        <f>IFERROR(__xludf.DUMMYFUNCTION("""COMPUTED_VALUE"""),"KanampalliC02")</f>
        <v>KanampalliC02</v>
      </c>
      <c r="C2399" s="8">
        <f>IFERROR(__xludf.DUMMYFUNCTION("""COMPUTED_VALUE"""),0.0)</f>
        <v>0</v>
      </c>
      <c r="D2399" s="8"/>
    </row>
    <row r="2400">
      <c r="A2400" s="9" t="str">
        <f>IFERROR(__xludf.DUMMYFUNCTION("""COMPUTED_VALUE"""),"Batch 202")</f>
        <v>Batch 202</v>
      </c>
      <c r="B2400" s="9" t="str">
        <f>IFERROR(__xludf.DUMMYFUNCTION("""COMPUTED_VALUE"""),"S.KavyaC02")</f>
        <v>S.KavyaC02</v>
      </c>
      <c r="C2400" s="8">
        <f>IFERROR(__xludf.DUMMYFUNCTION("""COMPUTED_VALUE"""),0.0)</f>
        <v>0</v>
      </c>
      <c r="D2400" s="8"/>
    </row>
    <row r="2401">
      <c r="A2401" s="9" t="str">
        <f>IFERROR(__xludf.DUMMYFUNCTION("""COMPUTED_VALUE"""),"Batch 202")</f>
        <v>Batch 202</v>
      </c>
      <c r="B2401" s="9" t="str">
        <f>IFERROR(__xludf.DUMMYFUNCTION("""COMPUTED_VALUE"""),"NadimapalliC02")</f>
        <v>NadimapalliC02</v>
      </c>
      <c r="C2401" s="8">
        <f>IFERROR(__xludf.DUMMYFUNCTION("""COMPUTED_VALUE"""),4.0)</f>
        <v>4</v>
      </c>
      <c r="D2401" s="8"/>
    </row>
    <row r="2402">
      <c r="A2402" s="9" t="str">
        <f>IFERROR(__xludf.DUMMYFUNCTION("""COMPUTED_VALUE"""),"Batch 202")</f>
        <v>Batch 202</v>
      </c>
      <c r="B2402" s="9" t="str">
        <f>IFERROR(__xludf.DUMMYFUNCTION("""COMPUTED_VALUE"""),"JOYELC02")</f>
        <v>JOYELC02</v>
      </c>
      <c r="C2402" s="8">
        <f>IFERROR(__xludf.DUMMYFUNCTION("""COMPUTED_VALUE"""),0.0)</f>
        <v>0</v>
      </c>
      <c r="D2402" s="8"/>
    </row>
    <row r="2403">
      <c r="A2403" s="9" t="str">
        <f>IFERROR(__xludf.DUMMYFUNCTION("""COMPUTED_VALUE"""),"Batch 202")</f>
        <v>Batch 202</v>
      </c>
      <c r="B2403" s="9" t="str">
        <f>IFERROR(__xludf.DUMMYFUNCTION("""COMPUTED_VALUE"""),"MohammadC02")</f>
        <v>MohammadC02</v>
      </c>
      <c r="C2403" s="8">
        <f>IFERROR(__xludf.DUMMYFUNCTION("""COMPUTED_VALUE"""),0.0)</f>
        <v>0</v>
      </c>
      <c r="D2403" s="8"/>
    </row>
    <row r="2404">
      <c r="A2404" s="9" t="str">
        <f>IFERROR(__xludf.DUMMYFUNCTION("""COMPUTED_VALUE"""),"Batch 202")</f>
        <v>Batch 202</v>
      </c>
      <c r="B2404" s="9" t="str">
        <f>IFERROR(__xludf.DUMMYFUNCTION("""COMPUTED_VALUE"""),"AnkitaC02")</f>
        <v>AnkitaC02</v>
      </c>
      <c r="C2404" s="8">
        <f>IFERROR(__xludf.DUMMYFUNCTION("""COMPUTED_VALUE"""),0.0)</f>
        <v>0</v>
      </c>
      <c r="D2404" s="8"/>
    </row>
    <row r="2405">
      <c r="A2405" s="9" t="str">
        <f>IFERROR(__xludf.DUMMYFUNCTION("""COMPUTED_VALUE"""),"Batch 202")</f>
        <v>Batch 202</v>
      </c>
      <c r="B2405" s="9" t="str">
        <f>IFERROR(__xludf.DUMMYFUNCTION("""COMPUTED_VALUE"""),"NikhilC02")</f>
        <v>NikhilC02</v>
      </c>
      <c r="C2405" s="8">
        <f>IFERROR(__xludf.DUMMYFUNCTION("""COMPUTED_VALUE"""),0.0)</f>
        <v>0</v>
      </c>
      <c r="D2405" s="8"/>
    </row>
    <row r="2406">
      <c r="A2406" s="9" t="str">
        <f>IFERROR(__xludf.DUMMYFUNCTION("""COMPUTED_VALUE"""),"Batch 202")</f>
        <v>Batch 202</v>
      </c>
      <c r="B2406" s="9" t="str">
        <f>IFERROR(__xludf.DUMMYFUNCTION("""COMPUTED_VALUE"""),"NandiniC02")</f>
        <v>NandiniC02</v>
      </c>
      <c r="C2406" s="8">
        <f>IFERROR(__xludf.DUMMYFUNCTION("""COMPUTED_VALUE"""),0.0)</f>
        <v>0</v>
      </c>
      <c r="D2406" s="8"/>
    </row>
    <row r="2407">
      <c r="A2407" s="9" t="str">
        <f>IFERROR(__xludf.DUMMYFUNCTION("""COMPUTED_VALUE"""),"Batch 202")</f>
        <v>Batch 202</v>
      </c>
      <c r="B2407" s="9" t="str">
        <f>IFERROR(__xludf.DUMMYFUNCTION("""COMPUTED_VALUE"""),"DhananjayC02")</f>
        <v>DhananjayC02</v>
      </c>
      <c r="C2407" s="8">
        <f>IFERROR(__xludf.DUMMYFUNCTION("""COMPUTED_VALUE"""),0.0)</f>
        <v>0</v>
      </c>
      <c r="D2407" s="8"/>
    </row>
    <row r="2408">
      <c r="A2408" s="9" t="str">
        <f>IFERROR(__xludf.DUMMYFUNCTION("""COMPUTED_VALUE"""),"Batch 202")</f>
        <v>Batch 202</v>
      </c>
      <c r="B2408" s="9" t="str">
        <f>IFERROR(__xludf.DUMMYFUNCTION("""COMPUTED_VALUE"""),"GungunC02")</f>
        <v>GungunC02</v>
      </c>
      <c r="C2408" s="8">
        <f>IFERROR(__xludf.DUMMYFUNCTION("""COMPUTED_VALUE"""),0.0)</f>
        <v>0</v>
      </c>
      <c r="D2408" s="8"/>
    </row>
    <row r="2409">
      <c r="A2409" s="9" t="str">
        <f>IFERROR(__xludf.DUMMYFUNCTION("""COMPUTED_VALUE"""),"Batch 202")</f>
        <v>Batch 202</v>
      </c>
      <c r="B2409" s="9" t="str">
        <f>IFERROR(__xludf.DUMMYFUNCTION("""COMPUTED_VALUE"""),"HarshitaC02")</f>
        <v>HarshitaC02</v>
      </c>
      <c r="C2409" s="8">
        <f>IFERROR(__xludf.DUMMYFUNCTION("""COMPUTED_VALUE"""),0.0)</f>
        <v>0</v>
      </c>
      <c r="D2409" s="8"/>
    </row>
    <row r="2410">
      <c r="A2410" s="9" t="str">
        <f>IFERROR(__xludf.DUMMYFUNCTION("""COMPUTED_VALUE"""),"Batch 202")</f>
        <v>Batch 202</v>
      </c>
      <c r="B2410" s="9" t="str">
        <f>IFERROR(__xludf.DUMMYFUNCTION("""COMPUTED_VALUE"""),"YaseenC02")</f>
        <v>YaseenC02</v>
      </c>
      <c r="C2410" s="8">
        <f>IFERROR(__xludf.DUMMYFUNCTION("""COMPUTED_VALUE"""),0.0)</f>
        <v>0</v>
      </c>
      <c r="D2410" s="8"/>
    </row>
    <row r="2411">
      <c r="A2411" s="9" t="str">
        <f>IFERROR(__xludf.DUMMYFUNCTION("""COMPUTED_VALUE"""),"Batch 202")</f>
        <v>Batch 202</v>
      </c>
      <c r="B2411" s="9" t="str">
        <f>IFERROR(__xludf.DUMMYFUNCTION("""COMPUTED_VALUE"""),"YashC02")</f>
        <v>YashC02</v>
      </c>
      <c r="C2411" s="8">
        <f>IFERROR(__xludf.DUMMYFUNCTION("""COMPUTED_VALUE"""),3.0)</f>
        <v>3</v>
      </c>
      <c r="D2411" s="8"/>
    </row>
    <row r="2412">
      <c r="A2412" s="9" t="str">
        <f>IFERROR(__xludf.DUMMYFUNCTION("""COMPUTED_VALUE"""),"Batch 202")</f>
        <v>Batch 202</v>
      </c>
      <c r="B2412" s="9" t="str">
        <f>IFERROR(__xludf.DUMMYFUNCTION("""COMPUTED_VALUE"""),"SuyashKC02")</f>
        <v>SuyashKC02</v>
      </c>
      <c r="C2412" s="8">
        <f>IFERROR(__xludf.DUMMYFUNCTION("""COMPUTED_VALUE"""),103.0)</f>
        <v>103</v>
      </c>
      <c r="D2412" s="8">
        <f>IFERROR(__xludf.DUMMYFUNCTION("""COMPUTED_VALUE"""),61.0)</f>
        <v>61</v>
      </c>
    </row>
    <row r="2413">
      <c r="A2413" s="9" t="str">
        <f>IFERROR(__xludf.DUMMYFUNCTION("""COMPUTED_VALUE"""),"Batch 202")</f>
        <v>Batch 202</v>
      </c>
      <c r="B2413" s="9" t="str">
        <f>IFERROR(__xludf.DUMMYFUNCTION("""COMPUTED_VALUE"""),"SamriddhiSC02")</f>
        <v>SamriddhiSC02</v>
      </c>
      <c r="C2413" s="8">
        <f>IFERROR(__xludf.DUMMYFUNCTION("""COMPUTED_VALUE"""),0.0)</f>
        <v>0</v>
      </c>
      <c r="D2413" s="8"/>
    </row>
    <row r="2414">
      <c r="A2414" s="9"/>
      <c r="B2414" s="9"/>
      <c r="C2414" s="8">
        <f>IFERROR(__xludf.DUMMYFUNCTION("""COMPUTED_VALUE"""),0.0)</f>
        <v>0</v>
      </c>
      <c r="D2414" s="8"/>
    </row>
    <row r="2415">
      <c r="A2415" s="9" t="str">
        <f>IFERROR(__xludf.DUMMYFUNCTION("""COMPUTED_VALUE"""),"Batch 203")</f>
        <v>Batch 203</v>
      </c>
      <c r="B2415" s="9" t="str">
        <f>IFERROR(__xludf.DUMMYFUNCTION("""COMPUTED_VALUE"""),"KHYATHIC03")</f>
        <v>KHYATHIC03</v>
      </c>
      <c r="C2415" s="8">
        <f>IFERROR(__xludf.DUMMYFUNCTION("""COMPUTED_VALUE"""),0.0)</f>
        <v>0</v>
      </c>
      <c r="D2415" s="8"/>
    </row>
    <row r="2416">
      <c r="A2416" s="9" t="str">
        <f>IFERROR(__xludf.DUMMYFUNCTION("""COMPUTED_VALUE"""),"Batch 203")</f>
        <v>Batch 203</v>
      </c>
      <c r="B2416" s="9" t="str">
        <f>IFERROR(__xludf.DUMMYFUNCTION("""COMPUTED_VALUE"""),"ShrutiC03")</f>
        <v>ShrutiC03</v>
      </c>
      <c r="C2416" s="8">
        <f>IFERROR(__xludf.DUMMYFUNCTION("""COMPUTED_VALUE"""),0.0)</f>
        <v>0</v>
      </c>
      <c r="D2416" s="8"/>
    </row>
    <row r="2417">
      <c r="A2417" s="9" t="str">
        <f>IFERROR(__xludf.DUMMYFUNCTION("""COMPUTED_VALUE"""),"Batch 203")</f>
        <v>Batch 203</v>
      </c>
      <c r="B2417" s="9" t="str">
        <f>IFERROR(__xludf.DUMMYFUNCTION("""COMPUTED_VALUE"""),"SanjanaC03")</f>
        <v>SanjanaC03</v>
      </c>
      <c r="C2417" s="8">
        <f>IFERROR(__xludf.DUMMYFUNCTION("""COMPUTED_VALUE"""),0.0)</f>
        <v>0</v>
      </c>
      <c r="D2417" s="8"/>
    </row>
    <row r="2418">
      <c r="A2418" s="9" t="str">
        <f>IFERROR(__xludf.DUMMYFUNCTION("""COMPUTED_VALUE"""),"Batch 203")</f>
        <v>Batch 203</v>
      </c>
      <c r="B2418" s="9" t="str">
        <f>IFERROR(__xludf.DUMMYFUNCTION("""COMPUTED_VALUE"""),"MC03")</f>
        <v>MC03</v>
      </c>
      <c r="C2418" s="8">
        <f>IFERROR(__xludf.DUMMYFUNCTION("""COMPUTED_VALUE"""),0.0)</f>
        <v>0</v>
      </c>
      <c r="D2418" s="8"/>
    </row>
    <row r="2419">
      <c r="A2419" s="9" t="str">
        <f>IFERROR(__xludf.DUMMYFUNCTION("""COMPUTED_VALUE"""),"Batch 203")</f>
        <v>Batch 203</v>
      </c>
      <c r="B2419" s="9" t="str">
        <f>IFERROR(__xludf.DUMMYFUNCTION("""COMPUTED_VALUE"""),"BhavishayC03")</f>
        <v>BhavishayC03</v>
      </c>
      <c r="C2419" s="8">
        <f>IFERROR(__xludf.DUMMYFUNCTION("""COMPUTED_VALUE"""),0.0)</f>
        <v>0</v>
      </c>
      <c r="D2419" s="8"/>
    </row>
    <row r="2420">
      <c r="A2420" s="9" t="str">
        <f>IFERROR(__xludf.DUMMYFUNCTION("""COMPUTED_VALUE"""),"Batch 203")</f>
        <v>Batch 203</v>
      </c>
      <c r="B2420" s="9" t="str">
        <f>IFERROR(__xludf.DUMMYFUNCTION("""COMPUTED_VALUE"""),"GeetanjaliC03")</f>
        <v>GeetanjaliC03</v>
      </c>
      <c r="C2420" s="8">
        <f>IFERROR(__xludf.DUMMYFUNCTION("""COMPUTED_VALUE"""),0.0)</f>
        <v>0</v>
      </c>
      <c r="D2420" s="8"/>
    </row>
    <row r="2421">
      <c r="A2421" s="9" t="str">
        <f>IFERROR(__xludf.DUMMYFUNCTION("""COMPUTED_VALUE"""),"Batch 203")</f>
        <v>Batch 203</v>
      </c>
      <c r="B2421" s="9" t="str">
        <f>IFERROR(__xludf.DUMMYFUNCTION("""COMPUTED_VALUE"""),"DevC03")</f>
        <v>DevC03</v>
      </c>
      <c r="C2421" s="8">
        <f>IFERROR(__xludf.DUMMYFUNCTION("""COMPUTED_VALUE"""),0.0)</f>
        <v>0</v>
      </c>
      <c r="D2421" s="8"/>
    </row>
    <row r="2422">
      <c r="A2422" s="9" t="str">
        <f>IFERROR(__xludf.DUMMYFUNCTION("""COMPUTED_VALUE"""),"Batch 203")</f>
        <v>Batch 203</v>
      </c>
      <c r="B2422" s="9" t="str">
        <f>IFERROR(__xludf.DUMMYFUNCTION("""COMPUTED_VALUE"""),"SatyamC03")</f>
        <v>SatyamC03</v>
      </c>
      <c r="C2422" s="8">
        <f>IFERROR(__xludf.DUMMYFUNCTION("""COMPUTED_VALUE"""),0.0)</f>
        <v>0</v>
      </c>
      <c r="D2422" s="8"/>
    </row>
    <row r="2423">
      <c r="A2423" s="9" t="str">
        <f>IFERROR(__xludf.DUMMYFUNCTION("""COMPUTED_VALUE"""),"Batch 203")</f>
        <v>Batch 203</v>
      </c>
      <c r="B2423" s="9" t="str">
        <f>IFERROR(__xludf.DUMMYFUNCTION("""COMPUTED_VALUE"""),"AnshulC03")</f>
        <v>AnshulC03</v>
      </c>
      <c r="C2423" s="8">
        <f>IFERROR(__xludf.DUMMYFUNCTION("""COMPUTED_VALUE"""),0.0)</f>
        <v>0</v>
      </c>
      <c r="D2423" s="8"/>
    </row>
    <row r="2424">
      <c r="A2424" s="9" t="str">
        <f>IFERROR(__xludf.DUMMYFUNCTION("""COMPUTED_VALUE"""),"Batch 203")</f>
        <v>Batch 203</v>
      </c>
      <c r="B2424" s="9" t="str">
        <f>IFERROR(__xludf.DUMMYFUNCTION("""COMPUTED_VALUE"""),"Aarthi.AC03")</f>
        <v>Aarthi.AC03</v>
      </c>
      <c r="C2424" s="8">
        <f>IFERROR(__xludf.DUMMYFUNCTION("""COMPUTED_VALUE"""),0.0)</f>
        <v>0</v>
      </c>
      <c r="D2424" s="8"/>
    </row>
    <row r="2425">
      <c r="A2425" s="9" t="str">
        <f>IFERROR(__xludf.DUMMYFUNCTION("""COMPUTED_VALUE"""),"Batch 203")</f>
        <v>Batch 203</v>
      </c>
      <c r="B2425" s="9" t="str">
        <f>IFERROR(__xludf.DUMMYFUNCTION("""COMPUTED_VALUE"""),"SushithraC03")</f>
        <v>SushithraC03</v>
      </c>
      <c r="C2425" s="8">
        <f>IFERROR(__xludf.DUMMYFUNCTION("""COMPUTED_VALUE"""),0.0)</f>
        <v>0</v>
      </c>
      <c r="D2425" s="8"/>
    </row>
    <row r="2426">
      <c r="A2426" s="9" t="str">
        <f>IFERROR(__xludf.DUMMYFUNCTION("""COMPUTED_VALUE"""),"Batch 203")</f>
        <v>Batch 203</v>
      </c>
      <c r="B2426" s="9" t="str">
        <f>IFERROR(__xludf.DUMMYFUNCTION("""COMPUTED_VALUE"""),"MareduC03")</f>
        <v>MareduC03</v>
      </c>
      <c r="C2426" s="8">
        <f>IFERROR(__xludf.DUMMYFUNCTION("""COMPUTED_VALUE"""),0.0)</f>
        <v>0</v>
      </c>
      <c r="D2426" s="8"/>
    </row>
    <row r="2427">
      <c r="A2427" s="9" t="str">
        <f>IFERROR(__xludf.DUMMYFUNCTION("""COMPUTED_VALUE"""),"Batch 203")</f>
        <v>Batch 203</v>
      </c>
      <c r="B2427" s="9" t="str">
        <f>IFERROR(__xludf.DUMMYFUNCTION("""COMPUTED_VALUE"""),"ShivamC03")</f>
        <v>ShivamC03</v>
      </c>
      <c r="C2427" s="8">
        <f>IFERROR(__xludf.DUMMYFUNCTION("""COMPUTED_VALUE"""),0.0)</f>
        <v>0</v>
      </c>
      <c r="D2427" s="8"/>
    </row>
    <row r="2428">
      <c r="A2428" s="9" t="str">
        <f>IFERROR(__xludf.DUMMYFUNCTION("""COMPUTED_VALUE"""),"Batch 203")</f>
        <v>Batch 203</v>
      </c>
      <c r="B2428" s="9" t="str">
        <f>IFERROR(__xludf.DUMMYFUNCTION("""COMPUTED_VALUE"""),"AnanyaC03")</f>
        <v>AnanyaC03</v>
      </c>
      <c r="C2428" s="8">
        <f>IFERROR(__xludf.DUMMYFUNCTION("""COMPUTED_VALUE"""),2.0)</f>
        <v>2</v>
      </c>
      <c r="D2428" s="8"/>
    </row>
    <row r="2429">
      <c r="A2429" s="9" t="str">
        <f>IFERROR(__xludf.DUMMYFUNCTION("""COMPUTED_VALUE"""),"Batch 203")</f>
        <v>Batch 203</v>
      </c>
      <c r="B2429" s="9" t="str">
        <f>IFERROR(__xludf.DUMMYFUNCTION("""COMPUTED_VALUE"""),"SinchanaC03")</f>
        <v>SinchanaC03</v>
      </c>
      <c r="C2429" s="8">
        <f>IFERROR(__xludf.DUMMYFUNCTION("""COMPUTED_VALUE"""),2.0)</f>
        <v>2</v>
      </c>
      <c r="D2429" s="8"/>
    </row>
    <row r="2430">
      <c r="A2430" s="9" t="str">
        <f>IFERROR(__xludf.DUMMYFUNCTION("""COMPUTED_VALUE"""),"Batch 203")</f>
        <v>Batch 203</v>
      </c>
      <c r="B2430" s="9" t="str">
        <f>IFERROR(__xludf.DUMMYFUNCTION("""COMPUTED_VALUE"""),"SAGARC03")</f>
        <v>SAGARC03</v>
      </c>
      <c r="C2430" s="8">
        <f>IFERROR(__xludf.DUMMYFUNCTION("""COMPUTED_VALUE"""),0.0)</f>
        <v>0</v>
      </c>
      <c r="D2430" s="8"/>
    </row>
    <row r="2431">
      <c r="A2431" s="9" t="str">
        <f>IFERROR(__xludf.DUMMYFUNCTION("""COMPUTED_VALUE"""),"Batch 203")</f>
        <v>Batch 203</v>
      </c>
      <c r="B2431" s="9" t="str">
        <f>IFERROR(__xludf.DUMMYFUNCTION("""COMPUTED_VALUE"""),"ShagunC03")</f>
        <v>ShagunC03</v>
      </c>
      <c r="C2431" s="8">
        <f>IFERROR(__xludf.DUMMYFUNCTION("""COMPUTED_VALUE"""),0.0)</f>
        <v>0</v>
      </c>
      <c r="D2431" s="8"/>
    </row>
    <row r="2432">
      <c r="A2432" s="9" t="str">
        <f>IFERROR(__xludf.DUMMYFUNCTION("""COMPUTED_VALUE"""),"Batch 203")</f>
        <v>Batch 203</v>
      </c>
      <c r="B2432" s="9" t="str">
        <f>IFERROR(__xludf.DUMMYFUNCTION("""COMPUTED_VALUE"""),"MuditC03")</f>
        <v>MuditC03</v>
      </c>
      <c r="C2432" s="8">
        <f>IFERROR(__xludf.DUMMYFUNCTION("""COMPUTED_VALUE"""),0.0)</f>
        <v>0</v>
      </c>
      <c r="D2432" s="8"/>
    </row>
    <row r="2433">
      <c r="A2433" s="9"/>
      <c r="B2433" s="9"/>
      <c r="C2433" s="8">
        <f>IFERROR(__xludf.DUMMYFUNCTION("""COMPUTED_VALUE"""),0.0)</f>
        <v>0</v>
      </c>
      <c r="D2433" s="8"/>
    </row>
    <row r="2434">
      <c r="A2434" s="9" t="str">
        <f>IFERROR(__xludf.DUMMYFUNCTION("""COMPUTED_VALUE"""),"Batch 204")</f>
        <v>Batch 204</v>
      </c>
      <c r="B2434" s="9" t="str">
        <f>IFERROR(__xludf.DUMMYFUNCTION("""COMPUTED_VALUE"""),"SushithraC04")</f>
        <v>SushithraC04</v>
      </c>
      <c r="C2434" s="8">
        <f>IFERROR(__xludf.DUMMYFUNCTION("""COMPUTED_VALUE"""),0.0)</f>
        <v>0</v>
      </c>
      <c r="D2434" s="8"/>
    </row>
    <row r="2435">
      <c r="A2435" s="9" t="str">
        <f>IFERROR(__xludf.DUMMYFUNCTION("""COMPUTED_VALUE"""),"Batch 204")</f>
        <v>Batch 204</v>
      </c>
      <c r="B2435" s="9" t="str">
        <f>IFERROR(__xludf.DUMMYFUNCTION("""COMPUTED_VALUE"""),"MareduC04")</f>
        <v>MareduC04</v>
      </c>
      <c r="C2435" s="8">
        <f>IFERROR(__xludf.DUMMYFUNCTION("""COMPUTED_VALUE"""),0.0)</f>
        <v>0</v>
      </c>
      <c r="D2435" s="8"/>
    </row>
    <row r="2436">
      <c r="A2436" s="9" t="str">
        <f>IFERROR(__xludf.DUMMYFUNCTION("""COMPUTED_VALUE"""),"Batch 204")</f>
        <v>Batch 204</v>
      </c>
      <c r="B2436" s="9" t="str">
        <f>IFERROR(__xludf.DUMMYFUNCTION("""COMPUTED_VALUE"""),"ShivamAC04")</f>
        <v>ShivamAC04</v>
      </c>
      <c r="C2436" s="8">
        <f>IFERROR(__xludf.DUMMYFUNCTION("""COMPUTED_VALUE"""),0.0)</f>
        <v>0</v>
      </c>
      <c r="D2436" s="8"/>
    </row>
    <row r="2437">
      <c r="A2437" s="9" t="str">
        <f>IFERROR(__xludf.DUMMYFUNCTION("""COMPUTED_VALUE"""),"Batch 204")</f>
        <v>Batch 204</v>
      </c>
      <c r="B2437" s="9" t="str">
        <f>IFERROR(__xludf.DUMMYFUNCTION("""COMPUTED_VALUE"""),"AnanyaC04")</f>
        <v>AnanyaC04</v>
      </c>
      <c r="C2437" s="8">
        <f>IFERROR(__xludf.DUMMYFUNCTION("""COMPUTED_VALUE"""),0.0)</f>
        <v>0</v>
      </c>
      <c r="D2437" s="8"/>
    </row>
    <row r="2438">
      <c r="A2438" s="9" t="str">
        <f>IFERROR(__xludf.DUMMYFUNCTION("""COMPUTED_VALUE"""),"Batch 204")</f>
        <v>Batch 204</v>
      </c>
      <c r="B2438" s="9" t="str">
        <f>IFERROR(__xludf.DUMMYFUNCTION("""COMPUTED_VALUE"""),"SinchanaC04")</f>
        <v>SinchanaC04</v>
      </c>
      <c r="C2438" s="8">
        <f>IFERROR(__xludf.DUMMYFUNCTION("""COMPUTED_VALUE"""),0.0)</f>
        <v>0</v>
      </c>
      <c r="D2438" s="8"/>
    </row>
    <row r="2439">
      <c r="A2439" s="9" t="str">
        <f>IFERROR(__xludf.DUMMYFUNCTION("""COMPUTED_VALUE"""),"Batch 204")</f>
        <v>Batch 204</v>
      </c>
      <c r="B2439" s="9" t="str">
        <f>IFERROR(__xludf.DUMMYFUNCTION("""COMPUTED_VALUE"""),"SAGARC04")</f>
        <v>SAGARC04</v>
      </c>
      <c r="C2439" s="8">
        <f>IFERROR(__xludf.DUMMYFUNCTION("""COMPUTED_VALUE"""),0.0)</f>
        <v>0</v>
      </c>
      <c r="D2439" s="8"/>
    </row>
    <row r="2440">
      <c r="A2440" s="9" t="str">
        <f>IFERROR(__xludf.DUMMYFUNCTION("""COMPUTED_VALUE"""),"Batch 204")</f>
        <v>Batch 204</v>
      </c>
      <c r="B2440" s="9" t="str">
        <f>IFERROR(__xludf.DUMMYFUNCTION("""COMPUTED_VALUE"""),"ShagunC04")</f>
        <v>ShagunC04</v>
      </c>
      <c r="C2440" s="8">
        <f>IFERROR(__xludf.DUMMYFUNCTION("""COMPUTED_VALUE"""),0.0)</f>
        <v>0</v>
      </c>
      <c r="D2440" s="8"/>
    </row>
    <row r="2441">
      <c r="A2441" s="9" t="str">
        <f>IFERROR(__xludf.DUMMYFUNCTION("""COMPUTED_VALUE"""),"Batch 204")</f>
        <v>Batch 204</v>
      </c>
      <c r="B2441" s="9" t="str">
        <f>IFERROR(__xludf.DUMMYFUNCTION("""COMPUTED_VALUE"""),"MuditC04")</f>
        <v>MuditC04</v>
      </c>
      <c r="C2441" s="8">
        <f>IFERROR(__xludf.DUMMYFUNCTION("""COMPUTED_VALUE"""),0.0)</f>
        <v>0</v>
      </c>
      <c r="D2441" s="8"/>
    </row>
    <row r="2442">
      <c r="A2442" s="9" t="str">
        <f>IFERROR(__xludf.DUMMYFUNCTION("""COMPUTED_VALUE"""),"Batch 204")</f>
        <v>Batch 204</v>
      </c>
      <c r="B2442" s="9" t="str">
        <f>IFERROR(__xludf.DUMMYFUNCTION("""COMPUTED_VALUE"""),"AadithyaC04")</f>
        <v>AadithyaC04</v>
      </c>
      <c r="C2442" s="8">
        <f>IFERROR(__xludf.DUMMYFUNCTION("""COMPUTED_VALUE"""),0.0)</f>
        <v>0</v>
      </c>
      <c r="D2442" s="8"/>
    </row>
    <row r="2443">
      <c r="A2443" s="9" t="str">
        <f>IFERROR(__xludf.DUMMYFUNCTION("""COMPUTED_VALUE"""),"Batch 204")</f>
        <v>Batch 204</v>
      </c>
      <c r="B2443" s="9" t="str">
        <f>IFERROR(__xludf.DUMMYFUNCTION("""COMPUTED_VALUE"""),"ShradhaC04")</f>
        <v>ShradhaC04</v>
      </c>
      <c r="C2443" s="8">
        <f>IFERROR(__xludf.DUMMYFUNCTION("""COMPUTED_VALUE"""),0.0)</f>
        <v>0</v>
      </c>
      <c r="D2443" s="8"/>
    </row>
    <row r="2444">
      <c r="A2444" s="9" t="str">
        <f>IFERROR(__xludf.DUMMYFUNCTION("""COMPUTED_VALUE"""),"Batch 204")</f>
        <v>Batch 204</v>
      </c>
      <c r="B2444" s="9" t="str">
        <f>IFERROR(__xludf.DUMMYFUNCTION("""COMPUTED_VALUE"""),"KHYATHIC04")</f>
        <v>KHYATHIC04</v>
      </c>
      <c r="C2444" s="8">
        <f>IFERROR(__xludf.DUMMYFUNCTION("""COMPUTED_VALUE"""),0.0)</f>
        <v>0</v>
      </c>
      <c r="D2444" s="8"/>
    </row>
    <row r="2445">
      <c r="A2445" s="9" t="str">
        <f>IFERROR(__xludf.DUMMYFUNCTION("""COMPUTED_VALUE"""),"Batch 204")</f>
        <v>Batch 204</v>
      </c>
      <c r="B2445" s="9" t="str">
        <f>IFERROR(__xludf.DUMMYFUNCTION("""COMPUTED_VALUE"""),"ShrutiC04")</f>
        <v>ShrutiC04</v>
      </c>
      <c r="C2445" s="8">
        <f>IFERROR(__xludf.DUMMYFUNCTION("""COMPUTED_VALUE"""),0.0)</f>
        <v>0</v>
      </c>
      <c r="D2445" s="8"/>
    </row>
    <row r="2446">
      <c r="A2446" s="9" t="str">
        <f>IFERROR(__xludf.DUMMYFUNCTION("""COMPUTED_VALUE"""),"Batch 204")</f>
        <v>Batch 204</v>
      </c>
      <c r="B2446" s="9" t="str">
        <f>IFERROR(__xludf.DUMMYFUNCTION("""COMPUTED_VALUE"""),"SanjanaC04")</f>
        <v>SanjanaC04</v>
      </c>
      <c r="C2446" s="8">
        <f>IFERROR(__xludf.DUMMYFUNCTION("""COMPUTED_VALUE"""),0.0)</f>
        <v>0</v>
      </c>
      <c r="D2446" s="8"/>
    </row>
    <row r="2447">
      <c r="A2447" s="9" t="str">
        <f>IFERROR(__xludf.DUMMYFUNCTION("""COMPUTED_VALUE"""),"Batch 204")</f>
        <v>Batch 204</v>
      </c>
      <c r="B2447" s="9" t="str">
        <f>IFERROR(__xludf.DUMMYFUNCTION("""COMPUTED_VALUE"""),"ArunC04")</f>
        <v>ArunC04</v>
      </c>
      <c r="C2447" s="8">
        <f>IFERROR(__xludf.DUMMYFUNCTION("""COMPUTED_VALUE"""),0.0)</f>
        <v>0</v>
      </c>
      <c r="D2447" s="8"/>
    </row>
    <row r="2448">
      <c r="A2448" s="9" t="str">
        <f>IFERROR(__xludf.DUMMYFUNCTION("""COMPUTED_VALUE"""),"Batch 204")</f>
        <v>Batch 204</v>
      </c>
      <c r="B2448" s="9" t="str">
        <f>IFERROR(__xludf.DUMMYFUNCTION("""COMPUTED_VALUE"""),"BhavishayC04")</f>
        <v>BhavishayC04</v>
      </c>
      <c r="C2448" s="8">
        <f>IFERROR(__xludf.DUMMYFUNCTION("""COMPUTED_VALUE"""),0.0)</f>
        <v>0</v>
      </c>
      <c r="D2448" s="8"/>
    </row>
    <row r="2449">
      <c r="A2449" s="9" t="str">
        <f>IFERROR(__xludf.DUMMYFUNCTION("""COMPUTED_VALUE"""),"Batch 204")</f>
        <v>Batch 204</v>
      </c>
      <c r="B2449" s="9" t="str">
        <f>IFERROR(__xludf.DUMMYFUNCTION("""COMPUTED_VALUE"""),"GeetanjaliC04")</f>
        <v>GeetanjaliC04</v>
      </c>
      <c r="C2449" s="8">
        <f>IFERROR(__xludf.DUMMYFUNCTION("""COMPUTED_VALUE"""),0.0)</f>
        <v>0</v>
      </c>
      <c r="D2449" s="8"/>
    </row>
    <row r="2450">
      <c r="A2450" s="9" t="str">
        <f>IFERROR(__xludf.DUMMYFUNCTION("""COMPUTED_VALUE"""),"Batch 204")</f>
        <v>Batch 204</v>
      </c>
      <c r="B2450" s="9" t="str">
        <f>IFERROR(__xludf.DUMMYFUNCTION("""COMPUTED_VALUE"""),"DevC04")</f>
        <v>DevC04</v>
      </c>
      <c r="C2450" s="8">
        <f>IFERROR(__xludf.DUMMYFUNCTION("""COMPUTED_VALUE"""),0.0)</f>
        <v>0</v>
      </c>
      <c r="D2450" s="8"/>
    </row>
    <row r="2451">
      <c r="A2451" s="9" t="str">
        <f>IFERROR(__xludf.DUMMYFUNCTION("""COMPUTED_VALUE"""),"Batch 204")</f>
        <v>Batch 204</v>
      </c>
      <c r="B2451" s="9" t="str">
        <f>IFERROR(__xludf.DUMMYFUNCTION("""COMPUTED_VALUE"""),"SatyamC04")</f>
        <v>SatyamC04</v>
      </c>
      <c r="C2451" s="8">
        <f>IFERROR(__xludf.DUMMYFUNCTION("""COMPUTED_VALUE"""),0.0)</f>
        <v>0</v>
      </c>
      <c r="D2451" s="8"/>
    </row>
    <row r="2452">
      <c r="A2452" s="9" t="str">
        <f>IFERROR(__xludf.DUMMYFUNCTION("""COMPUTED_VALUE"""),"Batch 204")</f>
        <v>Batch 204</v>
      </c>
      <c r="B2452" s="9" t="str">
        <f>IFERROR(__xludf.DUMMYFUNCTION("""COMPUTED_VALUE"""),"AnshulC04")</f>
        <v>AnshulC04</v>
      </c>
      <c r="C2452" s="8">
        <f>IFERROR(__xludf.DUMMYFUNCTION("""COMPUTED_VALUE"""),0.0)</f>
        <v>0</v>
      </c>
      <c r="D2452" s="8"/>
    </row>
    <row r="2453">
      <c r="A2453" s="9" t="str">
        <f>IFERROR(__xludf.DUMMYFUNCTION("""COMPUTED_VALUE"""),"Batch 204")</f>
        <v>Batch 204</v>
      </c>
      <c r="B2453" s="9" t="str">
        <f>IFERROR(__xludf.DUMMYFUNCTION("""COMPUTED_VALUE"""),"Aarthi.AC04")</f>
        <v>Aarthi.AC04</v>
      </c>
      <c r="C2453" s="8">
        <f>IFERROR(__xludf.DUMMYFUNCTION("""COMPUTED_VALUE"""),0.0)</f>
        <v>0</v>
      </c>
      <c r="D2453" s="8"/>
    </row>
    <row r="2454">
      <c r="A2454" s="9" t="str">
        <f>IFERROR(__xludf.DUMMYFUNCTION("""COMPUTED_VALUE"""),"Batch 204")</f>
        <v>Batch 204</v>
      </c>
      <c r="B2454" s="9" t="str">
        <f>IFERROR(__xludf.DUMMYFUNCTION("""COMPUTED_VALUE"""),"AjayC04")</f>
        <v>AjayC04</v>
      </c>
      <c r="C2454" s="8">
        <f>IFERROR(__xludf.DUMMYFUNCTION("""COMPUTED_VALUE"""),0.0)</f>
        <v>0</v>
      </c>
      <c r="D2454" s="8"/>
    </row>
    <row r="2455">
      <c r="A2455" s="9" t="str">
        <f>IFERROR(__xludf.DUMMYFUNCTION("""COMPUTED_VALUE"""),"Batch 204")</f>
        <v>Batch 204</v>
      </c>
      <c r="B2455" s="9" t="str">
        <f>IFERROR(__xludf.DUMMYFUNCTION("""COMPUTED_VALUE"""),"SathvikaC04")</f>
        <v>SathvikaC04</v>
      </c>
      <c r="C2455" s="8">
        <f>IFERROR(__xludf.DUMMYFUNCTION("""COMPUTED_VALUE"""),0.0)</f>
        <v>0</v>
      </c>
      <c r="D2455" s="8"/>
    </row>
    <row r="2456">
      <c r="A2456" s="9" t="str">
        <f>IFERROR(__xludf.DUMMYFUNCTION("""COMPUTED_VALUE"""),"Batch 204")</f>
        <v>Batch 204</v>
      </c>
      <c r="B2456" s="9" t="str">
        <f>IFERROR(__xludf.DUMMYFUNCTION("""COMPUTED_VALUE"""),"DevanshC04")</f>
        <v>DevanshC04</v>
      </c>
      <c r="C2456" s="8">
        <f>IFERROR(__xludf.DUMMYFUNCTION("""COMPUTED_VALUE"""),0.0)</f>
        <v>0</v>
      </c>
      <c r="D2456" s="8"/>
    </row>
    <row r="2457">
      <c r="A2457" s="9" t="str">
        <f>IFERROR(__xludf.DUMMYFUNCTION("""COMPUTED_VALUE"""),"Batch 204")</f>
        <v>Batch 204</v>
      </c>
      <c r="B2457" s="9" t="str">
        <f>IFERROR(__xludf.DUMMYFUNCTION("""COMPUTED_VALUE"""),"SukhwinderC04")</f>
        <v>SukhwinderC04</v>
      </c>
      <c r="C2457" s="8">
        <f>IFERROR(__xludf.DUMMYFUNCTION("""COMPUTED_VALUE"""),0.0)</f>
        <v>0</v>
      </c>
      <c r="D2457" s="8"/>
    </row>
    <row r="2458">
      <c r="A2458" s="9" t="str">
        <f>IFERROR(__xludf.DUMMYFUNCTION("""COMPUTED_VALUE"""),"Batch 204")</f>
        <v>Batch 204</v>
      </c>
      <c r="B2458" s="9" t="str">
        <f>IFERROR(__xludf.DUMMYFUNCTION("""COMPUTED_VALUE"""),"DeepanshuC04")</f>
        <v>DeepanshuC04</v>
      </c>
      <c r="C2458" s="8">
        <f>IFERROR(__xludf.DUMMYFUNCTION("""COMPUTED_VALUE"""),0.0)</f>
        <v>0</v>
      </c>
      <c r="D2458" s="8"/>
    </row>
    <row r="2459">
      <c r="A2459" s="9" t="str">
        <f>IFERROR(__xludf.DUMMYFUNCTION("""COMPUTED_VALUE"""),"Batch 204")</f>
        <v>Batch 204</v>
      </c>
      <c r="B2459" s="9" t="str">
        <f>IFERROR(__xludf.DUMMYFUNCTION("""COMPUTED_VALUE"""),"ArjunVC04")</f>
        <v>ArjunVC04</v>
      </c>
      <c r="C2459" s="8">
        <f>IFERROR(__xludf.DUMMYFUNCTION("""COMPUTED_VALUE"""),0.0)</f>
        <v>0</v>
      </c>
      <c r="D2459" s="8"/>
    </row>
    <row r="2460">
      <c r="A2460" s="9" t="str">
        <f>IFERROR(__xludf.DUMMYFUNCTION("""COMPUTED_VALUE"""),"Batch 204")</f>
        <v>Batch 204</v>
      </c>
      <c r="B2460" s="9" t="str">
        <f>IFERROR(__xludf.DUMMYFUNCTION("""COMPUTED_VALUE"""),"JahnaviC04")</f>
        <v>JahnaviC04</v>
      </c>
      <c r="C2460" s="8">
        <f>IFERROR(__xludf.DUMMYFUNCTION("""COMPUTED_VALUE"""),3.0)</f>
        <v>3</v>
      </c>
      <c r="D2460" s="8"/>
    </row>
    <row r="2461">
      <c r="A2461" s="9" t="str">
        <f>IFERROR(__xludf.DUMMYFUNCTION("""COMPUTED_VALUE"""),"Batch 204")</f>
        <v>Batch 204</v>
      </c>
      <c r="B2461" s="9" t="str">
        <f>IFERROR(__xludf.DUMMYFUNCTION("""COMPUTED_VALUE"""),"ShreyaC04")</f>
        <v>ShreyaC04</v>
      </c>
      <c r="C2461" s="8">
        <f>IFERROR(__xludf.DUMMYFUNCTION("""COMPUTED_VALUE"""),0.0)</f>
        <v>0</v>
      </c>
      <c r="D2461" s="8"/>
    </row>
    <row r="2462">
      <c r="A2462" s="9" t="str">
        <f>IFERROR(__xludf.DUMMYFUNCTION("""COMPUTED_VALUE"""),"Batch 204")</f>
        <v>Batch 204</v>
      </c>
      <c r="B2462" s="9" t="str">
        <f>IFERROR(__xludf.DUMMYFUNCTION("""COMPUTED_VALUE"""),"SaurabhC04")</f>
        <v>SaurabhC04</v>
      </c>
      <c r="C2462" s="8">
        <f>IFERROR(__xludf.DUMMYFUNCTION("""COMPUTED_VALUE"""),0.0)</f>
        <v>0</v>
      </c>
      <c r="D2462" s="8"/>
    </row>
    <row r="2463">
      <c r="A2463" s="9" t="str">
        <f>IFERROR(__xludf.DUMMYFUNCTION("""COMPUTED_VALUE"""),"Batch 204")</f>
        <v>Batch 204</v>
      </c>
      <c r="B2463" s="9" t="str">
        <f>IFERROR(__xludf.DUMMYFUNCTION("""COMPUTED_VALUE"""),"ShivanshiC04")</f>
        <v>ShivanshiC04</v>
      </c>
      <c r="C2463" s="8">
        <f>IFERROR(__xludf.DUMMYFUNCTION("""COMPUTED_VALUE"""),2.0)</f>
        <v>2</v>
      </c>
      <c r="D2463" s="8"/>
    </row>
    <row r="2464">
      <c r="A2464" s="9" t="str">
        <f>IFERROR(__xludf.DUMMYFUNCTION("""COMPUTED_VALUE"""),"Batch 204")</f>
        <v>Batch 204</v>
      </c>
      <c r="B2464" s="9" t="str">
        <f>IFERROR(__xludf.DUMMYFUNCTION("""COMPUTED_VALUE"""),"AditiLC04")</f>
        <v>AditiLC04</v>
      </c>
      <c r="C2464" s="8">
        <f>IFERROR(__xludf.DUMMYFUNCTION("""COMPUTED_VALUE"""),0.0)</f>
        <v>0</v>
      </c>
      <c r="D2464" s="8"/>
    </row>
    <row r="2465">
      <c r="A2465" s="9" t="str">
        <f>IFERROR(__xludf.DUMMYFUNCTION("""COMPUTED_VALUE"""),"Batch 204")</f>
        <v>Batch 204</v>
      </c>
      <c r="B2465" s="9" t="str">
        <f>IFERROR(__xludf.DUMMYFUNCTION("""COMPUTED_VALUE"""),"TanushC04")</f>
        <v>TanushC04</v>
      </c>
      <c r="C2465" s="8">
        <f>IFERROR(__xludf.DUMMYFUNCTION("""COMPUTED_VALUE"""),0.0)</f>
        <v>0</v>
      </c>
      <c r="D2465" s="8"/>
    </row>
    <row r="2466">
      <c r="A2466" s="9" t="str">
        <f>IFERROR(__xludf.DUMMYFUNCTION("""COMPUTED_VALUE"""),"Batch 204")</f>
        <v>Batch 204</v>
      </c>
      <c r="B2466" s="9" t="str">
        <f>IFERROR(__xludf.DUMMYFUNCTION("""COMPUTED_VALUE"""),"AnandC04")</f>
        <v>AnandC04</v>
      </c>
      <c r="C2466" s="8">
        <f>IFERROR(__xludf.DUMMYFUNCTION("""COMPUTED_VALUE"""),0.0)</f>
        <v>0</v>
      </c>
      <c r="D2466" s="8"/>
    </row>
    <row r="2467">
      <c r="A2467" s="9" t="str">
        <f>IFERROR(__xludf.DUMMYFUNCTION("""COMPUTED_VALUE"""),"Batch 204")</f>
        <v>Batch 204</v>
      </c>
      <c r="B2467" s="9" t="str">
        <f>IFERROR(__xludf.DUMMYFUNCTION("""COMPUTED_VALUE"""),"SanjanaKC04")</f>
        <v>SanjanaKC04</v>
      </c>
      <c r="C2467" s="8">
        <f>IFERROR(__xludf.DUMMYFUNCTION("""COMPUTED_VALUE"""),0.0)</f>
        <v>0</v>
      </c>
      <c r="D2467" s="8"/>
    </row>
    <row r="2468">
      <c r="A2468" s="9" t="str">
        <f>IFERROR(__xludf.DUMMYFUNCTION("""COMPUTED_VALUE"""),"Batch 204")</f>
        <v>Batch 204</v>
      </c>
      <c r="B2468" s="9" t="str">
        <f>IFERROR(__xludf.DUMMYFUNCTION("""COMPUTED_VALUE"""),"DakshaC04")</f>
        <v>DakshaC04</v>
      </c>
      <c r="C2468" s="8">
        <f>IFERROR(__xludf.DUMMYFUNCTION("""COMPUTED_VALUE"""),0.0)</f>
        <v>0</v>
      </c>
      <c r="D2468" s="8"/>
    </row>
    <row r="2469">
      <c r="A2469" s="9" t="str">
        <f>IFERROR(__xludf.DUMMYFUNCTION("""COMPUTED_VALUE"""),"Batch 204")</f>
        <v>Batch 204</v>
      </c>
      <c r="B2469" s="9" t="str">
        <f>IFERROR(__xludf.DUMMYFUNCTION("""COMPUTED_VALUE"""),"SaraswatiC04")</f>
        <v>SaraswatiC04</v>
      </c>
      <c r="C2469" s="8">
        <f>IFERROR(__xludf.DUMMYFUNCTION("""COMPUTED_VALUE"""),0.0)</f>
        <v>0</v>
      </c>
      <c r="D2469" s="8"/>
    </row>
    <row r="2470">
      <c r="A2470" s="9" t="str">
        <f>IFERROR(__xludf.DUMMYFUNCTION("""COMPUTED_VALUE"""),"Batch 204")</f>
        <v>Batch 204</v>
      </c>
      <c r="B2470" s="9" t="str">
        <f>IFERROR(__xludf.DUMMYFUNCTION("""COMPUTED_VALUE"""),"ANTOC04")</f>
        <v>ANTOC04</v>
      </c>
      <c r="C2470" s="8">
        <f>IFERROR(__xludf.DUMMYFUNCTION("""COMPUTED_VALUE"""),0.0)</f>
        <v>0</v>
      </c>
      <c r="D2470" s="8"/>
    </row>
    <row r="2471">
      <c r="A2471" s="9" t="str">
        <f>IFERROR(__xludf.DUMMYFUNCTION("""COMPUTED_VALUE"""),"Batch 204")</f>
        <v>Batch 204</v>
      </c>
      <c r="B2471" s="9" t="str">
        <f>IFERROR(__xludf.DUMMYFUNCTION("""COMPUTED_VALUE"""),"KavyaAC04")</f>
        <v>KavyaAC04</v>
      </c>
      <c r="C2471" s="8">
        <f>IFERROR(__xludf.DUMMYFUNCTION("""COMPUTED_VALUE"""),0.0)</f>
        <v>0</v>
      </c>
      <c r="D2471" s="8"/>
    </row>
    <row r="2472">
      <c r="A2472" s="9" t="str">
        <f>IFERROR(__xludf.DUMMYFUNCTION("""COMPUTED_VALUE"""),"Batch 204")</f>
        <v>Batch 204</v>
      </c>
      <c r="B2472" s="9" t="str">
        <f>IFERROR(__xludf.DUMMYFUNCTION("""COMPUTED_VALUE"""),"RiyaC04")</f>
        <v>RiyaC04</v>
      </c>
      <c r="C2472" s="8">
        <f>IFERROR(__xludf.DUMMYFUNCTION("""COMPUTED_VALUE"""),0.0)</f>
        <v>0</v>
      </c>
      <c r="D2472" s="8"/>
    </row>
    <row r="2473">
      <c r="A2473" s="9" t="str">
        <f>IFERROR(__xludf.DUMMYFUNCTION("""COMPUTED_VALUE"""),"Batch 204")</f>
        <v>Batch 204</v>
      </c>
      <c r="B2473" s="9" t="str">
        <f>IFERROR(__xludf.DUMMYFUNCTION("""COMPUTED_VALUE"""),"AdityaPC04")</f>
        <v>AdityaPC04</v>
      </c>
      <c r="C2473" s="8">
        <f>IFERROR(__xludf.DUMMYFUNCTION("""COMPUTED_VALUE"""),0.0)</f>
        <v>0</v>
      </c>
      <c r="D2473" s="8"/>
    </row>
    <row r="2474">
      <c r="A2474" s="9" t="str">
        <f>IFERROR(__xludf.DUMMYFUNCTION("""COMPUTED_VALUE"""),"Batch 204")</f>
        <v>Batch 204</v>
      </c>
      <c r="B2474" s="9" t="str">
        <f>IFERROR(__xludf.DUMMYFUNCTION("""COMPUTED_VALUE"""),"PalakC04")</f>
        <v>PalakC04</v>
      </c>
      <c r="C2474" s="8">
        <f>IFERROR(__xludf.DUMMYFUNCTION("""COMPUTED_VALUE"""),0.0)</f>
        <v>0</v>
      </c>
      <c r="D2474" s="8"/>
    </row>
    <row r="2475">
      <c r="A2475" s="9" t="str">
        <f>IFERROR(__xludf.DUMMYFUNCTION("""COMPUTED_VALUE"""),"Batch 204")</f>
        <v>Batch 204</v>
      </c>
      <c r="B2475" s="9" t="str">
        <f>IFERROR(__xludf.DUMMYFUNCTION("""COMPUTED_VALUE"""),"SarakshiC04")</f>
        <v>SarakshiC04</v>
      </c>
      <c r="C2475" s="8">
        <f>IFERROR(__xludf.DUMMYFUNCTION("""COMPUTED_VALUE"""),0.0)</f>
        <v>0</v>
      </c>
      <c r="D2475" s="8"/>
    </row>
    <row r="2476">
      <c r="A2476" s="9" t="str">
        <f>IFERROR(__xludf.DUMMYFUNCTION("""COMPUTED_VALUE"""),"Batch 204")</f>
        <v>Batch 204</v>
      </c>
      <c r="B2476" s="9" t="str">
        <f>IFERROR(__xludf.DUMMYFUNCTION("""COMPUTED_VALUE"""),"YASHC04")</f>
        <v>YASHC04</v>
      </c>
      <c r="C2476" s="8">
        <f>IFERROR(__xludf.DUMMYFUNCTION("""COMPUTED_VALUE"""),0.0)</f>
        <v>0</v>
      </c>
      <c r="D2476" s="8"/>
    </row>
    <row r="2477">
      <c r="A2477" s="9" t="str">
        <f>IFERROR(__xludf.DUMMYFUNCTION("""COMPUTED_VALUE"""),"Batch 204")</f>
        <v>Batch 204</v>
      </c>
      <c r="B2477" s="9" t="str">
        <f>IFERROR(__xludf.DUMMYFUNCTION("""COMPUTED_VALUE"""),"InjamulC04")</f>
        <v>InjamulC04</v>
      </c>
      <c r="C2477" s="8">
        <f>IFERROR(__xludf.DUMMYFUNCTION("""COMPUTED_VALUE"""),0.0)</f>
        <v>0</v>
      </c>
      <c r="D2477" s="8"/>
    </row>
    <row r="2478">
      <c r="A2478" s="9" t="str">
        <f>IFERROR(__xludf.DUMMYFUNCTION("""COMPUTED_VALUE"""),"Batch 204")</f>
        <v>Batch 204</v>
      </c>
      <c r="B2478" s="9" t="str">
        <f>IFERROR(__xludf.DUMMYFUNCTION("""COMPUTED_VALUE"""),"KushalC04")</f>
        <v>KushalC04</v>
      </c>
      <c r="C2478" s="8">
        <f>IFERROR(__xludf.DUMMYFUNCTION("""COMPUTED_VALUE"""),0.0)</f>
        <v>0</v>
      </c>
      <c r="D2478" s="8"/>
    </row>
    <row r="2479">
      <c r="A2479" s="9" t="str">
        <f>IFERROR(__xludf.DUMMYFUNCTION("""COMPUTED_VALUE"""),"Batch 204")</f>
        <v>Batch 204</v>
      </c>
      <c r="B2479" s="9" t="str">
        <f>IFERROR(__xludf.DUMMYFUNCTION("""COMPUTED_VALUE"""),"AkshatC04")</f>
        <v>AkshatC04</v>
      </c>
      <c r="C2479" s="8">
        <f>IFERROR(__xludf.DUMMYFUNCTION("""COMPUTED_VALUE"""),0.0)</f>
        <v>0</v>
      </c>
      <c r="D2479" s="8"/>
    </row>
    <row r="2480">
      <c r="A2480" s="9" t="str">
        <f>IFERROR(__xludf.DUMMYFUNCTION("""COMPUTED_VALUE"""),"Batch 204")</f>
        <v>Batch 204</v>
      </c>
      <c r="B2480" s="9" t="str">
        <f>IFERROR(__xludf.DUMMYFUNCTION("""COMPUTED_VALUE"""),"NaazC04")</f>
        <v>NaazC04</v>
      </c>
      <c r="C2480" s="8">
        <f>IFERROR(__xludf.DUMMYFUNCTION("""COMPUTED_VALUE"""),7.0)</f>
        <v>7</v>
      </c>
      <c r="D2480" s="8">
        <f>IFERROR(__xludf.DUMMYFUNCTION("""COMPUTED_VALUE"""),2.0)</f>
        <v>2</v>
      </c>
    </row>
    <row r="2481">
      <c r="A2481" s="9" t="str">
        <f>IFERROR(__xludf.DUMMYFUNCTION("""COMPUTED_VALUE"""),"Batch 204")</f>
        <v>Batch 204</v>
      </c>
      <c r="B2481" s="9" t="str">
        <f>IFERROR(__xludf.DUMMYFUNCTION("""COMPUTED_VALUE"""),"NehaC04")</f>
        <v>NehaC04</v>
      </c>
      <c r="C2481" s="8">
        <f>IFERROR(__xludf.DUMMYFUNCTION("""COMPUTED_VALUE"""),0.0)</f>
        <v>0</v>
      </c>
      <c r="D2481" s="8"/>
    </row>
    <row r="2482">
      <c r="A2482" s="9" t="str">
        <f>IFERROR(__xludf.DUMMYFUNCTION("""COMPUTED_VALUE"""),"Batch 204")</f>
        <v>Batch 204</v>
      </c>
      <c r="B2482" s="9" t="str">
        <f>IFERROR(__xludf.DUMMYFUNCTION("""COMPUTED_VALUE"""),"ShubhiC04")</f>
        <v>ShubhiC04</v>
      </c>
      <c r="C2482" s="8">
        <f>IFERROR(__xludf.DUMMYFUNCTION("""COMPUTED_VALUE"""),0.0)</f>
        <v>0</v>
      </c>
      <c r="D2482" s="8"/>
    </row>
    <row r="2483">
      <c r="A2483" s="9" t="str">
        <f>IFERROR(__xludf.DUMMYFUNCTION("""COMPUTED_VALUE"""),"Batch 204")</f>
        <v>Batch 204</v>
      </c>
      <c r="B2483" s="9" t="str">
        <f>IFERROR(__xludf.DUMMYFUNCTION("""COMPUTED_VALUE"""),"KausikC04")</f>
        <v>KausikC04</v>
      </c>
      <c r="C2483" s="8">
        <f>IFERROR(__xludf.DUMMYFUNCTION("""COMPUTED_VALUE"""),0.0)</f>
        <v>0</v>
      </c>
      <c r="D2483" s="8"/>
    </row>
    <row r="2484">
      <c r="A2484" s="9" t="str">
        <f>IFERROR(__xludf.DUMMYFUNCTION("""COMPUTED_VALUE"""),"Batch 204")</f>
        <v>Batch 204</v>
      </c>
      <c r="B2484" s="9" t="str">
        <f>IFERROR(__xludf.DUMMYFUNCTION("""COMPUTED_VALUE"""),"SnehaC04")</f>
        <v>SnehaC04</v>
      </c>
      <c r="C2484" s="8">
        <f>IFERROR(__xludf.DUMMYFUNCTION("""COMPUTED_VALUE"""),0.0)</f>
        <v>0</v>
      </c>
      <c r="D2484" s="8"/>
    </row>
    <row r="2485">
      <c r="A2485" s="9" t="str">
        <f>IFERROR(__xludf.DUMMYFUNCTION("""COMPUTED_VALUE"""),"Batch 204")</f>
        <v>Batch 204</v>
      </c>
      <c r="B2485" s="9" t="str">
        <f>IFERROR(__xludf.DUMMYFUNCTION("""COMPUTED_VALUE"""),"AthiraC04")</f>
        <v>AthiraC04</v>
      </c>
      <c r="C2485" s="8">
        <f>IFERROR(__xludf.DUMMYFUNCTION("""COMPUTED_VALUE"""),0.0)</f>
        <v>0</v>
      </c>
      <c r="D2485" s="8"/>
    </row>
    <row r="2486">
      <c r="A2486" s="9" t="str">
        <f>IFERROR(__xludf.DUMMYFUNCTION("""COMPUTED_VALUE"""),"Batch 204")</f>
        <v>Batch 204</v>
      </c>
      <c r="B2486" s="9" t="str">
        <f>IFERROR(__xludf.DUMMYFUNCTION("""COMPUTED_VALUE"""),"KashishC04")</f>
        <v>KashishC04</v>
      </c>
      <c r="C2486" s="8">
        <f>IFERROR(__xludf.DUMMYFUNCTION("""COMPUTED_VALUE"""),0.0)</f>
        <v>0</v>
      </c>
      <c r="D2486" s="8"/>
    </row>
    <row r="2487">
      <c r="A2487" s="9" t="str">
        <f>IFERROR(__xludf.DUMMYFUNCTION("""COMPUTED_VALUE"""),"Batch 204")</f>
        <v>Batch 204</v>
      </c>
      <c r="B2487" s="9" t="str">
        <f>IFERROR(__xludf.DUMMYFUNCTION("""COMPUTED_VALUE"""),"AmeyC04")</f>
        <v>AmeyC04</v>
      </c>
      <c r="C2487" s="8">
        <f>IFERROR(__xludf.DUMMYFUNCTION("""COMPUTED_VALUE"""),50.0)</f>
        <v>50</v>
      </c>
      <c r="D2487" s="8">
        <f>IFERROR(__xludf.DUMMYFUNCTION("""COMPUTED_VALUE"""),9.0)</f>
        <v>9</v>
      </c>
    </row>
    <row r="2488">
      <c r="A2488" s="9" t="str">
        <f>IFERROR(__xludf.DUMMYFUNCTION("""COMPUTED_VALUE"""),"Batch 204")</f>
        <v>Batch 204</v>
      </c>
      <c r="B2488" s="9" t="str">
        <f>IFERROR(__xludf.DUMMYFUNCTION("""COMPUTED_VALUE"""),"ShatabdiC04")</f>
        <v>ShatabdiC04</v>
      </c>
      <c r="C2488" s="8">
        <f>IFERROR(__xludf.DUMMYFUNCTION("""COMPUTED_VALUE"""),0.0)</f>
        <v>0</v>
      </c>
      <c r="D2488" s="8"/>
    </row>
    <row r="2489">
      <c r="A2489" s="9" t="str">
        <f>IFERROR(__xludf.DUMMYFUNCTION("""COMPUTED_VALUE"""),"Batch 204")</f>
        <v>Batch 204</v>
      </c>
      <c r="B2489" s="9" t="str">
        <f>IFERROR(__xludf.DUMMYFUNCTION("""COMPUTED_VALUE"""),"AnushiyaC04")</f>
        <v>AnushiyaC04</v>
      </c>
      <c r="C2489" s="8">
        <f>IFERROR(__xludf.DUMMYFUNCTION("""COMPUTED_VALUE"""),0.0)</f>
        <v>0</v>
      </c>
      <c r="D2489" s="8"/>
    </row>
    <row r="2490">
      <c r="A2490" s="9"/>
      <c r="B2490" s="9"/>
      <c r="C2490" s="8">
        <f>IFERROR(__xludf.DUMMYFUNCTION("""COMPUTED_VALUE"""),0.0)</f>
        <v>0</v>
      </c>
      <c r="D2490" s="8"/>
    </row>
    <row r="2491">
      <c r="A2491" s="9" t="str">
        <f>IFERROR(__xludf.DUMMYFUNCTION("""COMPUTED_VALUE"""),"Batch 205")</f>
        <v>Batch 205</v>
      </c>
      <c r="B2491" s="9" t="str">
        <f>IFERROR(__xludf.DUMMYFUNCTION("""COMPUTED_VALUE"""),"ShiblyC05")</f>
        <v>ShiblyC05</v>
      </c>
      <c r="C2491" s="8">
        <f>IFERROR(__xludf.DUMMYFUNCTION("""COMPUTED_VALUE"""),0.0)</f>
        <v>0</v>
      </c>
      <c r="D2491" s="8"/>
    </row>
    <row r="2492">
      <c r="A2492" s="9" t="str">
        <f>IFERROR(__xludf.DUMMYFUNCTION("""COMPUTED_VALUE"""),"Batch 205")</f>
        <v>Batch 205</v>
      </c>
      <c r="B2492" s="9" t="str">
        <f>IFERROR(__xludf.DUMMYFUNCTION("""COMPUTED_VALUE"""),"JaiC05")</f>
        <v>JaiC05</v>
      </c>
      <c r="C2492" s="8">
        <f>IFERROR(__xludf.DUMMYFUNCTION("""COMPUTED_VALUE"""),0.0)</f>
        <v>0</v>
      </c>
      <c r="D2492" s="8"/>
    </row>
    <row r="2493">
      <c r="A2493" s="9" t="str">
        <f>IFERROR(__xludf.DUMMYFUNCTION("""COMPUTED_VALUE"""),"Batch 205")</f>
        <v>Batch 205</v>
      </c>
      <c r="B2493" s="9" t="str">
        <f>IFERROR(__xludf.DUMMYFUNCTION("""COMPUTED_VALUE"""),"PrajjwalC05")</f>
        <v>PrajjwalC05</v>
      </c>
      <c r="C2493" s="8">
        <f>IFERROR(__xludf.DUMMYFUNCTION("""COMPUTED_VALUE"""),0.0)</f>
        <v>0</v>
      </c>
      <c r="D2493" s="8"/>
    </row>
    <row r="2494">
      <c r="A2494" s="9" t="str">
        <f>IFERROR(__xludf.DUMMYFUNCTION("""COMPUTED_VALUE"""),"Batch 205")</f>
        <v>Batch 205</v>
      </c>
      <c r="B2494" s="9" t="str">
        <f>IFERROR(__xludf.DUMMYFUNCTION("""COMPUTED_VALUE"""),"PradeepC05")</f>
        <v>PradeepC05</v>
      </c>
      <c r="C2494" s="8">
        <f>IFERROR(__xludf.DUMMYFUNCTION("""COMPUTED_VALUE"""),0.0)</f>
        <v>0</v>
      </c>
      <c r="D2494" s="8"/>
    </row>
    <row r="2495">
      <c r="A2495" s="9" t="str">
        <f>IFERROR(__xludf.DUMMYFUNCTION("""COMPUTED_VALUE"""),"Batch 205")</f>
        <v>Batch 205</v>
      </c>
      <c r="B2495" s="9" t="str">
        <f>IFERROR(__xludf.DUMMYFUNCTION("""COMPUTED_VALUE"""),"PankajKC05")</f>
        <v>PankajKC05</v>
      </c>
      <c r="C2495" s="8">
        <f>IFERROR(__xludf.DUMMYFUNCTION("""COMPUTED_VALUE"""),0.0)</f>
        <v>0</v>
      </c>
      <c r="D2495" s="8"/>
    </row>
    <row r="2496">
      <c r="A2496" s="9" t="str">
        <f>IFERROR(__xludf.DUMMYFUNCTION("""COMPUTED_VALUE"""),"Batch 205")</f>
        <v>Batch 205</v>
      </c>
      <c r="B2496" s="9" t="str">
        <f>IFERROR(__xludf.DUMMYFUNCTION("""COMPUTED_VALUE"""),"AparupC05")</f>
        <v>AparupC05</v>
      </c>
      <c r="C2496" s="8">
        <f>IFERROR(__xludf.DUMMYFUNCTION("""COMPUTED_VALUE"""),0.0)</f>
        <v>0</v>
      </c>
      <c r="D2496" s="8"/>
    </row>
    <row r="2497">
      <c r="A2497" s="9" t="str">
        <f>IFERROR(__xludf.DUMMYFUNCTION("""COMPUTED_VALUE"""),"Batch 205")</f>
        <v>Batch 205</v>
      </c>
      <c r="B2497" s="9" t="str">
        <f>IFERROR(__xludf.DUMMYFUNCTION("""COMPUTED_VALUE"""),"ShashwatC05")</f>
        <v>ShashwatC05</v>
      </c>
      <c r="C2497" s="8">
        <f>IFERROR(__xludf.DUMMYFUNCTION("""COMPUTED_VALUE"""),0.0)</f>
        <v>0</v>
      </c>
      <c r="D2497" s="8"/>
    </row>
    <row r="2498">
      <c r="A2498" s="9" t="str">
        <f>IFERROR(__xludf.DUMMYFUNCTION("""COMPUTED_VALUE"""),"Batch 205")</f>
        <v>Batch 205</v>
      </c>
      <c r="B2498" s="9" t="str">
        <f>IFERROR(__xludf.DUMMYFUNCTION("""COMPUTED_VALUE"""),"PriyanshiC05")</f>
        <v>PriyanshiC05</v>
      </c>
      <c r="C2498" s="8">
        <f>IFERROR(__xludf.DUMMYFUNCTION("""COMPUTED_VALUE"""),0.0)</f>
        <v>0</v>
      </c>
      <c r="D2498" s="8"/>
    </row>
    <row r="2499">
      <c r="A2499" s="9" t="str">
        <f>IFERROR(__xludf.DUMMYFUNCTION("""COMPUTED_VALUE"""),"Batch 205")</f>
        <v>Batch 205</v>
      </c>
      <c r="B2499" s="9" t="str">
        <f>IFERROR(__xludf.DUMMYFUNCTION("""COMPUTED_VALUE"""),"NavedC05")</f>
        <v>NavedC05</v>
      </c>
      <c r="C2499" s="8">
        <f>IFERROR(__xludf.DUMMYFUNCTION("""COMPUTED_VALUE"""),3.0)</f>
        <v>3</v>
      </c>
      <c r="D2499" s="8"/>
    </row>
    <row r="2500">
      <c r="A2500" s="9" t="str">
        <f>IFERROR(__xludf.DUMMYFUNCTION("""COMPUTED_VALUE"""),"Batch 205")</f>
        <v>Batch 205</v>
      </c>
      <c r="B2500" s="9" t="str">
        <f>IFERROR(__xludf.DUMMYFUNCTION("""COMPUTED_VALUE"""),"SwatiC05")</f>
        <v>SwatiC05</v>
      </c>
      <c r="C2500" s="8">
        <f>IFERROR(__xludf.DUMMYFUNCTION("""COMPUTED_VALUE"""),0.0)</f>
        <v>0</v>
      </c>
      <c r="D2500" s="8"/>
    </row>
    <row r="2501">
      <c r="A2501" s="9" t="str">
        <f>IFERROR(__xludf.DUMMYFUNCTION("""COMPUTED_VALUE"""),"Batch 205")</f>
        <v>Batch 205</v>
      </c>
      <c r="B2501" s="9" t="str">
        <f>IFERROR(__xludf.DUMMYFUNCTION("""COMPUTED_VALUE"""),"AmanC05")</f>
        <v>AmanC05</v>
      </c>
      <c r="C2501" s="8">
        <f>IFERROR(__xludf.DUMMYFUNCTION("""COMPUTED_VALUE"""),0.0)</f>
        <v>0</v>
      </c>
      <c r="D2501" s="8"/>
    </row>
    <row r="2502">
      <c r="A2502" s="9" t="str">
        <f>IFERROR(__xludf.DUMMYFUNCTION("""COMPUTED_VALUE"""),"Batch 205")</f>
        <v>Batch 205</v>
      </c>
      <c r="B2502" s="9" t="str">
        <f>IFERROR(__xludf.DUMMYFUNCTION("""COMPUTED_VALUE"""),"JunaidC05")</f>
        <v>JunaidC05</v>
      </c>
      <c r="C2502" s="8">
        <f>IFERROR(__xludf.DUMMYFUNCTION("""COMPUTED_VALUE"""),0.0)</f>
        <v>0</v>
      </c>
      <c r="D2502" s="8"/>
    </row>
    <row r="2503">
      <c r="A2503" s="9" t="str">
        <f>IFERROR(__xludf.DUMMYFUNCTION("""COMPUTED_VALUE"""),"Batch 205")</f>
        <v>Batch 205</v>
      </c>
      <c r="B2503" s="9" t="str">
        <f>IFERROR(__xludf.DUMMYFUNCTION("""COMPUTED_VALUE"""),"SimonC05")</f>
        <v>SimonC05</v>
      </c>
      <c r="C2503" s="8">
        <f>IFERROR(__xludf.DUMMYFUNCTION("""COMPUTED_VALUE"""),0.0)</f>
        <v>0</v>
      </c>
      <c r="D2503" s="8"/>
    </row>
    <row r="2504">
      <c r="A2504" s="9" t="str">
        <f>IFERROR(__xludf.DUMMYFUNCTION("""COMPUTED_VALUE"""),"Batch 205")</f>
        <v>Batch 205</v>
      </c>
      <c r="B2504" s="9" t="str">
        <f>IFERROR(__xludf.DUMMYFUNCTION("""COMPUTED_VALUE"""),"JagatDC05")</f>
        <v>JagatDC05</v>
      </c>
      <c r="C2504" s="8">
        <f>IFERROR(__xludf.DUMMYFUNCTION("""COMPUTED_VALUE"""),0.0)</f>
        <v>0</v>
      </c>
      <c r="D2504" s="8"/>
    </row>
    <row r="2505">
      <c r="A2505" s="9" t="str">
        <f>IFERROR(__xludf.DUMMYFUNCTION("""COMPUTED_VALUE"""),"Batch 205")</f>
        <v>Batch 205</v>
      </c>
      <c r="B2505" s="9" t="str">
        <f>IFERROR(__xludf.DUMMYFUNCTION("""COMPUTED_VALUE"""),"KhushiC05")</f>
        <v>KhushiC05</v>
      </c>
      <c r="C2505" s="8">
        <f>IFERROR(__xludf.DUMMYFUNCTION("""COMPUTED_VALUE"""),14.0)</f>
        <v>14</v>
      </c>
      <c r="D2505" s="8">
        <f>IFERROR(__xludf.DUMMYFUNCTION("""COMPUTED_VALUE"""),19.0)</f>
        <v>19</v>
      </c>
    </row>
    <row r="2506">
      <c r="A2506" s="9" t="str">
        <f>IFERROR(__xludf.DUMMYFUNCTION("""COMPUTED_VALUE"""),"Batch 205")</f>
        <v>Batch 205</v>
      </c>
      <c r="B2506" s="9" t="str">
        <f>IFERROR(__xludf.DUMMYFUNCTION("""COMPUTED_VALUE"""),"AlkaC05")</f>
        <v>AlkaC05</v>
      </c>
      <c r="C2506" s="8">
        <f>IFERROR(__xludf.DUMMYFUNCTION("""COMPUTED_VALUE"""),7.0)</f>
        <v>7</v>
      </c>
      <c r="D2506" s="8">
        <f>IFERROR(__xludf.DUMMYFUNCTION("""COMPUTED_VALUE"""),3.0)</f>
        <v>3</v>
      </c>
    </row>
    <row r="2507">
      <c r="A2507" s="9" t="str">
        <f>IFERROR(__xludf.DUMMYFUNCTION("""COMPUTED_VALUE"""),"Batch 205")</f>
        <v>Batch 205</v>
      </c>
      <c r="B2507" s="9" t="str">
        <f>IFERROR(__xludf.DUMMYFUNCTION("""COMPUTED_VALUE"""),"BhumikaC05")</f>
        <v>BhumikaC05</v>
      </c>
      <c r="C2507" s="8">
        <f>IFERROR(__xludf.DUMMYFUNCTION("""COMPUTED_VALUE"""),0.0)</f>
        <v>0</v>
      </c>
      <c r="D2507" s="8"/>
    </row>
    <row r="2508">
      <c r="A2508" s="9" t="str">
        <f>IFERROR(__xludf.DUMMYFUNCTION("""COMPUTED_VALUE"""),"Batch 205")</f>
        <v>Batch 205</v>
      </c>
      <c r="B2508" s="9" t="str">
        <f>IFERROR(__xludf.DUMMYFUNCTION("""COMPUTED_VALUE"""),"JyotirmayC05")</f>
        <v>JyotirmayC05</v>
      </c>
      <c r="C2508" s="8">
        <f>IFERROR(__xludf.DUMMYFUNCTION("""COMPUTED_VALUE"""),0.0)</f>
        <v>0</v>
      </c>
      <c r="D2508" s="8"/>
    </row>
    <row r="2509">
      <c r="A2509" s="9" t="str">
        <f>IFERROR(__xludf.DUMMYFUNCTION("""COMPUTED_VALUE"""),"Batch 205")</f>
        <v>Batch 205</v>
      </c>
      <c r="B2509" s="9" t="str">
        <f>IFERROR(__xludf.DUMMYFUNCTION("""COMPUTED_VALUE"""),"RupkathaC05")</f>
        <v>RupkathaC05</v>
      </c>
      <c r="C2509" s="8">
        <f>IFERROR(__xludf.DUMMYFUNCTION("""COMPUTED_VALUE"""),0.0)</f>
        <v>0</v>
      </c>
      <c r="D2509" s="8"/>
    </row>
    <row r="2510">
      <c r="A2510" s="9" t="str">
        <f>IFERROR(__xludf.DUMMYFUNCTION("""COMPUTED_VALUE"""),"Batch 205")</f>
        <v>Batch 205</v>
      </c>
      <c r="B2510" s="9" t="str">
        <f>IFERROR(__xludf.DUMMYFUNCTION("""COMPUTED_VALUE"""),"MahakC05")</f>
        <v>MahakC05</v>
      </c>
      <c r="C2510" s="8">
        <f>IFERROR(__xludf.DUMMYFUNCTION("""COMPUTED_VALUE"""),2.0)</f>
        <v>2</v>
      </c>
      <c r="D2510" s="8"/>
    </row>
    <row r="2511">
      <c r="A2511" s="9" t="str">
        <f>IFERROR(__xludf.DUMMYFUNCTION("""COMPUTED_VALUE"""),"Batch 205")</f>
        <v>Batch 205</v>
      </c>
      <c r="B2511" s="9" t="str">
        <f>IFERROR(__xludf.DUMMYFUNCTION("""COMPUTED_VALUE"""),"KhushiDC05")</f>
        <v>KhushiDC05</v>
      </c>
      <c r="C2511" s="8">
        <f>IFERROR(__xludf.DUMMYFUNCTION("""COMPUTED_VALUE"""),0.0)</f>
        <v>0</v>
      </c>
      <c r="D2511" s="8"/>
    </row>
    <row r="2512">
      <c r="A2512" s="9" t="str">
        <f>IFERROR(__xludf.DUMMYFUNCTION("""COMPUTED_VALUE"""),"Batch 205")</f>
        <v>Batch 205</v>
      </c>
      <c r="B2512" s="9" t="str">
        <f>IFERROR(__xludf.DUMMYFUNCTION("""COMPUTED_VALUE"""),"AryanC05")</f>
        <v>AryanC05</v>
      </c>
      <c r="C2512" s="8">
        <f>IFERROR(__xludf.DUMMYFUNCTION("""COMPUTED_VALUE"""),0.0)</f>
        <v>0</v>
      </c>
      <c r="D2512" s="8"/>
    </row>
    <row r="2513">
      <c r="A2513" s="9" t="str">
        <f>IFERROR(__xludf.DUMMYFUNCTION("""COMPUTED_VALUE"""),"Batch 205")</f>
        <v>Batch 205</v>
      </c>
      <c r="B2513" s="9" t="str">
        <f>IFERROR(__xludf.DUMMYFUNCTION("""COMPUTED_VALUE"""),"AddankiC05")</f>
        <v>AddankiC05</v>
      </c>
      <c r="C2513" s="8">
        <f>IFERROR(__xludf.DUMMYFUNCTION("""COMPUTED_VALUE"""),0.0)</f>
        <v>0</v>
      </c>
      <c r="D2513" s="8"/>
    </row>
    <row r="2514">
      <c r="A2514" s="9" t="str">
        <f>IFERROR(__xludf.DUMMYFUNCTION("""COMPUTED_VALUE"""),"Batch 205")</f>
        <v>Batch 205</v>
      </c>
      <c r="B2514" s="9" t="str">
        <f>IFERROR(__xludf.DUMMYFUNCTION("""COMPUTED_VALUE"""),"RachitC05")</f>
        <v>RachitC05</v>
      </c>
      <c r="C2514" s="8">
        <f>IFERROR(__xludf.DUMMYFUNCTION("""COMPUTED_VALUE"""),0.0)</f>
        <v>0</v>
      </c>
      <c r="D2514" s="8"/>
    </row>
    <row r="2515">
      <c r="A2515" s="9" t="str">
        <f>IFERROR(__xludf.DUMMYFUNCTION("""COMPUTED_VALUE"""),"Batch 205")</f>
        <v>Batch 205</v>
      </c>
      <c r="B2515" s="9" t="str">
        <f>IFERROR(__xludf.DUMMYFUNCTION("""COMPUTED_VALUE"""),"PriyankaC05")</f>
        <v>PriyankaC05</v>
      </c>
      <c r="C2515" s="8">
        <f>IFERROR(__xludf.DUMMYFUNCTION("""COMPUTED_VALUE"""),0.0)</f>
        <v>0</v>
      </c>
      <c r="D2515" s="8"/>
    </row>
    <row r="2516">
      <c r="A2516" s="9" t="str">
        <f>IFERROR(__xludf.DUMMYFUNCTION("""COMPUTED_VALUE"""),"Batch 205")</f>
        <v>Batch 205</v>
      </c>
      <c r="B2516" s="9" t="str">
        <f>IFERROR(__xludf.DUMMYFUNCTION("""COMPUTED_VALUE"""),"BavashreeC05")</f>
        <v>BavashreeC05</v>
      </c>
      <c r="C2516" s="8">
        <f>IFERROR(__xludf.DUMMYFUNCTION("""COMPUTED_VALUE"""),0.0)</f>
        <v>0</v>
      </c>
      <c r="D2516" s="8"/>
    </row>
    <row r="2517">
      <c r="A2517" s="9" t="str">
        <f>IFERROR(__xludf.DUMMYFUNCTION("""COMPUTED_VALUE"""),"Batch 205")</f>
        <v>Batch 205</v>
      </c>
      <c r="B2517" s="9" t="str">
        <f>IFERROR(__xludf.DUMMYFUNCTION("""COMPUTED_VALUE"""),"KaushalC05")</f>
        <v>KaushalC05</v>
      </c>
      <c r="C2517" s="8">
        <f>IFERROR(__xludf.DUMMYFUNCTION("""COMPUTED_VALUE"""),0.0)</f>
        <v>0</v>
      </c>
      <c r="D2517" s="8"/>
    </row>
    <row r="2518">
      <c r="A2518" s="9" t="str">
        <f>IFERROR(__xludf.DUMMYFUNCTION("""COMPUTED_VALUE"""),"Batch 205")</f>
        <v>Batch 205</v>
      </c>
      <c r="B2518" s="9" t="str">
        <f>IFERROR(__xludf.DUMMYFUNCTION("""COMPUTED_VALUE"""),"AlokC05")</f>
        <v>AlokC05</v>
      </c>
      <c r="C2518" s="8">
        <f>IFERROR(__xludf.DUMMYFUNCTION("""COMPUTED_VALUE"""),0.0)</f>
        <v>0</v>
      </c>
      <c r="D2518" s="8"/>
    </row>
    <row r="2519">
      <c r="A2519" s="9" t="str">
        <f>IFERROR(__xludf.DUMMYFUNCTION("""COMPUTED_VALUE"""),"Batch 205")</f>
        <v>Batch 205</v>
      </c>
      <c r="B2519" s="9" t="str">
        <f>IFERROR(__xludf.DUMMYFUNCTION("""COMPUTED_VALUE"""),"nishiC05")</f>
        <v>nishiC05</v>
      </c>
      <c r="C2519" s="8">
        <f>IFERROR(__xludf.DUMMYFUNCTION("""COMPUTED_VALUE"""),5.0)</f>
        <v>5</v>
      </c>
      <c r="D2519" s="8">
        <f>IFERROR(__xludf.DUMMYFUNCTION("""COMPUTED_VALUE"""),6.0)</f>
        <v>6</v>
      </c>
    </row>
    <row r="2520">
      <c r="A2520" s="9" t="str">
        <f>IFERROR(__xludf.DUMMYFUNCTION("""COMPUTED_VALUE"""),"Batch 205")</f>
        <v>Batch 205</v>
      </c>
      <c r="B2520" s="9" t="str">
        <f>IFERROR(__xludf.DUMMYFUNCTION("""COMPUTED_VALUE"""),"PrajvalC05")</f>
        <v>PrajvalC05</v>
      </c>
      <c r="C2520" s="8">
        <f>IFERROR(__xludf.DUMMYFUNCTION("""COMPUTED_VALUE"""),0.0)</f>
        <v>0</v>
      </c>
      <c r="D2520" s="8"/>
    </row>
    <row r="2521">
      <c r="A2521" s="9" t="str">
        <f>IFERROR(__xludf.DUMMYFUNCTION("""COMPUTED_VALUE"""),"Batch 205")</f>
        <v>Batch 205</v>
      </c>
      <c r="B2521" s="9" t="str">
        <f>IFERROR(__xludf.DUMMYFUNCTION("""COMPUTED_VALUE"""),"PradyumnaC05")</f>
        <v>PradyumnaC05</v>
      </c>
      <c r="C2521" s="8">
        <f>IFERROR(__xludf.DUMMYFUNCTION("""COMPUTED_VALUE"""),0.0)</f>
        <v>0</v>
      </c>
      <c r="D2521" s="8"/>
    </row>
    <row r="2522">
      <c r="A2522" s="9" t="str">
        <f>IFERROR(__xludf.DUMMYFUNCTION("""COMPUTED_VALUE"""),"Batch 205")</f>
        <v>Batch 205</v>
      </c>
      <c r="B2522" s="9" t="str">
        <f>IFERROR(__xludf.DUMMYFUNCTION("""COMPUTED_VALUE"""),"AyushKC05")</f>
        <v>AyushKC05</v>
      </c>
      <c r="C2522" s="8">
        <f>IFERROR(__xludf.DUMMYFUNCTION("""COMPUTED_VALUE"""),0.0)</f>
        <v>0</v>
      </c>
      <c r="D2522" s="8"/>
    </row>
    <row r="2523">
      <c r="A2523" s="9" t="str">
        <f>IFERROR(__xludf.DUMMYFUNCTION("""COMPUTED_VALUE"""),"Batch 205")</f>
        <v>Batch 205</v>
      </c>
      <c r="B2523" s="9" t="str">
        <f>IFERROR(__xludf.DUMMYFUNCTION("""COMPUTED_VALUE"""),"BhargaviC05")</f>
        <v>BhargaviC05</v>
      </c>
      <c r="C2523" s="8">
        <f>IFERROR(__xludf.DUMMYFUNCTION("""COMPUTED_VALUE"""),0.0)</f>
        <v>0</v>
      </c>
      <c r="D2523" s="8"/>
    </row>
    <row r="2524">
      <c r="A2524" s="9" t="str">
        <f>IFERROR(__xludf.DUMMYFUNCTION("""COMPUTED_VALUE"""),"Batch 205")</f>
        <v>Batch 205</v>
      </c>
      <c r="B2524" s="9" t="str">
        <f>IFERROR(__xludf.DUMMYFUNCTION("""COMPUTED_VALUE"""),"AshrayC05")</f>
        <v>AshrayC05</v>
      </c>
      <c r="C2524" s="8">
        <f>IFERROR(__xludf.DUMMYFUNCTION("""COMPUTED_VALUE"""),0.0)</f>
        <v>0</v>
      </c>
      <c r="D2524" s="8"/>
    </row>
    <row r="2525">
      <c r="A2525" s="9" t="str">
        <f>IFERROR(__xludf.DUMMYFUNCTION("""COMPUTED_VALUE"""),"Batch 205")</f>
        <v>Batch 205</v>
      </c>
      <c r="B2525" s="9" t="str">
        <f>IFERROR(__xludf.DUMMYFUNCTION("""COMPUTED_VALUE"""),"VidhiC05")</f>
        <v>VidhiC05</v>
      </c>
      <c r="C2525" s="8">
        <f>IFERROR(__xludf.DUMMYFUNCTION("""COMPUTED_VALUE"""),0.0)</f>
        <v>0</v>
      </c>
      <c r="D2525" s="8"/>
    </row>
    <row r="2526">
      <c r="A2526" s="9" t="str">
        <f>IFERROR(__xludf.DUMMYFUNCTION("""COMPUTED_VALUE"""),"Batch 205")</f>
        <v>Batch 205</v>
      </c>
      <c r="B2526" s="9" t="str">
        <f>IFERROR(__xludf.DUMMYFUNCTION("""COMPUTED_VALUE"""),"HirangkaC05")</f>
        <v>HirangkaC05</v>
      </c>
      <c r="C2526" s="8">
        <f>IFERROR(__xludf.DUMMYFUNCTION("""COMPUTED_VALUE"""),3.0)</f>
        <v>3</v>
      </c>
      <c r="D2526" s="8">
        <f>IFERROR(__xludf.DUMMYFUNCTION("""COMPUTED_VALUE"""),1.0)</f>
        <v>1</v>
      </c>
    </row>
    <row r="2527">
      <c r="A2527" s="9" t="str">
        <f>IFERROR(__xludf.DUMMYFUNCTION("""COMPUTED_VALUE"""),"Batch 205")</f>
        <v>Batch 205</v>
      </c>
      <c r="B2527" s="9" t="str">
        <f>IFERROR(__xludf.DUMMYFUNCTION("""COMPUTED_VALUE"""),"KhushiSC05")</f>
        <v>KhushiSC05</v>
      </c>
      <c r="C2527" s="8">
        <f>IFERROR(__xludf.DUMMYFUNCTION("""COMPUTED_VALUE"""),0.0)</f>
        <v>0</v>
      </c>
      <c r="D2527" s="8">
        <f>IFERROR(__xludf.DUMMYFUNCTION("""COMPUTED_VALUE"""),1.0)</f>
        <v>1</v>
      </c>
    </row>
    <row r="2528">
      <c r="A2528" s="9" t="str">
        <f>IFERROR(__xludf.DUMMYFUNCTION("""COMPUTED_VALUE"""),"Batch 205")</f>
        <v>Batch 205</v>
      </c>
      <c r="B2528" s="9" t="str">
        <f>IFERROR(__xludf.DUMMYFUNCTION("""COMPUTED_VALUE"""),"GautamC05")</f>
        <v>GautamC05</v>
      </c>
      <c r="C2528" s="8">
        <f>IFERROR(__xludf.DUMMYFUNCTION("""COMPUTED_VALUE"""),0.0)</f>
        <v>0</v>
      </c>
      <c r="D2528" s="8"/>
    </row>
    <row r="2529">
      <c r="A2529" s="9" t="str">
        <f>IFERROR(__xludf.DUMMYFUNCTION("""COMPUTED_VALUE"""),"Batch 205")</f>
        <v>Batch 205</v>
      </c>
      <c r="B2529" s="9" t="str">
        <f>IFERROR(__xludf.DUMMYFUNCTION("""COMPUTED_VALUE"""),"ShrutiC05")</f>
        <v>ShrutiC05</v>
      </c>
      <c r="C2529" s="8">
        <f>IFERROR(__xludf.DUMMYFUNCTION("""COMPUTED_VALUE"""),0.0)</f>
        <v>0</v>
      </c>
      <c r="D2529" s="8"/>
    </row>
    <row r="2530">
      <c r="A2530" s="9" t="str">
        <f>IFERROR(__xludf.DUMMYFUNCTION("""COMPUTED_VALUE"""),"Batch 205")</f>
        <v>Batch 205</v>
      </c>
      <c r="B2530" s="9" t="str">
        <f>IFERROR(__xludf.DUMMYFUNCTION("""COMPUTED_VALUE"""),"NalleC05")</f>
        <v>NalleC05</v>
      </c>
      <c r="C2530" s="8">
        <f>IFERROR(__xludf.DUMMYFUNCTION("""COMPUTED_VALUE"""),0.0)</f>
        <v>0</v>
      </c>
      <c r="D2530" s="8"/>
    </row>
    <row r="2531">
      <c r="A2531" s="9" t="str">
        <f>IFERROR(__xludf.DUMMYFUNCTION("""COMPUTED_VALUE"""),"Batch 205")</f>
        <v>Batch 205</v>
      </c>
      <c r="B2531" s="9" t="str">
        <f>IFERROR(__xludf.DUMMYFUNCTION("""COMPUTED_VALUE"""),"SayarC05")</f>
        <v>SayarC05</v>
      </c>
      <c r="C2531" s="8">
        <f>IFERROR(__xludf.DUMMYFUNCTION("""COMPUTED_VALUE"""),2.0)</f>
        <v>2</v>
      </c>
      <c r="D2531" s="8">
        <f>IFERROR(__xludf.DUMMYFUNCTION("""COMPUTED_VALUE"""),2.0)</f>
        <v>2</v>
      </c>
    </row>
    <row r="2532">
      <c r="A2532" s="9"/>
      <c r="B2532" s="9"/>
      <c r="C2532" s="8">
        <f>IFERROR(__xludf.DUMMYFUNCTION("""COMPUTED_VALUE"""),0.0)</f>
        <v>0</v>
      </c>
      <c r="D2532" s="8"/>
    </row>
    <row r="2533">
      <c r="A2533" s="9" t="str">
        <f>IFERROR(__xludf.DUMMYFUNCTION("""COMPUTED_VALUE"""),"Batch 206")</f>
        <v>Batch 206</v>
      </c>
      <c r="B2533" s="9" t="str">
        <f>IFERROR(__xludf.DUMMYFUNCTION("""COMPUTED_VALUE"""),"AnshC06")</f>
        <v>AnshC06</v>
      </c>
      <c r="C2533" s="8">
        <f>IFERROR(__xludf.DUMMYFUNCTION("""COMPUTED_VALUE"""),5.0)</f>
        <v>5</v>
      </c>
      <c r="D2533" s="8"/>
    </row>
    <row r="2534">
      <c r="A2534" s="9" t="str">
        <f>IFERROR(__xludf.DUMMYFUNCTION("""COMPUTED_VALUE"""),"Batch 206")</f>
        <v>Batch 206</v>
      </c>
      <c r="B2534" s="9" t="str">
        <f>IFERROR(__xludf.DUMMYFUNCTION("""COMPUTED_VALUE"""),"AshokC06")</f>
        <v>AshokC06</v>
      </c>
      <c r="C2534" s="8">
        <f>IFERROR(__xludf.DUMMYFUNCTION("""COMPUTED_VALUE"""),0.0)</f>
        <v>0</v>
      </c>
      <c r="D2534" s="8"/>
    </row>
    <row r="2535">
      <c r="A2535" s="9" t="str">
        <f>IFERROR(__xludf.DUMMYFUNCTION("""COMPUTED_VALUE"""),"Batch 206")</f>
        <v>Batch 206</v>
      </c>
      <c r="B2535" s="9" t="str">
        <f>IFERROR(__xludf.DUMMYFUNCTION("""COMPUTED_VALUE"""),"SanyaC06")</f>
        <v>SanyaC06</v>
      </c>
      <c r="C2535" s="8">
        <f>IFERROR(__xludf.DUMMYFUNCTION("""COMPUTED_VALUE"""),0.0)</f>
        <v>0</v>
      </c>
      <c r="D2535" s="8"/>
    </row>
    <row r="2536">
      <c r="A2536" s="9" t="str">
        <f>IFERROR(__xludf.DUMMYFUNCTION("""COMPUTED_VALUE"""),"Batch 206")</f>
        <v>Batch 206</v>
      </c>
      <c r="B2536" s="9" t="str">
        <f>IFERROR(__xludf.DUMMYFUNCTION("""COMPUTED_VALUE"""),"ShaikC06")</f>
        <v>ShaikC06</v>
      </c>
      <c r="C2536" s="8">
        <f>IFERROR(__xludf.DUMMYFUNCTION("""COMPUTED_VALUE"""),0.0)</f>
        <v>0</v>
      </c>
      <c r="D2536" s="8"/>
    </row>
    <row r="2537">
      <c r="A2537" s="9" t="str">
        <f>IFERROR(__xludf.DUMMYFUNCTION("""COMPUTED_VALUE"""),"Batch 206")</f>
        <v>Batch 206</v>
      </c>
      <c r="B2537" s="9" t="str">
        <f>IFERROR(__xludf.DUMMYFUNCTION("""COMPUTED_VALUE"""),"ElishaC06")</f>
        <v>ElishaC06</v>
      </c>
      <c r="C2537" s="8">
        <f>IFERROR(__xludf.DUMMYFUNCTION("""COMPUTED_VALUE"""),0.0)</f>
        <v>0</v>
      </c>
      <c r="D2537" s="8"/>
    </row>
    <row r="2538">
      <c r="A2538" s="9" t="str">
        <f>IFERROR(__xludf.DUMMYFUNCTION("""COMPUTED_VALUE"""),"Batch 206")</f>
        <v>Batch 206</v>
      </c>
      <c r="B2538" s="9" t="str">
        <f>IFERROR(__xludf.DUMMYFUNCTION("""COMPUTED_VALUE"""),"NidhiC06")</f>
        <v>NidhiC06</v>
      </c>
      <c r="C2538" s="8">
        <f>IFERROR(__xludf.DUMMYFUNCTION("""COMPUTED_VALUE"""),1.0)</f>
        <v>1</v>
      </c>
      <c r="D2538" s="8"/>
    </row>
    <row r="2539">
      <c r="A2539" s="9" t="str">
        <f>IFERROR(__xludf.DUMMYFUNCTION("""COMPUTED_VALUE"""),"Batch 206")</f>
        <v>Batch 206</v>
      </c>
      <c r="B2539" s="9" t="str">
        <f>IFERROR(__xludf.DUMMYFUNCTION("""COMPUTED_VALUE"""),"MuthieswariC06")</f>
        <v>MuthieswariC06</v>
      </c>
      <c r="C2539" s="8">
        <f>IFERROR(__xludf.DUMMYFUNCTION("""COMPUTED_VALUE"""),0.0)</f>
        <v>0</v>
      </c>
      <c r="D2539" s="8"/>
    </row>
    <row r="2540">
      <c r="A2540" s="9" t="str">
        <f>IFERROR(__xludf.DUMMYFUNCTION("""COMPUTED_VALUE"""),"Batch 206")</f>
        <v>Batch 206</v>
      </c>
      <c r="B2540" s="9" t="str">
        <f>IFERROR(__xludf.DUMMYFUNCTION("""COMPUTED_VALUE"""),"PriyanshuC06")</f>
        <v>PriyanshuC06</v>
      </c>
      <c r="C2540" s="8">
        <f>IFERROR(__xludf.DUMMYFUNCTION("""COMPUTED_VALUE"""),0.0)</f>
        <v>0</v>
      </c>
      <c r="D2540" s="8"/>
    </row>
    <row r="2541">
      <c r="A2541" s="9" t="str">
        <f>IFERROR(__xludf.DUMMYFUNCTION("""COMPUTED_VALUE"""),"Batch 206")</f>
        <v>Batch 206</v>
      </c>
      <c r="B2541" s="9" t="str">
        <f>IFERROR(__xludf.DUMMYFUNCTION("""COMPUTED_VALUE"""),"SubhadraC06")</f>
        <v>SubhadraC06</v>
      </c>
      <c r="C2541" s="8">
        <f>IFERROR(__xludf.DUMMYFUNCTION("""COMPUTED_VALUE"""),1.0)</f>
        <v>1</v>
      </c>
      <c r="D2541" s="8"/>
    </row>
    <row r="2542">
      <c r="A2542" s="9" t="str">
        <f>IFERROR(__xludf.DUMMYFUNCTION("""COMPUTED_VALUE"""),"Batch 206")</f>
        <v>Batch 206</v>
      </c>
      <c r="B2542" s="9" t="str">
        <f>IFERROR(__xludf.DUMMYFUNCTION("""COMPUTED_VALUE"""),"DebolinaC06")</f>
        <v>DebolinaC06</v>
      </c>
      <c r="C2542" s="8">
        <f>IFERROR(__xludf.DUMMYFUNCTION("""COMPUTED_VALUE"""),0.0)</f>
        <v>0</v>
      </c>
      <c r="D2542" s="8"/>
    </row>
    <row r="2543">
      <c r="A2543" s="9" t="str">
        <f>IFERROR(__xludf.DUMMYFUNCTION("""COMPUTED_VALUE"""),"Batch 206")</f>
        <v>Batch 206</v>
      </c>
      <c r="B2543" s="9" t="str">
        <f>IFERROR(__xludf.DUMMYFUNCTION("""COMPUTED_VALUE"""),"Ch.sowmyaC06")</f>
        <v>Ch.sowmyaC06</v>
      </c>
      <c r="C2543" s="8">
        <f>IFERROR(__xludf.DUMMYFUNCTION("""COMPUTED_VALUE"""),0.0)</f>
        <v>0</v>
      </c>
      <c r="D2543" s="8"/>
    </row>
    <row r="2544">
      <c r="A2544" s="9" t="str">
        <f>IFERROR(__xludf.DUMMYFUNCTION("""COMPUTED_VALUE"""),"Batch 206")</f>
        <v>Batch 206</v>
      </c>
      <c r="B2544" s="9" t="str">
        <f>IFERROR(__xludf.DUMMYFUNCTION("""COMPUTED_VALUE"""),"GautamC06")</f>
        <v>GautamC06</v>
      </c>
      <c r="C2544" s="8">
        <f>IFERROR(__xludf.DUMMYFUNCTION("""COMPUTED_VALUE"""),0.0)</f>
        <v>0</v>
      </c>
      <c r="D2544" s="8"/>
    </row>
    <row r="2545">
      <c r="A2545" s="9" t="str">
        <f>IFERROR(__xludf.DUMMYFUNCTION("""COMPUTED_VALUE"""),"Batch 206")</f>
        <v>Batch 206</v>
      </c>
      <c r="B2545" s="9" t="str">
        <f>IFERROR(__xludf.DUMMYFUNCTION("""COMPUTED_VALUE"""),"ShrutiC06")</f>
        <v>ShrutiC06</v>
      </c>
      <c r="C2545" s="8">
        <f>IFERROR(__xludf.DUMMYFUNCTION("""COMPUTED_VALUE"""),0.0)</f>
        <v>0</v>
      </c>
      <c r="D2545" s="8"/>
    </row>
    <row r="2546">
      <c r="A2546" s="9" t="str">
        <f>IFERROR(__xludf.DUMMYFUNCTION("""COMPUTED_VALUE"""),"Batch 206")</f>
        <v>Batch 206</v>
      </c>
      <c r="B2546" s="9" t="str">
        <f>IFERROR(__xludf.DUMMYFUNCTION("""COMPUTED_VALUE"""),"ToshakC06")</f>
        <v>ToshakC06</v>
      </c>
      <c r="C2546" s="8">
        <f>IFERROR(__xludf.DUMMYFUNCTION("""COMPUTED_VALUE"""),0.0)</f>
        <v>0</v>
      </c>
      <c r="D2546" s="8"/>
    </row>
    <row r="2547">
      <c r="A2547" s="9" t="str">
        <f>IFERROR(__xludf.DUMMYFUNCTION("""COMPUTED_VALUE"""),"Batch 206")</f>
        <v>Batch 206</v>
      </c>
      <c r="B2547" s="9" t="str">
        <f>IFERROR(__xludf.DUMMYFUNCTION("""COMPUTED_VALUE"""),"ArnavC06")</f>
        <v>ArnavC06</v>
      </c>
      <c r="C2547" s="8">
        <f>IFERROR(__xludf.DUMMYFUNCTION("""COMPUTED_VALUE"""),0.0)</f>
        <v>0</v>
      </c>
      <c r="D2547" s="8"/>
    </row>
    <row r="2548">
      <c r="A2548" s="9" t="str">
        <f>IFERROR(__xludf.DUMMYFUNCTION("""COMPUTED_VALUE"""),"Batch 206")</f>
        <v>Batch 206</v>
      </c>
      <c r="B2548" s="9" t="str">
        <f>IFERROR(__xludf.DUMMYFUNCTION("""COMPUTED_VALUE"""),"ShubhamC06")</f>
        <v>ShubhamC06</v>
      </c>
      <c r="C2548" s="8">
        <f>IFERROR(__xludf.DUMMYFUNCTION("""COMPUTED_VALUE"""),0.0)</f>
        <v>0</v>
      </c>
      <c r="D2548" s="8"/>
    </row>
    <row r="2549">
      <c r="A2549" s="9" t="str">
        <f>IFERROR(__xludf.DUMMYFUNCTION("""COMPUTED_VALUE"""),"Batch 206")</f>
        <v>Batch 206</v>
      </c>
      <c r="B2549" s="9" t="str">
        <f>IFERROR(__xludf.DUMMYFUNCTION("""COMPUTED_VALUE"""),"ANMOLC06")</f>
        <v>ANMOLC06</v>
      </c>
      <c r="C2549" s="8">
        <f>IFERROR(__xludf.DUMMYFUNCTION("""COMPUTED_VALUE"""),0.0)</f>
        <v>0</v>
      </c>
      <c r="D2549" s="8"/>
    </row>
    <row r="2550">
      <c r="A2550" s="9" t="str">
        <f>IFERROR(__xludf.DUMMYFUNCTION("""COMPUTED_VALUE"""),"Batch 206")</f>
        <v>Batch 206</v>
      </c>
      <c r="B2550" s="9" t="str">
        <f>IFERROR(__xludf.DUMMYFUNCTION("""COMPUTED_VALUE"""),"YashikaC06")</f>
        <v>YashikaC06</v>
      </c>
      <c r="C2550" s="8">
        <f>IFERROR(__xludf.DUMMYFUNCTION("""COMPUTED_VALUE"""),0.0)</f>
        <v>0</v>
      </c>
      <c r="D2550" s="8"/>
    </row>
    <row r="2551">
      <c r="A2551" s="9" t="str">
        <f>IFERROR(__xludf.DUMMYFUNCTION("""COMPUTED_VALUE"""),"Batch 206")</f>
        <v>Batch 206</v>
      </c>
      <c r="B2551" s="9" t="str">
        <f>IFERROR(__xludf.DUMMYFUNCTION("""COMPUTED_VALUE"""),"PriyanshuC06")</f>
        <v>PriyanshuC06</v>
      </c>
      <c r="C2551" s="8">
        <f>IFERROR(__xludf.DUMMYFUNCTION("""COMPUTED_VALUE"""),0.0)</f>
        <v>0</v>
      </c>
      <c r="D2551" s="8"/>
    </row>
    <row r="2552">
      <c r="A2552" s="9" t="str">
        <f>IFERROR(__xludf.DUMMYFUNCTION("""COMPUTED_VALUE"""),"Batch 206")</f>
        <v>Batch 206</v>
      </c>
      <c r="B2552" s="9" t="str">
        <f>IFERROR(__xludf.DUMMYFUNCTION("""COMPUTED_VALUE"""),"AasthaC06")</f>
        <v>AasthaC06</v>
      </c>
      <c r="C2552" s="8">
        <f>IFERROR(__xludf.DUMMYFUNCTION("""COMPUTED_VALUE"""),0.0)</f>
        <v>0</v>
      </c>
      <c r="D2552" s="8"/>
    </row>
    <row r="2553">
      <c r="A2553" s="9" t="str">
        <f>IFERROR(__xludf.DUMMYFUNCTION("""COMPUTED_VALUE"""),"Batch 206")</f>
        <v>Batch 206</v>
      </c>
      <c r="B2553" s="9" t="str">
        <f>IFERROR(__xludf.DUMMYFUNCTION("""COMPUTED_VALUE"""),"RabbanC06")</f>
        <v>RabbanC06</v>
      </c>
      <c r="C2553" s="8">
        <f>IFERROR(__xludf.DUMMYFUNCTION("""COMPUTED_VALUE"""),19.0)</f>
        <v>19</v>
      </c>
      <c r="D2553" s="8">
        <f>IFERROR(__xludf.DUMMYFUNCTION("""COMPUTED_VALUE"""),5.0)</f>
        <v>5</v>
      </c>
    </row>
    <row r="2554">
      <c r="A2554" s="9" t="str">
        <f>IFERROR(__xludf.DUMMYFUNCTION("""COMPUTED_VALUE"""),"Batch 206")</f>
        <v>Batch 206</v>
      </c>
      <c r="B2554" s="9" t="str">
        <f>IFERROR(__xludf.DUMMYFUNCTION("""COMPUTED_VALUE"""),"SupriyaC06")</f>
        <v>SupriyaC06</v>
      </c>
      <c r="C2554" s="8">
        <f>IFERROR(__xludf.DUMMYFUNCTION("""COMPUTED_VALUE"""),2.0)</f>
        <v>2</v>
      </c>
      <c r="D2554" s="8"/>
    </row>
    <row r="2555">
      <c r="A2555" s="9"/>
      <c r="B2555" s="9"/>
      <c r="C2555" s="8">
        <f>IFERROR(__xludf.DUMMYFUNCTION("""COMPUTED_VALUE"""),0.0)</f>
        <v>0</v>
      </c>
      <c r="D2555" s="8"/>
    </row>
    <row r="2556">
      <c r="A2556" s="9" t="str">
        <f>IFERROR(__xludf.DUMMYFUNCTION("""COMPUTED_VALUE"""),"Batch 207 ")</f>
        <v>Batch 207 </v>
      </c>
      <c r="B2556" s="9" t="str">
        <f>IFERROR(__xludf.DUMMYFUNCTION("""COMPUTED_VALUE"""),"ShashankC07")</f>
        <v>ShashankC07</v>
      </c>
      <c r="C2556" s="8">
        <f>IFERROR(__xludf.DUMMYFUNCTION("""COMPUTED_VALUE"""),0.0)</f>
        <v>0</v>
      </c>
      <c r="D2556" s="8"/>
    </row>
    <row r="2557">
      <c r="A2557" s="9" t="str">
        <f>IFERROR(__xludf.DUMMYFUNCTION("""COMPUTED_VALUE"""),"Batch 207 ")</f>
        <v>Batch 207 </v>
      </c>
      <c r="B2557" s="9" t="str">
        <f>IFERROR(__xludf.DUMMYFUNCTION("""COMPUTED_VALUE"""),"SantoshC07")</f>
        <v>SantoshC07</v>
      </c>
      <c r="C2557" s="8">
        <f>IFERROR(__xludf.DUMMYFUNCTION("""COMPUTED_VALUE"""),0.0)</f>
        <v>0</v>
      </c>
      <c r="D2557" s="8"/>
    </row>
    <row r="2558">
      <c r="A2558" s="9" t="str">
        <f>IFERROR(__xludf.DUMMYFUNCTION("""COMPUTED_VALUE"""),"Batch 207 ")</f>
        <v>Batch 207 </v>
      </c>
      <c r="B2558" s="9" t="str">
        <f>IFERROR(__xludf.DUMMYFUNCTION("""COMPUTED_VALUE"""),"SRIVIDYAC07")</f>
        <v>SRIVIDYAC07</v>
      </c>
      <c r="C2558" s="8">
        <f>IFERROR(__xludf.DUMMYFUNCTION("""COMPUTED_VALUE"""),0.0)</f>
        <v>0</v>
      </c>
      <c r="D2558" s="8"/>
    </row>
    <row r="2559">
      <c r="A2559" s="9" t="str">
        <f>IFERROR(__xludf.DUMMYFUNCTION("""COMPUTED_VALUE"""),"Batch 207 ")</f>
        <v>Batch 207 </v>
      </c>
      <c r="B2559" s="9" t="str">
        <f>IFERROR(__xludf.DUMMYFUNCTION("""COMPUTED_VALUE"""),"BhumikaC07")</f>
        <v>BhumikaC07</v>
      </c>
      <c r="C2559" s="8">
        <f>IFERROR(__xludf.DUMMYFUNCTION("""COMPUTED_VALUE"""),2.0)</f>
        <v>2</v>
      </c>
      <c r="D2559" s="8">
        <f>IFERROR(__xludf.DUMMYFUNCTION("""COMPUTED_VALUE"""),1.0)</f>
        <v>1</v>
      </c>
    </row>
    <row r="2560">
      <c r="A2560" s="9" t="str">
        <f>IFERROR(__xludf.DUMMYFUNCTION("""COMPUTED_VALUE"""),"Batch 207 ")</f>
        <v>Batch 207 </v>
      </c>
      <c r="B2560" s="9" t="str">
        <f>IFERROR(__xludf.DUMMYFUNCTION("""COMPUTED_VALUE"""),"JONNAKUTIC07")</f>
        <v>JONNAKUTIC07</v>
      </c>
      <c r="C2560" s="8">
        <f>IFERROR(__xludf.DUMMYFUNCTION("""COMPUTED_VALUE"""),0.0)</f>
        <v>0</v>
      </c>
      <c r="D2560" s="8"/>
    </row>
    <row r="2561">
      <c r="A2561" s="9" t="str">
        <f>IFERROR(__xludf.DUMMYFUNCTION("""COMPUTED_VALUE"""),"Batch 207 ")</f>
        <v>Batch 207 </v>
      </c>
      <c r="B2561" s="9" t="str">
        <f>IFERROR(__xludf.DUMMYFUNCTION("""COMPUTED_VALUE"""),"MaheshC07")</f>
        <v>MaheshC07</v>
      </c>
      <c r="C2561" s="8">
        <f>IFERROR(__xludf.DUMMYFUNCTION("""COMPUTED_VALUE"""),1.0)</f>
        <v>1</v>
      </c>
      <c r="D2561" s="8"/>
    </row>
    <row r="2562">
      <c r="A2562" s="9" t="str">
        <f>IFERROR(__xludf.DUMMYFUNCTION("""COMPUTED_VALUE"""),"Batch 207 ")</f>
        <v>Batch 207 </v>
      </c>
      <c r="B2562" s="9" t="str">
        <f>IFERROR(__xludf.DUMMYFUNCTION("""COMPUTED_VALUE"""),"RahulC07")</f>
        <v>RahulC07</v>
      </c>
      <c r="C2562" s="8">
        <f>IFERROR(__xludf.DUMMYFUNCTION("""COMPUTED_VALUE"""),0.0)</f>
        <v>0</v>
      </c>
      <c r="D2562" s="8"/>
    </row>
    <row r="2563">
      <c r="A2563" s="9" t="str">
        <f>IFERROR(__xludf.DUMMYFUNCTION("""COMPUTED_VALUE"""),"Batch 207 ")</f>
        <v>Batch 207 </v>
      </c>
      <c r="B2563" s="9" t="str">
        <f>IFERROR(__xludf.DUMMYFUNCTION("""COMPUTED_VALUE"""),"DebolinaC07")</f>
        <v>DebolinaC07</v>
      </c>
      <c r="C2563" s="8">
        <f>IFERROR(__xludf.DUMMYFUNCTION("""COMPUTED_VALUE"""),0.0)</f>
        <v>0</v>
      </c>
      <c r="D2563" s="8"/>
    </row>
    <row r="2564">
      <c r="A2564" s="9" t="str">
        <f>IFERROR(__xludf.DUMMYFUNCTION("""COMPUTED_VALUE"""),"Batch 207 ")</f>
        <v>Batch 207 </v>
      </c>
      <c r="B2564" s="9" t="str">
        <f>IFERROR(__xludf.DUMMYFUNCTION("""COMPUTED_VALUE"""),"GauravC07")</f>
        <v>GauravC07</v>
      </c>
      <c r="C2564" s="8">
        <f>IFERROR(__xludf.DUMMYFUNCTION("""COMPUTED_VALUE"""),0.0)</f>
        <v>0</v>
      </c>
      <c r="D2564" s="8"/>
    </row>
    <row r="2565">
      <c r="A2565" s="9" t="str">
        <f>IFERROR(__xludf.DUMMYFUNCTION("""COMPUTED_VALUE"""),"Batch 207 ")</f>
        <v>Batch 207 </v>
      </c>
      <c r="B2565" s="9" t="str">
        <f>IFERROR(__xludf.DUMMYFUNCTION("""COMPUTED_VALUE"""),"ArpitaC07")</f>
        <v>ArpitaC07</v>
      </c>
      <c r="C2565" s="8">
        <f>IFERROR(__xludf.DUMMYFUNCTION("""COMPUTED_VALUE"""),0.0)</f>
        <v>0</v>
      </c>
      <c r="D2565" s="8"/>
    </row>
    <row r="2566">
      <c r="A2566" s="9" t="str">
        <f>IFERROR(__xludf.DUMMYFUNCTION("""COMPUTED_VALUE"""),"Batch 207 ")</f>
        <v>Batch 207 </v>
      </c>
      <c r="B2566" s="9" t="str">
        <f>IFERROR(__xludf.DUMMYFUNCTION("""COMPUTED_VALUE"""),"AntaraC07")</f>
        <v>AntaraC07</v>
      </c>
      <c r="C2566" s="8">
        <f>IFERROR(__xludf.DUMMYFUNCTION("""COMPUTED_VALUE"""),0.0)</f>
        <v>0</v>
      </c>
      <c r="D2566" s="8"/>
    </row>
    <row r="2567">
      <c r="A2567" s="9" t="str">
        <f>IFERROR(__xludf.DUMMYFUNCTION("""COMPUTED_VALUE"""),"Batch 207 ")</f>
        <v>Batch 207 </v>
      </c>
      <c r="B2567" s="9" t="str">
        <f>IFERROR(__xludf.DUMMYFUNCTION("""COMPUTED_VALUE"""),"RaviC07")</f>
        <v>RaviC07</v>
      </c>
      <c r="C2567" s="8">
        <f>IFERROR(__xludf.DUMMYFUNCTION("""COMPUTED_VALUE"""),0.0)</f>
        <v>0</v>
      </c>
      <c r="D2567" s="8"/>
    </row>
    <row r="2568">
      <c r="A2568" s="9" t="str">
        <f>IFERROR(__xludf.DUMMYFUNCTION("""COMPUTED_VALUE"""),"Batch 207 ")</f>
        <v>Batch 207 </v>
      </c>
      <c r="B2568" s="9" t="str">
        <f>IFERROR(__xludf.DUMMYFUNCTION("""COMPUTED_VALUE"""),"AnandC07")</f>
        <v>AnandC07</v>
      </c>
      <c r="C2568" s="8">
        <f>IFERROR(__xludf.DUMMYFUNCTION("""COMPUTED_VALUE"""),0.0)</f>
        <v>0</v>
      </c>
      <c r="D2568" s="8"/>
    </row>
    <row r="2569">
      <c r="A2569" s="9" t="str">
        <f>IFERROR(__xludf.DUMMYFUNCTION("""COMPUTED_VALUE"""),"Batch 207 ")</f>
        <v>Batch 207 </v>
      </c>
      <c r="B2569" s="9" t="str">
        <f>IFERROR(__xludf.DUMMYFUNCTION("""COMPUTED_VALUE"""),"AbhishekC07")</f>
        <v>AbhishekC07</v>
      </c>
      <c r="C2569" s="8">
        <f>IFERROR(__xludf.DUMMYFUNCTION("""COMPUTED_VALUE"""),0.0)</f>
        <v>0</v>
      </c>
      <c r="D2569" s="8"/>
    </row>
    <row r="2570">
      <c r="A2570" s="9" t="str">
        <f>IFERROR(__xludf.DUMMYFUNCTION("""COMPUTED_VALUE"""),"Batch 207 ")</f>
        <v>Batch 207 </v>
      </c>
      <c r="B2570" s="9" t="str">
        <f>IFERROR(__xludf.DUMMYFUNCTION("""COMPUTED_VALUE"""),"AbhiC07")</f>
        <v>AbhiC07</v>
      </c>
      <c r="C2570" s="8">
        <f>IFERROR(__xludf.DUMMYFUNCTION("""COMPUTED_VALUE"""),0.0)</f>
        <v>0</v>
      </c>
      <c r="D2570" s="8"/>
    </row>
    <row r="2571">
      <c r="A2571" s="9" t="str">
        <f>IFERROR(__xludf.DUMMYFUNCTION("""COMPUTED_VALUE"""),"Batch 207 ")</f>
        <v>Batch 207 </v>
      </c>
      <c r="B2571" s="9" t="str">
        <f>IFERROR(__xludf.DUMMYFUNCTION("""COMPUTED_VALUE"""),"MahimaC07")</f>
        <v>MahimaC07</v>
      </c>
      <c r="C2571" s="8">
        <f>IFERROR(__xludf.DUMMYFUNCTION("""COMPUTED_VALUE"""),0.0)</f>
        <v>0</v>
      </c>
      <c r="D2571" s="8"/>
    </row>
    <row r="2572">
      <c r="A2572" s="9" t="str">
        <f>IFERROR(__xludf.DUMMYFUNCTION("""COMPUTED_VALUE"""),"Batch 207 ")</f>
        <v>Batch 207 </v>
      </c>
      <c r="B2572" s="9" t="str">
        <f>IFERROR(__xludf.DUMMYFUNCTION("""COMPUTED_VALUE"""),"GauravC07")</f>
        <v>GauravC07</v>
      </c>
      <c r="C2572" s="8">
        <f>IFERROR(__xludf.DUMMYFUNCTION("""COMPUTED_VALUE"""),0.0)</f>
        <v>0</v>
      </c>
      <c r="D2572" s="8"/>
    </row>
    <row r="2573">
      <c r="A2573" s="9" t="str">
        <f>IFERROR(__xludf.DUMMYFUNCTION("""COMPUTED_VALUE"""),"Batch 207 ")</f>
        <v>Batch 207 </v>
      </c>
      <c r="B2573" s="9" t="str">
        <f>IFERROR(__xludf.DUMMYFUNCTION("""COMPUTED_VALUE"""),"SanyamC07")</f>
        <v>SanyamC07</v>
      </c>
      <c r="C2573" s="8">
        <f>IFERROR(__xludf.DUMMYFUNCTION("""COMPUTED_VALUE"""),1.0)</f>
        <v>1</v>
      </c>
      <c r="D2573" s="8"/>
    </row>
    <row r="2574">
      <c r="A2574" s="9" t="str">
        <f>IFERROR(__xludf.DUMMYFUNCTION("""COMPUTED_VALUE"""),"Batch 207 ")</f>
        <v>Batch 207 </v>
      </c>
      <c r="B2574" s="9" t="str">
        <f>IFERROR(__xludf.DUMMYFUNCTION("""COMPUTED_VALUE"""),"AmaanC07")</f>
        <v>AmaanC07</v>
      </c>
      <c r="C2574" s="8">
        <f>IFERROR(__xludf.DUMMYFUNCTION("""COMPUTED_VALUE"""),0.0)</f>
        <v>0</v>
      </c>
      <c r="D2574" s="8"/>
    </row>
    <row r="2575">
      <c r="A2575" s="9" t="str">
        <f>IFERROR(__xludf.DUMMYFUNCTION("""COMPUTED_VALUE"""),"Batch 207 ")</f>
        <v>Batch 207 </v>
      </c>
      <c r="B2575" s="9" t="str">
        <f>IFERROR(__xludf.DUMMYFUNCTION("""COMPUTED_VALUE"""),"KhushiC07")</f>
        <v>KhushiC07</v>
      </c>
      <c r="C2575" s="8">
        <f>IFERROR(__xludf.DUMMYFUNCTION("""COMPUTED_VALUE"""),0.0)</f>
        <v>0</v>
      </c>
      <c r="D2575" s="8"/>
    </row>
    <row r="2576">
      <c r="A2576" s="9" t="str">
        <f>IFERROR(__xludf.DUMMYFUNCTION("""COMPUTED_VALUE"""),"Batch 207 ")</f>
        <v>Batch 207 </v>
      </c>
      <c r="B2576" s="9" t="str">
        <f>IFERROR(__xludf.DUMMYFUNCTION("""COMPUTED_VALUE"""),"ChinmayC07")</f>
        <v>ChinmayC07</v>
      </c>
      <c r="C2576" s="8">
        <f>IFERROR(__xludf.DUMMYFUNCTION("""COMPUTED_VALUE"""),4.0)</f>
        <v>4</v>
      </c>
      <c r="D2576" s="8">
        <f>IFERROR(__xludf.DUMMYFUNCTION("""COMPUTED_VALUE"""),1.0)</f>
        <v>1</v>
      </c>
    </row>
    <row r="2577">
      <c r="A2577" s="9" t="str">
        <f>IFERROR(__xludf.DUMMYFUNCTION("""COMPUTED_VALUE"""),"Batch 207 ")</f>
        <v>Batch 207 </v>
      </c>
      <c r="B2577" s="9" t="str">
        <f>IFERROR(__xludf.DUMMYFUNCTION("""COMPUTED_VALUE"""),"KartikC07")</f>
        <v>KartikC07</v>
      </c>
      <c r="C2577" s="8">
        <f>IFERROR(__xludf.DUMMYFUNCTION("""COMPUTED_VALUE"""),33.0)</f>
        <v>33</v>
      </c>
      <c r="D2577" s="8">
        <f>IFERROR(__xludf.DUMMYFUNCTION("""COMPUTED_VALUE"""),6.0)</f>
        <v>6</v>
      </c>
    </row>
    <row r="2578">
      <c r="A2578" s="9"/>
      <c r="B2578" s="9"/>
      <c r="C2578" s="8">
        <f>IFERROR(__xludf.DUMMYFUNCTION("""COMPUTED_VALUE"""),0.0)</f>
        <v>0</v>
      </c>
      <c r="D2578" s="8"/>
    </row>
    <row r="2579">
      <c r="A2579" s="9" t="str">
        <f>IFERROR(__xludf.DUMMYFUNCTION("""COMPUTED_VALUE"""),"Batch 208")</f>
        <v>Batch 208</v>
      </c>
      <c r="B2579" s="9" t="str">
        <f>IFERROR(__xludf.DUMMYFUNCTION("""COMPUTED_VALUE"""),"SubhajitC08")</f>
        <v>SubhajitC08</v>
      </c>
      <c r="C2579" s="8">
        <f>IFERROR(__xludf.DUMMYFUNCTION("""COMPUTED_VALUE"""),0.0)</f>
        <v>0</v>
      </c>
      <c r="D2579" s="8"/>
    </row>
    <row r="2580">
      <c r="A2580" s="9" t="str">
        <f>IFERROR(__xludf.DUMMYFUNCTION("""COMPUTED_VALUE"""),"Batch 208")</f>
        <v>Batch 208</v>
      </c>
      <c r="B2580" s="9" t="str">
        <f>IFERROR(__xludf.DUMMYFUNCTION("""COMPUTED_VALUE"""),"SamihaC08")</f>
        <v>SamihaC08</v>
      </c>
      <c r="C2580" s="8">
        <f>IFERROR(__xludf.DUMMYFUNCTION("""COMPUTED_VALUE"""),0.0)</f>
        <v>0</v>
      </c>
      <c r="D2580" s="8"/>
    </row>
    <row r="2581">
      <c r="A2581" s="9" t="str">
        <f>IFERROR(__xludf.DUMMYFUNCTION("""COMPUTED_VALUE"""),"Batch 208")</f>
        <v>Batch 208</v>
      </c>
      <c r="B2581" s="9" t="str">
        <f>IFERROR(__xludf.DUMMYFUNCTION("""COMPUTED_VALUE"""),"UJJAWALC08")</f>
        <v>UJJAWALC08</v>
      </c>
      <c r="C2581" s="8">
        <f>IFERROR(__xludf.DUMMYFUNCTION("""COMPUTED_VALUE"""),1.0)</f>
        <v>1</v>
      </c>
      <c r="D2581" s="8">
        <f>IFERROR(__xludf.DUMMYFUNCTION("""COMPUTED_VALUE"""),1.0)</f>
        <v>1</v>
      </c>
    </row>
    <row r="2582">
      <c r="A2582" s="9" t="str">
        <f>IFERROR(__xludf.DUMMYFUNCTION("""COMPUTED_VALUE"""),"Batch 208")</f>
        <v>Batch 208</v>
      </c>
      <c r="B2582" s="9" t="str">
        <f>IFERROR(__xludf.DUMMYFUNCTION("""COMPUTED_VALUE"""),"HardeepC08")</f>
        <v>HardeepC08</v>
      </c>
      <c r="C2582" s="8">
        <f>IFERROR(__xludf.DUMMYFUNCTION("""COMPUTED_VALUE"""),0.0)</f>
        <v>0</v>
      </c>
      <c r="D2582" s="8"/>
    </row>
    <row r="2583">
      <c r="A2583" s="9" t="str">
        <f>IFERROR(__xludf.DUMMYFUNCTION("""COMPUTED_VALUE"""),"Batch 208")</f>
        <v>Batch 208</v>
      </c>
      <c r="B2583" s="9" t="str">
        <f>IFERROR(__xludf.DUMMYFUNCTION("""COMPUTED_VALUE"""),"DhruvC08")</f>
        <v>DhruvC08</v>
      </c>
      <c r="C2583" s="8">
        <f>IFERROR(__xludf.DUMMYFUNCTION("""COMPUTED_VALUE"""),0.0)</f>
        <v>0</v>
      </c>
      <c r="D2583" s="8"/>
    </row>
    <row r="2584">
      <c r="A2584" s="9" t="str">
        <f>IFERROR(__xludf.DUMMYFUNCTION("""COMPUTED_VALUE"""),"Batch 208")</f>
        <v>Batch 208</v>
      </c>
      <c r="B2584" s="9" t="str">
        <f>IFERROR(__xludf.DUMMYFUNCTION("""COMPUTED_VALUE"""),"EktaC08")</f>
        <v>EktaC08</v>
      </c>
      <c r="C2584" s="8">
        <f>IFERROR(__xludf.DUMMYFUNCTION("""COMPUTED_VALUE"""),1.0)</f>
        <v>1</v>
      </c>
      <c r="D2584" s="8"/>
    </row>
    <row r="2585">
      <c r="A2585" s="9" t="str">
        <f>IFERROR(__xludf.DUMMYFUNCTION("""COMPUTED_VALUE"""),"Batch 208")</f>
        <v>Batch 208</v>
      </c>
      <c r="B2585" s="9" t="str">
        <f>IFERROR(__xludf.DUMMYFUNCTION("""COMPUTED_VALUE"""),"KartikC08")</f>
        <v>KartikC08</v>
      </c>
      <c r="C2585" s="8">
        <f>IFERROR(__xludf.DUMMYFUNCTION("""COMPUTED_VALUE"""),0.0)</f>
        <v>0</v>
      </c>
      <c r="D2585" s="8"/>
    </row>
    <row r="2586">
      <c r="A2586" s="9" t="str">
        <f>IFERROR(__xludf.DUMMYFUNCTION("""COMPUTED_VALUE"""),"Batch 208")</f>
        <v>Batch 208</v>
      </c>
      <c r="B2586" s="9" t="str">
        <f>IFERROR(__xludf.DUMMYFUNCTION("""COMPUTED_VALUE"""),"AnimehaC08")</f>
        <v>AnimehaC08</v>
      </c>
      <c r="C2586" s="8">
        <f>IFERROR(__xludf.DUMMYFUNCTION("""COMPUTED_VALUE"""),0.0)</f>
        <v>0</v>
      </c>
      <c r="D2586" s="8"/>
    </row>
    <row r="2587">
      <c r="A2587" s="9" t="str">
        <f>IFERROR(__xludf.DUMMYFUNCTION("""COMPUTED_VALUE"""),"Batch 208")</f>
        <v>Batch 208</v>
      </c>
      <c r="B2587" s="9" t="str">
        <f>IFERROR(__xludf.DUMMYFUNCTION("""COMPUTED_VALUE"""),"PiyushC08")</f>
        <v>PiyushC08</v>
      </c>
      <c r="C2587" s="8">
        <f>IFERROR(__xludf.DUMMYFUNCTION("""COMPUTED_VALUE"""),1.0)</f>
        <v>1</v>
      </c>
      <c r="D2587" s="8"/>
    </row>
    <row r="2588">
      <c r="A2588" s="9" t="str">
        <f>IFERROR(__xludf.DUMMYFUNCTION("""COMPUTED_VALUE"""),"Batch 208")</f>
        <v>Batch 208</v>
      </c>
      <c r="B2588" s="9" t="str">
        <f>IFERROR(__xludf.DUMMYFUNCTION("""COMPUTED_VALUE"""),"DipaliC08")</f>
        <v>DipaliC08</v>
      </c>
      <c r="C2588" s="8">
        <f>IFERROR(__xludf.DUMMYFUNCTION("""COMPUTED_VALUE"""),0.0)</f>
        <v>0</v>
      </c>
      <c r="D2588" s="8"/>
    </row>
    <row r="2589">
      <c r="A2589" s="9" t="str">
        <f>IFERROR(__xludf.DUMMYFUNCTION("""COMPUTED_VALUE"""),"Batch 208")</f>
        <v>Batch 208</v>
      </c>
      <c r="B2589" s="9" t="str">
        <f>IFERROR(__xludf.DUMMYFUNCTION("""COMPUTED_VALUE"""),"NandiniC08")</f>
        <v>NandiniC08</v>
      </c>
      <c r="C2589" s="8">
        <f>IFERROR(__xludf.DUMMYFUNCTION("""COMPUTED_VALUE"""),0.0)</f>
        <v>0</v>
      </c>
      <c r="D2589" s="8"/>
    </row>
    <row r="2590">
      <c r="A2590" s="9" t="str">
        <f>IFERROR(__xludf.DUMMYFUNCTION("""COMPUTED_VALUE"""),"Batch 208")</f>
        <v>Batch 208</v>
      </c>
      <c r="B2590" s="9" t="str">
        <f>IFERROR(__xludf.DUMMYFUNCTION("""COMPUTED_VALUE"""),"MeeravaliC08")</f>
        <v>MeeravaliC08</v>
      </c>
      <c r="C2590" s="8">
        <f>IFERROR(__xludf.DUMMYFUNCTION("""COMPUTED_VALUE"""),30.0)</f>
        <v>30</v>
      </c>
      <c r="D2590" s="8">
        <f>IFERROR(__xludf.DUMMYFUNCTION("""COMPUTED_VALUE"""),6.0)</f>
        <v>6</v>
      </c>
    </row>
    <row r="2591">
      <c r="A2591" s="9" t="str">
        <f>IFERROR(__xludf.DUMMYFUNCTION("""COMPUTED_VALUE"""),"Batch 208")</f>
        <v>Batch 208</v>
      </c>
      <c r="B2591" s="9" t="str">
        <f>IFERROR(__xludf.DUMMYFUNCTION("""COMPUTED_VALUE"""),"MustafaC08")</f>
        <v>MustafaC08</v>
      </c>
      <c r="C2591" s="8">
        <f>IFERROR(__xludf.DUMMYFUNCTION("""COMPUTED_VALUE"""),5.0)</f>
        <v>5</v>
      </c>
      <c r="D2591" s="8">
        <f>IFERROR(__xludf.DUMMYFUNCTION("""COMPUTED_VALUE"""),5.0)</f>
        <v>5</v>
      </c>
    </row>
    <row r="2592">
      <c r="A2592" s="9" t="str">
        <f>IFERROR(__xludf.DUMMYFUNCTION("""COMPUTED_VALUE"""),"Batch 208")</f>
        <v>Batch 208</v>
      </c>
      <c r="B2592" s="9" t="str">
        <f>IFERROR(__xludf.DUMMYFUNCTION("""COMPUTED_VALUE"""),"MahendraC08")</f>
        <v>MahendraC08</v>
      </c>
      <c r="C2592" s="8">
        <f>IFERROR(__xludf.DUMMYFUNCTION("""COMPUTED_VALUE"""),7.0)</f>
        <v>7</v>
      </c>
      <c r="D2592" s="8">
        <f>IFERROR(__xludf.DUMMYFUNCTION("""COMPUTED_VALUE"""),1.0)</f>
        <v>1</v>
      </c>
    </row>
    <row r="2593">
      <c r="A2593" s="9" t="str">
        <f>IFERROR(__xludf.DUMMYFUNCTION("""COMPUTED_VALUE"""),"Batch 208")</f>
        <v>Batch 208</v>
      </c>
      <c r="B2593" s="9" t="str">
        <f>IFERROR(__xludf.DUMMYFUNCTION("""COMPUTED_VALUE"""),"DhruvBC08")</f>
        <v>DhruvBC08</v>
      </c>
      <c r="C2593" s="8">
        <f>IFERROR(__xludf.DUMMYFUNCTION("""COMPUTED_VALUE"""),0.0)</f>
        <v>0</v>
      </c>
      <c r="D2593" s="8"/>
    </row>
    <row r="2594">
      <c r="A2594" s="9" t="str">
        <f>IFERROR(__xludf.DUMMYFUNCTION("""COMPUTED_VALUE"""),"Batch 208")</f>
        <v>Batch 208</v>
      </c>
      <c r="B2594" s="9" t="str">
        <f>IFERROR(__xludf.DUMMYFUNCTION("""COMPUTED_VALUE"""),"PreetiC08")</f>
        <v>PreetiC08</v>
      </c>
      <c r="C2594" s="8">
        <f>IFERROR(__xludf.DUMMYFUNCTION("""COMPUTED_VALUE"""),0.0)</f>
        <v>0</v>
      </c>
      <c r="D2594" s="8"/>
    </row>
    <row r="2595">
      <c r="A2595" s="9" t="str">
        <f>IFERROR(__xludf.DUMMYFUNCTION("""COMPUTED_VALUE"""),"Batch 208")</f>
        <v>Batch 208</v>
      </c>
      <c r="B2595" s="9" t="str">
        <f>IFERROR(__xludf.DUMMYFUNCTION("""COMPUTED_VALUE"""),"JaydeepC08")</f>
        <v>JaydeepC08</v>
      </c>
      <c r="C2595" s="8">
        <f>IFERROR(__xludf.DUMMYFUNCTION("""COMPUTED_VALUE"""),0.0)</f>
        <v>0</v>
      </c>
      <c r="D2595" s="8"/>
    </row>
    <row r="2596">
      <c r="A2596" s="9" t="str">
        <f>IFERROR(__xludf.DUMMYFUNCTION("""COMPUTED_VALUE"""),"Batch 208")</f>
        <v>Batch 208</v>
      </c>
      <c r="B2596" s="9" t="str">
        <f>IFERROR(__xludf.DUMMYFUNCTION("""COMPUTED_VALUE"""),"SaloniC08")</f>
        <v>SaloniC08</v>
      </c>
      <c r="C2596" s="8">
        <f>IFERROR(__xludf.DUMMYFUNCTION("""COMPUTED_VALUE"""),0.0)</f>
        <v>0</v>
      </c>
      <c r="D2596" s="8"/>
    </row>
    <row r="2597">
      <c r="A2597" s="9" t="str">
        <f>IFERROR(__xludf.DUMMYFUNCTION("""COMPUTED_VALUE"""),"Batch 208")</f>
        <v>Batch 208</v>
      </c>
      <c r="B2597" s="9" t="str">
        <f>IFERROR(__xludf.DUMMYFUNCTION("""COMPUTED_VALUE"""),"VishakhaC08")</f>
        <v>VishakhaC08</v>
      </c>
      <c r="C2597" s="8">
        <f>IFERROR(__xludf.DUMMYFUNCTION("""COMPUTED_VALUE"""),0.0)</f>
        <v>0</v>
      </c>
      <c r="D2597" s="8"/>
    </row>
    <row r="2598">
      <c r="A2598" s="9" t="str">
        <f>IFERROR(__xludf.DUMMYFUNCTION("""COMPUTED_VALUE"""),"Batch 208")</f>
        <v>Batch 208</v>
      </c>
      <c r="B2598" s="9" t="str">
        <f>IFERROR(__xludf.DUMMYFUNCTION("""COMPUTED_VALUE"""),"AmandeepC08")</f>
        <v>AmandeepC08</v>
      </c>
      <c r="C2598" s="8">
        <f>IFERROR(__xludf.DUMMYFUNCTION("""COMPUTED_VALUE"""),0.0)</f>
        <v>0</v>
      </c>
      <c r="D2598" s="8"/>
    </row>
    <row r="2599">
      <c r="A2599" s="9" t="str">
        <f>IFERROR(__xludf.DUMMYFUNCTION("""COMPUTED_VALUE"""),"Batch 208")</f>
        <v>Batch 208</v>
      </c>
      <c r="B2599" s="9" t="str">
        <f>IFERROR(__xludf.DUMMYFUNCTION("""COMPUTED_VALUE"""),"GonnuriC08")</f>
        <v>GonnuriC08</v>
      </c>
      <c r="C2599" s="8">
        <f>IFERROR(__xludf.DUMMYFUNCTION("""COMPUTED_VALUE"""),0.0)</f>
        <v>0</v>
      </c>
      <c r="D2599" s="8"/>
    </row>
    <row r="2600">
      <c r="A2600" s="9" t="str">
        <f>IFERROR(__xludf.DUMMYFUNCTION("""COMPUTED_VALUE"""),"Batch 208")</f>
        <v>Batch 208</v>
      </c>
      <c r="B2600" s="9" t="str">
        <f>IFERROR(__xludf.DUMMYFUNCTION("""COMPUTED_VALUE"""),"JanhaviC08")</f>
        <v>JanhaviC08</v>
      </c>
      <c r="C2600" s="8">
        <f>IFERROR(__xludf.DUMMYFUNCTION("""COMPUTED_VALUE"""),0.0)</f>
        <v>0</v>
      </c>
      <c r="D2600" s="8"/>
    </row>
    <row r="2601">
      <c r="A2601" s="9" t="str">
        <f>IFERROR(__xludf.DUMMYFUNCTION("""COMPUTED_VALUE"""),"Batch 208")</f>
        <v>Batch 208</v>
      </c>
      <c r="B2601" s="9" t="str">
        <f>IFERROR(__xludf.DUMMYFUNCTION("""COMPUTED_VALUE"""),"MohammadC08")</f>
        <v>MohammadC08</v>
      </c>
      <c r="C2601" s="8">
        <f>IFERROR(__xludf.DUMMYFUNCTION("""COMPUTED_VALUE"""),3.0)</f>
        <v>3</v>
      </c>
      <c r="D2601" s="8"/>
    </row>
    <row r="2602">
      <c r="A2602" s="9" t="str">
        <f>IFERROR(__xludf.DUMMYFUNCTION("""COMPUTED_VALUE"""),"Batch 208")</f>
        <v>Batch 208</v>
      </c>
      <c r="B2602" s="9" t="str">
        <f>IFERROR(__xludf.DUMMYFUNCTION("""COMPUTED_VALUE"""),"AbhipshaC08")</f>
        <v>AbhipshaC08</v>
      </c>
      <c r="C2602" s="8">
        <f>IFERROR(__xludf.DUMMYFUNCTION("""COMPUTED_VALUE"""),0.0)</f>
        <v>0</v>
      </c>
      <c r="D2602" s="8"/>
    </row>
    <row r="2603">
      <c r="A2603" s="9" t="str">
        <f>IFERROR(__xludf.DUMMYFUNCTION("""COMPUTED_VALUE"""),"Batch 208")</f>
        <v>Batch 208</v>
      </c>
      <c r="B2603" s="9" t="str">
        <f>IFERROR(__xludf.DUMMYFUNCTION("""COMPUTED_VALUE"""),"PoulomiC08")</f>
        <v>PoulomiC08</v>
      </c>
      <c r="C2603" s="8">
        <f>IFERROR(__xludf.DUMMYFUNCTION("""COMPUTED_VALUE"""),0.0)</f>
        <v>0</v>
      </c>
      <c r="D2603" s="8"/>
    </row>
    <row r="2604">
      <c r="A2604" s="9" t="str">
        <f>IFERROR(__xludf.DUMMYFUNCTION("""COMPUTED_VALUE"""),"Batch 208")</f>
        <v>Batch 208</v>
      </c>
      <c r="B2604" s="9" t="str">
        <f>IFERROR(__xludf.DUMMYFUNCTION("""COMPUTED_VALUE"""),"VidhunC08")</f>
        <v>VidhunC08</v>
      </c>
      <c r="C2604" s="8">
        <f>IFERROR(__xludf.DUMMYFUNCTION("""COMPUTED_VALUE"""),0.0)</f>
        <v>0</v>
      </c>
      <c r="D2604" s="8"/>
    </row>
    <row r="2605">
      <c r="A2605" s="9" t="str">
        <f>IFERROR(__xludf.DUMMYFUNCTION("""COMPUTED_VALUE"""),"Batch 208")</f>
        <v>Batch 208</v>
      </c>
      <c r="B2605" s="9" t="str">
        <f>IFERROR(__xludf.DUMMYFUNCTION("""COMPUTED_VALUE"""),"DeepakC08")</f>
        <v>DeepakC08</v>
      </c>
      <c r="C2605" s="8">
        <f>IFERROR(__xludf.DUMMYFUNCTION("""COMPUTED_VALUE"""),0.0)</f>
        <v>0</v>
      </c>
      <c r="D2605" s="8"/>
    </row>
    <row r="2606">
      <c r="A2606" s="9" t="str">
        <f>IFERROR(__xludf.DUMMYFUNCTION("""COMPUTED_VALUE"""),"Batch 208")</f>
        <v>Batch 208</v>
      </c>
      <c r="B2606" s="9" t="str">
        <f>IFERROR(__xludf.DUMMYFUNCTION("""COMPUTED_VALUE"""),"DivyaTC08")</f>
        <v>DivyaTC08</v>
      </c>
      <c r="C2606" s="8">
        <f>IFERROR(__xludf.DUMMYFUNCTION("""COMPUTED_VALUE"""),1.0)</f>
        <v>1</v>
      </c>
      <c r="D2606" s="8"/>
    </row>
    <row r="2607">
      <c r="A2607" s="9" t="str">
        <f>IFERROR(__xludf.DUMMYFUNCTION("""COMPUTED_VALUE"""),"Batch 208")</f>
        <v>Batch 208</v>
      </c>
      <c r="B2607" s="9" t="str">
        <f>IFERROR(__xludf.DUMMYFUNCTION("""COMPUTED_VALUE"""),"VC08")</f>
        <v>VC08</v>
      </c>
      <c r="C2607" s="8">
        <f>IFERROR(__xludf.DUMMYFUNCTION("""COMPUTED_VALUE"""),0.0)</f>
        <v>0</v>
      </c>
      <c r="D2607" s="8"/>
    </row>
    <row r="2608">
      <c r="A2608" s="9" t="str">
        <f>IFERROR(__xludf.DUMMYFUNCTION("""COMPUTED_VALUE"""),"Batch 208")</f>
        <v>Batch 208</v>
      </c>
      <c r="B2608" s="9" t="str">
        <f>IFERROR(__xludf.DUMMYFUNCTION("""COMPUTED_VALUE"""),"ShivanshC08")</f>
        <v>ShivanshC08</v>
      </c>
      <c r="C2608" s="8">
        <f>IFERROR(__xludf.DUMMYFUNCTION("""COMPUTED_VALUE"""),0.0)</f>
        <v>0</v>
      </c>
      <c r="D2608" s="8"/>
    </row>
    <row r="2609">
      <c r="A2609" s="9" t="str">
        <f>IFERROR(__xludf.DUMMYFUNCTION("""COMPUTED_VALUE"""),"Batch 208")</f>
        <v>Batch 208</v>
      </c>
      <c r="B2609" s="9" t="str">
        <f>IFERROR(__xludf.DUMMYFUNCTION("""COMPUTED_VALUE"""),"DishaC08")</f>
        <v>DishaC08</v>
      </c>
      <c r="C2609" s="8">
        <f>IFERROR(__xludf.DUMMYFUNCTION("""COMPUTED_VALUE"""),0.0)</f>
        <v>0</v>
      </c>
      <c r="D2609" s="8"/>
    </row>
    <row r="2610">
      <c r="A2610" s="9" t="str">
        <f>IFERROR(__xludf.DUMMYFUNCTION("""COMPUTED_VALUE"""),"Batch 208")</f>
        <v>Batch 208</v>
      </c>
      <c r="B2610" s="9" t="str">
        <f>IFERROR(__xludf.DUMMYFUNCTION("""COMPUTED_VALUE"""),"NamanC08")</f>
        <v>NamanC08</v>
      </c>
      <c r="C2610" s="8">
        <f>IFERROR(__xludf.DUMMYFUNCTION("""COMPUTED_VALUE"""),1.0)</f>
        <v>1</v>
      </c>
      <c r="D2610" s="8"/>
    </row>
    <row r="2611">
      <c r="A2611" s="9"/>
      <c r="B2611" s="9"/>
      <c r="C2611" s="8">
        <f>IFERROR(__xludf.DUMMYFUNCTION("""COMPUTED_VALUE"""),0.0)</f>
        <v>0</v>
      </c>
      <c r="D2611" s="8"/>
    </row>
    <row r="2612">
      <c r="A2612" s="9" t="str">
        <f>IFERROR(__xludf.DUMMYFUNCTION("""COMPUTED_VALUE"""),"Batch 209 ")</f>
        <v>Batch 209 </v>
      </c>
      <c r="B2612" s="9" t="str">
        <f>IFERROR(__xludf.DUMMYFUNCTION("""COMPUTED_VALUE"""),"VC09")</f>
        <v>VC09</v>
      </c>
      <c r="C2612" s="8">
        <f>IFERROR(__xludf.DUMMYFUNCTION("""COMPUTED_VALUE"""),0.0)</f>
        <v>0</v>
      </c>
      <c r="D2612" s="8"/>
    </row>
    <row r="2613">
      <c r="A2613" s="9" t="str">
        <f>IFERROR(__xludf.DUMMYFUNCTION("""COMPUTED_VALUE"""),"Batch 209 ")</f>
        <v>Batch 209 </v>
      </c>
      <c r="B2613" s="9" t="str">
        <f>IFERROR(__xludf.DUMMYFUNCTION("""COMPUTED_VALUE"""),"ShivanshC09")</f>
        <v>ShivanshC09</v>
      </c>
      <c r="C2613" s="8">
        <f>IFERROR(__xludf.DUMMYFUNCTION("""COMPUTED_VALUE"""),0.0)</f>
        <v>0</v>
      </c>
      <c r="D2613" s="8"/>
    </row>
    <row r="2614">
      <c r="A2614" s="9" t="str">
        <f>IFERROR(__xludf.DUMMYFUNCTION("""COMPUTED_VALUE"""),"Batch 209 ")</f>
        <v>Batch 209 </v>
      </c>
      <c r="B2614" s="9" t="str">
        <f>IFERROR(__xludf.DUMMYFUNCTION("""COMPUTED_VALUE"""),"DishaC09")</f>
        <v>DishaC09</v>
      </c>
      <c r="C2614" s="8">
        <f>IFERROR(__xludf.DUMMYFUNCTION("""COMPUTED_VALUE"""),0.0)</f>
        <v>0</v>
      </c>
      <c r="D2614" s="8"/>
    </row>
    <row r="2615">
      <c r="A2615" s="9" t="str">
        <f>IFERROR(__xludf.DUMMYFUNCTION("""COMPUTED_VALUE"""),"Batch 209 ")</f>
        <v>Batch 209 </v>
      </c>
      <c r="B2615" s="9" t="str">
        <f>IFERROR(__xludf.DUMMYFUNCTION("""COMPUTED_VALUE"""),"NamanC09")</f>
        <v>NamanC09</v>
      </c>
      <c r="C2615" s="8">
        <f>IFERROR(__xludf.DUMMYFUNCTION("""COMPUTED_VALUE"""),0.0)</f>
        <v>0</v>
      </c>
      <c r="D2615" s="8"/>
    </row>
    <row r="2616">
      <c r="A2616" s="9" t="str">
        <f>IFERROR(__xludf.DUMMYFUNCTION("""COMPUTED_VALUE"""),"Batch 209 ")</f>
        <v>Batch 209 </v>
      </c>
      <c r="B2616" s="9" t="str">
        <f>IFERROR(__xludf.DUMMYFUNCTION("""COMPUTED_VALUE"""),"SandeepC09")</f>
        <v>SandeepC09</v>
      </c>
      <c r="C2616" s="8">
        <f>IFERROR(__xludf.DUMMYFUNCTION("""COMPUTED_VALUE"""),0.0)</f>
        <v>0</v>
      </c>
      <c r="D2616" s="8"/>
    </row>
    <row r="2617">
      <c r="A2617" s="9" t="str">
        <f>IFERROR(__xludf.DUMMYFUNCTION("""COMPUTED_VALUE"""),"Batch 209 ")</f>
        <v>Batch 209 </v>
      </c>
      <c r="B2617" s="9" t="str">
        <f>IFERROR(__xludf.DUMMYFUNCTION("""COMPUTED_VALUE"""),"RUDRAC09")</f>
        <v>RUDRAC09</v>
      </c>
      <c r="C2617" s="8">
        <f>IFERROR(__xludf.DUMMYFUNCTION("""COMPUTED_VALUE"""),0.0)</f>
        <v>0</v>
      </c>
      <c r="D2617" s="8"/>
    </row>
    <row r="2618">
      <c r="A2618" s="9" t="str">
        <f>IFERROR(__xludf.DUMMYFUNCTION("""COMPUTED_VALUE"""),"Batch 209 ")</f>
        <v>Batch 209 </v>
      </c>
      <c r="B2618" s="9" t="str">
        <f>IFERROR(__xludf.DUMMYFUNCTION("""COMPUTED_VALUE"""),"AkashC09")</f>
        <v>AkashC09</v>
      </c>
      <c r="C2618" s="8">
        <f>IFERROR(__xludf.DUMMYFUNCTION("""COMPUTED_VALUE"""),1.0)</f>
        <v>1</v>
      </c>
      <c r="D2618" s="8">
        <f>IFERROR(__xludf.DUMMYFUNCTION("""COMPUTED_VALUE"""),4.0)</f>
        <v>4</v>
      </c>
    </row>
    <row r="2619">
      <c r="A2619" s="9" t="str">
        <f>IFERROR(__xludf.DUMMYFUNCTION("""COMPUTED_VALUE"""),"Batch 209 ")</f>
        <v>Batch 209 </v>
      </c>
      <c r="B2619" s="9" t="str">
        <f>IFERROR(__xludf.DUMMYFUNCTION("""COMPUTED_VALUE"""),"NikkiC09")</f>
        <v>NikkiC09</v>
      </c>
      <c r="C2619" s="8">
        <f>IFERROR(__xludf.DUMMYFUNCTION("""COMPUTED_VALUE"""),0.0)</f>
        <v>0</v>
      </c>
      <c r="D2619" s="8"/>
    </row>
    <row r="2620">
      <c r="A2620" s="9" t="str">
        <f>IFERROR(__xludf.DUMMYFUNCTION("""COMPUTED_VALUE"""),"Batch 209 ")</f>
        <v>Batch 209 </v>
      </c>
      <c r="B2620" s="9" t="str">
        <f>IFERROR(__xludf.DUMMYFUNCTION("""COMPUTED_VALUE"""),"KushalC09")</f>
        <v>KushalC09</v>
      </c>
      <c r="C2620" s="8">
        <f>IFERROR(__xludf.DUMMYFUNCTION("""COMPUTED_VALUE"""),0.0)</f>
        <v>0</v>
      </c>
      <c r="D2620" s="8"/>
    </row>
    <row r="2621">
      <c r="A2621" s="9" t="str">
        <f>IFERROR(__xludf.DUMMYFUNCTION("""COMPUTED_VALUE"""),"Batch 209 ")</f>
        <v>Batch 209 </v>
      </c>
      <c r="B2621" s="9" t="str">
        <f>IFERROR(__xludf.DUMMYFUNCTION("""COMPUTED_VALUE"""),"AparnaC09")</f>
        <v>AparnaC09</v>
      </c>
      <c r="C2621" s="8">
        <f>IFERROR(__xludf.DUMMYFUNCTION("""COMPUTED_VALUE"""),1.0)</f>
        <v>1</v>
      </c>
      <c r="D2621" s="8"/>
    </row>
    <row r="2622">
      <c r="A2622" s="9" t="str">
        <f>IFERROR(__xludf.DUMMYFUNCTION("""COMPUTED_VALUE"""),"Batch 209 ")</f>
        <v>Batch 209 </v>
      </c>
      <c r="B2622" s="9" t="str">
        <f>IFERROR(__xludf.DUMMYFUNCTION("""COMPUTED_VALUE"""),"AaratiC09")</f>
        <v>AaratiC09</v>
      </c>
      <c r="C2622" s="8">
        <f>IFERROR(__xludf.DUMMYFUNCTION("""COMPUTED_VALUE"""),0.0)</f>
        <v>0</v>
      </c>
      <c r="D2622" s="8"/>
    </row>
    <row r="2623">
      <c r="A2623" s="9" t="str">
        <f>IFERROR(__xludf.DUMMYFUNCTION("""COMPUTED_VALUE"""),"Batch 209 ")</f>
        <v>Batch 209 </v>
      </c>
      <c r="B2623" s="9" t="str">
        <f>IFERROR(__xludf.DUMMYFUNCTION("""COMPUTED_VALUE"""),"SuryanshC09")</f>
        <v>SuryanshC09</v>
      </c>
      <c r="C2623" s="8">
        <f>IFERROR(__xludf.DUMMYFUNCTION("""COMPUTED_VALUE"""),0.0)</f>
        <v>0</v>
      </c>
      <c r="D2623" s="8">
        <f>IFERROR(__xludf.DUMMYFUNCTION("""COMPUTED_VALUE"""),3.0)</f>
        <v>3</v>
      </c>
    </row>
    <row r="2624">
      <c r="A2624" s="9" t="str">
        <f>IFERROR(__xludf.DUMMYFUNCTION("""COMPUTED_VALUE"""),"Batch 209 ")</f>
        <v>Batch 209 </v>
      </c>
      <c r="B2624" s="9" t="str">
        <f>IFERROR(__xludf.DUMMYFUNCTION("""COMPUTED_VALUE"""),"UnnatiC09")</f>
        <v>UnnatiC09</v>
      </c>
      <c r="C2624" s="8">
        <f>IFERROR(__xludf.DUMMYFUNCTION("""COMPUTED_VALUE"""),11.0)</f>
        <v>11</v>
      </c>
      <c r="D2624" s="8">
        <f>IFERROR(__xludf.DUMMYFUNCTION("""COMPUTED_VALUE"""),3.0)</f>
        <v>3</v>
      </c>
    </row>
    <row r="2625">
      <c r="A2625" s="9" t="str">
        <f>IFERROR(__xludf.DUMMYFUNCTION("""COMPUTED_VALUE"""),"Batch 209 ")</f>
        <v>Batch 209 </v>
      </c>
      <c r="B2625" s="9" t="str">
        <f>IFERROR(__xludf.DUMMYFUNCTION("""COMPUTED_VALUE"""),"MehulC09")</f>
        <v>MehulC09</v>
      </c>
      <c r="C2625" s="8">
        <f>IFERROR(__xludf.DUMMYFUNCTION("""COMPUTED_VALUE"""),0.0)</f>
        <v>0</v>
      </c>
      <c r="D2625" s="8"/>
    </row>
    <row r="2626">
      <c r="A2626" s="9" t="str">
        <f>IFERROR(__xludf.DUMMYFUNCTION("""COMPUTED_VALUE"""),"Batch 209 ")</f>
        <v>Batch 209 </v>
      </c>
      <c r="B2626" s="9" t="str">
        <f>IFERROR(__xludf.DUMMYFUNCTION("""COMPUTED_VALUE"""),"DipaliC09")</f>
        <v>DipaliC09</v>
      </c>
      <c r="C2626" s="8">
        <f>IFERROR(__xludf.DUMMYFUNCTION("""COMPUTED_VALUE"""),2.0)</f>
        <v>2</v>
      </c>
      <c r="D2626" s="8"/>
    </row>
    <row r="2627">
      <c r="A2627" s="9" t="str">
        <f>IFERROR(__xludf.DUMMYFUNCTION("""COMPUTED_VALUE"""),"Batch 209 ")</f>
        <v>Batch 209 </v>
      </c>
      <c r="B2627" s="9" t="str">
        <f>IFERROR(__xludf.DUMMYFUNCTION("""COMPUTED_VALUE"""),"JahnaviC09")</f>
        <v>JahnaviC09</v>
      </c>
      <c r="C2627" s="8">
        <f>IFERROR(__xludf.DUMMYFUNCTION("""COMPUTED_VALUE"""),0.0)</f>
        <v>0</v>
      </c>
      <c r="D2627" s="8"/>
    </row>
    <row r="2628">
      <c r="A2628" s="9" t="str">
        <f>IFERROR(__xludf.DUMMYFUNCTION("""COMPUTED_VALUE"""),"Batch 209 ")</f>
        <v>Batch 209 </v>
      </c>
      <c r="B2628" s="9" t="str">
        <f>IFERROR(__xludf.DUMMYFUNCTION("""COMPUTED_VALUE"""),"RamakrishnanC09")</f>
        <v>RamakrishnanC09</v>
      </c>
      <c r="C2628" s="8">
        <f>IFERROR(__xludf.DUMMYFUNCTION("""COMPUTED_VALUE"""),2.0)</f>
        <v>2</v>
      </c>
      <c r="D2628" s="8"/>
    </row>
    <row r="2629">
      <c r="A2629" s="9" t="str">
        <f>IFERROR(__xludf.DUMMYFUNCTION("""COMPUTED_VALUE"""),"Batch 209 ")</f>
        <v>Batch 209 </v>
      </c>
      <c r="B2629" s="9" t="str">
        <f>IFERROR(__xludf.DUMMYFUNCTION("""COMPUTED_VALUE"""),"BonthuC09")</f>
        <v>BonthuC09</v>
      </c>
      <c r="C2629" s="8">
        <f>IFERROR(__xludf.DUMMYFUNCTION("""COMPUTED_VALUE"""),0.0)</f>
        <v>0</v>
      </c>
      <c r="D2629" s="8"/>
    </row>
    <row r="2630">
      <c r="A2630" s="9" t="str">
        <f>IFERROR(__xludf.DUMMYFUNCTION("""COMPUTED_VALUE"""),"Batch 209 ")</f>
        <v>Batch 209 </v>
      </c>
      <c r="B2630" s="9" t="str">
        <f>IFERROR(__xludf.DUMMYFUNCTION("""COMPUTED_VALUE"""),"ArchanaC09")</f>
        <v>ArchanaC09</v>
      </c>
      <c r="C2630" s="8">
        <f>IFERROR(__xludf.DUMMYFUNCTION("""COMPUTED_VALUE"""),0.0)</f>
        <v>0</v>
      </c>
      <c r="D2630" s="8"/>
    </row>
    <row r="2631">
      <c r="A2631" s="9" t="str">
        <f>IFERROR(__xludf.DUMMYFUNCTION("""COMPUTED_VALUE"""),"Batch 209 ")</f>
        <v>Batch 209 </v>
      </c>
      <c r="B2631" s="9" t="str">
        <f>IFERROR(__xludf.DUMMYFUNCTION("""COMPUTED_VALUE"""),"SuhaniC09")</f>
        <v>SuhaniC09</v>
      </c>
      <c r="C2631" s="8">
        <f>IFERROR(__xludf.DUMMYFUNCTION("""COMPUTED_VALUE"""),0.0)</f>
        <v>0</v>
      </c>
      <c r="D2631" s="8"/>
    </row>
    <row r="2632">
      <c r="A2632" s="9" t="str">
        <f>IFERROR(__xludf.DUMMYFUNCTION("""COMPUTED_VALUE"""),"Batch 209 ")</f>
        <v>Batch 209 </v>
      </c>
      <c r="B2632" s="9" t="str">
        <f>IFERROR(__xludf.DUMMYFUNCTION("""COMPUTED_VALUE"""),"HABINAVITHAC09")</f>
        <v>HABINAVITHAC09</v>
      </c>
      <c r="C2632" s="8">
        <f>IFERROR(__xludf.DUMMYFUNCTION("""COMPUTED_VALUE"""),1.0)</f>
        <v>1</v>
      </c>
      <c r="D2632" s="8"/>
    </row>
    <row r="2633">
      <c r="A2633" s="9" t="str">
        <f>IFERROR(__xludf.DUMMYFUNCTION("""COMPUTED_VALUE"""),"Batch 209 ")</f>
        <v>Batch 209 </v>
      </c>
      <c r="B2633" s="9" t="str">
        <f>IFERROR(__xludf.DUMMYFUNCTION("""COMPUTED_VALUE"""),"VirendraC09")</f>
        <v>VirendraC09</v>
      </c>
      <c r="C2633" s="8">
        <f>IFERROR(__xludf.DUMMYFUNCTION("""COMPUTED_VALUE"""),0.0)</f>
        <v>0</v>
      </c>
      <c r="D2633" s="8"/>
    </row>
    <row r="2634">
      <c r="A2634" s="9" t="str">
        <f>IFERROR(__xludf.DUMMYFUNCTION("""COMPUTED_VALUE"""),"Batch 209 ")</f>
        <v>Batch 209 </v>
      </c>
      <c r="B2634" s="9" t="str">
        <f>IFERROR(__xludf.DUMMYFUNCTION("""COMPUTED_VALUE"""),"MehakC09")</f>
        <v>MehakC09</v>
      </c>
      <c r="C2634" s="8">
        <f>IFERROR(__xludf.DUMMYFUNCTION("""COMPUTED_VALUE"""),3.0)</f>
        <v>3</v>
      </c>
      <c r="D2634" s="8">
        <f>IFERROR(__xludf.DUMMYFUNCTION("""COMPUTED_VALUE"""),1.0)</f>
        <v>1</v>
      </c>
    </row>
    <row r="2635">
      <c r="A2635" s="9" t="str">
        <f>IFERROR(__xludf.DUMMYFUNCTION("""COMPUTED_VALUE"""),"Batch 209 ")</f>
        <v>Batch 209 </v>
      </c>
      <c r="B2635" s="9" t="str">
        <f>IFERROR(__xludf.DUMMYFUNCTION("""COMPUTED_VALUE"""),"ShimtiC09")</f>
        <v>ShimtiC09</v>
      </c>
      <c r="C2635" s="8">
        <f>IFERROR(__xludf.DUMMYFUNCTION("""COMPUTED_VALUE"""),9.0)</f>
        <v>9</v>
      </c>
      <c r="D2635" s="8">
        <f>IFERROR(__xludf.DUMMYFUNCTION("""COMPUTED_VALUE"""),1.0)</f>
        <v>1</v>
      </c>
    </row>
    <row r="2636">
      <c r="A2636" s="9" t="str">
        <f>IFERROR(__xludf.DUMMYFUNCTION("""COMPUTED_VALUE"""),"Batch 209 ")</f>
        <v>Batch 209 </v>
      </c>
      <c r="B2636" s="9" t="str">
        <f>IFERROR(__xludf.DUMMYFUNCTION("""COMPUTED_VALUE"""),"RiyaC09")</f>
        <v>RiyaC09</v>
      </c>
      <c r="C2636" s="8">
        <f>IFERROR(__xludf.DUMMYFUNCTION("""COMPUTED_VALUE"""),0.0)</f>
        <v>0</v>
      </c>
      <c r="D2636" s="8"/>
    </row>
    <row r="2637">
      <c r="A2637" s="9" t="str">
        <f>IFERROR(__xludf.DUMMYFUNCTION("""COMPUTED_VALUE"""),"Batch 209 ")</f>
        <v>Batch 209 </v>
      </c>
      <c r="B2637" s="9" t="str">
        <f>IFERROR(__xludf.DUMMYFUNCTION("""COMPUTED_VALUE"""),"PawanC09")</f>
        <v>PawanC09</v>
      </c>
      <c r="C2637" s="8">
        <f>IFERROR(__xludf.DUMMYFUNCTION("""COMPUTED_VALUE"""),0.0)</f>
        <v>0</v>
      </c>
      <c r="D2637" s="8"/>
    </row>
    <row r="2638">
      <c r="A2638" s="9" t="str">
        <f>IFERROR(__xludf.DUMMYFUNCTION("""COMPUTED_VALUE"""),"Batch 209 ")</f>
        <v>Batch 209 </v>
      </c>
      <c r="B2638" s="9" t="str">
        <f>IFERROR(__xludf.DUMMYFUNCTION("""COMPUTED_VALUE"""),"RanjeetC09")</f>
        <v>RanjeetC09</v>
      </c>
      <c r="C2638" s="8">
        <f>IFERROR(__xludf.DUMMYFUNCTION("""COMPUTED_VALUE"""),0.0)</f>
        <v>0</v>
      </c>
      <c r="D2638" s="8"/>
    </row>
    <row r="2639">
      <c r="A2639" s="9" t="str">
        <f>IFERROR(__xludf.DUMMYFUNCTION("""COMPUTED_VALUE"""),"Batch 209 ")</f>
        <v>Batch 209 </v>
      </c>
      <c r="B2639" s="9" t="str">
        <f>IFERROR(__xludf.DUMMYFUNCTION("""COMPUTED_VALUE"""),"RaghavC09")</f>
        <v>RaghavC09</v>
      </c>
      <c r="C2639" s="8">
        <f>IFERROR(__xludf.DUMMYFUNCTION("""COMPUTED_VALUE"""),0.0)</f>
        <v>0</v>
      </c>
      <c r="D2639" s="8"/>
    </row>
    <row r="2640">
      <c r="A2640" s="9" t="str">
        <f>IFERROR(__xludf.DUMMYFUNCTION("""COMPUTED_VALUE"""),"Batch 209 ")</f>
        <v>Batch 209 </v>
      </c>
      <c r="B2640" s="9" t="str">
        <f>IFERROR(__xludf.DUMMYFUNCTION("""COMPUTED_VALUE"""),"GarvC09")</f>
        <v>GarvC09</v>
      </c>
      <c r="C2640" s="8">
        <f>IFERROR(__xludf.DUMMYFUNCTION("""COMPUTED_VALUE"""),0.0)</f>
        <v>0</v>
      </c>
      <c r="D2640" s="8"/>
    </row>
    <row r="2641">
      <c r="A2641" s="9" t="str">
        <f>IFERROR(__xludf.DUMMYFUNCTION("""COMPUTED_VALUE"""),"Batch 209 ")</f>
        <v>Batch 209 </v>
      </c>
      <c r="B2641" s="9" t="str">
        <f>IFERROR(__xludf.DUMMYFUNCTION("""COMPUTED_VALUE"""),"VaishnaviC09")</f>
        <v>VaishnaviC09</v>
      </c>
      <c r="C2641" s="8">
        <f>IFERROR(__xludf.DUMMYFUNCTION("""COMPUTED_VALUE"""),0.0)</f>
        <v>0</v>
      </c>
      <c r="D2641" s="8"/>
    </row>
    <row r="2642">
      <c r="A2642" s="9" t="str">
        <f>IFERROR(__xludf.DUMMYFUNCTION("""COMPUTED_VALUE"""),"Batch 209 ")</f>
        <v>Batch 209 </v>
      </c>
      <c r="B2642" s="9" t="str">
        <f>IFERROR(__xludf.DUMMYFUNCTION("""COMPUTED_VALUE"""),"NavyaC09")</f>
        <v>NavyaC09</v>
      </c>
      <c r="C2642" s="8">
        <f>IFERROR(__xludf.DUMMYFUNCTION("""COMPUTED_VALUE"""),0.0)</f>
        <v>0</v>
      </c>
      <c r="D2642" s="8"/>
    </row>
    <row r="2643">
      <c r="A2643" s="9" t="str">
        <f>IFERROR(__xludf.DUMMYFUNCTION("""COMPUTED_VALUE"""),"Batch 209 ")</f>
        <v>Batch 209 </v>
      </c>
      <c r="B2643" s="9" t="str">
        <f>IFERROR(__xludf.DUMMYFUNCTION("""COMPUTED_VALUE"""),"AvanishC09")</f>
        <v>AvanishC09</v>
      </c>
      <c r="C2643" s="8">
        <f>IFERROR(__xludf.DUMMYFUNCTION("""COMPUTED_VALUE"""),0.0)</f>
        <v>0</v>
      </c>
      <c r="D2643" s="8"/>
    </row>
    <row r="2644">
      <c r="A2644" s="9" t="str">
        <f>IFERROR(__xludf.DUMMYFUNCTION("""COMPUTED_VALUE"""),"Batch 209 ")</f>
        <v>Batch 209 </v>
      </c>
      <c r="B2644" s="9" t="str">
        <f>IFERROR(__xludf.DUMMYFUNCTION("""COMPUTED_VALUE"""),"PiyushC09")</f>
        <v>PiyushC09</v>
      </c>
      <c r="C2644" s="8">
        <f>IFERROR(__xludf.DUMMYFUNCTION("""COMPUTED_VALUE"""),0.0)</f>
        <v>0</v>
      </c>
      <c r="D2644" s="8"/>
    </row>
    <row r="2645">
      <c r="A2645" s="9" t="str">
        <f>IFERROR(__xludf.DUMMYFUNCTION("""COMPUTED_VALUE"""),"Batch 209 ")</f>
        <v>Batch 209 </v>
      </c>
      <c r="B2645" s="9" t="str">
        <f>IFERROR(__xludf.DUMMYFUNCTION("""COMPUTED_VALUE"""),"ReshmiC09")</f>
        <v>ReshmiC09</v>
      </c>
      <c r="C2645" s="8">
        <f>IFERROR(__xludf.DUMMYFUNCTION("""COMPUTED_VALUE"""),0.0)</f>
        <v>0</v>
      </c>
      <c r="D2645" s="8"/>
    </row>
    <row r="2646">
      <c r="A2646" s="9" t="str">
        <f>IFERROR(__xludf.DUMMYFUNCTION("""COMPUTED_VALUE"""),"Batch 209 ")</f>
        <v>Batch 209 </v>
      </c>
      <c r="B2646" s="9" t="str">
        <f>IFERROR(__xludf.DUMMYFUNCTION("""COMPUTED_VALUE"""),"SmritiC09")</f>
        <v>SmritiC09</v>
      </c>
      <c r="C2646" s="8">
        <f>IFERROR(__xludf.DUMMYFUNCTION("""COMPUTED_VALUE"""),0.0)</f>
        <v>0</v>
      </c>
      <c r="D2646" s="8"/>
    </row>
    <row r="2647">
      <c r="A2647" s="9" t="str">
        <f>IFERROR(__xludf.DUMMYFUNCTION("""COMPUTED_VALUE"""),"Batch 209 ")</f>
        <v>Batch 209 </v>
      </c>
      <c r="B2647" s="9" t="str">
        <f>IFERROR(__xludf.DUMMYFUNCTION("""COMPUTED_VALUE"""),"AfifaC09")</f>
        <v>AfifaC09</v>
      </c>
      <c r="C2647" s="8">
        <f>IFERROR(__xludf.DUMMYFUNCTION("""COMPUTED_VALUE"""),0.0)</f>
        <v>0</v>
      </c>
      <c r="D2647" s="8"/>
    </row>
    <row r="2648">
      <c r="A2648" s="9" t="str">
        <f>IFERROR(__xludf.DUMMYFUNCTION("""COMPUTED_VALUE"""),"Batch 209 ")</f>
        <v>Batch 209 </v>
      </c>
      <c r="B2648" s="9" t="str">
        <f>IFERROR(__xludf.DUMMYFUNCTION("""COMPUTED_VALUE"""),"KundanC09")</f>
        <v>KundanC09</v>
      </c>
      <c r="C2648" s="8">
        <f>IFERROR(__xludf.DUMMYFUNCTION("""COMPUTED_VALUE"""),0.0)</f>
        <v>0</v>
      </c>
      <c r="D2648" s="8"/>
    </row>
    <row r="2649">
      <c r="A2649" s="9" t="str">
        <f>IFERROR(__xludf.DUMMYFUNCTION("""COMPUTED_VALUE"""),"Batch 209 ")</f>
        <v>Batch 209 </v>
      </c>
      <c r="B2649" s="9" t="str">
        <f>IFERROR(__xludf.DUMMYFUNCTION("""COMPUTED_VALUE"""),"YashC09")</f>
        <v>YashC09</v>
      </c>
      <c r="C2649" s="8">
        <f>IFERROR(__xludf.DUMMYFUNCTION("""COMPUTED_VALUE"""),0.0)</f>
        <v>0</v>
      </c>
      <c r="D2649" s="8"/>
    </row>
    <row r="2650">
      <c r="A2650" s="9" t="str">
        <f>IFERROR(__xludf.DUMMYFUNCTION("""COMPUTED_VALUE"""),"Batch 209 ")</f>
        <v>Batch 209 </v>
      </c>
      <c r="B2650" s="9" t="str">
        <f>IFERROR(__xludf.DUMMYFUNCTION("""COMPUTED_VALUE"""),"BhaveshC09")</f>
        <v>BhaveshC09</v>
      </c>
      <c r="C2650" s="8">
        <f>IFERROR(__xludf.DUMMYFUNCTION("""COMPUTED_VALUE"""),0.0)</f>
        <v>0</v>
      </c>
      <c r="D2650" s="8"/>
    </row>
    <row r="2651">
      <c r="A2651" s="9" t="str">
        <f>IFERROR(__xludf.DUMMYFUNCTION("""COMPUTED_VALUE"""),"Batch 209 ")</f>
        <v>Batch 209 </v>
      </c>
      <c r="B2651" s="9" t="str">
        <f>IFERROR(__xludf.DUMMYFUNCTION("""COMPUTED_VALUE"""),"CharuC09")</f>
        <v>CharuC09</v>
      </c>
      <c r="C2651" s="8">
        <f>IFERROR(__xludf.DUMMYFUNCTION("""COMPUTED_VALUE"""),0.0)</f>
        <v>0</v>
      </c>
      <c r="D2651" s="8"/>
    </row>
    <row r="2652">
      <c r="A2652" s="9" t="str">
        <f>IFERROR(__xludf.DUMMYFUNCTION("""COMPUTED_VALUE"""),"Batch 209 ")</f>
        <v>Batch 209 </v>
      </c>
      <c r="B2652" s="9" t="str">
        <f>IFERROR(__xludf.DUMMYFUNCTION("""COMPUTED_VALUE"""),"UTKARSHC09")</f>
        <v>UTKARSHC09</v>
      </c>
      <c r="C2652" s="8">
        <f>IFERROR(__xludf.DUMMYFUNCTION("""COMPUTED_VALUE"""),1.0)</f>
        <v>1</v>
      </c>
      <c r="D2652" s="8"/>
    </row>
    <row r="2653">
      <c r="A2653" s="9" t="str">
        <f>IFERROR(__xludf.DUMMYFUNCTION("""COMPUTED_VALUE"""),"Batch 209 ")</f>
        <v>Batch 209 </v>
      </c>
      <c r="B2653" s="9" t="str">
        <f>IFERROR(__xludf.DUMMYFUNCTION("""COMPUTED_VALUE"""),"CharuC09")</f>
        <v>CharuC09</v>
      </c>
      <c r="C2653" s="8">
        <f>IFERROR(__xludf.DUMMYFUNCTION("""COMPUTED_VALUE"""),0.0)</f>
        <v>0</v>
      </c>
      <c r="D2653" s="8"/>
    </row>
    <row r="2654">
      <c r="A2654" s="9" t="str">
        <f>IFERROR(__xludf.DUMMYFUNCTION("""COMPUTED_VALUE"""),"Batch 209 ")</f>
        <v>Batch 209 </v>
      </c>
      <c r="B2654" s="9" t="str">
        <f>IFERROR(__xludf.DUMMYFUNCTION("""COMPUTED_VALUE"""),"AditiC09")</f>
        <v>AditiC09</v>
      </c>
      <c r="C2654" s="8">
        <f>IFERROR(__xludf.DUMMYFUNCTION("""COMPUTED_VALUE"""),0.0)</f>
        <v>0</v>
      </c>
      <c r="D2654" s="8"/>
    </row>
    <row r="2655">
      <c r="A2655" s="9" t="str">
        <f>IFERROR(__xludf.DUMMYFUNCTION("""COMPUTED_VALUE"""),"Batch 209 ")</f>
        <v>Batch 209 </v>
      </c>
      <c r="B2655" s="9" t="str">
        <f>IFERROR(__xludf.DUMMYFUNCTION("""COMPUTED_VALUE"""),"PrithaC09")</f>
        <v>PrithaC09</v>
      </c>
      <c r="C2655" s="8">
        <f>IFERROR(__xludf.DUMMYFUNCTION("""COMPUTED_VALUE"""),0.0)</f>
        <v>0</v>
      </c>
      <c r="D2655" s="8"/>
    </row>
    <row r="2656">
      <c r="A2656" s="9" t="str">
        <f>IFERROR(__xludf.DUMMYFUNCTION("""COMPUTED_VALUE"""),"Batch 209 ")</f>
        <v>Batch 209 </v>
      </c>
      <c r="B2656" s="9" t="str">
        <f>IFERROR(__xludf.DUMMYFUNCTION("""COMPUTED_VALUE"""),"ElishaC09")</f>
        <v>ElishaC09</v>
      </c>
      <c r="C2656" s="8">
        <f>IFERROR(__xludf.DUMMYFUNCTION("""COMPUTED_VALUE"""),0.0)</f>
        <v>0</v>
      </c>
      <c r="D2656" s="8"/>
    </row>
    <row r="2657">
      <c r="A2657" s="9" t="str">
        <f>IFERROR(__xludf.DUMMYFUNCTION("""COMPUTED_VALUE"""),"Batch 209 ")</f>
        <v>Batch 209 </v>
      </c>
      <c r="B2657" s="9" t="str">
        <f>IFERROR(__xludf.DUMMYFUNCTION("""COMPUTED_VALUE"""),"BiswajitaC09")</f>
        <v>BiswajitaC09</v>
      </c>
      <c r="C2657" s="8">
        <f>IFERROR(__xludf.DUMMYFUNCTION("""COMPUTED_VALUE"""),0.0)</f>
        <v>0</v>
      </c>
      <c r="D2657" s="8"/>
    </row>
    <row r="2658">
      <c r="A2658" s="9" t="str">
        <f>IFERROR(__xludf.DUMMYFUNCTION("""COMPUTED_VALUE"""),"Batch 209 ")</f>
        <v>Batch 209 </v>
      </c>
      <c r="B2658" s="9" t="str">
        <f>IFERROR(__xludf.DUMMYFUNCTION("""COMPUTED_VALUE"""),"VijayC09")</f>
        <v>VijayC09</v>
      </c>
      <c r="C2658" s="8">
        <f>IFERROR(__xludf.DUMMYFUNCTION("""COMPUTED_VALUE"""),0.0)</f>
        <v>0</v>
      </c>
      <c r="D2658" s="8"/>
    </row>
    <row r="2659">
      <c r="A2659" s="9" t="str">
        <f>IFERROR(__xludf.DUMMYFUNCTION("""COMPUTED_VALUE"""),"Batch 209 ")</f>
        <v>Batch 209 </v>
      </c>
      <c r="B2659" s="9" t="str">
        <f>IFERROR(__xludf.DUMMYFUNCTION("""COMPUTED_VALUE"""),"GreeshmaC09")</f>
        <v>GreeshmaC09</v>
      </c>
      <c r="C2659" s="8">
        <f>IFERROR(__xludf.DUMMYFUNCTION("""COMPUTED_VALUE"""),9.0)</f>
        <v>9</v>
      </c>
      <c r="D2659" s="8"/>
    </row>
    <row r="2660">
      <c r="A2660" s="9" t="str">
        <f>IFERROR(__xludf.DUMMYFUNCTION("""COMPUTED_VALUE"""),"Batch 209 ")</f>
        <v>Batch 209 </v>
      </c>
      <c r="B2660" s="9" t="str">
        <f>IFERROR(__xludf.DUMMYFUNCTION("""COMPUTED_VALUE"""),"UmaC09")</f>
        <v>UmaC09</v>
      </c>
      <c r="C2660" s="8">
        <f>IFERROR(__xludf.DUMMYFUNCTION("""COMPUTED_VALUE"""),7.0)</f>
        <v>7</v>
      </c>
      <c r="D2660" s="8"/>
    </row>
    <row r="2661">
      <c r="A2661" s="9" t="str">
        <f>IFERROR(__xludf.DUMMYFUNCTION("""COMPUTED_VALUE"""),"Batch 209 ")</f>
        <v>Batch 209 </v>
      </c>
      <c r="B2661" s="9" t="str">
        <f>IFERROR(__xludf.DUMMYFUNCTION("""COMPUTED_VALUE"""),"DevC09")</f>
        <v>DevC09</v>
      </c>
      <c r="C2661" s="8">
        <f>IFERROR(__xludf.DUMMYFUNCTION("""COMPUTED_VALUE"""),6.0)</f>
        <v>6</v>
      </c>
      <c r="D2661" s="8">
        <f>IFERROR(__xludf.DUMMYFUNCTION("""COMPUTED_VALUE"""),2.0)</f>
        <v>2</v>
      </c>
    </row>
    <row r="2662">
      <c r="A2662" s="9" t="str">
        <f>IFERROR(__xludf.DUMMYFUNCTION("""COMPUTED_VALUE"""),"Batch 209 ")</f>
        <v>Batch 209 </v>
      </c>
      <c r="B2662" s="9" t="str">
        <f>IFERROR(__xludf.DUMMYFUNCTION("""COMPUTED_VALUE"""),"T.C09")</f>
        <v>T.C09</v>
      </c>
      <c r="C2662" s="8">
        <f>IFERROR(__xludf.DUMMYFUNCTION("""COMPUTED_VALUE"""),60.0)</f>
        <v>60</v>
      </c>
      <c r="D2662" s="8">
        <f>IFERROR(__xludf.DUMMYFUNCTION("""COMPUTED_VALUE"""),13.0)</f>
        <v>13</v>
      </c>
    </row>
    <row r="2663">
      <c r="A2663" s="9" t="str">
        <f>IFERROR(__xludf.DUMMYFUNCTION("""COMPUTED_VALUE"""),"Batch 209 ")</f>
        <v>Batch 209 </v>
      </c>
      <c r="B2663" s="9" t="str">
        <f>IFERROR(__xludf.DUMMYFUNCTION("""COMPUTED_VALUE"""),"ArkaprabhaC09")</f>
        <v>ArkaprabhaC09</v>
      </c>
      <c r="C2663" s="8">
        <f>IFERROR(__xludf.DUMMYFUNCTION("""COMPUTED_VALUE"""),0.0)</f>
        <v>0</v>
      </c>
      <c r="D2663" s="8"/>
    </row>
    <row r="2664">
      <c r="A2664" s="9" t="str">
        <f>IFERROR(__xludf.DUMMYFUNCTION("""COMPUTED_VALUE"""),"Batch 209 ")</f>
        <v>Batch 209 </v>
      </c>
      <c r="B2664" s="9" t="str">
        <f>IFERROR(__xludf.DUMMYFUNCTION("""COMPUTED_VALUE"""),"IshikaC09")</f>
        <v>IshikaC09</v>
      </c>
      <c r="C2664" s="8">
        <f>IFERROR(__xludf.DUMMYFUNCTION("""COMPUTED_VALUE"""),0.0)</f>
        <v>0</v>
      </c>
      <c r="D2664" s="8"/>
    </row>
    <row r="2665">
      <c r="A2665" s="9" t="str">
        <f>IFERROR(__xludf.DUMMYFUNCTION("""COMPUTED_VALUE"""),"Batch 209 ")</f>
        <v>Batch 209 </v>
      </c>
      <c r="B2665" s="9" t="str">
        <f>IFERROR(__xludf.DUMMYFUNCTION("""COMPUTED_VALUE"""),"PiyushC09")</f>
        <v>PiyushC09</v>
      </c>
      <c r="C2665" s="8">
        <f>IFERROR(__xludf.DUMMYFUNCTION("""COMPUTED_VALUE"""),0.0)</f>
        <v>0</v>
      </c>
      <c r="D2665" s="8"/>
    </row>
    <row r="2666">
      <c r="A2666" s="9"/>
      <c r="B2666" s="9"/>
      <c r="C2666" s="8">
        <f>IFERROR(__xludf.DUMMYFUNCTION("""COMPUTED_VALUE"""),0.0)</f>
        <v>0</v>
      </c>
      <c r="D2666" s="8"/>
    </row>
    <row r="2667">
      <c r="A2667" s="9" t="str">
        <f>IFERROR(__xludf.DUMMYFUNCTION("""COMPUTED_VALUE"""),"Batch 210")</f>
        <v>Batch 210</v>
      </c>
      <c r="B2667" s="9" t="str">
        <f>IFERROR(__xludf.DUMMYFUNCTION("""COMPUTED_VALUE"""),"BibhorC10")</f>
        <v>BibhorC10</v>
      </c>
      <c r="C2667" s="8">
        <f>IFERROR(__xludf.DUMMYFUNCTION("""COMPUTED_VALUE"""),0.0)</f>
        <v>0</v>
      </c>
      <c r="D2667" s="8"/>
    </row>
    <row r="2668">
      <c r="A2668" s="9" t="str">
        <f>IFERROR(__xludf.DUMMYFUNCTION("""COMPUTED_VALUE"""),"Batch 210")</f>
        <v>Batch 210</v>
      </c>
      <c r="B2668" s="9" t="str">
        <f>IFERROR(__xludf.DUMMYFUNCTION("""COMPUTED_VALUE"""),"GowlikarC10")</f>
        <v>GowlikarC10</v>
      </c>
      <c r="C2668" s="8">
        <f>IFERROR(__xludf.DUMMYFUNCTION("""COMPUTED_VALUE"""),1.0)</f>
        <v>1</v>
      </c>
      <c r="D2668" s="8"/>
    </row>
    <row r="2669">
      <c r="A2669" s="9" t="str">
        <f>IFERROR(__xludf.DUMMYFUNCTION("""COMPUTED_VALUE"""),"Batch 210")</f>
        <v>Batch 210</v>
      </c>
      <c r="B2669" s="9" t="str">
        <f>IFERROR(__xludf.DUMMYFUNCTION("""COMPUTED_VALUE"""),"PriyaC10")</f>
        <v>PriyaC10</v>
      </c>
      <c r="C2669" s="8">
        <f>IFERROR(__xludf.DUMMYFUNCTION("""COMPUTED_VALUE"""),0.0)</f>
        <v>0</v>
      </c>
      <c r="D2669" s="8"/>
    </row>
    <row r="2670">
      <c r="A2670" s="9" t="str">
        <f>IFERROR(__xludf.DUMMYFUNCTION("""COMPUTED_VALUE"""),"Batch 210")</f>
        <v>Batch 210</v>
      </c>
      <c r="B2670" s="9" t="str">
        <f>IFERROR(__xludf.DUMMYFUNCTION("""COMPUTED_VALUE"""),"BinitaC10")</f>
        <v>BinitaC10</v>
      </c>
      <c r="C2670" s="8">
        <f>IFERROR(__xludf.DUMMYFUNCTION("""COMPUTED_VALUE"""),0.0)</f>
        <v>0</v>
      </c>
      <c r="D2670" s="8"/>
    </row>
    <row r="2671">
      <c r="A2671" s="9" t="str">
        <f>IFERROR(__xludf.DUMMYFUNCTION("""COMPUTED_VALUE"""),"Batch 210")</f>
        <v>Batch 210</v>
      </c>
      <c r="B2671" s="9" t="str">
        <f>IFERROR(__xludf.DUMMYFUNCTION("""COMPUTED_VALUE"""),"AyushAC10")</f>
        <v>AyushAC10</v>
      </c>
      <c r="C2671" s="8">
        <f>IFERROR(__xludf.DUMMYFUNCTION("""COMPUTED_VALUE"""),0.0)</f>
        <v>0</v>
      </c>
      <c r="D2671" s="8"/>
    </row>
    <row r="2672">
      <c r="A2672" s="9" t="str">
        <f>IFERROR(__xludf.DUMMYFUNCTION("""COMPUTED_VALUE"""),"Batch 210")</f>
        <v>Batch 210</v>
      </c>
      <c r="B2672" s="9" t="str">
        <f>IFERROR(__xludf.DUMMYFUNCTION("""COMPUTED_VALUE"""),"AniketC10")</f>
        <v>AniketC10</v>
      </c>
      <c r="C2672" s="8">
        <f>IFERROR(__xludf.DUMMYFUNCTION("""COMPUTED_VALUE"""),0.0)</f>
        <v>0</v>
      </c>
      <c r="D2672" s="8"/>
    </row>
    <row r="2673">
      <c r="A2673" s="9" t="str">
        <f>IFERROR(__xludf.DUMMYFUNCTION("""COMPUTED_VALUE"""),"Batch 210")</f>
        <v>Batch 210</v>
      </c>
      <c r="B2673" s="9" t="str">
        <f>IFERROR(__xludf.DUMMYFUNCTION("""COMPUTED_VALUE"""),"KhushiGC10")</f>
        <v>KhushiGC10</v>
      </c>
      <c r="C2673" s="8">
        <f>IFERROR(__xludf.DUMMYFUNCTION("""COMPUTED_VALUE"""),0.0)</f>
        <v>0</v>
      </c>
      <c r="D2673" s="8"/>
    </row>
    <row r="2674">
      <c r="A2674" s="9" t="str">
        <f>IFERROR(__xludf.DUMMYFUNCTION("""COMPUTED_VALUE"""),"Batch 210")</f>
        <v>Batch 210</v>
      </c>
      <c r="B2674" s="9" t="str">
        <f>IFERROR(__xludf.DUMMYFUNCTION("""COMPUTED_VALUE"""),"DiwakarC10")</f>
        <v>DiwakarC10</v>
      </c>
      <c r="C2674" s="8">
        <f>IFERROR(__xludf.DUMMYFUNCTION("""COMPUTED_VALUE"""),0.0)</f>
        <v>0</v>
      </c>
      <c r="D2674" s="8"/>
    </row>
    <row r="2675">
      <c r="A2675" s="9" t="str">
        <f>IFERROR(__xludf.DUMMYFUNCTION("""COMPUTED_VALUE"""),"Batch 210")</f>
        <v>Batch 210</v>
      </c>
      <c r="B2675" s="9" t="str">
        <f>IFERROR(__xludf.DUMMYFUNCTION("""COMPUTED_VALUE"""),"NehaJC10")</f>
        <v>NehaJC10</v>
      </c>
      <c r="C2675" s="8">
        <f>IFERROR(__xludf.DUMMYFUNCTION("""COMPUTED_VALUE"""),1.0)</f>
        <v>1</v>
      </c>
      <c r="D2675" s="8"/>
    </row>
    <row r="2676">
      <c r="A2676" s="9" t="str">
        <f>IFERROR(__xludf.DUMMYFUNCTION("""COMPUTED_VALUE"""),"Batch 210")</f>
        <v>Batch 210</v>
      </c>
      <c r="B2676" s="9" t="str">
        <f>IFERROR(__xludf.DUMMYFUNCTION("""COMPUTED_VALUE"""),"DivyanshiC10")</f>
        <v>DivyanshiC10</v>
      </c>
      <c r="C2676" s="8">
        <f>IFERROR(__xludf.DUMMYFUNCTION("""COMPUTED_VALUE"""),0.0)</f>
        <v>0</v>
      </c>
      <c r="D2676" s="8"/>
    </row>
    <row r="2677">
      <c r="A2677" s="9" t="str">
        <f>IFERROR(__xludf.DUMMYFUNCTION("""COMPUTED_VALUE"""),"Batch 210")</f>
        <v>Batch 210</v>
      </c>
      <c r="B2677" s="9" t="str">
        <f>IFERROR(__xludf.DUMMYFUNCTION("""COMPUTED_VALUE"""),"PratikRC10")</f>
        <v>PratikRC10</v>
      </c>
      <c r="C2677" s="8">
        <f>IFERROR(__xludf.DUMMYFUNCTION("""COMPUTED_VALUE"""),0.0)</f>
        <v>0</v>
      </c>
      <c r="D2677" s="8"/>
    </row>
    <row r="2678">
      <c r="A2678" s="9" t="str">
        <f>IFERROR(__xludf.DUMMYFUNCTION("""COMPUTED_VALUE"""),"Batch 210")</f>
        <v>Batch 210</v>
      </c>
      <c r="B2678" s="9" t="str">
        <f>IFERROR(__xludf.DUMMYFUNCTION("""COMPUTED_VALUE"""),"DewansheeC10")</f>
        <v>DewansheeC10</v>
      </c>
      <c r="C2678" s="8">
        <f>IFERROR(__xludf.DUMMYFUNCTION("""COMPUTED_VALUE"""),0.0)</f>
        <v>0</v>
      </c>
      <c r="D2678" s="8"/>
    </row>
    <row r="2679">
      <c r="A2679" s="9" t="str">
        <f>IFERROR(__xludf.DUMMYFUNCTION("""COMPUTED_VALUE"""),"Batch 210")</f>
        <v>Batch 210</v>
      </c>
      <c r="B2679" s="9" t="str">
        <f>IFERROR(__xludf.DUMMYFUNCTION("""COMPUTED_VALUE"""),"RamC10")</f>
        <v>RamC10</v>
      </c>
      <c r="C2679" s="8">
        <f>IFERROR(__xludf.DUMMYFUNCTION("""COMPUTED_VALUE"""),0.0)</f>
        <v>0</v>
      </c>
      <c r="D2679" s="8"/>
    </row>
    <row r="2680">
      <c r="A2680" s="9" t="str">
        <f>IFERROR(__xludf.DUMMYFUNCTION("""COMPUTED_VALUE"""),"Batch 210")</f>
        <v>Batch 210</v>
      </c>
      <c r="B2680" s="9" t="str">
        <f>IFERROR(__xludf.DUMMYFUNCTION("""COMPUTED_VALUE"""),"BipashaC10")</f>
        <v>BipashaC10</v>
      </c>
      <c r="C2680" s="8">
        <f>IFERROR(__xludf.DUMMYFUNCTION("""COMPUTED_VALUE"""),0.0)</f>
        <v>0</v>
      </c>
      <c r="D2680" s="8"/>
    </row>
    <row r="2681">
      <c r="A2681" s="9" t="str">
        <f>IFERROR(__xludf.DUMMYFUNCTION("""COMPUTED_VALUE"""),"Batch 210")</f>
        <v>Batch 210</v>
      </c>
      <c r="B2681" s="9" t="str">
        <f>IFERROR(__xludf.DUMMYFUNCTION("""COMPUTED_VALUE"""),"ShaikC10")</f>
        <v>ShaikC10</v>
      </c>
      <c r="C2681" s="8">
        <f>IFERROR(__xludf.DUMMYFUNCTION("""COMPUTED_VALUE"""),0.0)</f>
        <v>0</v>
      </c>
      <c r="D2681" s="8"/>
    </row>
    <row r="2682">
      <c r="A2682" s="9" t="str">
        <f>IFERROR(__xludf.DUMMYFUNCTION("""COMPUTED_VALUE"""),"Batch 210")</f>
        <v>Batch 210</v>
      </c>
      <c r="B2682" s="9" t="str">
        <f>IFERROR(__xludf.DUMMYFUNCTION("""COMPUTED_VALUE"""),"MathanC10")</f>
        <v>MathanC10</v>
      </c>
      <c r="C2682" s="8">
        <f>IFERROR(__xludf.DUMMYFUNCTION("""COMPUTED_VALUE"""),0.0)</f>
        <v>0</v>
      </c>
      <c r="D2682" s="8"/>
    </row>
    <row r="2683">
      <c r="A2683" s="9" t="str">
        <f>IFERROR(__xludf.DUMMYFUNCTION("""COMPUTED_VALUE"""),"Batch 210")</f>
        <v>Batch 210</v>
      </c>
      <c r="B2683" s="9" t="str">
        <f>IFERROR(__xludf.DUMMYFUNCTION("""COMPUTED_VALUE"""),"HimanshuC10")</f>
        <v>HimanshuC10</v>
      </c>
      <c r="C2683" s="8">
        <f>IFERROR(__xludf.DUMMYFUNCTION("""COMPUTED_VALUE"""),9.0)</f>
        <v>9</v>
      </c>
      <c r="D2683" s="8"/>
    </row>
    <row r="2684">
      <c r="A2684" s="9" t="str">
        <f>IFERROR(__xludf.DUMMYFUNCTION("""COMPUTED_VALUE"""),"Batch 210")</f>
        <v>Batch 210</v>
      </c>
      <c r="B2684" s="9" t="str">
        <f>IFERROR(__xludf.DUMMYFUNCTION("""COMPUTED_VALUE"""),"AkashC10")</f>
        <v>AkashC10</v>
      </c>
      <c r="C2684" s="8">
        <f>IFERROR(__xludf.DUMMYFUNCTION("""COMPUTED_VALUE"""),0.0)</f>
        <v>0</v>
      </c>
      <c r="D2684" s="8"/>
    </row>
    <row r="2685">
      <c r="A2685" s="9" t="str">
        <f>IFERROR(__xludf.DUMMYFUNCTION("""COMPUTED_VALUE"""),"Batch 210")</f>
        <v>Batch 210</v>
      </c>
      <c r="B2685" s="9" t="str">
        <f>IFERROR(__xludf.DUMMYFUNCTION("""COMPUTED_VALUE"""),"NehaC10")</f>
        <v>NehaC10</v>
      </c>
      <c r="C2685" s="8">
        <f>IFERROR(__xludf.DUMMYFUNCTION("""COMPUTED_VALUE"""),0.0)</f>
        <v>0</v>
      </c>
      <c r="D2685" s="8"/>
    </row>
    <row r="2686">
      <c r="A2686" s="9" t="str">
        <f>IFERROR(__xludf.DUMMYFUNCTION("""COMPUTED_VALUE"""),"Batch 210")</f>
        <v>Batch 210</v>
      </c>
      <c r="B2686" s="9" t="str">
        <f>IFERROR(__xludf.DUMMYFUNCTION("""COMPUTED_VALUE"""),"BibekC10")</f>
        <v>BibekC10</v>
      </c>
      <c r="C2686" s="8">
        <f>IFERROR(__xludf.DUMMYFUNCTION("""COMPUTED_VALUE"""),0.0)</f>
        <v>0</v>
      </c>
      <c r="D2686" s="8"/>
    </row>
    <row r="2687">
      <c r="A2687" s="9" t="str">
        <f>IFERROR(__xludf.DUMMYFUNCTION("""COMPUTED_VALUE"""),"Batch 210")</f>
        <v>Batch 210</v>
      </c>
      <c r="B2687" s="9" t="str">
        <f>IFERROR(__xludf.DUMMYFUNCTION("""COMPUTED_VALUE"""),"peddireddyC10")</f>
        <v>peddireddyC10</v>
      </c>
      <c r="C2687" s="8">
        <f>IFERROR(__xludf.DUMMYFUNCTION("""COMPUTED_VALUE"""),0.0)</f>
        <v>0</v>
      </c>
      <c r="D2687" s="8"/>
    </row>
    <row r="2688">
      <c r="A2688" s="9" t="str">
        <f>IFERROR(__xludf.DUMMYFUNCTION("""COMPUTED_VALUE"""),"Batch 210")</f>
        <v>Batch 210</v>
      </c>
      <c r="B2688" s="9" t="str">
        <f>IFERROR(__xludf.DUMMYFUNCTION("""COMPUTED_VALUE"""),"SrijitC10")</f>
        <v>SrijitC10</v>
      </c>
      <c r="C2688" s="8">
        <f>IFERROR(__xludf.DUMMYFUNCTION("""COMPUTED_VALUE"""),0.0)</f>
        <v>0</v>
      </c>
      <c r="D2688" s="8"/>
    </row>
    <row r="2689">
      <c r="A2689" s="9" t="str">
        <f>IFERROR(__xludf.DUMMYFUNCTION("""COMPUTED_VALUE"""),"Batch 210")</f>
        <v>Batch 210</v>
      </c>
      <c r="B2689" s="9" t="str">
        <f>IFERROR(__xludf.DUMMYFUNCTION("""COMPUTED_VALUE"""),"PeddireddyC10")</f>
        <v>PeddireddyC10</v>
      </c>
      <c r="C2689" s="8">
        <f>IFERROR(__xludf.DUMMYFUNCTION("""COMPUTED_VALUE"""),0.0)</f>
        <v>0</v>
      </c>
      <c r="D2689" s="8"/>
    </row>
    <row r="2690">
      <c r="A2690" s="9" t="str">
        <f>IFERROR(__xludf.DUMMYFUNCTION("""COMPUTED_VALUE"""),"Batch 210")</f>
        <v>Batch 210</v>
      </c>
      <c r="B2690" s="9" t="str">
        <f>IFERROR(__xludf.DUMMYFUNCTION("""COMPUTED_VALUE"""),"AnoushkaC10")</f>
        <v>AnoushkaC10</v>
      </c>
      <c r="C2690" s="8">
        <f>IFERROR(__xludf.DUMMYFUNCTION("""COMPUTED_VALUE"""),0.0)</f>
        <v>0</v>
      </c>
      <c r="D2690" s="8"/>
    </row>
    <row r="2691">
      <c r="A2691" s="9" t="str">
        <f>IFERROR(__xludf.DUMMYFUNCTION("""COMPUTED_VALUE"""),"Batch 210")</f>
        <v>Batch 210</v>
      </c>
      <c r="B2691" s="9" t="str">
        <f>IFERROR(__xludf.DUMMYFUNCTION("""COMPUTED_VALUE"""),"ShristiC10")</f>
        <v>ShristiC10</v>
      </c>
      <c r="C2691" s="8">
        <f>IFERROR(__xludf.DUMMYFUNCTION("""COMPUTED_VALUE"""),0.0)</f>
        <v>0</v>
      </c>
      <c r="D2691" s="8"/>
    </row>
    <row r="2692">
      <c r="A2692" s="9" t="str">
        <f>IFERROR(__xludf.DUMMYFUNCTION("""COMPUTED_VALUE"""),"Batch 210")</f>
        <v>Batch 210</v>
      </c>
      <c r="B2692" s="9" t="str">
        <f>IFERROR(__xludf.DUMMYFUNCTION("""COMPUTED_VALUE"""),"CeliaC10")</f>
        <v>CeliaC10</v>
      </c>
      <c r="C2692" s="8">
        <f>IFERROR(__xludf.DUMMYFUNCTION("""COMPUTED_VALUE"""),0.0)</f>
        <v>0</v>
      </c>
      <c r="D2692" s="8"/>
    </row>
    <row r="2693">
      <c r="A2693" s="9" t="str">
        <f>IFERROR(__xludf.DUMMYFUNCTION("""COMPUTED_VALUE"""),"Batch 210")</f>
        <v>Batch 210</v>
      </c>
      <c r="B2693" s="9" t="str">
        <f>IFERROR(__xludf.DUMMYFUNCTION("""COMPUTED_VALUE"""),"GC10")</f>
        <v>GC10</v>
      </c>
      <c r="C2693" s="8">
        <f>IFERROR(__xludf.DUMMYFUNCTION("""COMPUTED_VALUE"""),0.0)</f>
        <v>0</v>
      </c>
      <c r="D2693" s="8"/>
    </row>
    <row r="2694">
      <c r="A2694" s="9" t="str">
        <f>IFERROR(__xludf.DUMMYFUNCTION("""COMPUTED_VALUE"""),"Batch 210")</f>
        <v>Batch 210</v>
      </c>
      <c r="B2694" s="9" t="str">
        <f>IFERROR(__xludf.DUMMYFUNCTION("""COMPUTED_VALUE"""),"SradhanjaliC10")</f>
        <v>SradhanjaliC10</v>
      </c>
      <c r="C2694" s="8">
        <f>IFERROR(__xludf.DUMMYFUNCTION("""COMPUTED_VALUE"""),0.0)</f>
        <v>0</v>
      </c>
      <c r="D2694" s="8"/>
    </row>
    <row r="2695">
      <c r="A2695" s="9" t="str">
        <f>IFERROR(__xludf.DUMMYFUNCTION("""COMPUTED_VALUE"""),"Batch 210")</f>
        <v>Batch 210</v>
      </c>
      <c r="B2695" s="9" t="str">
        <f>IFERROR(__xludf.DUMMYFUNCTION("""COMPUTED_VALUE"""),"MehakC10")</f>
        <v>MehakC10</v>
      </c>
      <c r="C2695" s="8">
        <f>IFERROR(__xludf.DUMMYFUNCTION("""COMPUTED_VALUE"""),8.0)</f>
        <v>8</v>
      </c>
      <c r="D2695" s="8"/>
    </row>
    <row r="2696">
      <c r="A2696" s="9" t="str">
        <f>IFERROR(__xludf.DUMMYFUNCTION("""COMPUTED_VALUE"""),"Batch 210")</f>
        <v>Batch 210</v>
      </c>
      <c r="B2696" s="9" t="str">
        <f>IFERROR(__xludf.DUMMYFUNCTION("""COMPUTED_VALUE"""),"KaifC10")</f>
        <v>KaifC10</v>
      </c>
      <c r="C2696" s="8">
        <f>IFERROR(__xludf.DUMMYFUNCTION("""COMPUTED_VALUE"""),0.0)</f>
        <v>0</v>
      </c>
      <c r="D2696" s="8"/>
    </row>
    <row r="2697">
      <c r="A2697" s="9" t="str">
        <f>IFERROR(__xludf.DUMMYFUNCTION("""COMPUTED_VALUE"""),"Batch 210")</f>
        <v>Batch 210</v>
      </c>
      <c r="B2697" s="9" t="str">
        <f>IFERROR(__xludf.DUMMYFUNCTION("""COMPUTED_VALUE"""),"NeelC10")</f>
        <v>NeelC10</v>
      </c>
      <c r="C2697" s="8">
        <f>IFERROR(__xludf.DUMMYFUNCTION("""COMPUTED_VALUE"""),0.0)</f>
        <v>0</v>
      </c>
      <c r="D2697" s="8"/>
    </row>
    <row r="2698">
      <c r="A2698" s="9" t="str">
        <f>IFERROR(__xludf.DUMMYFUNCTION("""COMPUTED_VALUE"""),"Batch 210")</f>
        <v>Batch 210</v>
      </c>
      <c r="B2698" s="9" t="str">
        <f>IFERROR(__xludf.DUMMYFUNCTION("""COMPUTED_VALUE"""),"AtharvC10")</f>
        <v>AtharvC10</v>
      </c>
      <c r="C2698" s="8">
        <f>IFERROR(__xludf.DUMMYFUNCTION("""COMPUTED_VALUE"""),2.0)</f>
        <v>2</v>
      </c>
      <c r="D2698" s="8">
        <f>IFERROR(__xludf.DUMMYFUNCTION("""COMPUTED_VALUE"""),1.0)</f>
        <v>1</v>
      </c>
    </row>
    <row r="2699">
      <c r="A2699" s="9" t="str">
        <f>IFERROR(__xludf.DUMMYFUNCTION("""COMPUTED_VALUE"""),"Batch 210")</f>
        <v>Batch 210</v>
      </c>
      <c r="B2699" s="9" t="str">
        <f>IFERROR(__xludf.DUMMYFUNCTION("""COMPUTED_VALUE"""),"K.MEERAC10")</f>
        <v>K.MEERAC10</v>
      </c>
      <c r="C2699" s="8">
        <f>IFERROR(__xludf.DUMMYFUNCTION("""COMPUTED_VALUE"""),0.0)</f>
        <v>0</v>
      </c>
      <c r="D2699" s="8"/>
    </row>
    <row r="2700">
      <c r="A2700" s="9" t="str">
        <f>IFERROR(__xludf.DUMMYFUNCTION("""COMPUTED_VALUE"""),"Batch 210")</f>
        <v>Batch 210</v>
      </c>
      <c r="B2700" s="9" t="str">
        <f>IFERROR(__xludf.DUMMYFUNCTION("""COMPUTED_VALUE"""),"SANIAC10")</f>
        <v>SANIAC10</v>
      </c>
      <c r="C2700" s="8">
        <f>IFERROR(__xludf.DUMMYFUNCTION("""COMPUTED_VALUE"""),0.0)</f>
        <v>0</v>
      </c>
      <c r="D2700" s="8"/>
    </row>
    <row r="2701">
      <c r="A2701" s="9" t="str">
        <f>IFERROR(__xludf.DUMMYFUNCTION("""COMPUTED_VALUE"""),"Batch 210")</f>
        <v>Batch 210</v>
      </c>
      <c r="B2701" s="9" t="str">
        <f>IFERROR(__xludf.DUMMYFUNCTION("""COMPUTED_VALUE"""),"AnkitC10")</f>
        <v>AnkitC10</v>
      </c>
      <c r="C2701" s="8">
        <f>IFERROR(__xludf.DUMMYFUNCTION("""COMPUTED_VALUE"""),0.0)</f>
        <v>0</v>
      </c>
      <c r="D2701" s="8"/>
    </row>
    <row r="2702">
      <c r="A2702" s="9" t="str">
        <f>IFERROR(__xludf.DUMMYFUNCTION("""COMPUTED_VALUE"""),"Batch 210")</f>
        <v>Batch 210</v>
      </c>
      <c r="B2702" s="9" t="str">
        <f>IFERROR(__xludf.DUMMYFUNCTION("""COMPUTED_VALUE"""),"SanchiC10")</f>
        <v>SanchiC10</v>
      </c>
      <c r="C2702" s="8">
        <f>IFERROR(__xludf.DUMMYFUNCTION("""COMPUTED_VALUE"""),0.0)</f>
        <v>0</v>
      </c>
      <c r="D2702" s="8"/>
    </row>
    <row r="2703">
      <c r="A2703" s="9" t="str">
        <f>IFERROR(__xludf.DUMMYFUNCTION("""COMPUTED_VALUE"""),"Batch 210")</f>
        <v>Batch 210</v>
      </c>
      <c r="B2703" s="9" t="str">
        <f>IFERROR(__xludf.DUMMYFUNCTION("""COMPUTED_VALUE"""),"PratikC10")</f>
        <v>PratikC10</v>
      </c>
      <c r="C2703" s="8">
        <f>IFERROR(__xludf.DUMMYFUNCTION("""COMPUTED_VALUE"""),2.0)</f>
        <v>2</v>
      </c>
      <c r="D2703" s="8"/>
    </row>
    <row r="2704">
      <c r="A2704" s="9" t="str">
        <f>IFERROR(__xludf.DUMMYFUNCTION("""COMPUTED_VALUE"""),"Batch 210")</f>
        <v>Batch 210</v>
      </c>
      <c r="B2704" s="9" t="str">
        <f>IFERROR(__xludf.DUMMYFUNCTION("""COMPUTED_VALUE"""),"SwarnaliC10")</f>
        <v>SwarnaliC10</v>
      </c>
      <c r="C2704" s="8">
        <f>IFERROR(__xludf.DUMMYFUNCTION("""COMPUTED_VALUE"""),7.0)</f>
        <v>7</v>
      </c>
      <c r="D2704" s="8">
        <f>IFERROR(__xludf.DUMMYFUNCTION("""COMPUTED_VALUE"""),1.0)</f>
        <v>1</v>
      </c>
    </row>
    <row r="2705">
      <c r="A2705" s="9" t="str">
        <f>IFERROR(__xludf.DUMMYFUNCTION("""COMPUTED_VALUE"""),"Batch 210")</f>
        <v>Batch 210</v>
      </c>
      <c r="B2705" s="9" t="str">
        <f>IFERROR(__xludf.DUMMYFUNCTION("""COMPUTED_VALUE"""),"B.C10")</f>
        <v>B.C10</v>
      </c>
      <c r="C2705" s="8">
        <f>IFERROR(__xludf.DUMMYFUNCTION("""COMPUTED_VALUE"""),0.0)</f>
        <v>0</v>
      </c>
      <c r="D2705" s="8"/>
    </row>
    <row r="2706">
      <c r="A2706" s="9" t="str">
        <f>IFERROR(__xludf.DUMMYFUNCTION("""COMPUTED_VALUE"""),"Batch 210")</f>
        <v>Batch 210</v>
      </c>
      <c r="B2706" s="9" t="str">
        <f>IFERROR(__xludf.DUMMYFUNCTION("""COMPUTED_VALUE"""),"SiddarthC10")</f>
        <v>SiddarthC10</v>
      </c>
      <c r="C2706" s="8">
        <f>IFERROR(__xludf.DUMMYFUNCTION("""COMPUTED_VALUE"""),0.0)</f>
        <v>0</v>
      </c>
      <c r="D2706" s="8"/>
    </row>
    <row r="2707">
      <c r="A2707" s="9" t="str">
        <f>IFERROR(__xludf.DUMMYFUNCTION("""COMPUTED_VALUE"""),"Batch 210")</f>
        <v>Batch 210</v>
      </c>
      <c r="B2707" s="9" t="str">
        <f>IFERROR(__xludf.DUMMYFUNCTION("""COMPUTED_VALUE"""),"SaurabhC10")</f>
        <v>SaurabhC10</v>
      </c>
      <c r="C2707" s="8">
        <f>IFERROR(__xludf.DUMMYFUNCTION("""COMPUTED_VALUE"""),0.0)</f>
        <v>0</v>
      </c>
      <c r="D2707" s="8"/>
    </row>
    <row r="2708">
      <c r="A2708" s="9" t="str">
        <f>IFERROR(__xludf.DUMMYFUNCTION("""COMPUTED_VALUE"""),"Batch 210")</f>
        <v>Batch 210</v>
      </c>
      <c r="B2708" s="9" t="str">
        <f>IFERROR(__xludf.DUMMYFUNCTION("""COMPUTED_VALUE"""),"SanikaC10")</f>
        <v>SanikaC10</v>
      </c>
      <c r="C2708" s="8">
        <f>IFERROR(__xludf.DUMMYFUNCTION("""COMPUTED_VALUE"""),0.0)</f>
        <v>0</v>
      </c>
      <c r="D2708" s="8"/>
    </row>
    <row r="2709">
      <c r="A2709" s="9" t="str">
        <f>IFERROR(__xludf.DUMMYFUNCTION("""COMPUTED_VALUE"""),"Batch 210")</f>
        <v>Batch 210</v>
      </c>
      <c r="B2709" s="9" t="str">
        <f>IFERROR(__xludf.DUMMYFUNCTION("""COMPUTED_VALUE"""),"DushyantC10")</f>
        <v>DushyantC10</v>
      </c>
      <c r="C2709" s="8">
        <f>IFERROR(__xludf.DUMMYFUNCTION("""COMPUTED_VALUE"""),0.0)</f>
        <v>0</v>
      </c>
      <c r="D2709" s="8"/>
    </row>
    <row r="2710">
      <c r="A2710" s="9" t="str">
        <f>IFERROR(__xludf.DUMMYFUNCTION("""COMPUTED_VALUE"""),"Batch 210")</f>
        <v>Batch 210</v>
      </c>
      <c r="B2710" s="9" t="str">
        <f>IFERROR(__xludf.DUMMYFUNCTION("""COMPUTED_VALUE"""),"MdC10")</f>
        <v>MdC10</v>
      </c>
      <c r="C2710" s="8">
        <f>IFERROR(__xludf.DUMMYFUNCTION("""COMPUTED_VALUE"""),0.0)</f>
        <v>0</v>
      </c>
      <c r="D2710" s="8"/>
    </row>
    <row r="2711">
      <c r="A2711" s="9" t="str">
        <f>IFERROR(__xludf.DUMMYFUNCTION("""COMPUTED_VALUE"""),"Batch 210")</f>
        <v>Batch 210</v>
      </c>
      <c r="B2711" s="9" t="str">
        <f>IFERROR(__xludf.DUMMYFUNCTION("""COMPUTED_VALUE"""),"DEBOPRIYOC10")</f>
        <v>DEBOPRIYOC10</v>
      </c>
      <c r="C2711" s="8">
        <f>IFERROR(__xludf.DUMMYFUNCTION("""COMPUTED_VALUE"""),5.0)</f>
        <v>5</v>
      </c>
      <c r="D2711" s="8">
        <f>IFERROR(__xludf.DUMMYFUNCTION("""COMPUTED_VALUE"""),4.0)</f>
        <v>4</v>
      </c>
    </row>
    <row r="2712">
      <c r="A2712" s="9" t="str">
        <f>IFERROR(__xludf.DUMMYFUNCTION("""COMPUTED_VALUE"""),"Batch 210")</f>
        <v>Batch 210</v>
      </c>
      <c r="B2712" s="9" t="str">
        <f>IFERROR(__xludf.DUMMYFUNCTION("""COMPUTED_VALUE"""),"JayanthC10")</f>
        <v>JayanthC10</v>
      </c>
      <c r="C2712" s="8">
        <f>IFERROR(__xludf.DUMMYFUNCTION("""COMPUTED_VALUE"""),0.0)</f>
        <v>0</v>
      </c>
      <c r="D2712" s="8"/>
    </row>
    <row r="2713">
      <c r="A2713" s="9" t="str">
        <f>IFERROR(__xludf.DUMMYFUNCTION("""COMPUTED_VALUE"""),"Batch 210")</f>
        <v>Batch 210</v>
      </c>
      <c r="B2713" s="9" t="str">
        <f>IFERROR(__xludf.DUMMYFUNCTION("""COMPUTED_VALUE"""),"SukritC10")</f>
        <v>SukritC10</v>
      </c>
      <c r="C2713" s="8">
        <f>IFERROR(__xludf.DUMMYFUNCTION("""COMPUTED_VALUE"""),0.0)</f>
        <v>0</v>
      </c>
      <c r="D2713" s="8"/>
    </row>
    <row r="2714">
      <c r="A2714" s="9" t="str">
        <f>IFERROR(__xludf.DUMMYFUNCTION("""COMPUTED_VALUE"""),"Batch 210")</f>
        <v>Batch 210</v>
      </c>
      <c r="B2714" s="9" t="str">
        <f>IFERROR(__xludf.DUMMYFUNCTION("""COMPUTED_VALUE"""),"EeshnaUC10")</f>
        <v>EeshnaUC10</v>
      </c>
      <c r="C2714" s="8">
        <f>IFERROR(__xludf.DUMMYFUNCTION("""COMPUTED_VALUE"""),0.0)</f>
        <v>0</v>
      </c>
      <c r="D2714" s="8"/>
    </row>
    <row r="2715">
      <c r="A2715" s="9" t="str">
        <f>IFERROR(__xludf.DUMMYFUNCTION("""COMPUTED_VALUE"""),"Batch 210")</f>
        <v>Batch 210</v>
      </c>
      <c r="B2715" s="9" t="str">
        <f>IFERROR(__xludf.DUMMYFUNCTION("""COMPUTED_VALUE"""),"KumarC10")</f>
        <v>KumarC10</v>
      </c>
      <c r="C2715" s="8">
        <f>IFERROR(__xludf.DUMMYFUNCTION("""COMPUTED_VALUE"""),0.0)</f>
        <v>0</v>
      </c>
      <c r="D2715" s="8"/>
    </row>
    <row r="2716">
      <c r="A2716" s="9" t="str">
        <f>IFERROR(__xludf.DUMMYFUNCTION("""COMPUTED_VALUE"""),"Batch 210")</f>
        <v>Batch 210</v>
      </c>
      <c r="B2716" s="9" t="str">
        <f>IFERROR(__xludf.DUMMYFUNCTION("""COMPUTED_VALUE"""),"KazimC10")</f>
        <v>KazimC10</v>
      </c>
      <c r="C2716" s="8">
        <f>IFERROR(__xludf.DUMMYFUNCTION("""COMPUTED_VALUE"""),0.0)</f>
        <v>0</v>
      </c>
      <c r="D2716" s="8"/>
    </row>
    <row r="2717">
      <c r="A2717" s="9" t="str">
        <f>IFERROR(__xludf.DUMMYFUNCTION("""COMPUTED_VALUE"""),"Batch 210")</f>
        <v>Batch 210</v>
      </c>
      <c r="B2717" s="9" t="str">
        <f>IFERROR(__xludf.DUMMYFUNCTION("""COMPUTED_VALUE"""),"NishantC10")</f>
        <v>NishantC10</v>
      </c>
      <c r="C2717" s="8">
        <f>IFERROR(__xludf.DUMMYFUNCTION("""COMPUTED_VALUE"""),0.0)</f>
        <v>0</v>
      </c>
      <c r="D2717" s="8"/>
    </row>
    <row r="2718">
      <c r="A2718" s="9" t="str">
        <f>IFERROR(__xludf.DUMMYFUNCTION("""COMPUTED_VALUE"""),"Batch 210")</f>
        <v>Batch 210</v>
      </c>
      <c r="B2718" s="9" t="str">
        <f>IFERROR(__xludf.DUMMYFUNCTION("""COMPUTED_VALUE"""),"AbhinavC10")</f>
        <v>AbhinavC10</v>
      </c>
      <c r="C2718" s="8">
        <f>IFERROR(__xludf.DUMMYFUNCTION("""COMPUTED_VALUE"""),0.0)</f>
        <v>0</v>
      </c>
      <c r="D2718" s="8"/>
    </row>
    <row r="2719">
      <c r="A2719" s="9" t="str">
        <f>IFERROR(__xludf.DUMMYFUNCTION("""COMPUTED_VALUE"""),"Batch 210")</f>
        <v>Batch 210</v>
      </c>
      <c r="B2719" s="9" t="str">
        <f>IFERROR(__xludf.DUMMYFUNCTION("""COMPUTED_VALUE"""),"SiddhikeshC10")</f>
        <v>SiddhikeshC10</v>
      </c>
      <c r="C2719" s="8">
        <f>IFERROR(__xludf.DUMMYFUNCTION("""COMPUTED_VALUE"""),0.0)</f>
        <v>0</v>
      </c>
      <c r="D2719" s="8"/>
    </row>
    <row r="2720">
      <c r="A2720" s="9" t="str">
        <f>IFERROR(__xludf.DUMMYFUNCTION("""COMPUTED_VALUE"""),"Batch 210")</f>
        <v>Batch 210</v>
      </c>
      <c r="B2720" s="9" t="str">
        <f>IFERROR(__xludf.DUMMYFUNCTION("""COMPUTED_VALUE"""),"kmC10")</f>
        <v>kmC10</v>
      </c>
      <c r="C2720" s="8">
        <f>IFERROR(__xludf.DUMMYFUNCTION("""COMPUTED_VALUE"""),0.0)</f>
        <v>0</v>
      </c>
      <c r="D2720" s="8"/>
    </row>
    <row r="2721">
      <c r="A2721" s="9" t="str">
        <f>IFERROR(__xludf.DUMMYFUNCTION("""COMPUTED_VALUE"""),"Batch 210")</f>
        <v>Batch 210</v>
      </c>
      <c r="B2721" s="9" t="str">
        <f>IFERROR(__xludf.DUMMYFUNCTION("""COMPUTED_VALUE"""),"SUDESHNAC10")</f>
        <v>SUDESHNAC10</v>
      </c>
      <c r="C2721" s="8">
        <f>IFERROR(__xludf.DUMMYFUNCTION("""COMPUTED_VALUE"""),0.0)</f>
        <v>0</v>
      </c>
      <c r="D2721" s="8"/>
    </row>
    <row r="2722">
      <c r="A2722" s="9" t="str">
        <f>IFERROR(__xludf.DUMMYFUNCTION("""COMPUTED_VALUE"""),"Batch 210")</f>
        <v>Batch 210</v>
      </c>
      <c r="B2722" s="9" t="str">
        <f>IFERROR(__xludf.DUMMYFUNCTION("""COMPUTED_VALUE"""),"AbinayaC10")</f>
        <v>AbinayaC10</v>
      </c>
      <c r="C2722" s="8">
        <f>IFERROR(__xludf.DUMMYFUNCTION("""COMPUTED_VALUE"""),20.0)</f>
        <v>20</v>
      </c>
      <c r="D2722" s="8">
        <f>IFERROR(__xludf.DUMMYFUNCTION("""COMPUTED_VALUE"""),1.0)</f>
        <v>1</v>
      </c>
    </row>
    <row r="2723">
      <c r="A2723" s="9" t="str">
        <f>IFERROR(__xludf.DUMMYFUNCTION("""COMPUTED_VALUE"""),"Batch 210")</f>
        <v>Batch 210</v>
      </c>
      <c r="B2723" s="9" t="str">
        <f>IFERROR(__xludf.DUMMYFUNCTION("""COMPUTED_VALUE"""),"ShrutiC10")</f>
        <v>ShrutiC10</v>
      </c>
      <c r="C2723" s="8">
        <f>IFERROR(__xludf.DUMMYFUNCTION("""COMPUTED_VALUE"""),0.0)</f>
        <v>0</v>
      </c>
      <c r="D2723" s="8"/>
    </row>
    <row r="2724">
      <c r="A2724" s="9" t="str">
        <f>IFERROR(__xludf.DUMMYFUNCTION("""COMPUTED_VALUE"""),"Batch 210")</f>
        <v>Batch 210</v>
      </c>
      <c r="B2724" s="9" t="str">
        <f>IFERROR(__xludf.DUMMYFUNCTION("""COMPUTED_VALUE"""),"SamikshaC10")</f>
        <v>SamikshaC10</v>
      </c>
      <c r="C2724" s="8">
        <f>IFERROR(__xludf.DUMMYFUNCTION("""COMPUTED_VALUE"""),2.0)</f>
        <v>2</v>
      </c>
      <c r="D2724" s="8"/>
    </row>
    <row r="2725">
      <c r="A2725" s="9" t="str">
        <f>IFERROR(__xludf.DUMMYFUNCTION("""COMPUTED_VALUE"""),"Batch 210")</f>
        <v>Batch 210</v>
      </c>
      <c r="B2725" s="9" t="str">
        <f>IFERROR(__xludf.DUMMYFUNCTION("""COMPUTED_VALUE"""),"KrishnenduC10")</f>
        <v>KrishnenduC10</v>
      </c>
      <c r="C2725" s="8">
        <f>IFERROR(__xludf.DUMMYFUNCTION("""COMPUTED_VALUE"""),0.0)</f>
        <v>0</v>
      </c>
      <c r="D2725" s="8"/>
    </row>
    <row r="2726">
      <c r="A2726" s="9" t="str">
        <f>IFERROR(__xludf.DUMMYFUNCTION("""COMPUTED_VALUE"""),"Batch 210")</f>
        <v>Batch 210</v>
      </c>
      <c r="B2726" s="9" t="str">
        <f>IFERROR(__xludf.DUMMYFUNCTION("""COMPUTED_VALUE"""),"DishaC10")</f>
        <v>DishaC10</v>
      </c>
      <c r="C2726" s="8">
        <f>IFERROR(__xludf.DUMMYFUNCTION("""COMPUTED_VALUE"""),7.0)</f>
        <v>7</v>
      </c>
      <c r="D2726" s="8">
        <f>IFERROR(__xludf.DUMMYFUNCTION("""COMPUTED_VALUE"""),1.0)</f>
        <v>1</v>
      </c>
    </row>
    <row r="2727">
      <c r="A2727" s="9" t="str">
        <f>IFERROR(__xludf.DUMMYFUNCTION("""COMPUTED_VALUE"""),"Batch 210")</f>
        <v>Batch 210</v>
      </c>
      <c r="B2727" s="9" t="str">
        <f>IFERROR(__xludf.DUMMYFUNCTION("""COMPUTED_VALUE"""),"AyushC10")</f>
        <v>AyushC10</v>
      </c>
      <c r="C2727" s="8">
        <f>IFERROR(__xludf.DUMMYFUNCTION("""COMPUTED_VALUE"""),3.0)</f>
        <v>3</v>
      </c>
      <c r="D2727" s="8"/>
    </row>
    <row r="2728">
      <c r="A2728" s="9" t="str">
        <f>IFERROR(__xludf.DUMMYFUNCTION("""COMPUTED_VALUE"""),"Batch 210")</f>
        <v>Batch 210</v>
      </c>
      <c r="B2728" s="9" t="str">
        <f>IFERROR(__xludf.DUMMYFUNCTION("""COMPUTED_VALUE"""),"AmritKC10")</f>
        <v>AmritKC10</v>
      </c>
      <c r="C2728" s="8">
        <f>IFERROR(__xludf.DUMMYFUNCTION("""COMPUTED_VALUE"""),0.0)</f>
        <v>0</v>
      </c>
      <c r="D2728" s="8"/>
    </row>
    <row r="2729">
      <c r="A2729" s="9" t="str">
        <f>IFERROR(__xludf.DUMMYFUNCTION("""COMPUTED_VALUE"""),"Batch 210")</f>
        <v>Batch 210</v>
      </c>
      <c r="B2729" s="9" t="str">
        <f>IFERROR(__xludf.DUMMYFUNCTION("""COMPUTED_VALUE"""),"DhruvC10")</f>
        <v>DhruvC10</v>
      </c>
      <c r="C2729" s="8">
        <f>IFERROR(__xludf.DUMMYFUNCTION("""COMPUTED_VALUE"""),0.0)</f>
        <v>0</v>
      </c>
      <c r="D2729" s="8"/>
    </row>
    <row r="2730">
      <c r="A2730" s="9" t="str">
        <f>IFERROR(__xludf.DUMMYFUNCTION("""COMPUTED_VALUE"""),"Batch 210")</f>
        <v>Batch 210</v>
      </c>
      <c r="B2730" s="9" t="str">
        <f>IFERROR(__xludf.DUMMYFUNCTION("""COMPUTED_VALUE"""),"ANUSREEC10")</f>
        <v>ANUSREEC10</v>
      </c>
      <c r="C2730" s="8">
        <f>IFERROR(__xludf.DUMMYFUNCTION("""COMPUTED_VALUE"""),0.0)</f>
        <v>0</v>
      </c>
      <c r="D2730" s="8"/>
    </row>
    <row r="2731">
      <c r="A2731" s="9" t="str">
        <f>IFERROR(__xludf.DUMMYFUNCTION("""COMPUTED_VALUE"""),"Batch 210")</f>
        <v>Batch 210</v>
      </c>
      <c r="B2731" s="9" t="str">
        <f>IFERROR(__xludf.DUMMYFUNCTION("""COMPUTED_VALUE"""),"KommaC10")</f>
        <v>KommaC10</v>
      </c>
      <c r="C2731" s="8">
        <f>IFERROR(__xludf.DUMMYFUNCTION("""COMPUTED_VALUE"""),0.0)</f>
        <v>0</v>
      </c>
      <c r="D2731" s="8"/>
    </row>
    <row r="2732">
      <c r="A2732" s="9" t="str">
        <f>IFERROR(__xludf.DUMMYFUNCTION("""COMPUTED_VALUE"""),"Batch 210")</f>
        <v>Batch 210</v>
      </c>
      <c r="B2732" s="9" t="str">
        <f>IFERROR(__xludf.DUMMYFUNCTION("""COMPUTED_VALUE"""),"GnanasreeC10")</f>
        <v>GnanasreeC10</v>
      </c>
      <c r="C2732" s="8">
        <f>IFERROR(__xludf.DUMMYFUNCTION("""COMPUTED_VALUE"""),0.0)</f>
        <v>0</v>
      </c>
      <c r="D2732" s="8"/>
    </row>
    <row r="2733">
      <c r="A2733" s="9" t="str">
        <f>IFERROR(__xludf.DUMMYFUNCTION("""COMPUTED_VALUE"""),"Batch 210")</f>
        <v>Batch 210</v>
      </c>
      <c r="B2733" s="9" t="str">
        <f>IFERROR(__xludf.DUMMYFUNCTION("""COMPUTED_VALUE"""),"AmritC10")</f>
        <v>AmritC10</v>
      </c>
      <c r="C2733" s="8">
        <f>IFERROR(__xludf.DUMMYFUNCTION("""COMPUTED_VALUE"""),0.0)</f>
        <v>0</v>
      </c>
      <c r="D2733" s="8"/>
    </row>
    <row r="2734">
      <c r="A2734" s="9" t="str">
        <f>IFERROR(__xludf.DUMMYFUNCTION("""COMPUTED_VALUE"""),"Batch 210")</f>
        <v>Batch 210</v>
      </c>
      <c r="B2734" s="9" t="str">
        <f>IFERROR(__xludf.DUMMYFUNCTION("""COMPUTED_VALUE"""),"SaranC10")</f>
        <v>SaranC10</v>
      </c>
      <c r="C2734" s="8">
        <f>IFERROR(__xludf.DUMMYFUNCTION("""COMPUTED_VALUE"""),0.0)</f>
        <v>0</v>
      </c>
      <c r="D2734" s="8"/>
    </row>
    <row r="2735">
      <c r="A2735" s="9" t="str">
        <f>IFERROR(__xludf.DUMMYFUNCTION("""COMPUTED_VALUE"""),"Batch 210")</f>
        <v>Batch 210</v>
      </c>
      <c r="B2735" s="9" t="str">
        <f>IFERROR(__xludf.DUMMYFUNCTION("""COMPUTED_VALUE"""),"AbhishekC10")</f>
        <v>AbhishekC10</v>
      </c>
      <c r="C2735" s="8">
        <f>IFERROR(__xludf.DUMMYFUNCTION("""COMPUTED_VALUE"""),22.0)</f>
        <v>22</v>
      </c>
      <c r="D2735" s="8">
        <f>IFERROR(__xludf.DUMMYFUNCTION("""COMPUTED_VALUE"""),5.0)</f>
        <v>5</v>
      </c>
    </row>
    <row r="2736">
      <c r="A2736" s="9" t="str">
        <f>IFERROR(__xludf.DUMMYFUNCTION("""COMPUTED_VALUE"""),"Batch 210")</f>
        <v>Batch 210</v>
      </c>
      <c r="B2736" s="9" t="str">
        <f>IFERROR(__xludf.DUMMYFUNCTION("""COMPUTED_VALUE"""),"AshishC10")</f>
        <v>AshishC10</v>
      </c>
      <c r="C2736" s="8">
        <f>IFERROR(__xludf.DUMMYFUNCTION("""COMPUTED_VALUE"""),0.0)</f>
        <v>0</v>
      </c>
      <c r="D2736" s="8"/>
    </row>
    <row r="2737">
      <c r="A2737" s="9" t="str">
        <f>IFERROR(__xludf.DUMMYFUNCTION("""COMPUTED_VALUE"""),"Batch 210")</f>
        <v>Batch 210</v>
      </c>
      <c r="B2737" s="9" t="str">
        <f>IFERROR(__xludf.DUMMYFUNCTION("""COMPUTED_VALUE"""),"KhushiC10")</f>
        <v>KhushiC10</v>
      </c>
      <c r="C2737" s="8">
        <f>IFERROR(__xludf.DUMMYFUNCTION("""COMPUTED_VALUE"""),0.0)</f>
        <v>0</v>
      </c>
      <c r="D2737" s="8"/>
    </row>
    <row r="2738">
      <c r="A2738" s="9" t="str">
        <f>IFERROR(__xludf.DUMMYFUNCTION("""COMPUTED_VALUE"""),"Batch 210")</f>
        <v>Batch 210</v>
      </c>
      <c r="B2738" s="9" t="str">
        <f>IFERROR(__xludf.DUMMYFUNCTION("""COMPUTED_VALUE"""),"AnishaC10")</f>
        <v>AnishaC10</v>
      </c>
      <c r="C2738" s="8">
        <f>IFERROR(__xludf.DUMMYFUNCTION("""COMPUTED_VALUE"""),0.0)</f>
        <v>0</v>
      </c>
      <c r="D2738" s="8"/>
    </row>
    <row r="2739">
      <c r="A2739" s="9" t="str">
        <f>IFERROR(__xludf.DUMMYFUNCTION("""COMPUTED_VALUE"""),"Batch 210")</f>
        <v>Batch 210</v>
      </c>
      <c r="B2739" s="9" t="str">
        <f>IFERROR(__xludf.DUMMYFUNCTION("""COMPUTED_VALUE"""),"SandipanC10")</f>
        <v>SandipanC10</v>
      </c>
      <c r="C2739" s="8">
        <f>IFERROR(__xludf.DUMMYFUNCTION("""COMPUTED_VALUE"""),0.0)</f>
        <v>0</v>
      </c>
      <c r="D2739" s="8"/>
    </row>
    <row r="2740">
      <c r="A2740" s="9" t="str">
        <f>IFERROR(__xludf.DUMMYFUNCTION("""COMPUTED_VALUE"""),"Batch 210")</f>
        <v>Batch 210</v>
      </c>
      <c r="B2740" s="9" t="str">
        <f>IFERROR(__xludf.DUMMYFUNCTION("""COMPUTED_VALUE"""),"ParulC10")</f>
        <v>ParulC10</v>
      </c>
      <c r="C2740" s="8">
        <f>IFERROR(__xludf.DUMMYFUNCTION("""COMPUTED_VALUE"""),0.0)</f>
        <v>0</v>
      </c>
      <c r="D2740" s="8"/>
    </row>
    <row r="2741">
      <c r="A2741" s="9" t="str">
        <f>IFERROR(__xludf.DUMMYFUNCTION("""COMPUTED_VALUE"""),"Batch 210")</f>
        <v>Batch 210</v>
      </c>
      <c r="B2741" s="9" t="str">
        <f>IFERROR(__xludf.DUMMYFUNCTION("""COMPUTED_VALUE"""),"JanviC10")</f>
        <v>JanviC10</v>
      </c>
      <c r="C2741" s="8">
        <f>IFERROR(__xludf.DUMMYFUNCTION("""COMPUTED_VALUE"""),0.0)</f>
        <v>0</v>
      </c>
      <c r="D2741" s="8"/>
    </row>
    <row r="2742">
      <c r="A2742" s="9"/>
      <c r="B2742" s="9"/>
      <c r="C2742" s="8">
        <f>IFERROR(__xludf.DUMMYFUNCTION("""COMPUTED_VALUE"""),0.0)</f>
        <v>0</v>
      </c>
      <c r="D2742" s="8"/>
    </row>
    <row r="2743">
      <c r="A2743" s="9" t="str">
        <f>IFERROR(__xludf.DUMMYFUNCTION("""COMPUTED_VALUE"""),"Batch 211")</f>
        <v>Batch 211</v>
      </c>
      <c r="B2743" s="9" t="str">
        <f>IFERROR(__xludf.DUMMYFUNCTION("""COMPUTED_VALUE"""),"JayeshC11")</f>
        <v>JayeshC11</v>
      </c>
      <c r="C2743" s="8">
        <f>IFERROR(__xludf.DUMMYFUNCTION("""COMPUTED_VALUE"""),0.0)</f>
        <v>0</v>
      </c>
      <c r="D2743" s="8"/>
    </row>
    <row r="2744">
      <c r="A2744" s="9" t="str">
        <f>IFERROR(__xludf.DUMMYFUNCTION("""COMPUTED_VALUE"""),"Batch 211")</f>
        <v>Batch 211</v>
      </c>
      <c r="B2744" s="9" t="str">
        <f>IFERROR(__xludf.DUMMYFUNCTION("""COMPUTED_VALUE"""),"VinayC11")</f>
        <v>VinayC11</v>
      </c>
      <c r="C2744" s="8">
        <f>IFERROR(__xludf.DUMMYFUNCTION("""COMPUTED_VALUE"""),0.0)</f>
        <v>0</v>
      </c>
      <c r="D2744" s="8"/>
    </row>
    <row r="2745">
      <c r="A2745" s="9" t="str">
        <f>IFERROR(__xludf.DUMMYFUNCTION("""COMPUTED_VALUE"""),"Batch 211")</f>
        <v>Batch 211</v>
      </c>
      <c r="B2745" s="9" t="str">
        <f>IFERROR(__xludf.DUMMYFUNCTION("""COMPUTED_VALUE"""),"bhavaniC11")</f>
        <v>bhavaniC11</v>
      </c>
      <c r="C2745" s="8">
        <f>IFERROR(__xludf.DUMMYFUNCTION("""COMPUTED_VALUE"""),0.0)</f>
        <v>0</v>
      </c>
      <c r="D2745" s="8"/>
    </row>
    <row r="2746">
      <c r="A2746" s="9" t="str">
        <f>IFERROR(__xludf.DUMMYFUNCTION("""COMPUTED_VALUE"""),"Batch 211")</f>
        <v>Batch 211</v>
      </c>
      <c r="B2746" s="9" t="str">
        <f>IFERROR(__xludf.DUMMYFUNCTION("""COMPUTED_VALUE"""),"PrabhakarC11")</f>
        <v>PrabhakarC11</v>
      </c>
      <c r="C2746" s="8">
        <f>IFERROR(__xludf.DUMMYFUNCTION("""COMPUTED_VALUE"""),0.0)</f>
        <v>0</v>
      </c>
      <c r="D2746" s="8"/>
    </row>
    <row r="2747">
      <c r="A2747" s="9" t="str">
        <f>IFERROR(__xludf.DUMMYFUNCTION("""COMPUTED_VALUE"""),"Batch 211")</f>
        <v>Batch 211</v>
      </c>
      <c r="B2747" s="9" t="str">
        <f>IFERROR(__xludf.DUMMYFUNCTION("""COMPUTED_VALUE"""),"ManasiC11")</f>
        <v>ManasiC11</v>
      </c>
      <c r="C2747" s="8">
        <f>IFERROR(__xludf.DUMMYFUNCTION("""COMPUTED_VALUE"""),0.0)</f>
        <v>0</v>
      </c>
      <c r="D2747" s="8"/>
    </row>
    <row r="2748">
      <c r="A2748" s="9" t="str">
        <f>IFERROR(__xludf.DUMMYFUNCTION("""COMPUTED_VALUE"""),"Batch 211")</f>
        <v>Batch 211</v>
      </c>
      <c r="B2748" s="9" t="str">
        <f>IFERROR(__xludf.DUMMYFUNCTION("""COMPUTED_VALUE"""),"AnantC11")</f>
        <v>AnantC11</v>
      </c>
      <c r="C2748" s="8">
        <f>IFERROR(__xludf.DUMMYFUNCTION("""COMPUTED_VALUE"""),0.0)</f>
        <v>0</v>
      </c>
      <c r="D2748" s="8"/>
    </row>
    <row r="2749">
      <c r="A2749" s="9" t="str">
        <f>IFERROR(__xludf.DUMMYFUNCTION("""COMPUTED_VALUE"""),"Batch 211")</f>
        <v>Batch 211</v>
      </c>
      <c r="B2749" s="9" t="str">
        <f>IFERROR(__xludf.DUMMYFUNCTION("""COMPUTED_VALUE"""),"SourabhC11")</f>
        <v>SourabhC11</v>
      </c>
      <c r="C2749" s="8">
        <f>IFERROR(__xludf.DUMMYFUNCTION("""COMPUTED_VALUE"""),0.0)</f>
        <v>0</v>
      </c>
      <c r="D2749" s="8"/>
    </row>
    <row r="2750">
      <c r="A2750" s="9" t="str">
        <f>IFERROR(__xludf.DUMMYFUNCTION("""COMPUTED_VALUE"""),"Batch 211")</f>
        <v>Batch 211</v>
      </c>
      <c r="B2750" s="9" t="str">
        <f>IFERROR(__xludf.DUMMYFUNCTION("""COMPUTED_VALUE"""),"PujaC11")</f>
        <v>PujaC11</v>
      </c>
      <c r="C2750" s="8">
        <f>IFERROR(__xludf.DUMMYFUNCTION("""COMPUTED_VALUE"""),0.0)</f>
        <v>0</v>
      </c>
      <c r="D2750" s="8"/>
    </row>
    <row r="2751">
      <c r="A2751" s="9" t="str">
        <f>IFERROR(__xludf.DUMMYFUNCTION("""COMPUTED_VALUE"""),"Batch 211")</f>
        <v>Batch 211</v>
      </c>
      <c r="B2751" s="9" t="str">
        <f>IFERROR(__xludf.DUMMYFUNCTION("""COMPUTED_VALUE"""),"JeetC11")</f>
        <v>JeetC11</v>
      </c>
      <c r="C2751" s="8">
        <f>IFERROR(__xludf.DUMMYFUNCTION("""COMPUTED_VALUE"""),0.0)</f>
        <v>0</v>
      </c>
      <c r="D2751" s="8"/>
    </row>
    <row r="2752">
      <c r="A2752" s="9" t="str">
        <f>IFERROR(__xludf.DUMMYFUNCTION("""COMPUTED_VALUE"""),"Batch 211")</f>
        <v>Batch 211</v>
      </c>
      <c r="B2752" s="9" t="str">
        <f>IFERROR(__xludf.DUMMYFUNCTION("""COMPUTED_VALUE"""),"PrithaC11")</f>
        <v>PrithaC11</v>
      </c>
      <c r="C2752" s="8">
        <f>IFERROR(__xludf.DUMMYFUNCTION("""COMPUTED_VALUE"""),0.0)</f>
        <v>0</v>
      </c>
      <c r="D2752" s="8"/>
    </row>
    <row r="2753">
      <c r="A2753" s="9" t="str">
        <f>IFERROR(__xludf.DUMMYFUNCTION("""COMPUTED_VALUE"""),"Batch 211")</f>
        <v>Batch 211</v>
      </c>
      <c r="B2753" s="9" t="str">
        <f>IFERROR(__xludf.DUMMYFUNCTION("""COMPUTED_VALUE"""),"BharathaC11")</f>
        <v>BharathaC11</v>
      </c>
      <c r="C2753" s="8">
        <f>IFERROR(__xludf.DUMMYFUNCTION("""COMPUTED_VALUE"""),0.0)</f>
        <v>0</v>
      </c>
      <c r="D2753" s="8"/>
    </row>
    <row r="2754">
      <c r="A2754" s="9" t="str">
        <f>IFERROR(__xludf.DUMMYFUNCTION("""COMPUTED_VALUE"""),"Batch 211")</f>
        <v>Batch 211</v>
      </c>
      <c r="B2754" s="9" t="str">
        <f>IFERROR(__xludf.DUMMYFUNCTION("""COMPUTED_VALUE"""),"PrakhandC11")</f>
        <v>PrakhandC11</v>
      </c>
      <c r="C2754" s="8">
        <f>IFERROR(__xludf.DUMMYFUNCTION("""COMPUTED_VALUE"""),0.0)</f>
        <v>0</v>
      </c>
      <c r="D2754" s="8"/>
    </row>
    <row r="2755">
      <c r="A2755" s="9" t="str">
        <f>IFERROR(__xludf.DUMMYFUNCTION("""COMPUTED_VALUE"""),"Batch 211")</f>
        <v>Batch 211</v>
      </c>
      <c r="B2755" s="9" t="str">
        <f>IFERROR(__xludf.DUMMYFUNCTION("""COMPUTED_VALUE"""),"SupriyaPC11")</f>
        <v>SupriyaPC11</v>
      </c>
      <c r="C2755" s="8">
        <f>IFERROR(__xludf.DUMMYFUNCTION("""COMPUTED_VALUE"""),0.0)</f>
        <v>0</v>
      </c>
      <c r="D2755" s="8"/>
    </row>
    <row r="2756">
      <c r="A2756" s="9" t="str">
        <f>IFERROR(__xludf.DUMMYFUNCTION("""COMPUTED_VALUE"""),"Batch 211")</f>
        <v>Batch 211</v>
      </c>
      <c r="B2756" s="9" t="str">
        <f>IFERROR(__xludf.DUMMYFUNCTION("""COMPUTED_VALUE"""),"AnushaC11")</f>
        <v>AnushaC11</v>
      </c>
      <c r="C2756" s="8">
        <f>IFERROR(__xludf.DUMMYFUNCTION("""COMPUTED_VALUE"""),0.0)</f>
        <v>0</v>
      </c>
      <c r="D2756" s="8"/>
    </row>
    <row r="2757">
      <c r="A2757" s="9" t="str">
        <f>IFERROR(__xludf.DUMMYFUNCTION("""COMPUTED_VALUE"""),"Batch 211")</f>
        <v>Batch 211</v>
      </c>
      <c r="B2757" s="9" t="str">
        <f>IFERROR(__xludf.DUMMYFUNCTION("""COMPUTED_VALUE"""),"HimanshuKC11")</f>
        <v>HimanshuKC11</v>
      </c>
      <c r="C2757" s="8">
        <f>IFERROR(__xludf.DUMMYFUNCTION("""COMPUTED_VALUE"""),0.0)</f>
        <v>0</v>
      </c>
      <c r="D2757" s="8"/>
    </row>
    <row r="2758">
      <c r="A2758" s="9" t="str">
        <f>IFERROR(__xludf.DUMMYFUNCTION("""COMPUTED_VALUE"""),"Batch 211")</f>
        <v>Batch 211</v>
      </c>
      <c r="B2758" s="9" t="str">
        <f>IFERROR(__xludf.DUMMYFUNCTION("""COMPUTED_VALUE"""),"SakshiDC11")</f>
        <v>SakshiDC11</v>
      </c>
      <c r="C2758" s="8">
        <f>IFERROR(__xludf.DUMMYFUNCTION("""COMPUTED_VALUE"""),3.0)</f>
        <v>3</v>
      </c>
      <c r="D2758" s="8"/>
    </row>
    <row r="2759">
      <c r="A2759" s="9" t="str">
        <f>IFERROR(__xludf.DUMMYFUNCTION("""COMPUTED_VALUE"""),"Batch 211")</f>
        <v>Batch 211</v>
      </c>
      <c r="B2759" s="9" t="str">
        <f>IFERROR(__xludf.DUMMYFUNCTION("""COMPUTED_VALUE"""),"SandipanC11")</f>
        <v>SandipanC11</v>
      </c>
      <c r="C2759" s="8">
        <f>IFERROR(__xludf.DUMMYFUNCTION("""COMPUTED_VALUE"""),10.0)</f>
        <v>10</v>
      </c>
      <c r="D2759" s="8">
        <f>IFERROR(__xludf.DUMMYFUNCTION("""COMPUTED_VALUE"""),1.0)</f>
        <v>1</v>
      </c>
    </row>
    <row r="2760">
      <c r="A2760" s="9" t="str">
        <f>IFERROR(__xludf.DUMMYFUNCTION("""COMPUTED_VALUE"""),"Batch 211")</f>
        <v>Batch 211</v>
      </c>
      <c r="B2760" s="9" t="str">
        <f>IFERROR(__xludf.DUMMYFUNCTION("""COMPUTED_VALUE"""),"MC11")</f>
        <v>MC11</v>
      </c>
      <c r="C2760" s="8">
        <f>IFERROR(__xludf.DUMMYFUNCTION("""COMPUTED_VALUE"""),0.0)</f>
        <v>0</v>
      </c>
      <c r="D2760" s="8"/>
    </row>
    <row r="2761">
      <c r="A2761" s="9" t="str">
        <f>IFERROR(__xludf.DUMMYFUNCTION("""COMPUTED_VALUE"""),"Batch 211")</f>
        <v>Batch 211</v>
      </c>
      <c r="B2761" s="9" t="str">
        <f>IFERROR(__xludf.DUMMYFUNCTION("""COMPUTED_VALUE"""),"KunalC11")</f>
        <v>KunalC11</v>
      </c>
      <c r="C2761" s="8">
        <f>IFERROR(__xludf.DUMMYFUNCTION("""COMPUTED_VALUE"""),0.0)</f>
        <v>0</v>
      </c>
      <c r="D2761" s="8"/>
    </row>
    <row r="2762">
      <c r="A2762" s="9" t="str">
        <f>IFERROR(__xludf.DUMMYFUNCTION("""COMPUTED_VALUE"""),"Batch 211")</f>
        <v>Batch 211</v>
      </c>
      <c r="B2762" s="9" t="str">
        <f>IFERROR(__xludf.DUMMYFUNCTION("""COMPUTED_VALUE"""),"RitikaC11")</f>
        <v>RitikaC11</v>
      </c>
      <c r="C2762" s="8">
        <f>IFERROR(__xludf.DUMMYFUNCTION("""COMPUTED_VALUE"""),1.0)</f>
        <v>1</v>
      </c>
      <c r="D2762" s="8"/>
    </row>
    <row r="2763">
      <c r="A2763" s="9" t="str">
        <f>IFERROR(__xludf.DUMMYFUNCTION("""COMPUTED_VALUE"""),"Batch 211")</f>
        <v>Batch 211</v>
      </c>
      <c r="B2763" s="9" t="str">
        <f>IFERROR(__xludf.DUMMYFUNCTION("""COMPUTED_VALUE"""),"YuvrajC11")</f>
        <v>YuvrajC11</v>
      </c>
      <c r="C2763" s="8">
        <f>IFERROR(__xludf.DUMMYFUNCTION("""COMPUTED_VALUE"""),6.0)</f>
        <v>6</v>
      </c>
      <c r="D2763" s="8"/>
    </row>
    <row r="2764">
      <c r="A2764" s="9" t="str">
        <f>IFERROR(__xludf.DUMMYFUNCTION("""COMPUTED_VALUE"""),"Batch 211")</f>
        <v>Batch 211</v>
      </c>
      <c r="B2764" s="9" t="str">
        <f>IFERROR(__xludf.DUMMYFUNCTION("""COMPUTED_VALUE"""),"KaranC11")</f>
        <v>KaranC11</v>
      </c>
      <c r="C2764" s="8">
        <f>IFERROR(__xludf.DUMMYFUNCTION("""COMPUTED_VALUE"""),0.0)</f>
        <v>0</v>
      </c>
      <c r="D2764" s="8"/>
    </row>
    <row r="2765">
      <c r="A2765" s="9" t="str">
        <f>IFERROR(__xludf.DUMMYFUNCTION("""COMPUTED_VALUE"""),"Batch 211")</f>
        <v>Batch 211</v>
      </c>
      <c r="B2765" s="9" t="str">
        <f>IFERROR(__xludf.DUMMYFUNCTION("""COMPUTED_VALUE"""),"AsmitaC11")</f>
        <v>AsmitaC11</v>
      </c>
      <c r="C2765" s="8">
        <f>IFERROR(__xludf.DUMMYFUNCTION("""COMPUTED_VALUE"""),0.0)</f>
        <v>0</v>
      </c>
      <c r="D2765" s="8"/>
    </row>
    <row r="2766">
      <c r="A2766" s="9" t="str">
        <f>IFERROR(__xludf.DUMMYFUNCTION("""COMPUTED_VALUE"""),"Batch 211")</f>
        <v>Batch 211</v>
      </c>
      <c r="B2766" s="9" t="str">
        <f>IFERROR(__xludf.DUMMYFUNCTION("""COMPUTED_VALUE"""),"SahilC11")</f>
        <v>SahilC11</v>
      </c>
      <c r="C2766" s="8">
        <f>IFERROR(__xludf.DUMMYFUNCTION("""COMPUTED_VALUE"""),0.0)</f>
        <v>0</v>
      </c>
      <c r="D2766" s="8"/>
    </row>
    <row r="2767">
      <c r="A2767" s="9" t="str">
        <f>IFERROR(__xludf.DUMMYFUNCTION("""COMPUTED_VALUE"""),"Batch 211")</f>
        <v>Batch 211</v>
      </c>
      <c r="B2767" s="9" t="str">
        <f>IFERROR(__xludf.DUMMYFUNCTION("""COMPUTED_VALUE"""),"SiddhantC11")</f>
        <v>SiddhantC11</v>
      </c>
      <c r="C2767" s="8">
        <f>IFERROR(__xludf.DUMMYFUNCTION("""COMPUTED_VALUE"""),0.0)</f>
        <v>0</v>
      </c>
      <c r="D2767" s="8"/>
    </row>
    <row r="2768">
      <c r="A2768" s="9" t="str">
        <f>IFERROR(__xludf.DUMMYFUNCTION("""COMPUTED_VALUE"""),"Batch 211")</f>
        <v>Batch 211</v>
      </c>
      <c r="B2768" s="9" t="str">
        <f>IFERROR(__xludf.DUMMYFUNCTION("""COMPUTED_VALUE"""),"KoppulaC11")</f>
        <v>KoppulaC11</v>
      </c>
      <c r="C2768" s="8">
        <f>IFERROR(__xludf.DUMMYFUNCTION("""COMPUTED_VALUE"""),0.0)</f>
        <v>0</v>
      </c>
      <c r="D2768" s="8"/>
    </row>
    <row r="2769">
      <c r="A2769" s="9" t="str">
        <f>IFERROR(__xludf.DUMMYFUNCTION("""COMPUTED_VALUE"""),"Batch 211")</f>
        <v>Batch 211</v>
      </c>
      <c r="B2769" s="9" t="str">
        <f>IFERROR(__xludf.DUMMYFUNCTION("""COMPUTED_VALUE"""),"SoumikC11")</f>
        <v>SoumikC11</v>
      </c>
      <c r="C2769" s="8">
        <f>IFERROR(__xludf.DUMMYFUNCTION("""COMPUTED_VALUE"""),0.0)</f>
        <v>0</v>
      </c>
      <c r="D2769" s="8"/>
    </row>
    <row r="2770">
      <c r="A2770" s="9" t="str">
        <f>IFERROR(__xludf.DUMMYFUNCTION("""COMPUTED_VALUE"""),"Batch 211")</f>
        <v>Batch 211</v>
      </c>
      <c r="B2770" s="9" t="str">
        <f>IFERROR(__xludf.DUMMYFUNCTION("""COMPUTED_VALUE"""),"JanhviC11")</f>
        <v>JanhviC11</v>
      </c>
      <c r="C2770" s="8">
        <f>IFERROR(__xludf.DUMMYFUNCTION("""COMPUTED_VALUE"""),0.0)</f>
        <v>0</v>
      </c>
      <c r="D2770" s="8"/>
    </row>
    <row r="2771">
      <c r="A2771" s="9" t="str">
        <f>IFERROR(__xludf.DUMMYFUNCTION("""COMPUTED_VALUE"""),"Batch 211")</f>
        <v>Batch 211</v>
      </c>
      <c r="B2771" s="9" t="str">
        <f>IFERROR(__xludf.DUMMYFUNCTION("""COMPUTED_VALUE"""),"SajalC11")</f>
        <v>SajalC11</v>
      </c>
      <c r="C2771" s="8">
        <f>IFERROR(__xludf.DUMMYFUNCTION("""COMPUTED_VALUE"""),0.0)</f>
        <v>0</v>
      </c>
      <c r="D2771" s="8"/>
    </row>
    <row r="2772">
      <c r="A2772" s="9" t="str">
        <f>IFERROR(__xludf.DUMMYFUNCTION("""COMPUTED_VALUE"""),"Batch 211")</f>
        <v>Batch 211</v>
      </c>
      <c r="B2772" s="9" t="str">
        <f>IFERROR(__xludf.DUMMYFUNCTION("""COMPUTED_VALUE"""),"DheerajC11")</f>
        <v>DheerajC11</v>
      </c>
      <c r="C2772" s="8">
        <f>IFERROR(__xludf.DUMMYFUNCTION("""COMPUTED_VALUE"""),0.0)</f>
        <v>0</v>
      </c>
      <c r="D2772" s="8"/>
    </row>
    <row r="2773">
      <c r="A2773" s="9" t="str">
        <f>IFERROR(__xludf.DUMMYFUNCTION("""COMPUTED_VALUE"""),"Batch 211")</f>
        <v>Batch 211</v>
      </c>
      <c r="B2773" s="9" t="str">
        <f>IFERROR(__xludf.DUMMYFUNCTION("""COMPUTED_VALUE"""),"SumaiyaC11")</f>
        <v>SumaiyaC11</v>
      </c>
      <c r="C2773" s="8">
        <f>IFERROR(__xludf.DUMMYFUNCTION("""COMPUTED_VALUE"""),1.0)</f>
        <v>1</v>
      </c>
      <c r="D2773" s="8"/>
    </row>
    <row r="2774">
      <c r="A2774" s="9" t="str">
        <f>IFERROR(__xludf.DUMMYFUNCTION("""COMPUTED_VALUE"""),"Batch 211")</f>
        <v>Batch 211</v>
      </c>
      <c r="B2774" s="9" t="str">
        <f>IFERROR(__xludf.DUMMYFUNCTION("""COMPUTED_VALUE"""),"SakshiC11")</f>
        <v>SakshiC11</v>
      </c>
      <c r="C2774" s="8">
        <f>IFERROR(__xludf.DUMMYFUNCTION("""COMPUTED_VALUE"""),0.0)</f>
        <v>0</v>
      </c>
      <c r="D2774" s="8"/>
    </row>
    <row r="2775">
      <c r="A2775" s="9" t="str">
        <f>IFERROR(__xludf.DUMMYFUNCTION("""COMPUTED_VALUE"""),"Batch 211")</f>
        <v>Batch 211</v>
      </c>
      <c r="B2775" s="9" t="str">
        <f>IFERROR(__xludf.DUMMYFUNCTION("""COMPUTED_VALUE"""),"SupriyaC11")</f>
        <v>SupriyaC11</v>
      </c>
      <c r="C2775" s="8">
        <f>IFERROR(__xludf.DUMMYFUNCTION("""COMPUTED_VALUE"""),0.0)</f>
        <v>0</v>
      </c>
      <c r="D2775" s="8"/>
    </row>
    <row r="2776">
      <c r="A2776" s="9" t="str">
        <f>IFERROR(__xludf.DUMMYFUNCTION("""COMPUTED_VALUE"""),"Batch 211")</f>
        <v>Batch 211</v>
      </c>
      <c r="B2776" s="9" t="str">
        <f>IFERROR(__xludf.DUMMYFUNCTION("""COMPUTED_VALUE"""),"SC11")</f>
        <v>SC11</v>
      </c>
      <c r="C2776" s="8">
        <f>IFERROR(__xludf.DUMMYFUNCTION("""COMPUTED_VALUE"""),0.0)</f>
        <v>0</v>
      </c>
      <c r="D2776" s="8"/>
    </row>
    <row r="2777">
      <c r="A2777" s="9" t="str">
        <f>IFERROR(__xludf.DUMMYFUNCTION("""COMPUTED_VALUE"""),"Batch 211")</f>
        <v>Batch 211</v>
      </c>
      <c r="B2777" s="9" t="str">
        <f>IFERROR(__xludf.DUMMYFUNCTION("""COMPUTED_VALUE"""),"PritamMKC11")</f>
        <v>PritamMKC11</v>
      </c>
      <c r="C2777" s="8">
        <f>IFERROR(__xludf.DUMMYFUNCTION("""COMPUTED_VALUE"""),3.0)</f>
        <v>3</v>
      </c>
      <c r="D2777" s="8">
        <f>IFERROR(__xludf.DUMMYFUNCTION("""COMPUTED_VALUE"""),10.0)</f>
        <v>10</v>
      </c>
    </row>
    <row r="2778">
      <c r="A2778" s="9" t="str">
        <f>IFERROR(__xludf.DUMMYFUNCTION("""COMPUTED_VALUE"""),"Batch 211")</f>
        <v>Batch 211</v>
      </c>
      <c r="B2778" s="9" t="str">
        <f>IFERROR(__xludf.DUMMYFUNCTION("""COMPUTED_VALUE"""),"HimanshuC11")</f>
        <v>HimanshuC11</v>
      </c>
      <c r="C2778" s="8">
        <f>IFERROR(__xludf.DUMMYFUNCTION("""COMPUTED_VALUE"""),0.0)</f>
        <v>0</v>
      </c>
      <c r="D2778" s="8"/>
    </row>
    <row r="2779">
      <c r="A2779" s="9" t="str">
        <f>IFERROR(__xludf.DUMMYFUNCTION("""COMPUTED_VALUE"""),"Batch 211")</f>
        <v>Batch 211</v>
      </c>
      <c r="B2779" s="9" t="str">
        <f>IFERROR(__xludf.DUMMYFUNCTION("""COMPUTED_VALUE"""),"PiyushC11")</f>
        <v>PiyushC11</v>
      </c>
      <c r="C2779" s="8">
        <f>IFERROR(__xludf.DUMMYFUNCTION("""COMPUTED_VALUE"""),0.0)</f>
        <v>0</v>
      </c>
      <c r="D2779" s="8"/>
    </row>
    <row r="2780">
      <c r="A2780" s="9" t="str">
        <f>IFERROR(__xludf.DUMMYFUNCTION("""COMPUTED_VALUE"""),"Batch 211")</f>
        <v>Batch 211</v>
      </c>
      <c r="B2780" s="9" t="str">
        <f>IFERROR(__xludf.DUMMYFUNCTION("""COMPUTED_VALUE"""),"NipurnaC11")</f>
        <v>NipurnaC11</v>
      </c>
      <c r="C2780" s="8">
        <f>IFERROR(__xludf.DUMMYFUNCTION("""COMPUTED_VALUE"""),0.0)</f>
        <v>0</v>
      </c>
      <c r="D2780" s="8"/>
    </row>
    <row r="2781">
      <c r="A2781" s="9" t="str">
        <f>IFERROR(__xludf.DUMMYFUNCTION("""COMPUTED_VALUE"""),"Batch 211")</f>
        <v>Batch 211</v>
      </c>
      <c r="B2781" s="9" t="str">
        <f>IFERROR(__xludf.DUMMYFUNCTION("""COMPUTED_VALUE"""),"AlC11")</f>
        <v>AlC11</v>
      </c>
      <c r="C2781" s="8">
        <f>IFERROR(__xludf.DUMMYFUNCTION("""COMPUTED_VALUE"""),0.0)</f>
        <v>0</v>
      </c>
      <c r="D2781" s="8"/>
    </row>
    <row r="2782">
      <c r="A2782" s="9" t="str">
        <f>IFERROR(__xludf.DUMMYFUNCTION("""COMPUTED_VALUE"""),"Batch 211")</f>
        <v>Batch 211</v>
      </c>
      <c r="B2782" s="9" t="str">
        <f>IFERROR(__xludf.DUMMYFUNCTION("""COMPUTED_VALUE"""),"HarshaC11")</f>
        <v>HarshaC11</v>
      </c>
      <c r="C2782" s="8">
        <f>IFERROR(__xludf.DUMMYFUNCTION("""COMPUTED_VALUE"""),0.0)</f>
        <v>0</v>
      </c>
      <c r="D2782" s="8"/>
    </row>
    <row r="2783">
      <c r="A2783" s="9" t="str">
        <f>IFERROR(__xludf.DUMMYFUNCTION("""COMPUTED_VALUE"""),"Batch 211")</f>
        <v>Batch 211</v>
      </c>
      <c r="B2783" s="9" t="str">
        <f>IFERROR(__xludf.DUMMYFUNCTION("""COMPUTED_VALUE"""),"AkmalC11")</f>
        <v>AkmalC11</v>
      </c>
      <c r="C2783" s="8">
        <f>IFERROR(__xludf.DUMMYFUNCTION("""COMPUTED_VALUE"""),0.0)</f>
        <v>0</v>
      </c>
      <c r="D2783" s="8"/>
    </row>
    <row r="2784">
      <c r="A2784" s="9" t="str">
        <f>IFERROR(__xludf.DUMMYFUNCTION("""COMPUTED_VALUE"""),"Batch 211")</f>
        <v>Batch 211</v>
      </c>
      <c r="B2784" s="9" t="str">
        <f>IFERROR(__xludf.DUMMYFUNCTION("""COMPUTED_VALUE"""),"YashviC11")</f>
        <v>YashviC11</v>
      </c>
      <c r="C2784" s="8">
        <f>IFERROR(__xludf.DUMMYFUNCTION("""COMPUTED_VALUE"""),31.0)</f>
        <v>31</v>
      </c>
      <c r="D2784" s="8">
        <f>IFERROR(__xludf.DUMMYFUNCTION("""COMPUTED_VALUE"""),8.0)</f>
        <v>8</v>
      </c>
    </row>
    <row r="2785">
      <c r="A2785" s="9" t="str">
        <f>IFERROR(__xludf.DUMMYFUNCTION("""COMPUTED_VALUE"""),"Batch 211")</f>
        <v>Batch 211</v>
      </c>
      <c r="B2785" s="9" t="str">
        <f>IFERROR(__xludf.DUMMYFUNCTION("""COMPUTED_VALUE"""),"ShubhangiC11")</f>
        <v>ShubhangiC11</v>
      </c>
      <c r="C2785" s="8">
        <f>IFERROR(__xludf.DUMMYFUNCTION("""COMPUTED_VALUE"""),0.0)</f>
        <v>0</v>
      </c>
      <c r="D2785" s="8"/>
    </row>
    <row r="2786">
      <c r="A2786" s="9" t="str">
        <f>IFERROR(__xludf.DUMMYFUNCTION("""COMPUTED_VALUE"""),"Batch 211")</f>
        <v>Batch 211</v>
      </c>
      <c r="B2786" s="9" t="str">
        <f>IFERROR(__xludf.DUMMYFUNCTION("""COMPUTED_VALUE"""),"SohamC11")</f>
        <v>SohamC11</v>
      </c>
      <c r="C2786" s="8">
        <f>IFERROR(__xludf.DUMMYFUNCTION("""COMPUTED_VALUE"""),0.0)</f>
        <v>0</v>
      </c>
      <c r="D2786" s="8"/>
    </row>
    <row r="2787">
      <c r="A2787" s="9" t="str">
        <f>IFERROR(__xludf.DUMMYFUNCTION("""COMPUTED_VALUE"""),"Batch 211")</f>
        <v>Batch 211</v>
      </c>
      <c r="B2787" s="9" t="str">
        <f>IFERROR(__xludf.DUMMYFUNCTION("""COMPUTED_VALUE"""),"RajashreeC11")</f>
        <v>RajashreeC11</v>
      </c>
      <c r="C2787" s="8">
        <f>IFERROR(__xludf.DUMMYFUNCTION("""COMPUTED_VALUE"""),0.0)</f>
        <v>0</v>
      </c>
      <c r="D2787" s="8"/>
    </row>
    <row r="2788">
      <c r="A2788" s="9" t="str">
        <f>IFERROR(__xludf.DUMMYFUNCTION("""COMPUTED_VALUE"""),"Batch 211")</f>
        <v>Batch 211</v>
      </c>
      <c r="B2788" s="9" t="str">
        <f>IFERROR(__xludf.DUMMYFUNCTION("""COMPUTED_VALUE"""),"TanyaC11")</f>
        <v>TanyaC11</v>
      </c>
      <c r="C2788" s="8">
        <f>IFERROR(__xludf.DUMMYFUNCTION("""COMPUTED_VALUE"""),0.0)</f>
        <v>0</v>
      </c>
      <c r="D2788" s="8"/>
    </row>
    <row r="2789">
      <c r="A2789" s="9" t="str">
        <f>IFERROR(__xludf.DUMMYFUNCTION("""COMPUTED_VALUE"""),"Batch 211")</f>
        <v>Batch 211</v>
      </c>
      <c r="B2789" s="9" t="str">
        <f>IFERROR(__xludf.DUMMYFUNCTION("""COMPUTED_VALUE"""),"JhalakC11")</f>
        <v>JhalakC11</v>
      </c>
      <c r="C2789" s="8">
        <f>IFERROR(__xludf.DUMMYFUNCTION("""COMPUTED_VALUE"""),8.0)</f>
        <v>8</v>
      </c>
      <c r="D2789" s="8">
        <f>IFERROR(__xludf.DUMMYFUNCTION("""COMPUTED_VALUE"""),1.0)</f>
        <v>1</v>
      </c>
    </row>
    <row r="2790">
      <c r="A2790" s="9" t="str">
        <f>IFERROR(__xludf.DUMMYFUNCTION("""COMPUTED_VALUE"""),"Batch 211")</f>
        <v>Batch 211</v>
      </c>
      <c r="B2790" s="9" t="str">
        <f>IFERROR(__xludf.DUMMYFUNCTION("""COMPUTED_VALUE"""),"MalvikaC11")</f>
        <v>MalvikaC11</v>
      </c>
      <c r="C2790" s="8">
        <f>IFERROR(__xludf.DUMMYFUNCTION("""COMPUTED_VALUE"""),0.0)</f>
        <v>0</v>
      </c>
      <c r="D2790" s="8"/>
    </row>
    <row r="2791">
      <c r="A2791" s="9" t="str">
        <f>IFERROR(__xludf.DUMMYFUNCTION("""COMPUTED_VALUE"""),"Batch 211")</f>
        <v>Batch 211</v>
      </c>
      <c r="B2791" s="9" t="str">
        <f>IFERROR(__xludf.DUMMYFUNCTION("""COMPUTED_VALUE"""),"VishwaC11")</f>
        <v>VishwaC11</v>
      </c>
      <c r="C2791" s="8">
        <f>IFERROR(__xludf.DUMMYFUNCTION("""COMPUTED_VALUE"""),1.0)</f>
        <v>1</v>
      </c>
      <c r="D2791" s="8"/>
    </row>
    <row r="2792">
      <c r="A2792" s="9" t="str">
        <f>IFERROR(__xludf.DUMMYFUNCTION("""COMPUTED_VALUE"""),"Batch 211")</f>
        <v>Batch 211</v>
      </c>
      <c r="B2792" s="9" t="str">
        <f>IFERROR(__xludf.DUMMYFUNCTION("""COMPUTED_VALUE"""),"PrabhatC11")</f>
        <v>PrabhatC11</v>
      </c>
      <c r="C2792" s="8">
        <f>IFERROR(__xludf.DUMMYFUNCTION("""COMPUTED_VALUE"""),1.0)</f>
        <v>1</v>
      </c>
      <c r="D2792" s="8"/>
    </row>
    <row r="2793">
      <c r="A2793" s="9" t="str">
        <f>IFERROR(__xludf.DUMMYFUNCTION("""COMPUTED_VALUE"""),"Batch 211")</f>
        <v>Batch 211</v>
      </c>
      <c r="B2793" s="9" t="str">
        <f>IFERROR(__xludf.DUMMYFUNCTION("""COMPUTED_VALUE"""),"AnushkaC11")</f>
        <v>AnushkaC11</v>
      </c>
      <c r="C2793" s="8">
        <f>IFERROR(__xludf.DUMMYFUNCTION("""COMPUTED_VALUE"""),0.0)</f>
        <v>0</v>
      </c>
      <c r="D2793" s="8"/>
    </row>
    <row r="2794">
      <c r="A2794" s="9" t="str">
        <f>IFERROR(__xludf.DUMMYFUNCTION("""COMPUTED_VALUE"""),"Batch 211")</f>
        <v>Batch 211</v>
      </c>
      <c r="B2794" s="9" t="str">
        <f>IFERROR(__xludf.DUMMYFUNCTION("""COMPUTED_VALUE"""),"AkhileshC11")</f>
        <v>AkhileshC11</v>
      </c>
      <c r="C2794" s="8">
        <f>IFERROR(__xludf.DUMMYFUNCTION("""COMPUTED_VALUE"""),3.0)</f>
        <v>3</v>
      </c>
      <c r="D2794" s="8">
        <f>IFERROR(__xludf.DUMMYFUNCTION("""COMPUTED_VALUE"""),6.0)</f>
        <v>6</v>
      </c>
    </row>
    <row r="2795">
      <c r="A2795" s="9" t="str">
        <f>IFERROR(__xludf.DUMMYFUNCTION("""COMPUTED_VALUE"""),"Batch 211")</f>
        <v>Batch 211</v>
      </c>
      <c r="B2795" s="9" t="str">
        <f>IFERROR(__xludf.DUMMYFUNCTION("""COMPUTED_VALUE"""),"VikashC11")</f>
        <v>VikashC11</v>
      </c>
      <c r="C2795" s="8">
        <f>IFERROR(__xludf.DUMMYFUNCTION("""COMPUTED_VALUE"""),0.0)</f>
        <v>0</v>
      </c>
      <c r="D2795" s="8"/>
    </row>
    <row r="2796">
      <c r="A2796" s="9" t="str">
        <f>IFERROR(__xludf.DUMMYFUNCTION("""COMPUTED_VALUE"""),"Batch 211")</f>
        <v>Batch 211</v>
      </c>
      <c r="B2796" s="9" t="str">
        <f>IFERROR(__xludf.DUMMYFUNCTION("""COMPUTED_VALUE"""),"PragatiC11")</f>
        <v>PragatiC11</v>
      </c>
      <c r="C2796" s="8">
        <f>IFERROR(__xludf.DUMMYFUNCTION("""COMPUTED_VALUE"""),0.0)</f>
        <v>0</v>
      </c>
      <c r="D2796" s="8"/>
    </row>
    <row r="2797">
      <c r="A2797" s="9" t="str">
        <f>IFERROR(__xludf.DUMMYFUNCTION("""COMPUTED_VALUE"""),"Batch 211")</f>
        <v>Batch 211</v>
      </c>
      <c r="B2797" s="9" t="str">
        <f>IFERROR(__xludf.DUMMYFUNCTION("""COMPUTED_VALUE"""),"PrayagC11")</f>
        <v>PrayagC11</v>
      </c>
      <c r="C2797" s="8">
        <f>IFERROR(__xludf.DUMMYFUNCTION("""COMPUTED_VALUE"""),0.0)</f>
        <v>0</v>
      </c>
      <c r="D2797" s="8"/>
    </row>
    <row r="2798">
      <c r="A2798" s="9" t="str">
        <f>IFERROR(__xludf.DUMMYFUNCTION("""COMPUTED_VALUE"""),"Batch 211")</f>
        <v>Batch 211</v>
      </c>
      <c r="B2798" s="9" t="str">
        <f>IFERROR(__xludf.DUMMYFUNCTION("""COMPUTED_VALUE"""),"ManshaC11")</f>
        <v>ManshaC11</v>
      </c>
      <c r="C2798" s="8">
        <f>IFERROR(__xludf.DUMMYFUNCTION("""COMPUTED_VALUE"""),0.0)</f>
        <v>0</v>
      </c>
      <c r="D2798" s="8"/>
    </row>
    <row r="2799">
      <c r="A2799" s="9" t="str">
        <f>IFERROR(__xludf.DUMMYFUNCTION("""COMPUTED_VALUE"""),"Batch 211")</f>
        <v>Batch 211</v>
      </c>
      <c r="B2799" s="9" t="str">
        <f>IFERROR(__xludf.DUMMYFUNCTION("""COMPUTED_VALUE"""),"DeepakC11")</f>
        <v>DeepakC11</v>
      </c>
      <c r="C2799" s="8">
        <f>IFERROR(__xludf.DUMMYFUNCTION("""COMPUTED_VALUE"""),0.0)</f>
        <v>0</v>
      </c>
      <c r="D2799" s="8"/>
    </row>
    <row r="2800">
      <c r="A2800" s="9" t="str">
        <f>IFERROR(__xludf.DUMMYFUNCTION("""COMPUTED_VALUE"""),"Batch 211")</f>
        <v>Batch 211</v>
      </c>
      <c r="B2800" s="9" t="str">
        <f>IFERROR(__xludf.DUMMYFUNCTION("""COMPUTED_VALUE"""),"ShravaniC11")</f>
        <v>ShravaniC11</v>
      </c>
      <c r="C2800" s="8">
        <f>IFERROR(__xludf.DUMMYFUNCTION("""COMPUTED_VALUE"""),0.0)</f>
        <v>0</v>
      </c>
      <c r="D2800" s="8"/>
    </row>
    <row r="2801">
      <c r="A2801" s="9" t="str">
        <f>IFERROR(__xludf.DUMMYFUNCTION("""COMPUTED_VALUE"""),"Batch 211")</f>
        <v>Batch 211</v>
      </c>
      <c r="B2801" s="9" t="str">
        <f>IFERROR(__xludf.DUMMYFUNCTION("""COMPUTED_VALUE"""),"PranjaliC11")</f>
        <v>PranjaliC11</v>
      </c>
      <c r="C2801" s="8">
        <f>IFERROR(__xludf.DUMMYFUNCTION("""COMPUTED_VALUE"""),0.0)</f>
        <v>0</v>
      </c>
      <c r="D2801" s="8"/>
    </row>
    <row r="2802">
      <c r="A2802" s="9" t="str">
        <f>IFERROR(__xludf.DUMMYFUNCTION("""COMPUTED_VALUE"""),"Batch 211")</f>
        <v>Batch 211</v>
      </c>
      <c r="B2802" s="9" t="str">
        <f>IFERROR(__xludf.DUMMYFUNCTION("""COMPUTED_VALUE"""),"PrachiC11")</f>
        <v>PrachiC11</v>
      </c>
      <c r="C2802" s="8">
        <f>IFERROR(__xludf.DUMMYFUNCTION("""COMPUTED_VALUE"""),0.0)</f>
        <v>0</v>
      </c>
      <c r="D2802" s="8"/>
    </row>
    <row r="2803">
      <c r="A2803" s="9" t="str">
        <f>IFERROR(__xludf.DUMMYFUNCTION("""COMPUTED_VALUE"""),"Batch 211")</f>
        <v>Batch 211</v>
      </c>
      <c r="B2803" s="9" t="str">
        <f>IFERROR(__xludf.DUMMYFUNCTION("""COMPUTED_VALUE"""),"HarshitaC11")</f>
        <v>HarshitaC11</v>
      </c>
      <c r="C2803" s="8">
        <f>IFERROR(__xludf.DUMMYFUNCTION("""COMPUTED_VALUE"""),0.0)</f>
        <v>0</v>
      </c>
      <c r="D2803" s="8"/>
    </row>
    <row r="2804">
      <c r="A2804" s="9" t="str">
        <f>IFERROR(__xludf.DUMMYFUNCTION("""COMPUTED_VALUE"""),"Batch 211")</f>
        <v>Batch 211</v>
      </c>
      <c r="B2804" s="9" t="str">
        <f>IFERROR(__xludf.DUMMYFUNCTION("""COMPUTED_VALUE"""),"CherukuC11")</f>
        <v>CherukuC11</v>
      </c>
      <c r="C2804" s="8">
        <f>IFERROR(__xludf.DUMMYFUNCTION("""COMPUTED_VALUE"""),0.0)</f>
        <v>0</v>
      </c>
      <c r="D2804" s="8"/>
    </row>
    <row r="2805">
      <c r="A2805" s="9" t="str">
        <f>IFERROR(__xludf.DUMMYFUNCTION("""COMPUTED_VALUE"""),"Batch 211")</f>
        <v>Batch 211</v>
      </c>
      <c r="B2805" s="9" t="str">
        <f>IFERROR(__xludf.DUMMYFUNCTION("""COMPUTED_VALUE"""),"JuttukaC11")</f>
        <v>JuttukaC11</v>
      </c>
      <c r="C2805" s="8">
        <f>IFERROR(__xludf.DUMMYFUNCTION("""COMPUTED_VALUE"""),0.0)</f>
        <v>0</v>
      </c>
      <c r="D2805" s="8"/>
    </row>
    <row r="2806">
      <c r="A2806" s="9" t="str">
        <f>IFERROR(__xludf.DUMMYFUNCTION("""COMPUTED_VALUE"""),"Batch 211")</f>
        <v>Batch 211</v>
      </c>
      <c r="B2806" s="9" t="str">
        <f>IFERROR(__xludf.DUMMYFUNCTION("""COMPUTED_VALUE"""),"YashC11")</f>
        <v>YashC11</v>
      </c>
      <c r="C2806" s="8">
        <f>IFERROR(__xludf.DUMMYFUNCTION("""COMPUTED_VALUE"""),0.0)</f>
        <v>0</v>
      </c>
      <c r="D2806" s="8"/>
    </row>
    <row r="2807">
      <c r="A2807" s="9" t="str">
        <f>IFERROR(__xludf.DUMMYFUNCTION("""COMPUTED_VALUE"""),"Batch 211")</f>
        <v>Batch 211</v>
      </c>
      <c r="B2807" s="9" t="str">
        <f>IFERROR(__xludf.DUMMYFUNCTION("""COMPUTED_VALUE"""),"KanishkaC11")</f>
        <v>KanishkaC11</v>
      </c>
      <c r="C2807" s="8">
        <f>IFERROR(__xludf.DUMMYFUNCTION("""COMPUTED_VALUE"""),0.0)</f>
        <v>0</v>
      </c>
      <c r="D2807" s="8"/>
    </row>
    <row r="2808">
      <c r="A2808" s="9" t="str">
        <f>IFERROR(__xludf.DUMMYFUNCTION("""COMPUTED_VALUE"""),"Batch 211")</f>
        <v>Batch 211</v>
      </c>
      <c r="B2808" s="9" t="str">
        <f>IFERROR(__xludf.DUMMYFUNCTION("""COMPUTED_VALUE"""),"ParnavC11")</f>
        <v>ParnavC11</v>
      </c>
      <c r="C2808" s="8">
        <f>IFERROR(__xludf.DUMMYFUNCTION("""COMPUTED_VALUE"""),1.0)</f>
        <v>1</v>
      </c>
      <c r="D2808" s="8"/>
    </row>
    <row r="2809">
      <c r="A2809" s="9" t="str">
        <f>IFERROR(__xludf.DUMMYFUNCTION("""COMPUTED_VALUE"""),"Batch 211")</f>
        <v>Batch 211</v>
      </c>
      <c r="B2809" s="9" t="str">
        <f>IFERROR(__xludf.DUMMYFUNCTION("""COMPUTED_VALUE"""),"BrindhaC11")</f>
        <v>BrindhaC11</v>
      </c>
      <c r="C2809" s="8">
        <f>IFERROR(__xludf.DUMMYFUNCTION("""COMPUTED_VALUE"""),0.0)</f>
        <v>0</v>
      </c>
      <c r="D2809" s="8"/>
    </row>
    <row r="2810">
      <c r="A2810" s="9" t="str">
        <f>IFERROR(__xludf.DUMMYFUNCTION("""COMPUTED_VALUE"""),"Batch 211")</f>
        <v>Batch 211</v>
      </c>
      <c r="B2810" s="9" t="str">
        <f>IFERROR(__xludf.DUMMYFUNCTION("""COMPUTED_VALUE"""),"DivyeC11")</f>
        <v>DivyeC11</v>
      </c>
      <c r="C2810" s="8">
        <f>IFERROR(__xludf.DUMMYFUNCTION("""COMPUTED_VALUE"""),0.0)</f>
        <v>0</v>
      </c>
      <c r="D2810" s="8"/>
    </row>
    <row r="2811">
      <c r="A2811" s="9" t="str">
        <f>IFERROR(__xludf.DUMMYFUNCTION("""COMPUTED_VALUE"""),"Batch 211")</f>
        <v>Batch 211</v>
      </c>
      <c r="B2811" s="9" t="str">
        <f>IFERROR(__xludf.DUMMYFUNCTION("""COMPUTED_VALUE"""),"RasikC11")</f>
        <v>RasikC11</v>
      </c>
      <c r="C2811" s="8">
        <f>IFERROR(__xludf.DUMMYFUNCTION("""COMPUTED_VALUE"""),0.0)</f>
        <v>0</v>
      </c>
      <c r="D2811" s="8"/>
    </row>
    <row r="2812">
      <c r="A2812" s="9" t="str">
        <f>IFERROR(__xludf.DUMMYFUNCTION("""COMPUTED_VALUE"""),"Batch 211")</f>
        <v>Batch 211</v>
      </c>
      <c r="B2812" s="9" t="str">
        <f>IFERROR(__xludf.DUMMYFUNCTION("""COMPUTED_VALUE"""),"SPC11")</f>
        <v>SPC11</v>
      </c>
      <c r="C2812" s="8">
        <f>IFERROR(__xludf.DUMMYFUNCTION("""COMPUTED_VALUE"""),1.0)</f>
        <v>1</v>
      </c>
      <c r="D2812" s="8"/>
    </row>
    <row r="2813">
      <c r="A2813" s="9"/>
      <c r="B2813" s="9"/>
      <c r="C2813" s="8">
        <f>IFERROR(__xludf.DUMMYFUNCTION("""COMPUTED_VALUE"""),0.0)</f>
        <v>0</v>
      </c>
      <c r="D2813" s="8"/>
    </row>
    <row r="2814">
      <c r="A2814" s="9" t="str">
        <f>IFERROR(__xludf.DUMMYFUNCTION("""COMPUTED_VALUE"""),"Batch 212")</f>
        <v>Batch 212</v>
      </c>
      <c r="B2814" s="9" t="str">
        <f>IFERROR(__xludf.DUMMYFUNCTION("""COMPUTED_VALUE"""),"AyantikaC12")</f>
        <v>AyantikaC12</v>
      </c>
      <c r="C2814" s="8">
        <f>IFERROR(__xludf.DUMMYFUNCTION("""COMPUTED_VALUE"""),0.0)</f>
        <v>0</v>
      </c>
      <c r="D2814" s="8"/>
    </row>
    <row r="2815">
      <c r="A2815" s="9" t="str">
        <f>IFERROR(__xludf.DUMMYFUNCTION("""COMPUTED_VALUE"""),"Batch 212")</f>
        <v>Batch 212</v>
      </c>
      <c r="B2815" s="9" t="str">
        <f>IFERROR(__xludf.DUMMYFUNCTION("""COMPUTED_VALUE"""),"BhavyaC12")</f>
        <v>BhavyaC12</v>
      </c>
      <c r="C2815" s="8">
        <f>IFERROR(__xludf.DUMMYFUNCTION("""COMPUTED_VALUE"""),13.0)</f>
        <v>13</v>
      </c>
      <c r="D2815" s="8">
        <f>IFERROR(__xludf.DUMMYFUNCTION("""COMPUTED_VALUE"""),1.0)</f>
        <v>1</v>
      </c>
    </row>
    <row r="2816">
      <c r="A2816" s="9" t="str">
        <f>IFERROR(__xludf.DUMMYFUNCTION("""COMPUTED_VALUE"""),"Batch 212")</f>
        <v>Batch 212</v>
      </c>
      <c r="B2816" s="9" t="str">
        <f>IFERROR(__xludf.DUMMYFUNCTION("""COMPUTED_VALUE"""),"ParvC12")</f>
        <v>ParvC12</v>
      </c>
      <c r="C2816" s="8">
        <f>IFERROR(__xludf.DUMMYFUNCTION("""COMPUTED_VALUE"""),0.0)</f>
        <v>0</v>
      </c>
      <c r="D2816" s="8"/>
    </row>
    <row r="2817">
      <c r="A2817" s="9" t="str">
        <f>IFERROR(__xludf.DUMMYFUNCTION("""COMPUTED_VALUE"""),"Batch 212")</f>
        <v>Batch 212</v>
      </c>
      <c r="B2817" s="9" t="str">
        <f>IFERROR(__xludf.DUMMYFUNCTION("""COMPUTED_VALUE"""),"SeathalC12")</f>
        <v>SeathalC12</v>
      </c>
      <c r="C2817" s="8">
        <f>IFERROR(__xludf.DUMMYFUNCTION("""COMPUTED_VALUE"""),2.0)</f>
        <v>2</v>
      </c>
      <c r="D2817" s="8"/>
    </row>
    <row r="2818">
      <c r="A2818" s="9" t="str">
        <f>IFERROR(__xludf.DUMMYFUNCTION("""COMPUTED_VALUE"""),"Batch 212")</f>
        <v>Batch 212</v>
      </c>
      <c r="B2818" s="9" t="str">
        <f>IFERROR(__xludf.DUMMYFUNCTION("""COMPUTED_VALUE"""),"AtharvC12")</f>
        <v>AtharvC12</v>
      </c>
      <c r="C2818" s="8">
        <f>IFERROR(__xludf.DUMMYFUNCTION("""COMPUTED_VALUE"""),0.0)</f>
        <v>0</v>
      </c>
      <c r="D2818" s="8"/>
    </row>
    <row r="2819">
      <c r="A2819" s="9" t="str">
        <f>IFERROR(__xludf.DUMMYFUNCTION("""COMPUTED_VALUE"""),"Batch 212")</f>
        <v>Batch 212</v>
      </c>
      <c r="B2819" s="9" t="str">
        <f>IFERROR(__xludf.DUMMYFUNCTION("""COMPUTED_VALUE"""),"AayushC12")</f>
        <v>AayushC12</v>
      </c>
      <c r="C2819" s="8">
        <f>IFERROR(__xludf.DUMMYFUNCTION("""COMPUTED_VALUE"""),0.0)</f>
        <v>0</v>
      </c>
      <c r="D2819" s="8"/>
    </row>
    <row r="2820">
      <c r="A2820" s="9" t="str">
        <f>IFERROR(__xludf.DUMMYFUNCTION("""COMPUTED_VALUE"""),"Batch 212")</f>
        <v>Batch 212</v>
      </c>
      <c r="B2820" s="9" t="str">
        <f>IFERROR(__xludf.DUMMYFUNCTION("""COMPUTED_VALUE"""),"RakshitaC12")</f>
        <v>RakshitaC12</v>
      </c>
      <c r="C2820" s="8">
        <f>IFERROR(__xludf.DUMMYFUNCTION("""COMPUTED_VALUE"""),0.0)</f>
        <v>0</v>
      </c>
      <c r="D2820" s="8"/>
    </row>
    <row r="2821">
      <c r="A2821" s="9" t="str">
        <f>IFERROR(__xludf.DUMMYFUNCTION("""COMPUTED_VALUE"""),"Batch 212")</f>
        <v>Batch 212</v>
      </c>
      <c r="B2821" s="9" t="str">
        <f>IFERROR(__xludf.DUMMYFUNCTION("""COMPUTED_VALUE"""),"AdityaC12")</f>
        <v>AdityaC12</v>
      </c>
      <c r="C2821" s="8">
        <f>IFERROR(__xludf.DUMMYFUNCTION("""COMPUTED_VALUE"""),0.0)</f>
        <v>0</v>
      </c>
      <c r="D2821" s="8"/>
    </row>
    <row r="2822">
      <c r="A2822" s="9" t="str">
        <f>IFERROR(__xludf.DUMMYFUNCTION("""COMPUTED_VALUE"""),"Batch 212")</f>
        <v>Batch 212</v>
      </c>
      <c r="B2822" s="9" t="str">
        <f>IFERROR(__xludf.DUMMYFUNCTION("""COMPUTED_VALUE"""),"YC12")</f>
        <v>YC12</v>
      </c>
      <c r="C2822" s="8">
        <f>IFERROR(__xludf.DUMMYFUNCTION("""COMPUTED_VALUE"""),1.0)</f>
        <v>1</v>
      </c>
      <c r="D2822" s="8">
        <f>IFERROR(__xludf.DUMMYFUNCTION("""COMPUTED_VALUE"""),4.0)</f>
        <v>4</v>
      </c>
    </row>
    <row r="2823">
      <c r="A2823" s="9" t="str">
        <f>IFERROR(__xludf.DUMMYFUNCTION("""COMPUTED_VALUE"""),"Batch 212")</f>
        <v>Batch 212</v>
      </c>
      <c r="B2823" s="9" t="str">
        <f>IFERROR(__xludf.DUMMYFUNCTION("""COMPUTED_VALUE"""),"BC12")</f>
        <v>BC12</v>
      </c>
      <c r="C2823" s="8">
        <f>IFERROR(__xludf.DUMMYFUNCTION("""COMPUTED_VALUE"""),0.0)</f>
        <v>0</v>
      </c>
      <c r="D2823" s="8"/>
    </row>
    <row r="2824">
      <c r="A2824" s="9" t="str">
        <f>IFERROR(__xludf.DUMMYFUNCTION("""COMPUTED_VALUE"""),"Batch 212")</f>
        <v>Batch 212</v>
      </c>
      <c r="B2824" s="9" t="str">
        <f>IFERROR(__xludf.DUMMYFUNCTION("""COMPUTED_VALUE"""),"RitikaC12")</f>
        <v>RitikaC12</v>
      </c>
      <c r="C2824" s="8">
        <f>IFERROR(__xludf.DUMMYFUNCTION("""COMPUTED_VALUE"""),2.0)</f>
        <v>2</v>
      </c>
      <c r="D2824" s="8">
        <f>IFERROR(__xludf.DUMMYFUNCTION("""COMPUTED_VALUE"""),5.0)</f>
        <v>5</v>
      </c>
    </row>
    <row r="2825">
      <c r="A2825" s="9" t="str">
        <f>IFERROR(__xludf.DUMMYFUNCTION("""COMPUTED_VALUE"""),"Batch 212")</f>
        <v>Batch 212</v>
      </c>
      <c r="B2825" s="9" t="str">
        <f>IFERROR(__xludf.DUMMYFUNCTION("""COMPUTED_VALUE"""),"RohitC12")</f>
        <v>RohitC12</v>
      </c>
      <c r="C2825" s="8">
        <f>IFERROR(__xludf.DUMMYFUNCTION("""COMPUTED_VALUE"""),0.0)</f>
        <v>0</v>
      </c>
      <c r="D2825" s="8"/>
    </row>
    <row r="2826">
      <c r="A2826" s="9" t="str">
        <f>IFERROR(__xludf.DUMMYFUNCTION("""COMPUTED_VALUE"""),"Batch 212")</f>
        <v>Batch 212</v>
      </c>
      <c r="B2826" s="9" t="str">
        <f>IFERROR(__xludf.DUMMYFUNCTION("""COMPUTED_VALUE"""),"MayankC12")</f>
        <v>MayankC12</v>
      </c>
      <c r="C2826" s="8">
        <f>IFERROR(__xludf.DUMMYFUNCTION("""COMPUTED_VALUE"""),2.0)</f>
        <v>2</v>
      </c>
      <c r="D2826" s="8"/>
    </row>
    <row r="2827">
      <c r="A2827" s="9" t="str">
        <f>IFERROR(__xludf.DUMMYFUNCTION("""COMPUTED_VALUE"""),"Batch 212")</f>
        <v>Batch 212</v>
      </c>
      <c r="B2827" s="9" t="str">
        <f>IFERROR(__xludf.DUMMYFUNCTION("""COMPUTED_VALUE"""),"SatvinderC12")</f>
        <v>SatvinderC12</v>
      </c>
      <c r="C2827" s="8">
        <f>IFERROR(__xludf.DUMMYFUNCTION("""COMPUTED_VALUE"""),0.0)</f>
        <v>0</v>
      </c>
      <c r="D2827" s="8"/>
    </row>
    <row r="2828">
      <c r="A2828" s="9" t="str">
        <f>IFERROR(__xludf.DUMMYFUNCTION("""COMPUTED_VALUE"""),"Batch 212")</f>
        <v>Batch 212</v>
      </c>
      <c r="B2828" s="9" t="str">
        <f>IFERROR(__xludf.DUMMYFUNCTION("""COMPUTED_VALUE"""),"DimpleRC12")</f>
        <v>DimpleRC12</v>
      </c>
      <c r="C2828" s="8">
        <f>IFERROR(__xludf.DUMMYFUNCTION("""COMPUTED_VALUE"""),0.0)</f>
        <v>0</v>
      </c>
      <c r="D2828" s="8"/>
    </row>
    <row r="2829">
      <c r="A2829" s="9" t="str">
        <f>IFERROR(__xludf.DUMMYFUNCTION("""COMPUTED_VALUE"""),"Batch 212")</f>
        <v>Batch 212</v>
      </c>
      <c r="B2829" s="9" t="str">
        <f>IFERROR(__xludf.DUMMYFUNCTION("""COMPUTED_VALUE"""),"HemantC12")</f>
        <v>HemantC12</v>
      </c>
      <c r="C2829" s="8">
        <f>IFERROR(__xludf.DUMMYFUNCTION("""COMPUTED_VALUE"""),0.0)</f>
        <v>0</v>
      </c>
      <c r="D2829" s="8"/>
    </row>
    <row r="2830">
      <c r="A2830" s="9" t="str">
        <f>IFERROR(__xludf.DUMMYFUNCTION("""COMPUTED_VALUE"""),"Batch 212")</f>
        <v>Batch 212</v>
      </c>
      <c r="B2830" s="9" t="str">
        <f>IFERROR(__xludf.DUMMYFUNCTION("""COMPUTED_VALUE"""),"GUNJANC12")</f>
        <v>GUNJANC12</v>
      </c>
      <c r="C2830" s="8">
        <f>IFERROR(__xludf.DUMMYFUNCTION("""COMPUTED_VALUE"""),0.0)</f>
        <v>0</v>
      </c>
      <c r="D2830" s="8"/>
    </row>
    <row r="2831">
      <c r="A2831" s="9" t="str">
        <f>IFERROR(__xludf.DUMMYFUNCTION("""COMPUTED_VALUE"""),"Batch 212")</f>
        <v>Batch 212</v>
      </c>
      <c r="B2831" s="9" t="str">
        <f>IFERROR(__xludf.DUMMYFUNCTION("""COMPUTED_VALUE"""),"BhushanC12")</f>
        <v>BhushanC12</v>
      </c>
      <c r="C2831" s="8">
        <f>IFERROR(__xludf.DUMMYFUNCTION("""COMPUTED_VALUE"""),0.0)</f>
        <v>0</v>
      </c>
      <c r="D2831" s="8"/>
    </row>
    <row r="2832">
      <c r="A2832" s="9" t="str">
        <f>IFERROR(__xludf.DUMMYFUNCTION("""COMPUTED_VALUE"""),"Batch 212")</f>
        <v>Batch 212</v>
      </c>
      <c r="B2832" s="9" t="str">
        <f>IFERROR(__xludf.DUMMYFUNCTION("""COMPUTED_VALUE"""),"ManjotC12")</f>
        <v>ManjotC12</v>
      </c>
      <c r="C2832" s="8">
        <f>IFERROR(__xludf.DUMMYFUNCTION("""COMPUTED_VALUE"""),0.0)</f>
        <v>0</v>
      </c>
      <c r="D2832" s="8"/>
    </row>
    <row r="2833">
      <c r="A2833" s="9" t="str">
        <f>IFERROR(__xludf.DUMMYFUNCTION("""COMPUTED_VALUE"""),"Batch 212")</f>
        <v>Batch 212</v>
      </c>
      <c r="B2833" s="9" t="str">
        <f>IFERROR(__xludf.DUMMYFUNCTION("""COMPUTED_VALUE"""),"SOUHARDAC12")</f>
        <v>SOUHARDAC12</v>
      </c>
      <c r="C2833" s="8">
        <f>IFERROR(__xludf.DUMMYFUNCTION("""COMPUTED_VALUE"""),0.0)</f>
        <v>0</v>
      </c>
      <c r="D2833" s="8"/>
    </row>
    <row r="2834">
      <c r="A2834" s="9" t="str">
        <f>IFERROR(__xludf.DUMMYFUNCTION("""COMPUTED_VALUE"""),"Batch 212")</f>
        <v>Batch 212</v>
      </c>
      <c r="B2834" s="9" t="str">
        <f>IFERROR(__xludf.DUMMYFUNCTION("""COMPUTED_VALUE"""),"SohailC12")</f>
        <v>SohailC12</v>
      </c>
      <c r="C2834" s="8">
        <f>IFERROR(__xludf.DUMMYFUNCTION("""COMPUTED_VALUE"""),0.0)</f>
        <v>0</v>
      </c>
      <c r="D2834" s="8"/>
    </row>
    <row r="2835">
      <c r="A2835" s="9" t="str">
        <f>IFERROR(__xludf.DUMMYFUNCTION("""COMPUTED_VALUE"""),"Batch 212")</f>
        <v>Batch 212</v>
      </c>
      <c r="B2835" s="9" t="str">
        <f>IFERROR(__xludf.DUMMYFUNCTION("""COMPUTED_VALUE"""),"PreetiPC12")</f>
        <v>PreetiPC12</v>
      </c>
      <c r="C2835" s="8">
        <f>IFERROR(__xludf.DUMMYFUNCTION("""COMPUTED_VALUE"""),0.0)</f>
        <v>0</v>
      </c>
      <c r="D2835" s="8"/>
    </row>
    <row r="2836">
      <c r="A2836" s="9" t="str">
        <f>IFERROR(__xludf.DUMMYFUNCTION("""COMPUTED_VALUE"""),"Batch 212")</f>
        <v>Batch 212</v>
      </c>
      <c r="B2836" s="9" t="str">
        <f>IFERROR(__xludf.DUMMYFUNCTION("""COMPUTED_VALUE"""),"RajC12")</f>
        <v>RajC12</v>
      </c>
      <c r="C2836" s="8">
        <f>IFERROR(__xludf.DUMMYFUNCTION("""COMPUTED_VALUE"""),0.0)</f>
        <v>0</v>
      </c>
      <c r="D2836" s="8"/>
    </row>
    <row r="2837">
      <c r="A2837" s="9" t="str">
        <f>IFERROR(__xludf.DUMMYFUNCTION("""COMPUTED_VALUE"""),"Batch 212")</f>
        <v>Batch 212</v>
      </c>
      <c r="B2837" s="9" t="str">
        <f>IFERROR(__xludf.DUMMYFUNCTION("""COMPUTED_VALUE"""),"MaitriC12")</f>
        <v>MaitriC12</v>
      </c>
      <c r="C2837" s="8">
        <f>IFERROR(__xludf.DUMMYFUNCTION("""COMPUTED_VALUE"""),0.0)</f>
        <v>0</v>
      </c>
      <c r="D2837" s="8"/>
    </row>
    <row r="2838">
      <c r="A2838" s="9" t="str">
        <f>IFERROR(__xludf.DUMMYFUNCTION("""COMPUTED_VALUE"""),"Batch 212")</f>
        <v>Batch 212</v>
      </c>
      <c r="B2838" s="9" t="str">
        <f>IFERROR(__xludf.DUMMYFUNCTION("""COMPUTED_VALUE"""),"ParasC12")</f>
        <v>ParasC12</v>
      </c>
      <c r="C2838" s="8">
        <f>IFERROR(__xludf.DUMMYFUNCTION("""COMPUTED_VALUE"""),0.0)</f>
        <v>0</v>
      </c>
      <c r="D2838" s="8"/>
    </row>
    <row r="2839">
      <c r="A2839" s="9" t="str">
        <f>IFERROR(__xludf.DUMMYFUNCTION("""COMPUTED_VALUE"""),"Batch 212")</f>
        <v>Batch 212</v>
      </c>
      <c r="B2839" s="9" t="str">
        <f>IFERROR(__xludf.DUMMYFUNCTION("""COMPUTED_VALUE"""),"PritC12")</f>
        <v>PritC12</v>
      </c>
      <c r="C2839" s="8">
        <f>IFERROR(__xludf.DUMMYFUNCTION("""COMPUTED_VALUE"""),0.0)</f>
        <v>0</v>
      </c>
      <c r="D2839" s="8"/>
    </row>
    <row r="2840">
      <c r="A2840" s="9" t="str">
        <f>IFERROR(__xludf.DUMMYFUNCTION("""COMPUTED_VALUE"""),"Batch 212")</f>
        <v>Batch 212</v>
      </c>
      <c r="B2840" s="9" t="str">
        <f>IFERROR(__xludf.DUMMYFUNCTION("""COMPUTED_VALUE"""),"RavinamamnaniC12")</f>
        <v>RavinamamnaniC12</v>
      </c>
      <c r="C2840" s="8">
        <f>IFERROR(__xludf.DUMMYFUNCTION("""COMPUTED_VALUE"""),0.0)</f>
        <v>0</v>
      </c>
      <c r="D2840" s="8"/>
    </row>
    <row r="2841">
      <c r="A2841" s="9" t="str">
        <f>IFERROR(__xludf.DUMMYFUNCTION("""COMPUTED_VALUE"""),"Batch 212")</f>
        <v>Batch 212</v>
      </c>
      <c r="B2841" s="9" t="str">
        <f>IFERROR(__xludf.DUMMYFUNCTION("""COMPUTED_VALUE"""),"AnushaC12")</f>
        <v>AnushaC12</v>
      </c>
      <c r="C2841" s="8">
        <f>IFERROR(__xludf.DUMMYFUNCTION("""COMPUTED_VALUE"""),0.0)</f>
        <v>0</v>
      </c>
      <c r="D2841" s="8"/>
    </row>
    <row r="2842">
      <c r="A2842" s="9" t="str">
        <f>IFERROR(__xludf.DUMMYFUNCTION("""COMPUTED_VALUE"""),"Batch 212")</f>
        <v>Batch 212</v>
      </c>
      <c r="B2842" s="9" t="str">
        <f>IFERROR(__xludf.DUMMYFUNCTION("""COMPUTED_VALUE"""),"JeetC12")</f>
        <v>JeetC12</v>
      </c>
      <c r="C2842" s="8">
        <f>IFERROR(__xludf.DUMMYFUNCTION("""COMPUTED_VALUE"""),0.0)</f>
        <v>0</v>
      </c>
      <c r="D2842" s="8"/>
    </row>
    <row r="2843">
      <c r="A2843" s="9" t="str">
        <f>IFERROR(__xludf.DUMMYFUNCTION("""COMPUTED_VALUE"""),"Batch 212")</f>
        <v>Batch 212</v>
      </c>
      <c r="B2843" s="9" t="str">
        <f>IFERROR(__xludf.DUMMYFUNCTION("""COMPUTED_VALUE"""),"DharavathC12")</f>
        <v>DharavathC12</v>
      </c>
      <c r="C2843" s="8">
        <f>IFERROR(__xludf.DUMMYFUNCTION("""COMPUTED_VALUE"""),0.0)</f>
        <v>0</v>
      </c>
      <c r="D2843" s="8"/>
    </row>
    <row r="2844">
      <c r="A2844" s="9" t="str">
        <f>IFERROR(__xludf.DUMMYFUNCTION("""COMPUTED_VALUE"""),"Batch 212")</f>
        <v>Batch 212</v>
      </c>
      <c r="B2844" s="9" t="str">
        <f>IFERROR(__xludf.DUMMYFUNCTION("""COMPUTED_VALUE"""),"DineshC12")</f>
        <v>DineshC12</v>
      </c>
      <c r="C2844" s="8">
        <f>IFERROR(__xludf.DUMMYFUNCTION("""COMPUTED_VALUE"""),0.0)</f>
        <v>0</v>
      </c>
      <c r="D2844" s="8"/>
    </row>
    <row r="2845">
      <c r="A2845" s="9" t="str">
        <f>IFERROR(__xludf.DUMMYFUNCTION("""COMPUTED_VALUE"""),"Batch 212")</f>
        <v>Batch 212</v>
      </c>
      <c r="B2845" s="9" t="str">
        <f>IFERROR(__xludf.DUMMYFUNCTION("""COMPUTED_VALUE"""),"DeepaliC12")</f>
        <v>DeepaliC12</v>
      </c>
      <c r="C2845" s="8">
        <f>IFERROR(__xludf.DUMMYFUNCTION("""COMPUTED_VALUE"""),0.0)</f>
        <v>0</v>
      </c>
      <c r="D2845" s="8"/>
    </row>
    <row r="2846">
      <c r="A2846" s="9" t="str">
        <f>IFERROR(__xludf.DUMMYFUNCTION("""COMPUTED_VALUE"""),"Batch 212")</f>
        <v>Batch 212</v>
      </c>
      <c r="B2846" s="9" t="str">
        <f>IFERROR(__xludf.DUMMYFUNCTION("""COMPUTED_VALUE"""),"YogeshC12")</f>
        <v>YogeshC12</v>
      </c>
      <c r="C2846" s="8">
        <f>IFERROR(__xludf.DUMMYFUNCTION("""COMPUTED_VALUE"""),0.0)</f>
        <v>0</v>
      </c>
      <c r="D2846" s="8"/>
    </row>
    <row r="2847">
      <c r="A2847" s="9" t="str">
        <f>IFERROR(__xludf.DUMMYFUNCTION("""COMPUTED_VALUE"""),"Batch 212")</f>
        <v>Batch 212</v>
      </c>
      <c r="B2847" s="9" t="str">
        <f>IFERROR(__xludf.DUMMYFUNCTION("""COMPUTED_VALUE"""),"FaiquaC12")</f>
        <v>FaiquaC12</v>
      </c>
      <c r="C2847" s="8">
        <f>IFERROR(__xludf.DUMMYFUNCTION("""COMPUTED_VALUE"""),0.0)</f>
        <v>0</v>
      </c>
      <c r="D2847" s="8"/>
    </row>
    <row r="2848">
      <c r="A2848" s="9" t="str">
        <f>IFERROR(__xludf.DUMMYFUNCTION("""COMPUTED_VALUE"""),"Batch 212")</f>
        <v>Batch 212</v>
      </c>
      <c r="B2848" s="9" t="str">
        <f>IFERROR(__xludf.DUMMYFUNCTION("""COMPUTED_VALUE"""),"SahilC12")</f>
        <v>SahilC12</v>
      </c>
      <c r="C2848" s="8">
        <f>IFERROR(__xludf.DUMMYFUNCTION("""COMPUTED_VALUE"""),0.0)</f>
        <v>0</v>
      </c>
      <c r="D2848" s="8"/>
    </row>
    <row r="2849">
      <c r="A2849" s="9" t="str">
        <f>IFERROR(__xludf.DUMMYFUNCTION("""COMPUTED_VALUE"""),"Batch 212")</f>
        <v>Batch 212</v>
      </c>
      <c r="B2849" s="9" t="str">
        <f>IFERROR(__xludf.DUMMYFUNCTION("""COMPUTED_VALUE"""),"AnushreeC12")</f>
        <v>AnushreeC12</v>
      </c>
      <c r="C2849" s="8">
        <f>IFERROR(__xludf.DUMMYFUNCTION("""COMPUTED_VALUE"""),0.0)</f>
        <v>0</v>
      </c>
      <c r="D2849" s="8"/>
    </row>
    <row r="2850">
      <c r="A2850" s="9" t="str">
        <f>IFERROR(__xludf.DUMMYFUNCTION("""COMPUTED_VALUE"""),"Batch 212")</f>
        <v>Batch 212</v>
      </c>
      <c r="B2850" s="9" t="str">
        <f>IFERROR(__xludf.DUMMYFUNCTION("""COMPUTED_VALUE"""),"SharenC12")</f>
        <v>SharenC12</v>
      </c>
      <c r="C2850" s="8">
        <f>IFERROR(__xludf.DUMMYFUNCTION("""COMPUTED_VALUE"""),0.0)</f>
        <v>0</v>
      </c>
      <c r="D2850" s="8"/>
    </row>
    <row r="2851">
      <c r="A2851" s="9" t="str">
        <f>IFERROR(__xludf.DUMMYFUNCTION("""COMPUTED_VALUE"""),"Batch 212")</f>
        <v>Batch 212</v>
      </c>
      <c r="B2851" s="9" t="str">
        <f>IFERROR(__xludf.DUMMYFUNCTION("""COMPUTED_VALUE"""),"HujefaC12")</f>
        <v>HujefaC12</v>
      </c>
      <c r="C2851" s="8">
        <f>IFERROR(__xludf.DUMMYFUNCTION("""COMPUTED_VALUE"""),0.0)</f>
        <v>0</v>
      </c>
      <c r="D2851" s="8"/>
    </row>
    <row r="2852">
      <c r="A2852" s="9" t="str">
        <f>IFERROR(__xludf.DUMMYFUNCTION("""COMPUTED_VALUE"""),"Batch 212")</f>
        <v>Batch 212</v>
      </c>
      <c r="B2852" s="9" t="str">
        <f>IFERROR(__xludf.DUMMYFUNCTION("""COMPUTED_VALUE"""),"AbhishekC12")</f>
        <v>AbhishekC12</v>
      </c>
      <c r="C2852" s="8">
        <f>IFERROR(__xludf.DUMMYFUNCTION("""COMPUTED_VALUE"""),0.0)</f>
        <v>0</v>
      </c>
      <c r="D2852" s="8"/>
    </row>
    <row r="2853">
      <c r="A2853" s="9" t="str">
        <f>IFERROR(__xludf.DUMMYFUNCTION("""COMPUTED_VALUE"""),"Batch 212")</f>
        <v>Batch 212</v>
      </c>
      <c r="B2853" s="9" t="str">
        <f>IFERROR(__xludf.DUMMYFUNCTION("""COMPUTED_VALUE"""),"R.C12")</f>
        <v>R.C12</v>
      </c>
      <c r="C2853" s="8">
        <f>IFERROR(__xludf.DUMMYFUNCTION("""COMPUTED_VALUE"""),0.0)</f>
        <v>0</v>
      </c>
      <c r="D2853" s="8"/>
    </row>
    <row r="2854">
      <c r="A2854" s="9" t="str">
        <f>IFERROR(__xludf.DUMMYFUNCTION("""COMPUTED_VALUE"""),"Batch 212")</f>
        <v>Batch 212</v>
      </c>
      <c r="B2854" s="9" t="str">
        <f>IFERROR(__xludf.DUMMYFUNCTION("""COMPUTED_VALUE"""),"DhananjayC12")</f>
        <v>DhananjayC12</v>
      </c>
      <c r="C2854" s="8">
        <f>IFERROR(__xludf.DUMMYFUNCTION("""COMPUTED_VALUE"""),0.0)</f>
        <v>0</v>
      </c>
      <c r="D2854" s="8"/>
    </row>
    <row r="2855">
      <c r="A2855" s="9" t="str">
        <f>IFERROR(__xludf.DUMMYFUNCTION("""COMPUTED_VALUE"""),"Batch 212")</f>
        <v>Batch 212</v>
      </c>
      <c r="B2855" s="9" t="str">
        <f>IFERROR(__xludf.DUMMYFUNCTION("""COMPUTED_VALUE"""),"VishalC12")</f>
        <v>VishalC12</v>
      </c>
      <c r="C2855" s="8">
        <f>IFERROR(__xludf.DUMMYFUNCTION("""COMPUTED_VALUE"""),0.0)</f>
        <v>0</v>
      </c>
      <c r="D2855" s="8"/>
    </row>
    <row r="2856">
      <c r="A2856" s="9" t="str">
        <f>IFERROR(__xludf.DUMMYFUNCTION("""COMPUTED_VALUE"""),"Batch 212")</f>
        <v>Batch 212</v>
      </c>
      <c r="B2856" s="9" t="str">
        <f>IFERROR(__xludf.DUMMYFUNCTION("""COMPUTED_VALUE"""),"DimpleC12")</f>
        <v>DimpleC12</v>
      </c>
      <c r="C2856" s="8">
        <f>IFERROR(__xludf.DUMMYFUNCTION("""COMPUTED_VALUE"""),0.0)</f>
        <v>0</v>
      </c>
      <c r="D2856" s="8"/>
    </row>
    <row r="2857">
      <c r="A2857" s="9" t="str">
        <f>IFERROR(__xludf.DUMMYFUNCTION("""COMPUTED_VALUE"""),"Batch 212")</f>
        <v>Batch 212</v>
      </c>
      <c r="B2857" s="9" t="str">
        <f>IFERROR(__xludf.DUMMYFUNCTION("""COMPUTED_VALUE"""),"RishabhC12")</f>
        <v>RishabhC12</v>
      </c>
      <c r="C2857" s="8">
        <f>IFERROR(__xludf.DUMMYFUNCTION("""COMPUTED_VALUE"""),0.0)</f>
        <v>0</v>
      </c>
      <c r="D2857" s="8"/>
    </row>
    <row r="2858">
      <c r="A2858" s="9" t="str">
        <f>IFERROR(__xludf.DUMMYFUNCTION("""COMPUTED_VALUE"""),"Batch 212")</f>
        <v>Batch 212</v>
      </c>
      <c r="B2858" s="9" t="str">
        <f>IFERROR(__xludf.DUMMYFUNCTION("""COMPUTED_VALUE"""),"PreetiC12")</f>
        <v>PreetiC12</v>
      </c>
      <c r="C2858" s="8">
        <f>IFERROR(__xludf.DUMMYFUNCTION("""COMPUTED_VALUE"""),0.0)</f>
        <v>0</v>
      </c>
      <c r="D2858" s="8"/>
    </row>
    <row r="2859">
      <c r="A2859" s="9" t="str">
        <f>IFERROR(__xludf.DUMMYFUNCTION("""COMPUTED_VALUE"""),"Batch 212")</f>
        <v>Batch 212</v>
      </c>
      <c r="B2859" s="9" t="str">
        <f>IFERROR(__xludf.DUMMYFUNCTION("""COMPUTED_VALUE"""),"ManasviC12")</f>
        <v>ManasviC12</v>
      </c>
      <c r="C2859" s="8">
        <f>IFERROR(__xludf.DUMMYFUNCTION("""COMPUTED_VALUE"""),0.0)</f>
        <v>0</v>
      </c>
      <c r="D2859" s="8"/>
    </row>
    <row r="2860">
      <c r="A2860" s="9" t="str">
        <f>IFERROR(__xludf.DUMMYFUNCTION("""COMPUTED_VALUE"""),"Batch 212")</f>
        <v>Batch 212</v>
      </c>
      <c r="B2860" s="9" t="str">
        <f>IFERROR(__xludf.DUMMYFUNCTION("""COMPUTED_VALUE"""),"PriyanshuC12")</f>
        <v>PriyanshuC12</v>
      </c>
      <c r="C2860" s="8">
        <f>IFERROR(__xludf.DUMMYFUNCTION("""COMPUTED_VALUE"""),0.0)</f>
        <v>0</v>
      </c>
      <c r="D2860" s="8"/>
    </row>
    <row r="2861">
      <c r="A2861" s="9" t="str">
        <f>IFERROR(__xludf.DUMMYFUNCTION("""COMPUTED_VALUE"""),"Batch 212")</f>
        <v>Batch 212</v>
      </c>
      <c r="B2861" s="9" t="str">
        <f>IFERROR(__xludf.DUMMYFUNCTION("""COMPUTED_VALUE"""),"ViralC12")</f>
        <v>ViralC12</v>
      </c>
      <c r="C2861" s="8">
        <f>IFERROR(__xludf.DUMMYFUNCTION("""COMPUTED_VALUE"""),0.0)</f>
        <v>0</v>
      </c>
      <c r="D2861" s="8"/>
    </row>
    <row r="2862">
      <c r="A2862" s="9" t="str">
        <f>IFERROR(__xludf.DUMMYFUNCTION("""COMPUTED_VALUE"""),"Batch 212")</f>
        <v>Batch 212</v>
      </c>
      <c r="B2862" s="9" t="str">
        <f>IFERROR(__xludf.DUMMYFUNCTION("""COMPUTED_VALUE"""),"KrishnaC12")</f>
        <v>KrishnaC12</v>
      </c>
      <c r="C2862" s="8">
        <f>IFERROR(__xludf.DUMMYFUNCTION("""COMPUTED_VALUE"""),0.0)</f>
        <v>0</v>
      </c>
      <c r="D2862" s="8"/>
    </row>
    <row r="2863">
      <c r="A2863" s="9" t="str">
        <f>IFERROR(__xludf.DUMMYFUNCTION("""COMPUTED_VALUE"""),"Batch 212")</f>
        <v>Batch 212</v>
      </c>
      <c r="B2863" s="9" t="str">
        <f>IFERROR(__xludf.DUMMYFUNCTION("""COMPUTED_VALUE"""),"PrajjwalC12")</f>
        <v>PrajjwalC12</v>
      </c>
      <c r="C2863" s="8">
        <f>IFERROR(__xludf.DUMMYFUNCTION("""COMPUTED_VALUE"""),0.0)</f>
        <v>0</v>
      </c>
      <c r="D2863" s="8"/>
    </row>
    <row r="2864">
      <c r="A2864" s="9" t="str">
        <f>IFERROR(__xludf.DUMMYFUNCTION("""COMPUTED_VALUE"""),"Batch 212")</f>
        <v>Batch 212</v>
      </c>
      <c r="B2864" s="9" t="str">
        <f>IFERROR(__xludf.DUMMYFUNCTION("""COMPUTED_VALUE"""),"CHAVANC12")</f>
        <v>CHAVANC12</v>
      </c>
      <c r="C2864" s="8">
        <f>IFERROR(__xludf.DUMMYFUNCTION("""COMPUTED_VALUE"""),2.0)</f>
        <v>2</v>
      </c>
      <c r="D2864" s="8"/>
    </row>
    <row r="2865">
      <c r="A2865" s="9" t="str">
        <f>IFERROR(__xludf.DUMMYFUNCTION("""COMPUTED_VALUE"""),"Batch 212")</f>
        <v>Batch 212</v>
      </c>
      <c r="B2865" s="9" t="str">
        <f>IFERROR(__xludf.DUMMYFUNCTION("""COMPUTED_VALUE"""),"TannuTC12")</f>
        <v>TannuTC12</v>
      </c>
      <c r="C2865" s="8">
        <f>IFERROR(__xludf.DUMMYFUNCTION("""COMPUTED_VALUE"""),0.0)</f>
        <v>0</v>
      </c>
      <c r="D2865" s="8"/>
    </row>
    <row r="2866">
      <c r="A2866" s="9" t="str">
        <f>IFERROR(__xludf.DUMMYFUNCTION("""COMPUTED_VALUE"""),"Batch 212")</f>
        <v>Batch 212</v>
      </c>
      <c r="B2866" s="9" t="str">
        <f>IFERROR(__xludf.DUMMYFUNCTION("""COMPUTED_VALUE"""),"KhushiC12")</f>
        <v>KhushiC12</v>
      </c>
      <c r="C2866" s="8">
        <f>IFERROR(__xludf.DUMMYFUNCTION("""COMPUTED_VALUE"""),30.0)</f>
        <v>30</v>
      </c>
      <c r="D2866" s="8">
        <f>IFERROR(__xludf.DUMMYFUNCTION("""COMPUTED_VALUE"""),1.0)</f>
        <v>1</v>
      </c>
    </row>
    <row r="2867">
      <c r="A2867" s="9" t="str">
        <f>IFERROR(__xludf.DUMMYFUNCTION("""COMPUTED_VALUE"""),"Batch 212")</f>
        <v>Batch 212</v>
      </c>
      <c r="B2867" s="9" t="str">
        <f>IFERROR(__xludf.DUMMYFUNCTION("""COMPUTED_VALUE"""),"MithinC12")</f>
        <v>MithinC12</v>
      </c>
      <c r="C2867" s="8">
        <f>IFERROR(__xludf.DUMMYFUNCTION("""COMPUTED_VALUE"""),0.0)</f>
        <v>0</v>
      </c>
      <c r="D2867" s="8"/>
    </row>
    <row r="2868">
      <c r="A2868" s="9" t="str">
        <f>IFERROR(__xludf.DUMMYFUNCTION("""COMPUTED_VALUE"""),"Batch 212")</f>
        <v>Batch 212</v>
      </c>
      <c r="B2868" s="9" t="str">
        <f>IFERROR(__xludf.DUMMYFUNCTION("""COMPUTED_VALUE"""),"VinayC12")</f>
        <v>VinayC12</v>
      </c>
      <c r="C2868" s="8">
        <f>IFERROR(__xludf.DUMMYFUNCTION("""COMPUTED_VALUE"""),0.0)</f>
        <v>0</v>
      </c>
      <c r="D2868" s="8"/>
    </row>
    <row r="2869">
      <c r="A2869" s="9" t="str">
        <f>IFERROR(__xludf.DUMMYFUNCTION("""COMPUTED_VALUE"""),"Batch 212")</f>
        <v>Batch 212</v>
      </c>
      <c r="B2869" s="9" t="str">
        <f>IFERROR(__xludf.DUMMYFUNCTION("""COMPUTED_VALUE"""),"NiranjanC12")</f>
        <v>NiranjanC12</v>
      </c>
      <c r="C2869" s="8">
        <f>IFERROR(__xludf.DUMMYFUNCTION("""COMPUTED_VALUE"""),0.0)</f>
        <v>0</v>
      </c>
      <c r="D2869" s="8"/>
    </row>
    <row r="2870">
      <c r="A2870" s="9" t="str">
        <f>IFERROR(__xludf.DUMMYFUNCTION("""COMPUTED_VALUE"""),"Batch 212")</f>
        <v>Batch 212</v>
      </c>
      <c r="B2870" s="9" t="str">
        <f>IFERROR(__xludf.DUMMYFUNCTION("""COMPUTED_VALUE"""),"AnamikaC12")</f>
        <v>AnamikaC12</v>
      </c>
      <c r="C2870" s="8">
        <f>IFERROR(__xludf.DUMMYFUNCTION("""COMPUTED_VALUE"""),0.0)</f>
        <v>0</v>
      </c>
      <c r="D2870" s="8"/>
    </row>
    <row r="2871">
      <c r="A2871" s="9" t="str">
        <f>IFERROR(__xludf.DUMMYFUNCTION("""COMPUTED_VALUE"""),"Batch 212")</f>
        <v>Batch 212</v>
      </c>
      <c r="B2871" s="9" t="str">
        <f>IFERROR(__xludf.DUMMYFUNCTION("""COMPUTED_VALUE"""),"menakaC12")</f>
        <v>menakaC12</v>
      </c>
      <c r="C2871" s="8">
        <f>IFERROR(__xludf.DUMMYFUNCTION("""COMPUTED_VALUE"""),0.0)</f>
        <v>0</v>
      </c>
      <c r="D2871" s="8"/>
    </row>
    <row r="2872">
      <c r="A2872" s="9" t="str">
        <f>IFERROR(__xludf.DUMMYFUNCTION("""COMPUTED_VALUE"""),"Batch 212")</f>
        <v>Batch 212</v>
      </c>
      <c r="B2872" s="9" t="str">
        <f>IFERROR(__xludf.DUMMYFUNCTION("""COMPUTED_VALUE"""),"SaptarshiC12")</f>
        <v>SaptarshiC12</v>
      </c>
      <c r="C2872" s="8">
        <f>IFERROR(__xludf.DUMMYFUNCTION("""COMPUTED_VALUE"""),2.0)</f>
        <v>2</v>
      </c>
      <c r="D2872" s="8">
        <f>IFERROR(__xludf.DUMMYFUNCTION("""COMPUTED_VALUE"""),3.0)</f>
        <v>3</v>
      </c>
    </row>
    <row r="2873">
      <c r="A2873" s="9" t="str">
        <f>IFERROR(__xludf.DUMMYFUNCTION("""COMPUTED_VALUE"""),"Batch 212")</f>
        <v>Batch 212</v>
      </c>
      <c r="B2873" s="9" t="str">
        <f>IFERROR(__xludf.DUMMYFUNCTION("""COMPUTED_VALUE"""),"JosephC12")</f>
        <v>JosephC12</v>
      </c>
      <c r="C2873" s="8">
        <f>IFERROR(__xludf.DUMMYFUNCTION("""COMPUTED_VALUE"""),0.0)</f>
        <v>0</v>
      </c>
      <c r="D2873" s="8"/>
    </row>
    <row r="2874">
      <c r="A2874" s="9" t="str">
        <f>IFERROR(__xludf.DUMMYFUNCTION("""COMPUTED_VALUE"""),"Batch 212")</f>
        <v>Batch 212</v>
      </c>
      <c r="B2874" s="9" t="str">
        <f>IFERROR(__xludf.DUMMYFUNCTION("""COMPUTED_VALUE"""),"PurvaC12")</f>
        <v>PurvaC12</v>
      </c>
      <c r="C2874" s="8">
        <f>IFERROR(__xludf.DUMMYFUNCTION("""COMPUTED_VALUE"""),0.0)</f>
        <v>0</v>
      </c>
      <c r="D2874" s="8"/>
    </row>
    <row r="2875">
      <c r="A2875" s="9" t="str">
        <f>IFERROR(__xludf.DUMMYFUNCTION("""COMPUTED_VALUE"""),"Batch 212")</f>
        <v>Batch 212</v>
      </c>
      <c r="B2875" s="9" t="str">
        <f>IFERROR(__xludf.DUMMYFUNCTION("""COMPUTED_VALUE"""),"Kaviyavani.A.DC12")</f>
        <v>Kaviyavani.A.DC12</v>
      </c>
      <c r="C2875" s="8">
        <f>IFERROR(__xludf.DUMMYFUNCTION("""COMPUTED_VALUE"""),0.0)</f>
        <v>0</v>
      </c>
      <c r="D2875" s="8"/>
    </row>
    <row r="2876">
      <c r="A2876" s="9"/>
      <c r="B2876" s="9"/>
      <c r="C2876" s="8">
        <f>IFERROR(__xludf.DUMMYFUNCTION("""COMPUTED_VALUE"""),0.0)</f>
        <v>0</v>
      </c>
      <c r="D2876" s="8"/>
    </row>
    <row r="2877">
      <c r="A2877" s="9" t="str">
        <f>IFERROR(__xludf.DUMMYFUNCTION("""COMPUTED_VALUE"""),"Batch 213")</f>
        <v>Batch 213</v>
      </c>
      <c r="B2877" s="9" t="str">
        <f>IFERROR(__xludf.DUMMYFUNCTION("""COMPUTED_VALUE"""),"VishakhaC13")</f>
        <v>VishakhaC13</v>
      </c>
      <c r="C2877" s="8">
        <f>IFERROR(__xludf.DUMMYFUNCTION("""COMPUTED_VALUE"""),2.0)</f>
        <v>2</v>
      </c>
      <c r="D2877" s="8"/>
    </row>
    <row r="2878">
      <c r="A2878" s="9" t="str">
        <f>IFERROR(__xludf.DUMMYFUNCTION("""COMPUTED_VALUE"""),"Batch 213")</f>
        <v>Batch 213</v>
      </c>
      <c r="B2878" s="9" t="str">
        <f>IFERROR(__xludf.DUMMYFUNCTION("""COMPUTED_VALUE"""),"AyushC13")</f>
        <v>AyushC13</v>
      </c>
      <c r="C2878" s="8">
        <f>IFERROR(__xludf.DUMMYFUNCTION("""COMPUTED_VALUE"""),5.0)</f>
        <v>5</v>
      </c>
      <c r="D2878" s="8">
        <f>IFERROR(__xludf.DUMMYFUNCTION("""COMPUTED_VALUE"""),5.0)</f>
        <v>5</v>
      </c>
    </row>
    <row r="2879">
      <c r="A2879" s="9" t="str">
        <f>IFERROR(__xludf.DUMMYFUNCTION("""COMPUTED_VALUE"""),"Batch 213")</f>
        <v>Batch 213</v>
      </c>
      <c r="B2879" s="9" t="str">
        <f>IFERROR(__xludf.DUMMYFUNCTION("""COMPUTED_VALUE"""),"IshaC13")</f>
        <v>IshaC13</v>
      </c>
      <c r="C2879" s="8">
        <f>IFERROR(__xludf.DUMMYFUNCTION("""COMPUTED_VALUE"""),0.0)</f>
        <v>0</v>
      </c>
      <c r="D2879" s="8"/>
    </row>
    <row r="2880">
      <c r="A2880" s="9" t="str">
        <f>IFERROR(__xludf.DUMMYFUNCTION("""COMPUTED_VALUE"""),"Batch 213")</f>
        <v>Batch 213</v>
      </c>
      <c r="B2880" s="9" t="str">
        <f>IFERROR(__xludf.DUMMYFUNCTION("""COMPUTED_VALUE"""),"MeghanaC13")</f>
        <v>MeghanaC13</v>
      </c>
      <c r="C2880" s="8">
        <f>IFERROR(__xludf.DUMMYFUNCTION("""COMPUTED_VALUE"""),0.0)</f>
        <v>0</v>
      </c>
      <c r="D2880" s="8"/>
    </row>
    <row r="2881">
      <c r="A2881" s="9" t="str">
        <f>IFERROR(__xludf.DUMMYFUNCTION("""COMPUTED_VALUE"""),"Batch 213")</f>
        <v>Batch 213</v>
      </c>
      <c r="B2881" s="9" t="str">
        <f>IFERROR(__xludf.DUMMYFUNCTION("""COMPUTED_VALUE"""),"RishankiC13")</f>
        <v>RishankiC13</v>
      </c>
      <c r="C2881" s="8">
        <f>IFERROR(__xludf.DUMMYFUNCTION("""COMPUTED_VALUE"""),0.0)</f>
        <v>0</v>
      </c>
      <c r="D2881" s="8"/>
    </row>
    <row r="2882">
      <c r="A2882" s="9" t="str">
        <f>IFERROR(__xludf.DUMMYFUNCTION("""COMPUTED_VALUE"""),"Batch 213")</f>
        <v>Batch 213</v>
      </c>
      <c r="B2882" s="9" t="str">
        <f>IFERROR(__xludf.DUMMYFUNCTION("""COMPUTED_VALUE"""),"SakshiC13")</f>
        <v>SakshiC13</v>
      </c>
      <c r="C2882" s="8">
        <f>IFERROR(__xludf.DUMMYFUNCTION("""COMPUTED_VALUE"""),0.0)</f>
        <v>0</v>
      </c>
      <c r="D2882" s="8"/>
    </row>
    <row r="2883">
      <c r="A2883" s="9" t="str">
        <f>IFERROR(__xludf.DUMMYFUNCTION("""COMPUTED_VALUE"""),"Batch 213")</f>
        <v>Batch 213</v>
      </c>
      <c r="B2883" s="9" t="str">
        <f>IFERROR(__xludf.DUMMYFUNCTION("""COMPUTED_VALUE"""),"JiyaC13")</f>
        <v>JiyaC13</v>
      </c>
      <c r="C2883" s="8">
        <f>IFERROR(__xludf.DUMMYFUNCTION("""COMPUTED_VALUE"""),0.0)</f>
        <v>0</v>
      </c>
      <c r="D2883" s="8"/>
    </row>
    <row r="2884">
      <c r="A2884" s="9" t="str">
        <f>IFERROR(__xludf.DUMMYFUNCTION("""COMPUTED_VALUE"""),"Batch 213")</f>
        <v>Batch 213</v>
      </c>
      <c r="B2884" s="9" t="str">
        <f>IFERROR(__xludf.DUMMYFUNCTION("""COMPUTED_VALUE"""),"JeevanandhamC13")</f>
        <v>JeevanandhamC13</v>
      </c>
      <c r="C2884" s="8">
        <f>IFERROR(__xludf.DUMMYFUNCTION("""COMPUTED_VALUE"""),0.0)</f>
        <v>0</v>
      </c>
      <c r="D2884" s="8"/>
    </row>
    <row r="2885">
      <c r="A2885" s="9" t="str">
        <f>IFERROR(__xludf.DUMMYFUNCTION("""COMPUTED_VALUE"""),"Batch 213")</f>
        <v>Batch 213</v>
      </c>
      <c r="B2885" s="9" t="str">
        <f>IFERROR(__xludf.DUMMYFUNCTION("""COMPUTED_VALUE"""),"ShreyaTC13")</f>
        <v>ShreyaTC13</v>
      </c>
      <c r="C2885" s="8">
        <f>IFERROR(__xludf.DUMMYFUNCTION("""COMPUTED_VALUE"""),0.0)</f>
        <v>0</v>
      </c>
      <c r="D2885" s="8"/>
    </row>
    <row r="2886">
      <c r="A2886" s="9" t="str">
        <f>IFERROR(__xludf.DUMMYFUNCTION("""COMPUTED_VALUE"""),"Batch 213")</f>
        <v>Batch 213</v>
      </c>
      <c r="B2886" s="9" t="str">
        <f>IFERROR(__xludf.DUMMYFUNCTION("""COMPUTED_VALUE"""),"AdarshGC13")</f>
        <v>AdarshGC13</v>
      </c>
      <c r="C2886" s="8">
        <f>IFERROR(__xludf.DUMMYFUNCTION("""COMPUTED_VALUE"""),0.0)</f>
        <v>0</v>
      </c>
      <c r="D2886" s="8"/>
    </row>
    <row r="2887">
      <c r="A2887" s="9" t="str">
        <f>IFERROR(__xludf.DUMMYFUNCTION("""COMPUTED_VALUE"""),"Batch 213")</f>
        <v>Batch 213</v>
      </c>
      <c r="B2887" s="9" t="str">
        <f>IFERROR(__xludf.DUMMYFUNCTION("""COMPUTED_VALUE"""),"PrachiC13")</f>
        <v>PrachiC13</v>
      </c>
      <c r="C2887" s="8">
        <f>IFERROR(__xludf.DUMMYFUNCTION("""COMPUTED_VALUE"""),0.0)</f>
        <v>0</v>
      </c>
      <c r="D2887" s="8"/>
    </row>
    <row r="2888">
      <c r="A2888" s="9" t="str">
        <f>IFERROR(__xludf.DUMMYFUNCTION("""COMPUTED_VALUE"""),"Batch 213")</f>
        <v>Batch 213</v>
      </c>
      <c r="B2888" s="9" t="str">
        <f>IFERROR(__xludf.DUMMYFUNCTION("""COMPUTED_VALUE"""),"Billa.mythriC13")</f>
        <v>Billa.mythriC13</v>
      </c>
      <c r="C2888" s="8">
        <f>IFERROR(__xludf.DUMMYFUNCTION("""COMPUTED_VALUE"""),0.0)</f>
        <v>0</v>
      </c>
      <c r="D2888" s="8"/>
    </row>
    <row r="2889">
      <c r="A2889" s="9" t="str">
        <f>IFERROR(__xludf.DUMMYFUNCTION("""COMPUTED_VALUE"""),"Batch 213")</f>
        <v>Batch 213</v>
      </c>
      <c r="B2889" s="9" t="str">
        <f>IFERROR(__xludf.DUMMYFUNCTION("""COMPUTED_VALUE"""),"AbhishekC13")</f>
        <v>AbhishekC13</v>
      </c>
      <c r="C2889" s="8">
        <f>IFERROR(__xludf.DUMMYFUNCTION("""COMPUTED_VALUE"""),0.0)</f>
        <v>0</v>
      </c>
      <c r="D2889" s="8"/>
    </row>
    <row r="2890">
      <c r="A2890" s="9" t="str">
        <f>IFERROR(__xludf.DUMMYFUNCTION("""COMPUTED_VALUE"""),"Batch 213")</f>
        <v>Batch 213</v>
      </c>
      <c r="B2890" s="9" t="str">
        <f>IFERROR(__xludf.DUMMYFUNCTION("""COMPUTED_VALUE"""),"PiyushC13")</f>
        <v>PiyushC13</v>
      </c>
      <c r="C2890" s="8">
        <f>IFERROR(__xludf.DUMMYFUNCTION("""COMPUTED_VALUE"""),0.0)</f>
        <v>0</v>
      </c>
      <c r="D2890" s="8"/>
    </row>
    <row r="2891">
      <c r="A2891" s="9" t="str">
        <f>IFERROR(__xludf.DUMMYFUNCTION("""COMPUTED_VALUE"""),"Batch 213")</f>
        <v>Batch 213</v>
      </c>
      <c r="B2891" s="9" t="str">
        <f>IFERROR(__xludf.DUMMYFUNCTION("""COMPUTED_VALUE"""),"SnehitC13")</f>
        <v>SnehitC13</v>
      </c>
      <c r="C2891" s="8">
        <f>IFERROR(__xludf.DUMMYFUNCTION("""COMPUTED_VALUE"""),0.0)</f>
        <v>0</v>
      </c>
      <c r="D2891" s="8"/>
    </row>
    <row r="2892">
      <c r="A2892" s="9" t="str">
        <f>IFERROR(__xludf.DUMMYFUNCTION("""COMPUTED_VALUE"""),"Batch 213")</f>
        <v>Batch 213</v>
      </c>
      <c r="B2892" s="9" t="str">
        <f>IFERROR(__xludf.DUMMYFUNCTION("""COMPUTED_VALUE"""),"KartikC13")</f>
        <v>KartikC13</v>
      </c>
      <c r="C2892" s="8">
        <f>IFERROR(__xludf.DUMMYFUNCTION("""COMPUTED_VALUE"""),0.0)</f>
        <v>0</v>
      </c>
      <c r="D2892" s="8"/>
    </row>
    <row r="2893">
      <c r="A2893" s="9" t="str">
        <f>IFERROR(__xludf.DUMMYFUNCTION("""COMPUTED_VALUE"""),"Batch 213")</f>
        <v>Batch 213</v>
      </c>
      <c r="B2893" s="9" t="str">
        <f>IFERROR(__xludf.DUMMYFUNCTION("""COMPUTED_VALUE"""),"AdarshC13")</f>
        <v>AdarshC13</v>
      </c>
      <c r="C2893" s="8">
        <f>IFERROR(__xludf.DUMMYFUNCTION("""COMPUTED_VALUE"""),0.0)</f>
        <v>0</v>
      </c>
      <c r="D2893" s="8"/>
    </row>
    <row r="2894">
      <c r="A2894" s="9" t="str">
        <f>IFERROR(__xludf.DUMMYFUNCTION("""COMPUTED_VALUE"""),"Batch 213")</f>
        <v>Batch 213</v>
      </c>
      <c r="B2894" s="9" t="str">
        <f>IFERROR(__xludf.DUMMYFUNCTION("""COMPUTED_VALUE"""),"ShadabC13")</f>
        <v>ShadabC13</v>
      </c>
      <c r="C2894" s="8">
        <f>IFERROR(__xludf.DUMMYFUNCTION("""COMPUTED_VALUE"""),0.0)</f>
        <v>0</v>
      </c>
      <c r="D2894" s="8"/>
    </row>
    <row r="2895">
      <c r="A2895" s="9" t="str">
        <f>IFERROR(__xludf.DUMMYFUNCTION("""COMPUTED_VALUE"""),"Batch 213")</f>
        <v>Batch 213</v>
      </c>
      <c r="B2895" s="9" t="str">
        <f>IFERROR(__xludf.DUMMYFUNCTION("""COMPUTED_VALUE"""),"MayankC13")</f>
        <v>MayankC13</v>
      </c>
      <c r="C2895" s="8">
        <f>IFERROR(__xludf.DUMMYFUNCTION("""COMPUTED_VALUE"""),0.0)</f>
        <v>0</v>
      </c>
      <c r="D2895" s="8"/>
    </row>
    <row r="2896">
      <c r="A2896" s="9" t="str">
        <f>IFERROR(__xludf.DUMMYFUNCTION("""COMPUTED_VALUE"""),"Batch 213")</f>
        <v>Batch 213</v>
      </c>
      <c r="B2896" s="9" t="str">
        <f>IFERROR(__xludf.DUMMYFUNCTION("""COMPUTED_VALUE"""),"ShreyaGC13")</f>
        <v>ShreyaGC13</v>
      </c>
      <c r="C2896" s="8">
        <f>IFERROR(__xludf.DUMMYFUNCTION("""COMPUTED_VALUE"""),0.0)</f>
        <v>0</v>
      </c>
      <c r="D2896" s="8"/>
    </row>
    <row r="2897">
      <c r="A2897" s="9" t="str">
        <f>IFERROR(__xludf.DUMMYFUNCTION("""COMPUTED_VALUE"""),"Batch 213")</f>
        <v>Batch 213</v>
      </c>
      <c r="B2897" s="9" t="str">
        <f>IFERROR(__xludf.DUMMYFUNCTION("""COMPUTED_VALUE"""),"NikitaC13")</f>
        <v>NikitaC13</v>
      </c>
      <c r="C2897" s="8">
        <f>IFERROR(__xludf.DUMMYFUNCTION("""COMPUTED_VALUE"""),0.0)</f>
        <v>0</v>
      </c>
      <c r="D2897" s="8"/>
    </row>
    <row r="2898">
      <c r="A2898" s="9" t="str">
        <f>IFERROR(__xludf.DUMMYFUNCTION("""COMPUTED_VALUE"""),"Batch 213")</f>
        <v>Batch 213</v>
      </c>
      <c r="B2898" s="9" t="str">
        <f>IFERROR(__xludf.DUMMYFUNCTION("""COMPUTED_VALUE"""),"LaharC13")</f>
        <v>LaharC13</v>
      </c>
      <c r="C2898" s="8">
        <f>IFERROR(__xludf.DUMMYFUNCTION("""COMPUTED_VALUE"""),1.0)</f>
        <v>1</v>
      </c>
      <c r="D2898" s="8"/>
    </row>
    <row r="2899">
      <c r="A2899" s="9" t="str">
        <f>IFERROR(__xludf.DUMMYFUNCTION("""COMPUTED_VALUE"""),"Batch 213")</f>
        <v>Batch 213</v>
      </c>
      <c r="B2899" s="9" t="str">
        <f>IFERROR(__xludf.DUMMYFUNCTION("""COMPUTED_VALUE"""),"AsraC13")</f>
        <v>AsraC13</v>
      </c>
      <c r="C2899" s="8">
        <f>IFERROR(__xludf.DUMMYFUNCTION("""COMPUTED_VALUE"""),2.0)</f>
        <v>2</v>
      </c>
      <c r="D2899" s="8">
        <f>IFERROR(__xludf.DUMMYFUNCTION("""COMPUTED_VALUE"""),1.0)</f>
        <v>1</v>
      </c>
    </row>
    <row r="2900">
      <c r="A2900" s="9" t="str">
        <f>IFERROR(__xludf.DUMMYFUNCTION("""COMPUTED_VALUE"""),"Batch 213")</f>
        <v>Batch 213</v>
      </c>
      <c r="B2900" s="9" t="str">
        <f>IFERROR(__xludf.DUMMYFUNCTION("""COMPUTED_VALUE"""),"AshishC13")</f>
        <v>AshishC13</v>
      </c>
      <c r="C2900" s="8">
        <f>IFERROR(__xludf.DUMMYFUNCTION("""COMPUTED_VALUE"""),0.0)</f>
        <v>0</v>
      </c>
      <c r="D2900" s="8"/>
    </row>
    <row r="2901">
      <c r="A2901" s="9" t="str">
        <f>IFERROR(__xludf.DUMMYFUNCTION("""COMPUTED_VALUE"""),"Batch 213")</f>
        <v>Batch 213</v>
      </c>
      <c r="B2901" s="9" t="str">
        <f>IFERROR(__xludf.DUMMYFUNCTION("""COMPUTED_VALUE"""),"DarynC13")</f>
        <v>DarynC13</v>
      </c>
      <c r="C2901" s="8">
        <f>IFERROR(__xludf.DUMMYFUNCTION("""COMPUTED_VALUE"""),0.0)</f>
        <v>0</v>
      </c>
      <c r="D2901" s="8"/>
    </row>
    <row r="2902">
      <c r="A2902" s="9" t="str">
        <f>IFERROR(__xludf.DUMMYFUNCTION("""COMPUTED_VALUE"""),"Batch 213")</f>
        <v>Batch 213</v>
      </c>
      <c r="B2902" s="9" t="str">
        <f>IFERROR(__xludf.DUMMYFUNCTION("""COMPUTED_VALUE"""),"WaquashC13")</f>
        <v>WaquashC13</v>
      </c>
      <c r="C2902" s="8">
        <f>IFERROR(__xludf.DUMMYFUNCTION("""COMPUTED_VALUE"""),0.0)</f>
        <v>0</v>
      </c>
      <c r="D2902" s="8"/>
    </row>
    <row r="2903">
      <c r="A2903" s="9" t="str">
        <f>IFERROR(__xludf.DUMMYFUNCTION("""COMPUTED_VALUE"""),"Batch 213")</f>
        <v>Batch 213</v>
      </c>
      <c r="B2903" s="9" t="str">
        <f>IFERROR(__xludf.DUMMYFUNCTION("""COMPUTED_VALUE"""),"YogeshC13")</f>
        <v>YogeshC13</v>
      </c>
      <c r="C2903" s="8">
        <f>IFERROR(__xludf.DUMMYFUNCTION("""COMPUTED_VALUE"""),7.0)</f>
        <v>7</v>
      </c>
      <c r="D2903" s="8"/>
    </row>
    <row r="2904">
      <c r="A2904" s="9" t="str">
        <f>IFERROR(__xludf.DUMMYFUNCTION("""COMPUTED_VALUE"""),"Batch 213")</f>
        <v>Batch 213</v>
      </c>
      <c r="B2904" s="9" t="str">
        <f>IFERROR(__xludf.DUMMYFUNCTION("""COMPUTED_VALUE"""),"LenishaC13")</f>
        <v>LenishaC13</v>
      </c>
      <c r="C2904" s="8">
        <f>IFERROR(__xludf.DUMMYFUNCTION("""COMPUTED_VALUE"""),0.0)</f>
        <v>0</v>
      </c>
      <c r="D2904" s="8"/>
    </row>
    <row r="2905">
      <c r="A2905" s="9" t="str">
        <f>IFERROR(__xludf.DUMMYFUNCTION("""COMPUTED_VALUE"""),"Batch 213")</f>
        <v>Batch 213</v>
      </c>
      <c r="B2905" s="9" t="str">
        <f>IFERROR(__xludf.DUMMYFUNCTION("""COMPUTED_VALUE"""),"SC13")</f>
        <v>SC13</v>
      </c>
      <c r="C2905" s="8">
        <f>IFERROR(__xludf.DUMMYFUNCTION("""COMPUTED_VALUE"""),0.0)</f>
        <v>0</v>
      </c>
      <c r="D2905" s="8"/>
    </row>
    <row r="2906">
      <c r="A2906" s="9" t="str">
        <f>IFERROR(__xludf.DUMMYFUNCTION("""COMPUTED_VALUE"""),"Batch 213")</f>
        <v>Batch 213</v>
      </c>
      <c r="B2906" s="9" t="str">
        <f>IFERROR(__xludf.DUMMYFUNCTION("""COMPUTED_VALUE"""),"AfaqueC13")</f>
        <v>AfaqueC13</v>
      </c>
      <c r="C2906" s="8">
        <f>IFERROR(__xludf.DUMMYFUNCTION("""COMPUTED_VALUE"""),0.0)</f>
        <v>0</v>
      </c>
      <c r="D2906" s="8"/>
    </row>
    <row r="2907">
      <c r="A2907" s="9" t="str">
        <f>IFERROR(__xludf.DUMMYFUNCTION("""COMPUTED_VALUE"""),"Batch 213")</f>
        <v>Batch 213</v>
      </c>
      <c r="B2907" s="9" t="str">
        <f>IFERROR(__xludf.DUMMYFUNCTION("""COMPUTED_VALUE"""),"SridharC13")</f>
        <v>SridharC13</v>
      </c>
      <c r="C2907" s="8">
        <f>IFERROR(__xludf.DUMMYFUNCTION("""COMPUTED_VALUE"""),1.0)</f>
        <v>1</v>
      </c>
      <c r="D2907" s="8"/>
    </row>
    <row r="2908">
      <c r="A2908" s="9" t="str">
        <f>IFERROR(__xludf.DUMMYFUNCTION("""COMPUTED_VALUE"""),"Batch 213")</f>
        <v>Batch 213</v>
      </c>
      <c r="B2908" s="9" t="str">
        <f>IFERROR(__xludf.DUMMYFUNCTION("""COMPUTED_VALUE"""),"SohelC13")</f>
        <v>SohelC13</v>
      </c>
      <c r="C2908" s="8">
        <f>IFERROR(__xludf.DUMMYFUNCTION("""COMPUTED_VALUE"""),0.0)</f>
        <v>0</v>
      </c>
      <c r="D2908" s="8"/>
    </row>
    <row r="2909">
      <c r="A2909" s="9" t="str">
        <f>IFERROR(__xludf.DUMMYFUNCTION("""COMPUTED_VALUE"""),"Batch 213")</f>
        <v>Batch 213</v>
      </c>
      <c r="B2909" s="9" t="str">
        <f>IFERROR(__xludf.DUMMYFUNCTION("""COMPUTED_VALUE"""),"PushprajC13")</f>
        <v>PushprajC13</v>
      </c>
      <c r="C2909" s="8">
        <f>IFERROR(__xludf.DUMMYFUNCTION("""COMPUTED_VALUE"""),0.0)</f>
        <v>0</v>
      </c>
      <c r="D2909" s="8"/>
    </row>
    <row r="2910">
      <c r="A2910" s="9"/>
      <c r="B2910" s="9"/>
      <c r="C2910" s="8">
        <f>IFERROR(__xludf.DUMMYFUNCTION("""COMPUTED_VALUE"""),0.0)</f>
        <v>0</v>
      </c>
      <c r="D2910" s="8"/>
    </row>
    <row r="2911">
      <c r="A2911" s="9" t="str">
        <f>IFERROR(__xludf.DUMMYFUNCTION("""COMPUTED_VALUE"""),"Batch 214")</f>
        <v>Batch 214</v>
      </c>
      <c r="B2911" s="9" t="str">
        <f>IFERROR(__xludf.DUMMYFUNCTION("""COMPUTED_VALUE"""),"JunainaC14")</f>
        <v>JunainaC14</v>
      </c>
      <c r="C2911" s="8">
        <f>IFERROR(__xludf.DUMMYFUNCTION("""COMPUTED_VALUE"""),0.0)</f>
        <v>0</v>
      </c>
      <c r="D2911" s="8"/>
    </row>
    <row r="2912">
      <c r="A2912" s="9" t="str">
        <f>IFERROR(__xludf.DUMMYFUNCTION("""COMPUTED_VALUE"""),"Batch 214")</f>
        <v>Batch 214</v>
      </c>
      <c r="B2912" s="9" t="str">
        <f>IFERROR(__xludf.DUMMYFUNCTION("""COMPUTED_VALUE"""),"ShrutiC14")</f>
        <v>ShrutiC14</v>
      </c>
      <c r="C2912" s="8">
        <f>IFERROR(__xludf.DUMMYFUNCTION("""COMPUTED_VALUE"""),0.0)</f>
        <v>0</v>
      </c>
      <c r="D2912" s="8"/>
    </row>
    <row r="2913">
      <c r="A2913" s="9" t="str">
        <f>IFERROR(__xludf.DUMMYFUNCTION("""COMPUTED_VALUE"""),"Batch 214")</f>
        <v>Batch 214</v>
      </c>
      <c r="B2913" s="9" t="str">
        <f>IFERROR(__xludf.DUMMYFUNCTION("""COMPUTED_VALUE"""),"AditiC14")</f>
        <v>AditiC14</v>
      </c>
      <c r="C2913" s="8">
        <f>IFERROR(__xludf.DUMMYFUNCTION("""COMPUTED_VALUE"""),0.0)</f>
        <v>0</v>
      </c>
      <c r="D2913" s="8"/>
    </row>
    <row r="2914">
      <c r="A2914" s="9" t="str">
        <f>IFERROR(__xludf.DUMMYFUNCTION("""COMPUTED_VALUE"""),"Batch 214")</f>
        <v>Batch 214</v>
      </c>
      <c r="B2914" s="9" t="str">
        <f>IFERROR(__xludf.DUMMYFUNCTION("""COMPUTED_VALUE"""),"AswiniC14")</f>
        <v>AswiniC14</v>
      </c>
      <c r="C2914" s="8">
        <f>IFERROR(__xludf.DUMMYFUNCTION("""COMPUTED_VALUE"""),1.0)</f>
        <v>1</v>
      </c>
      <c r="D2914" s="8"/>
    </row>
    <row r="2915">
      <c r="A2915" s="9" t="str">
        <f>IFERROR(__xludf.DUMMYFUNCTION("""COMPUTED_VALUE"""),"Batch 214")</f>
        <v>Batch 214</v>
      </c>
      <c r="B2915" s="9" t="str">
        <f>IFERROR(__xludf.DUMMYFUNCTION("""COMPUTED_VALUE"""),"PrakharC14")</f>
        <v>PrakharC14</v>
      </c>
      <c r="C2915" s="8">
        <f>IFERROR(__xludf.DUMMYFUNCTION("""COMPUTED_VALUE"""),0.0)</f>
        <v>0</v>
      </c>
      <c r="D2915" s="8"/>
    </row>
    <row r="2916">
      <c r="A2916" s="9" t="str">
        <f>IFERROR(__xludf.DUMMYFUNCTION("""COMPUTED_VALUE"""),"Batch 214")</f>
        <v>Batch 214</v>
      </c>
      <c r="B2916" s="9" t="str">
        <f>IFERROR(__xludf.DUMMYFUNCTION("""COMPUTED_VALUE"""),"HimanshuC14")</f>
        <v>HimanshuC14</v>
      </c>
      <c r="C2916" s="8">
        <f>IFERROR(__xludf.DUMMYFUNCTION("""COMPUTED_VALUE"""),0.0)</f>
        <v>0</v>
      </c>
      <c r="D2916" s="8"/>
    </row>
    <row r="2917">
      <c r="A2917" s="9" t="str">
        <f>IFERROR(__xludf.DUMMYFUNCTION("""COMPUTED_VALUE"""),"Batch 214")</f>
        <v>Batch 214</v>
      </c>
      <c r="B2917" s="9" t="str">
        <f>IFERROR(__xludf.DUMMYFUNCTION("""COMPUTED_VALUE"""),"BajrangC14")</f>
        <v>BajrangC14</v>
      </c>
      <c r="C2917" s="8">
        <f>IFERROR(__xludf.DUMMYFUNCTION("""COMPUTED_VALUE"""),0.0)</f>
        <v>0</v>
      </c>
      <c r="D2917" s="8"/>
    </row>
    <row r="2918">
      <c r="A2918" s="9" t="str">
        <f>IFERROR(__xludf.DUMMYFUNCTION("""COMPUTED_VALUE"""),"Batch 214")</f>
        <v>Batch 214</v>
      </c>
      <c r="B2918" s="9" t="str">
        <f>IFERROR(__xludf.DUMMYFUNCTION("""COMPUTED_VALUE"""),"PraveenaC14")</f>
        <v>PraveenaC14</v>
      </c>
      <c r="C2918" s="8">
        <f>IFERROR(__xludf.DUMMYFUNCTION("""COMPUTED_VALUE"""),0.0)</f>
        <v>0</v>
      </c>
      <c r="D2918" s="8"/>
    </row>
    <row r="2919">
      <c r="A2919" s="9" t="str">
        <f>IFERROR(__xludf.DUMMYFUNCTION("""COMPUTED_VALUE"""),"Batch 214")</f>
        <v>Batch 214</v>
      </c>
      <c r="B2919" s="9" t="str">
        <f>IFERROR(__xludf.DUMMYFUNCTION("""COMPUTED_VALUE"""),"MuskanC14")</f>
        <v>MuskanC14</v>
      </c>
      <c r="C2919" s="8">
        <f>IFERROR(__xludf.DUMMYFUNCTION("""COMPUTED_VALUE"""),0.0)</f>
        <v>0</v>
      </c>
      <c r="D2919" s="8"/>
    </row>
    <row r="2920">
      <c r="A2920" s="9" t="str">
        <f>IFERROR(__xludf.DUMMYFUNCTION("""COMPUTED_VALUE"""),"Batch 214")</f>
        <v>Batch 214</v>
      </c>
      <c r="B2920" s="9" t="str">
        <f>IFERROR(__xludf.DUMMYFUNCTION("""COMPUTED_VALUE"""),"TannuC14")</f>
        <v>TannuC14</v>
      </c>
      <c r="C2920" s="8">
        <f>IFERROR(__xludf.DUMMYFUNCTION("""COMPUTED_VALUE"""),0.0)</f>
        <v>0</v>
      </c>
      <c r="D2920" s="8"/>
    </row>
    <row r="2921">
      <c r="A2921" s="9" t="str">
        <f>IFERROR(__xludf.DUMMYFUNCTION("""COMPUTED_VALUE"""),"Batch 214")</f>
        <v>Batch 214</v>
      </c>
      <c r="B2921" s="9" t="str">
        <f>IFERROR(__xludf.DUMMYFUNCTION("""COMPUTED_VALUE"""),"NehaC14")</f>
        <v>NehaC14</v>
      </c>
      <c r="C2921" s="8">
        <f>IFERROR(__xludf.DUMMYFUNCTION("""COMPUTED_VALUE"""),0.0)</f>
        <v>0</v>
      </c>
      <c r="D2921" s="8"/>
    </row>
    <row r="2922">
      <c r="A2922" s="9" t="str">
        <f>IFERROR(__xludf.DUMMYFUNCTION("""COMPUTED_VALUE"""),"Batch 214")</f>
        <v>Batch 214</v>
      </c>
      <c r="B2922" s="9" t="str">
        <f>IFERROR(__xludf.DUMMYFUNCTION("""COMPUTED_VALUE"""),"NambuC14")</f>
        <v>NambuC14</v>
      </c>
      <c r="C2922" s="8">
        <f>IFERROR(__xludf.DUMMYFUNCTION("""COMPUTED_VALUE"""),0.0)</f>
        <v>0</v>
      </c>
      <c r="D2922" s="8"/>
    </row>
    <row r="2923">
      <c r="A2923" s="9" t="str">
        <f>IFERROR(__xludf.DUMMYFUNCTION("""COMPUTED_VALUE"""),"Batch 214")</f>
        <v>Batch 214</v>
      </c>
      <c r="B2923" s="9" t="str">
        <f>IFERROR(__xludf.DUMMYFUNCTION("""COMPUTED_VALUE"""),"VIVEKC14")</f>
        <v>VIVEKC14</v>
      </c>
      <c r="C2923" s="8">
        <f>IFERROR(__xludf.DUMMYFUNCTION("""COMPUTED_VALUE"""),3.0)</f>
        <v>3</v>
      </c>
      <c r="D2923" s="8">
        <f>IFERROR(__xludf.DUMMYFUNCTION("""COMPUTED_VALUE"""),1.0)</f>
        <v>1</v>
      </c>
    </row>
    <row r="2924">
      <c r="A2924" s="9" t="str">
        <f>IFERROR(__xludf.DUMMYFUNCTION("""COMPUTED_VALUE"""),"Batch 214")</f>
        <v>Batch 214</v>
      </c>
      <c r="B2924" s="9" t="str">
        <f>IFERROR(__xludf.DUMMYFUNCTION("""COMPUTED_VALUE"""),"TejasC14")</f>
        <v>TejasC14</v>
      </c>
      <c r="C2924" s="8">
        <f>IFERROR(__xludf.DUMMYFUNCTION("""COMPUTED_VALUE"""),0.0)</f>
        <v>0</v>
      </c>
      <c r="D2924" s="8"/>
    </row>
    <row r="2925">
      <c r="A2925" s="9" t="str">
        <f>IFERROR(__xludf.DUMMYFUNCTION("""COMPUTED_VALUE"""),"Batch 214")</f>
        <v>Batch 214</v>
      </c>
      <c r="B2925" s="9" t="str">
        <f>IFERROR(__xludf.DUMMYFUNCTION("""COMPUTED_VALUE"""),"GaneshC14")</f>
        <v>GaneshC14</v>
      </c>
      <c r="C2925" s="8">
        <f>IFERROR(__xludf.DUMMYFUNCTION("""COMPUTED_VALUE"""),0.0)</f>
        <v>0</v>
      </c>
      <c r="D2925" s="8"/>
    </row>
    <row r="2926">
      <c r="A2926" s="9" t="str">
        <f>IFERROR(__xludf.DUMMYFUNCTION("""COMPUTED_VALUE"""),"Batch 214")</f>
        <v>Batch 214</v>
      </c>
      <c r="B2926" s="9" t="str">
        <f>IFERROR(__xludf.DUMMYFUNCTION("""COMPUTED_VALUE"""),"DeepakC14")</f>
        <v>DeepakC14</v>
      </c>
      <c r="C2926" s="8">
        <f>IFERROR(__xludf.DUMMYFUNCTION("""COMPUTED_VALUE"""),0.0)</f>
        <v>0</v>
      </c>
      <c r="D2926" s="8"/>
    </row>
    <row r="2927">
      <c r="A2927" s="9" t="str">
        <f>IFERROR(__xludf.DUMMYFUNCTION("""COMPUTED_VALUE"""),"Batch 214")</f>
        <v>Batch 214</v>
      </c>
      <c r="B2927" s="9" t="str">
        <f>IFERROR(__xludf.DUMMYFUNCTION("""COMPUTED_VALUE"""),"SachinC14")</f>
        <v>SachinC14</v>
      </c>
      <c r="C2927" s="8">
        <f>IFERROR(__xludf.DUMMYFUNCTION("""COMPUTED_VALUE"""),0.0)</f>
        <v>0</v>
      </c>
      <c r="D2927" s="8">
        <f>IFERROR(__xludf.DUMMYFUNCTION("""COMPUTED_VALUE"""),1.0)</f>
        <v>1</v>
      </c>
    </row>
    <row r="2928">
      <c r="A2928" s="9" t="str">
        <f>IFERROR(__xludf.DUMMYFUNCTION("""COMPUTED_VALUE"""),"Batch 214")</f>
        <v>Batch 214</v>
      </c>
      <c r="B2928" s="9" t="str">
        <f>IFERROR(__xludf.DUMMYFUNCTION("""COMPUTED_VALUE"""),"MehrC14")</f>
        <v>MehrC14</v>
      </c>
      <c r="C2928" s="8">
        <f>IFERROR(__xludf.DUMMYFUNCTION("""COMPUTED_VALUE"""),0.0)</f>
        <v>0</v>
      </c>
      <c r="D2928" s="8"/>
    </row>
    <row r="2929">
      <c r="A2929" s="9" t="str">
        <f>IFERROR(__xludf.DUMMYFUNCTION("""COMPUTED_VALUE"""),"Batch 214")</f>
        <v>Batch 214</v>
      </c>
      <c r="B2929" s="9" t="str">
        <f>IFERROR(__xludf.DUMMYFUNCTION("""COMPUTED_VALUE"""),"SakshiC14")</f>
        <v>SakshiC14</v>
      </c>
      <c r="C2929" s="8">
        <f>IFERROR(__xludf.DUMMYFUNCTION("""COMPUTED_VALUE"""),0.0)</f>
        <v>0</v>
      </c>
      <c r="D2929" s="8"/>
    </row>
    <row r="2930">
      <c r="A2930" s="9" t="str">
        <f>IFERROR(__xludf.DUMMYFUNCTION("""COMPUTED_VALUE"""),"Batch 214")</f>
        <v>Batch 214</v>
      </c>
      <c r="B2930" s="9" t="str">
        <f>IFERROR(__xludf.DUMMYFUNCTION("""COMPUTED_VALUE"""),"SowndammalC14")</f>
        <v>SowndammalC14</v>
      </c>
      <c r="C2930" s="8">
        <f>IFERROR(__xludf.DUMMYFUNCTION("""COMPUTED_VALUE"""),0.0)</f>
        <v>0</v>
      </c>
      <c r="D2930" s="8"/>
    </row>
    <row r="2931">
      <c r="A2931" s="9" t="str">
        <f>IFERROR(__xludf.DUMMYFUNCTION("""COMPUTED_VALUE"""),"Batch 214")</f>
        <v>Batch 214</v>
      </c>
      <c r="B2931" s="9" t="str">
        <f>IFERROR(__xludf.DUMMYFUNCTION("""COMPUTED_VALUE"""),"VahethaC14")</f>
        <v>VahethaC14</v>
      </c>
      <c r="C2931" s="8">
        <f>IFERROR(__xludf.DUMMYFUNCTION("""COMPUTED_VALUE"""),0.0)</f>
        <v>0</v>
      </c>
      <c r="D2931" s="8"/>
    </row>
    <row r="2932">
      <c r="A2932" s="9" t="str">
        <f>IFERROR(__xludf.DUMMYFUNCTION("""COMPUTED_VALUE"""),"Batch 214")</f>
        <v>Batch 214</v>
      </c>
      <c r="B2932" s="9" t="str">
        <f>IFERROR(__xludf.DUMMYFUNCTION("""COMPUTED_VALUE"""),"AlfiyaC14")</f>
        <v>AlfiyaC14</v>
      </c>
      <c r="C2932" s="8">
        <f>IFERROR(__xludf.DUMMYFUNCTION("""COMPUTED_VALUE"""),1.0)</f>
        <v>1</v>
      </c>
      <c r="D2932" s="8"/>
    </row>
    <row r="2933">
      <c r="A2933" s="9" t="str">
        <f>IFERROR(__xludf.DUMMYFUNCTION("""COMPUTED_VALUE"""),"Batch 214")</f>
        <v>Batch 214</v>
      </c>
      <c r="B2933" s="9" t="str">
        <f>IFERROR(__xludf.DUMMYFUNCTION("""COMPUTED_VALUE"""),"AkashC14")</f>
        <v>AkashC14</v>
      </c>
      <c r="C2933" s="8">
        <f>IFERROR(__xludf.DUMMYFUNCTION("""COMPUTED_VALUE"""),4.0)</f>
        <v>4</v>
      </c>
      <c r="D2933" s="8"/>
    </row>
    <row r="2934">
      <c r="A2934" s="9" t="str">
        <f>IFERROR(__xludf.DUMMYFUNCTION("""COMPUTED_VALUE"""),"Batch 214")</f>
        <v>Batch 214</v>
      </c>
      <c r="B2934" s="9" t="str">
        <f>IFERROR(__xludf.DUMMYFUNCTION("""COMPUTED_VALUE"""),"SumamaC14")</f>
        <v>SumamaC14</v>
      </c>
      <c r="C2934" s="8">
        <f>IFERROR(__xludf.DUMMYFUNCTION("""COMPUTED_VALUE"""),0.0)</f>
        <v>0</v>
      </c>
      <c r="D2934" s="8"/>
    </row>
    <row r="2935">
      <c r="A2935" s="9" t="str">
        <f>IFERROR(__xludf.DUMMYFUNCTION("""COMPUTED_VALUE"""),"Batch 214")</f>
        <v>Batch 214</v>
      </c>
      <c r="B2935" s="9" t="str">
        <f>IFERROR(__xludf.DUMMYFUNCTION("""COMPUTED_VALUE"""),"SureshC14")</f>
        <v>SureshC14</v>
      </c>
      <c r="C2935" s="8">
        <f>IFERROR(__xludf.DUMMYFUNCTION("""COMPUTED_VALUE"""),0.0)</f>
        <v>0</v>
      </c>
      <c r="D2935" s="8"/>
    </row>
    <row r="2936">
      <c r="A2936" s="9" t="str">
        <f>IFERROR(__xludf.DUMMYFUNCTION("""COMPUTED_VALUE"""),"Batch 214")</f>
        <v>Batch 214</v>
      </c>
      <c r="B2936" s="9" t="str">
        <f>IFERROR(__xludf.DUMMYFUNCTION("""COMPUTED_VALUE"""),"KashviC14")</f>
        <v>KashviC14</v>
      </c>
      <c r="C2936" s="8">
        <f>IFERROR(__xludf.DUMMYFUNCTION("""COMPUTED_VALUE"""),0.0)</f>
        <v>0</v>
      </c>
      <c r="D2936" s="8"/>
    </row>
    <row r="2937">
      <c r="A2937" s="9" t="str">
        <f>IFERROR(__xludf.DUMMYFUNCTION("""COMPUTED_VALUE"""),"Batch 214")</f>
        <v>Batch 214</v>
      </c>
      <c r="B2937" s="9" t="str">
        <f>IFERROR(__xludf.DUMMYFUNCTION("""COMPUTED_VALUE"""),"VinamrataC14")</f>
        <v>VinamrataC14</v>
      </c>
      <c r="C2937" s="8">
        <f>IFERROR(__xludf.DUMMYFUNCTION("""COMPUTED_VALUE"""),0.0)</f>
        <v>0</v>
      </c>
      <c r="D2937" s="8"/>
    </row>
    <row r="2938">
      <c r="A2938" s="9" t="str">
        <f>IFERROR(__xludf.DUMMYFUNCTION("""COMPUTED_VALUE"""),"Batch 214")</f>
        <v>Batch 214</v>
      </c>
      <c r="B2938" s="9" t="str">
        <f>IFERROR(__xludf.DUMMYFUNCTION("""COMPUTED_VALUE"""),"PrashilC14")</f>
        <v>PrashilC14</v>
      </c>
      <c r="C2938" s="8">
        <f>IFERROR(__xludf.DUMMYFUNCTION("""COMPUTED_VALUE"""),0.0)</f>
        <v>0</v>
      </c>
      <c r="D2938" s="8"/>
    </row>
    <row r="2939">
      <c r="A2939" s="9" t="str">
        <f>IFERROR(__xludf.DUMMYFUNCTION("""COMPUTED_VALUE"""),"Batch 214")</f>
        <v>Batch 214</v>
      </c>
      <c r="B2939" s="9" t="str">
        <f>IFERROR(__xludf.DUMMYFUNCTION("""COMPUTED_VALUE"""),"ShraddhaC14")</f>
        <v>ShraddhaC14</v>
      </c>
      <c r="C2939" s="8">
        <f>IFERROR(__xludf.DUMMYFUNCTION("""COMPUTED_VALUE"""),4.0)</f>
        <v>4</v>
      </c>
      <c r="D2939" s="8">
        <f>IFERROR(__xludf.DUMMYFUNCTION("""COMPUTED_VALUE"""),4.0)</f>
        <v>4</v>
      </c>
    </row>
    <row r="2940">
      <c r="A2940" s="9" t="str">
        <f>IFERROR(__xludf.DUMMYFUNCTION("""COMPUTED_VALUE"""),"Batch 214")</f>
        <v>Batch 214</v>
      </c>
      <c r="B2940" s="9" t="str">
        <f>IFERROR(__xludf.DUMMYFUNCTION("""COMPUTED_VALUE"""),"SnehaKC14")</f>
        <v>SnehaKC14</v>
      </c>
      <c r="C2940" s="8">
        <f>IFERROR(__xludf.DUMMYFUNCTION("""COMPUTED_VALUE"""),0.0)</f>
        <v>0</v>
      </c>
      <c r="D2940" s="8"/>
    </row>
    <row r="2941">
      <c r="A2941" s="9" t="str">
        <f>IFERROR(__xludf.DUMMYFUNCTION("""COMPUTED_VALUE"""),"Batch 214")</f>
        <v>Batch 214</v>
      </c>
      <c r="B2941" s="9" t="str">
        <f>IFERROR(__xludf.DUMMYFUNCTION("""COMPUTED_VALUE"""),"RITIKC14")</f>
        <v>RITIKC14</v>
      </c>
      <c r="C2941" s="8">
        <f>IFERROR(__xludf.DUMMYFUNCTION("""COMPUTED_VALUE"""),0.0)</f>
        <v>0</v>
      </c>
      <c r="D2941" s="8"/>
    </row>
    <row r="2942">
      <c r="A2942" s="9" t="str">
        <f>IFERROR(__xludf.DUMMYFUNCTION("""COMPUTED_VALUE"""),"Batch 214")</f>
        <v>Batch 214</v>
      </c>
      <c r="B2942" s="9" t="str">
        <f>IFERROR(__xludf.DUMMYFUNCTION("""COMPUTED_VALUE"""),"TaslimC14")</f>
        <v>TaslimC14</v>
      </c>
      <c r="C2942" s="8">
        <f>IFERROR(__xludf.DUMMYFUNCTION("""COMPUTED_VALUE"""),0.0)</f>
        <v>0</v>
      </c>
      <c r="D2942" s="8"/>
    </row>
    <row r="2943">
      <c r="A2943" s="9" t="str">
        <f>IFERROR(__xludf.DUMMYFUNCTION("""COMPUTED_VALUE"""),"Batch 214")</f>
        <v>Batch 214</v>
      </c>
      <c r="B2943" s="9" t="str">
        <f>IFERROR(__xludf.DUMMYFUNCTION("""COMPUTED_VALUE"""),"ShruthiC14")</f>
        <v>ShruthiC14</v>
      </c>
      <c r="C2943" s="8">
        <f>IFERROR(__xludf.DUMMYFUNCTION("""COMPUTED_VALUE"""),3.0)</f>
        <v>3</v>
      </c>
      <c r="D2943" s="8"/>
    </row>
    <row r="2944">
      <c r="A2944" s="9" t="str">
        <f>IFERROR(__xludf.DUMMYFUNCTION("""COMPUTED_VALUE"""),"Batch 214")</f>
        <v>Batch 214</v>
      </c>
      <c r="B2944" s="9" t="str">
        <f>IFERROR(__xludf.DUMMYFUNCTION("""COMPUTED_VALUE"""),"UnmeshC14")</f>
        <v>UnmeshC14</v>
      </c>
      <c r="C2944" s="8">
        <f>IFERROR(__xludf.DUMMYFUNCTION("""COMPUTED_VALUE"""),0.0)</f>
        <v>0</v>
      </c>
      <c r="D2944" s="8"/>
    </row>
    <row r="2945">
      <c r="A2945" s="9" t="str">
        <f>IFERROR(__xludf.DUMMYFUNCTION("""COMPUTED_VALUE"""),"Batch 214")</f>
        <v>Batch 214</v>
      </c>
      <c r="B2945" s="9" t="str">
        <f>IFERROR(__xludf.DUMMYFUNCTION("""COMPUTED_VALUE"""),"SnehaC14")</f>
        <v>SnehaC14</v>
      </c>
      <c r="C2945" s="8">
        <f>IFERROR(__xludf.DUMMYFUNCTION("""COMPUTED_VALUE"""),0.0)</f>
        <v>0</v>
      </c>
      <c r="D2945" s="8"/>
    </row>
    <row r="2946">
      <c r="A2946" s="9" t="str">
        <f>IFERROR(__xludf.DUMMYFUNCTION("""COMPUTED_VALUE"""),"Batch 214")</f>
        <v>Batch 214</v>
      </c>
      <c r="B2946" s="9" t="str">
        <f>IFERROR(__xludf.DUMMYFUNCTION("""COMPUTED_VALUE"""),"AparupC14")</f>
        <v>AparupC14</v>
      </c>
      <c r="C2946" s="8">
        <f>IFERROR(__xludf.DUMMYFUNCTION("""COMPUTED_VALUE"""),0.0)</f>
        <v>0</v>
      </c>
      <c r="D2946" s="8"/>
    </row>
    <row r="2947">
      <c r="A2947" s="9" t="str">
        <f>IFERROR(__xludf.DUMMYFUNCTION("""COMPUTED_VALUE"""),"Batch 214")</f>
        <v>Batch 214</v>
      </c>
      <c r="B2947" s="9" t="str">
        <f>IFERROR(__xludf.DUMMYFUNCTION("""COMPUTED_VALUE"""),"AnanyaC14")</f>
        <v>AnanyaC14</v>
      </c>
      <c r="C2947" s="8">
        <f>IFERROR(__xludf.DUMMYFUNCTION("""COMPUTED_VALUE"""),0.0)</f>
        <v>0</v>
      </c>
      <c r="D2947" s="8"/>
    </row>
    <row r="2948">
      <c r="A2948" s="9"/>
      <c r="B2948" s="9"/>
      <c r="C2948" s="8">
        <f>IFERROR(__xludf.DUMMYFUNCTION("""COMPUTED_VALUE"""),0.0)</f>
        <v>0</v>
      </c>
      <c r="D2948" s="8"/>
    </row>
    <row r="2949">
      <c r="A2949" s="9" t="str">
        <f>IFERROR(__xludf.DUMMYFUNCTION("""COMPUTED_VALUE"""),"Batch 215")</f>
        <v>Batch 215</v>
      </c>
      <c r="B2949" s="9" t="str">
        <f>IFERROR(__xludf.DUMMYFUNCTION("""COMPUTED_VALUE"""),"RohitC15")</f>
        <v>RohitC15</v>
      </c>
      <c r="C2949" s="8">
        <f>IFERROR(__xludf.DUMMYFUNCTION("""COMPUTED_VALUE"""),0.0)</f>
        <v>0</v>
      </c>
      <c r="D2949" s="8"/>
    </row>
    <row r="2950">
      <c r="A2950" s="9" t="str">
        <f>IFERROR(__xludf.DUMMYFUNCTION("""COMPUTED_VALUE"""),"Batch 215")</f>
        <v>Batch 215</v>
      </c>
      <c r="B2950" s="9" t="str">
        <f>IFERROR(__xludf.DUMMYFUNCTION("""COMPUTED_VALUE"""),"BhumikaC15")</f>
        <v>BhumikaC15</v>
      </c>
      <c r="C2950" s="8">
        <f>IFERROR(__xludf.DUMMYFUNCTION("""COMPUTED_VALUE"""),0.0)</f>
        <v>0</v>
      </c>
      <c r="D2950" s="8"/>
    </row>
    <row r="2951">
      <c r="A2951" s="9" t="str">
        <f>IFERROR(__xludf.DUMMYFUNCTION("""COMPUTED_VALUE"""),"Batch 215")</f>
        <v>Batch 215</v>
      </c>
      <c r="B2951" s="9" t="str">
        <f>IFERROR(__xludf.DUMMYFUNCTION("""COMPUTED_VALUE"""),"PranavC15")</f>
        <v>PranavC15</v>
      </c>
      <c r="C2951" s="8">
        <f>IFERROR(__xludf.DUMMYFUNCTION("""COMPUTED_VALUE"""),0.0)</f>
        <v>0</v>
      </c>
      <c r="D2951" s="8"/>
    </row>
    <row r="2952">
      <c r="A2952" s="9" t="str">
        <f>IFERROR(__xludf.DUMMYFUNCTION("""COMPUTED_VALUE"""),"Batch 215")</f>
        <v>Batch 215</v>
      </c>
      <c r="B2952" s="9" t="str">
        <f>IFERROR(__xludf.DUMMYFUNCTION("""COMPUTED_VALUE"""),"ShanoorC15")</f>
        <v>ShanoorC15</v>
      </c>
      <c r="C2952" s="8">
        <f>IFERROR(__xludf.DUMMYFUNCTION("""COMPUTED_VALUE"""),0.0)</f>
        <v>0</v>
      </c>
      <c r="D2952" s="8"/>
    </row>
    <row r="2953">
      <c r="A2953" s="9" t="str">
        <f>IFERROR(__xludf.DUMMYFUNCTION("""COMPUTED_VALUE"""),"Batch 215")</f>
        <v>Batch 215</v>
      </c>
      <c r="B2953" s="9" t="str">
        <f>IFERROR(__xludf.DUMMYFUNCTION("""COMPUTED_VALUE"""),"AISHANYAC15")</f>
        <v>AISHANYAC15</v>
      </c>
      <c r="C2953" s="8">
        <f>IFERROR(__xludf.DUMMYFUNCTION("""COMPUTED_VALUE"""),0.0)</f>
        <v>0</v>
      </c>
      <c r="D2953" s="8"/>
    </row>
    <row r="2954">
      <c r="A2954" s="9" t="str">
        <f>IFERROR(__xludf.DUMMYFUNCTION("""COMPUTED_VALUE"""),"Batch 215")</f>
        <v>Batch 215</v>
      </c>
      <c r="B2954" s="9" t="str">
        <f>IFERROR(__xludf.DUMMYFUNCTION("""COMPUTED_VALUE"""),"RahulC15")</f>
        <v>RahulC15</v>
      </c>
      <c r="C2954" s="8">
        <f>IFERROR(__xludf.DUMMYFUNCTION("""COMPUTED_VALUE"""),0.0)</f>
        <v>0</v>
      </c>
      <c r="D2954" s="8"/>
    </row>
    <row r="2955">
      <c r="A2955" s="9" t="str">
        <f>IFERROR(__xludf.DUMMYFUNCTION("""COMPUTED_VALUE"""),"Batch 215")</f>
        <v>Batch 215</v>
      </c>
      <c r="B2955" s="9" t="str">
        <f>IFERROR(__xludf.DUMMYFUNCTION("""COMPUTED_VALUE"""),"GabrielC15")</f>
        <v>GabrielC15</v>
      </c>
      <c r="C2955" s="8">
        <f>IFERROR(__xludf.DUMMYFUNCTION("""COMPUTED_VALUE"""),0.0)</f>
        <v>0</v>
      </c>
      <c r="D2955" s="8"/>
    </row>
    <row r="2956">
      <c r="A2956" s="9" t="str">
        <f>IFERROR(__xludf.DUMMYFUNCTION("""COMPUTED_VALUE"""),"Batch 215")</f>
        <v>Batch 215</v>
      </c>
      <c r="B2956" s="9" t="str">
        <f>IFERROR(__xludf.DUMMYFUNCTION("""COMPUTED_VALUE"""),"YashaswiniC15")</f>
        <v>YashaswiniC15</v>
      </c>
      <c r="C2956" s="8">
        <f>IFERROR(__xludf.DUMMYFUNCTION("""COMPUTED_VALUE"""),4.0)</f>
        <v>4</v>
      </c>
      <c r="D2956" s="8"/>
    </row>
    <row r="2957">
      <c r="A2957" s="9" t="str">
        <f>IFERROR(__xludf.DUMMYFUNCTION("""COMPUTED_VALUE"""),"Batch 215")</f>
        <v>Batch 215</v>
      </c>
      <c r="B2957" s="9" t="str">
        <f>IFERROR(__xludf.DUMMYFUNCTION("""COMPUTED_VALUE"""),"ShubhreekaC15")</f>
        <v>ShubhreekaC15</v>
      </c>
      <c r="C2957" s="8">
        <f>IFERROR(__xludf.DUMMYFUNCTION("""COMPUTED_VALUE"""),2.0)</f>
        <v>2</v>
      </c>
      <c r="D2957" s="8"/>
    </row>
    <row r="2958">
      <c r="A2958" s="9" t="str">
        <f>IFERROR(__xludf.DUMMYFUNCTION("""COMPUTED_VALUE"""),"Batch 215")</f>
        <v>Batch 215</v>
      </c>
      <c r="B2958" s="9" t="str">
        <f>IFERROR(__xludf.DUMMYFUNCTION("""COMPUTED_VALUE"""),"SudakshinaC15")</f>
        <v>SudakshinaC15</v>
      </c>
      <c r="C2958" s="8">
        <f>IFERROR(__xludf.DUMMYFUNCTION("""COMPUTED_VALUE"""),2.0)</f>
        <v>2</v>
      </c>
      <c r="D2958" s="8"/>
    </row>
    <row r="2959">
      <c r="A2959" s="9" t="str">
        <f>IFERROR(__xludf.DUMMYFUNCTION("""COMPUTED_VALUE"""),"Batch 215")</f>
        <v>Batch 215</v>
      </c>
      <c r="B2959" s="9" t="str">
        <f>IFERROR(__xludf.DUMMYFUNCTION("""COMPUTED_VALUE"""),"ShubhraC15")</f>
        <v>ShubhraC15</v>
      </c>
      <c r="C2959" s="8">
        <f>IFERROR(__xludf.DUMMYFUNCTION("""COMPUTED_VALUE"""),0.0)</f>
        <v>0</v>
      </c>
      <c r="D2959" s="8"/>
    </row>
    <row r="2960">
      <c r="A2960" s="9" t="str">
        <f>IFERROR(__xludf.DUMMYFUNCTION("""COMPUTED_VALUE"""),"Batch 215")</f>
        <v>Batch 215</v>
      </c>
      <c r="B2960" s="9" t="str">
        <f>IFERROR(__xludf.DUMMYFUNCTION("""COMPUTED_VALUE"""),"AnkitKC15")</f>
        <v>AnkitKC15</v>
      </c>
      <c r="C2960" s="8">
        <f>IFERROR(__xludf.DUMMYFUNCTION("""COMPUTED_VALUE"""),1.0)</f>
        <v>1</v>
      </c>
      <c r="D2960" s="8"/>
    </row>
    <row r="2961">
      <c r="A2961" s="9" t="str">
        <f>IFERROR(__xludf.DUMMYFUNCTION("""COMPUTED_VALUE"""),"Batch 215")</f>
        <v>Batch 215</v>
      </c>
      <c r="B2961" s="9" t="str">
        <f>IFERROR(__xludf.DUMMYFUNCTION("""COMPUTED_VALUE"""),"SurajC15")</f>
        <v>SurajC15</v>
      </c>
      <c r="C2961" s="8">
        <f>IFERROR(__xludf.DUMMYFUNCTION("""COMPUTED_VALUE"""),1.0)</f>
        <v>1</v>
      </c>
      <c r="D2961" s="8">
        <f>IFERROR(__xludf.DUMMYFUNCTION("""COMPUTED_VALUE"""),2.0)</f>
        <v>2</v>
      </c>
    </row>
    <row r="2962">
      <c r="A2962" s="9" t="str">
        <f>IFERROR(__xludf.DUMMYFUNCTION("""COMPUTED_VALUE"""),"Batch 215")</f>
        <v>Batch 215</v>
      </c>
      <c r="B2962" s="9" t="str">
        <f>IFERROR(__xludf.DUMMYFUNCTION("""COMPUTED_VALUE"""),"RoshniC15")</f>
        <v>RoshniC15</v>
      </c>
      <c r="C2962" s="8">
        <f>IFERROR(__xludf.DUMMYFUNCTION("""COMPUTED_VALUE"""),0.0)</f>
        <v>0</v>
      </c>
      <c r="D2962" s="8"/>
    </row>
    <row r="2963">
      <c r="A2963" s="9" t="str">
        <f>IFERROR(__xludf.DUMMYFUNCTION("""COMPUTED_VALUE"""),"Batch 215")</f>
        <v>Batch 215</v>
      </c>
      <c r="B2963" s="9" t="str">
        <f>IFERROR(__xludf.DUMMYFUNCTION("""COMPUTED_VALUE"""),"AdityaC15")</f>
        <v>AdityaC15</v>
      </c>
      <c r="C2963" s="8">
        <f>IFERROR(__xludf.DUMMYFUNCTION("""COMPUTED_VALUE"""),0.0)</f>
        <v>0</v>
      </c>
      <c r="D2963" s="8"/>
    </row>
    <row r="2964">
      <c r="A2964" s="9" t="str">
        <f>IFERROR(__xludf.DUMMYFUNCTION("""COMPUTED_VALUE"""),"Batch 215")</f>
        <v>Batch 215</v>
      </c>
      <c r="B2964" s="9" t="str">
        <f>IFERROR(__xludf.DUMMYFUNCTION("""COMPUTED_VALUE"""),"NehaC15")</f>
        <v>NehaC15</v>
      </c>
      <c r="C2964" s="8">
        <f>IFERROR(__xludf.DUMMYFUNCTION("""COMPUTED_VALUE"""),0.0)</f>
        <v>0</v>
      </c>
      <c r="D2964" s="8"/>
    </row>
    <row r="2965">
      <c r="A2965" s="9" t="str">
        <f>IFERROR(__xludf.DUMMYFUNCTION("""COMPUTED_VALUE"""),"Batch 215")</f>
        <v>Batch 215</v>
      </c>
      <c r="B2965" s="9" t="str">
        <f>IFERROR(__xludf.DUMMYFUNCTION("""COMPUTED_VALUE"""),"MohitSC15")</f>
        <v>MohitSC15</v>
      </c>
      <c r="C2965" s="8">
        <f>IFERROR(__xludf.DUMMYFUNCTION("""COMPUTED_VALUE"""),0.0)</f>
        <v>0</v>
      </c>
      <c r="D2965" s="8"/>
    </row>
    <row r="2966">
      <c r="A2966" s="9" t="str">
        <f>IFERROR(__xludf.DUMMYFUNCTION("""COMPUTED_VALUE"""),"Batch 215")</f>
        <v>Batch 215</v>
      </c>
      <c r="B2966" s="9" t="str">
        <f>IFERROR(__xludf.DUMMYFUNCTION("""COMPUTED_VALUE"""),"BhagyashreeC15")</f>
        <v>BhagyashreeC15</v>
      </c>
      <c r="C2966" s="8">
        <f>IFERROR(__xludf.DUMMYFUNCTION("""COMPUTED_VALUE"""),0.0)</f>
        <v>0</v>
      </c>
      <c r="D2966" s="8"/>
    </row>
    <row r="2967">
      <c r="A2967" s="9" t="str">
        <f>IFERROR(__xludf.DUMMYFUNCTION("""COMPUTED_VALUE"""),"Batch 215")</f>
        <v>Batch 215</v>
      </c>
      <c r="B2967" s="9" t="str">
        <f>IFERROR(__xludf.DUMMYFUNCTION("""COMPUTED_VALUE"""),"TaniyaC15")</f>
        <v>TaniyaC15</v>
      </c>
      <c r="C2967" s="8">
        <f>IFERROR(__xludf.DUMMYFUNCTION("""COMPUTED_VALUE"""),5.0)</f>
        <v>5</v>
      </c>
      <c r="D2967" s="8">
        <f>IFERROR(__xludf.DUMMYFUNCTION("""COMPUTED_VALUE"""),1.0)</f>
        <v>1</v>
      </c>
    </row>
    <row r="2968">
      <c r="A2968" s="9" t="str">
        <f>IFERROR(__xludf.DUMMYFUNCTION("""COMPUTED_VALUE"""),"Batch 215")</f>
        <v>Batch 215</v>
      </c>
      <c r="B2968" s="9" t="str">
        <f>IFERROR(__xludf.DUMMYFUNCTION("""COMPUTED_VALUE"""),"TiwariC15")</f>
        <v>TiwariC15</v>
      </c>
      <c r="C2968" s="8">
        <f>IFERROR(__xludf.DUMMYFUNCTION("""COMPUTED_VALUE"""),0.0)</f>
        <v>0</v>
      </c>
      <c r="D2968" s="8"/>
    </row>
    <row r="2969">
      <c r="A2969" s="9" t="str">
        <f>IFERROR(__xludf.DUMMYFUNCTION("""COMPUTED_VALUE"""),"Batch 215")</f>
        <v>Batch 215</v>
      </c>
      <c r="B2969" s="9" t="str">
        <f>IFERROR(__xludf.DUMMYFUNCTION("""COMPUTED_VALUE"""),"AshishC15")</f>
        <v>AshishC15</v>
      </c>
      <c r="C2969" s="8">
        <f>IFERROR(__xludf.DUMMYFUNCTION("""COMPUTED_VALUE"""),0.0)</f>
        <v>0</v>
      </c>
      <c r="D2969" s="8"/>
    </row>
    <row r="2970">
      <c r="A2970" s="9" t="str">
        <f>IFERROR(__xludf.DUMMYFUNCTION("""COMPUTED_VALUE"""),"Batch 215")</f>
        <v>Batch 215</v>
      </c>
      <c r="B2970" s="9" t="str">
        <f>IFERROR(__xludf.DUMMYFUNCTION("""COMPUTED_VALUE"""),"PushkarC15")</f>
        <v>PushkarC15</v>
      </c>
      <c r="C2970" s="8">
        <f>IFERROR(__xludf.DUMMYFUNCTION("""COMPUTED_VALUE"""),0.0)</f>
        <v>0</v>
      </c>
      <c r="D2970" s="8"/>
    </row>
    <row r="2971">
      <c r="A2971" s="9" t="str">
        <f>IFERROR(__xludf.DUMMYFUNCTION("""COMPUTED_VALUE"""),"Batch 215")</f>
        <v>Batch 215</v>
      </c>
      <c r="B2971" s="9" t="str">
        <f>IFERROR(__xludf.DUMMYFUNCTION("""COMPUTED_VALUE"""),"HarshC15")</f>
        <v>HarshC15</v>
      </c>
      <c r="C2971" s="8">
        <f>IFERROR(__xludf.DUMMYFUNCTION("""COMPUTED_VALUE"""),0.0)</f>
        <v>0</v>
      </c>
      <c r="D2971" s="8"/>
    </row>
    <row r="2972">
      <c r="A2972" s="9" t="str">
        <f>IFERROR(__xludf.DUMMYFUNCTION("""COMPUTED_VALUE"""),"Batch 215")</f>
        <v>Batch 215</v>
      </c>
      <c r="B2972" s="9" t="str">
        <f>IFERROR(__xludf.DUMMYFUNCTION("""COMPUTED_VALUE"""),"RahnumaC15")</f>
        <v>RahnumaC15</v>
      </c>
      <c r="C2972" s="8">
        <f>IFERROR(__xludf.DUMMYFUNCTION("""COMPUTED_VALUE"""),0.0)</f>
        <v>0</v>
      </c>
      <c r="D2972" s="8"/>
    </row>
    <row r="2973">
      <c r="A2973" s="9" t="str">
        <f>IFERROR(__xludf.DUMMYFUNCTION("""COMPUTED_VALUE"""),"Batch 215")</f>
        <v>Batch 215</v>
      </c>
      <c r="B2973" s="9" t="str">
        <f>IFERROR(__xludf.DUMMYFUNCTION("""COMPUTED_VALUE"""),"AkshitaC15")</f>
        <v>AkshitaC15</v>
      </c>
      <c r="C2973" s="8">
        <f>IFERROR(__xludf.DUMMYFUNCTION("""COMPUTED_VALUE"""),0.0)</f>
        <v>0</v>
      </c>
      <c r="D2973" s="8"/>
    </row>
    <row r="2974">
      <c r="A2974" s="9" t="str">
        <f>IFERROR(__xludf.DUMMYFUNCTION("""COMPUTED_VALUE"""),"Batch 215")</f>
        <v>Batch 215</v>
      </c>
      <c r="B2974" s="9" t="str">
        <f>IFERROR(__xludf.DUMMYFUNCTION("""COMPUTED_VALUE"""),"TanuC15")</f>
        <v>TanuC15</v>
      </c>
      <c r="C2974" s="8">
        <f>IFERROR(__xludf.DUMMYFUNCTION("""COMPUTED_VALUE"""),0.0)</f>
        <v>0</v>
      </c>
      <c r="D2974" s="8"/>
    </row>
    <row r="2975">
      <c r="A2975" s="9" t="str">
        <f>IFERROR(__xludf.DUMMYFUNCTION("""COMPUTED_VALUE"""),"Batch 215")</f>
        <v>Batch 215</v>
      </c>
      <c r="B2975" s="9" t="str">
        <f>IFERROR(__xludf.DUMMYFUNCTION("""COMPUTED_VALUE"""),"AnkitC15")</f>
        <v>AnkitC15</v>
      </c>
      <c r="C2975" s="8">
        <f>IFERROR(__xludf.DUMMYFUNCTION("""COMPUTED_VALUE"""),0.0)</f>
        <v>0</v>
      </c>
      <c r="D2975" s="8"/>
    </row>
    <row r="2976">
      <c r="A2976" s="9" t="str">
        <f>IFERROR(__xludf.DUMMYFUNCTION("""COMPUTED_VALUE"""),"Batch 215")</f>
        <v>Batch 215</v>
      </c>
      <c r="B2976" s="9" t="str">
        <f>IFERROR(__xludf.DUMMYFUNCTION("""COMPUTED_VALUE"""),"KhushiC15")</f>
        <v>KhushiC15</v>
      </c>
      <c r="C2976" s="8">
        <f>IFERROR(__xludf.DUMMYFUNCTION("""COMPUTED_VALUE"""),0.0)</f>
        <v>0</v>
      </c>
      <c r="D2976" s="8"/>
    </row>
    <row r="2977">
      <c r="A2977" s="9" t="str">
        <f>IFERROR(__xludf.DUMMYFUNCTION("""COMPUTED_VALUE"""),"Batch 215")</f>
        <v>Batch 215</v>
      </c>
      <c r="B2977" s="9" t="str">
        <f>IFERROR(__xludf.DUMMYFUNCTION("""COMPUTED_VALUE"""),"AyonC15")</f>
        <v>AyonC15</v>
      </c>
      <c r="C2977" s="8">
        <f>IFERROR(__xludf.DUMMYFUNCTION("""COMPUTED_VALUE"""),0.0)</f>
        <v>0</v>
      </c>
      <c r="D2977" s="8"/>
    </row>
    <row r="2978">
      <c r="A2978" s="9" t="str">
        <f>IFERROR(__xludf.DUMMYFUNCTION("""COMPUTED_VALUE"""),"Batch 215")</f>
        <v>Batch 215</v>
      </c>
      <c r="B2978" s="9" t="str">
        <f>IFERROR(__xludf.DUMMYFUNCTION("""COMPUTED_VALUE"""),"SakshamC15")</f>
        <v>SakshamC15</v>
      </c>
      <c r="C2978" s="8">
        <f>IFERROR(__xludf.DUMMYFUNCTION("""COMPUTED_VALUE"""),0.0)</f>
        <v>0</v>
      </c>
      <c r="D2978" s="8"/>
    </row>
    <row r="2979">
      <c r="A2979" s="9" t="str">
        <f>IFERROR(__xludf.DUMMYFUNCTION("""COMPUTED_VALUE"""),"Batch 215")</f>
        <v>Batch 215</v>
      </c>
      <c r="B2979" s="9" t="str">
        <f>IFERROR(__xludf.DUMMYFUNCTION("""COMPUTED_VALUE"""),"ArnimC15")</f>
        <v>ArnimC15</v>
      </c>
      <c r="C2979" s="8">
        <f>IFERROR(__xludf.DUMMYFUNCTION("""COMPUTED_VALUE"""),2.0)</f>
        <v>2</v>
      </c>
      <c r="D2979" s="8"/>
    </row>
    <row r="2980">
      <c r="A2980" s="9" t="str">
        <f>IFERROR(__xludf.DUMMYFUNCTION("""COMPUTED_VALUE"""),"Batch 215")</f>
        <v>Batch 215</v>
      </c>
      <c r="B2980" s="9" t="str">
        <f>IFERROR(__xludf.DUMMYFUNCTION("""COMPUTED_VALUE"""),"SyedC15")</f>
        <v>SyedC15</v>
      </c>
      <c r="C2980" s="8">
        <f>IFERROR(__xludf.DUMMYFUNCTION("""COMPUTED_VALUE"""),1.0)</f>
        <v>1</v>
      </c>
      <c r="D2980" s="8"/>
    </row>
    <row r="2981">
      <c r="A2981" s="9" t="str">
        <f>IFERROR(__xludf.DUMMYFUNCTION("""COMPUTED_VALUE"""),"Batch 215")</f>
        <v>Batch 215</v>
      </c>
      <c r="B2981" s="9" t="str">
        <f>IFERROR(__xludf.DUMMYFUNCTION("""COMPUTED_VALUE"""),"ChiragC15")</f>
        <v>ChiragC15</v>
      </c>
      <c r="C2981" s="8">
        <f>IFERROR(__xludf.DUMMYFUNCTION("""COMPUTED_VALUE"""),3.0)</f>
        <v>3</v>
      </c>
      <c r="D2981" s="8"/>
    </row>
    <row r="2982">
      <c r="A2982" s="9" t="str">
        <f>IFERROR(__xludf.DUMMYFUNCTION("""COMPUTED_VALUE"""),"Batch 215")</f>
        <v>Batch 215</v>
      </c>
      <c r="B2982" s="9" t="str">
        <f>IFERROR(__xludf.DUMMYFUNCTION("""COMPUTED_VALUE"""),"ArunC15")</f>
        <v>ArunC15</v>
      </c>
      <c r="C2982" s="8">
        <f>IFERROR(__xludf.DUMMYFUNCTION("""COMPUTED_VALUE"""),1.0)</f>
        <v>1</v>
      </c>
      <c r="D2982" s="8"/>
    </row>
    <row r="2983">
      <c r="A2983" s="9" t="str">
        <f>IFERROR(__xludf.DUMMYFUNCTION("""COMPUTED_VALUE"""),"Batch 215")</f>
        <v>Batch 215</v>
      </c>
      <c r="B2983" s="9" t="str">
        <f>IFERROR(__xludf.DUMMYFUNCTION("""COMPUTED_VALUE"""),"PushpakC15")</f>
        <v>PushpakC15</v>
      </c>
      <c r="C2983" s="8">
        <f>IFERROR(__xludf.DUMMYFUNCTION("""COMPUTED_VALUE"""),2.0)</f>
        <v>2</v>
      </c>
      <c r="D2983" s="8">
        <f>IFERROR(__xludf.DUMMYFUNCTION("""COMPUTED_VALUE"""),1.0)</f>
        <v>1</v>
      </c>
    </row>
    <row r="2984">
      <c r="A2984" s="9" t="str">
        <f>IFERROR(__xludf.DUMMYFUNCTION("""COMPUTED_VALUE"""),"Batch 215")</f>
        <v>Batch 215</v>
      </c>
      <c r="B2984" s="9" t="str">
        <f>IFERROR(__xludf.DUMMYFUNCTION("""COMPUTED_VALUE"""),"GauravC15")</f>
        <v>GauravC15</v>
      </c>
      <c r="C2984" s="8">
        <f>IFERROR(__xludf.DUMMYFUNCTION("""COMPUTED_VALUE"""),0.0)</f>
        <v>0</v>
      </c>
      <c r="D2984" s="8"/>
    </row>
    <row r="2985">
      <c r="A2985" s="9" t="str">
        <f>IFERROR(__xludf.DUMMYFUNCTION("""COMPUTED_VALUE"""),"Batch 215")</f>
        <v>Batch 215</v>
      </c>
      <c r="B2985" s="9" t="str">
        <f>IFERROR(__xludf.DUMMYFUNCTION("""COMPUTED_VALUE"""),"KartikeyC15")</f>
        <v>KartikeyC15</v>
      </c>
      <c r="C2985" s="8">
        <f>IFERROR(__xludf.DUMMYFUNCTION("""COMPUTED_VALUE"""),3.0)</f>
        <v>3</v>
      </c>
      <c r="D2985" s="8">
        <f>IFERROR(__xludf.DUMMYFUNCTION("""COMPUTED_VALUE"""),1.0)</f>
        <v>1</v>
      </c>
    </row>
    <row r="2986">
      <c r="A2986" s="9" t="str">
        <f>IFERROR(__xludf.DUMMYFUNCTION("""COMPUTED_VALUE"""),"Batch 215")</f>
        <v>Batch 215</v>
      </c>
      <c r="B2986" s="9" t="str">
        <f>IFERROR(__xludf.DUMMYFUNCTION("""COMPUTED_VALUE"""),"PayalC15")</f>
        <v>PayalC15</v>
      </c>
      <c r="C2986" s="8">
        <f>IFERROR(__xludf.DUMMYFUNCTION("""COMPUTED_VALUE"""),0.0)</f>
        <v>0</v>
      </c>
      <c r="D2986" s="8"/>
    </row>
    <row r="2987">
      <c r="A2987" s="9" t="str">
        <f>IFERROR(__xludf.DUMMYFUNCTION("""COMPUTED_VALUE"""),"Batch 215")</f>
        <v>Batch 215</v>
      </c>
      <c r="B2987" s="9" t="str">
        <f>IFERROR(__xludf.DUMMYFUNCTION("""COMPUTED_VALUE"""),"AishiparnaC15")</f>
        <v>AishiparnaC15</v>
      </c>
      <c r="C2987" s="8">
        <f>IFERROR(__xludf.DUMMYFUNCTION("""COMPUTED_VALUE"""),0.0)</f>
        <v>0</v>
      </c>
      <c r="D2987" s="8"/>
    </row>
    <row r="2988">
      <c r="A2988" s="9" t="str">
        <f>IFERROR(__xludf.DUMMYFUNCTION("""COMPUTED_VALUE"""),"Batch 215")</f>
        <v>Batch 215</v>
      </c>
      <c r="B2988" s="9" t="str">
        <f>IFERROR(__xludf.DUMMYFUNCTION("""COMPUTED_VALUE"""),"AnupamaC15")</f>
        <v>AnupamaC15</v>
      </c>
      <c r="C2988" s="8">
        <f>IFERROR(__xludf.DUMMYFUNCTION("""COMPUTED_VALUE"""),0.0)</f>
        <v>0</v>
      </c>
      <c r="D2988" s="8"/>
    </row>
    <row r="2989">
      <c r="A2989" s="9" t="str">
        <f>IFERROR(__xludf.DUMMYFUNCTION("""COMPUTED_VALUE"""),"Batch 215")</f>
        <v>Batch 215</v>
      </c>
      <c r="B2989" s="9" t="str">
        <f>IFERROR(__xludf.DUMMYFUNCTION("""COMPUTED_VALUE"""),"AtkuriC15")</f>
        <v>AtkuriC15</v>
      </c>
      <c r="C2989" s="8">
        <f>IFERROR(__xludf.DUMMYFUNCTION("""COMPUTED_VALUE"""),0.0)</f>
        <v>0</v>
      </c>
      <c r="D2989" s="8"/>
    </row>
    <row r="2990">
      <c r="A2990" s="9" t="str">
        <f>IFERROR(__xludf.DUMMYFUNCTION("""COMPUTED_VALUE"""),"Batch 215")</f>
        <v>Batch 215</v>
      </c>
      <c r="B2990" s="9" t="str">
        <f>IFERROR(__xludf.DUMMYFUNCTION("""COMPUTED_VALUE"""),"KaranC15")</f>
        <v>KaranC15</v>
      </c>
      <c r="C2990" s="8">
        <f>IFERROR(__xludf.DUMMYFUNCTION("""COMPUTED_VALUE"""),0.0)</f>
        <v>0</v>
      </c>
      <c r="D2990" s="8"/>
    </row>
    <row r="2991">
      <c r="A2991" s="9" t="str">
        <f>IFERROR(__xludf.DUMMYFUNCTION("""COMPUTED_VALUE"""),"Batch 215")</f>
        <v>Batch 215</v>
      </c>
      <c r="B2991" s="9" t="str">
        <f>IFERROR(__xludf.DUMMYFUNCTION("""COMPUTED_VALUE"""),"ArshitaC15")</f>
        <v>ArshitaC15</v>
      </c>
      <c r="C2991" s="8">
        <f>IFERROR(__xludf.DUMMYFUNCTION("""COMPUTED_VALUE"""),7.0)</f>
        <v>7</v>
      </c>
      <c r="D2991" s="8">
        <f>IFERROR(__xludf.DUMMYFUNCTION("""COMPUTED_VALUE"""),2.0)</f>
        <v>2</v>
      </c>
    </row>
    <row r="2992">
      <c r="A2992" s="9" t="str">
        <f>IFERROR(__xludf.DUMMYFUNCTION("""COMPUTED_VALUE"""),"Batch 215")</f>
        <v>Batch 215</v>
      </c>
      <c r="B2992" s="9" t="str">
        <f>IFERROR(__xludf.DUMMYFUNCTION("""COMPUTED_VALUE"""),"MohitDC15")</f>
        <v>MohitDC15</v>
      </c>
      <c r="C2992" s="8">
        <f>IFERROR(__xludf.DUMMYFUNCTION("""COMPUTED_VALUE"""),6.0)</f>
        <v>6</v>
      </c>
      <c r="D2992" s="8"/>
    </row>
    <row r="2993">
      <c r="A2993" s="9" t="str">
        <f>IFERROR(__xludf.DUMMYFUNCTION("""COMPUTED_VALUE"""),"Batch 215")</f>
        <v>Batch 215</v>
      </c>
      <c r="B2993" s="9" t="str">
        <f>IFERROR(__xludf.DUMMYFUNCTION("""COMPUTED_VALUE"""),"JatinC15")</f>
        <v>JatinC15</v>
      </c>
      <c r="C2993" s="8">
        <f>IFERROR(__xludf.DUMMYFUNCTION("""COMPUTED_VALUE"""),62.0)</f>
        <v>62</v>
      </c>
      <c r="D2993" s="8">
        <f>IFERROR(__xludf.DUMMYFUNCTION("""COMPUTED_VALUE"""),6.0)</f>
        <v>6</v>
      </c>
    </row>
    <row r="2994">
      <c r="A2994" s="9" t="str">
        <f>IFERROR(__xludf.DUMMYFUNCTION("""COMPUTED_VALUE"""),"Batch 215")</f>
        <v>Batch 215</v>
      </c>
      <c r="B2994" s="9" t="str">
        <f>IFERROR(__xludf.DUMMYFUNCTION("""COMPUTED_VALUE"""),"PreetiC15")</f>
        <v>PreetiC15</v>
      </c>
      <c r="C2994" s="8">
        <f>IFERROR(__xludf.DUMMYFUNCTION("""COMPUTED_VALUE"""),4.0)</f>
        <v>4</v>
      </c>
      <c r="D2994" s="8"/>
    </row>
    <row r="2995">
      <c r="A2995" s="9" t="str">
        <f>IFERROR(__xludf.DUMMYFUNCTION("""COMPUTED_VALUE"""),"Batch 215")</f>
        <v>Batch 215</v>
      </c>
      <c r="B2995" s="9" t="str">
        <f>IFERROR(__xludf.DUMMYFUNCTION("""COMPUTED_VALUE"""),"VaibhavC15")</f>
        <v>VaibhavC15</v>
      </c>
      <c r="C2995" s="8">
        <f>IFERROR(__xludf.DUMMYFUNCTION("""COMPUTED_VALUE"""),1.0)</f>
        <v>1</v>
      </c>
      <c r="D2995" s="8"/>
    </row>
    <row r="2996">
      <c r="A2996" s="9" t="str">
        <f>IFERROR(__xludf.DUMMYFUNCTION("""COMPUTED_VALUE"""),"Batch 215")</f>
        <v>Batch 215</v>
      </c>
      <c r="B2996" s="9" t="str">
        <f>IFERROR(__xludf.DUMMYFUNCTION("""COMPUTED_VALUE"""),"VISHNUPRIYANC15")</f>
        <v>VISHNUPRIYANC15</v>
      </c>
      <c r="C2996" s="8">
        <f>IFERROR(__xludf.DUMMYFUNCTION("""COMPUTED_VALUE"""),0.0)</f>
        <v>0</v>
      </c>
      <c r="D2996" s="8"/>
    </row>
    <row r="2997">
      <c r="A2997" s="9" t="str">
        <f>IFERROR(__xludf.DUMMYFUNCTION("""COMPUTED_VALUE"""),"Batch 215")</f>
        <v>Batch 215</v>
      </c>
      <c r="B2997" s="9" t="str">
        <f>IFERROR(__xludf.DUMMYFUNCTION("""COMPUTED_VALUE"""),"SangbartikaC15")</f>
        <v>SangbartikaC15</v>
      </c>
      <c r="C2997" s="8">
        <f>IFERROR(__xludf.DUMMYFUNCTION("""COMPUTED_VALUE"""),0.0)</f>
        <v>0</v>
      </c>
      <c r="D2997" s="8"/>
    </row>
    <row r="2998">
      <c r="A2998" s="9" t="str">
        <f>IFERROR(__xludf.DUMMYFUNCTION("""COMPUTED_VALUE"""),"Batch 215")</f>
        <v>Batch 215</v>
      </c>
      <c r="B2998" s="9" t="str">
        <f>IFERROR(__xludf.DUMMYFUNCTION("""COMPUTED_VALUE"""),"JyotiC15")</f>
        <v>JyotiC15</v>
      </c>
      <c r="C2998" s="8">
        <f>IFERROR(__xludf.DUMMYFUNCTION("""COMPUTED_VALUE"""),0.0)</f>
        <v>0</v>
      </c>
      <c r="D2998" s="8"/>
    </row>
    <row r="2999">
      <c r="A2999" s="9" t="str">
        <f>IFERROR(__xludf.DUMMYFUNCTION("""COMPUTED_VALUE"""),"Batch 215")</f>
        <v>Batch 215</v>
      </c>
      <c r="B2999" s="9" t="str">
        <f>IFERROR(__xludf.DUMMYFUNCTION("""COMPUTED_VALUE"""),"RaushanC15")</f>
        <v>RaushanC15</v>
      </c>
      <c r="C2999" s="8">
        <f>IFERROR(__xludf.DUMMYFUNCTION("""COMPUTED_VALUE"""),0.0)</f>
        <v>0</v>
      </c>
      <c r="D2999" s="8"/>
    </row>
    <row r="3000">
      <c r="A3000" s="9" t="str">
        <f>IFERROR(__xludf.DUMMYFUNCTION("""COMPUTED_VALUE"""),"Batch 215")</f>
        <v>Batch 215</v>
      </c>
      <c r="B3000" s="9" t="str">
        <f>IFERROR(__xludf.DUMMYFUNCTION("""COMPUTED_VALUE"""),"PrashantC15")</f>
        <v>PrashantC15</v>
      </c>
      <c r="C3000" s="8">
        <f>IFERROR(__xludf.DUMMYFUNCTION("""COMPUTED_VALUE"""),0.0)</f>
        <v>0</v>
      </c>
      <c r="D3000" s="8"/>
    </row>
    <row r="3001">
      <c r="A3001" s="9" t="str">
        <f>IFERROR(__xludf.DUMMYFUNCTION("""COMPUTED_VALUE"""),"Batch 215")</f>
        <v>Batch 215</v>
      </c>
      <c r="B3001" s="9" t="str">
        <f>IFERROR(__xludf.DUMMYFUNCTION("""COMPUTED_VALUE"""),"MithinC15")</f>
        <v>MithinC15</v>
      </c>
      <c r="C3001" s="8">
        <f>IFERROR(__xludf.DUMMYFUNCTION("""COMPUTED_VALUE"""),1.0)</f>
        <v>1</v>
      </c>
      <c r="D3001" s="8"/>
    </row>
    <row r="3002">
      <c r="A3002" s="9" t="str">
        <f>IFERROR(__xludf.DUMMYFUNCTION("""COMPUTED_VALUE"""),"Batch 215")</f>
        <v>Batch 215</v>
      </c>
      <c r="B3002" s="9" t="str">
        <f>IFERROR(__xludf.DUMMYFUNCTION("""COMPUTED_VALUE"""),"MohdC15")</f>
        <v>MohdC15</v>
      </c>
      <c r="C3002" s="8">
        <f>IFERROR(__xludf.DUMMYFUNCTION("""COMPUTED_VALUE"""),0.0)</f>
        <v>0</v>
      </c>
      <c r="D3002" s="8"/>
    </row>
    <row r="3003">
      <c r="A3003" s="9" t="str">
        <f>IFERROR(__xludf.DUMMYFUNCTION("""COMPUTED_VALUE"""),"Batch 215")</f>
        <v>Batch 215</v>
      </c>
      <c r="B3003" s="9" t="str">
        <f>IFERROR(__xludf.DUMMYFUNCTION("""COMPUTED_VALUE"""),"AyushC15")</f>
        <v>AyushC15</v>
      </c>
      <c r="C3003" s="8">
        <f>IFERROR(__xludf.DUMMYFUNCTION("""COMPUTED_VALUE"""),0.0)</f>
        <v>0</v>
      </c>
      <c r="D3003" s="8"/>
    </row>
    <row r="3004">
      <c r="A3004" s="9" t="str">
        <f>IFERROR(__xludf.DUMMYFUNCTION("""COMPUTED_VALUE"""),"Batch 215")</f>
        <v>Batch 215</v>
      </c>
      <c r="B3004" s="9" t="str">
        <f>IFERROR(__xludf.DUMMYFUNCTION("""COMPUTED_VALUE"""),"DipanjanC15")</f>
        <v>DipanjanC15</v>
      </c>
      <c r="C3004" s="8">
        <f>IFERROR(__xludf.DUMMYFUNCTION("""COMPUTED_VALUE"""),0.0)</f>
        <v>0</v>
      </c>
      <c r="D3004" s="8"/>
    </row>
    <row r="3005">
      <c r="A3005" s="9" t="str">
        <f>IFERROR(__xludf.DUMMYFUNCTION("""COMPUTED_VALUE"""),"Batch 215")</f>
        <v>Batch 215</v>
      </c>
      <c r="B3005" s="9" t="str">
        <f>IFERROR(__xludf.DUMMYFUNCTION("""COMPUTED_VALUE"""),"HarshitaC15")</f>
        <v>HarshitaC15</v>
      </c>
      <c r="C3005" s="8">
        <f>IFERROR(__xludf.DUMMYFUNCTION("""COMPUTED_VALUE"""),0.0)</f>
        <v>0</v>
      </c>
      <c r="D3005" s="8"/>
    </row>
    <row r="3006">
      <c r="A3006" s="9" t="str">
        <f>IFERROR(__xludf.DUMMYFUNCTION("""COMPUTED_VALUE"""),"Batch 215")</f>
        <v>Batch 215</v>
      </c>
      <c r="B3006" s="9" t="str">
        <f>IFERROR(__xludf.DUMMYFUNCTION("""COMPUTED_VALUE"""),"SuranjanC15")</f>
        <v>SuranjanC15</v>
      </c>
      <c r="C3006" s="8">
        <f>IFERROR(__xludf.DUMMYFUNCTION("""COMPUTED_VALUE"""),0.0)</f>
        <v>0</v>
      </c>
      <c r="D3006" s="8"/>
    </row>
    <row r="3007">
      <c r="A3007" s="9" t="str">
        <f>IFERROR(__xludf.DUMMYFUNCTION("""COMPUTED_VALUE"""),"Batch 215")</f>
        <v>Batch 215</v>
      </c>
      <c r="B3007" s="9" t="str">
        <f>IFERROR(__xludf.DUMMYFUNCTION("""COMPUTED_VALUE"""),"VINITC15")</f>
        <v>VINITC15</v>
      </c>
      <c r="C3007" s="8">
        <f>IFERROR(__xludf.DUMMYFUNCTION("""COMPUTED_VALUE"""),0.0)</f>
        <v>0</v>
      </c>
      <c r="D3007" s="8"/>
    </row>
    <row r="3008">
      <c r="A3008" s="9" t="str">
        <f>IFERROR(__xludf.DUMMYFUNCTION("""COMPUTED_VALUE"""),"Batch 215")</f>
        <v>Batch 215</v>
      </c>
      <c r="B3008" s="9" t="str">
        <f>IFERROR(__xludf.DUMMYFUNCTION("""COMPUTED_VALUE"""),"TejahussainC15")</f>
        <v>TejahussainC15</v>
      </c>
      <c r="C3008" s="8">
        <f>IFERROR(__xludf.DUMMYFUNCTION("""COMPUTED_VALUE"""),0.0)</f>
        <v>0</v>
      </c>
      <c r="D3008" s="8"/>
    </row>
    <row r="3009">
      <c r="A3009" s="9" t="str">
        <f>IFERROR(__xludf.DUMMYFUNCTION("""COMPUTED_VALUE"""),"Batch 215")</f>
        <v>Batch 215</v>
      </c>
      <c r="B3009" s="9" t="str">
        <f>IFERROR(__xludf.DUMMYFUNCTION("""COMPUTED_VALUE"""),"R.RochC15")</f>
        <v>R.RochC15</v>
      </c>
      <c r="C3009" s="8">
        <f>IFERROR(__xludf.DUMMYFUNCTION("""COMPUTED_VALUE"""),0.0)</f>
        <v>0</v>
      </c>
      <c r="D3009" s="8"/>
    </row>
    <row r="3010">
      <c r="A3010" s="9" t="str">
        <f>IFERROR(__xludf.DUMMYFUNCTION("""COMPUTED_VALUE"""),"Batch 215")</f>
        <v>Batch 215</v>
      </c>
      <c r="B3010" s="9" t="str">
        <f>IFERROR(__xludf.DUMMYFUNCTION("""COMPUTED_VALUE"""),"AnishaC15")</f>
        <v>AnishaC15</v>
      </c>
      <c r="C3010" s="8">
        <f>IFERROR(__xludf.DUMMYFUNCTION("""COMPUTED_VALUE"""),0.0)</f>
        <v>0</v>
      </c>
      <c r="D3010" s="8"/>
    </row>
    <row r="3011">
      <c r="A3011" s="9"/>
      <c r="B3011" s="9"/>
      <c r="C3011" s="8">
        <f>IFERROR(__xludf.DUMMYFUNCTION("""COMPUTED_VALUE"""),0.0)</f>
        <v>0</v>
      </c>
      <c r="D3011" s="8"/>
    </row>
    <row r="3012">
      <c r="A3012" s="9" t="str">
        <f>IFERROR(__xludf.DUMMYFUNCTION("""COMPUTED_VALUE"""),"Batch 216 ")</f>
        <v>Batch 216 </v>
      </c>
      <c r="B3012" s="9" t="str">
        <f>IFERROR(__xludf.DUMMYFUNCTION("""COMPUTED_VALUE"""),"SangbartikaC16")</f>
        <v>SangbartikaC16</v>
      </c>
      <c r="C3012" s="8">
        <f>IFERROR(__xludf.DUMMYFUNCTION("""COMPUTED_VALUE"""),0.0)</f>
        <v>0</v>
      </c>
      <c r="D3012" s="8"/>
    </row>
    <row r="3013">
      <c r="A3013" s="9" t="str">
        <f>IFERROR(__xludf.DUMMYFUNCTION("""COMPUTED_VALUE"""),"Batch 216 ")</f>
        <v>Batch 216 </v>
      </c>
      <c r="B3013" s="9" t="str">
        <f>IFERROR(__xludf.DUMMYFUNCTION("""COMPUTED_VALUE"""),"JyotiC16")</f>
        <v>JyotiC16</v>
      </c>
      <c r="C3013" s="8">
        <f>IFERROR(__xludf.DUMMYFUNCTION("""COMPUTED_VALUE"""),0.0)</f>
        <v>0</v>
      </c>
      <c r="D3013" s="8"/>
    </row>
    <row r="3014">
      <c r="A3014" s="9" t="str">
        <f>IFERROR(__xludf.DUMMYFUNCTION("""COMPUTED_VALUE"""),"Batch 216 ")</f>
        <v>Batch 216 </v>
      </c>
      <c r="B3014" s="9" t="str">
        <f>IFERROR(__xludf.DUMMYFUNCTION("""COMPUTED_VALUE"""),"RaushanC16")</f>
        <v>RaushanC16</v>
      </c>
      <c r="C3014" s="8">
        <f>IFERROR(__xludf.DUMMYFUNCTION("""COMPUTED_VALUE"""),0.0)</f>
        <v>0</v>
      </c>
      <c r="D3014" s="8"/>
    </row>
    <row r="3015">
      <c r="A3015" s="9" t="str">
        <f>IFERROR(__xludf.DUMMYFUNCTION("""COMPUTED_VALUE"""),"Batch 216 ")</f>
        <v>Batch 216 </v>
      </c>
      <c r="B3015" s="9" t="str">
        <f>IFERROR(__xludf.DUMMYFUNCTION("""COMPUTED_VALUE"""),"PrashantC16")</f>
        <v>PrashantC16</v>
      </c>
      <c r="C3015" s="8">
        <f>IFERROR(__xludf.DUMMYFUNCTION("""COMPUTED_VALUE"""),0.0)</f>
        <v>0</v>
      </c>
      <c r="D3015" s="8"/>
    </row>
    <row r="3016">
      <c r="A3016" s="9" t="str">
        <f>IFERROR(__xludf.DUMMYFUNCTION("""COMPUTED_VALUE"""),"Batch 216 ")</f>
        <v>Batch 216 </v>
      </c>
      <c r="B3016" s="9" t="str">
        <f>IFERROR(__xludf.DUMMYFUNCTION("""COMPUTED_VALUE"""),"MithinC16")</f>
        <v>MithinC16</v>
      </c>
      <c r="C3016" s="8">
        <f>IFERROR(__xludf.DUMMYFUNCTION("""COMPUTED_VALUE"""),0.0)</f>
        <v>0</v>
      </c>
      <c r="D3016" s="8"/>
    </row>
    <row r="3017">
      <c r="A3017" s="9" t="str">
        <f>IFERROR(__xludf.DUMMYFUNCTION("""COMPUTED_VALUE"""),"Batch 216 ")</f>
        <v>Batch 216 </v>
      </c>
      <c r="B3017" s="9" t="str">
        <f>IFERROR(__xludf.DUMMYFUNCTION("""COMPUTED_VALUE"""),"MohdC16")</f>
        <v>MohdC16</v>
      </c>
      <c r="C3017" s="8">
        <f>IFERROR(__xludf.DUMMYFUNCTION("""COMPUTED_VALUE"""),0.0)</f>
        <v>0</v>
      </c>
      <c r="D3017" s="8"/>
    </row>
    <row r="3018">
      <c r="A3018" s="9" t="str">
        <f>IFERROR(__xludf.DUMMYFUNCTION("""COMPUTED_VALUE"""),"Batch 216 ")</f>
        <v>Batch 216 </v>
      </c>
      <c r="B3018" s="9" t="str">
        <f>IFERROR(__xludf.DUMMYFUNCTION("""COMPUTED_VALUE"""),"AyushC16")</f>
        <v>AyushC16</v>
      </c>
      <c r="C3018" s="8">
        <f>IFERROR(__xludf.DUMMYFUNCTION("""COMPUTED_VALUE"""),0.0)</f>
        <v>0</v>
      </c>
      <c r="D3018" s="8"/>
    </row>
    <row r="3019">
      <c r="A3019" s="9" t="str">
        <f>IFERROR(__xludf.DUMMYFUNCTION("""COMPUTED_VALUE"""),"Batch 216 ")</f>
        <v>Batch 216 </v>
      </c>
      <c r="B3019" s="9" t="str">
        <f>IFERROR(__xludf.DUMMYFUNCTION("""COMPUTED_VALUE"""),"DipanjanC16")</f>
        <v>DipanjanC16</v>
      </c>
      <c r="C3019" s="8">
        <f>IFERROR(__xludf.DUMMYFUNCTION("""COMPUTED_VALUE"""),0.0)</f>
        <v>0</v>
      </c>
      <c r="D3019" s="8"/>
    </row>
    <row r="3020">
      <c r="A3020" s="9" t="str">
        <f>IFERROR(__xludf.DUMMYFUNCTION("""COMPUTED_VALUE"""),"Batch 216 ")</f>
        <v>Batch 216 </v>
      </c>
      <c r="B3020" s="9" t="str">
        <f>IFERROR(__xludf.DUMMYFUNCTION("""COMPUTED_VALUE"""),"HarshitaC16")</f>
        <v>HarshitaC16</v>
      </c>
      <c r="C3020" s="8">
        <f>IFERROR(__xludf.DUMMYFUNCTION("""COMPUTED_VALUE"""),0.0)</f>
        <v>0</v>
      </c>
      <c r="D3020" s="8"/>
    </row>
    <row r="3021">
      <c r="A3021" s="9" t="str">
        <f>IFERROR(__xludf.DUMMYFUNCTION("""COMPUTED_VALUE"""),"Batch 216 ")</f>
        <v>Batch 216 </v>
      </c>
      <c r="B3021" s="9" t="str">
        <f>IFERROR(__xludf.DUMMYFUNCTION("""COMPUTED_VALUE"""),"SuranjanC16")</f>
        <v>SuranjanC16</v>
      </c>
      <c r="C3021" s="8">
        <f>IFERROR(__xludf.DUMMYFUNCTION("""COMPUTED_VALUE"""),0.0)</f>
        <v>0</v>
      </c>
      <c r="D3021" s="8"/>
    </row>
    <row r="3022">
      <c r="A3022" s="9" t="str">
        <f>IFERROR(__xludf.DUMMYFUNCTION("""COMPUTED_VALUE"""),"Batch 216 ")</f>
        <v>Batch 216 </v>
      </c>
      <c r="B3022" s="9" t="str">
        <f>IFERROR(__xludf.DUMMYFUNCTION("""COMPUTED_VALUE"""),"VINITC16")</f>
        <v>VINITC16</v>
      </c>
      <c r="C3022" s="8">
        <f>IFERROR(__xludf.DUMMYFUNCTION("""COMPUTED_VALUE"""),0.0)</f>
        <v>0</v>
      </c>
      <c r="D3022" s="8"/>
    </row>
    <row r="3023">
      <c r="A3023" s="9" t="str">
        <f>IFERROR(__xludf.DUMMYFUNCTION("""COMPUTED_VALUE"""),"Batch 216 ")</f>
        <v>Batch 216 </v>
      </c>
      <c r="B3023" s="9" t="str">
        <f>IFERROR(__xludf.DUMMYFUNCTION("""COMPUTED_VALUE"""),"TejahussainC16")</f>
        <v>TejahussainC16</v>
      </c>
      <c r="C3023" s="8">
        <f>IFERROR(__xludf.DUMMYFUNCTION("""COMPUTED_VALUE"""),0.0)</f>
        <v>0</v>
      </c>
      <c r="D3023" s="8"/>
    </row>
    <row r="3024">
      <c r="A3024" s="9" t="str">
        <f>IFERROR(__xludf.DUMMYFUNCTION("""COMPUTED_VALUE"""),"Batch 216 ")</f>
        <v>Batch 216 </v>
      </c>
      <c r="B3024" s="9" t="str">
        <f>IFERROR(__xludf.DUMMYFUNCTION("""COMPUTED_VALUE"""),"R.RochC16")</f>
        <v>R.RochC16</v>
      </c>
      <c r="C3024" s="8">
        <f>IFERROR(__xludf.DUMMYFUNCTION("""COMPUTED_VALUE"""),0.0)</f>
        <v>0</v>
      </c>
      <c r="D3024" s="8"/>
    </row>
    <row r="3025">
      <c r="A3025" s="9" t="str">
        <f>IFERROR(__xludf.DUMMYFUNCTION("""COMPUTED_VALUE"""),"Batch 216 ")</f>
        <v>Batch 216 </v>
      </c>
      <c r="B3025" s="9" t="str">
        <f>IFERROR(__xludf.DUMMYFUNCTION("""COMPUTED_VALUE"""),"AnishaC16")</f>
        <v>AnishaC16</v>
      </c>
      <c r="C3025" s="8">
        <f>IFERROR(__xludf.DUMMYFUNCTION("""COMPUTED_VALUE"""),0.0)</f>
        <v>0</v>
      </c>
      <c r="D3025" s="8"/>
    </row>
    <row r="3026">
      <c r="A3026" s="9" t="str">
        <f>IFERROR(__xludf.DUMMYFUNCTION("""COMPUTED_VALUE"""),"Batch 216 ")</f>
        <v>Batch 216 </v>
      </c>
      <c r="B3026" s="9" t="str">
        <f>IFERROR(__xludf.DUMMYFUNCTION("""COMPUTED_VALUE"""),"AnanyaC16")</f>
        <v>AnanyaC16</v>
      </c>
      <c r="C3026" s="8">
        <f>IFERROR(__xludf.DUMMYFUNCTION("""COMPUTED_VALUE"""),0.0)</f>
        <v>0</v>
      </c>
      <c r="D3026" s="8"/>
    </row>
    <row r="3027">
      <c r="A3027" s="9" t="str">
        <f>IFERROR(__xludf.DUMMYFUNCTION("""COMPUTED_VALUE"""),"Batch 216 ")</f>
        <v>Batch 216 </v>
      </c>
      <c r="B3027" s="9" t="str">
        <f>IFERROR(__xludf.DUMMYFUNCTION("""COMPUTED_VALUE"""),"RohitC16")</f>
        <v>RohitC16</v>
      </c>
      <c r="C3027" s="8">
        <f>IFERROR(__xludf.DUMMYFUNCTION("""COMPUTED_VALUE"""),0.0)</f>
        <v>0</v>
      </c>
      <c r="D3027" s="8"/>
    </row>
    <row r="3028">
      <c r="A3028" s="9" t="str">
        <f>IFERROR(__xludf.DUMMYFUNCTION("""COMPUTED_VALUE"""),"Batch 216 ")</f>
        <v>Batch 216 </v>
      </c>
      <c r="B3028" s="9" t="str">
        <f>IFERROR(__xludf.DUMMYFUNCTION("""COMPUTED_VALUE"""),"MohammadC16")</f>
        <v>MohammadC16</v>
      </c>
      <c r="C3028" s="8">
        <f>IFERROR(__xludf.DUMMYFUNCTION("""COMPUTED_VALUE"""),7.0)</f>
        <v>7</v>
      </c>
      <c r="D3028" s="8"/>
    </row>
    <row r="3029">
      <c r="A3029" s="9" t="str">
        <f>IFERROR(__xludf.DUMMYFUNCTION("""COMPUTED_VALUE"""),"Batch 216 ")</f>
        <v>Batch 216 </v>
      </c>
      <c r="B3029" s="9" t="str">
        <f>IFERROR(__xludf.DUMMYFUNCTION("""COMPUTED_VALUE"""),"KarthickC16")</f>
        <v>KarthickC16</v>
      </c>
      <c r="C3029" s="8">
        <f>IFERROR(__xludf.DUMMYFUNCTION("""COMPUTED_VALUE"""),0.0)</f>
        <v>0</v>
      </c>
      <c r="D3029" s="8"/>
    </row>
    <row r="3030">
      <c r="A3030" s="9" t="str">
        <f>IFERROR(__xludf.DUMMYFUNCTION("""COMPUTED_VALUE"""),"Batch 216 ")</f>
        <v>Batch 216 </v>
      </c>
      <c r="B3030" s="9" t="str">
        <f>IFERROR(__xludf.DUMMYFUNCTION("""COMPUTED_VALUE"""),"chigulllapallyC16")</f>
        <v>chigulllapallyC16</v>
      </c>
      <c r="C3030" s="8">
        <f>IFERROR(__xludf.DUMMYFUNCTION("""COMPUTED_VALUE"""),2.0)</f>
        <v>2</v>
      </c>
      <c r="D3030" s="8"/>
    </row>
    <row r="3031">
      <c r="A3031" s="9" t="str">
        <f>IFERROR(__xludf.DUMMYFUNCTION("""COMPUTED_VALUE"""),"Batch 216 ")</f>
        <v>Batch 216 </v>
      </c>
      <c r="B3031" s="9" t="str">
        <f>IFERROR(__xludf.DUMMYFUNCTION("""COMPUTED_VALUE"""),"KritiyanshiC16")</f>
        <v>KritiyanshiC16</v>
      </c>
      <c r="C3031" s="8">
        <f>IFERROR(__xludf.DUMMYFUNCTION("""COMPUTED_VALUE"""),0.0)</f>
        <v>0</v>
      </c>
      <c r="D3031" s="8"/>
    </row>
    <row r="3032">
      <c r="A3032" s="9" t="str">
        <f>IFERROR(__xludf.DUMMYFUNCTION("""COMPUTED_VALUE"""),"Batch 216 ")</f>
        <v>Batch 216 </v>
      </c>
      <c r="B3032" s="9" t="str">
        <f>IFERROR(__xludf.DUMMYFUNCTION("""COMPUTED_VALUE"""),"MaanyaC16")</f>
        <v>MaanyaC16</v>
      </c>
      <c r="C3032" s="8">
        <f>IFERROR(__xludf.DUMMYFUNCTION("""COMPUTED_VALUE"""),0.0)</f>
        <v>0</v>
      </c>
      <c r="D3032" s="8"/>
    </row>
    <row r="3033">
      <c r="A3033" s="9" t="str">
        <f>IFERROR(__xludf.DUMMYFUNCTION("""COMPUTED_VALUE"""),"Batch 216 ")</f>
        <v>Batch 216 </v>
      </c>
      <c r="B3033" s="9" t="str">
        <f>IFERROR(__xludf.DUMMYFUNCTION("""COMPUTED_VALUE"""),"RitikC16")</f>
        <v>RitikC16</v>
      </c>
      <c r="C3033" s="8">
        <f>IFERROR(__xludf.DUMMYFUNCTION("""COMPUTED_VALUE"""),0.0)</f>
        <v>0</v>
      </c>
      <c r="D3033" s="8"/>
    </row>
    <row r="3034">
      <c r="A3034" s="9" t="str">
        <f>IFERROR(__xludf.DUMMYFUNCTION("""COMPUTED_VALUE"""),"Batch 216 ")</f>
        <v>Batch 216 </v>
      </c>
      <c r="B3034" s="9" t="str">
        <f>IFERROR(__xludf.DUMMYFUNCTION("""COMPUTED_VALUE"""),"VC16")</f>
        <v>VC16</v>
      </c>
      <c r="C3034" s="8">
        <f>IFERROR(__xludf.DUMMYFUNCTION("""COMPUTED_VALUE"""),5.0)</f>
        <v>5</v>
      </c>
      <c r="D3034" s="8"/>
    </row>
    <row r="3035">
      <c r="A3035" s="9" t="str">
        <f>IFERROR(__xludf.DUMMYFUNCTION("""COMPUTED_VALUE"""),"Batch 216 ")</f>
        <v>Batch 216 </v>
      </c>
      <c r="B3035" s="9" t="str">
        <f>IFERROR(__xludf.DUMMYFUNCTION("""COMPUTED_VALUE"""),"PabusinghC16")</f>
        <v>PabusinghC16</v>
      </c>
      <c r="C3035" s="8">
        <f>IFERROR(__xludf.DUMMYFUNCTION("""COMPUTED_VALUE"""),0.0)</f>
        <v>0</v>
      </c>
      <c r="D3035" s="8"/>
    </row>
    <row r="3036">
      <c r="A3036" s="9" t="str">
        <f>IFERROR(__xludf.DUMMYFUNCTION("""COMPUTED_VALUE"""),"Batch 216 ")</f>
        <v>Batch 216 </v>
      </c>
      <c r="B3036" s="9" t="str">
        <f>IFERROR(__xludf.DUMMYFUNCTION("""COMPUTED_VALUE"""),"RishuC16")</f>
        <v>RishuC16</v>
      </c>
      <c r="C3036" s="8">
        <f>IFERROR(__xludf.DUMMYFUNCTION("""COMPUTED_VALUE"""),6.0)</f>
        <v>6</v>
      </c>
      <c r="D3036" s="8"/>
    </row>
    <row r="3037">
      <c r="A3037" s="9" t="str">
        <f>IFERROR(__xludf.DUMMYFUNCTION("""COMPUTED_VALUE"""),"Batch 216 ")</f>
        <v>Batch 216 </v>
      </c>
      <c r="B3037" s="9" t="str">
        <f>IFERROR(__xludf.DUMMYFUNCTION("""COMPUTED_VALUE"""),"AbhayC16")</f>
        <v>AbhayC16</v>
      </c>
      <c r="C3037" s="8">
        <f>IFERROR(__xludf.DUMMYFUNCTION("""COMPUTED_VALUE"""),5.0)</f>
        <v>5</v>
      </c>
      <c r="D3037" s="8">
        <f>IFERROR(__xludf.DUMMYFUNCTION("""COMPUTED_VALUE"""),2.0)</f>
        <v>2</v>
      </c>
    </row>
    <row r="3038">
      <c r="A3038" s="9" t="str">
        <f>IFERROR(__xludf.DUMMYFUNCTION("""COMPUTED_VALUE"""),"Batch 216 ")</f>
        <v>Batch 216 </v>
      </c>
      <c r="B3038" s="9" t="str">
        <f>IFERROR(__xludf.DUMMYFUNCTION("""COMPUTED_VALUE"""),"Sandhiya.SC16")</f>
        <v>Sandhiya.SC16</v>
      </c>
      <c r="C3038" s="8">
        <f>IFERROR(__xludf.DUMMYFUNCTION("""COMPUTED_VALUE"""),0.0)</f>
        <v>0</v>
      </c>
      <c r="D3038" s="8"/>
    </row>
    <row r="3039">
      <c r="A3039" s="9" t="str">
        <f>IFERROR(__xludf.DUMMYFUNCTION("""COMPUTED_VALUE"""),"Batch 216 ")</f>
        <v>Batch 216 </v>
      </c>
      <c r="B3039" s="9" t="str">
        <f>IFERROR(__xludf.DUMMYFUNCTION("""COMPUTED_VALUE"""),"KashishC16")</f>
        <v>KashishC16</v>
      </c>
      <c r="C3039" s="8">
        <f>IFERROR(__xludf.DUMMYFUNCTION("""COMPUTED_VALUE"""),0.0)</f>
        <v>0</v>
      </c>
      <c r="D3039" s="8"/>
    </row>
    <row r="3040">
      <c r="A3040" s="9" t="str">
        <f>IFERROR(__xludf.DUMMYFUNCTION("""COMPUTED_VALUE"""),"Batch 216 ")</f>
        <v>Batch 216 </v>
      </c>
      <c r="B3040" s="9" t="str">
        <f>IFERROR(__xludf.DUMMYFUNCTION("""COMPUTED_VALUE"""),"VasanthavelanC16")</f>
        <v>VasanthavelanC16</v>
      </c>
      <c r="C3040" s="8">
        <f>IFERROR(__xludf.DUMMYFUNCTION("""COMPUTED_VALUE"""),0.0)</f>
        <v>0</v>
      </c>
      <c r="D3040" s="8"/>
    </row>
    <row r="3041">
      <c r="A3041" s="9" t="str">
        <f>IFERROR(__xludf.DUMMYFUNCTION("""COMPUTED_VALUE"""),"Batch 216 ")</f>
        <v>Batch 216 </v>
      </c>
      <c r="B3041" s="9" t="str">
        <f>IFERROR(__xludf.DUMMYFUNCTION("""COMPUTED_VALUE"""),"PiyushguptaC16")</f>
        <v>PiyushguptaC16</v>
      </c>
      <c r="C3041" s="8">
        <f>IFERROR(__xludf.DUMMYFUNCTION("""COMPUTED_VALUE"""),0.0)</f>
        <v>0</v>
      </c>
      <c r="D3041" s="8"/>
    </row>
    <row r="3042">
      <c r="A3042" s="9" t="str">
        <f>IFERROR(__xludf.DUMMYFUNCTION("""COMPUTED_VALUE"""),"Batch 216 ")</f>
        <v>Batch 216 </v>
      </c>
      <c r="B3042" s="9" t="str">
        <f>IFERROR(__xludf.DUMMYFUNCTION("""COMPUTED_VALUE"""),"Subashini.BC16")</f>
        <v>Subashini.BC16</v>
      </c>
      <c r="C3042" s="8">
        <f>IFERROR(__xludf.DUMMYFUNCTION("""COMPUTED_VALUE"""),0.0)</f>
        <v>0</v>
      </c>
      <c r="D3042" s="8"/>
    </row>
    <row r="3043">
      <c r="A3043" s="9" t="str">
        <f>IFERROR(__xludf.DUMMYFUNCTION("""COMPUTED_VALUE"""),"Batch 216 ")</f>
        <v>Batch 216 </v>
      </c>
      <c r="B3043" s="9" t="str">
        <f>IFERROR(__xludf.DUMMYFUNCTION("""COMPUTED_VALUE"""),"AdityaC16")</f>
        <v>AdityaC16</v>
      </c>
      <c r="C3043" s="8">
        <f>IFERROR(__xludf.DUMMYFUNCTION("""COMPUTED_VALUE"""),0.0)</f>
        <v>0</v>
      </c>
      <c r="D3043" s="8"/>
    </row>
    <row r="3044">
      <c r="A3044" s="9" t="str">
        <f>IFERROR(__xludf.DUMMYFUNCTION("""COMPUTED_VALUE"""),"Batch 216 ")</f>
        <v>Batch 216 </v>
      </c>
      <c r="B3044" s="9" t="str">
        <f>IFERROR(__xludf.DUMMYFUNCTION("""COMPUTED_VALUE"""),"GaneshC16")</f>
        <v>GaneshC16</v>
      </c>
      <c r="C3044" s="8">
        <f>IFERROR(__xludf.DUMMYFUNCTION("""COMPUTED_VALUE"""),0.0)</f>
        <v>0</v>
      </c>
      <c r="D3044" s="8"/>
    </row>
    <row r="3045">
      <c r="A3045" s="9" t="str">
        <f>IFERROR(__xludf.DUMMYFUNCTION("""COMPUTED_VALUE"""),"Batch 216 ")</f>
        <v>Batch 216 </v>
      </c>
      <c r="B3045" s="9" t="str">
        <f>IFERROR(__xludf.DUMMYFUNCTION("""COMPUTED_VALUE"""),"ROYALC16")</f>
        <v>ROYALC16</v>
      </c>
      <c r="C3045" s="8">
        <f>IFERROR(__xludf.DUMMYFUNCTION("""COMPUTED_VALUE"""),0.0)</f>
        <v>0</v>
      </c>
      <c r="D3045" s="8"/>
    </row>
    <row r="3046">
      <c r="A3046" s="9" t="str">
        <f>IFERROR(__xludf.DUMMYFUNCTION("""COMPUTED_VALUE"""),"Batch 216 ")</f>
        <v>Batch 216 </v>
      </c>
      <c r="B3046" s="9" t="str">
        <f>IFERROR(__xludf.DUMMYFUNCTION("""COMPUTED_VALUE"""),"AfsanaC16")</f>
        <v>AfsanaC16</v>
      </c>
      <c r="C3046" s="8">
        <f>IFERROR(__xludf.DUMMYFUNCTION("""COMPUTED_VALUE"""),0.0)</f>
        <v>0</v>
      </c>
      <c r="D3046" s="8"/>
    </row>
    <row r="3047">
      <c r="A3047" s="9" t="str">
        <f>IFERROR(__xludf.DUMMYFUNCTION("""COMPUTED_VALUE"""),"Batch 216 ")</f>
        <v>Batch 216 </v>
      </c>
      <c r="B3047" s="9" t="str">
        <f>IFERROR(__xludf.DUMMYFUNCTION("""COMPUTED_VALUE"""),"VISHNUPRIYANC16")</f>
        <v>VISHNUPRIYANC16</v>
      </c>
      <c r="C3047" s="8">
        <f>IFERROR(__xludf.DUMMYFUNCTION("""COMPUTED_VALUE"""),0.0)</f>
        <v>0</v>
      </c>
      <c r="D3047" s="8"/>
    </row>
    <row r="3048">
      <c r="A3048" s="9" t="str">
        <f>IFERROR(__xludf.DUMMYFUNCTION("""COMPUTED_VALUE"""),"Batch 216 ")</f>
        <v>Batch 216 </v>
      </c>
      <c r="B3048" s="9" t="str">
        <f>IFERROR(__xludf.DUMMYFUNCTION("""COMPUTED_VALUE"""),"PushkarC16")</f>
        <v>PushkarC16</v>
      </c>
      <c r="C3048" s="8">
        <f>IFERROR(__xludf.DUMMYFUNCTION("""COMPUTED_VALUE"""),2.0)</f>
        <v>2</v>
      </c>
      <c r="D3048" s="8"/>
    </row>
    <row r="3049">
      <c r="A3049" s="9"/>
      <c r="B3049" s="9"/>
      <c r="C3049" s="8">
        <f>IFERROR(__xludf.DUMMYFUNCTION("""COMPUTED_VALUE"""),0.0)</f>
        <v>0</v>
      </c>
      <c r="D3049" s="8"/>
    </row>
    <row r="3050">
      <c r="A3050" s="9" t="str">
        <f>IFERROR(__xludf.DUMMYFUNCTION("""COMPUTED_VALUE"""),"Batch 217")</f>
        <v>Batch 217</v>
      </c>
      <c r="B3050" s="9" t="str">
        <f>IFERROR(__xludf.DUMMYFUNCTION("""COMPUTED_VALUE"""),"SangbartikaC17")</f>
        <v>SangbartikaC17</v>
      </c>
      <c r="C3050" s="8">
        <f>IFERROR(__xludf.DUMMYFUNCTION("""COMPUTED_VALUE"""),0.0)</f>
        <v>0</v>
      </c>
      <c r="D3050" s="8"/>
    </row>
    <row r="3051">
      <c r="A3051" s="9" t="str">
        <f>IFERROR(__xludf.DUMMYFUNCTION("""COMPUTED_VALUE"""),"Batch 217")</f>
        <v>Batch 217</v>
      </c>
      <c r="B3051" s="9" t="str">
        <f>IFERROR(__xludf.DUMMYFUNCTION("""COMPUTED_VALUE"""),"JyotiC17")</f>
        <v>JyotiC17</v>
      </c>
      <c r="C3051" s="8">
        <f>IFERROR(__xludf.DUMMYFUNCTION("""COMPUTED_VALUE"""),0.0)</f>
        <v>0</v>
      </c>
      <c r="D3051" s="8"/>
    </row>
    <row r="3052">
      <c r="A3052" s="9" t="str">
        <f>IFERROR(__xludf.DUMMYFUNCTION("""COMPUTED_VALUE"""),"Batch 217")</f>
        <v>Batch 217</v>
      </c>
      <c r="B3052" s="9" t="str">
        <f>IFERROR(__xludf.DUMMYFUNCTION("""COMPUTED_VALUE"""),"RaushanC17")</f>
        <v>RaushanC17</v>
      </c>
      <c r="C3052" s="8">
        <f>IFERROR(__xludf.DUMMYFUNCTION("""COMPUTED_VALUE"""),0.0)</f>
        <v>0</v>
      </c>
      <c r="D3052" s="8"/>
    </row>
    <row r="3053">
      <c r="A3053" s="9" t="str">
        <f>IFERROR(__xludf.DUMMYFUNCTION("""COMPUTED_VALUE"""),"Batch 217")</f>
        <v>Batch 217</v>
      </c>
      <c r="B3053" s="9" t="str">
        <f>IFERROR(__xludf.DUMMYFUNCTION("""COMPUTED_VALUE"""),"PrashantC17")</f>
        <v>PrashantC17</v>
      </c>
      <c r="C3053" s="8">
        <f>IFERROR(__xludf.DUMMYFUNCTION("""COMPUTED_VALUE"""),0.0)</f>
        <v>0</v>
      </c>
      <c r="D3053" s="8"/>
    </row>
    <row r="3054">
      <c r="A3054" s="9" t="str">
        <f>IFERROR(__xludf.DUMMYFUNCTION("""COMPUTED_VALUE"""),"Batch 217")</f>
        <v>Batch 217</v>
      </c>
      <c r="B3054" s="9" t="str">
        <f>IFERROR(__xludf.DUMMYFUNCTION("""COMPUTED_VALUE"""),"MithinC17")</f>
        <v>MithinC17</v>
      </c>
      <c r="C3054" s="8">
        <f>IFERROR(__xludf.DUMMYFUNCTION("""COMPUTED_VALUE"""),0.0)</f>
        <v>0</v>
      </c>
      <c r="D3054" s="8"/>
    </row>
    <row r="3055">
      <c r="A3055" s="9" t="str">
        <f>IFERROR(__xludf.DUMMYFUNCTION("""COMPUTED_VALUE"""),"Batch 217")</f>
        <v>Batch 217</v>
      </c>
      <c r="B3055" s="9" t="str">
        <f>IFERROR(__xludf.DUMMYFUNCTION("""COMPUTED_VALUE"""),"MohdC17")</f>
        <v>MohdC17</v>
      </c>
      <c r="C3055" s="8">
        <f>IFERROR(__xludf.DUMMYFUNCTION("""COMPUTED_VALUE"""),0.0)</f>
        <v>0</v>
      </c>
      <c r="D3055" s="8"/>
    </row>
    <row r="3056">
      <c r="A3056" s="9" t="str">
        <f>IFERROR(__xludf.DUMMYFUNCTION("""COMPUTED_VALUE"""),"Batch 217")</f>
        <v>Batch 217</v>
      </c>
      <c r="B3056" s="9" t="str">
        <f>IFERROR(__xludf.DUMMYFUNCTION("""COMPUTED_VALUE"""),"AyushC17")</f>
        <v>AyushC17</v>
      </c>
      <c r="C3056" s="8">
        <f>IFERROR(__xludf.DUMMYFUNCTION("""COMPUTED_VALUE"""),0.0)</f>
        <v>0</v>
      </c>
      <c r="D3056" s="8"/>
    </row>
    <row r="3057">
      <c r="A3057" s="9" t="str">
        <f>IFERROR(__xludf.DUMMYFUNCTION("""COMPUTED_VALUE"""),"Batch 217")</f>
        <v>Batch 217</v>
      </c>
      <c r="B3057" s="9" t="str">
        <f>IFERROR(__xludf.DUMMYFUNCTION("""COMPUTED_VALUE"""),"DipanjanC17")</f>
        <v>DipanjanC17</v>
      </c>
      <c r="C3057" s="8">
        <f>IFERROR(__xludf.DUMMYFUNCTION("""COMPUTED_VALUE"""),0.0)</f>
        <v>0</v>
      </c>
      <c r="D3057" s="8"/>
    </row>
    <row r="3058">
      <c r="A3058" s="9" t="str">
        <f>IFERROR(__xludf.DUMMYFUNCTION("""COMPUTED_VALUE"""),"Batch 217")</f>
        <v>Batch 217</v>
      </c>
      <c r="B3058" s="9" t="str">
        <f>IFERROR(__xludf.DUMMYFUNCTION("""COMPUTED_VALUE"""),"HarshitaC17")</f>
        <v>HarshitaC17</v>
      </c>
      <c r="C3058" s="8">
        <f>IFERROR(__xludf.DUMMYFUNCTION("""COMPUTED_VALUE"""),0.0)</f>
        <v>0</v>
      </c>
      <c r="D3058" s="8"/>
    </row>
    <row r="3059">
      <c r="A3059" s="9" t="str">
        <f>IFERROR(__xludf.DUMMYFUNCTION("""COMPUTED_VALUE"""),"Batch 217")</f>
        <v>Batch 217</v>
      </c>
      <c r="B3059" s="9" t="str">
        <f>IFERROR(__xludf.DUMMYFUNCTION("""COMPUTED_VALUE"""),"SuranjanC17")</f>
        <v>SuranjanC17</v>
      </c>
      <c r="C3059" s="8">
        <f>IFERROR(__xludf.DUMMYFUNCTION("""COMPUTED_VALUE"""),0.0)</f>
        <v>0</v>
      </c>
      <c r="D3059" s="8"/>
    </row>
    <row r="3060">
      <c r="A3060" s="9" t="str">
        <f>IFERROR(__xludf.DUMMYFUNCTION("""COMPUTED_VALUE"""),"Batch 217")</f>
        <v>Batch 217</v>
      </c>
      <c r="B3060" s="9" t="str">
        <f>IFERROR(__xludf.DUMMYFUNCTION("""COMPUTED_VALUE"""),"VINITC17")</f>
        <v>VINITC17</v>
      </c>
      <c r="C3060" s="8">
        <f>IFERROR(__xludf.DUMMYFUNCTION("""COMPUTED_VALUE"""),0.0)</f>
        <v>0</v>
      </c>
      <c r="D3060" s="8"/>
    </row>
    <row r="3061">
      <c r="A3061" s="9" t="str">
        <f>IFERROR(__xludf.DUMMYFUNCTION("""COMPUTED_VALUE"""),"Batch 217")</f>
        <v>Batch 217</v>
      </c>
      <c r="B3061" s="9" t="str">
        <f>IFERROR(__xludf.DUMMYFUNCTION("""COMPUTED_VALUE"""),"TejahussainC17")</f>
        <v>TejahussainC17</v>
      </c>
      <c r="C3061" s="8">
        <f>IFERROR(__xludf.DUMMYFUNCTION("""COMPUTED_VALUE"""),0.0)</f>
        <v>0</v>
      </c>
      <c r="D3061" s="8"/>
    </row>
    <row r="3062">
      <c r="A3062" s="9" t="str">
        <f>IFERROR(__xludf.DUMMYFUNCTION("""COMPUTED_VALUE"""),"Batch 217")</f>
        <v>Batch 217</v>
      </c>
      <c r="B3062" s="9" t="str">
        <f>IFERROR(__xludf.DUMMYFUNCTION("""COMPUTED_VALUE"""),"R.RochC17")</f>
        <v>R.RochC17</v>
      </c>
      <c r="C3062" s="8">
        <f>IFERROR(__xludf.DUMMYFUNCTION("""COMPUTED_VALUE"""),0.0)</f>
        <v>0</v>
      </c>
      <c r="D3062" s="8"/>
    </row>
    <row r="3063">
      <c r="A3063" s="9" t="str">
        <f>IFERROR(__xludf.DUMMYFUNCTION("""COMPUTED_VALUE"""),"Batch 217")</f>
        <v>Batch 217</v>
      </c>
      <c r="B3063" s="9" t="str">
        <f>IFERROR(__xludf.DUMMYFUNCTION("""COMPUTED_VALUE"""),"AnishaC17")</f>
        <v>AnishaC17</v>
      </c>
      <c r="C3063" s="8">
        <f>IFERROR(__xludf.DUMMYFUNCTION("""COMPUTED_VALUE"""),0.0)</f>
        <v>0</v>
      </c>
      <c r="D3063" s="8"/>
    </row>
    <row r="3064">
      <c r="A3064" s="9" t="str">
        <f>IFERROR(__xludf.DUMMYFUNCTION("""COMPUTED_VALUE"""),"Batch 217")</f>
        <v>Batch 217</v>
      </c>
      <c r="B3064" s="9" t="str">
        <f>IFERROR(__xludf.DUMMYFUNCTION("""COMPUTED_VALUE"""),"AnanyaC17")</f>
        <v>AnanyaC17</v>
      </c>
      <c r="C3064" s="8">
        <f>IFERROR(__xludf.DUMMYFUNCTION("""COMPUTED_VALUE"""),0.0)</f>
        <v>0</v>
      </c>
      <c r="D3064" s="8"/>
    </row>
    <row r="3065">
      <c r="A3065" s="9" t="str">
        <f>IFERROR(__xludf.DUMMYFUNCTION("""COMPUTED_VALUE"""),"Batch 217")</f>
        <v>Batch 217</v>
      </c>
      <c r="B3065" s="9" t="str">
        <f>IFERROR(__xludf.DUMMYFUNCTION("""COMPUTED_VALUE"""),"RohitC17")</f>
        <v>RohitC17</v>
      </c>
      <c r="C3065" s="8">
        <f>IFERROR(__xludf.DUMMYFUNCTION("""COMPUTED_VALUE"""),0.0)</f>
        <v>0</v>
      </c>
      <c r="D3065" s="8"/>
    </row>
    <row r="3066">
      <c r="A3066" s="9" t="str">
        <f>IFERROR(__xludf.DUMMYFUNCTION("""COMPUTED_VALUE"""),"Batch 217")</f>
        <v>Batch 217</v>
      </c>
      <c r="B3066" s="9" t="str">
        <f>IFERROR(__xludf.DUMMYFUNCTION("""COMPUTED_VALUE"""),"MohammadC17")</f>
        <v>MohammadC17</v>
      </c>
      <c r="C3066" s="8">
        <f>IFERROR(__xludf.DUMMYFUNCTION("""COMPUTED_VALUE"""),0.0)</f>
        <v>0</v>
      </c>
      <c r="D3066" s="8"/>
    </row>
    <row r="3067">
      <c r="A3067" s="9" t="str">
        <f>IFERROR(__xludf.DUMMYFUNCTION("""COMPUTED_VALUE"""),"Batch 217")</f>
        <v>Batch 217</v>
      </c>
      <c r="B3067" s="9" t="str">
        <f>IFERROR(__xludf.DUMMYFUNCTION("""COMPUTED_VALUE"""),"KarthickC17")</f>
        <v>KarthickC17</v>
      </c>
      <c r="C3067" s="8">
        <f>IFERROR(__xludf.DUMMYFUNCTION("""COMPUTED_VALUE"""),0.0)</f>
        <v>0</v>
      </c>
      <c r="D3067" s="8"/>
    </row>
    <row r="3068">
      <c r="A3068" s="9" t="str">
        <f>IFERROR(__xludf.DUMMYFUNCTION("""COMPUTED_VALUE"""),"Batch 217")</f>
        <v>Batch 217</v>
      </c>
      <c r="B3068" s="9" t="str">
        <f>IFERROR(__xludf.DUMMYFUNCTION("""COMPUTED_VALUE"""),"SamruddhiC17")</f>
        <v>SamruddhiC17</v>
      </c>
      <c r="C3068" s="8">
        <f>IFERROR(__xludf.DUMMYFUNCTION("""COMPUTED_VALUE"""),0.0)</f>
        <v>0</v>
      </c>
      <c r="D3068" s="8"/>
    </row>
    <row r="3069">
      <c r="A3069" s="9" t="str">
        <f>IFERROR(__xludf.DUMMYFUNCTION("""COMPUTED_VALUE"""),"Batch 217")</f>
        <v>Batch 217</v>
      </c>
      <c r="B3069" s="9" t="str">
        <f>IFERROR(__xludf.DUMMYFUNCTION("""COMPUTED_VALUE"""),"EsakkidassC17")</f>
        <v>EsakkidassC17</v>
      </c>
      <c r="C3069" s="8">
        <f>IFERROR(__xludf.DUMMYFUNCTION("""COMPUTED_VALUE"""),2.0)</f>
        <v>2</v>
      </c>
      <c r="D3069" s="8"/>
    </row>
    <row r="3070">
      <c r="A3070" s="9" t="str">
        <f>IFERROR(__xludf.DUMMYFUNCTION("""COMPUTED_VALUE"""),"Batch 217")</f>
        <v>Batch 217</v>
      </c>
      <c r="B3070" s="9" t="str">
        <f>IFERROR(__xludf.DUMMYFUNCTION("""COMPUTED_VALUE"""),"NidhiC17")</f>
        <v>NidhiC17</v>
      </c>
      <c r="C3070" s="8">
        <f>IFERROR(__xludf.DUMMYFUNCTION("""COMPUTED_VALUE"""),0.0)</f>
        <v>0</v>
      </c>
      <c r="D3070" s="8"/>
    </row>
    <row r="3071">
      <c r="A3071" s="9" t="str">
        <f>IFERROR(__xludf.DUMMYFUNCTION("""COMPUTED_VALUE"""),"Batch 217")</f>
        <v>Batch 217</v>
      </c>
      <c r="B3071" s="9" t="str">
        <f>IFERROR(__xludf.DUMMYFUNCTION("""COMPUTED_VALUE"""),"HimanshuC17")</f>
        <v>HimanshuC17</v>
      </c>
      <c r="C3071" s="8">
        <f>IFERROR(__xludf.DUMMYFUNCTION("""COMPUTED_VALUE"""),0.0)</f>
        <v>0</v>
      </c>
      <c r="D3071" s="8"/>
    </row>
    <row r="3072">
      <c r="A3072" s="9" t="str">
        <f>IFERROR(__xludf.DUMMYFUNCTION("""COMPUTED_VALUE"""),"Batch 217")</f>
        <v>Batch 217</v>
      </c>
      <c r="B3072" s="9" t="str">
        <f>IFERROR(__xludf.DUMMYFUNCTION("""COMPUTED_VALUE"""),"AaratiC17")</f>
        <v>AaratiC17</v>
      </c>
      <c r="C3072" s="8">
        <f>IFERROR(__xludf.DUMMYFUNCTION("""COMPUTED_VALUE"""),0.0)</f>
        <v>0</v>
      </c>
      <c r="D3072" s="8"/>
    </row>
    <row r="3073">
      <c r="A3073" s="9" t="str">
        <f>IFERROR(__xludf.DUMMYFUNCTION("""COMPUTED_VALUE"""),"Batch 217")</f>
        <v>Batch 217</v>
      </c>
      <c r="B3073" s="9" t="str">
        <f>IFERROR(__xludf.DUMMYFUNCTION("""COMPUTED_VALUE"""),"suhailC17")</f>
        <v>suhailC17</v>
      </c>
      <c r="C3073" s="8">
        <f>IFERROR(__xludf.DUMMYFUNCTION("""COMPUTED_VALUE"""),0.0)</f>
        <v>0</v>
      </c>
      <c r="D3073" s="8"/>
    </row>
    <row r="3074">
      <c r="A3074" s="9" t="str">
        <f>IFERROR(__xludf.DUMMYFUNCTION("""COMPUTED_VALUE"""),"Batch 217")</f>
        <v>Batch 217</v>
      </c>
      <c r="B3074" s="9" t="str">
        <f>IFERROR(__xludf.DUMMYFUNCTION("""COMPUTED_VALUE"""),"AnkitC17")</f>
        <v>AnkitC17</v>
      </c>
      <c r="C3074" s="8">
        <f>IFERROR(__xludf.DUMMYFUNCTION("""COMPUTED_VALUE"""),0.0)</f>
        <v>0</v>
      </c>
      <c r="D3074" s="8">
        <f>IFERROR(__xludf.DUMMYFUNCTION("""COMPUTED_VALUE"""),1.0)</f>
        <v>1</v>
      </c>
    </row>
    <row r="3075">
      <c r="A3075" s="9" t="str">
        <f>IFERROR(__xludf.DUMMYFUNCTION("""COMPUTED_VALUE"""),"Batch 217")</f>
        <v>Batch 217</v>
      </c>
      <c r="B3075" s="9" t="str">
        <f>IFERROR(__xludf.DUMMYFUNCTION("""COMPUTED_VALUE"""),"GauravC17")</f>
        <v>GauravC17</v>
      </c>
      <c r="C3075" s="8">
        <f>IFERROR(__xludf.DUMMYFUNCTION("""COMPUTED_VALUE"""),0.0)</f>
        <v>0</v>
      </c>
      <c r="D3075" s="8"/>
    </row>
    <row r="3076">
      <c r="A3076" s="9" t="str">
        <f>IFERROR(__xludf.DUMMYFUNCTION("""COMPUTED_VALUE"""),"Batch 217")</f>
        <v>Batch 217</v>
      </c>
      <c r="B3076" s="9" t="str">
        <f>IFERROR(__xludf.DUMMYFUNCTION("""COMPUTED_VALUE"""),"ShruthiC17")</f>
        <v>ShruthiC17</v>
      </c>
      <c r="C3076" s="8">
        <f>IFERROR(__xludf.DUMMYFUNCTION("""COMPUTED_VALUE"""),0.0)</f>
        <v>0</v>
      </c>
      <c r="D3076" s="8"/>
    </row>
    <row r="3077">
      <c r="A3077" s="9" t="str">
        <f>IFERROR(__xludf.DUMMYFUNCTION("""COMPUTED_VALUE"""),"Batch 217")</f>
        <v>Batch 217</v>
      </c>
      <c r="B3077" s="9" t="str">
        <f>IFERROR(__xludf.DUMMYFUNCTION("""COMPUTED_VALUE"""),"LokeshC17")</f>
        <v>LokeshC17</v>
      </c>
      <c r="C3077" s="8">
        <f>IFERROR(__xludf.DUMMYFUNCTION("""COMPUTED_VALUE"""),1.0)</f>
        <v>1</v>
      </c>
      <c r="D3077" s="8"/>
    </row>
    <row r="3078">
      <c r="A3078" s="9" t="str">
        <f>IFERROR(__xludf.DUMMYFUNCTION("""COMPUTED_VALUE"""),"Batch 217")</f>
        <v>Batch 217</v>
      </c>
      <c r="B3078" s="9" t="str">
        <f>IFERROR(__xludf.DUMMYFUNCTION("""COMPUTED_VALUE"""),"BhavnaC17")</f>
        <v>BhavnaC17</v>
      </c>
      <c r="C3078" s="8">
        <f>IFERROR(__xludf.DUMMYFUNCTION("""COMPUTED_VALUE"""),0.0)</f>
        <v>0</v>
      </c>
      <c r="D3078" s="8"/>
    </row>
    <row r="3079">
      <c r="A3079" s="9" t="str">
        <f>IFERROR(__xludf.DUMMYFUNCTION("""COMPUTED_VALUE"""),"Batch 217")</f>
        <v>Batch 217</v>
      </c>
      <c r="B3079" s="9" t="str">
        <f>IFERROR(__xludf.DUMMYFUNCTION("""COMPUTED_VALUE"""),"KhushiC17")</f>
        <v>KhushiC17</v>
      </c>
      <c r="C3079" s="8">
        <f>IFERROR(__xludf.DUMMYFUNCTION("""COMPUTED_VALUE"""),0.0)</f>
        <v>0</v>
      </c>
      <c r="D3079" s="8"/>
    </row>
    <row r="3080">
      <c r="A3080" s="9" t="str">
        <f>IFERROR(__xludf.DUMMYFUNCTION("""COMPUTED_VALUE"""),"Batch 217")</f>
        <v>Batch 217</v>
      </c>
      <c r="B3080" s="9" t="str">
        <f>IFERROR(__xludf.DUMMYFUNCTION("""COMPUTED_VALUE"""),"AnikethC17")</f>
        <v>AnikethC17</v>
      </c>
      <c r="C3080" s="8">
        <f>IFERROR(__xludf.DUMMYFUNCTION("""COMPUTED_VALUE"""),0.0)</f>
        <v>0</v>
      </c>
      <c r="D3080" s="8"/>
    </row>
    <row r="3081">
      <c r="A3081" s="9" t="str">
        <f>IFERROR(__xludf.DUMMYFUNCTION("""COMPUTED_VALUE"""),"Batch 217")</f>
        <v>Batch 217</v>
      </c>
      <c r="B3081" s="9" t="str">
        <f>IFERROR(__xludf.DUMMYFUNCTION("""COMPUTED_VALUE"""),"GarvC17")</f>
        <v>GarvC17</v>
      </c>
      <c r="C3081" s="8">
        <f>IFERROR(__xludf.DUMMYFUNCTION("""COMPUTED_VALUE"""),0.0)</f>
        <v>0</v>
      </c>
      <c r="D3081" s="8"/>
    </row>
    <row r="3082">
      <c r="A3082" s="9" t="str">
        <f>IFERROR(__xludf.DUMMYFUNCTION("""COMPUTED_VALUE"""),"Batch 217")</f>
        <v>Batch 217</v>
      </c>
      <c r="B3082" s="9" t="str">
        <f>IFERROR(__xludf.DUMMYFUNCTION("""COMPUTED_VALUE"""),"AmalC17")</f>
        <v>AmalC17</v>
      </c>
      <c r="C3082" s="8">
        <f>IFERROR(__xludf.DUMMYFUNCTION("""COMPUTED_VALUE"""),0.0)</f>
        <v>0</v>
      </c>
      <c r="D3082" s="8"/>
    </row>
    <row r="3083">
      <c r="A3083" s="9" t="str">
        <f>IFERROR(__xludf.DUMMYFUNCTION("""COMPUTED_VALUE"""),"Batch 217")</f>
        <v>Batch 217</v>
      </c>
      <c r="B3083" s="9" t="str">
        <f>IFERROR(__xludf.DUMMYFUNCTION("""COMPUTED_VALUE"""),"AMANC17")</f>
        <v>AMANC17</v>
      </c>
      <c r="C3083" s="8">
        <f>IFERROR(__xludf.DUMMYFUNCTION("""COMPUTED_VALUE"""),0.0)</f>
        <v>0</v>
      </c>
      <c r="D3083" s="8"/>
    </row>
    <row r="3084">
      <c r="A3084" s="9" t="str">
        <f>IFERROR(__xludf.DUMMYFUNCTION("""COMPUTED_VALUE"""),"Batch 217")</f>
        <v>Batch 217</v>
      </c>
      <c r="B3084" s="9" t="str">
        <f>IFERROR(__xludf.DUMMYFUNCTION("""COMPUTED_VALUE"""),"ZiniaC17")</f>
        <v>ZiniaC17</v>
      </c>
      <c r="C3084" s="8">
        <f>IFERROR(__xludf.DUMMYFUNCTION("""COMPUTED_VALUE"""),0.0)</f>
        <v>0</v>
      </c>
      <c r="D3084" s="8"/>
    </row>
    <row r="3085">
      <c r="A3085" s="9" t="str">
        <f>IFERROR(__xludf.DUMMYFUNCTION("""COMPUTED_VALUE"""),"Batch 217")</f>
        <v>Batch 217</v>
      </c>
      <c r="B3085" s="9" t="str">
        <f>IFERROR(__xludf.DUMMYFUNCTION("""COMPUTED_VALUE"""),"KarthikkumarC17")</f>
        <v>KarthikkumarC17</v>
      </c>
      <c r="C3085" s="8">
        <f>IFERROR(__xludf.DUMMYFUNCTION("""COMPUTED_VALUE"""),2.0)</f>
        <v>2</v>
      </c>
      <c r="D3085" s="8"/>
    </row>
    <row r="3086">
      <c r="A3086" s="9" t="str">
        <f>IFERROR(__xludf.DUMMYFUNCTION("""COMPUTED_VALUE"""),"Batch 217")</f>
        <v>Batch 217</v>
      </c>
      <c r="B3086" s="9" t="str">
        <f>IFERROR(__xludf.DUMMYFUNCTION("""COMPUTED_VALUE"""),"GarimaC17")</f>
        <v>GarimaC17</v>
      </c>
      <c r="C3086" s="8">
        <f>IFERROR(__xludf.DUMMYFUNCTION("""COMPUTED_VALUE"""),0.0)</f>
        <v>0</v>
      </c>
      <c r="D3086" s="8"/>
    </row>
    <row r="3087">
      <c r="A3087" s="9" t="str">
        <f>IFERROR(__xludf.DUMMYFUNCTION("""COMPUTED_VALUE"""),"Batch 217")</f>
        <v>Batch 217</v>
      </c>
      <c r="B3087" s="9" t="str">
        <f>IFERROR(__xludf.DUMMYFUNCTION("""COMPUTED_VALUE"""),"NareshC17")</f>
        <v>NareshC17</v>
      </c>
      <c r="C3087" s="8">
        <f>IFERROR(__xludf.DUMMYFUNCTION("""COMPUTED_VALUE"""),0.0)</f>
        <v>0</v>
      </c>
      <c r="D3087" s="8"/>
    </row>
    <row r="3088">
      <c r="A3088" s="9" t="str">
        <f>IFERROR(__xludf.DUMMYFUNCTION("""COMPUTED_VALUE"""),"Batch 217")</f>
        <v>Batch 217</v>
      </c>
      <c r="B3088" s="9" t="str">
        <f>IFERROR(__xludf.DUMMYFUNCTION("""COMPUTED_VALUE"""),"KrishnaC17")</f>
        <v>KrishnaC17</v>
      </c>
      <c r="C3088" s="8">
        <f>IFERROR(__xludf.DUMMYFUNCTION("""COMPUTED_VALUE"""),0.0)</f>
        <v>0</v>
      </c>
      <c r="D3088" s="8"/>
    </row>
    <row r="3089">
      <c r="A3089" s="9" t="str">
        <f>IFERROR(__xludf.DUMMYFUNCTION("""COMPUTED_VALUE"""),"Batch 217")</f>
        <v>Batch 217</v>
      </c>
      <c r="B3089" s="9" t="str">
        <f>IFERROR(__xludf.DUMMYFUNCTION("""COMPUTED_VALUE"""),"RishuC17")</f>
        <v>RishuC17</v>
      </c>
      <c r="C3089" s="8">
        <f>IFERROR(__xludf.DUMMYFUNCTION("""COMPUTED_VALUE"""),0.0)</f>
        <v>0</v>
      </c>
      <c r="D3089" s="8"/>
    </row>
    <row r="3090">
      <c r="A3090" s="9" t="str">
        <f>IFERROR(__xludf.DUMMYFUNCTION("""COMPUTED_VALUE"""),"Batch 217")</f>
        <v>Batch 217</v>
      </c>
      <c r="B3090" s="9" t="str">
        <f>IFERROR(__xludf.DUMMYFUNCTION("""COMPUTED_VALUE"""),"NakshC17")</f>
        <v>NakshC17</v>
      </c>
      <c r="C3090" s="8">
        <f>IFERROR(__xludf.DUMMYFUNCTION("""COMPUTED_VALUE"""),0.0)</f>
        <v>0</v>
      </c>
      <c r="D3090" s="8"/>
    </row>
    <row r="3091">
      <c r="A3091" s="9" t="str">
        <f>IFERROR(__xludf.DUMMYFUNCTION("""COMPUTED_VALUE"""),"Batch 217")</f>
        <v>Batch 217</v>
      </c>
      <c r="B3091" s="9" t="str">
        <f>IFERROR(__xludf.DUMMYFUNCTION("""COMPUTED_VALUE"""),"NidhiC17")</f>
        <v>NidhiC17</v>
      </c>
      <c r="C3091" s="8">
        <f>IFERROR(__xludf.DUMMYFUNCTION("""COMPUTED_VALUE"""),0.0)</f>
        <v>0</v>
      </c>
      <c r="D3091" s="8"/>
    </row>
    <row r="3092">
      <c r="A3092" s="9" t="str">
        <f>IFERROR(__xludf.DUMMYFUNCTION("""COMPUTED_VALUE"""),"Batch 217")</f>
        <v>Batch 217</v>
      </c>
      <c r="B3092" s="9" t="str">
        <f>IFERROR(__xludf.DUMMYFUNCTION("""COMPUTED_VALUE"""),"JiaC17")</f>
        <v>JiaC17</v>
      </c>
      <c r="C3092" s="8">
        <f>IFERROR(__xludf.DUMMYFUNCTION("""COMPUTED_VALUE"""),4.0)</f>
        <v>4</v>
      </c>
      <c r="D3092" s="8"/>
    </row>
    <row r="3093">
      <c r="A3093" s="9" t="str">
        <f>IFERROR(__xludf.DUMMYFUNCTION("""COMPUTED_VALUE"""),"Batch 217")</f>
        <v>Batch 217</v>
      </c>
      <c r="B3093" s="9" t="str">
        <f>IFERROR(__xludf.DUMMYFUNCTION("""COMPUTED_VALUE"""),"MadhusreeC17")</f>
        <v>MadhusreeC17</v>
      </c>
      <c r="C3093" s="8">
        <f>IFERROR(__xludf.DUMMYFUNCTION("""COMPUTED_VALUE"""),0.0)</f>
        <v>0</v>
      </c>
      <c r="D3093" s="8"/>
    </row>
    <row r="3094">
      <c r="A3094" s="9" t="str">
        <f>IFERROR(__xludf.DUMMYFUNCTION("""COMPUTED_VALUE"""),"Batch 217")</f>
        <v>Batch 217</v>
      </c>
      <c r="B3094" s="9" t="str">
        <f>IFERROR(__xludf.DUMMYFUNCTION("""COMPUTED_VALUE"""),"ArpitC17")</f>
        <v>ArpitC17</v>
      </c>
      <c r="C3094" s="8">
        <f>IFERROR(__xludf.DUMMYFUNCTION("""COMPUTED_VALUE"""),0.0)</f>
        <v>0</v>
      </c>
      <c r="D3094" s="8"/>
    </row>
    <row r="3095">
      <c r="A3095" s="9" t="str">
        <f>IFERROR(__xludf.DUMMYFUNCTION("""COMPUTED_VALUE"""),"Batch 217")</f>
        <v>Batch 217</v>
      </c>
      <c r="B3095" s="9" t="str">
        <f>IFERROR(__xludf.DUMMYFUNCTION("""COMPUTED_VALUE"""),"MeghaC17")</f>
        <v>MeghaC17</v>
      </c>
      <c r="C3095" s="8">
        <f>IFERROR(__xludf.DUMMYFUNCTION("""COMPUTED_VALUE"""),0.0)</f>
        <v>0</v>
      </c>
      <c r="D3095" s="8"/>
    </row>
    <row r="3096">
      <c r="A3096" s="9" t="str">
        <f>IFERROR(__xludf.DUMMYFUNCTION("""COMPUTED_VALUE"""),"Batch 217")</f>
        <v>Batch 217</v>
      </c>
      <c r="B3096" s="9" t="str">
        <f>IFERROR(__xludf.DUMMYFUNCTION("""COMPUTED_VALUE"""),"AnantC17")</f>
        <v>AnantC17</v>
      </c>
      <c r="C3096" s="8">
        <f>IFERROR(__xludf.DUMMYFUNCTION("""COMPUTED_VALUE"""),0.0)</f>
        <v>0</v>
      </c>
      <c r="D3096" s="8"/>
    </row>
    <row r="3097">
      <c r="A3097" s="9" t="str">
        <f>IFERROR(__xludf.DUMMYFUNCTION("""COMPUTED_VALUE"""),"Batch 217")</f>
        <v>Batch 217</v>
      </c>
      <c r="B3097" s="9" t="str">
        <f>IFERROR(__xludf.DUMMYFUNCTION("""COMPUTED_VALUE"""),"SaurabhC17")</f>
        <v>SaurabhC17</v>
      </c>
      <c r="C3097" s="8">
        <f>IFERROR(__xludf.DUMMYFUNCTION("""COMPUTED_VALUE"""),0.0)</f>
        <v>0</v>
      </c>
      <c r="D3097" s="8"/>
    </row>
    <row r="3098">
      <c r="A3098" s="9" t="str">
        <f>IFERROR(__xludf.DUMMYFUNCTION("""COMPUTED_VALUE"""),"Batch 217")</f>
        <v>Batch 217</v>
      </c>
      <c r="B3098" s="9" t="str">
        <f>IFERROR(__xludf.DUMMYFUNCTION("""COMPUTED_VALUE"""),"ShivamC17")</f>
        <v>ShivamC17</v>
      </c>
      <c r="C3098" s="8">
        <f>IFERROR(__xludf.DUMMYFUNCTION("""COMPUTED_VALUE"""),9.0)</f>
        <v>9</v>
      </c>
      <c r="D3098" s="8"/>
    </row>
    <row r="3099">
      <c r="A3099" s="9" t="str">
        <f>IFERROR(__xludf.DUMMYFUNCTION("""COMPUTED_VALUE"""),"Batch 217")</f>
        <v>Batch 217</v>
      </c>
      <c r="B3099" s="9" t="str">
        <f>IFERROR(__xludf.DUMMYFUNCTION("""COMPUTED_VALUE"""),"SharwariC17")</f>
        <v>SharwariC17</v>
      </c>
      <c r="C3099" s="8">
        <f>IFERROR(__xludf.DUMMYFUNCTION("""COMPUTED_VALUE"""),0.0)</f>
        <v>0</v>
      </c>
      <c r="D3099" s="8"/>
    </row>
    <row r="3100">
      <c r="A3100" s="9" t="str">
        <f>IFERROR(__xludf.DUMMYFUNCTION("""COMPUTED_VALUE"""),"Batch 217")</f>
        <v>Batch 217</v>
      </c>
      <c r="B3100" s="9" t="str">
        <f>IFERROR(__xludf.DUMMYFUNCTION("""COMPUTED_VALUE"""),"RupaliC17")</f>
        <v>RupaliC17</v>
      </c>
      <c r="C3100" s="8">
        <f>IFERROR(__xludf.DUMMYFUNCTION("""COMPUTED_VALUE"""),0.0)</f>
        <v>0</v>
      </c>
      <c r="D3100" s="8"/>
    </row>
    <row r="3101">
      <c r="A3101" s="9" t="str">
        <f>IFERROR(__xludf.DUMMYFUNCTION("""COMPUTED_VALUE"""),"Batch 217")</f>
        <v>Batch 217</v>
      </c>
      <c r="B3101" s="9" t="str">
        <f>IFERROR(__xludf.DUMMYFUNCTION("""COMPUTED_VALUE"""),"SudiptaC17")</f>
        <v>SudiptaC17</v>
      </c>
      <c r="C3101" s="8">
        <f>IFERROR(__xludf.DUMMYFUNCTION("""COMPUTED_VALUE"""),0.0)</f>
        <v>0</v>
      </c>
      <c r="D3101" s="8"/>
    </row>
    <row r="3102">
      <c r="A3102" s="9" t="str">
        <f>IFERROR(__xludf.DUMMYFUNCTION("""COMPUTED_VALUE"""),"Batch 217")</f>
        <v>Batch 217</v>
      </c>
      <c r="B3102" s="9" t="str">
        <f>IFERROR(__xludf.DUMMYFUNCTION("""COMPUTED_VALUE"""),"TanyaC17")</f>
        <v>TanyaC17</v>
      </c>
      <c r="C3102" s="8">
        <f>IFERROR(__xludf.DUMMYFUNCTION("""COMPUTED_VALUE"""),0.0)</f>
        <v>0</v>
      </c>
      <c r="D3102" s="8">
        <f>IFERROR(__xludf.DUMMYFUNCTION("""COMPUTED_VALUE"""),1.0)</f>
        <v>1</v>
      </c>
    </row>
    <row r="3103">
      <c r="A3103" s="9" t="str">
        <f>IFERROR(__xludf.DUMMYFUNCTION("""COMPUTED_VALUE"""),"Batch 217")</f>
        <v>Batch 217</v>
      </c>
      <c r="B3103" s="9" t="str">
        <f>IFERROR(__xludf.DUMMYFUNCTION("""COMPUTED_VALUE"""),"SampadC17")</f>
        <v>SampadC17</v>
      </c>
      <c r="C3103" s="8">
        <f>IFERROR(__xludf.DUMMYFUNCTION("""COMPUTED_VALUE"""),4.0)</f>
        <v>4</v>
      </c>
      <c r="D3103" s="8">
        <f>IFERROR(__xludf.DUMMYFUNCTION("""COMPUTED_VALUE"""),1.0)</f>
        <v>1</v>
      </c>
    </row>
    <row r="3104">
      <c r="A3104" s="9" t="str">
        <f>IFERROR(__xludf.DUMMYFUNCTION("""COMPUTED_VALUE"""),"Batch 217")</f>
        <v>Batch 217</v>
      </c>
      <c r="B3104" s="9" t="str">
        <f>IFERROR(__xludf.DUMMYFUNCTION("""COMPUTED_VALUE"""),"MehvishC17")</f>
        <v>MehvishC17</v>
      </c>
      <c r="C3104" s="8">
        <f>IFERROR(__xludf.DUMMYFUNCTION("""COMPUTED_VALUE"""),0.0)</f>
        <v>0</v>
      </c>
      <c r="D3104" s="8"/>
    </row>
    <row r="3105">
      <c r="A3105" s="9" t="str">
        <f>IFERROR(__xludf.DUMMYFUNCTION("""COMPUTED_VALUE"""),"Batch 217")</f>
        <v>Batch 217</v>
      </c>
      <c r="B3105" s="9" t="str">
        <f>IFERROR(__xludf.DUMMYFUNCTION("""COMPUTED_VALUE"""),"VaishnaviC17")</f>
        <v>VaishnaviC17</v>
      </c>
      <c r="C3105" s="8">
        <f>IFERROR(__xludf.DUMMYFUNCTION("""COMPUTED_VALUE"""),0.0)</f>
        <v>0</v>
      </c>
      <c r="D3105" s="8"/>
    </row>
    <row r="3106">
      <c r="A3106" s="9" t="str">
        <f>IFERROR(__xludf.DUMMYFUNCTION("""COMPUTED_VALUE"""),"Batch 217")</f>
        <v>Batch 217</v>
      </c>
      <c r="B3106" s="9" t="str">
        <f>IFERROR(__xludf.DUMMYFUNCTION("""COMPUTED_VALUE"""),"RahulC17")</f>
        <v>RahulC17</v>
      </c>
      <c r="C3106" s="8">
        <f>IFERROR(__xludf.DUMMYFUNCTION("""COMPUTED_VALUE"""),0.0)</f>
        <v>0</v>
      </c>
      <c r="D3106" s="8"/>
    </row>
    <row r="3107">
      <c r="A3107" s="9" t="str">
        <f>IFERROR(__xludf.DUMMYFUNCTION("""COMPUTED_VALUE"""),"Batch 217")</f>
        <v>Batch 217</v>
      </c>
      <c r="B3107" s="9" t="str">
        <f>IFERROR(__xludf.DUMMYFUNCTION("""COMPUTED_VALUE"""),"AnanyaC17")</f>
        <v>AnanyaC17</v>
      </c>
      <c r="C3107" s="8">
        <f>IFERROR(__xludf.DUMMYFUNCTION("""COMPUTED_VALUE"""),0.0)</f>
        <v>0</v>
      </c>
      <c r="D3107" s="8"/>
    </row>
    <row r="3108">
      <c r="A3108" s="9" t="str">
        <f>IFERROR(__xludf.DUMMYFUNCTION("""COMPUTED_VALUE"""),"Batch 217")</f>
        <v>Batch 217</v>
      </c>
      <c r="B3108" s="9" t="str">
        <f>IFERROR(__xludf.DUMMYFUNCTION("""COMPUTED_VALUE"""),"InderjeetC17")</f>
        <v>InderjeetC17</v>
      </c>
      <c r="C3108" s="8">
        <f>IFERROR(__xludf.DUMMYFUNCTION("""COMPUTED_VALUE"""),0.0)</f>
        <v>0</v>
      </c>
      <c r="D3108" s="8"/>
    </row>
    <row r="3109">
      <c r="A3109" s="9" t="str">
        <f>IFERROR(__xludf.DUMMYFUNCTION("""COMPUTED_VALUE"""),"Batch 217")</f>
        <v>Batch 217</v>
      </c>
      <c r="B3109" s="9" t="str">
        <f>IFERROR(__xludf.DUMMYFUNCTION("""COMPUTED_VALUE"""),"ThajibaC17")</f>
        <v>ThajibaC17</v>
      </c>
      <c r="C3109" s="8">
        <f>IFERROR(__xludf.DUMMYFUNCTION("""COMPUTED_VALUE"""),4.0)</f>
        <v>4</v>
      </c>
      <c r="D3109" s="8"/>
    </row>
    <row r="3110">
      <c r="A3110" s="9" t="str">
        <f>IFERROR(__xludf.DUMMYFUNCTION("""COMPUTED_VALUE"""),"Batch 217")</f>
        <v>Batch 217</v>
      </c>
      <c r="B3110" s="9" t="str">
        <f>IFERROR(__xludf.DUMMYFUNCTION("""COMPUTED_VALUE"""),"DroniC17")</f>
        <v>DroniC17</v>
      </c>
      <c r="C3110" s="8">
        <f>IFERROR(__xludf.DUMMYFUNCTION("""COMPUTED_VALUE"""),0.0)</f>
        <v>0</v>
      </c>
      <c r="D3110" s="8"/>
    </row>
    <row r="3111">
      <c r="A3111" s="9" t="str">
        <f>IFERROR(__xludf.DUMMYFUNCTION("""COMPUTED_VALUE"""),"Batch 217")</f>
        <v>Batch 217</v>
      </c>
      <c r="B3111" s="9" t="str">
        <f>IFERROR(__xludf.DUMMYFUNCTION("""COMPUTED_VALUE"""),"AnushkaMC17")</f>
        <v>AnushkaMC17</v>
      </c>
      <c r="C3111" s="8">
        <f>IFERROR(__xludf.DUMMYFUNCTION("""COMPUTED_VALUE"""),0.0)</f>
        <v>0</v>
      </c>
      <c r="D3111" s="8"/>
    </row>
    <row r="3112">
      <c r="A3112" s="9" t="str">
        <f>IFERROR(__xludf.DUMMYFUNCTION("""COMPUTED_VALUE"""),"Batch 217")</f>
        <v>Batch 217</v>
      </c>
      <c r="B3112" s="9" t="str">
        <f>IFERROR(__xludf.DUMMYFUNCTION("""COMPUTED_VALUE"""),"AbhishekC17")</f>
        <v>AbhishekC17</v>
      </c>
      <c r="C3112" s="8">
        <f>IFERROR(__xludf.DUMMYFUNCTION("""COMPUTED_VALUE"""),0.0)</f>
        <v>0</v>
      </c>
      <c r="D3112" s="8"/>
    </row>
    <row r="3113">
      <c r="A3113" s="9" t="str">
        <f>IFERROR(__xludf.DUMMYFUNCTION("""COMPUTED_VALUE"""),"Batch 217")</f>
        <v>Batch 217</v>
      </c>
      <c r="B3113" s="9" t="str">
        <f>IFERROR(__xludf.DUMMYFUNCTION("""COMPUTED_VALUE"""),"PaylC17")</f>
        <v>PaylC17</v>
      </c>
      <c r="C3113" s="8">
        <f>IFERROR(__xludf.DUMMYFUNCTION("""COMPUTED_VALUE"""),0.0)</f>
        <v>0</v>
      </c>
      <c r="D3113" s="8"/>
    </row>
    <row r="3114">
      <c r="A3114" s="9" t="str">
        <f>IFERROR(__xludf.DUMMYFUNCTION("""COMPUTED_VALUE"""),"Batch 217")</f>
        <v>Batch 217</v>
      </c>
      <c r="B3114" s="9" t="str">
        <f>IFERROR(__xludf.DUMMYFUNCTION("""COMPUTED_VALUE"""),"ParkhiC17")</f>
        <v>ParkhiC17</v>
      </c>
      <c r="C3114" s="8">
        <f>IFERROR(__xludf.DUMMYFUNCTION("""COMPUTED_VALUE"""),0.0)</f>
        <v>0</v>
      </c>
      <c r="D3114" s="8"/>
    </row>
    <row r="3115">
      <c r="A3115" s="9" t="str">
        <f>IFERROR(__xludf.DUMMYFUNCTION("""COMPUTED_VALUE"""),"Batch 217")</f>
        <v>Batch 217</v>
      </c>
      <c r="B3115" s="9" t="str">
        <f>IFERROR(__xludf.DUMMYFUNCTION("""COMPUTED_VALUE"""),"ShubhamC17")</f>
        <v>ShubhamC17</v>
      </c>
      <c r="C3115" s="8">
        <f>IFERROR(__xludf.DUMMYFUNCTION("""COMPUTED_VALUE"""),0.0)</f>
        <v>0</v>
      </c>
      <c r="D3115" s="8"/>
    </row>
    <row r="3116">
      <c r="A3116" s="9" t="str">
        <f>IFERROR(__xludf.DUMMYFUNCTION("""COMPUTED_VALUE"""),"Batch 217")</f>
        <v>Batch 217</v>
      </c>
      <c r="B3116" s="9" t="str">
        <f>IFERROR(__xludf.DUMMYFUNCTION("""COMPUTED_VALUE"""),"AbhinavC17")</f>
        <v>AbhinavC17</v>
      </c>
      <c r="C3116" s="8">
        <f>IFERROR(__xludf.DUMMYFUNCTION("""COMPUTED_VALUE"""),0.0)</f>
        <v>0</v>
      </c>
      <c r="D3116" s="8"/>
    </row>
    <row r="3117">
      <c r="A3117" s="9" t="str">
        <f>IFERROR(__xludf.DUMMYFUNCTION("""COMPUTED_VALUE"""),"Batch 217")</f>
        <v>Batch 217</v>
      </c>
      <c r="B3117" s="9" t="str">
        <f>IFERROR(__xludf.DUMMYFUNCTION("""COMPUTED_VALUE"""),"SatyamC17")</f>
        <v>SatyamC17</v>
      </c>
      <c r="C3117" s="8">
        <f>IFERROR(__xludf.DUMMYFUNCTION("""COMPUTED_VALUE"""),0.0)</f>
        <v>0</v>
      </c>
      <c r="D3117" s="8"/>
    </row>
    <row r="3118">
      <c r="A3118" s="9" t="str">
        <f>IFERROR(__xludf.DUMMYFUNCTION("""COMPUTED_VALUE"""),"Batch 217")</f>
        <v>Batch 217</v>
      </c>
      <c r="B3118" s="9" t="str">
        <f>IFERROR(__xludf.DUMMYFUNCTION("""COMPUTED_VALUE"""),"NishantC17")</f>
        <v>NishantC17</v>
      </c>
      <c r="C3118" s="8">
        <f>IFERROR(__xludf.DUMMYFUNCTION("""COMPUTED_VALUE"""),0.0)</f>
        <v>0</v>
      </c>
      <c r="D3118" s="8"/>
    </row>
    <row r="3119">
      <c r="A3119" s="9" t="str">
        <f>IFERROR(__xludf.DUMMYFUNCTION("""COMPUTED_VALUE"""),"Batch 217")</f>
        <v>Batch 217</v>
      </c>
      <c r="B3119" s="9" t="str">
        <f>IFERROR(__xludf.DUMMYFUNCTION("""COMPUTED_VALUE"""),"GelliC17")</f>
        <v>GelliC17</v>
      </c>
      <c r="C3119" s="8">
        <f>IFERROR(__xludf.DUMMYFUNCTION("""COMPUTED_VALUE"""),0.0)</f>
        <v>0</v>
      </c>
      <c r="D3119" s="8"/>
    </row>
    <row r="3120">
      <c r="A3120" s="9" t="str">
        <f>IFERROR(__xludf.DUMMYFUNCTION("""COMPUTED_VALUE"""),"Batch 217")</f>
        <v>Batch 217</v>
      </c>
      <c r="B3120" s="9" t="str">
        <f>IFERROR(__xludf.DUMMYFUNCTION("""COMPUTED_VALUE"""),"SucharitaC17")</f>
        <v>SucharitaC17</v>
      </c>
      <c r="C3120" s="8">
        <f>IFERROR(__xludf.DUMMYFUNCTION("""COMPUTED_VALUE"""),0.0)</f>
        <v>0</v>
      </c>
      <c r="D3120" s="8"/>
    </row>
    <row r="3121">
      <c r="A3121" s="9" t="str">
        <f>IFERROR(__xludf.DUMMYFUNCTION("""COMPUTED_VALUE"""),"Batch 217")</f>
        <v>Batch 217</v>
      </c>
      <c r="B3121" s="9" t="str">
        <f>IFERROR(__xludf.DUMMYFUNCTION("""COMPUTED_VALUE"""),"BadalaC17")</f>
        <v>BadalaC17</v>
      </c>
      <c r="C3121" s="8">
        <f>IFERROR(__xludf.DUMMYFUNCTION("""COMPUTED_VALUE"""),0.0)</f>
        <v>0</v>
      </c>
      <c r="D3121" s="8"/>
    </row>
    <row r="3122">
      <c r="A3122" s="9" t="str">
        <f>IFERROR(__xludf.DUMMYFUNCTION("""COMPUTED_VALUE"""),"Batch 217")</f>
        <v>Batch 217</v>
      </c>
      <c r="B3122" s="9" t="str">
        <f>IFERROR(__xludf.DUMMYFUNCTION("""COMPUTED_VALUE"""),"KhushbuC17")</f>
        <v>KhushbuC17</v>
      </c>
      <c r="C3122" s="8">
        <f>IFERROR(__xludf.DUMMYFUNCTION("""COMPUTED_VALUE"""),0.0)</f>
        <v>0</v>
      </c>
      <c r="D3122" s="8"/>
    </row>
    <row r="3123">
      <c r="A3123" s="9" t="str">
        <f>IFERROR(__xludf.DUMMYFUNCTION("""COMPUTED_VALUE"""),"Batch 217")</f>
        <v>Batch 217</v>
      </c>
      <c r="B3123" s="9" t="str">
        <f>IFERROR(__xludf.DUMMYFUNCTION("""COMPUTED_VALUE"""),"PiyushC17")</f>
        <v>PiyushC17</v>
      </c>
      <c r="C3123" s="8">
        <f>IFERROR(__xludf.DUMMYFUNCTION("""COMPUTED_VALUE"""),0.0)</f>
        <v>0</v>
      </c>
      <c r="D3123" s="8"/>
    </row>
    <row r="3124">
      <c r="A3124" s="9" t="str">
        <f>IFERROR(__xludf.DUMMYFUNCTION("""COMPUTED_VALUE"""),"Batch 217")</f>
        <v>Batch 217</v>
      </c>
      <c r="B3124" s="9" t="str">
        <f>IFERROR(__xludf.DUMMYFUNCTION("""COMPUTED_VALUE"""),"KashishC17")</f>
        <v>KashishC17</v>
      </c>
      <c r="C3124" s="8">
        <f>IFERROR(__xludf.DUMMYFUNCTION("""COMPUTED_VALUE"""),0.0)</f>
        <v>0</v>
      </c>
      <c r="D3124" s="8"/>
    </row>
    <row r="3125">
      <c r="A3125" s="9" t="str">
        <f>IFERROR(__xludf.DUMMYFUNCTION("""COMPUTED_VALUE"""),"Batch 217")</f>
        <v>Batch 217</v>
      </c>
      <c r="B3125" s="9" t="str">
        <f>IFERROR(__xludf.DUMMYFUNCTION("""COMPUTED_VALUE"""),"ChayanC17")</f>
        <v>ChayanC17</v>
      </c>
      <c r="C3125" s="8">
        <f>IFERROR(__xludf.DUMMYFUNCTION("""COMPUTED_VALUE"""),0.0)</f>
        <v>0</v>
      </c>
      <c r="D3125" s="8"/>
    </row>
    <row r="3126">
      <c r="A3126" s="9" t="str">
        <f>IFERROR(__xludf.DUMMYFUNCTION("""COMPUTED_VALUE"""),"Batch 217")</f>
        <v>Batch 217</v>
      </c>
      <c r="B3126" s="9" t="str">
        <f>IFERROR(__xludf.DUMMYFUNCTION("""COMPUTED_VALUE"""),"GauravC17")</f>
        <v>GauravC17</v>
      </c>
      <c r="C3126" s="8">
        <f>IFERROR(__xludf.DUMMYFUNCTION("""COMPUTED_VALUE"""),0.0)</f>
        <v>0</v>
      </c>
      <c r="D3126" s="8"/>
    </row>
    <row r="3127">
      <c r="A3127" s="9" t="str">
        <f>IFERROR(__xludf.DUMMYFUNCTION("""COMPUTED_VALUE"""),"Batch 217")</f>
        <v>Batch 217</v>
      </c>
      <c r="B3127" s="9" t="str">
        <f>IFERROR(__xludf.DUMMYFUNCTION("""COMPUTED_VALUE"""),"AfsheenC17")</f>
        <v>AfsheenC17</v>
      </c>
      <c r="C3127" s="8">
        <f>IFERROR(__xludf.DUMMYFUNCTION("""COMPUTED_VALUE"""),0.0)</f>
        <v>0</v>
      </c>
      <c r="D3127" s="8"/>
    </row>
    <row r="3128">
      <c r="A3128" s="9" t="str">
        <f>IFERROR(__xludf.DUMMYFUNCTION("""COMPUTED_VALUE"""),"Batch 217")</f>
        <v>Batch 217</v>
      </c>
      <c r="B3128" s="9" t="str">
        <f>IFERROR(__xludf.DUMMYFUNCTION("""COMPUTED_VALUE"""),"ZaraC17")</f>
        <v>ZaraC17</v>
      </c>
      <c r="C3128" s="8">
        <f>IFERROR(__xludf.DUMMYFUNCTION("""COMPUTED_VALUE"""),0.0)</f>
        <v>0</v>
      </c>
      <c r="D3128" s="8"/>
    </row>
    <row r="3129">
      <c r="A3129" s="9" t="str">
        <f>IFERROR(__xludf.DUMMYFUNCTION("""COMPUTED_VALUE"""),"Batch 217")</f>
        <v>Batch 217</v>
      </c>
      <c r="B3129" s="9" t="str">
        <f>IFERROR(__xludf.DUMMYFUNCTION("""COMPUTED_VALUE"""),"ArchanaC17")</f>
        <v>ArchanaC17</v>
      </c>
      <c r="C3129" s="8">
        <f>IFERROR(__xludf.DUMMYFUNCTION("""COMPUTED_VALUE"""),0.0)</f>
        <v>0</v>
      </c>
      <c r="D3129" s="8"/>
    </row>
    <row r="3130">
      <c r="A3130" s="9" t="str">
        <f>IFERROR(__xludf.DUMMYFUNCTION("""COMPUTED_VALUE"""),"Batch 217")</f>
        <v>Batch 217</v>
      </c>
      <c r="B3130" s="9" t="str">
        <f>IFERROR(__xludf.DUMMYFUNCTION("""COMPUTED_VALUE"""),"AdityaC17")</f>
        <v>AdityaC17</v>
      </c>
      <c r="C3130" s="8">
        <f>IFERROR(__xludf.DUMMYFUNCTION("""COMPUTED_VALUE"""),0.0)</f>
        <v>0</v>
      </c>
      <c r="D3130" s="8"/>
    </row>
    <row r="3131">
      <c r="A3131" s="9" t="str">
        <f>IFERROR(__xludf.DUMMYFUNCTION("""COMPUTED_VALUE"""),"Batch 217")</f>
        <v>Batch 217</v>
      </c>
      <c r="B3131" s="9" t="str">
        <f>IFERROR(__xludf.DUMMYFUNCTION("""COMPUTED_VALUE"""),"SindhuC17")</f>
        <v>SindhuC17</v>
      </c>
      <c r="C3131" s="8">
        <f>IFERROR(__xludf.DUMMYFUNCTION("""COMPUTED_VALUE"""),0.0)</f>
        <v>0</v>
      </c>
      <c r="D3131" s="8"/>
    </row>
    <row r="3132">
      <c r="A3132" s="9" t="str">
        <f>IFERROR(__xludf.DUMMYFUNCTION("""COMPUTED_VALUE"""),"Batch 217")</f>
        <v>Batch 217</v>
      </c>
      <c r="B3132" s="9" t="str">
        <f>IFERROR(__xludf.DUMMYFUNCTION("""COMPUTED_VALUE"""),"ShivamC17")</f>
        <v>ShivamC17</v>
      </c>
      <c r="C3132" s="8">
        <f>IFERROR(__xludf.DUMMYFUNCTION("""COMPUTED_VALUE"""),0.0)</f>
        <v>0</v>
      </c>
      <c r="D3132" s="8"/>
    </row>
    <row r="3133">
      <c r="A3133" s="9" t="str">
        <f>IFERROR(__xludf.DUMMYFUNCTION("""COMPUTED_VALUE"""),"Batch 217")</f>
        <v>Batch 217</v>
      </c>
      <c r="B3133" s="9" t="str">
        <f>IFERROR(__xludf.DUMMYFUNCTION("""COMPUTED_VALUE"""),"EktaC17")</f>
        <v>EktaC17</v>
      </c>
      <c r="C3133" s="8">
        <f>IFERROR(__xludf.DUMMYFUNCTION("""COMPUTED_VALUE"""),0.0)</f>
        <v>0</v>
      </c>
      <c r="D3133" s="8"/>
    </row>
    <row r="3134">
      <c r="A3134" s="9" t="str">
        <f>IFERROR(__xludf.DUMMYFUNCTION("""COMPUTED_VALUE"""),"Batch 217")</f>
        <v>Batch 217</v>
      </c>
      <c r="B3134" s="9" t="str">
        <f>IFERROR(__xludf.DUMMYFUNCTION("""COMPUTED_VALUE"""),"PreamC17")</f>
        <v>PreamC17</v>
      </c>
      <c r="C3134" s="8">
        <f>IFERROR(__xludf.DUMMYFUNCTION("""COMPUTED_VALUE"""),1.0)</f>
        <v>1</v>
      </c>
      <c r="D3134" s="8"/>
    </row>
    <row r="3135">
      <c r="A3135" s="9" t="str">
        <f>IFERROR(__xludf.DUMMYFUNCTION("""COMPUTED_VALUE"""),"Batch 217")</f>
        <v>Batch 217</v>
      </c>
      <c r="B3135" s="9" t="str">
        <f>IFERROR(__xludf.DUMMYFUNCTION("""COMPUTED_VALUE"""),"PushpendraC17")</f>
        <v>PushpendraC17</v>
      </c>
      <c r="C3135" s="8">
        <f>IFERROR(__xludf.DUMMYFUNCTION("""COMPUTED_VALUE"""),0.0)</f>
        <v>0</v>
      </c>
      <c r="D3135" s="8"/>
    </row>
    <row r="3136">
      <c r="A3136" s="9" t="str">
        <f>IFERROR(__xludf.DUMMYFUNCTION("""COMPUTED_VALUE"""),"Batch 217")</f>
        <v>Batch 217</v>
      </c>
      <c r="B3136" s="9" t="str">
        <f>IFERROR(__xludf.DUMMYFUNCTION("""COMPUTED_VALUE"""),"YeshalC17")</f>
        <v>YeshalC17</v>
      </c>
      <c r="C3136" s="8">
        <f>IFERROR(__xludf.DUMMYFUNCTION("""COMPUTED_VALUE"""),0.0)</f>
        <v>0</v>
      </c>
      <c r="D3136" s="8"/>
    </row>
    <row r="3137">
      <c r="A3137" s="9" t="str">
        <f>IFERROR(__xludf.DUMMYFUNCTION("""COMPUTED_VALUE"""),"Batch 217")</f>
        <v>Batch 217</v>
      </c>
      <c r="B3137" s="9" t="str">
        <f>IFERROR(__xludf.DUMMYFUNCTION("""COMPUTED_VALUE"""),"DEVC17")</f>
        <v>DEVC17</v>
      </c>
      <c r="C3137" s="8">
        <f>IFERROR(__xludf.DUMMYFUNCTION("""COMPUTED_VALUE"""),0.0)</f>
        <v>0</v>
      </c>
      <c r="D3137" s="8"/>
    </row>
    <row r="3138">
      <c r="A3138" s="9" t="str">
        <f>IFERROR(__xludf.DUMMYFUNCTION("""COMPUTED_VALUE"""),"Batch 217")</f>
        <v>Batch 217</v>
      </c>
      <c r="B3138" s="9" t="str">
        <f>IFERROR(__xludf.DUMMYFUNCTION("""COMPUTED_VALUE"""),"SiyaC17")</f>
        <v>SiyaC17</v>
      </c>
      <c r="C3138" s="8">
        <f>IFERROR(__xludf.DUMMYFUNCTION("""COMPUTED_VALUE"""),1.0)</f>
        <v>1</v>
      </c>
      <c r="D3138" s="8"/>
    </row>
    <row r="3139">
      <c r="A3139" s="9" t="str">
        <f>IFERROR(__xludf.DUMMYFUNCTION("""COMPUTED_VALUE"""),"Batch 217")</f>
        <v>Batch 217</v>
      </c>
      <c r="B3139" s="9" t="str">
        <f>IFERROR(__xludf.DUMMYFUNCTION("""COMPUTED_VALUE"""),"KoppisettiC17")</f>
        <v>KoppisettiC17</v>
      </c>
      <c r="C3139" s="8">
        <f>IFERROR(__xludf.DUMMYFUNCTION("""COMPUTED_VALUE"""),0.0)</f>
        <v>0</v>
      </c>
      <c r="D3139" s="8"/>
    </row>
    <row r="3140">
      <c r="A3140" s="9" t="str">
        <f>IFERROR(__xludf.DUMMYFUNCTION("""COMPUTED_VALUE"""),"Batch 217")</f>
        <v>Batch 217</v>
      </c>
      <c r="B3140" s="9" t="str">
        <f>IFERROR(__xludf.DUMMYFUNCTION("""COMPUTED_VALUE"""),"G.AnanciattaC17")</f>
        <v>G.AnanciattaC17</v>
      </c>
      <c r="C3140" s="8">
        <f>IFERROR(__xludf.DUMMYFUNCTION("""COMPUTED_VALUE"""),0.0)</f>
        <v>0</v>
      </c>
      <c r="D3140" s="8"/>
    </row>
    <row r="3141">
      <c r="A3141" s="9" t="str">
        <f>IFERROR(__xludf.DUMMYFUNCTION("""COMPUTED_VALUE"""),"Batch 217")</f>
        <v>Batch 217</v>
      </c>
      <c r="B3141" s="9" t="str">
        <f>IFERROR(__xludf.DUMMYFUNCTION("""COMPUTED_VALUE"""),"vaneshC17")</f>
        <v>vaneshC17</v>
      </c>
      <c r="C3141" s="8">
        <f>IFERROR(__xludf.DUMMYFUNCTION("""COMPUTED_VALUE"""),0.0)</f>
        <v>0</v>
      </c>
      <c r="D3141" s="8"/>
    </row>
    <row r="3142">
      <c r="A3142" s="9"/>
      <c r="B3142" s="9"/>
      <c r="C3142" s="8">
        <f>IFERROR(__xludf.DUMMYFUNCTION("""COMPUTED_VALUE"""),0.0)</f>
        <v>0</v>
      </c>
      <c r="D3142" s="8"/>
    </row>
    <row r="3143">
      <c r="A3143" s="9" t="str">
        <f>IFERROR(__xludf.DUMMYFUNCTION("""COMPUTED_VALUE"""),"Batch 218")</f>
        <v>Batch 218</v>
      </c>
      <c r="B3143" s="9" t="str">
        <f>IFERROR(__xludf.DUMMYFUNCTION("""COMPUTED_VALUE"""),"NikhilC18")</f>
        <v>NikhilC18</v>
      </c>
      <c r="C3143" s="8">
        <f>IFERROR(__xludf.DUMMYFUNCTION("""COMPUTED_VALUE"""),0.0)</f>
        <v>0</v>
      </c>
      <c r="D3143" s="8"/>
    </row>
    <row r="3144">
      <c r="A3144" s="9" t="str">
        <f>IFERROR(__xludf.DUMMYFUNCTION("""COMPUTED_VALUE"""),"Batch 218")</f>
        <v>Batch 218</v>
      </c>
      <c r="B3144" s="9" t="str">
        <f>IFERROR(__xludf.DUMMYFUNCTION("""COMPUTED_VALUE"""),"MohdC18")</f>
        <v>MohdC18</v>
      </c>
      <c r="C3144" s="8">
        <f>IFERROR(__xludf.DUMMYFUNCTION("""COMPUTED_VALUE"""),2.0)</f>
        <v>2</v>
      </c>
      <c r="D3144" s="8">
        <f>IFERROR(__xludf.DUMMYFUNCTION("""COMPUTED_VALUE"""),8.0)</f>
        <v>8</v>
      </c>
    </row>
    <row r="3145">
      <c r="A3145" s="9" t="str">
        <f>IFERROR(__xludf.DUMMYFUNCTION("""COMPUTED_VALUE"""),"Batch 218")</f>
        <v>Batch 218</v>
      </c>
      <c r="B3145" s="9" t="str">
        <f>IFERROR(__xludf.DUMMYFUNCTION("""COMPUTED_VALUE"""),"VaibhavC18")</f>
        <v>VaibhavC18</v>
      </c>
      <c r="C3145" s="8">
        <f>IFERROR(__xludf.DUMMYFUNCTION("""COMPUTED_VALUE"""),0.0)</f>
        <v>0</v>
      </c>
      <c r="D3145" s="8"/>
    </row>
    <row r="3146">
      <c r="A3146" s="9" t="str">
        <f>IFERROR(__xludf.DUMMYFUNCTION("""COMPUTED_VALUE"""),"Batch 218")</f>
        <v>Batch 218</v>
      </c>
      <c r="B3146" s="9" t="str">
        <f>IFERROR(__xludf.DUMMYFUNCTION("""COMPUTED_VALUE"""),"RuhamahC18")</f>
        <v>RuhamahC18</v>
      </c>
      <c r="C3146" s="8">
        <f>IFERROR(__xludf.DUMMYFUNCTION("""COMPUTED_VALUE"""),0.0)</f>
        <v>0</v>
      </c>
      <c r="D3146" s="8"/>
    </row>
    <row r="3147">
      <c r="A3147" s="9" t="str">
        <f>IFERROR(__xludf.DUMMYFUNCTION("""COMPUTED_VALUE"""),"Batch 218")</f>
        <v>Batch 218</v>
      </c>
      <c r="B3147" s="9" t="str">
        <f>IFERROR(__xludf.DUMMYFUNCTION("""COMPUTED_VALUE"""),"BadalaC18")</f>
        <v>BadalaC18</v>
      </c>
      <c r="C3147" s="8">
        <f>IFERROR(__xludf.DUMMYFUNCTION("""COMPUTED_VALUE"""),0.0)</f>
        <v>0</v>
      </c>
      <c r="D3147" s="8"/>
    </row>
    <row r="3148">
      <c r="A3148" s="9" t="str">
        <f>IFERROR(__xludf.DUMMYFUNCTION("""COMPUTED_VALUE"""),"Batch 218")</f>
        <v>Batch 218</v>
      </c>
      <c r="B3148" s="9" t="str">
        <f>IFERROR(__xludf.DUMMYFUNCTION("""COMPUTED_VALUE"""),"ShresthaC18")</f>
        <v>ShresthaC18</v>
      </c>
      <c r="C3148" s="8">
        <f>IFERROR(__xludf.DUMMYFUNCTION("""COMPUTED_VALUE"""),0.0)</f>
        <v>0</v>
      </c>
      <c r="D3148" s="8"/>
    </row>
    <row r="3149">
      <c r="A3149" s="9" t="str">
        <f>IFERROR(__xludf.DUMMYFUNCTION("""COMPUTED_VALUE"""),"Batch 218")</f>
        <v>Batch 218</v>
      </c>
      <c r="B3149" s="9" t="str">
        <f>IFERROR(__xludf.DUMMYFUNCTION("""COMPUTED_VALUE"""),"HooriaC18")</f>
        <v>HooriaC18</v>
      </c>
      <c r="C3149" s="8">
        <f>IFERROR(__xludf.DUMMYFUNCTION("""COMPUTED_VALUE"""),0.0)</f>
        <v>0</v>
      </c>
      <c r="D3149" s="8"/>
    </row>
    <row r="3150">
      <c r="A3150" s="9" t="str">
        <f>IFERROR(__xludf.DUMMYFUNCTION("""COMPUTED_VALUE"""),"Batch 218")</f>
        <v>Batch 218</v>
      </c>
      <c r="B3150" s="9" t="str">
        <f>IFERROR(__xludf.DUMMYFUNCTION("""COMPUTED_VALUE"""),"AbhishekC18")</f>
        <v>AbhishekC18</v>
      </c>
      <c r="C3150" s="8">
        <f>IFERROR(__xludf.DUMMYFUNCTION("""COMPUTED_VALUE"""),0.0)</f>
        <v>0</v>
      </c>
      <c r="D3150" s="8"/>
    </row>
    <row r="3151">
      <c r="A3151" s="9" t="str">
        <f>IFERROR(__xludf.DUMMYFUNCTION("""COMPUTED_VALUE"""),"Batch 218")</f>
        <v>Batch 218</v>
      </c>
      <c r="B3151" s="9" t="str">
        <f>IFERROR(__xludf.DUMMYFUNCTION("""COMPUTED_VALUE"""),"SukhiC18")</f>
        <v>SukhiC18</v>
      </c>
      <c r="C3151" s="8">
        <f>IFERROR(__xludf.DUMMYFUNCTION("""COMPUTED_VALUE"""),0.0)</f>
        <v>0</v>
      </c>
      <c r="D3151" s="8"/>
    </row>
    <row r="3152">
      <c r="A3152" s="9" t="str">
        <f>IFERROR(__xludf.DUMMYFUNCTION("""COMPUTED_VALUE"""),"Batch 218")</f>
        <v>Batch 218</v>
      </c>
      <c r="B3152" s="9" t="str">
        <f>IFERROR(__xludf.DUMMYFUNCTION("""COMPUTED_VALUE"""),"M.MuniyarajC18")</f>
        <v>M.MuniyarajC18</v>
      </c>
      <c r="C3152" s="8">
        <f>IFERROR(__xludf.DUMMYFUNCTION("""COMPUTED_VALUE"""),0.0)</f>
        <v>0</v>
      </c>
      <c r="D3152" s="8"/>
    </row>
    <row r="3153">
      <c r="A3153" s="9" t="str">
        <f>IFERROR(__xludf.DUMMYFUNCTION("""COMPUTED_VALUE"""),"Batch 218")</f>
        <v>Batch 218</v>
      </c>
      <c r="B3153" s="9" t="str">
        <f>IFERROR(__xludf.DUMMYFUNCTION("""COMPUTED_VALUE"""),"AkashC18")</f>
        <v>AkashC18</v>
      </c>
      <c r="C3153" s="8">
        <f>IFERROR(__xludf.DUMMYFUNCTION("""COMPUTED_VALUE"""),0.0)</f>
        <v>0</v>
      </c>
      <c r="D3153" s="8"/>
    </row>
    <row r="3154">
      <c r="A3154" s="9" t="str">
        <f>IFERROR(__xludf.DUMMYFUNCTION("""COMPUTED_VALUE"""),"Batch 218")</f>
        <v>Batch 218</v>
      </c>
      <c r="B3154" s="9" t="str">
        <f>IFERROR(__xludf.DUMMYFUNCTION("""COMPUTED_VALUE"""),"AniketC18")</f>
        <v>AniketC18</v>
      </c>
      <c r="C3154" s="8">
        <f>IFERROR(__xludf.DUMMYFUNCTION("""COMPUTED_VALUE"""),0.0)</f>
        <v>0</v>
      </c>
      <c r="D3154" s="8"/>
    </row>
    <row r="3155">
      <c r="A3155" s="9" t="str">
        <f>IFERROR(__xludf.DUMMYFUNCTION("""COMPUTED_VALUE"""),"Batch 218")</f>
        <v>Batch 218</v>
      </c>
      <c r="B3155" s="9" t="str">
        <f>IFERROR(__xludf.DUMMYFUNCTION("""COMPUTED_VALUE"""),"PromaC18")</f>
        <v>PromaC18</v>
      </c>
      <c r="C3155" s="8">
        <f>IFERROR(__xludf.DUMMYFUNCTION("""COMPUTED_VALUE"""),0.0)</f>
        <v>0</v>
      </c>
      <c r="D3155" s="8"/>
    </row>
    <row r="3156">
      <c r="A3156" s="9" t="str">
        <f>IFERROR(__xludf.DUMMYFUNCTION("""COMPUTED_VALUE"""),"Batch 218")</f>
        <v>Batch 218</v>
      </c>
      <c r="B3156" s="9" t="str">
        <f>IFERROR(__xludf.DUMMYFUNCTION("""COMPUTED_VALUE"""),"RanshuC18")</f>
        <v>RanshuC18</v>
      </c>
      <c r="C3156" s="8">
        <f>IFERROR(__xludf.DUMMYFUNCTION("""COMPUTED_VALUE"""),0.0)</f>
        <v>0</v>
      </c>
      <c r="D3156" s="8"/>
    </row>
    <row r="3157">
      <c r="A3157" s="9" t="str">
        <f>IFERROR(__xludf.DUMMYFUNCTION("""COMPUTED_VALUE"""),"Batch 218")</f>
        <v>Batch 218</v>
      </c>
      <c r="B3157" s="9" t="str">
        <f>IFERROR(__xludf.DUMMYFUNCTION("""COMPUTED_VALUE"""),"SugaliC18")</f>
        <v>SugaliC18</v>
      </c>
      <c r="C3157" s="8">
        <f>IFERROR(__xludf.DUMMYFUNCTION("""COMPUTED_VALUE"""),0.0)</f>
        <v>0</v>
      </c>
      <c r="D3157" s="8"/>
    </row>
    <row r="3158">
      <c r="A3158" s="9" t="str">
        <f>IFERROR(__xludf.DUMMYFUNCTION("""COMPUTED_VALUE"""),"Batch 218")</f>
        <v>Batch 218</v>
      </c>
      <c r="B3158" s="9" t="str">
        <f>IFERROR(__xludf.DUMMYFUNCTION("""COMPUTED_VALUE"""),"VenumadhavC18")</f>
        <v>VenumadhavC18</v>
      </c>
      <c r="C3158" s="8">
        <f>IFERROR(__xludf.DUMMYFUNCTION("""COMPUTED_VALUE"""),1.0)</f>
        <v>1</v>
      </c>
      <c r="D3158" s="8"/>
    </row>
    <row r="3159">
      <c r="A3159" s="9" t="str">
        <f>IFERROR(__xludf.DUMMYFUNCTION("""COMPUTED_VALUE"""),"Batch 218")</f>
        <v>Batch 218</v>
      </c>
      <c r="B3159" s="9" t="str">
        <f>IFERROR(__xludf.DUMMYFUNCTION("""COMPUTED_VALUE"""),"RitabrataC18")</f>
        <v>RitabrataC18</v>
      </c>
      <c r="C3159" s="8">
        <f>IFERROR(__xludf.DUMMYFUNCTION("""COMPUTED_VALUE"""),0.0)</f>
        <v>0</v>
      </c>
      <c r="D3159" s="8">
        <f>IFERROR(__xludf.DUMMYFUNCTION("""COMPUTED_VALUE"""),1.0)</f>
        <v>1</v>
      </c>
    </row>
    <row r="3160">
      <c r="A3160" s="9" t="str">
        <f>IFERROR(__xludf.DUMMYFUNCTION("""COMPUTED_VALUE"""),"Batch 218")</f>
        <v>Batch 218</v>
      </c>
      <c r="B3160" s="9" t="str">
        <f>IFERROR(__xludf.DUMMYFUNCTION("""COMPUTED_VALUE"""),"AarushiC18")</f>
        <v>AarushiC18</v>
      </c>
      <c r="C3160" s="8">
        <f>IFERROR(__xludf.DUMMYFUNCTION("""COMPUTED_VALUE"""),0.0)</f>
        <v>0</v>
      </c>
      <c r="D3160" s="8"/>
    </row>
    <row r="3161">
      <c r="A3161" s="9" t="str">
        <f>IFERROR(__xludf.DUMMYFUNCTION("""COMPUTED_VALUE"""),"Batch 218")</f>
        <v>Batch 218</v>
      </c>
      <c r="B3161" s="9" t="str">
        <f>IFERROR(__xludf.DUMMYFUNCTION("""COMPUTED_VALUE"""),"MayureshC18")</f>
        <v>MayureshC18</v>
      </c>
      <c r="C3161" s="8">
        <f>IFERROR(__xludf.DUMMYFUNCTION("""COMPUTED_VALUE"""),0.0)</f>
        <v>0</v>
      </c>
      <c r="D3161" s="8"/>
    </row>
    <row r="3162">
      <c r="A3162" s="9" t="str">
        <f>IFERROR(__xludf.DUMMYFUNCTION("""COMPUTED_VALUE"""),"Batch 218")</f>
        <v>Batch 218</v>
      </c>
      <c r="B3162" s="9" t="str">
        <f>IFERROR(__xludf.DUMMYFUNCTION("""COMPUTED_VALUE"""),"FalguniC18")</f>
        <v>FalguniC18</v>
      </c>
      <c r="C3162" s="8">
        <f>IFERROR(__xludf.DUMMYFUNCTION("""COMPUTED_VALUE"""),0.0)</f>
        <v>0</v>
      </c>
      <c r="D3162" s="8"/>
    </row>
    <row r="3163">
      <c r="A3163" s="9" t="str">
        <f>IFERROR(__xludf.DUMMYFUNCTION("""COMPUTED_VALUE"""),"Batch 218")</f>
        <v>Batch 218</v>
      </c>
      <c r="B3163" s="9" t="str">
        <f>IFERROR(__xludf.DUMMYFUNCTION("""COMPUTED_VALUE"""),"AlokC18")</f>
        <v>AlokC18</v>
      </c>
      <c r="C3163" s="8">
        <f>IFERROR(__xludf.DUMMYFUNCTION("""COMPUTED_VALUE"""),0.0)</f>
        <v>0</v>
      </c>
      <c r="D3163" s="8"/>
    </row>
    <row r="3164">
      <c r="A3164" s="9" t="str">
        <f>IFERROR(__xludf.DUMMYFUNCTION("""COMPUTED_VALUE"""),"Batch 218")</f>
        <v>Batch 218</v>
      </c>
      <c r="B3164" s="9" t="str">
        <f>IFERROR(__xludf.DUMMYFUNCTION("""COMPUTED_VALUE"""),"TarusheeC18")</f>
        <v>TarusheeC18</v>
      </c>
      <c r="C3164" s="8">
        <f>IFERROR(__xludf.DUMMYFUNCTION("""COMPUTED_VALUE"""),0.0)</f>
        <v>0</v>
      </c>
      <c r="D3164" s="8"/>
    </row>
    <row r="3165">
      <c r="A3165" s="9" t="str">
        <f>IFERROR(__xludf.DUMMYFUNCTION("""COMPUTED_VALUE"""),"Batch 218")</f>
        <v>Batch 218</v>
      </c>
      <c r="B3165" s="9" t="str">
        <f>IFERROR(__xludf.DUMMYFUNCTION("""COMPUTED_VALUE"""),"ArchismanC18")</f>
        <v>ArchismanC18</v>
      </c>
      <c r="C3165" s="8">
        <f>IFERROR(__xludf.DUMMYFUNCTION("""COMPUTED_VALUE"""),0.0)</f>
        <v>0</v>
      </c>
      <c r="D3165" s="8"/>
    </row>
    <row r="3166">
      <c r="A3166" s="9" t="str">
        <f>IFERROR(__xludf.DUMMYFUNCTION("""COMPUTED_VALUE"""),"Batch 218")</f>
        <v>Batch 218</v>
      </c>
      <c r="B3166" s="9" t="str">
        <f>IFERROR(__xludf.DUMMYFUNCTION("""COMPUTED_VALUE"""),"AbhishikaC18")</f>
        <v>AbhishikaC18</v>
      </c>
      <c r="C3166" s="8">
        <f>IFERROR(__xludf.DUMMYFUNCTION("""COMPUTED_VALUE"""),0.0)</f>
        <v>0</v>
      </c>
      <c r="D3166" s="8"/>
    </row>
    <row r="3167">
      <c r="A3167" s="9" t="str">
        <f>IFERROR(__xludf.DUMMYFUNCTION("""COMPUTED_VALUE"""),"Batch 218")</f>
        <v>Batch 218</v>
      </c>
      <c r="B3167" s="9" t="str">
        <f>IFERROR(__xludf.DUMMYFUNCTION("""COMPUTED_VALUE"""),"ShwetaC18")</f>
        <v>ShwetaC18</v>
      </c>
      <c r="C3167" s="8">
        <f>IFERROR(__xludf.DUMMYFUNCTION("""COMPUTED_VALUE"""),1.0)</f>
        <v>1</v>
      </c>
      <c r="D3167" s="8">
        <f>IFERROR(__xludf.DUMMYFUNCTION("""COMPUTED_VALUE"""),4.0)</f>
        <v>4</v>
      </c>
    </row>
    <row r="3168">
      <c r="A3168" s="9" t="str">
        <f>IFERROR(__xludf.DUMMYFUNCTION("""COMPUTED_VALUE"""),"Batch 218")</f>
        <v>Batch 218</v>
      </c>
      <c r="B3168" s="9" t="str">
        <f>IFERROR(__xludf.DUMMYFUNCTION("""COMPUTED_VALUE"""),"AnjaliC18")</f>
        <v>AnjaliC18</v>
      </c>
      <c r="C3168" s="8">
        <f>IFERROR(__xludf.DUMMYFUNCTION("""COMPUTED_VALUE"""),0.0)</f>
        <v>0</v>
      </c>
      <c r="D3168" s="8"/>
    </row>
    <row r="3169">
      <c r="A3169" s="9" t="str">
        <f>IFERROR(__xludf.DUMMYFUNCTION("""COMPUTED_VALUE"""),"Batch 218")</f>
        <v>Batch 218</v>
      </c>
      <c r="B3169" s="9" t="str">
        <f>IFERROR(__xludf.DUMMYFUNCTION("""COMPUTED_VALUE"""),"S.saiC18")</f>
        <v>S.saiC18</v>
      </c>
      <c r="C3169" s="8">
        <f>IFERROR(__xludf.DUMMYFUNCTION("""COMPUTED_VALUE"""),0.0)</f>
        <v>0</v>
      </c>
      <c r="D3169" s="8"/>
    </row>
    <row r="3170">
      <c r="A3170" s="9" t="str">
        <f>IFERROR(__xludf.DUMMYFUNCTION("""COMPUTED_VALUE"""),"Batch 218")</f>
        <v>Batch 218</v>
      </c>
      <c r="B3170" s="9" t="str">
        <f>IFERROR(__xludf.DUMMYFUNCTION("""COMPUTED_VALUE"""),"AmanC18")</f>
        <v>AmanC18</v>
      </c>
      <c r="C3170" s="8">
        <f>IFERROR(__xludf.DUMMYFUNCTION("""COMPUTED_VALUE"""),0.0)</f>
        <v>0</v>
      </c>
      <c r="D3170" s="8"/>
    </row>
    <row r="3171">
      <c r="A3171" s="9" t="str">
        <f>IFERROR(__xludf.DUMMYFUNCTION("""COMPUTED_VALUE"""),"Batch 218")</f>
        <v>Batch 218</v>
      </c>
      <c r="B3171" s="9" t="str">
        <f>IFERROR(__xludf.DUMMYFUNCTION("""COMPUTED_VALUE"""),"SC18")</f>
        <v>SC18</v>
      </c>
      <c r="C3171" s="8">
        <f>IFERROR(__xludf.DUMMYFUNCTION("""COMPUTED_VALUE"""),0.0)</f>
        <v>0</v>
      </c>
      <c r="D3171" s="8"/>
    </row>
    <row r="3172">
      <c r="A3172" s="9" t="str">
        <f>IFERROR(__xludf.DUMMYFUNCTION("""COMPUTED_VALUE"""),"Batch 218")</f>
        <v>Batch 218</v>
      </c>
      <c r="B3172" s="9" t="str">
        <f>IFERROR(__xludf.DUMMYFUNCTION("""COMPUTED_VALUE"""),"PrerakC18")</f>
        <v>PrerakC18</v>
      </c>
      <c r="C3172" s="8">
        <f>IFERROR(__xludf.DUMMYFUNCTION("""COMPUTED_VALUE"""),0.0)</f>
        <v>0</v>
      </c>
      <c r="D3172" s="8"/>
    </row>
    <row r="3173">
      <c r="A3173" s="9" t="str">
        <f>IFERROR(__xludf.DUMMYFUNCTION("""COMPUTED_VALUE"""),"Batch 218")</f>
        <v>Batch 218</v>
      </c>
      <c r="B3173" s="9" t="str">
        <f>IFERROR(__xludf.DUMMYFUNCTION("""COMPUTED_VALUE"""),"AdarshC18")</f>
        <v>AdarshC18</v>
      </c>
      <c r="C3173" s="8">
        <f>IFERROR(__xludf.DUMMYFUNCTION("""COMPUTED_VALUE"""),0.0)</f>
        <v>0</v>
      </c>
      <c r="D3173" s="8"/>
    </row>
    <row r="3174">
      <c r="A3174" s="9" t="str">
        <f>IFERROR(__xludf.DUMMYFUNCTION("""COMPUTED_VALUE"""),"Batch 218")</f>
        <v>Batch 218</v>
      </c>
      <c r="B3174" s="9" t="str">
        <f>IFERROR(__xludf.DUMMYFUNCTION("""COMPUTED_VALUE"""),"AnjaliC18")</f>
        <v>AnjaliC18</v>
      </c>
      <c r="C3174" s="8">
        <f>IFERROR(__xludf.DUMMYFUNCTION("""COMPUTED_VALUE"""),0.0)</f>
        <v>0</v>
      </c>
      <c r="D3174" s="8"/>
    </row>
    <row r="3175">
      <c r="A3175" s="9" t="str">
        <f>IFERROR(__xludf.DUMMYFUNCTION("""COMPUTED_VALUE"""),"Batch 218")</f>
        <v>Batch 218</v>
      </c>
      <c r="B3175" s="9" t="str">
        <f>IFERROR(__xludf.DUMMYFUNCTION("""COMPUTED_VALUE"""),"MeetC18")</f>
        <v>MeetC18</v>
      </c>
      <c r="C3175" s="8">
        <f>IFERROR(__xludf.DUMMYFUNCTION("""COMPUTED_VALUE"""),0.0)</f>
        <v>0</v>
      </c>
      <c r="D3175" s="8"/>
    </row>
    <row r="3176">
      <c r="A3176" s="9" t="str">
        <f>IFERROR(__xludf.DUMMYFUNCTION("""COMPUTED_VALUE"""),"Batch 218")</f>
        <v>Batch 218</v>
      </c>
      <c r="B3176" s="9" t="str">
        <f>IFERROR(__xludf.DUMMYFUNCTION("""COMPUTED_VALUE"""),"HappyC18")</f>
        <v>HappyC18</v>
      </c>
      <c r="C3176" s="8">
        <f>IFERROR(__xludf.DUMMYFUNCTION("""COMPUTED_VALUE"""),0.0)</f>
        <v>0</v>
      </c>
      <c r="D3176" s="8"/>
    </row>
    <row r="3177">
      <c r="A3177" s="9"/>
      <c r="B3177" s="9"/>
      <c r="C3177" s="8">
        <f>IFERROR(__xludf.DUMMYFUNCTION("""COMPUTED_VALUE"""),0.0)</f>
        <v>0</v>
      </c>
      <c r="D3177" s="8"/>
    </row>
    <row r="3178">
      <c r="A3178" s="9" t="str">
        <f>IFERROR(__xludf.DUMMYFUNCTION("""COMPUTED_VALUE"""),"Batch 219")</f>
        <v>Batch 219</v>
      </c>
      <c r="B3178" s="9" t="str">
        <f>IFERROR(__xludf.DUMMYFUNCTION("""COMPUTED_VALUE"""),"AKSHAYC19")</f>
        <v>AKSHAYC19</v>
      </c>
      <c r="C3178" s="8">
        <f>IFERROR(__xludf.DUMMYFUNCTION("""COMPUTED_VALUE"""),0.0)</f>
        <v>0</v>
      </c>
      <c r="D3178" s="8"/>
    </row>
    <row r="3179">
      <c r="A3179" s="9" t="str">
        <f>IFERROR(__xludf.DUMMYFUNCTION("""COMPUTED_VALUE"""),"Batch 219")</f>
        <v>Batch 219</v>
      </c>
      <c r="B3179" s="9" t="str">
        <f>IFERROR(__xludf.DUMMYFUNCTION("""COMPUTED_VALUE"""),"JyotiC19")</f>
        <v>JyotiC19</v>
      </c>
      <c r="C3179" s="8">
        <f>IFERROR(__xludf.DUMMYFUNCTION("""COMPUTED_VALUE"""),0.0)</f>
        <v>0</v>
      </c>
      <c r="D3179" s="8"/>
    </row>
    <row r="3180">
      <c r="A3180" s="9" t="str">
        <f>IFERROR(__xludf.DUMMYFUNCTION("""COMPUTED_VALUE"""),"Batch 219")</f>
        <v>Batch 219</v>
      </c>
      <c r="B3180" s="9" t="str">
        <f>IFERROR(__xludf.DUMMYFUNCTION("""COMPUTED_VALUE"""),"SupushaC19")</f>
        <v>SupushaC19</v>
      </c>
      <c r="C3180" s="8">
        <f>IFERROR(__xludf.DUMMYFUNCTION("""COMPUTED_VALUE"""),0.0)</f>
        <v>0</v>
      </c>
      <c r="D3180" s="8"/>
    </row>
    <row r="3181">
      <c r="A3181" s="9" t="str">
        <f>IFERROR(__xludf.DUMMYFUNCTION("""COMPUTED_VALUE"""),"Batch 219")</f>
        <v>Batch 219</v>
      </c>
      <c r="B3181" s="9" t="str">
        <f>IFERROR(__xludf.DUMMYFUNCTION("""COMPUTED_VALUE"""),"NehaC19")</f>
        <v>NehaC19</v>
      </c>
      <c r="C3181" s="8">
        <f>IFERROR(__xludf.DUMMYFUNCTION("""COMPUTED_VALUE"""),0.0)</f>
        <v>0</v>
      </c>
      <c r="D3181" s="8"/>
    </row>
    <row r="3182">
      <c r="A3182" s="9" t="str">
        <f>IFERROR(__xludf.DUMMYFUNCTION("""COMPUTED_VALUE"""),"Batch 219")</f>
        <v>Batch 219</v>
      </c>
      <c r="B3182" s="9" t="str">
        <f>IFERROR(__xludf.DUMMYFUNCTION("""COMPUTED_VALUE"""),"HaroonC19")</f>
        <v>HaroonC19</v>
      </c>
      <c r="C3182" s="8">
        <f>IFERROR(__xludf.DUMMYFUNCTION("""COMPUTED_VALUE"""),0.0)</f>
        <v>0</v>
      </c>
      <c r="D3182" s="8"/>
    </row>
    <row r="3183">
      <c r="A3183" s="9" t="str">
        <f>IFERROR(__xludf.DUMMYFUNCTION("""COMPUTED_VALUE"""),"Batch 219")</f>
        <v>Batch 219</v>
      </c>
      <c r="B3183" s="9" t="str">
        <f>IFERROR(__xludf.DUMMYFUNCTION("""COMPUTED_VALUE"""),"JyotiC19")</f>
        <v>JyotiC19</v>
      </c>
      <c r="C3183" s="8">
        <f>IFERROR(__xludf.DUMMYFUNCTION("""COMPUTED_VALUE"""),0.0)</f>
        <v>0</v>
      </c>
      <c r="D3183" s="8"/>
    </row>
    <row r="3184">
      <c r="A3184" s="9" t="str">
        <f>IFERROR(__xludf.DUMMYFUNCTION("""COMPUTED_VALUE"""),"Batch 219")</f>
        <v>Batch 219</v>
      </c>
      <c r="B3184" s="9" t="str">
        <f>IFERROR(__xludf.DUMMYFUNCTION("""COMPUTED_VALUE"""),"SangamC19")</f>
        <v>SangamC19</v>
      </c>
      <c r="C3184" s="8">
        <f>IFERROR(__xludf.DUMMYFUNCTION("""COMPUTED_VALUE"""),0.0)</f>
        <v>0</v>
      </c>
      <c r="D3184" s="8"/>
    </row>
    <row r="3185">
      <c r="A3185" s="9" t="str">
        <f>IFERROR(__xludf.DUMMYFUNCTION("""COMPUTED_VALUE"""),"Batch 219")</f>
        <v>Batch 219</v>
      </c>
      <c r="B3185" s="9" t="str">
        <f>IFERROR(__xludf.DUMMYFUNCTION("""COMPUTED_VALUE"""),"RitamC19")</f>
        <v>RitamC19</v>
      </c>
      <c r="C3185" s="8">
        <f>IFERROR(__xludf.DUMMYFUNCTION("""COMPUTED_VALUE"""),0.0)</f>
        <v>0</v>
      </c>
      <c r="D3185" s="8"/>
    </row>
    <row r="3186">
      <c r="A3186" s="9" t="str">
        <f>IFERROR(__xludf.DUMMYFUNCTION("""COMPUTED_VALUE"""),"Batch 219")</f>
        <v>Batch 219</v>
      </c>
      <c r="B3186" s="9" t="str">
        <f>IFERROR(__xludf.DUMMYFUNCTION("""COMPUTED_VALUE"""),"ShubaC19")</f>
        <v>ShubaC19</v>
      </c>
      <c r="C3186" s="8">
        <f>IFERROR(__xludf.DUMMYFUNCTION("""COMPUTED_VALUE"""),0.0)</f>
        <v>0</v>
      </c>
      <c r="D3186" s="8"/>
    </row>
    <row r="3187">
      <c r="A3187" s="9" t="str">
        <f>IFERROR(__xludf.DUMMYFUNCTION("""COMPUTED_VALUE"""),"Batch 219")</f>
        <v>Batch 219</v>
      </c>
      <c r="B3187" s="9" t="str">
        <f>IFERROR(__xludf.DUMMYFUNCTION("""COMPUTED_VALUE"""),"HrishitaC19")</f>
        <v>HrishitaC19</v>
      </c>
      <c r="C3187" s="8">
        <f>IFERROR(__xludf.DUMMYFUNCTION("""COMPUTED_VALUE"""),0.0)</f>
        <v>0</v>
      </c>
      <c r="D3187" s="8"/>
    </row>
    <row r="3188">
      <c r="A3188" s="9" t="str">
        <f>IFERROR(__xludf.DUMMYFUNCTION("""COMPUTED_VALUE"""),"Batch 219")</f>
        <v>Batch 219</v>
      </c>
      <c r="B3188" s="9" t="str">
        <f>IFERROR(__xludf.DUMMYFUNCTION("""COMPUTED_VALUE"""),"AkankshaC19")</f>
        <v>AkankshaC19</v>
      </c>
      <c r="C3188" s="8">
        <f>IFERROR(__xludf.DUMMYFUNCTION("""COMPUTED_VALUE"""),0.0)</f>
        <v>0</v>
      </c>
      <c r="D3188" s="8"/>
    </row>
    <row r="3189">
      <c r="A3189" s="9" t="str">
        <f>IFERROR(__xludf.DUMMYFUNCTION("""COMPUTED_VALUE"""),"Batch 219")</f>
        <v>Batch 219</v>
      </c>
      <c r="B3189" s="9" t="str">
        <f>IFERROR(__xludf.DUMMYFUNCTION("""COMPUTED_VALUE"""),"HarshC19")</f>
        <v>HarshC19</v>
      </c>
      <c r="C3189" s="8">
        <f>IFERROR(__xludf.DUMMYFUNCTION("""COMPUTED_VALUE"""),1.0)</f>
        <v>1</v>
      </c>
      <c r="D3189" s="8"/>
    </row>
    <row r="3190">
      <c r="A3190" s="9" t="str">
        <f>IFERROR(__xludf.DUMMYFUNCTION("""COMPUTED_VALUE"""),"Batch 219")</f>
        <v>Batch 219</v>
      </c>
      <c r="B3190" s="9" t="str">
        <f>IFERROR(__xludf.DUMMYFUNCTION("""COMPUTED_VALUE"""),"MelissaC19")</f>
        <v>MelissaC19</v>
      </c>
      <c r="C3190" s="8">
        <f>IFERROR(__xludf.DUMMYFUNCTION("""COMPUTED_VALUE"""),0.0)</f>
        <v>0</v>
      </c>
      <c r="D3190" s="8"/>
    </row>
    <row r="3191">
      <c r="A3191" s="9" t="str">
        <f>IFERROR(__xludf.DUMMYFUNCTION("""COMPUTED_VALUE"""),"Batch 219")</f>
        <v>Batch 219</v>
      </c>
      <c r="B3191" s="9" t="str">
        <f>IFERROR(__xludf.DUMMYFUNCTION("""COMPUTED_VALUE"""),"KrishnaC19")</f>
        <v>KrishnaC19</v>
      </c>
      <c r="C3191" s="8">
        <f>IFERROR(__xludf.DUMMYFUNCTION("""COMPUTED_VALUE"""),0.0)</f>
        <v>0</v>
      </c>
      <c r="D3191" s="8"/>
    </row>
    <row r="3192">
      <c r="A3192" s="9" t="str">
        <f>IFERROR(__xludf.DUMMYFUNCTION("""COMPUTED_VALUE"""),"Batch 219")</f>
        <v>Batch 219</v>
      </c>
      <c r="B3192" s="9" t="str">
        <f>IFERROR(__xludf.DUMMYFUNCTION("""COMPUTED_VALUE"""),"TusharC19")</f>
        <v>TusharC19</v>
      </c>
      <c r="C3192" s="8">
        <f>IFERROR(__xludf.DUMMYFUNCTION("""COMPUTED_VALUE"""),8.0)</f>
        <v>8</v>
      </c>
      <c r="D3192" s="8">
        <f>IFERROR(__xludf.DUMMYFUNCTION("""COMPUTED_VALUE"""),4.0)</f>
        <v>4</v>
      </c>
    </row>
    <row r="3193">
      <c r="A3193" s="9" t="str">
        <f>IFERROR(__xludf.DUMMYFUNCTION("""COMPUTED_VALUE"""),"Batch 219")</f>
        <v>Batch 219</v>
      </c>
      <c r="B3193" s="9" t="str">
        <f>IFERROR(__xludf.DUMMYFUNCTION("""COMPUTED_VALUE"""),"sanskritiC19")</f>
        <v>sanskritiC19</v>
      </c>
      <c r="C3193" s="8">
        <f>IFERROR(__xludf.DUMMYFUNCTION("""COMPUTED_VALUE"""),0.0)</f>
        <v>0</v>
      </c>
      <c r="D3193" s="8"/>
    </row>
    <row r="3194">
      <c r="A3194" s="9" t="str">
        <f>IFERROR(__xludf.DUMMYFUNCTION("""COMPUTED_VALUE"""),"Batch 219")</f>
        <v>Batch 219</v>
      </c>
      <c r="B3194" s="9" t="str">
        <f>IFERROR(__xludf.DUMMYFUNCTION("""COMPUTED_VALUE"""),"AnshulC19")</f>
        <v>AnshulC19</v>
      </c>
      <c r="C3194" s="8">
        <f>IFERROR(__xludf.DUMMYFUNCTION("""COMPUTED_VALUE"""),0.0)</f>
        <v>0</v>
      </c>
      <c r="D3194" s="8"/>
    </row>
    <row r="3195">
      <c r="A3195" s="9" t="str">
        <f>IFERROR(__xludf.DUMMYFUNCTION("""COMPUTED_VALUE"""),"Batch 219")</f>
        <v>Batch 219</v>
      </c>
      <c r="B3195" s="9" t="str">
        <f>IFERROR(__xludf.DUMMYFUNCTION("""COMPUTED_VALUE"""),"SanskrutiC19")</f>
        <v>SanskrutiC19</v>
      </c>
      <c r="C3195" s="8">
        <f>IFERROR(__xludf.DUMMYFUNCTION("""COMPUTED_VALUE"""),0.0)</f>
        <v>0</v>
      </c>
      <c r="D3195" s="8"/>
    </row>
    <row r="3196">
      <c r="A3196" s="9" t="str">
        <f>IFERROR(__xludf.DUMMYFUNCTION("""COMPUTED_VALUE"""),"Batch 219")</f>
        <v>Batch 219</v>
      </c>
      <c r="B3196" s="9" t="str">
        <f>IFERROR(__xludf.DUMMYFUNCTION("""COMPUTED_VALUE"""),"SohumC19")</f>
        <v>SohumC19</v>
      </c>
      <c r="C3196" s="8">
        <f>IFERROR(__xludf.DUMMYFUNCTION("""COMPUTED_VALUE"""),2.0)</f>
        <v>2</v>
      </c>
      <c r="D3196" s="8"/>
    </row>
    <row r="3197">
      <c r="A3197" s="9" t="str">
        <f>IFERROR(__xludf.DUMMYFUNCTION("""COMPUTED_VALUE"""),"Batch 219")</f>
        <v>Batch 219</v>
      </c>
      <c r="B3197" s="9" t="str">
        <f>IFERROR(__xludf.DUMMYFUNCTION("""COMPUTED_VALUE"""),"AmanC19")</f>
        <v>AmanC19</v>
      </c>
      <c r="C3197" s="8">
        <f>IFERROR(__xludf.DUMMYFUNCTION("""COMPUTED_VALUE"""),0.0)</f>
        <v>0</v>
      </c>
      <c r="D3197" s="8"/>
    </row>
    <row r="3198">
      <c r="A3198" s="9" t="str">
        <f>IFERROR(__xludf.DUMMYFUNCTION("""COMPUTED_VALUE"""),"Batch 219")</f>
        <v>Batch 219</v>
      </c>
      <c r="B3198" s="9" t="str">
        <f>IFERROR(__xludf.DUMMYFUNCTION("""COMPUTED_VALUE"""),"SnehaC19")</f>
        <v>SnehaC19</v>
      </c>
      <c r="C3198" s="8">
        <f>IFERROR(__xludf.DUMMYFUNCTION("""COMPUTED_VALUE"""),0.0)</f>
        <v>0</v>
      </c>
      <c r="D3198" s="8"/>
    </row>
    <row r="3199">
      <c r="A3199" s="9" t="str">
        <f>IFERROR(__xludf.DUMMYFUNCTION("""COMPUTED_VALUE"""),"Batch 219")</f>
        <v>Batch 219</v>
      </c>
      <c r="B3199" s="9" t="str">
        <f>IFERROR(__xludf.DUMMYFUNCTION("""COMPUTED_VALUE"""),"RykaC19")</f>
        <v>RykaC19</v>
      </c>
      <c r="C3199" s="8">
        <f>IFERROR(__xludf.DUMMYFUNCTION("""COMPUTED_VALUE"""),0.0)</f>
        <v>0</v>
      </c>
      <c r="D3199" s="8"/>
    </row>
    <row r="3200">
      <c r="A3200" s="9" t="str">
        <f>IFERROR(__xludf.DUMMYFUNCTION("""COMPUTED_VALUE"""),"Batch 219")</f>
        <v>Batch 219</v>
      </c>
      <c r="B3200" s="9" t="str">
        <f>IFERROR(__xludf.DUMMYFUNCTION("""COMPUTED_VALUE"""),"VAISHNAVIC19")</f>
        <v>VAISHNAVIC19</v>
      </c>
      <c r="C3200" s="8">
        <f>IFERROR(__xludf.DUMMYFUNCTION("""COMPUTED_VALUE"""),0.0)</f>
        <v>0</v>
      </c>
      <c r="D3200" s="8"/>
    </row>
    <row r="3201">
      <c r="A3201" s="9" t="str">
        <f>IFERROR(__xludf.DUMMYFUNCTION("""COMPUTED_VALUE"""),"Batch 219")</f>
        <v>Batch 219</v>
      </c>
      <c r="B3201" s="9" t="str">
        <f>IFERROR(__xludf.DUMMYFUNCTION("""COMPUTED_VALUE"""),"AmanC19")</f>
        <v>AmanC19</v>
      </c>
      <c r="C3201" s="8">
        <f>IFERROR(__xludf.DUMMYFUNCTION("""COMPUTED_VALUE"""),0.0)</f>
        <v>0</v>
      </c>
      <c r="D3201" s="8"/>
    </row>
    <row r="3202">
      <c r="A3202" s="9" t="str">
        <f>IFERROR(__xludf.DUMMYFUNCTION("""COMPUTED_VALUE"""),"Batch 219")</f>
        <v>Batch 219</v>
      </c>
      <c r="B3202" s="9" t="str">
        <f>IFERROR(__xludf.DUMMYFUNCTION("""COMPUTED_VALUE"""),"SwatiC19")</f>
        <v>SwatiC19</v>
      </c>
      <c r="C3202" s="8">
        <f>IFERROR(__xludf.DUMMYFUNCTION("""COMPUTED_VALUE"""),0.0)</f>
        <v>0</v>
      </c>
      <c r="D3202" s="8"/>
    </row>
    <row r="3203">
      <c r="A3203" s="9" t="str">
        <f>IFERROR(__xludf.DUMMYFUNCTION("""COMPUTED_VALUE"""),"Batch 219")</f>
        <v>Batch 219</v>
      </c>
      <c r="B3203" s="9" t="str">
        <f>IFERROR(__xludf.DUMMYFUNCTION("""COMPUTED_VALUE"""),"StutiC19")</f>
        <v>StutiC19</v>
      </c>
      <c r="C3203" s="8">
        <f>IFERROR(__xludf.DUMMYFUNCTION("""COMPUTED_VALUE"""),0.0)</f>
        <v>0</v>
      </c>
      <c r="D3203" s="8"/>
    </row>
    <row r="3204">
      <c r="A3204" s="9" t="str">
        <f>IFERROR(__xludf.DUMMYFUNCTION("""COMPUTED_VALUE"""),"Batch 219")</f>
        <v>Batch 219</v>
      </c>
      <c r="B3204" s="9" t="str">
        <f>IFERROR(__xludf.DUMMYFUNCTION("""COMPUTED_VALUE"""),"JanviC19")</f>
        <v>JanviC19</v>
      </c>
      <c r="C3204" s="8">
        <f>IFERROR(__xludf.DUMMYFUNCTION("""COMPUTED_VALUE"""),17.0)</f>
        <v>17</v>
      </c>
      <c r="D3204" s="8">
        <f>IFERROR(__xludf.DUMMYFUNCTION("""COMPUTED_VALUE"""),2.0)</f>
        <v>2</v>
      </c>
    </row>
    <row r="3205">
      <c r="A3205" s="9" t="str">
        <f>IFERROR(__xludf.DUMMYFUNCTION("""COMPUTED_VALUE"""),"Batch 219")</f>
        <v>Batch 219</v>
      </c>
      <c r="B3205" s="9" t="str">
        <f>IFERROR(__xludf.DUMMYFUNCTION("""COMPUTED_VALUE"""),"HridayC19")</f>
        <v>HridayC19</v>
      </c>
      <c r="C3205" s="8">
        <f>IFERROR(__xludf.DUMMYFUNCTION("""COMPUTED_VALUE"""),5.0)</f>
        <v>5</v>
      </c>
      <c r="D3205" s="8"/>
    </row>
    <row r="3206">
      <c r="A3206" s="9" t="str">
        <f>IFERROR(__xludf.DUMMYFUNCTION("""COMPUTED_VALUE"""),"Batch 219")</f>
        <v>Batch 219</v>
      </c>
      <c r="B3206" s="9" t="str">
        <f>IFERROR(__xludf.DUMMYFUNCTION("""COMPUTED_VALUE"""),"ShaikC19")</f>
        <v>ShaikC19</v>
      </c>
      <c r="C3206" s="8">
        <f>IFERROR(__xludf.DUMMYFUNCTION("""COMPUTED_VALUE"""),2.0)</f>
        <v>2</v>
      </c>
      <c r="D3206" s="8"/>
    </row>
    <row r="3207">
      <c r="A3207" s="9" t="str">
        <f>IFERROR(__xludf.DUMMYFUNCTION("""COMPUTED_VALUE"""),"Batch 219")</f>
        <v>Batch 219</v>
      </c>
      <c r="B3207" s="9" t="str">
        <f>IFERROR(__xludf.DUMMYFUNCTION("""COMPUTED_VALUE"""),"AkhilendraC19")</f>
        <v>AkhilendraC19</v>
      </c>
      <c r="C3207" s="8">
        <f>IFERROR(__xludf.DUMMYFUNCTION("""COMPUTED_VALUE"""),0.0)</f>
        <v>0</v>
      </c>
      <c r="D3207" s="8"/>
    </row>
    <row r="3208">
      <c r="A3208" s="9" t="str">
        <f>IFERROR(__xludf.DUMMYFUNCTION("""COMPUTED_VALUE"""),"Batch 219")</f>
        <v>Batch 219</v>
      </c>
      <c r="B3208" s="9" t="str">
        <f>IFERROR(__xludf.DUMMYFUNCTION("""COMPUTED_VALUE"""),"HammadC19")</f>
        <v>HammadC19</v>
      </c>
      <c r="C3208" s="8">
        <f>IFERROR(__xludf.DUMMYFUNCTION("""COMPUTED_VALUE"""),0.0)</f>
        <v>0</v>
      </c>
      <c r="D3208" s="8"/>
    </row>
    <row r="3209">
      <c r="A3209" s="9" t="str">
        <f>IFERROR(__xludf.DUMMYFUNCTION("""COMPUTED_VALUE"""),"Batch 219")</f>
        <v>Batch 219</v>
      </c>
      <c r="B3209" s="9" t="str">
        <f>IFERROR(__xludf.DUMMYFUNCTION("""COMPUTED_VALUE"""),"DeepaC19")</f>
        <v>DeepaC19</v>
      </c>
      <c r="C3209" s="8">
        <f>IFERROR(__xludf.DUMMYFUNCTION("""COMPUTED_VALUE"""),0.0)</f>
        <v>0</v>
      </c>
      <c r="D3209" s="8"/>
    </row>
    <row r="3210">
      <c r="A3210" s="9" t="str">
        <f>IFERROR(__xludf.DUMMYFUNCTION("""COMPUTED_VALUE"""),"Batch 219")</f>
        <v>Batch 219</v>
      </c>
      <c r="B3210" s="9" t="str">
        <f>IFERROR(__xludf.DUMMYFUNCTION("""COMPUTED_VALUE"""),"ManavC19")</f>
        <v>ManavC19</v>
      </c>
      <c r="C3210" s="8">
        <f>IFERROR(__xludf.DUMMYFUNCTION("""COMPUTED_VALUE"""),0.0)</f>
        <v>0</v>
      </c>
      <c r="D3210" s="8"/>
    </row>
    <row r="3211">
      <c r="A3211" s="9" t="str">
        <f>IFERROR(__xludf.DUMMYFUNCTION("""COMPUTED_VALUE"""),"Batch 219")</f>
        <v>Batch 219</v>
      </c>
      <c r="B3211" s="9" t="str">
        <f>IFERROR(__xludf.DUMMYFUNCTION("""COMPUTED_VALUE"""),"AmanC19")</f>
        <v>AmanC19</v>
      </c>
      <c r="C3211" s="8">
        <f>IFERROR(__xludf.DUMMYFUNCTION("""COMPUTED_VALUE"""),0.0)</f>
        <v>0</v>
      </c>
      <c r="D3211" s="8"/>
    </row>
    <row r="3212">
      <c r="A3212" s="9" t="str">
        <f>IFERROR(__xludf.DUMMYFUNCTION("""COMPUTED_VALUE"""),"Batch 219")</f>
        <v>Batch 219</v>
      </c>
      <c r="B3212" s="9" t="str">
        <f>IFERROR(__xludf.DUMMYFUNCTION("""COMPUTED_VALUE"""),"ArpitC19")</f>
        <v>ArpitC19</v>
      </c>
      <c r="C3212" s="8">
        <f>IFERROR(__xludf.DUMMYFUNCTION("""COMPUTED_VALUE"""),0.0)</f>
        <v>0</v>
      </c>
      <c r="D3212" s="8"/>
    </row>
    <row r="3213">
      <c r="A3213" s="9" t="str">
        <f>IFERROR(__xludf.DUMMYFUNCTION("""COMPUTED_VALUE"""),"Batch 219")</f>
        <v>Batch 219</v>
      </c>
      <c r="B3213" s="9" t="str">
        <f>IFERROR(__xludf.DUMMYFUNCTION("""COMPUTED_VALUE"""),"AnnC19")</f>
        <v>AnnC19</v>
      </c>
      <c r="C3213" s="8">
        <f>IFERROR(__xludf.DUMMYFUNCTION("""COMPUTED_VALUE"""),0.0)</f>
        <v>0</v>
      </c>
      <c r="D3213" s="8"/>
    </row>
    <row r="3214">
      <c r="A3214" s="9" t="str">
        <f>IFERROR(__xludf.DUMMYFUNCTION("""COMPUTED_VALUE"""),"Batch 219")</f>
        <v>Batch 219</v>
      </c>
      <c r="B3214" s="9" t="str">
        <f>IFERROR(__xludf.DUMMYFUNCTION("""COMPUTED_VALUE"""),"BhaveshC19")</f>
        <v>BhaveshC19</v>
      </c>
      <c r="C3214" s="8">
        <f>IFERROR(__xludf.DUMMYFUNCTION("""COMPUTED_VALUE"""),0.0)</f>
        <v>0</v>
      </c>
      <c r="D3214" s="8"/>
    </row>
    <row r="3215">
      <c r="A3215" s="9" t="str">
        <f>IFERROR(__xludf.DUMMYFUNCTION("""COMPUTED_VALUE"""),"Batch 219")</f>
        <v>Batch 219</v>
      </c>
      <c r="B3215" s="9" t="str">
        <f>IFERROR(__xludf.DUMMYFUNCTION("""COMPUTED_VALUE"""),"AbdulC19")</f>
        <v>AbdulC19</v>
      </c>
      <c r="C3215" s="8">
        <f>IFERROR(__xludf.DUMMYFUNCTION("""COMPUTED_VALUE"""),0.0)</f>
        <v>0</v>
      </c>
      <c r="D3215" s="8"/>
    </row>
    <row r="3216">
      <c r="A3216" s="9" t="str">
        <f>IFERROR(__xludf.DUMMYFUNCTION("""COMPUTED_VALUE"""),"Batch 219")</f>
        <v>Batch 219</v>
      </c>
      <c r="B3216" s="9" t="str">
        <f>IFERROR(__xludf.DUMMYFUNCTION("""COMPUTED_VALUE"""),"AsharC19")</f>
        <v>AsharC19</v>
      </c>
      <c r="C3216" s="8">
        <f>IFERROR(__xludf.DUMMYFUNCTION("""COMPUTED_VALUE"""),0.0)</f>
        <v>0</v>
      </c>
      <c r="D3216" s="8"/>
    </row>
    <row r="3217">
      <c r="A3217" s="9" t="str">
        <f>IFERROR(__xludf.DUMMYFUNCTION("""COMPUTED_VALUE"""),"Batch 219")</f>
        <v>Batch 219</v>
      </c>
      <c r="B3217" s="9" t="str">
        <f>IFERROR(__xludf.DUMMYFUNCTION("""COMPUTED_VALUE"""),"stutiC19")</f>
        <v>stutiC19</v>
      </c>
      <c r="C3217" s="8">
        <f>IFERROR(__xludf.DUMMYFUNCTION("""COMPUTED_VALUE"""),0.0)</f>
        <v>0</v>
      </c>
      <c r="D3217" s="8"/>
    </row>
    <row r="3218">
      <c r="A3218" s="9" t="str">
        <f>IFERROR(__xludf.DUMMYFUNCTION("""COMPUTED_VALUE"""),"Batch 219")</f>
        <v>Batch 219</v>
      </c>
      <c r="B3218" s="9" t="str">
        <f>IFERROR(__xludf.DUMMYFUNCTION("""COMPUTED_VALUE"""),"VivekC19")</f>
        <v>VivekC19</v>
      </c>
      <c r="C3218" s="8">
        <f>IFERROR(__xludf.DUMMYFUNCTION("""COMPUTED_VALUE"""),0.0)</f>
        <v>0</v>
      </c>
      <c r="D3218" s="8"/>
    </row>
    <row r="3219">
      <c r="A3219" s="9" t="str">
        <f>IFERROR(__xludf.DUMMYFUNCTION("""COMPUTED_VALUE"""),"Batch 219")</f>
        <v>Batch 219</v>
      </c>
      <c r="B3219" s="9" t="str">
        <f>IFERROR(__xludf.DUMMYFUNCTION("""COMPUTED_VALUE"""),"PrasunC19")</f>
        <v>PrasunC19</v>
      </c>
      <c r="C3219" s="8">
        <f>IFERROR(__xludf.DUMMYFUNCTION("""COMPUTED_VALUE"""),0.0)</f>
        <v>0</v>
      </c>
      <c r="D3219" s="8"/>
    </row>
    <row r="3220">
      <c r="A3220" s="9" t="str">
        <f>IFERROR(__xludf.DUMMYFUNCTION("""COMPUTED_VALUE"""),"Batch 219")</f>
        <v>Batch 219</v>
      </c>
      <c r="B3220" s="9" t="str">
        <f>IFERROR(__xludf.DUMMYFUNCTION("""COMPUTED_VALUE"""),"SaumyaC19")</f>
        <v>SaumyaC19</v>
      </c>
      <c r="C3220" s="8">
        <f>IFERROR(__xludf.DUMMYFUNCTION("""COMPUTED_VALUE"""),0.0)</f>
        <v>0</v>
      </c>
      <c r="D3220" s="8"/>
    </row>
    <row r="3221">
      <c r="A3221" s="9" t="str">
        <f>IFERROR(__xludf.DUMMYFUNCTION("""COMPUTED_VALUE"""),"Batch 219")</f>
        <v>Batch 219</v>
      </c>
      <c r="B3221" s="9" t="str">
        <f>IFERROR(__xludf.DUMMYFUNCTION("""COMPUTED_VALUE"""),"KrishnaC19")</f>
        <v>KrishnaC19</v>
      </c>
      <c r="C3221" s="8">
        <f>IFERROR(__xludf.DUMMYFUNCTION("""COMPUTED_VALUE"""),0.0)</f>
        <v>0</v>
      </c>
      <c r="D3221" s="8"/>
    </row>
    <row r="3222">
      <c r="A3222" s="9" t="str">
        <f>IFERROR(__xludf.DUMMYFUNCTION("""COMPUTED_VALUE"""),"Batch 219")</f>
        <v>Batch 219</v>
      </c>
      <c r="B3222" s="9" t="str">
        <f>IFERROR(__xludf.DUMMYFUNCTION("""COMPUTED_VALUE"""),"BrajC19")</f>
        <v>BrajC19</v>
      </c>
      <c r="C3222" s="8">
        <f>IFERROR(__xludf.DUMMYFUNCTION("""COMPUTED_VALUE"""),3.0)</f>
        <v>3</v>
      </c>
      <c r="D3222" s="8">
        <f>IFERROR(__xludf.DUMMYFUNCTION("""COMPUTED_VALUE"""),1.0)</f>
        <v>1</v>
      </c>
    </row>
    <row r="3223">
      <c r="A3223" s="9" t="str">
        <f>IFERROR(__xludf.DUMMYFUNCTION("""COMPUTED_VALUE"""),"Batch 219")</f>
        <v>Batch 219</v>
      </c>
      <c r="B3223" s="9" t="str">
        <f>IFERROR(__xludf.DUMMYFUNCTION("""COMPUTED_VALUE"""),"SharjeelC19")</f>
        <v>SharjeelC19</v>
      </c>
      <c r="C3223" s="8">
        <f>IFERROR(__xludf.DUMMYFUNCTION("""COMPUTED_VALUE"""),0.0)</f>
        <v>0</v>
      </c>
      <c r="D3223" s="8"/>
    </row>
    <row r="3224">
      <c r="A3224" s="9" t="str">
        <f>IFERROR(__xludf.DUMMYFUNCTION("""COMPUTED_VALUE"""),"Batch 219")</f>
        <v>Batch 219</v>
      </c>
      <c r="B3224" s="9" t="str">
        <f>IFERROR(__xludf.DUMMYFUNCTION("""COMPUTED_VALUE"""),"SurinderC19")</f>
        <v>SurinderC19</v>
      </c>
      <c r="C3224" s="8">
        <f>IFERROR(__xludf.DUMMYFUNCTION("""COMPUTED_VALUE"""),0.0)</f>
        <v>0</v>
      </c>
      <c r="D3224" s="8"/>
    </row>
    <row r="3225">
      <c r="A3225" s="9" t="str">
        <f>IFERROR(__xludf.DUMMYFUNCTION("""COMPUTED_VALUE"""),"Batch 219")</f>
        <v>Batch 219</v>
      </c>
      <c r="B3225" s="9" t="str">
        <f>IFERROR(__xludf.DUMMYFUNCTION("""COMPUTED_VALUE"""),"ArtiC19")</f>
        <v>ArtiC19</v>
      </c>
      <c r="C3225" s="8">
        <f>IFERROR(__xludf.DUMMYFUNCTION("""COMPUTED_VALUE"""),2.0)</f>
        <v>2</v>
      </c>
      <c r="D3225" s="8"/>
    </row>
    <row r="3226">
      <c r="A3226" s="9" t="str">
        <f>IFERROR(__xludf.DUMMYFUNCTION("""COMPUTED_VALUE"""),"Batch 219")</f>
        <v>Batch 219</v>
      </c>
      <c r="B3226" s="9" t="str">
        <f>IFERROR(__xludf.DUMMYFUNCTION("""COMPUTED_VALUE"""),"AdityaC19")</f>
        <v>AdityaC19</v>
      </c>
      <c r="C3226" s="8">
        <f>IFERROR(__xludf.DUMMYFUNCTION("""COMPUTED_VALUE"""),0.0)</f>
        <v>0</v>
      </c>
      <c r="D3226" s="8"/>
    </row>
    <row r="3227">
      <c r="A3227" s="9" t="str">
        <f>IFERROR(__xludf.DUMMYFUNCTION("""COMPUTED_VALUE"""),"Batch 219")</f>
        <v>Batch 219</v>
      </c>
      <c r="B3227" s="9" t="str">
        <f>IFERROR(__xludf.DUMMYFUNCTION("""COMPUTED_VALUE"""),"YuvrajC19")</f>
        <v>YuvrajC19</v>
      </c>
      <c r="C3227" s="8">
        <f>IFERROR(__xludf.DUMMYFUNCTION("""COMPUTED_VALUE"""),0.0)</f>
        <v>0</v>
      </c>
      <c r="D3227" s="8"/>
    </row>
    <row r="3228">
      <c r="A3228" s="9" t="str">
        <f>IFERROR(__xludf.DUMMYFUNCTION("""COMPUTED_VALUE"""),"Batch 219")</f>
        <v>Batch 219</v>
      </c>
      <c r="B3228" s="9" t="str">
        <f>IFERROR(__xludf.DUMMYFUNCTION("""COMPUTED_VALUE"""),"AdityaC19")</f>
        <v>AdityaC19</v>
      </c>
      <c r="C3228" s="8">
        <f>IFERROR(__xludf.DUMMYFUNCTION("""COMPUTED_VALUE"""),0.0)</f>
        <v>0</v>
      </c>
      <c r="D3228" s="8"/>
    </row>
    <row r="3229">
      <c r="A3229" s="9" t="str">
        <f>IFERROR(__xludf.DUMMYFUNCTION("""COMPUTED_VALUE"""),"Batch 219")</f>
        <v>Batch 219</v>
      </c>
      <c r="B3229" s="9" t="str">
        <f>IFERROR(__xludf.DUMMYFUNCTION("""COMPUTED_VALUE"""),"SagnikC19")</f>
        <v>SagnikC19</v>
      </c>
      <c r="C3229" s="8">
        <f>IFERROR(__xludf.DUMMYFUNCTION("""COMPUTED_VALUE"""),1.0)</f>
        <v>1</v>
      </c>
      <c r="D3229" s="8"/>
    </row>
    <row r="3230">
      <c r="A3230" s="9" t="str">
        <f>IFERROR(__xludf.DUMMYFUNCTION("""COMPUTED_VALUE"""),"Batch 219")</f>
        <v>Batch 219</v>
      </c>
      <c r="B3230" s="9" t="str">
        <f>IFERROR(__xludf.DUMMYFUNCTION("""COMPUTED_VALUE"""),"RMC19")</f>
        <v>RMC19</v>
      </c>
      <c r="C3230" s="8">
        <f>IFERROR(__xludf.DUMMYFUNCTION("""COMPUTED_VALUE"""),2.0)</f>
        <v>2</v>
      </c>
      <c r="D3230" s="8"/>
    </row>
    <row r="3231">
      <c r="A3231" s="9" t="str">
        <f>IFERROR(__xludf.DUMMYFUNCTION("""COMPUTED_VALUE"""),"Batch 219")</f>
        <v>Batch 219</v>
      </c>
      <c r="B3231" s="9" t="str">
        <f>IFERROR(__xludf.DUMMYFUNCTION("""COMPUTED_VALUE"""),"RohitC19")</f>
        <v>RohitC19</v>
      </c>
      <c r="C3231" s="8">
        <f>IFERROR(__xludf.DUMMYFUNCTION("""COMPUTED_VALUE"""),0.0)</f>
        <v>0</v>
      </c>
      <c r="D3231" s="8"/>
    </row>
    <row r="3232">
      <c r="A3232" s="9" t="str">
        <f>IFERROR(__xludf.DUMMYFUNCTION("""COMPUTED_VALUE"""),"Batch 219")</f>
        <v>Batch 219</v>
      </c>
      <c r="B3232" s="9" t="str">
        <f>IFERROR(__xludf.DUMMYFUNCTION("""COMPUTED_VALUE"""),"VivekC19")</f>
        <v>VivekC19</v>
      </c>
      <c r="C3232" s="8">
        <f>IFERROR(__xludf.DUMMYFUNCTION("""COMPUTED_VALUE"""),0.0)</f>
        <v>0</v>
      </c>
      <c r="D3232" s="8"/>
    </row>
    <row r="3233">
      <c r="A3233" s="9" t="str">
        <f>IFERROR(__xludf.DUMMYFUNCTION("""COMPUTED_VALUE"""),"Batch 219")</f>
        <v>Batch 219</v>
      </c>
      <c r="B3233" s="9" t="str">
        <f>IFERROR(__xludf.DUMMYFUNCTION("""COMPUTED_VALUE"""),"PriyaC19")</f>
        <v>PriyaC19</v>
      </c>
      <c r="C3233" s="8">
        <f>IFERROR(__xludf.DUMMYFUNCTION("""COMPUTED_VALUE"""),1.0)</f>
        <v>1</v>
      </c>
      <c r="D3233" s="8"/>
    </row>
    <row r="3234">
      <c r="A3234" s="9" t="str">
        <f>IFERROR(__xludf.DUMMYFUNCTION("""COMPUTED_VALUE"""),"Batch 219")</f>
        <v>Batch 219</v>
      </c>
      <c r="B3234" s="9" t="str">
        <f>IFERROR(__xludf.DUMMYFUNCTION("""COMPUTED_VALUE"""),"TanishC19")</f>
        <v>TanishC19</v>
      </c>
      <c r="C3234" s="8">
        <f>IFERROR(__xludf.DUMMYFUNCTION("""COMPUTED_VALUE"""),0.0)</f>
        <v>0</v>
      </c>
      <c r="D3234" s="8"/>
    </row>
    <row r="3235">
      <c r="A3235" s="9" t="str">
        <f>IFERROR(__xludf.DUMMYFUNCTION("""COMPUTED_VALUE"""),"Batch 219")</f>
        <v>Batch 219</v>
      </c>
      <c r="B3235" s="9" t="str">
        <f>IFERROR(__xludf.DUMMYFUNCTION("""COMPUTED_VALUE"""),"ArpitC19")</f>
        <v>ArpitC19</v>
      </c>
      <c r="C3235" s="8">
        <f>IFERROR(__xludf.DUMMYFUNCTION("""COMPUTED_VALUE"""),0.0)</f>
        <v>0</v>
      </c>
      <c r="D3235" s="8"/>
    </row>
    <row r="3236">
      <c r="A3236" s="9" t="str">
        <f>IFERROR(__xludf.DUMMYFUNCTION("""COMPUTED_VALUE"""),"Batch 219")</f>
        <v>Batch 219</v>
      </c>
      <c r="B3236" s="9" t="str">
        <f>IFERROR(__xludf.DUMMYFUNCTION("""COMPUTED_VALUE"""),"NettemC19")</f>
        <v>NettemC19</v>
      </c>
      <c r="C3236" s="8">
        <f>IFERROR(__xludf.DUMMYFUNCTION("""COMPUTED_VALUE"""),0.0)</f>
        <v>0</v>
      </c>
      <c r="D3236" s="8"/>
    </row>
    <row r="3237">
      <c r="A3237" s="9" t="str">
        <f>IFERROR(__xludf.DUMMYFUNCTION("""COMPUTED_VALUE"""),"Batch 219")</f>
        <v>Batch 219</v>
      </c>
      <c r="B3237" s="9" t="str">
        <f>IFERROR(__xludf.DUMMYFUNCTION("""COMPUTED_VALUE"""),"SmiteshC19")</f>
        <v>SmiteshC19</v>
      </c>
      <c r="C3237" s="8">
        <f>IFERROR(__xludf.DUMMYFUNCTION("""COMPUTED_VALUE"""),0.0)</f>
        <v>0</v>
      </c>
      <c r="D3237" s="8"/>
    </row>
    <row r="3238">
      <c r="A3238" s="9" t="str">
        <f>IFERROR(__xludf.DUMMYFUNCTION("""COMPUTED_VALUE"""),"Batch 219")</f>
        <v>Batch 219</v>
      </c>
      <c r="B3238" s="9" t="str">
        <f>IFERROR(__xludf.DUMMYFUNCTION("""COMPUTED_VALUE"""),"RajseeC19")</f>
        <v>RajseeC19</v>
      </c>
      <c r="C3238" s="8">
        <f>IFERROR(__xludf.DUMMYFUNCTION("""COMPUTED_VALUE"""),3.0)</f>
        <v>3</v>
      </c>
      <c r="D3238" s="8">
        <f>IFERROR(__xludf.DUMMYFUNCTION("""COMPUTED_VALUE"""),2.0)</f>
        <v>2</v>
      </c>
    </row>
    <row r="3239">
      <c r="A3239" s="9" t="str">
        <f>IFERROR(__xludf.DUMMYFUNCTION("""COMPUTED_VALUE"""),"Batch 219")</f>
        <v>Batch 219</v>
      </c>
      <c r="B3239" s="9" t="str">
        <f>IFERROR(__xludf.DUMMYFUNCTION("""COMPUTED_VALUE"""),"AnanyaC19")</f>
        <v>AnanyaC19</v>
      </c>
      <c r="C3239" s="8">
        <f>IFERROR(__xludf.DUMMYFUNCTION("""COMPUTED_VALUE"""),0.0)</f>
        <v>0</v>
      </c>
      <c r="D3239" s="8"/>
    </row>
    <row r="3240">
      <c r="A3240" s="9" t="str">
        <f>IFERROR(__xludf.DUMMYFUNCTION("""COMPUTED_VALUE"""),"Batch 219")</f>
        <v>Batch 219</v>
      </c>
      <c r="B3240" s="9" t="str">
        <f>IFERROR(__xludf.DUMMYFUNCTION("""COMPUTED_VALUE"""),"AaratiC19")</f>
        <v>AaratiC19</v>
      </c>
      <c r="C3240" s="8">
        <f>IFERROR(__xludf.DUMMYFUNCTION("""COMPUTED_VALUE"""),0.0)</f>
        <v>0</v>
      </c>
      <c r="D3240" s="8"/>
    </row>
    <row r="3241">
      <c r="A3241" s="9" t="str">
        <f>IFERROR(__xludf.DUMMYFUNCTION("""COMPUTED_VALUE"""),"Batch 219")</f>
        <v>Batch 219</v>
      </c>
      <c r="B3241" s="9" t="str">
        <f>IFERROR(__xludf.DUMMYFUNCTION("""COMPUTED_VALUE"""),"suhailC19")</f>
        <v>suhailC19</v>
      </c>
      <c r="C3241" s="8">
        <f>IFERROR(__xludf.DUMMYFUNCTION("""COMPUTED_VALUE"""),0.0)</f>
        <v>0</v>
      </c>
      <c r="D3241" s="8"/>
    </row>
    <row r="3242">
      <c r="A3242" s="9" t="str">
        <f>IFERROR(__xludf.DUMMYFUNCTION("""COMPUTED_VALUE"""),"Batch 219")</f>
        <v>Batch 219</v>
      </c>
      <c r="B3242" s="9" t="str">
        <f>IFERROR(__xludf.DUMMYFUNCTION("""COMPUTED_VALUE"""),"GauravC19")</f>
        <v>GauravC19</v>
      </c>
      <c r="C3242" s="8">
        <f>IFERROR(__xludf.DUMMYFUNCTION("""COMPUTED_VALUE"""),0.0)</f>
        <v>0</v>
      </c>
      <c r="D3242" s="8"/>
    </row>
    <row r="3243">
      <c r="A3243" s="9" t="str">
        <f>IFERROR(__xludf.DUMMYFUNCTION("""COMPUTED_VALUE"""),"Batch 219")</f>
        <v>Batch 219</v>
      </c>
      <c r="B3243" s="9" t="str">
        <f>IFERROR(__xludf.DUMMYFUNCTION("""COMPUTED_VALUE"""),"ShruthiC19")</f>
        <v>ShruthiC19</v>
      </c>
      <c r="C3243" s="8">
        <f>IFERROR(__xludf.DUMMYFUNCTION("""COMPUTED_VALUE"""),0.0)</f>
        <v>0</v>
      </c>
      <c r="D3243" s="8"/>
    </row>
    <row r="3244">
      <c r="A3244" s="9" t="str">
        <f>IFERROR(__xludf.DUMMYFUNCTION("""COMPUTED_VALUE"""),"Batch 219")</f>
        <v>Batch 219</v>
      </c>
      <c r="B3244" s="9" t="str">
        <f>IFERROR(__xludf.DUMMYFUNCTION("""COMPUTED_VALUE"""),"LokeshC19")</f>
        <v>LokeshC19</v>
      </c>
      <c r="C3244" s="8">
        <f>IFERROR(__xludf.DUMMYFUNCTION("""COMPUTED_VALUE"""),0.0)</f>
        <v>0</v>
      </c>
      <c r="D3244" s="8"/>
    </row>
    <row r="3245">
      <c r="A3245" s="9" t="str">
        <f>IFERROR(__xludf.DUMMYFUNCTION("""COMPUTED_VALUE"""),"Batch 219")</f>
        <v>Batch 219</v>
      </c>
      <c r="B3245" s="9" t="str">
        <f>IFERROR(__xludf.DUMMYFUNCTION("""COMPUTED_VALUE"""),"BhavnaC19")</f>
        <v>BhavnaC19</v>
      </c>
      <c r="C3245" s="8">
        <f>IFERROR(__xludf.DUMMYFUNCTION("""COMPUTED_VALUE"""),0.0)</f>
        <v>0</v>
      </c>
      <c r="D3245" s="8"/>
    </row>
    <row r="3246">
      <c r="A3246" s="9" t="str">
        <f>IFERROR(__xludf.DUMMYFUNCTION("""COMPUTED_VALUE"""),"Batch 219")</f>
        <v>Batch 219</v>
      </c>
      <c r="B3246" s="9" t="str">
        <f>IFERROR(__xludf.DUMMYFUNCTION("""COMPUTED_VALUE"""),"KhushiC19")</f>
        <v>KhushiC19</v>
      </c>
      <c r="C3246" s="8">
        <f>IFERROR(__xludf.DUMMYFUNCTION("""COMPUTED_VALUE"""),0.0)</f>
        <v>0</v>
      </c>
      <c r="D3246" s="8"/>
    </row>
    <row r="3247">
      <c r="A3247" s="9" t="str">
        <f>IFERROR(__xludf.DUMMYFUNCTION("""COMPUTED_VALUE"""),"Batch 219")</f>
        <v>Batch 219</v>
      </c>
      <c r="B3247" s="9" t="str">
        <f>IFERROR(__xludf.DUMMYFUNCTION("""COMPUTED_VALUE"""),"AnikethC19")</f>
        <v>AnikethC19</v>
      </c>
      <c r="C3247" s="8">
        <f>IFERROR(__xludf.DUMMYFUNCTION("""COMPUTED_VALUE"""),0.0)</f>
        <v>0</v>
      </c>
      <c r="D3247" s="8"/>
    </row>
    <row r="3248">
      <c r="A3248" s="9" t="str">
        <f>IFERROR(__xludf.DUMMYFUNCTION("""COMPUTED_VALUE"""),"Batch 219")</f>
        <v>Batch 219</v>
      </c>
      <c r="B3248" s="9" t="str">
        <f>IFERROR(__xludf.DUMMYFUNCTION("""COMPUTED_VALUE"""),"GunpreetC19")</f>
        <v>GunpreetC19</v>
      </c>
      <c r="C3248" s="8">
        <f>IFERROR(__xludf.DUMMYFUNCTION("""COMPUTED_VALUE"""),0.0)</f>
        <v>0</v>
      </c>
      <c r="D3248" s="8"/>
    </row>
    <row r="3249">
      <c r="A3249" s="9"/>
      <c r="B3249" s="9"/>
      <c r="C3249" s="8">
        <f>IFERROR(__xludf.DUMMYFUNCTION("""COMPUTED_VALUE"""),0.0)</f>
        <v>0</v>
      </c>
      <c r="D3249" s="8"/>
    </row>
    <row r="3250">
      <c r="A3250" s="9" t="str">
        <f>IFERROR(__xludf.DUMMYFUNCTION("""COMPUTED_VALUE"""),"Batch 220")</f>
        <v>Batch 220</v>
      </c>
      <c r="B3250" s="9" t="str">
        <f>IFERROR(__xludf.DUMMYFUNCTION("""COMPUTED_VALUE"""),"RiyaC20")</f>
        <v>RiyaC20</v>
      </c>
      <c r="C3250" s="8">
        <f>IFERROR(__xludf.DUMMYFUNCTION("""COMPUTED_VALUE"""),0.0)</f>
        <v>0</v>
      </c>
      <c r="D3250" s="8"/>
    </row>
    <row r="3251">
      <c r="A3251" s="9" t="str">
        <f>IFERROR(__xludf.DUMMYFUNCTION("""COMPUTED_VALUE"""),"Batch 220")</f>
        <v>Batch 220</v>
      </c>
      <c r="B3251" s="9" t="str">
        <f>IFERROR(__xludf.DUMMYFUNCTION("""COMPUTED_VALUE"""),"FAHADC20")</f>
        <v>FAHADC20</v>
      </c>
      <c r="C3251" s="8">
        <f>IFERROR(__xludf.DUMMYFUNCTION("""COMPUTED_VALUE"""),0.0)</f>
        <v>0</v>
      </c>
      <c r="D3251" s="8"/>
    </row>
    <row r="3252">
      <c r="A3252" s="9" t="str">
        <f>IFERROR(__xludf.DUMMYFUNCTION("""COMPUTED_VALUE"""),"Batch 220")</f>
        <v>Batch 220</v>
      </c>
      <c r="B3252" s="9" t="str">
        <f>IFERROR(__xludf.DUMMYFUNCTION("""COMPUTED_VALUE"""),"SC20")</f>
        <v>SC20</v>
      </c>
      <c r="C3252" s="8">
        <f>IFERROR(__xludf.DUMMYFUNCTION("""COMPUTED_VALUE"""),0.0)</f>
        <v>0</v>
      </c>
      <c r="D3252" s="8"/>
    </row>
    <row r="3253">
      <c r="A3253" s="9" t="str">
        <f>IFERROR(__xludf.DUMMYFUNCTION("""COMPUTED_VALUE"""),"Batch 220")</f>
        <v>Batch 220</v>
      </c>
      <c r="B3253" s="9" t="str">
        <f>IFERROR(__xludf.DUMMYFUNCTION("""COMPUTED_VALUE"""),"MeenachiC20")</f>
        <v>MeenachiC20</v>
      </c>
      <c r="C3253" s="8">
        <f>IFERROR(__xludf.DUMMYFUNCTION("""COMPUTED_VALUE"""),0.0)</f>
        <v>0</v>
      </c>
      <c r="D3253" s="8"/>
    </row>
    <row r="3254">
      <c r="A3254" s="9" t="str">
        <f>IFERROR(__xludf.DUMMYFUNCTION("""COMPUTED_VALUE"""),"Batch 220")</f>
        <v>Batch 220</v>
      </c>
      <c r="B3254" s="9" t="str">
        <f>IFERROR(__xludf.DUMMYFUNCTION("""COMPUTED_VALUE"""),"RajivC20")</f>
        <v>RajivC20</v>
      </c>
      <c r="C3254" s="8">
        <f>IFERROR(__xludf.DUMMYFUNCTION("""COMPUTED_VALUE"""),1.0)</f>
        <v>1</v>
      </c>
      <c r="D3254" s="8"/>
    </row>
    <row r="3255">
      <c r="A3255" s="9" t="str">
        <f>IFERROR(__xludf.DUMMYFUNCTION("""COMPUTED_VALUE"""),"Batch 220")</f>
        <v>Batch 220</v>
      </c>
      <c r="B3255" s="9" t="str">
        <f>IFERROR(__xludf.DUMMYFUNCTION("""COMPUTED_VALUE"""),"ShineyC20")</f>
        <v>ShineyC20</v>
      </c>
      <c r="C3255" s="8">
        <f>IFERROR(__xludf.DUMMYFUNCTION("""COMPUTED_VALUE"""),60.0)</f>
        <v>60</v>
      </c>
      <c r="D3255" s="8">
        <f>IFERROR(__xludf.DUMMYFUNCTION("""COMPUTED_VALUE"""),21.0)</f>
        <v>21</v>
      </c>
    </row>
    <row r="3256">
      <c r="A3256" s="9" t="str">
        <f>IFERROR(__xludf.DUMMYFUNCTION("""COMPUTED_VALUE"""),"Batch 220")</f>
        <v>Batch 220</v>
      </c>
      <c r="B3256" s="9" t="str">
        <f>IFERROR(__xludf.DUMMYFUNCTION("""COMPUTED_VALUE"""),"RonitC20")</f>
        <v>RonitC20</v>
      </c>
      <c r="C3256" s="8">
        <f>IFERROR(__xludf.DUMMYFUNCTION("""COMPUTED_VALUE"""),0.0)</f>
        <v>0</v>
      </c>
      <c r="D3256" s="8"/>
    </row>
    <row r="3257">
      <c r="A3257" s="9" t="str">
        <f>IFERROR(__xludf.DUMMYFUNCTION("""COMPUTED_VALUE"""),"Batch 220")</f>
        <v>Batch 220</v>
      </c>
      <c r="B3257" s="9" t="str">
        <f>IFERROR(__xludf.DUMMYFUNCTION("""COMPUTED_VALUE"""),"ShaikC20")</f>
        <v>ShaikC20</v>
      </c>
      <c r="C3257" s="8">
        <f>IFERROR(__xludf.DUMMYFUNCTION("""COMPUTED_VALUE"""),0.0)</f>
        <v>0</v>
      </c>
      <c r="D3257" s="8"/>
    </row>
    <row r="3258">
      <c r="A3258" s="9" t="str">
        <f>IFERROR(__xludf.DUMMYFUNCTION("""COMPUTED_VALUE"""),"Batch 220")</f>
        <v>Batch 220</v>
      </c>
      <c r="B3258" s="9" t="str">
        <f>IFERROR(__xludf.DUMMYFUNCTION("""COMPUTED_VALUE"""),"AdarshC20")</f>
        <v>AdarshC20</v>
      </c>
      <c r="C3258" s="8">
        <f>IFERROR(__xludf.DUMMYFUNCTION("""COMPUTED_VALUE"""),0.0)</f>
        <v>0</v>
      </c>
      <c r="D3258" s="8"/>
    </row>
    <row r="3259">
      <c r="A3259" s="9" t="str">
        <f>IFERROR(__xludf.DUMMYFUNCTION("""COMPUTED_VALUE"""),"Batch 220")</f>
        <v>Batch 220</v>
      </c>
      <c r="B3259" s="9" t="str">
        <f>IFERROR(__xludf.DUMMYFUNCTION("""COMPUTED_VALUE"""),"JayashreeC20")</f>
        <v>JayashreeC20</v>
      </c>
      <c r="C3259" s="8">
        <f>IFERROR(__xludf.DUMMYFUNCTION("""COMPUTED_VALUE"""),0.0)</f>
        <v>0</v>
      </c>
      <c r="D3259" s="8"/>
    </row>
    <row r="3260">
      <c r="A3260" s="9" t="str">
        <f>IFERROR(__xludf.DUMMYFUNCTION("""COMPUTED_VALUE"""),"Batch 220")</f>
        <v>Batch 220</v>
      </c>
      <c r="B3260" s="9" t="str">
        <f>IFERROR(__xludf.DUMMYFUNCTION("""COMPUTED_VALUE"""),"DhruviC20")</f>
        <v>DhruviC20</v>
      </c>
      <c r="C3260" s="8">
        <f>IFERROR(__xludf.DUMMYFUNCTION("""COMPUTED_VALUE"""),0.0)</f>
        <v>0</v>
      </c>
      <c r="D3260" s="8"/>
    </row>
    <row r="3261">
      <c r="A3261" s="9"/>
      <c r="B3261" s="9"/>
      <c r="C3261" s="8">
        <f>IFERROR(__xludf.DUMMYFUNCTION("""COMPUTED_VALUE"""),0.0)</f>
        <v>0</v>
      </c>
      <c r="D3261" s="8"/>
    </row>
    <row r="3262">
      <c r="A3262" s="9" t="str">
        <f>IFERROR(__xludf.DUMMYFUNCTION("""COMPUTED_VALUE"""),"Batch 221")</f>
        <v>Batch 221</v>
      </c>
      <c r="B3262" s="9" t="str">
        <f>IFERROR(__xludf.DUMMYFUNCTION("""COMPUTED_VALUE"""),"SaibalC21")</f>
        <v>SaibalC21</v>
      </c>
      <c r="C3262" s="8">
        <f>IFERROR(__xludf.DUMMYFUNCTION("""COMPUTED_VALUE"""),0.0)</f>
        <v>0</v>
      </c>
      <c r="D3262" s="8"/>
    </row>
    <row r="3263">
      <c r="A3263" s="9" t="str">
        <f>IFERROR(__xludf.DUMMYFUNCTION("""COMPUTED_VALUE"""),"Batch 221")</f>
        <v>Batch 221</v>
      </c>
      <c r="B3263" s="9" t="str">
        <f>IFERROR(__xludf.DUMMYFUNCTION("""COMPUTED_VALUE"""),"NailaC21")</f>
        <v>NailaC21</v>
      </c>
      <c r="C3263" s="8">
        <f>IFERROR(__xludf.DUMMYFUNCTION("""COMPUTED_VALUE"""),0.0)</f>
        <v>0</v>
      </c>
      <c r="D3263" s="8"/>
    </row>
    <row r="3264">
      <c r="A3264" s="9" t="str">
        <f>IFERROR(__xludf.DUMMYFUNCTION("""COMPUTED_VALUE"""),"Batch 221")</f>
        <v>Batch 221</v>
      </c>
      <c r="B3264" s="9" t="str">
        <f>IFERROR(__xludf.DUMMYFUNCTION("""COMPUTED_VALUE"""),"AnshikaC21")</f>
        <v>AnshikaC21</v>
      </c>
      <c r="C3264" s="8">
        <f>IFERROR(__xludf.DUMMYFUNCTION("""COMPUTED_VALUE"""),0.0)</f>
        <v>0</v>
      </c>
      <c r="D3264" s="8"/>
    </row>
    <row r="3265">
      <c r="A3265" s="9" t="str">
        <f>IFERROR(__xludf.DUMMYFUNCTION("""COMPUTED_VALUE"""),"Batch 221")</f>
        <v>Batch 221</v>
      </c>
      <c r="B3265" s="9" t="str">
        <f>IFERROR(__xludf.DUMMYFUNCTION("""COMPUTED_VALUE"""),"RashmiC21")</f>
        <v>RashmiC21</v>
      </c>
      <c r="C3265" s="8">
        <f>IFERROR(__xludf.DUMMYFUNCTION("""COMPUTED_VALUE"""),0.0)</f>
        <v>0</v>
      </c>
      <c r="D3265" s="8"/>
    </row>
    <row r="3266">
      <c r="A3266" s="9" t="str">
        <f>IFERROR(__xludf.DUMMYFUNCTION("""COMPUTED_VALUE"""),"Batch 221")</f>
        <v>Batch 221</v>
      </c>
      <c r="B3266" s="9" t="str">
        <f>IFERROR(__xludf.DUMMYFUNCTION("""COMPUTED_VALUE"""),"ShrutiC21")</f>
        <v>ShrutiC21</v>
      </c>
      <c r="C3266" s="8">
        <f>IFERROR(__xludf.DUMMYFUNCTION("""COMPUTED_VALUE"""),0.0)</f>
        <v>0</v>
      </c>
      <c r="D3266" s="8"/>
    </row>
    <row r="3267">
      <c r="A3267" s="9" t="str">
        <f>IFERROR(__xludf.DUMMYFUNCTION("""COMPUTED_VALUE"""),"Batch 221")</f>
        <v>Batch 221</v>
      </c>
      <c r="B3267" s="9" t="str">
        <f>IFERROR(__xludf.DUMMYFUNCTION("""COMPUTED_VALUE"""),"Sadwika.vC21")</f>
        <v>Sadwika.vC21</v>
      </c>
      <c r="C3267" s="8">
        <f>IFERROR(__xludf.DUMMYFUNCTION("""COMPUTED_VALUE"""),2.0)</f>
        <v>2</v>
      </c>
      <c r="D3267" s="8"/>
    </row>
    <row r="3268">
      <c r="A3268" s="9" t="str">
        <f>IFERROR(__xludf.DUMMYFUNCTION("""COMPUTED_VALUE"""),"Batch 221")</f>
        <v>Batch 221</v>
      </c>
      <c r="B3268" s="9" t="str">
        <f>IFERROR(__xludf.DUMMYFUNCTION("""COMPUTED_VALUE"""),"YuktaC21")</f>
        <v>YuktaC21</v>
      </c>
      <c r="C3268" s="8">
        <f>IFERROR(__xludf.DUMMYFUNCTION("""COMPUTED_VALUE"""),0.0)</f>
        <v>0</v>
      </c>
      <c r="D3268" s="8"/>
    </row>
    <row r="3269">
      <c r="A3269" s="9" t="str">
        <f>IFERROR(__xludf.DUMMYFUNCTION("""COMPUTED_VALUE"""),"Batch 221")</f>
        <v>Batch 221</v>
      </c>
      <c r="B3269" s="9" t="str">
        <f>IFERROR(__xludf.DUMMYFUNCTION("""COMPUTED_VALUE"""),"EkagraC21")</f>
        <v>EkagraC21</v>
      </c>
      <c r="C3269" s="8">
        <f>IFERROR(__xludf.DUMMYFUNCTION("""COMPUTED_VALUE"""),0.0)</f>
        <v>0</v>
      </c>
      <c r="D3269" s="8"/>
    </row>
    <row r="3270">
      <c r="A3270" s="9" t="str">
        <f>IFERROR(__xludf.DUMMYFUNCTION("""COMPUTED_VALUE"""),"Batch 221")</f>
        <v>Batch 221</v>
      </c>
      <c r="B3270" s="9" t="str">
        <f>IFERROR(__xludf.DUMMYFUNCTION("""COMPUTED_VALUE"""),"TejasC21")</f>
        <v>TejasC21</v>
      </c>
      <c r="C3270" s="8">
        <f>IFERROR(__xludf.DUMMYFUNCTION("""COMPUTED_VALUE"""),1.0)</f>
        <v>1</v>
      </c>
      <c r="D3270" s="8"/>
    </row>
    <row r="3271">
      <c r="A3271" s="9" t="str">
        <f>IFERROR(__xludf.DUMMYFUNCTION("""COMPUTED_VALUE"""),"Batch 221")</f>
        <v>Batch 221</v>
      </c>
      <c r="B3271" s="9" t="str">
        <f>IFERROR(__xludf.DUMMYFUNCTION("""COMPUTED_VALUE"""),"MuskanC21")</f>
        <v>MuskanC21</v>
      </c>
      <c r="C3271" s="8">
        <f>IFERROR(__xludf.DUMMYFUNCTION("""COMPUTED_VALUE"""),5.0)</f>
        <v>5</v>
      </c>
      <c r="D3271" s="8"/>
    </row>
    <row r="3272">
      <c r="A3272" s="9" t="str">
        <f>IFERROR(__xludf.DUMMYFUNCTION("""COMPUTED_VALUE"""),"Batch 221")</f>
        <v>Batch 221</v>
      </c>
      <c r="B3272" s="9" t="str">
        <f>IFERROR(__xludf.DUMMYFUNCTION("""COMPUTED_VALUE"""),"shambhawiC21")</f>
        <v>shambhawiC21</v>
      </c>
      <c r="C3272" s="8">
        <f>IFERROR(__xludf.DUMMYFUNCTION("""COMPUTED_VALUE"""),0.0)</f>
        <v>0</v>
      </c>
      <c r="D3272" s="8"/>
    </row>
    <row r="3273">
      <c r="A3273" s="9" t="str">
        <f>IFERROR(__xludf.DUMMYFUNCTION("""COMPUTED_VALUE"""),"Batch 221")</f>
        <v>Batch 221</v>
      </c>
      <c r="B3273" s="9" t="str">
        <f>IFERROR(__xludf.DUMMYFUNCTION("""COMPUTED_VALUE"""),"ShrutiC21")</f>
        <v>ShrutiC21</v>
      </c>
      <c r="C3273" s="8">
        <f>IFERROR(__xludf.DUMMYFUNCTION("""COMPUTED_VALUE"""),0.0)</f>
        <v>0</v>
      </c>
      <c r="D3273" s="8"/>
    </row>
    <row r="3274">
      <c r="A3274" s="9" t="str">
        <f>IFERROR(__xludf.DUMMYFUNCTION("""COMPUTED_VALUE"""),"Batch 221")</f>
        <v>Batch 221</v>
      </c>
      <c r="B3274" s="9" t="str">
        <f>IFERROR(__xludf.DUMMYFUNCTION("""COMPUTED_VALUE"""),"ArpitaC21")</f>
        <v>ArpitaC21</v>
      </c>
      <c r="C3274" s="8">
        <f>IFERROR(__xludf.DUMMYFUNCTION("""COMPUTED_VALUE"""),0.0)</f>
        <v>0</v>
      </c>
      <c r="D3274" s="8"/>
    </row>
    <row r="3275">
      <c r="A3275" s="9" t="str">
        <f>IFERROR(__xludf.DUMMYFUNCTION("""COMPUTED_VALUE"""),"Batch 221")</f>
        <v>Batch 221</v>
      </c>
      <c r="B3275" s="9" t="str">
        <f>IFERROR(__xludf.DUMMYFUNCTION("""COMPUTED_VALUE"""),"RaghvendraC21")</f>
        <v>RaghvendraC21</v>
      </c>
      <c r="C3275" s="8">
        <f>IFERROR(__xludf.DUMMYFUNCTION("""COMPUTED_VALUE"""),0.0)</f>
        <v>0</v>
      </c>
      <c r="D3275" s="8"/>
    </row>
    <row r="3276">
      <c r="A3276" s="9" t="str">
        <f>IFERROR(__xludf.DUMMYFUNCTION("""COMPUTED_VALUE"""),"Batch 221")</f>
        <v>Batch 221</v>
      </c>
      <c r="B3276" s="9" t="str">
        <f>IFERROR(__xludf.DUMMYFUNCTION("""COMPUTED_VALUE"""),"SamridhiC21")</f>
        <v>SamridhiC21</v>
      </c>
      <c r="C3276" s="8">
        <f>IFERROR(__xludf.DUMMYFUNCTION("""COMPUTED_VALUE"""),0.0)</f>
        <v>0</v>
      </c>
      <c r="D3276" s="8"/>
    </row>
    <row r="3277">
      <c r="A3277" s="9" t="str">
        <f>IFERROR(__xludf.DUMMYFUNCTION("""COMPUTED_VALUE"""),"Batch 221")</f>
        <v>Batch 221</v>
      </c>
      <c r="B3277" s="9" t="str">
        <f>IFERROR(__xludf.DUMMYFUNCTION("""COMPUTED_VALUE"""),"SurojitC21")</f>
        <v>SurojitC21</v>
      </c>
      <c r="C3277" s="8">
        <f>IFERROR(__xludf.DUMMYFUNCTION("""COMPUTED_VALUE"""),0.0)</f>
        <v>0</v>
      </c>
      <c r="D3277" s="8"/>
    </row>
    <row r="3278">
      <c r="A3278" s="9" t="str">
        <f>IFERROR(__xludf.DUMMYFUNCTION("""COMPUTED_VALUE"""),"Batch 221")</f>
        <v>Batch 221</v>
      </c>
      <c r="B3278" s="9" t="str">
        <f>IFERROR(__xludf.DUMMYFUNCTION("""COMPUTED_VALUE"""),"ArshiyaC21")</f>
        <v>ArshiyaC21</v>
      </c>
      <c r="C3278" s="8">
        <f>IFERROR(__xludf.DUMMYFUNCTION("""COMPUTED_VALUE"""),0.0)</f>
        <v>0</v>
      </c>
      <c r="D3278" s="8"/>
    </row>
    <row r="3279">
      <c r="A3279" s="9" t="str">
        <f>IFERROR(__xludf.DUMMYFUNCTION("""COMPUTED_VALUE"""),"Batch 221")</f>
        <v>Batch 221</v>
      </c>
      <c r="B3279" s="9" t="str">
        <f>IFERROR(__xludf.DUMMYFUNCTION("""COMPUTED_VALUE"""),"TejasC21")</f>
        <v>TejasC21</v>
      </c>
      <c r="C3279" s="8">
        <f>IFERROR(__xludf.DUMMYFUNCTION("""COMPUTED_VALUE"""),0.0)</f>
        <v>0</v>
      </c>
      <c r="D3279" s="8"/>
    </row>
    <row r="3280">
      <c r="A3280" s="9" t="str">
        <f>IFERROR(__xludf.DUMMYFUNCTION("""COMPUTED_VALUE"""),"Batch 221")</f>
        <v>Batch 221</v>
      </c>
      <c r="B3280" s="9" t="str">
        <f>IFERROR(__xludf.DUMMYFUNCTION("""COMPUTED_VALUE"""),"BrianC21")</f>
        <v>BrianC21</v>
      </c>
      <c r="C3280" s="8">
        <f>IFERROR(__xludf.DUMMYFUNCTION("""COMPUTED_VALUE"""),0.0)</f>
        <v>0</v>
      </c>
      <c r="D3280" s="8"/>
    </row>
    <row r="3281">
      <c r="A3281" s="9" t="str">
        <f>IFERROR(__xludf.DUMMYFUNCTION("""COMPUTED_VALUE"""),"Batch 221")</f>
        <v>Batch 221</v>
      </c>
      <c r="B3281" s="9" t="str">
        <f>IFERROR(__xludf.DUMMYFUNCTION("""COMPUTED_VALUE"""),"VermaC21")</f>
        <v>VermaC21</v>
      </c>
      <c r="C3281" s="8">
        <f>IFERROR(__xludf.DUMMYFUNCTION("""COMPUTED_VALUE"""),0.0)</f>
        <v>0</v>
      </c>
      <c r="D3281" s="8"/>
    </row>
    <row r="3282">
      <c r="A3282" s="9" t="str">
        <f>IFERROR(__xludf.DUMMYFUNCTION("""COMPUTED_VALUE"""),"Batch 221")</f>
        <v>Batch 221</v>
      </c>
      <c r="B3282" s="9" t="str">
        <f>IFERROR(__xludf.DUMMYFUNCTION("""COMPUTED_VALUE"""),"AFROZC21")</f>
        <v>AFROZC21</v>
      </c>
      <c r="C3282" s="8">
        <f>IFERROR(__xludf.DUMMYFUNCTION("""COMPUTED_VALUE"""),11.0)</f>
        <v>11</v>
      </c>
      <c r="D3282" s="8">
        <f>IFERROR(__xludf.DUMMYFUNCTION("""COMPUTED_VALUE"""),17.0)</f>
        <v>17</v>
      </c>
    </row>
    <row r="3283">
      <c r="A3283" s="9" t="str">
        <f>IFERROR(__xludf.DUMMYFUNCTION("""COMPUTED_VALUE"""),"Batch 221")</f>
        <v>Batch 221</v>
      </c>
      <c r="B3283" s="9" t="str">
        <f>IFERROR(__xludf.DUMMYFUNCTION("""COMPUTED_VALUE"""),"YEDOTIC21")</f>
        <v>YEDOTIC21</v>
      </c>
      <c r="C3283" s="8">
        <f>IFERROR(__xludf.DUMMYFUNCTION("""COMPUTED_VALUE"""),0.0)</f>
        <v>0</v>
      </c>
      <c r="D3283" s="8"/>
    </row>
    <row r="3284">
      <c r="A3284" s="9" t="str">
        <f>IFERROR(__xludf.DUMMYFUNCTION("""COMPUTED_VALUE"""),"Batch 221")</f>
        <v>Batch 221</v>
      </c>
      <c r="B3284" s="9" t="str">
        <f>IFERROR(__xludf.DUMMYFUNCTION("""COMPUTED_VALUE"""),"VictorC21")</f>
        <v>VictorC21</v>
      </c>
      <c r="C3284" s="8">
        <f>IFERROR(__xludf.DUMMYFUNCTION("""COMPUTED_VALUE"""),0.0)</f>
        <v>0</v>
      </c>
      <c r="D3284" s="8"/>
    </row>
    <row r="3285">
      <c r="A3285" s="9" t="str">
        <f>IFERROR(__xludf.DUMMYFUNCTION("""COMPUTED_VALUE"""),"Batch 221")</f>
        <v>Batch 221</v>
      </c>
      <c r="B3285" s="9" t="str">
        <f>IFERROR(__xludf.DUMMYFUNCTION("""COMPUTED_VALUE"""),"VarunC21")</f>
        <v>VarunC21</v>
      </c>
      <c r="C3285" s="8">
        <f>IFERROR(__xludf.DUMMYFUNCTION("""COMPUTED_VALUE"""),0.0)</f>
        <v>0</v>
      </c>
      <c r="D3285" s="8"/>
    </row>
    <row r="3286">
      <c r="A3286" s="9" t="str">
        <f>IFERROR(__xludf.DUMMYFUNCTION("""COMPUTED_VALUE"""),"Batch 221")</f>
        <v>Batch 221</v>
      </c>
      <c r="B3286" s="9" t="str">
        <f>IFERROR(__xludf.DUMMYFUNCTION("""COMPUTED_VALUE"""),"NityaC21")</f>
        <v>NityaC21</v>
      </c>
      <c r="C3286" s="8">
        <f>IFERROR(__xludf.DUMMYFUNCTION("""COMPUTED_VALUE"""),0.0)</f>
        <v>0</v>
      </c>
      <c r="D3286" s="8"/>
    </row>
    <row r="3287">
      <c r="A3287" s="9"/>
      <c r="B3287" s="9"/>
      <c r="C3287" s="8">
        <f>IFERROR(__xludf.DUMMYFUNCTION("""COMPUTED_VALUE"""),0.0)</f>
        <v>0</v>
      </c>
      <c r="D3287" s="8"/>
    </row>
    <row r="3288">
      <c r="A3288" s="9" t="str">
        <f>IFERROR(__xludf.DUMMYFUNCTION("""COMPUTED_VALUE"""),"Batch 222")</f>
        <v>Batch 222</v>
      </c>
      <c r="B3288" s="9" t="str">
        <f>IFERROR(__xludf.DUMMYFUNCTION("""COMPUTED_VALUE"""),"BharathiC22")</f>
        <v>BharathiC22</v>
      </c>
      <c r="C3288" s="8">
        <f>IFERROR(__xludf.DUMMYFUNCTION("""COMPUTED_VALUE"""),0.0)</f>
        <v>0</v>
      </c>
      <c r="D3288" s="8"/>
    </row>
    <row r="3289">
      <c r="A3289" s="9" t="str">
        <f>IFERROR(__xludf.DUMMYFUNCTION("""COMPUTED_VALUE"""),"Batch 222")</f>
        <v>Batch 222</v>
      </c>
      <c r="B3289" s="9" t="str">
        <f>IFERROR(__xludf.DUMMYFUNCTION("""COMPUTED_VALUE"""),"EllankiC22")</f>
        <v>EllankiC22</v>
      </c>
      <c r="C3289" s="8">
        <f>IFERROR(__xludf.DUMMYFUNCTION("""COMPUTED_VALUE"""),0.0)</f>
        <v>0</v>
      </c>
      <c r="D3289" s="8"/>
    </row>
    <row r="3290">
      <c r="A3290" s="9" t="str">
        <f>IFERROR(__xludf.DUMMYFUNCTION("""COMPUTED_VALUE"""),"Batch 222")</f>
        <v>Batch 222</v>
      </c>
      <c r="B3290" s="9" t="str">
        <f>IFERROR(__xludf.DUMMYFUNCTION("""COMPUTED_VALUE"""),"HarshadaC22")</f>
        <v>HarshadaC22</v>
      </c>
      <c r="C3290" s="8">
        <f>IFERROR(__xludf.DUMMYFUNCTION("""COMPUTED_VALUE"""),0.0)</f>
        <v>0</v>
      </c>
      <c r="D3290" s="8"/>
    </row>
    <row r="3291">
      <c r="A3291" s="9" t="str">
        <f>IFERROR(__xludf.DUMMYFUNCTION("""COMPUTED_VALUE"""),"Batch 222")</f>
        <v>Batch 222</v>
      </c>
      <c r="B3291" s="9" t="str">
        <f>IFERROR(__xludf.DUMMYFUNCTION("""COMPUTED_VALUE"""),"AmritpalC22")</f>
        <v>AmritpalC22</v>
      </c>
      <c r="C3291" s="8">
        <f>IFERROR(__xludf.DUMMYFUNCTION("""COMPUTED_VALUE"""),0.0)</f>
        <v>0</v>
      </c>
      <c r="D3291" s="8"/>
    </row>
    <row r="3292">
      <c r="A3292" s="9" t="str">
        <f>IFERROR(__xludf.DUMMYFUNCTION("""COMPUTED_VALUE"""),"Batch 222")</f>
        <v>Batch 222</v>
      </c>
      <c r="B3292" s="9" t="str">
        <f>IFERROR(__xludf.DUMMYFUNCTION("""COMPUTED_VALUE"""),"AnjaliC22")</f>
        <v>AnjaliC22</v>
      </c>
      <c r="C3292" s="8">
        <f>IFERROR(__xludf.DUMMYFUNCTION("""COMPUTED_VALUE"""),0.0)</f>
        <v>0</v>
      </c>
      <c r="D3292" s="8"/>
    </row>
    <row r="3293">
      <c r="A3293" s="9" t="str">
        <f>IFERROR(__xludf.DUMMYFUNCTION("""COMPUTED_VALUE"""),"Batch 222")</f>
        <v>Batch 222</v>
      </c>
      <c r="B3293" s="9" t="str">
        <f>IFERROR(__xludf.DUMMYFUNCTION("""COMPUTED_VALUE"""),"CharchitC22")</f>
        <v>CharchitC22</v>
      </c>
      <c r="C3293" s="8">
        <f>IFERROR(__xludf.DUMMYFUNCTION("""COMPUTED_VALUE"""),0.0)</f>
        <v>0</v>
      </c>
      <c r="D3293" s="8"/>
    </row>
    <row r="3294">
      <c r="A3294" s="9" t="str">
        <f>IFERROR(__xludf.DUMMYFUNCTION("""COMPUTED_VALUE"""),"Batch 222")</f>
        <v>Batch 222</v>
      </c>
      <c r="B3294" s="9" t="str">
        <f>IFERROR(__xludf.DUMMYFUNCTION("""COMPUTED_VALUE"""),"NaveeshaC22")</f>
        <v>NaveeshaC22</v>
      </c>
      <c r="C3294" s="8">
        <f>IFERROR(__xludf.DUMMYFUNCTION("""COMPUTED_VALUE"""),0.0)</f>
        <v>0</v>
      </c>
      <c r="D3294" s="8"/>
    </row>
    <row r="3295">
      <c r="A3295" s="9" t="str">
        <f>IFERROR(__xludf.DUMMYFUNCTION("""COMPUTED_VALUE"""),"Batch 222")</f>
        <v>Batch 222</v>
      </c>
      <c r="B3295" s="9" t="str">
        <f>IFERROR(__xludf.DUMMYFUNCTION("""COMPUTED_VALUE"""),"AyeshaC22")</f>
        <v>AyeshaC22</v>
      </c>
      <c r="C3295" s="8">
        <f>IFERROR(__xludf.DUMMYFUNCTION("""COMPUTED_VALUE"""),0.0)</f>
        <v>0</v>
      </c>
      <c r="D3295" s="8"/>
    </row>
    <row r="3296">
      <c r="A3296" s="9" t="str">
        <f>IFERROR(__xludf.DUMMYFUNCTION("""COMPUTED_VALUE"""),"Batch 222")</f>
        <v>Batch 222</v>
      </c>
      <c r="B3296" s="9" t="str">
        <f>IFERROR(__xludf.DUMMYFUNCTION("""COMPUTED_VALUE"""),"MonikaC22")</f>
        <v>MonikaC22</v>
      </c>
      <c r="C3296" s="8">
        <f>IFERROR(__xludf.DUMMYFUNCTION("""COMPUTED_VALUE"""),0.0)</f>
        <v>0</v>
      </c>
      <c r="D3296" s="8"/>
    </row>
    <row r="3297">
      <c r="A3297" s="9" t="str">
        <f>IFERROR(__xludf.DUMMYFUNCTION("""COMPUTED_VALUE"""),"Batch 222")</f>
        <v>Batch 222</v>
      </c>
      <c r="B3297" s="9" t="str">
        <f>IFERROR(__xludf.DUMMYFUNCTION("""COMPUTED_VALUE"""),"MehulC22")</f>
        <v>MehulC22</v>
      </c>
      <c r="C3297" s="8">
        <f>IFERROR(__xludf.DUMMYFUNCTION("""COMPUTED_VALUE"""),7.0)</f>
        <v>7</v>
      </c>
      <c r="D3297" s="8"/>
    </row>
    <row r="3298">
      <c r="A3298" s="9" t="str">
        <f>IFERROR(__xludf.DUMMYFUNCTION("""COMPUTED_VALUE"""),"Batch 222")</f>
        <v>Batch 222</v>
      </c>
      <c r="B3298" s="9" t="str">
        <f>IFERROR(__xludf.DUMMYFUNCTION("""COMPUTED_VALUE"""),"ParidhiC22")</f>
        <v>ParidhiC22</v>
      </c>
      <c r="C3298" s="8">
        <f>IFERROR(__xludf.DUMMYFUNCTION("""COMPUTED_VALUE"""),0.0)</f>
        <v>0</v>
      </c>
      <c r="D3298" s="8"/>
    </row>
    <row r="3299">
      <c r="A3299" s="9" t="str">
        <f>IFERROR(__xludf.DUMMYFUNCTION("""COMPUTED_VALUE"""),"Batch 222")</f>
        <v>Batch 222</v>
      </c>
      <c r="B3299" s="9" t="str">
        <f>IFERROR(__xludf.DUMMYFUNCTION("""COMPUTED_VALUE"""),"DheerajC22")</f>
        <v>DheerajC22</v>
      </c>
      <c r="C3299" s="8">
        <f>IFERROR(__xludf.DUMMYFUNCTION("""COMPUTED_VALUE"""),0.0)</f>
        <v>0</v>
      </c>
      <c r="D3299" s="8"/>
    </row>
    <row r="3300">
      <c r="A3300" s="9" t="str">
        <f>IFERROR(__xludf.DUMMYFUNCTION("""COMPUTED_VALUE"""),"Batch 222")</f>
        <v>Batch 222</v>
      </c>
      <c r="B3300" s="9" t="str">
        <f>IFERROR(__xludf.DUMMYFUNCTION("""COMPUTED_VALUE"""),"RakshitaC22")</f>
        <v>RakshitaC22</v>
      </c>
      <c r="C3300" s="8">
        <f>IFERROR(__xludf.DUMMYFUNCTION("""COMPUTED_VALUE"""),9.0)</f>
        <v>9</v>
      </c>
      <c r="D3300" s="8"/>
    </row>
    <row r="3301">
      <c r="A3301" s="9" t="str">
        <f>IFERROR(__xludf.DUMMYFUNCTION("""COMPUTED_VALUE"""),"Batch 222")</f>
        <v>Batch 222</v>
      </c>
      <c r="B3301" s="9" t="str">
        <f>IFERROR(__xludf.DUMMYFUNCTION("""COMPUTED_VALUE"""),"ArshdeepC22")</f>
        <v>ArshdeepC22</v>
      </c>
      <c r="C3301" s="8">
        <f>IFERROR(__xludf.DUMMYFUNCTION("""COMPUTED_VALUE"""),0.0)</f>
        <v>0</v>
      </c>
      <c r="D3301" s="8"/>
    </row>
    <row r="3302">
      <c r="A3302" s="9" t="str">
        <f>IFERROR(__xludf.DUMMYFUNCTION("""COMPUTED_VALUE"""),"Batch 222")</f>
        <v>Batch 222</v>
      </c>
      <c r="B3302" s="9" t="str">
        <f>IFERROR(__xludf.DUMMYFUNCTION("""COMPUTED_VALUE"""),"SakshamC22")</f>
        <v>SakshamC22</v>
      </c>
      <c r="C3302" s="8">
        <f>IFERROR(__xludf.DUMMYFUNCTION("""COMPUTED_VALUE"""),0.0)</f>
        <v>0</v>
      </c>
      <c r="D3302" s="8"/>
    </row>
    <row r="3303">
      <c r="A3303" s="9" t="str">
        <f>IFERROR(__xludf.DUMMYFUNCTION("""COMPUTED_VALUE"""),"Batch 222")</f>
        <v>Batch 222</v>
      </c>
      <c r="B3303" s="9" t="str">
        <f>IFERROR(__xludf.DUMMYFUNCTION("""COMPUTED_VALUE"""),"PriyankaC22")</f>
        <v>PriyankaC22</v>
      </c>
      <c r="C3303" s="8">
        <f>IFERROR(__xludf.DUMMYFUNCTION("""COMPUTED_VALUE"""),0.0)</f>
        <v>0</v>
      </c>
      <c r="D3303" s="8"/>
    </row>
    <row r="3304">
      <c r="A3304" s="9" t="str">
        <f>IFERROR(__xludf.DUMMYFUNCTION("""COMPUTED_VALUE"""),"Batch 222")</f>
        <v>Batch 222</v>
      </c>
      <c r="B3304" s="9" t="str">
        <f>IFERROR(__xludf.DUMMYFUNCTION("""COMPUTED_VALUE"""),"SabqatC22")</f>
        <v>SabqatC22</v>
      </c>
      <c r="C3304" s="8">
        <f>IFERROR(__xludf.DUMMYFUNCTION("""COMPUTED_VALUE"""),0.0)</f>
        <v>0</v>
      </c>
      <c r="D3304" s="8"/>
    </row>
    <row r="3305">
      <c r="A3305" s="9" t="str">
        <f>IFERROR(__xludf.DUMMYFUNCTION("""COMPUTED_VALUE"""),"Batch 222")</f>
        <v>Batch 222</v>
      </c>
      <c r="B3305" s="9" t="str">
        <f>IFERROR(__xludf.DUMMYFUNCTION("""COMPUTED_VALUE"""),"SreebhadraC22")</f>
        <v>SreebhadraC22</v>
      </c>
      <c r="C3305" s="8">
        <f>IFERROR(__xludf.DUMMYFUNCTION("""COMPUTED_VALUE"""),0.0)</f>
        <v>0</v>
      </c>
      <c r="D3305" s="8"/>
    </row>
    <row r="3306">
      <c r="A3306" s="9" t="str">
        <f>IFERROR(__xludf.DUMMYFUNCTION("""COMPUTED_VALUE"""),"Batch 222")</f>
        <v>Batch 222</v>
      </c>
      <c r="B3306" s="9" t="str">
        <f>IFERROR(__xludf.DUMMYFUNCTION("""COMPUTED_VALUE"""),"KeshavC22")</f>
        <v>KeshavC22</v>
      </c>
      <c r="C3306" s="8">
        <f>IFERROR(__xludf.DUMMYFUNCTION("""COMPUTED_VALUE"""),0.0)</f>
        <v>0</v>
      </c>
      <c r="D3306" s="8"/>
    </row>
    <row r="3307">
      <c r="A3307" s="9" t="str">
        <f>IFERROR(__xludf.DUMMYFUNCTION("""COMPUTED_VALUE"""),"Batch 222")</f>
        <v>Batch 222</v>
      </c>
      <c r="B3307" s="9" t="str">
        <f>IFERROR(__xludf.DUMMYFUNCTION("""COMPUTED_VALUE"""),"TanirikaC22")</f>
        <v>TanirikaC22</v>
      </c>
      <c r="C3307" s="8">
        <f>IFERROR(__xludf.DUMMYFUNCTION("""COMPUTED_VALUE"""),0.0)</f>
        <v>0</v>
      </c>
      <c r="D3307" s="8"/>
    </row>
    <row r="3308">
      <c r="A3308" s="9" t="str">
        <f>IFERROR(__xludf.DUMMYFUNCTION("""COMPUTED_VALUE"""),"Batch 222")</f>
        <v>Batch 222</v>
      </c>
      <c r="B3308" s="9" t="str">
        <f>IFERROR(__xludf.DUMMYFUNCTION("""COMPUTED_VALUE"""),"JaiC22")</f>
        <v>JaiC22</v>
      </c>
      <c r="C3308" s="8">
        <f>IFERROR(__xludf.DUMMYFUNCTION("""COMPUTED_VALUE"""),0.0)</f>
        <v>0</v>
      </c>
      <c r="D3308" s="8"/>
    </row>
    <row r="3309">
      <c r="A3309" s="9" t="str">
        <f>IFERROR(__xludf.DUMMYFUNCTION("""COMPUTED_VALUE"""),"Batch 222")</f>
        <v>Batch 222</v>
      </c>
      <c r="B3309" s="9" t="str">
        <f>IFERROR(__xludf.DUMMYFUNCTION("""COMPUTED_VALUE"""),"SanjanaC22")</f>
        <v>SanjanaC22</v>
      </c>
      <c r="C3309" s="8">
        <f>IFERROR(__xludf.DUMMYFUNCTION("""COMPUTED_VALUE"""),1.0)</f>
        <v>1</v>
      </c>
      <c r="D3309" s="8"/>
    </row>
    <row r="3310">
      <c r="A3310" s="9" t="str">
        <f>IFERROR(__xludf.DUMMYFUNCTION("""COMPUTED_VALUE"""),"Batch 222")</f>
        <v>Batch 222</v>
      </c>
      <c r="B3310" s="9" t="str">
        <f>IFERROR(__xludf.DUMMYFUNCTION("""COMPUTED_VALUE"""),"PunamC22")</f>
        <v>PunamC22</v>
      </c>
      <c r="C3310" s="8">
        <f>IFERROR(__xludf.DUMMYFUNCTION("""COMPUTED_VALUE"""),0.0)</f>
        <v>0</v>
      </c>
      <c r="D3310" s="8"/>
    </row>
    <row r="3311">
      <c r="A3311" s="9" t="str">
        <f>IFERROR(__xludf.DUMMYFUNCTION("""COMPUTED_VALUE"""),"Batch 222")</f>
        <v>Batch 222</v>
      </c>
      <c r="B3311" s="9" t="str">
        <f>IFERROR(__xludf.DUMMYFUNCTION("""COMPUTED_VALUE"""),"MuskanC22")</f>
        <v>MuskanC22</v>
      </c>
      <c r="C3311" s="8">
        <f>IFERROR(__xludf.DUMMYFUNCTION("""COMPUTED_VALUE"""),0.0)</f>
        <v>0</v>
      </c>
      <c r="D3311" s="8"/>
    </row>
    <row r="3312">
      <c r="A3312" s="9"/>
      <c r="B3312" s="9"/>
      <c r="C3312" s="8">
        <f>IFERROR(__xludf.DUMMYFUNCTION("""COMPUTED_VALUE"""),0.0)</f>
        <v>0</v>
      </c>
      <c r="D3312" s="8"/>
    </row>
    <row r="3313">
      <c r="A3313" s="9" t="str">
        <f>IFERROR(__xludf.DUMMYFUNCTION("""COMPUTED_VALUE"""),"Batch 223")</f>
        <v>Batch 223</v>
      </c>
      <c r="B3313" s="9" t="str">
        <f>IFERROR(__xludf.DUMMYFUNCTION("""COMPUTED_VALUE"""),"BhawnaC23")</f>
        <v>BhawnaC23</v>
      </c>
      <c r="C3313" s="8">
        <f>IFERROR(__xludf.DUMMYFUNCTION("""COMPUTED_VALUE"""),0.0)</f>
        <v>0</v>
      </c>
      <c r="D3313" s="8"/>
    </row>
    <row r="3314">
      <c r="A3314" s="9" t="str">
        <f>IFERROR(__xludf.DUMMYFUNCTION("""COMPUTED_VALUE"""),"Batch 223")</f>
        <v>Batch 223</v>
      </c>
      <c r="B3314" s="9" t="str">
        <f>IFERROR(__xludf.DUMMYFUNCTION("""COMPUTED_VALUE"""),"MahakC23")</f>
        <v>MahakC23</v>
      </c>
      <c r="C3314" s="8">
        <f>IFERROR(__xludf.DUMMYFUNCTION("""COMPUTED_VALUE"""),0.0)</f>
        <v>0</v>
      </c>
      <c r="D3314" s="8"/>
    </row>
    <row r="3315">
      <c r="A3315" s="9" t="str">
        <f>IFERROR(__xludf.DUMMYFUNCTION("""COMPUTED_VALUE"""),"Batch 223")</f>
        <v>Batch 223</v>
      </c>
      <c r="B3315" s="9" t="str">
        <f>IFERROR(__xludf.DUMMYFUNCTION("""COMPUTED_VALUE"""),"AnishC23")</f>
        <v>AnishC23</v>
      </c>
      <c r="C3315" s="8">
        <f>IFERROR(__xludf.DUMMYFUNCTION("""COMPUTED_VALUE"""),0.0)</f>
        <v>0</v>
      </c>
      <c r="D3315" s="8"/>
    </row>
    <row r="3316">
      <c r="A3316" s="9" t="str">
        <f>IFERROR(__xludf.DUMMYFUNCTION("""COMPUTED_VALUE"""),"Batch 223")</f>
        <v>Batch 223</v>
      </c>
      <c r="B3316" s="9" t="str">
        <f>IFERROR(__xludf.DUMMYFUNCTION("""COMPUTED_VALUE"""),"MuhammedC23")</f>
        <v>MuhammedC23</v>
      </c>
      <c r="C3316" s="8">
        <f>IFERROR(__xludf.DUMMYFUNCTION("""COMPUTED_VALUE"""),1.0)</f>
        <v>1</v>
      </c>
      <c r="D3316" s="8"/>
    </row>
    <row r="3317">
      <c r="A3317" s="9" t="str">
        <f>IFERROR(__xludf.DUMMYFUNCTION("""COMPUTED_VALUE"""),"Batch 223")</f>
        <v>Batch 223</v>
      </c>
      <c r="B3317" s="9" t="str">
        <f>IFERROR(__xludf.DUMMYFUNCTION("""COMPUTED_VALUE"""),"SumitC23")</f>
        <v>SumitC23</v>
      </c>
      <c r="C3317" s="8">
        <f>IFERROR(__xludf.DUMMYFUNCTION("""COMPUTED_VALUE"""),0.0)</f>
        <v>0</v>
      </c>
      <c r="D3317" s="8">
        <f>IFERROR(__xludf.DUMMYFUNCTION("""COMPUTED_VALUE"""),1.0)</f>
        <v>1</v>
      </c>
    </row>
    <row r="3318">
      <c r="A3318" s="9" t="str">
        <f>IFERROR(__xludf.DUMMYFUNCTION("""COMPUTED_VALUE"""),"Batch 223")</f>
        <v>Batch 223</v>
      </c>
      <c r="B3318" s="9" t="str">
        <f>IFERROR(__xludf.DUMMYFUNCTION("""COMPUTED_VALUE"""),"LavishC23")</f>
        <v>LavishC23</v>
      </c>
      <c r="C3318" s="8">
        <f>IFERROR(__xludf.DUMMYFUNCTION("""COMPUTED_VALUE"""),0.0)</f>
        <v>0</v>
      </c>
      <c r="D3318" s="8"/>
    </row>
    <row r="3319">
      <c r="A3319" s="9" t="str">
        <f>IFERROR(__xludf.DUMMYFUNCTION("""COMPUTED_VALUE"""),"Batch 223")</f>
        <v>Batch 223</v>
      </c>
      <c r="B3319" s="9" t="str">
        <f>IFERROR(__xludf.DUMMYFUNCTION("""COMPUTED_VALUE"""),"TaranC23")</f>
        <v>TaranC23</v>
      </c>
      <c r="C3319" s="8">
        <f>IFERROR(__xludf.DUMMYFUNCTION("""COMPUTED_VALUE"""),0.0)</f>
        <v>0</v>
      </c>
      <c r="D3319" s="8"/>
    </row>
    <row r="3320">
      <c r="A3320" s="9" t="str">
        <f>IFERROR(__xludf.DUMMYFUNCTION("""COMPUTED_VALUE"""),"Batch 223")</f>
        <v>Batch 223</v>
      </c>
      <c r="B3320" s="9" t="str">
        <f>IFERROR(__xludf.DUMMYFUNCTION("""COMPUTED_VALUE"""),"AnasC23")</f>
        <v>AnasC23</v>
      </c>
      <c r="C3320" s="8">
        <f>IFERROR(__xludf.DUMMYFUNCTION("""COMPUTED_VALUE"""),0.0)</f>
        <v>0</v>
      </c>
      <c r="D3320" s="8"/>
    </row>
    <row r="3321">
      <c r="A3321" s="9" t="str">
        <f>IFERROR(__xludf.DUMMYFUNCTION("""COMPUTED_VALUE"""),"Batch 223")</f>
        <v>Batch 223</v>
      </c>
      <c r="B3321" s="9" t="str">
        <f>IFERROR(__xludf.DUMMYFUNCTION("""COMPUTED_VALUE"""),"NikunjC23")</f>
        <v>NikunjC23</v>
      </c>
      <c r="C3321" s="8">
        <f>IFERROR(__xludf.DUMMYFUNCTION("""COMPUTED_VALUE"""),1.0)</f>
        <v>1</v>
      </c>
      <c r="D3321" s="8"/>
    </row>
    <row r="3322">
      <c r="A3322" s="9" t="str">
        <f>IFERROR(__xludf.DUMMYFUNCTION("""COMPUTED_VALUE"""),"Batch 223")</f>
        <v>Batch 223</v>
      </c>
      <c r="B3322" s="9" t="str">
        <f>IFERROR(__xludf.DUMMYFUNCTION("""COMPUTED_VALUE"""),"FizaC23")</f>
        <v>FizaC23</v>
      </c>
      <c r="C3322" s="8">
        <f>IFERROR(__xludf.DUMMYFUNCTION("""COMPUTED_VALUE"""),1.0)</f>
        <v>1</v>
      </c>
      <c r="D3322" s="8"/>
    </row>
    <row r="3323">
      <c r="A3323" s="9" t="str">
        <f>IFERROR(__xludf.DUMMYFUNCTION("""COMPUTED_VALUE"""),"Batch 223")</f>
        <v>Batch 223</v>
      </c>
      <c r="B3323" s="9" t="str">
        <f>IFERROR(__xludf.DUMMYFUNCTION("""COMPUTED_VALUE"""),"SamraC23")</f>
        <v>SamraC23</v>
      </c>
      <c r="C3323" s="8">
        <f>IFERROR(__xludf.DUMMYFUNCTION("""COMPUTED_VALUE"""),0.0)</f>
        <v>0</v>
      </c>
      <c r="D3323" s="8"/>
    </row>
    <row r="3324">
      <c r="A3324" s="9" t="str">
        <f>IFERROR(__xludf.DUMMYFUNCTION("""COMPUTED_VALUE"""),"Batch 223")</f>
        <v>Batch 223</v>
      </c>
      <c r="B3324" s="9" t="str">
        <f>IFERROR(__xludf.DUMMYFUNCTION("""COMPUTED_VALUE"""),"SwatiC23")</f>
        <v>SwatiC23</v>
      </c>
      <c r="C3324" s="8">
        <f>IFERROR(__xludf.DUMMYFUNCTION("""COMPUTED_VALUE"""),0.0)</f>
        <v>0</v>
      </c>
      <c r="D3324" s="8"/>
    </row>
    <row r="3325">
      <c r="A3325" s="9" t="str">
        <f>IFERROR(__xludf.DUMMYFUNCTION("""COMPUTED_VALUE"""),"Batch 223")</f>
        <v>Batch 223</v>
      </c>
      <c r="B3325" s="9" t="str">
        <f>IFERROR(__xludf.DUMMYFUNCTION("""COMPUTED_VALUE"""),"KashishC23")</f>
        <v>KashishC23</v>
      </c>
      <c r="C3325" s="8">
        <f>IFERROR(__xludf.DUMMYFUNCTION("""COMPUTED_VALUE"""),0.0)</f>
        <v>0</v>
      </c>
      <c r="D3325" s="8"/>
    </row>
    <row r="3326">
      <c r="A3326" s="9" t="str">
        <f>IFERROR(__xludf.DUMMYFUNCTION("""COMPUTED_VALUE"""),"Batch 223")</f>
        <v>Batch 223</v>
      </c>
      <c r="B3326" s="9" t="str">
        <f>IFERROR(__xludf.DUMMYFUNCTION("""COMPUTED_VALUE"""),"HarshilC23")</f>
        <v>HarshilC23</v>
      </c>
      <c r="C3326" s="8">
        <f>IFERROR(__xludf.DUMMYFUNCTION("""COMPUTED_VALUE"""),0.0)</f>
        <v>0</v>
      </c>
      <c r="D3326" s="8"/>
    </row>
    <row r="3327">
      <c r="A3327" s="9" t="str">
        <f>IFERROR(__xludf.DUMMYFUNCTION("""COMPUTED_VALUE"""),"Batch 223")</f>
        <v>Batch 223</v>
      </c>
      <c r="B3327" s="9" t="str">
        <f>IFERROR(__xludf.DUMMYFUNCTION("""COMPUTED_VALUE"""),"GirirajC23")</f>
        <v>GirirajC23</v>
      </c>
      <c r="C3327" s="8">
        <f>IFERROR(__xludf.DUMMYFUNCTION("""COMPUTED_VALUE"""),0.0)</f>
        <v>0</v>
      </c>
      <c r="D3327" s="8"/>
    </row>
    <row r="3328">
      <c r="A3328" s="9" t="str">
        <f>IFERROR(__xludf.DUMMYFUNCTION("""COMPUTED_VALUE"""),"Batch 223")</f>
        <v>Batch 223</v>
      </c>
      <c r="B3328" s="9" t="str">
        <f>IFERROR(__xludf.DUMMYFUNCTION("""COMPUTED_VALUE"""),"ShanviC23")</f>
        <v>ShanviC23</v>
      </c>
      <c r="C3328" s="8">
        <f>IFERROR(__xludf.DUMMYFUNCTION("""COMPUTED_VALUE"""),0.0)</f>
        <v>0</v>
      </c>
      <c r="D3328" s="8"/>
    </row>
    <row r="3329">
      <c r="A3329" s="9" t="str">
        <f>IFERROR(__xludf.DUMMYFUNCTION("""COMPUTED_VALUE"""),"Batch 223")</f>
        <v>Batch 223</v>
      </c>
      <c r="B3329" s="9" t="str">
        <f>IFERROR(__xludf.DUMMYFUNCTION("""COMPUTED_VALUE"""),"BhavikaC23")</f>
        <v>BhavikaC23</v>
      </c>
      <c r="C3329" s="8">
        <f>IFERROR(__xludf.DUMMYFUNCTION("""COMPUTED_VALUE"""),0.0)</f>
        <v>0</v>
      </c>
      <c r="D3329" s="8"/>
    </row>
    <row r="3330">
      <c r="A3330" s="9" t="str">
        <f>IFERROR(__xludf.DUMMYFUNCTION("""COMPUTED_VALUE"""),"Batch 223")</f>
        <v>Batch 223</v>
      </c>
      <c r="B3330" s="9" t="str">
        <f>IFERROR(__xludf.DUMMYFUNCTION("""COMPUTED_VALUE"""),"GauravC23")</f>
        <v>GauravC23</v>
      </c>
      <c r="C3330" s="8">
        <f>IFERROR(__xludf.DUMMYFUNCTION("""COMPUTED_VALUE"""),0.0)</f>
        <v>0</v>
      </c>
      <c r="D3330" s="8"/>
    </row>
    <row r="3331">
      <c r="A3331" s="9" t="str">
        <f>IFERROR(__xludf.DUMMYFUNCTION("""COMPUTED_VALUE"""),"Batch 223")</f>
        <v>Batch 223</v>
      </c>
      <c r="B3331" s="9" t="str">
        <f>IFERROR(__xludf.DUMMYFUNCTION("""COMPUTED_VALUE"""),"DeveshC23")</f>
        <v>DeveshC23</v>
      </c>
      <c r="C3331" s="8">
        <f>IFERROR(__xludf.DUMMYFUNCTION("""COMPUTED_VALUE"""),0.0)</f>
        <v>0</v>
      </c>
      <c r="D3331" s="8"/>
    </row>
    <row r="3332">
      <c r="A3332" s="9" t="str">
        <f>IFERROR(__xludf.DUMMYFUNCTION("""COMPUTED_VALUE"""),"Batch 223")</f>
        <v>Batch 223</v>
      </c>
      <c r="B3332" s="9" t="str">
        <f>IFERROR(__xludf.DUMMYFUNCTION("""COMPUTED_VALUE"""),"SaloniC23")</f>
        <v>SaloniC23</v>
      </c>
      <c r="C3332" s="8">
        <f>IFERROR(__xludf.DUMMYFUNCTION("""COMPUTED_VALUE"""),0.0)</f>
        <v>0</v>
      </c>
      <c r="D3332" s="8"/>
    </row>
    <row r="3333">
      <c r="A3333" s="9" t="str">
        <f>IFERROR(__xludf.DUMMYFUNCTION("""COMPUTED_VALUE"""),"Batch 223")</f>
        <v>Batch 223</v>
      </c>
      <c r="B3333" s="9" t="str">
        <f>IFERROR(__xludf.DUMMYFUNCTION("""COMPUTED_VALUE"""),"DonC23")</f>
        <v>DonC23</v>
      </c>
      <c r="C3333" s="8">
        <f>IFERROR(__xludf.DUMMYFUNCTION("""COMPUTED_VALUE"""),1.0)</f>
        <v>1</v>
      </c>
      <c r="D3333" s="8"/>
    </row>
    <row r="3334">
      <c r="A3334" s="9"/>
      <c r="B3334" s="9"/>
      <c r="C3334" s="8">
        <f>IFERROR(__xludf.DUMMYFUNCTION("""COMPUTED_VALUE"""),0.0)</f>
        <v>0</v>
      </c>
      <c r="D3334" s="8"/>
    </row>
    <row r="3335">
      <c r="A3335" s="9" t="str">
        <f>IFERROR(__xludf.DUMMYFUNCTION("""COMPUTED_VALUE"""),"Batch 224")</f>
        <v>Batch 224</v>
      </c>
      <c r="B3335" s="9" t="str">
        <f>IFERROR(__xludf.DUMMYFUNCTION("""COMPUTED_VALUE"""),"RohiniC24")</f>
        <v>RohiniC24</v>
      </c>
      <c r="C3335" s="8">
        <f>IFERROR(__xludf.DUMMYFUNCTION("""COMPUTED_VALUE"""),0.0)</f>
        <v>0</v>
      </c>
      <c r="D3335" s="8"/>
    </row>
    <row r="3336">
      <c r="A3336" s="9" t="str">
        <f>IFERROR(__xludf.DUMMYFUNCTION("""COMPUTED_VALUE"""),"Batch 224")</f>
        <v>Batch 224</v>
      </c>
      <c r="B3336" s="9" t="str">
        <f>IFERROR(__xludf.DUMMYFUNCTION("""COMPUTED_VALUE"""),"KaushaniC24")</f>
        <v>KaushaniC24</v>
      </c>
      <c r="C3336" s="8">
        <f>IFERROR(__xludf.DUMMYFUNCTION("""COMPUTED_VALUE"""),0.0)</f>
        <v>0</v>
      </c>
      <c r="D3336" s="8"/>
    </row>
    <row r="3337">
      <c r="A3337" s="9" t="str">
        <f>IFERROR(__xludf.DUMMYFUNCTION("""COMPUTED_VALUE"""),"Batch 224")</f>
        <v>Batch 224</v>
      </c>
      <c r="B3337" s="9" t="str">
        <f>IFERROR(__xludf.DUMMYFUNCTION("""COMPUTED_VALUE"""),"AnjaliC24")</f>
        <v>AnjaliC24</v>
      </c>
      <c r="C3337" s="8">
        <f>IFERROR(__xludf.DUMMYFUNCTION("""COMPUTED_VALUE"""),0.0)</f>
        <v>0</v>
      </c>
      <c r="D3337" s="8"/>
    </row>
    <row r="3338">
      <c r="A3338" s="9" t="str">
        <f>IFERROR(__xludf.DUMMYFUNCTION("""COMPUTED_VALUE"""),"Batch 224")</f>
        <v>Batch 224</v>
      </c>
      <c r="B3338" s="9" t="str">
        <f>IFERROR(__xludf.DUMMYFUNCTION("""COMPUTED_VALUE"""),"MummidivarapuC24")</f>
        <v>MummidivarapuC24</v>
      </c>
      <c r="C3338" s="8">
        <f>IFERROR(__xludf.DUMMYFUNCTION("""COMPUTED_VALUE"""),0.0)</f>
        <v>0</v>
      </c>
      <c r="D3338" s="8"/>
    </row>
    <row r="3339">
      <c r="A3339" s="9" t="str">
        <f>IFERROR(__xludf.DUMMYFUNCTION("""COMPUTED_VALUE"""),"Batch 224")</f>
        <v>Batch 224</v>
      </c>
      <c r="B3339" s="9" t="str">
        <f>IFERROR(__xludf.DUMMYFUNCTION("""COMPUTED_VALUE"""),"ShreshthC24")</f>
        <v>ShreshthC24</v>
      </c>
      <c r="C3339" s="8">
        <f>IFERROR(__xludf.DUMMYFUNCTION("""COMPUTED_VALUE"""),0.0)</f>
        <v>0</v>
      </c>
      <c r="D3339" s="8"/>
    </row>
    <row r="3340">
      <c r="A3340" s="9" t="str">
        <f>IFERROR(__xludf.DUMMYFUNCTION("""COMPUTED_VALUE"""),"Batch 224")</f>
        <v>Batch 224</v>
      </c>
      <c r="B3340" s="9" t="str">
        <f>IFERROR(__xludf.DUMMYFUNCTION("""COMPUTED_VALUE"""),"TusharC24")</f>
        <v>TusharC24</v>
      </c>
      <c r="C3340" s="8">
        <f>IFERROR(__xludf.DUMMYFUNCTION("""COMPUTED_VALUE"""),0.0)</f>
        <v>0</v>
      </c>
      <c r="D3340" s="8"/>
    </row>
    <row r="3341">
      <c r="A3341" s="9" t="str">
        <f>IFERROR(__xludf.DUMMYFUNCTION("""COMPUTED_VALUE"""),"Batch 224")</f>
        <v>Batch 224</v>
      </c>
      <c r="B3341" s="9" t="str">
        <f>IFERROR(__xludf.DUMMYFUNCTION("""COMPUTED_VALUE"""),"RohanC24")</f>
        <v>RohanC24</v>
      </c>
      <c r="C3341" s="8">
        <f>IFERROR(__xludf.DUMMYFUNCTION("""COMPUTED_VALUE"""),1.0)</f>
        <v>1</v>
      </c>
      <c r="D3341" s="8"/>
    </row>
    <row r="3342">
      <c r="A3342" s="9" t="str">
        <f>IFERROR(__xludf.DUMMYFUNCTION("""COMPUTED_VALUE"""),"Batch 224")</f>
        <v>Batch 224</v>
      </c>
      <c r="B3342" s="9" t="str">
        <f>IFERROR(__xludf.DUMMYFUNCTION("""COMPUTED_VALUE"""),"KhushiC24")</f>
        <v>KhushiC24</v>
      </c>
      <c r="C3342" s="8">
        <f>IFERROR(__xludf.DUMMYFUNCTION("""COMPUTED_VALUE"""),0.0)</f>
        <v>0</v>
      </c>
      <c r="D3342" s="8"/>
    </row>
    <row r="3343">
      <c r="A3343" s="9" t="str">
        <f>IFERROR(__xludf.DUMMYFUNCTION("""COMPUTED_VALUE"""),"Batch 224")</f>
        <v>Batch 224</v>
      </c>
      <c r="B3343" s="9" t="str">
        <f>IFERROR(__xludf.DUMMYFUNCTION("""COMPUTED_VALUE"""),"MayankC24")</f>
        <v>MayankC24</v>
      </c>
      <c r="C3343" s="8">
        <f>IFERROR(__xludf.DUMMYFUNCTION("""COMPUTED_VALUE"""),0.0)</f>
        <v>0</v>
      </c>
      <c r="D3343" s="8"/>
    </row>
    <row r="3344">
      <c r="A3344" s="9" t="str">
        <f>IFERROR(__xludf.DUMMYFUNCTION("""COMPUTED_VALUE"""),"Batch 224")</f>
        <v>Batch 224</v>
      </c>
      <c r="B3344" s="9" t="str">
        <f>IFERROR(__xludf.DUMMYFUNCTION("""COMPUTED_VALUE"""),"VamshiC24")</f>
        <v>VamshiC24</v>
      </c>
      <c r="C3344" s="8">
        <f>IFERROR(__xludf.DUMMYFUNCTION("""COMPUTED_VALUE"""),0.0)</f>
        <v>0</v>
      </c>
      <c r="D3344" s="8"/>
    </row>
    <row r="3345">
      <c r="A3345" s="9" t="str">
        <f>IFERROR(__xludf.DUMMYFUNCTION("""COMPUTED_VALUE"""),"Batch 224")</f>
        <v>Batch 224</v>
      </c>
      <c r="B3345" s="9" t="str">
        <f>IFERROR(__xludf.DUMMYFUNCTION("""COMPUTED_VALUE"""),"YashC24")</f>
        <v>YashC24</v>
      </c>
      <c r="C3345" s="8">
        <f>IFERROR(__xludf.DUMMYFUNCTION("""COMPUTED_VALUE"""),1.0)</f>
        <v>1</v>
      </c>
      <c r="D3345" s="8"/>
    </row>
    <row r="3346">
      <c r="A3346" s="9" t="str">
        <f>IFERROR(__xludf.DUMMYFUNCTION("""COMPUTED_VALUE"""),"Batch 224")</f>
        <v>Batch 224</v>
      </c>
      <c r="B3346" s="9" t="str">
        <f>IFERROR(__xludf.DUMMYFUNCTION("""COMPUTED_VALUE"""),"MahimaC24")</f>
        <v>MahimaC24</v>
      </c>
      <c r="C3346" s="8">
        <f>IFERROR(__xludf.DUMMYFUNCTION("""COMPUTED_VALUE"""),0.0)</f>
        <v>0</v>
      </c>
      <c r="D3346" s="8"/>
    </row>
    <row r="3347">
      <c r="A3347" s="9"/>
      <c r="B3347" s="9"/>
      <c r="C3347" s="8">
        <f>IFERROR(__xludf.DUMMYFUNCTION("""COMPUTED_VALUE"""),0.0)</f>
        <v>0</v>
      </c>
      <c r="D3347" s="8"/>
    </row>
    <row r="3348">
      <c r="A3348" s="9" t="str">
        <f>IFERROR(__xludf.DUMMYFUNCTION("""COMPUTED_VALUE"""),"Batch 225")</f>
        <v>Batch 225</v>
      </c>
      <c r="B3348" s="9" t="str">
        <f>IFERROR(__xludf.DUMMYFUNCTION("""COMPUTED_VALUE"""),"SANSKRITIC25")</f>
        <v>SANSKRITIC25</v>
      </c>
      <c r="C3348" s="8">
        <f>IFERROR(__xludf.DUMMYFUNCTION("""COMPUTED_VALUE"""),0.0)</f>
        <v>0</v>
      </c>
      <c r="D3348" s="8"/>
    </row>
    <row r="3349">
      <c r="A3349" s="9" t="str">
        <f>IFERROR(__xludf.DUMMYFUNCTION("""COMPUTED_VALUE"""),"Batch 225")</f>
        <v>Batch 225</v>
      </c>
      <c r="B3349" s="9" t="str">
        <f>IFERROR(__xludf.DUMMYFUNCTION("""COMPUTED_VALUE"""),"KartikC25")</f>
        <v>KartikC25</v>
      </c>
      <c r="C3349" s="8">
        <f>IFERROR(__xludf.DUMMYFUNCTION("""COMPUTED_VALUE"""),0.0)</f>
        <v>0</v>
      </c>
      <c r="D3349" s="8"/>
    </row>
    <row r="3350">
      <c r="A3350" s="9" t="str">
        <f>IFERROR(__xludf.DUMMYFUNCTION("""COMPUTED_VALUE"""),"Batch 225")</f>
        <v>Batch 225</v>
      </c>
      <c r="B3350" s="9" t="str">
        <f>IFERROR(__xludf.DUMMYFUNCTION("""COMPUTED_VALUE"""),"SakshiC25")</f>
        <v>SakshiC25</v>
      </c>
      <c r="C3350" s="8">
        <f>IFERROR(__xludf.DUMMYFUNCTION("""COMPUTED_VALUE"""),0.0)</f>
        <v>0</v>
      </c>
      <c r="D3350" s="8"/>
    </row>
    <row r="3351">
      <c r="A3351" s="9" t="str">
        <f>IFERROR(__xludf.DUMMYFUNCTION("""COMPUTED_VALUE"""),"Batch 225")</f>
        <v>Batch 225</v>
      </c>
      <c r="B3351" s="9" t="str">
        <f>IFERROR(__xludf.DUMMYFUNCTION("""COMPUTED_VALUE"""),"TanmayeeC25")</f>
        <v>TanmayeeC25</v>
      </c>
      <c r="C3351" s="8">
        <f>IFERROR(__xludf.DUMMYFUNCTION("""COMPUTED_VALUE"""),1.0)</f>
        <v>1</v>
      </c>
      <c r="D3351" s="8"/>
    </row>
    <row r="3352">
      <c r="A3352" s="9" t="str">
        <f>IFERROR(__xludf.DUMMYFUNCTION("""COMPUTED_VALUE"""),"Batch 225")</f>
        <v>Batch 225</v>
      </c>
      <c r="B3352" s="9" t="str">
        <f>IFERROR(__xludf.DUMMYFUNCTION("""COMPUTED_VALUE"""),"MuskanC25")</f>
        <v>MuskanC25</v>
      </c>
      <c r="C3352" s="8">
        <f>IFERROR(__xludf.DUMMYFUNCTION("""COMPUTED_VALUE"""),0.0)</f>
        <v>0</v>
      </c>
      <c r="D3352" s="8"/>
    </row>
    <row r="3353">
      <c r="A3353" s="9" t="str">
        <f>IFERROR(__xludf.DUMMYFUNCTION("""COMPUTED_VALUE"""),"Batch 225")</f>
        <v>Batch 225</v>
      </c>
      <c r="B3353" s="9" t="str">
        <f>IFERROR(__xludf.DUMMYFUNCTION("""COMPUTED_VALUE"""),"GayathriC25")</f>
        <v>GayathriC25</v>
      </c>
      <c r="C3353" s="8">
        <f>IFERROR(__xludf.DUMMYFUNCTION("""COMPUTED_VALUE"""),0.0)</f>
        <v>0</v>
      </c>
      <c r="D3353" s="8"/>
    </row>
    <row r="3354">
      <c r="A3354" s="9" t="str">
        <f>IFERROR(__xludf.DUMMYFUNCTION("""COMPUTED_VALUE"""),"Batch 225")</f>
        <v>Batch 225</v>
      </c>
      <c r="B3354" s="9" t="str">
        <f>IFERROR(__xludf.DUMMYFUNCTION("""COMPUTED_VALUE"""),"TanyaC25")</f>
        <v>TanyaC25</v>
      </c>
      <c r="C3354" s="8">
        <f>IFERROR(__xludf.DUMMYFUNCTION("""COMPUTED_VALUE"""),0.0)</f>
        <v>0</v>
      </c>
      <c r="D3354" s="8"/>
    </row>
    <row r="3355">
      <c r="A3355" s="9" t="str">
        <f>IFERROR(__xludf.DUMMYFUNCTION("""COMPUTED_VALUE"""),"Batch 225")</f>
        <v>Batch 225</v>
      </c>
      <c r="B3355" s="9" t="str">
        <f>IFERROR(__xludf.DUMMYFUNCTION("""COMPUTED_VALUE"""),"AkhilaC25")</f>
        <v>AkhilaC25</v>
      </c>
      <c r="C3355" s="8">
        <f>IFERROR(__xludf.DUMMYFUNCTION("""COMPUTED_VALUE"""),1.0)</f>
        <v>1</v>
      </c>
      <c r="D3355" s="8"/>
    </row>
    <row r="3356">
      <c r="A3356" s="9" t="str">
        <f>IFERROR(__xludf.DUMMYFUNCTION("""COMPUTED_VALUE"""),"Batch 225")</f>
        <v>Batch 225</v>
      </c>
      <c r="B3356" s="9" t="str">
        <f>IFERROR(__xludf.DUMMYFUNCTION("""COMPUTED_VALUE"""),"ShikshaC25")</f>
        <v>ShikshaC25</v>
      </c>
      <c r="C3356" s="8">
        <f>IFERROR(__xludf.DUMMYFUNCTION("""COMPUTED_VALUE"""),0.0)</f>
        <v>0</v>
      </c>
      <c r="D3356" s="8"/>
    </row>
    <row r="3357">
      <c r="A3357" s="9" t="str">
        <f>IFERROR(__xludf.DUMMYFUNCTION("""COMPUTED_VALUE"""),"Batch 225")</f>
        <v>Batch 225</v>
      </c>
      <c r="B3357" s="9" t="str">
        <f>IFERROR(__xludf.DUMMYFUNCTION("""COMPUTED_VALUE"""),"SaumyaC25")</f>
        <v>SaumyaC25</v>
      </c>
      <c r="C3357" s="8">
        <f>IFERROR(__xludf.DUMMYFUNCTION("""COMPUTED_VALUE"""),8.0)</f>
        <v>8</v>
      </c>
      <c r="D3357" s="8"/>
    </row>
    <row r="3358">
      <c r="A3358" s="9" t="str">
        <f>IFERROR(__xludf.DUMMYFUNCTION("""COMPUTED_VALUE"""),"Batch 225")</f>
        <v>Batch 225</v>
      </c>
      <c r="B3358" s="9" t="str">
        <f>IFERROR(__xludf.DUMMYFUNCTION("""COMPUTED_VALUE"""),"AishwaryaC25")</f>
        <v>AishwaryaC25</v>
      </c>
      <c r="C3358" s="8">
        <f>IFERROR(__xludf.DUMMYFUNCTION("""COMPUTED_VALUE"""),0.0)</f>
        <v>0</v>
      </c>
      <c r="D3358" s="8"/>
    </row>
    <row r="3359">
      <c r="A3359" s="9" t="str">
        <f>IFERROR(__xludf.DUMMYFUNCTION("""COMPUTED_VALUE"""),"Batch 225")</f>
        <v>Batch 225</v>
      </c>
      <c r="B3359" s="9" t="str">
        <f>IFERROR(__xludf.DUMMYFUNCTION("""COMPUTED_VALUE"""),"AniketC25")</f>
        <v>AniketC25</v>
      </c>
      <c r="C3359" s="8">
        <f>IFERROR(__xludf.DUMMYFUNCTION("""COMPUTED_VALUE"""),0.0)</f>
        <v>0</v>
      </c>
      <c r="D3359" s="8"/>
    </row>
    <row r="3360">
      <c r="A3360" s="9" t="str">
        <f>IFERROR(__xludf.DUMMYFUNCTION("""COMPUTED_VALUE"""),"Batch 225")</f>
        <v>Batch 225</v>
      </c>
      <c r="B3360" s="9" t="str">
        <f>IFERROR(__xludf.DUMMYFUNCTION("""COMPUTED_VALUE"""),"ShubhiC25")</f>
        <v>ShubhiC25</v>
      </c>
      <c r="C3360" s="8">
        <f>IFERROR(__xludf.DUMMYFUNCTION("""COMPUTED_VALUE"""),0.0)</f>
        <v>0</v>
      </c>
      <c r="D3360" s="8"/>
    </row>
    <row r="3361">
      <c r="A3361" s="9" t="str">
        <f>IFERROR(__xludf.DUMMYFUNCTION("""COMPUTED_VALUE"""),"Batch 225")</f>
        <v>Batch 225</v>
      </c>
      <c r="B3361" s="9" t="str">
        <f>IFERROR(__xludf.DUMMYFUNCTION("""COMPUTED_VALUE"""),"DeepanshuC25")</f>
        <v>DeepanshuC25</v>
      </c>
      <c r="C3361" s="8">
        <f>IFERROR(__xludf.DUMMYFUNCTION("""COMPUTED_VALUE"""),12.0)</f>
        <v>12</v>
      </c>
      <c r="D3361" s="8"/>
    </row>
    <row r="3362">
      <c r="A3362" s="9" t="str">
        <f>IFERROR(__xludf.DUMMYFUNCTION("""COMPUTED_VALUE"""),"Batch 225")</f>
        <v>Batch 225</v>
      </c>
      <c r="B3362" s="9" t="str">
        <f>IFERROR(__xludf.DUMMYFUNCTION("""COMPUTED_VALUE"""),"MitaliC25")</f>
        <v>MitaliC25</v>
      </c>
      <c r="C3362" s="8">
        <f>IFERROR(__xludf.DUMMYFUNCTION("""COMPUTED_VALUE"""),0.0)</f>
        <v>0</v>
      </c>
      <c r="D3362" s="8"/>
    </row>
    <row r="3363">
      <c r="A3363" s="9" t="str">
        <f>IFERROR(__xludf.DUMMYFUNCTION("""COMPUTED_VALUE"""),"Batch 225")</f>
        <v>Batch 225</v>
      </c>
      <c r="B3363" s="9" t="str">
        <f>IFERROR(__xludf.DUMMYFUNCTION("""COMPUTED_VALUE"""),"AyushmanC25")</f>
        <v>AyushmanC25</v>
      </c>
      <c r="C3363" s="8">
        <f>IFERROR(__xludf.DUMMYFUNCTION("""COMPUTED_VALUE"""),0.0)</f>
        <v>0</v>
      </c>
      <c r="D3363" s="8">
        <f>IFERROR(__xludf.DUMMYFUNCTION("""COMPUTED_VALUE"""),4.0)</f>
        <v>4</v>
      </c>
    </row>
    <row r="3364">
      <c r="A3364" s="9" t="str">
        <f>IFERROR(__xludf.DUMMYFUNCTION("""COMPUTED_VALUE"""),"Batch 225")</f>
        <v>Batch 225</v>
      </c>
      <c r="B3364" s="9" t="str">
        <f>IFERROR(__xludf.DUMMYFUNCTION("""COMPUTED_VALUE"""),"DevendraC25")</f>
        <v>DevendraC25</v>
      </c>
      <c r="C3364" s="8">
        <f>IFERROR(__xludf.DUMMYFUNCTION("""COMPUTED_VALUE"""),0.0)</f>
        <v>0</v>
      </c>
      <c r="D3364" s="8"/>
    </row>
    <row r="3365">
      <c r="A3365" s="9" t="str">
        <f>IFERROR(__xludf.DUMMYFUNCTION("""COMPUTED_VALUE"""),"Batch 225")</f>
        <v>Batch 225</v>
      </c>
      <c r="B3365" s="9" t="str">
        <f>IFERROR(__xludf.DUMMYFUNCTION("""COMPUTED_VALUE"""),"NikhilC25")</f>
        <v>NikhilC25</v>
      </c>
      <c r="C3365" s="8">
        <f>IFERROR(__xludf.DUMMYFUNCTION("""COMPUTED_VALUE"""),0.0)</f>
        <v>0</v>
      </c>
      <c r="D3365" s="8"/>
    </row>
    <row r="3366">
      <c r="A3366" s="9" t="str">
        <f>IFERROR(__xludf.DUMMYFUNCTION("""COMPUTED_VALUE"""),"Batch 225")</f>
        <v>Batch 225</v>
      </c>
      <c r="B3366" s="9" t="str">
        <f>IFERROR(__xludf.DUMMYFUNCTION("""COMPUTED_VALUE"""),"NehalC25")</f>
        <v>NehalC25</v>
      </c>
      <c r="C3366" s="8">
        <f>IFERROR(__xludf.DUMMYFUNCTION("""COMPUTED_VALUE"""),0.0)</f>
        <v>0</v>
      </c>
      <c r="D3366" s="8"/>
    </row>
    <row r="3367">
      <c r="A3367" s="9" t="str">
        <f>IFERROR(__xludf.DUMMYFUNCTION("""COMPUTED_VALUE"""),"Batch 225")</f>
        <v>Batch 225</v>
      </c>
      <c r="B3367" s="9" t="str">
        <f>IFERROR(__xludf.DUMMYFUNCTION("""COMPUTED_VALUE"""),"AnshuC25")</f>
        <v>AnshuC25</v>
      </c>
      <c r="C3367" s="8">
        <f>IFERROR(__xludf.DUMMYFUNCTION("""COMPUTED_VALUE"""),0.0)</f>
        <v>0</v>
      </c>
      <c r="D3367" s="8"/>
    </row>
    <row r="3368">
      <c r="A3368" s="9"/>
      <c r="B3368" s="9"/>
      <c r="C3368" s="8">
        <f>IFERROR(__xludf.DUMMYFUNCTION("""COMPUTED_VALUE"""),0.0)</f>
        <v>0</v>
      </c>
      <c r="D3368" s="8"/>
    </row>
    <row r="3369">
      <c r="A3369" s="9" t="str">
        <f>IFERROR(__xludf.DUMMYFUNCTION("""COMPUTED_VALUE"""),"Batch 226")</f>
        <v>Batch 226</v>
      </c>
      <c r="B3369" s="9" t="str">
        <f>IFERROR(__xludf.DUMMYFUNCTION("""COMPUTED_VALUE"""),"HimanshiC26")</f>
        <v>HimanshiC26</v>
      </c>
      <c r="C3369" s="8">
        <f>IFERROR(__xludf.DUMMYFUNCTION("""COMPUTED_VALUE"""),0.0)</f>
        <v>0</v>
      </c>
      <c r="D3369" s="8"/>
    </row>
    <row r="3370">
      <c r="A3370" s="9" t="str">
        <f>IFERROR(__xludf.DUMMYFUNCTION("""COMPUTED_VALUE"""),"Batch 226")</f>
        <v>Batch 226</v>
      </c>
      <c r="B3370" s="9" t="str">
        <f>IFERROR(__xludf.DUMMYFUNCTION("""COMPUTED_VALUE"""),"HarshC26")</f>
        <v>HarshC26</v>
      </c>
      <c r="C3370" s="8">
        <f>IFERROR(__xludf.DUMMYFUNCTION("""COMPUTED_VALUE"""),0.0)</f>
        <v>0</v>
      </c>
      <c r="D3370" s="8"/>
    </row>
    <row r="3371">
      <c r="A3371" s="9" t="str">
        <f>IFERROR(__xludf.DUMMYFUNCTION("""COMPUTED_VALUE"""),"Batch 226")</f>
        <v>Batch 226</v>
      </c>
      <c r="B3371" s="9" t="str">
        <f>IFERROR(__xludf.DUMMYFUNCTION("""COMPUTED_VALUE"""),"DeepikaC26")</f>
        <v>DeepikaC26</v>
      </c>
      <c r="C3371" s="8">
        <f>IFERROR(__xludf.DUMMYFUNCTION("""COMPUTED_VALUE"""),0.0)</f>
        <v>0</v>
      </c>
      <c r="D3371" s="8"/>
    </row>
    <row r="3372">
      <c r="A3372" s="9" t="str">
        <f>IFERROR(__xludf.DUMMYFUNCTION("""COMPUTED_VALUE"""),"Batch 226")</f>
        <v>Batch 226</v>
      </c>
      <c r="B3372" s="9" t="str">
        <f>IFERROR(__xludf.DUMMYFUNCTION("""COMPUTED_VALUE"""),"MuskanC26")</f>
        <v>MuskanC26</v>
      </c>
      <c r="C3372" s="8">
        <f>IFERROR(__xludf.DUMMYFUNCTION("""COMPUTED_VALUE"""),0.0)</f>
        <v>0</v>
      </c>
      <c r="D3372" s="8"/>
    </row>
    <row r="3373">
      <c r="A3373" s="9" t="str">
        <f>IFERROR(__xludf.DUMMYFUNCTION("""COMPUTED_VALUE"""),"Batch 226")</f>
        <v>Batch 226</v>
      </c>
      <c r="B3373" s="9" t="str">
        <f>IFERROR(__xludf.DUMMYFUNCTION("""COMPUTED_VALUE"""),"SimranC26")</f>
        <v>SimranC26</v>
      </c>
      <c r="C3373" s="8">
        <f>IFERROR(__xludf.DUMMYFUNCTION("""COMPUTED_VALUE"""),0.0)</f>
        <v>0</v>
      </c>
      <c r="D3373" s="8"/>
    </row>
    <row r="3374">
      <c r="A3374" s="9" t="str">
        <f>IFERROR(__xludf.DUMMYFUNCTION("""COMPUTED_VALUE"""),"Batch 226")</f>
        <v>Batch 226</v>
      </c>
      <c r="B3374" s="9" t="str">
        <f>IFERROR(__xludf.DUMMYFUNCTION("""COMPUTED_VALUE"""),"ZainabC26")</f>
        <v>ZainabC26</v>
      </c>
      <c r="C3374" s="8">
        <f>IFERROR(__xludf.DUMMYFUNCTION("""COMPUTED_VALUE"""),0.0)</f>
        <v>0</v>
      </c>
      <c r="D3374" s="8"/>
    </row>
    <row r="3375">
      <c r="A3375" s="9" t="str">
        <f>IFERROR(__xludf.DUMMYFUNCTION("""COMPUTED_VALUE"""),"Batch 226")</f>
        <v>Batch 226</v>
      </c>
      <c r="B3375" s="9" t="str">
        <f>IFERROR(__xludf.DUMMYFUNCTION("""COMPUTED_VALUE"""),"SumitC26")</f>
        <v>SumitC26</v>
      </c>
      <c r="C3375" s="8">
        <f>IFERROR(__xludf.DUMMYFUNCTION("""COMPUTED_VALUE"""),0.0)</f>
        <v>0</v>
      </c>
      <c r="D3375" s="8"/>
    </row>
    <row r="3376">
      <c r="A3376" s="9" t="str">
        <f>IFERROR(__xludf.DUMMYFUNCTION("""COMPUTED_VALUE"""),"Batch 226")</f>
        <v>Batch 226</v>
      </c>
      <c r="B3376" s="9" t="str">
        <f>IFERROR(__xludf.DUMMYFUNCTION("""COMPUTED_VALUE"""),"AnantC26")</f>
        <v>AnantC26</v>
      </c>
      <c r="C3376" s="8">
        <f>IFERROR(__xludf.DUMMYFUNCTION("""COMPUTED_VALUE"""),0.0)</f>
        <v>0</v>
      </c>
      <c r="D3376" s="8"/>
    </row>
    <row r="3377">
      <c r="A3377" s="9" t="str">
        <f>IFERROR(__xludf.DUMMYFUNCTION("""COMPUTED_VALUE"""),"Batch 226")</f>
        <v>Batch 226</v>
      </c>
      <c r="B3377" s="9" t="str">
        <f>IFERROR(__xludf.DUMMYFUNCTION("""COMPUTED_VALUE"""),"DishaC26")</f>
        <v>DishaC26</v>
      </c>
      <c r="C3377" s="8">
        <f>IFERROR(__xludf.DUMMYFUNCTION("""COMPUTED_VALUE"""),0.0)</f>
        <v>0</v>
      </c>
      <c r="D3377" s="8"/>
    </row>
    <row r="3378">
      <c r="A3378" s="9" t="str">
        <f>IFERROR(__xludf.DUMMYFUNCTION("""COMPUTED_VALUE"""),"Batch 226")</f>
        <v>Batch 226</v>
      </c>
      <c r="B3378" s="9" t="str">
        <f>IFERROR(__xludf.DUMMYFUNCTION("""COMPUTED_VALUE"""),"ShwetaC26")</f>
        <v>ShwetaC26</v>
      </c>
      <c r="C3378" s="8">
        <f>IFERROR(__xludf.DUMMYFUNCTION("""COMPUTED_VALUE"""),1.0)</f>
        <v>1</v>
      </c>
      <c r="D3378" s="8"/>
    </row>
    <row r="3379">
      <c r="A3379" s="9"/>
      <c r="B3379" s="9"/>
      <c r="C3379" s="8">
        <f>IFERROR(__xludf.DUMMYFUNCTION("""COMPUTED_VALUE"""),0.0)</f>
        <v>0</v>
      </c>
      <c r="D3379" s="8"/>
    </row>
    <row r="3380">
      <c r="A3380" s="9" t="str">
        <f>IFERROR(__xludf.DUMMYFUNCTION("""COMPUTED_VALUE"""),"Batch 227")</f>
        <v>Batch 227</v>
      </c>
      <c r="B3380" s="9" t="str">
        <f>IFERROR(__xludf.DUMMYFUNCTION("""COMPUTED_VALUE"""),"SanskarC27")</f>
        <v>SanskarC27</v>
      </c>
      <c r="C3380" s="8">
        <f>IFERROR(__xludf.DUMMYFUNCTION("""COMPUTED_VALUE"""),3.0)</f>
        <v>3</v>
      </c>
      <c r="D3380" s="8">
        <f>IFERROR(__xludf.DUMMYFUNCTION("""COMPUTED_VALUE"""),1.0)</f>
        <v>1</v>
      </c>
    </row>
    <row r="3381">
      <c r="A3381" s="9" t="str">
        <f>IFERROR(__xludf.DUMMYFUNCTION("""COMPUTED_VALUE"""),"Batch 227")</f>
        <v>Batch 227</v>
      </c>
      <c r="B3381" s="9" t="str">
        <f>IFERROR(__xludf.DUMMYFUNCTION("""COMPUTED_VALUE"""),"FatimaC27")</f>
        <v>FatimaC27</v>
      </c>
      <c r="C3381" s="8">
        <f>IFERROR(__xludf.DUMMYFUNCTION("""COMPUTED_VALUE"""),0.0)</f>
        <v>0</v>
      </c>
      <c r="D3381" s="8"/>
    </row>
    <row r="3382">
      <c r="A3382" s="9" t="str">
        <f>IFERROR(__xludf.DUMMYFUNCTION("""COMPUTED_VALUE"""),"Batch 227")</f>
        <v>Batch 227</v>
      </c>
      <c r="B3382" s="9" t="str">
        <f>IFERROR(__xludf.DUMMYFUNCTION("""COMPUTED_VALUE"""),"AshwiniC27")</f>
        <v>AshwiniC27</v>
      </c>
      <c r="C3382" s="8">
        <f>IFERROR(__xludf.DUMMYFUNCTION("""COMPUTED_VALUE"""),0.0)</f>
        <v>0</v>
      </c>
      <c r="D3382" s="8"/>
    </row>
    <row r="3383">
      <c r="A3383" s="9" t="str">
        <f>IFERROR(__xludf.DUMMYFUNCTION("""COMPUTED_VALUE"""),"Batch 227")</f>
        <v>Batch 227</v>
      </c>
      <c r="B3383" s="9" t="str">
        <f>IFERROR(__xludf.DUMMYFUNCTION("""COMPUTED_VALUE"""),"MahakC27")</f>
        <v>MahakC27</v>
      </c>
      <c r="C3383" s="8">
        <f>IFERROR(__xludf.DUMMYFUNCTION("""COMPUTED_VALUE"""),0.0)</f>
        <v>0</v>
      </c>
      <c r="D3383" s="8"/>
    </row>
    <row r="3384">
      <c r="A3384" s="9" t="str">
        <f>IFERROR(__xludf.DUMMYFUNCTION("""COMPUTED_VALUE"""),"Batch 227")</f>
        <v>Batch 227</v>
      </c>
      <c r="B3384" s="9" t="str">
        <f>IFERROR(__xludf.DUMMYFUNCTION("""COMPUTED_VALUE"""),"HeenaC27")</f>
        <v>HeenaC27</v>
      </c>
      <c r="C3384" s="8">
        <f>IFERROR(__xludf.DUMMYFUNCTION("""COMPUTED_VALUE"""),0.0)</f>
        <v>0</v>
      </c>
      <c r="D3384" s="8"/>
    </row>
    <row r="3385">
      <c r="A3385" s="9" t="str">
        <f>IFERROR(__xludf.DUMMYFUNCTION("""COMPUTED_VALUE"""),"Batch 227")</f>
        <v>Batch 227</v>
      </c>
      <c r="B3385" s="9" t="str">
        <f>IFERROR(__xludf.DUMMYFUNCTION("""COMPUTED_VALUE"""),"DevC27")</f>
        <v>DevC27</v>
      </c>
      <c r="C3385" s="8">
        <f>IFERROR(__xludf.DUMMYFUNCTION("""COMPUTED_VALUE"""),0.0)</f>
        <v>0</v>
      </c>
      <c r="D3385" s="8"/>
    </row>
    <row r="3386">
      <c r="A3386" s="9" t="str">
        <f>IFERROR(__xludf.DUMMYFUNCTION("""COMPUTED_VALUE"""),"Batch 227")</f>
        <v>Batch 227</v>
      </c>
      <c r="B3386" s="9" t="str">
        <f>IFERROR(__xludf.DUMMYFUNCTION("""COMPUTED_VALUE"""),"ShailjaC27")</f>
        <v>ShailjaC27</v>
      </c>
      <c r="C3386" s="8">
        <f>IFERROR(__xludf.DUMMYFUNCTION("""COMPUTED_VALUE"""),0.0)</f>
        <v>0</v>
      </c>
      <c r="D3386" s="8"/>
    </row>
    <row r="3387">
      <c r="A3387" s="9" t="str">
        <f>IFERROR(__xludf.DUMMYFUNCTION("""COMPUTED_VALUE"""),"Batch 227")</f>
        <v>Batch 227</v>
      </c>
      <c r="B3387" s="9" t="str">
        <f>IFERROR(__xludf.DUMMYFUNCTION("""COMPUTED_VALUE"""),"YogeshC27")</f>
        <v>YogeshC27</v>
      </c>
      <c r="C3387" s="8">
        <f>IFERROR(__xludf.DUMMYFUNCTION("""COMPUTED_VALUE"""),0.0)</f>
        <v>0</v>
      </c>
      <c r="D3387" s="8"/>
    </row>
    <row r="3388">
      <c r="A3388" s="9" t="str">
        <f>IFERROR(__xludf.DUMMYFUNCTION("""COMPUTED_VALUE"""),"Batch 227")</f>
        <v>Batch 227</v>
      </c>
      <c r="B3388" s="9" t="str">
        <f>IFERROR(__xludf.DUMMYFUNCTION("""COMPUTED_VALUE"""),"ChaithraC27")</f>
        <v>ChaithraC27</v>
      </c>
      <c r="C3388" s="8">
        <f>IFERROR(__xludf.DUMMYFUNCTION("""COMPUTED_VALUE"""),0.0)</f>
        <v>0</v>
      </c>
      <c r="D3388" s="8"/>
    </row>
    <row r="3389">
      <c r="A3389" s="9" t="str">
        <f>IFERROR(__xludf.DUMMYFUNCTION("""COMPUTED_VALUE"""),"Batch 227")</f>
        <v>Batch 227</v>
      </c>
      <c r="B3389" s="9" t="str">
        <f>IFERROR(__xludf.DUMMYFUNCTION("""COMPUTED_VALUE"""),"DhairyaC27")</f>
        <v>DhairyaC27</v>
      </c>
      <c r="C3389" s="8">
        <f>IFERROR(__xludf.DUMMYFUNCTION("""COMPUTED_VALUE"""),0.0)</f>
        <v>0</v>
      </c>
      <c r="D3389" s="8"/>
    </row>
    <row r="3390">
      <c r="A3390" s="9" t="str">
        <f>IFERROR(__xludf.DUMMYFUNCTION("""COMPUTED_VALUE"""),"Batch 227")</f>
        <v>Batch 227</v>
      </c>
      <c r="B3390" s="9" t="str">
        <f>IFERROR(__xludf.DUMMYFUNCTION("""COMPUTED_VALUE"""),"BhavyaC27")</f>
        <v>BhavyaC27</v>
      </c>
      <c r="C3390" s="8">
        <f>IFERROR(__xludf.DUMMYFUNCTION("""COMPUTED_VALUE"""),0.0)</f>
        <v>0</v>
      </c>
      <c r="D3390" s="8"/>
    </row>
    <row r="3391">
      <c r="A3391" s="9" t="str">
        <f>IFERROR(__xludf.DUMMYFUNCTION("""COMPUTED_VALUE"""),"Batch 227")</f>
        <v>Batch 227</v>
      </c>
      <c r="B3391" s="9" t="str">
        <f>IFERROR(__xludf.DUMMYFUNCTION("""COMPUTED_VALUE"""),"KavyaC27")</f>
        <v>KavyaC27</v>
      </c>
      <c r="C3391" s="8">
        <f>IFERROR(__xludf.DUMMYFUNCTION("""COMPUTED_VALUE"""),0.0)</f>
        <v>0</v>
      </c>
      <c r="D3391" s="8"/>
    </row>
    <row r="3392">
      <c r="A3392" s="9" t="str">
        <f>IFERROR(__xludf.DUMMYFUNCTION("""COMPUTED_VALUE"""),"Batch 227")</f>
        <v>Batch 227</v>
      </c>
      <c r="B3392" s="9" t="str">
        <f>IFERROR(__xludf.DUMMYFUNCTION("""COMPUTED_VALUE"""),"UsaidC27")</f>
        <v>UsaidC27</v>
      </c>
      <c r="C3392" s="8">
        <f>IFERROR(__xludf.DUMMYFUNCTION("""COMPUTED_VALUE"""),0.0)</f>
        <v>0</v>
      </c>
      <c r="D3392" s="8"/>
    </row>
    <row r="3393">
      <c r="A3393" s="9" t="str">
        <f>IFERROR(__xludf.DUMMYFUNCTION("""COMPUTED_VALUE"""),"Batch 227")</f>
        <v>Batch 227</v>
      </c>
      <c r="B3393" s="9" t="str">
        <f>IFERROR(__xludf.DUMMYFUNCTION("""COMPUTED_VALUE"""),"VanshikaC27")</f>
        <v>VanshikaC27</v>
      </c>
      <c r="C3393" s="8">
        <f>IFERROR(__xludf.DUMMYFUNCTION("""COMPUTED_VALUE"""),0.0)</f>
        <v>0</v>
      </c>
      <c r="D3393" s="8"/>
    </row>
    <row r="3394">
      <c r="A3394" s="9" t="str">
        <f>IFERROR(__xludf.DUMMYFUNCTION("""COMPUTED_VALUE"""),"Batch 227")</f>
        <v>Batch 227</v>
      </c>
      <c r="B3394" s="9" t="str">
        <f>IFERROR(__xludf.DUMMYFUNCTION("""COMPUTED_VALUE"""),"AbuC27")</f>
        <v>AbuC27</v>
      </c>
      <c r="C3394" s="8">
        <f>IFERROR(__xludf.DUMMYFUNCTION("""COMPUTED_VALUE"""),0.0)</f>
        <v>0</v>
      </c>
      <c r="D3394" s="8"/>
    </row>
    <row r="3395">
      <c r="A3395" s="9" t="str">
        <f>IFERROR(__xludf.DUMMYFUNCTION("""COMPUTED_VALUE"""),"Batch 227")</f>
        <v>Batch 227</v>
      </c>
      <c r="B3395" s="9" t="str">
        <f>IFERROR(__xludf.DUMMYFUNCTION("""COMPUTED_VALUE"""),"ARSHIC27")</f>
        <v>ARSHIC27</v>
      </c>
      <c r="C3395" s="8">
        <f>IFERROR(__xludf.DUMMYFUNCTION("""COMPUTED_VALUE"""),0.0)</f>
        <v>0</v>
      </c>
      <c r="D3395" s="8"/>
    </row>
    <row r="3396">
      <c r="A3396" s="9" t="str">
        <f>IFERROR(__xludf.DUMMYFUNCTION("""COMPUTED_VALUE"""),"Batch 227")</f>
        <v>Batch 227</v>
      </c>
      <c r="B3396" s="9" t="str">
        <f>IFERROR(__xludf.DUMMYFUNCTION("""COMPUTED_VALUE"""),"SiddhantC27")</f>
        <v>SiddhantC27</v>
      </c>
      <c r="C3396" s="8">
        <f>IFERROR(__xludf.DUMMYFUNCTION("""COMPUTED_VALUE"""),0.0)</f>
        <v>0</v>
      </c>
      <c r="D3396" s="8"/>
    </row>
    <row r="3397">
      <c r="A3397" s="9" t="str">
        <f>IFERROR(__xludf.DUMMYFUNCTION("""COMPUTED_VALUE"""),"Batch 227")</f>
        <v>Batch 227</v>
      </c>
      <c r="B3397" s="9" t="str">
        <f>IFERROR(__xludf.DUMMYFUNCTION("""COMPUTED_VALUE"""),"CharanjeevC27")</f>
        <v>CharanjeevC27</v>
      </c>
      <c r="C3397" s="8">
        <f>IFERROR(__xludf.DUMMYFUNCTION("""COMPUTED_VALUE"""),0.0)</f>
        <v>0</v>
      </c>
      <c r="D3397" s="8"/>
    </row>
    <row r="3398">
      <c r="A3398" s="9" t="str">
        <f>IFERROR(__xludf.DUMMYFUNCTION("""COMPUTED_VALUE"""),"Batch 227")</f>
        <v>Batch 227</v>
      </c>
      <c r="B3398" s="9" t="str">
        <f>IFERROR(__xludf.DUMMYFUNCTION("""COMPUTED_VALUE"""),"AadityaC27")</f>
        <v>AadityaC27</v>
      </c>
      <c r="C3398" s="8">
        <f>IFERROR(__xludf.DUMMYFUNCTION("""COMPUTED_VALUE"""),1.0)</f>
        <v>1</v>
      </c>
      <c r="D3398" s="8"/>
    </row>
    <row r="3399">
      <c r="A3399" s="9" t="str">
        <f>IFERROR(__xludf.DUMMYFUNCTION("""COMPUTED_VALUE"""),"Batch 227")</f>
        <v>Batch 227</v>
      </c>
      <c r="B3399" s="9" t="str">
        <f>IFERROR(__xludf.DUMMYFUNCTION("""COMPUTED_VALUE"""),"AnunjayC27")</f>
        <v>AnunjayC27</v>
      </c>
      <c r="C3399" s="8">
        <f>IFERROR(__xludf.DUMMYFUNCTION("""COMPUTED_VALUE"""),0.0)</f>
        <v>0</v>
      </c>
      <c r="D3399" s="8"/>
    </row>
    <row r="3400">
      <c r="A3400" s="9" t="str">
        <f>IFERROR(__xludf.DUMMYFUNCTION("""COMPUTED_VALUE"""),"Batch 227")</f>
        <v>Batch 227</v>
      </c>
      <c r="B3400" s="9" t="str">
        <f>IFERROR(__xludf.DUMMYFUNCTION("""COMPUTED_VALUE"""),"AnushkaC27")</f>
        <v>AnushkaC27</v>
      </c>
      <c r="C3400" s="8">
        <f>IFERROR(__xludf.DUMMYFUNCTION("""COMPUTED_VALUE"""),0.0)</f>
        <v>0</v>
      </c>
      <c r="D3400" s="8"/>
    </row>
    <row r="3401">
      <c r="A3401" s="9" t="str">
        <f>IFERROR(__xludf.DUMMYFUNCTION("""COMPUTED_VALUE"""),"Batch 227")</f>
        <v>Batch 227</v>
      </c>
      <c r="B3401" s="9" t="str">
        <f>IFERROR(__xludf.DUMMYFUNCTION("""COMPUTED_VALUE"""),"NicoleC27")</f>
        <v>NicoleC27</v>
      </c>
      <c r="C3401" s="8">
        <f>IFERROR(__xludf.DUMMYFUNCTION("""COMPUTED_VALUE"""),0.0)</f>
        <v>0</v>
      </c>
      <c r="D3401" s="8"/>
    </row>
    <row r="3402">
      <c r="A3402" s="9" t="str">
        <f>IFERROR(__xludf.DUMMYFUNCTION("""COMPUTED_VALUE"""),"Batch 227")</f>
        <v>Batch 227</v>
      </c>
      <c r="B3402" s="9" t="str">
        <f>IFERROR(__xludf.DUMMYFUNCTION("""COMPUTED_VALUE"""),"HimankC27")</f>
        <v>HimankC27</v>
      </c>
      <c r="C3402" s="8">
        <f>IFERROR(__xludf.DUMMYFUNCTION("""COMPUTED_VALUE"""),0.0)</f>
        <v>0</v>
      </c>
      <c r="D3402" s="8"/>
    </row>
    <row r="3403">
      <c r="A3403" s="9" t="str">
        <f>IFERROR(__xludf.DUMMYFUNCTION("""COMPUTED_VALUE"""),"Batch 227")</f>
        <v>Batch 227</v>
      </c>
      <c r="B3403" s="9" t="str">
        <f>IFERROR(__xludf.DUMMYFUNCTION("""COMPUTED_VALUE"""),"AnishC27")</f>
        <v>AnishC27</v>
      </c>
      <c r="C3403" s="8">
        <f>IFERROR(__xludf.DUMMYFUNCTION("""COMPUTED_VALUE"""),0.0)</f>
        <v>0</v>
      </c>
      <c r="D3403" s="8"/>
    </row>
    <row r="3404">
      <c r="A3404" s="9" t="str">
        <f>IFERROR(__xludf.DUMMYFUNCTION("""COMPUTED_VALUE"""),"Batch 227")</f>
        <v>Batch 227</v>
      </c>
      <c r="B3404" s="9" t="str">
        <f>IFERROR(__xludf.DUMMYFUNCTION("""COMPUTED_VALUE"""),"RishabC27")</f>
        <v>RishabC27</v>
      </c>
      <c r="C3404" s="8">
        <f>IFERROR(__xludf.DUMMYFUNCTION("""COMPUTED_VALUE"""),0.0)</f>
        <v>0</v>
      </c>
      <c r="D3404" s="8"/>
    </row>
    <row r="3405">
      <c r="A3405" s="9" t="str">
        <f>IFERROR(__xludf.DUMMYFUNCTION("""COMPUTED_VALUE"""),"Batch 227")</f>
        <v>Batch 227</v>
      </c>
      <c r="B3405" s="9" t="str">
        <f>IFERROR(__xludf.DUMMYFUNCTION("""COMPUTED_VALUE"""),"JayeshSC27")</f>
        <v>JayeshSC27</v>
      </c>
      <c r="C3405" s="8">
        <f>IFERROR(__xludf.DUMMYFUNCTION("""COMPUTED_VALUE"""),0.0)</f>
        <v>0</v>
      </c>
      <c r="D3405" s="8"/>
    </row>
    <row r="3406">
      <c r="A3406" s="9" t="str">
        <f>IFERROR(__xludf.DUMMYFUNCTION("""COMPUTED_VALUE"""),"Batch 227")</f>
        <v>Batch 227</v>
      </c>
      <c r="B3406" s="9" t="str">
        <f>IFERROR(__xludf.DUMMYFUNCTION("""COMPUTED_VALUE"""),"BhaveshC27")</f>
        <v>BhaveshC27</v>
      </c>
      <c r="C3406" s="8">
        <f>IFERROR(__xludf.DUMMYFUNCTION("""COMPUTED_VALUE"""),0.0)</f>
        <v>0</v>
      </c>
      <c r="D3406" s="8"/>
    </row>
    <row r="3407">
      <c r="A3407" s="9" t="str">
        <f>IFERROR(__xludf.DUMMYFUNCTION("""COMPUTED_VALUE"""),"Batch 227")</f>
        <v>Batch 227</v>
      </c>
      <c r="B3407" s="9" t="str">
        <f>IFERROR(__xludf.DUMMYFUNCTION("""COMPUTED_VALUE"""),"JayeshC27")</f>
        <v>JayeshC27</v>
      </c>
      <c r="C3407" s="8">
        <f>IFERROR(__xludf.DUMMYFUNCTION("""COMPUTED_VALUE"""),16.0)</f>
        <v>16</v>
      </c>
      <c r="D3407" s="8"/>
    </row>
    <row r="3408">
      <c r="A3408" s="9" t="str">
        <f>IFERROR(__xludf.DUMMYFUNCTION("""COMPUTED_VALUE"""),"Batch 227")</f>
        <v>Batch 227</v>
      </c>
      <c r="B3408" s="9" t="str">
        <f>IFERROR(__xludf.DUMMYFUNCTION("""COMPUTED_VALUE"""),"AmaaC27")</f>
        <v>AmaaC27</v>
      </c>
      <c r="C3408" s="8">
        <f>IFERROR(__xludf.DUMMYFUNCTION("""COMPUTED_VALUE"""),0.0)</f>
        <v>0</v>
      </c>
      <c r="D3408" s="8"/>
    </row>
    <row r="3409">
      <c r="A3409" s="9" t="str">
        <f>IFERROR(__xludf.DUMMYFUNCTION("""COMPUTED_VALUE"""),"Batch 227")</f>
        <v>Batch 227</v>
      </c>
      <c r="B3409" s="9" t="str">
        <f>IFERROR(__xludf.DUMMYFUNCTION("""COMPUTED_VALUE"""),"KhushiC27")</f>
        <v>KhushiC27</v>
      </c>
      <c r="C3409" s="8">
        <f>IFERROR(__xludf.DUMMYFUNCTION("""COMPUTED_VALUE"""),0.0)</f>
        <v>0</v>
      </c>
      <c r="D3409" s="8"/>
    </row>
    <row r="3410">
      <c r="A3410" s="9" t="str">
        <f>IFERROR(__xludf.DUMMYFUNCTION("""COMPUTED_VALUE"""),"Batch 227")</f>
        <v>Batch 227</v>
      </c>
      <c r="B3410" s="9" t="str">
        <f>IFERROR(__xludf.DUMMYFUNCTION("""COMPUTED_VALUE"""),"UjjwalC27")</f>
        <v>UjjwalC27</v>
      </c>
      <c r="C3410" s="8">
        <f>IFERROR(__xludf.DUMMYFUNCTION("""COMPUTED_VALUE"""),0.0)</f>
        <v>0</v>
      </c>
      <c r="D3410" s="8"/>
    </row>
    <row r="3411">
      <c r="A3411" s="9" t="str">
        <f>IFERROR(__xludf.DUMMYFUNCTION("""COMPUTED_VALUE"""),"Batch 227")</f>
        <v>Batch 227</v>
      </c>
      <c r="B3411" s="9" t="str">
        <f>IFERROR(__xludf.DUMMYFUNCTION("""COMPUTED_VALUE"""),"AnitaC27")</f>
        <v>AnitaC27</v>
      </c>
      <c r="C3411" s="8">
        <f>IFERROR(__xludf.DUMMYFUNCTION("""COMPUTED_VALUE"""),0.0)</f>
        <v>0</v>
      </c>
      <c r="D3411" s="8"/>
    </row>
    <row r="3412">
      <c r="A3412" s="9" t="str">
        <f>IFERROR(__xludf.DUMMYFUNCTION("""COMPUTED_VALUE"""),"Batch 227")</f>
        <v>Batch 227</v>
      </c>
      <c r="B3412" s="9" t="str">
        <f>IFERROR(__xludf.DUMMYFUNCTION("""COMPUTED_VALUE"""),"AbhijeetC27")</f>
        <v>AbhijeetC27</v>
      </c>
      <c r="C3412" s="8">
        <f>IFERROR(__xludf.DUMMYFUNCTION("""COMPUTED_VALUE"""),0.0)</f>
        <v>0</v>
      </c>
      <c r="D3412" s="8"/>
    </row>
    <row r="3413">
      <c r="A3413" s="9" t="str">
        <f>IFERROR(__xludf.DUMMYFUNCTION("""COMPUTED_VALUE"""),"Batch 227")</f>
        <v>Batch 227</v>
      </c>
      <c r="B3413" s="9" t="str">
        <f>IFERROR(__xludf.DUMMYFUNCTION("""COMPUTED_VALUE"""),"AhmedC27")</f>
        <v>AhmedC27</v>
      </c>
      <c r="C3413" s="8">
        <f>IFERROR(__xludf.DUMMYFUNCTION("""COMPUTED_VALUE"""),0.0)</f>
        <v>0</v>
      </c>
      <c r="D3413" s="8"/>
    </row>
    <row r="3414">
      <c r="A3414" s="9" t="str">
        <f>IFERROR(__xludf.DUMMYFUNCTION("""COMPUTED_VALUE"""),"Batch 227")</f>
        <v>Batch 227</v>
      </c>
      <c r="B3414" s="9" t="str">
        <f>IFERROR(__xludf.DUMMYFUNCTION("""COMPUTED_VALUE"""),"M.SravanthiC27")</f>
        <v>M.SravanthiC27</v>
      </c>
      <c r="C3414" s="8">
        <f>IFERROR(__xludf.DUMMYFUNCTION("""COMPUTED_VALUE"""),0.0)</f>
        <v>0</v>
      </c>
      <c r="D3414" s="8"/>
    </row>
    <row r="3415">
      <c r="A3415" s="9" t="str">
        <f>IFERROR(__xludf.DUMMYFUNCTION("""COMPUTED_VALUE"""),"Batch 227")</f>
        <v>Batch 227</v>
      </c>
      <c r="B3415" s="9" t="str">
        <f>IFERROR(__xludf.DUMMYFUNCTION("""COMPUTED_VALUE"""),"DhammadipC27")</f>
        <v>DhammadipC27</v>
      </c>
      <c r="C3415" s="8">
        <f>IFERROR(__xludf.DUMMYFUNCTION("""COMPUTED_VALUE"""),0.0)</f>
        <v>0</v>
      </c>
      <c r="D3415" s="8"/>
    </row>
    <row r="3416">
      <c r="A3416" s="9" t="str">
        <f>IFERROR(__xludf.DUMMYFUNCTION("""COMPUTED_VALUE"""),"Batch 227")</f>
        <v>Batch 227</v>
      </c>
      <c r="B3416" s="9" t="str">
        <f>IFERROR(__xludf.DUMMYFUNCTION("""COMPUTED_VALUE"""),"RiyaC27")</f>
        <v>RiyaC27</v>
      </c>
      <c r="C3416" s="8">
        <f>IFERROR(__xludf.DUMMYFUNCTION("""COMPUTED_VALUE"""),0.0)</f>
        <v>0</v>
      </c>
      <c r="D3416" s="8"/>
    </row>
    <row r="3417">
      <c r="A3417" s="9" t="str">
        <f>IFERROR(__xludf.DUMMYFUNCTION("""COMPUTED_VALUE"""),"Batch 227")</f>
        <v>Batch 227</v>
      </c>
      <c r="B3417" s="9" t="str">
        <f>IFERROR(__xludf.DUMMYFUNCTION("""COMPUTED_VALUE"""),"SakshiC27")</f>
        <v>SakshiC27</v>
      </c>
      <c r="C3417" s="8">
        <f>IFERROR(__xludf.DUMMYFUNCTION("""COMPUTED_VALUE"""),0.0)</f>
        <v>0</v>
      </c>
      <c r="D3417" s="8"/>
    </row>
    <row r="3418">
      <c r="A3418" s="9" t="str">
        <f>IFERROR(__xludf.DUMMYFUNCTION("""COMPUTED_VALUE"""),"Batch 227")</f>
        <v>Batch 227</v>
      </c>
      <c r="B3418" s="9" t="str">
        <f>IFERROR(__xludf.DUMMYFUNCTION("""COMPUTED_VALUE"""),"ProtyushC27")</f>
        <v>ProtyushC27</v>
      </c>
      <c r="C3418" s="8">
        <f>IFERROR(__xludf.DUMMYFUNCTION("""COMPUTED_VALUE"""),0.0)</f>
        <v>0</v>
      </c>
      <c r="D3418" s="8"/>
    </row>
    <row r="3419">
      <c r="A3419" s="9" t="str">
        <f>IFERROR(__xludf.DUMMYFUNCTION("""COMPUTED_VALUE"""),"Batch 227")</f>
        <v>Batch 227</v>
      </c>
      <c r="B3419" s="9" t="str">
        <f>IFERROR(__xludf.DUMMYFUNCTION("""COMPUTED_VALUE"""),"RahulC27")</f>
        <v>RahulC27</v>
      </c>
      <c r="C3419" s="8">
        <f>IFERROR(__xludf.DUMMYFUNCTION("""COMPUTED_VALUE"""),0.0)</f>
        <v>0</v>
      </c>
      <c r="D3419" s="8"/>
    </row>
    <row r="3420">
      <c r="A3420" s="9" t="str">
        <f>IFERROR(__xludf.DUMMYFUNCTION("""COMPUTED_VALUE"""),"Batch 227")</f>
        <v>Batch 227</v>
      </c>
      <c r="B3420" s="9" t="str">
        <f>IFERROR(__xludf.DUMMYFUNCTION("""COMPUTED_VALUE"""),"NamanC27")</f>
        <v>NamanC27</v>
      </c>
      <c r="C3420" s="8">
        <f>IFERROR(__xludf.DUMMYFUNCTION("""COMPUTED_VALUE"""),0.0)</f>
        <v>0</v>
      </c>
      <c r="D3420" s="8"/>
    </row>
    <row r="3421">
      <c r="A3421" s="9" t="str">
        <f>IFERROR(__xludf.DUMMYFUNCTION("""COMPUTED_VALUE"""),"Batch 227")</f>
        <v>Batch 227</v>
      </c>
      <c r="B3421" s="9" t="str">
        <f>IFERROR(__xludf.DUMMYFUNCTION("""COMPUTED_VALUE"""),"PushkarC27")</f>
        <v>PushkarC27</v>
      </c>
      <c r="C3421" s="8">
        <f>IFERROR(__xludf.DUMMYFUNCTION("""COMPUTED_VALUE"""),0.0)</f>
        <v>0</v>
      </c>
      <c r="D3421" s="8"/>
    </row>
    <row r="3422">
      <c r="A3422" s="9" t="str">
        <f>IFERROR(__xludf.DUMMYFUNCTION("""COMPUTED_VALUE"""),"Batch 227")</f>
        <v>Batch 227</v>
      </c>
      <c r="B3422" s="9" t="str">
        <f>IFERROR(__xludf.DUMMYFUNCTION("""COMPUTED_VALUE"""),"SheetalC27")</f>
        <v>SheetalC27</v>
      </c>
      <c r="C3422" s="8">
        <f>IFERROR(__xludf.DUMMYFUNCTION("""COMPUTED_VALUE"""),0.0)</f>
        <v>0</v>
      </c>
      <c r="D3422" s="8"/>
    </row>
    <row r="3423">
      <c r="A3423" s="9" t="str">
        <f>IFERROR(__xludf.DUMMYFUNCTION("""COMPUTED_VALUE"""),"Batch 227")</f>
        <v>Batch 227</v>
      </c>
      <c r="B3423" s="9" t="str">
        <f>IFERROR(__xludf.DUMMYFUNCTION("""COMPUTED_VALUE"""),"NehaC27")</f>
        <v>NehaC27</v>
      </c>
      <c r="C3423" s="8">
        <f>IFERROR(__xludf.DUMMYFUNCTION("""COMPUTED_VALUE"""),0.0)</f>
        <v>0</v>
      </c>
      <c r="D3423" s="8"/>
    </row>
    <row r="3424">
      <c r="A3424" s="9" t="str">
        <f>IFERROR(__xludf.DUMMYFUNCTION("""COMPUTED_VALUE"""),"Batch 227")</f>
        <v>Batch 227</v>
      </c>
      <c r="B3424" s="9" t="str">
        <f>IFERROR(__xludf.DUMMYFUNCTION("""COMPUTED_VALUE"""),"AnveshaC27")</f>
        <v>AnveshaC27</v>
      </c>
      <c r="C3424" s="8">
        <f>IFERROR(__xludf.DUMMYFUNCTION("""COMPUTED_VALUE"""),0.0)</f>
        <v>0</v>
      </c>
      <c r="D3424" s="8"/>
    </row>
    <row r="3425">
      <c r="A3425" s="9" t="str">
        <f>IFERROR(__xludf.DUMMYFUNCTION("""COMPUTED_VALUE"""),"Batch 227")</f>
        <v>Batch 227</v>
      </c>
      <c r="B3425" s="9" t="str">
        <f>IFERROR(__xludf.DUMMYFUNCTION("""COMPUTED_VALUE"""),"AnkitC27")</f>
        <v>AnkitC27</v>
      </c>
      <c r="C3425" s="8">
        <f>IFERROR(__xludf.DUMMYFUNCTION("""COMPUTED_VALUE"""),0.0)</f>
        <v>0</v>
      </c>
      <c r="D3425" s="8"/>
    </row>
    <row r="3426">
      <c r="A3426" s="9" t="str">
        <f>IFERROR(__xludf.DUMMYFUNCTION("""COMPUTED_VALUE"""),"Batch 227")</f>
        <v>Batch 227</v>
      </c>
      <c r="B3426" s="9" t="str">
        <f>IFERROR(__xludf.DUMMYFUNCTION("""COMPUTED_VALUE"""),"ReetuC27")</f>
        <v>ReetuC27</v>
      </c>
      <c r="C3426" s="8">
        <f>IFERROR(__xludf.DUMMYFUNCTION("""COMPUTED_VALUE"""),1.0)</f>
        <v>1</v>
      </c>
      <c r="D3426" s="8"/>
    </row>
    <row r="3427">
      <c r="A3427" s="9" t="str">
        <f>IFERROR(__xludf.DUMMYFUNCTION("""COMPUTED_VALUE"""),"Batch 227")</f>
        <v>Batch 227</v>
      </c>
      <c r="B3427" s="9" t="str">
        <f>IFERROR(__xludf.DUMMYFUNCTION("""COMPUTED_VALUE"""),"AnamikaC27")</f>
        <v>AnamikaC27</v>
      </c>
      <c r="C3427" s="8">
        <f>IFERROR(__xludf.DUMMYFUNCTION("""COMPUTED_VALUE"""),0.0)</f>
        <v>0</v>
      </c>
      <c r="D3427" s="8"/>
    </row>
    <row r="3428">
      <c r="A3428" s="9" t="str">
        <f>IFERROR(__xludf.DUMMYFUNCTION("""COMPUTED_VALUE"""),"Batch 227")</f>
        <v>Batch 227</v>
      </c>
      <c r="B3428" s="9" t="str">
        <f>IFERROR(__xludf.DUMMYFUNCTION("""COMPUTED_VALUE"""),"HimangkuC27")</f>
        <v>HimangkuC27</v>
      </c>
      <c r="C3428" s="8">
        <f>IFERROR(__xludf.DUMMYFUNCTION("""COMPUTED_VALUE"""),0.0)</f>
        <v>0</v>
      </c>
      <c r="D3428" s="8"/>
    </row>
    <row r="3429">
      <c r="A3429" s="9" t="str">
        <f>IFERROR(__xludf.DUMMYFUNCTION("""COMPUTED_VALUE"""),"Batch 227")</f>
        <v>Batch 227</v>
      </c>
      <c r="B3429" s="9" t="str">
        <f>IFERROR(__xludf.DUMMYFUNCTION("""COMPUTED_VALUE"""),"YamunaC27")</f>
        <v>YamunaC27</v>
      </c>
      <c r="C3429" s="8">
        <f>IFERROR(__xludf.DUMMYFUNCTION("""COMPUTED_VALUE"""),0.0)</f>
        <v>0</v>
      </c>
      <c r="D3429" s="8"/>
    </row>
    <row r="3430">
      <c r="A3430" s="9" t="str">
        <f>IFERROR(__xludf.DUMMYFUNCTION("""COMPUTED_VALUE"""),"Batch 227")</f>
        <v>Batch 227</v>
      </c>
      <c r="B3430" s="9" t="str">
        <f>IFERROR(__xludf.DUMMYFUNCTION("""COMPUTED_VALUE"""),"JaiC27")</f>
        <v>JaiC27</v>
      </c>
      <c r="C3430" s="8">
        <f>IFERROR(__xludf.DUMMYFUNCTION("""COMPUTED_VALUE"""),0.0)</f>
        <v>0</v>
      </c>
      <c r="D3430" s="8"/>
    </row>
    <row r="3431">
      <c r="A3431" s="9" t="str">
        <f>IFERROR(__xludf.DUMMYFUNCTION("""COMPUTED_VALUE"""),"Batch 227")</f>
        <v>Batch 227</v>
      </c>
      <c r="B3431" s="9" t="str">
        <f>IFERROR(__xludf.DUMMYFUNCTION("""COMPUTED_VALUE"""),"UJJWALC27")</f>
        <v>UJJWALC27</v>
      </c>
      <c r="C3431" s="8">
        <f>IFERROR(__xludf.DUMMYFUNCTION("""COMPUTED_VALUE"""),0.0)</f>
        <v>0</v>
      </c>
      <c r="D3431" s="8"/>
    </row>
    <row r="3432">
      <c r="A3432" s="9" t="str">
        <f>IFERROR(__xludf.DUMMYFUNCTION("""COMPUTED_VALUE"""),"Batch 227")</f>
        <v>Batch 227</v>
      </c>
      <c r="B3432" s="9" t="str">
        <f>IFERROR(__xludf.DUMMYFUNCTION("""COMPUTED_VALUE"""),"RameshC27")</f>
        <v>RameshC27</v>
      </c>
      <c r="C3432" s="8">
        <f>IFERROR(__xludf.DUMMYFUNCTION("""COMPUTED_VALUE"""),0.0)</f>
        <v>0</v>
      </c>
      <c r="D3432" s="8"/>
    </row>
    <row r="3433">
      <c r="A3433" s="9" t="str">
        <f>IFERROR(__xludf.DUMMYFUNCTION("""COMPUTED_VALUE"""),"Batch 227")</f>
        <v>Batch 227</v>
      </c>
      <c r="B3433" s="9" t="str">
        <f>IFERROR(__xludf.DUMMYFUNCTION("""COMPUTED_VALUE"""),"RaghuramC27")</f>
        <v>RaghuramC27</v>
      </c>
      <c r="C3433" s="8">
        <f>IFERROR(__xludf.DUMMYFUNCTION("""COMPUTED_VALUE"""),1.0)</f>
        <v>1</v>
      </c>
      <c r="D3433" s="8"/>
    </row>
    <row r="3434">
      <c r="A3434" s="9" t="str">
        <f>IFERROR(__xludf.DUMMYFUNCTION("""COMPUTED_VALUE"""),"Batch 227")</f>
        <v>Batch 227</v>
      </c>
      <c r="B3434" s="9" t="str">
        <f>IFERROR(__xludf.DUMMYFUNCTION("""COMPUTED_VALUE"""),"AnjaliC27")</f>
        <v>AnjaliC27</v>
      </c>
      <c r="C3434" s="8">
        <f>IFERROR(__xludf.DUMMYFUNCTION("""COMPUTED_VALUE"""),0.0)</f>
        <v>0</v>
      </c>
      <c r="D3434" s="8"/>
    </row>
    <row r="3435">
      <c r="A3435" s="9" t="str">
        <f>IFERROR(__xludf.DUMMYFUNCTION("""COMPUTED_VALUE"""),"Batch 227")</f>
        <v>Batch 227</v>
      </c>
      <c r="B3435" s="9" t="str">
        <f>IFERROR(__xludf.DUMMYFUNCTION("""COMPUTED_VALUE"""),"KarthikC27")</f>
        <v>KarthikC27</v>
      </c>
      <c r="C3435" s="8">
        <f>IFERROR(__xludf.DUMMYFUNCTION("""COMPUTED_VALUE"""),0.0)</f>
        <v>0</v>
      </c>
      <c r="D3435" s="8"/>
    </row>
    <row r="3436">
      <c r="A3436" s="9"/>
      <c r="B3436" s="9"/>
      <c r="C3436" s="8">
        <f>IFERROR(__xludf.DUMMYFUNCTION("""COMPUTED_VALUE"""),0.0)</f>
        <v>0</v>
      </c>
      <c r="D3436" s="8"/>
    </row>
    <row r="3437">
      <c r="A3437" s="9" t="str">
        <f>IFERROR(__xludf.DUMMYFUNCTION("""COMPUTED_VALUE"""),"Batch 228")</f>
        <v>Batch 228</v>
      </c>
      <c r="B3437" s="9" t="str">
        <f>IFERROR(__xludf.DUMMYFUNCTION("""COMPUTED_VALUE"""),"ShreyaC28")</f>
        <v>ShreyaC28</v>
      </c>
      <c r="C3437" s="8">
        <f>IFERROR(__xludf.DUMMYFUNCTION("""COMPUTED_VALUE"""),0.0)</f>
        <v>0</v>
      </c>
      <c r="D3437" s="8"/>
    </row>
    <row r="3438">
      <c r="A3438" s="9" t="str">
        <f>IFERROR(__xludf.DUMMYFUNCTION("""COMPUTED_VALUE"""),"Batch 228")</f>
        <v>Batch 228</v>
      </c>
      <c r="B3438" s="9" t="str">
        <f>IFERROR(__xludf.DUMMYFUNCTION("""COMPUTED_VALUE"""),"KusumC28")</f>
        <v>KusumC28</v>
      </c>
      <c r="C3438" s="8">
        <f>IFERROR(__xludf.DUMMYFUNCTION("""COMPUTED_VALUE"""),0.0)</f>
        <v>0</v>
      </c>
      <c r="D3438" s="8"/>
    </row>
    <row r="3439">
      <c r="A3439" s="9" t="str">
        <f>IFERROR(__xludf.DUMMYFUNCTION("""COMPUTED_VALUE"""),"Batch 228")</f>
        <v>Batch 228</v>
      </c>
      <c r="B3439" s="9" t="str">
        <f>IFERROR(__xludf.DUMMYFUNCTION("""COMPUTED_VALUE"""),"AlishaC28")</f>
        <v>AlishaC28</v>
      </c>
      <c r="C3439" s="8">
        <f>IFERROR(__xludf.DUMMYFUNCTION("""COMPUTED_VALUE"""),0.0)</f>
        <v>0</v>
      </c>
      <c r="D3439" s="8"/>
    </row>
    <row r="3440">
      <c r="A3440" s="9" t="str">
        <f>IFERROR(__xludf.DUMMYFUNCTION("""COMPUTED_VALUE"""),"Batch 228")</f>
        <v>Batch 228</v>
      </c>
      <c r="B3440" s="9" t="str">
        <f>IFERROR(__xludf.DUMMYFUNCTION("""COMPUTED_VALUE"""),"saanviC28")</f>
        <v>saanviC28</v>
      </c>
      <c r="C3440" s="8">
        <f>IFERROR(__xludf.DUMMYFUNCTION("""COMPUTED_VALUE"""),0.0)</f>
        <v>0</v>
      </c>
      <c r="D3440" s="8"/>
    </row>
    <row r="3441">
      <c r="A3441" s="9" t="str">
        <f>IFERROR(__xludf.DUMMYFUNCTION("""COMPUTED_VALUE"""),"Batch 228")</f>
        <v>Batch 228</v>
      </c>
      <c r="B3441" s="9" t="str">
        <f>IFERROR(__xludf.DUMMYFUNCTION("""COMPUTED_VALUE"""),"SakshiC28")</f>
        <v>SakshiC28</v>
      </c>
      <c r="C3441" s="8">
        <f>IFERROR(__xludf.DUMMYFUNCTION("""COMPUTED_VALUE"""),0.0)</f>
        <v>0</v>
      </c>
      <c r="D3441" s="8"/>
    </row>
    <row r="3442">
      <c r="A3442" s="9" t="str">
        <f>IFERROR(__xludf.DUMMYFUNCTION("""COMPUTED_VALUE"""),"Batch 228")</f>
        <v>Batch 228</v>
      </c>
      <c r="B3442" s="9" t="str">
        <f>IFERROR(__xludf.DUMMYFUNCTION("""COMPUTED_VALUE"""),"AfshanC28")</f>
        <v>AfshanC28</v>
      </c>
      <c r="C3442" s="8">
        <f>IFERROR(__xludf.DUMMYFUNCTION("""COMPUTED_VALUE"""),0.0)</f>
        <v>0</v>
      </c>
      <c r="D3442" s="8"/>
    </row>
    <row r="3443">
      <c r="A3443" s="9" t="str">
        <f>IFERROR(__xludf.DUMMYFUNCTION("""COMPUTED_VALUE"""),"Batch 228")</f>
        <v>Batch 228</v>
      </c>
      <c r="B3443" s="9" t="str">
        <f>IFERROR(__xludf.DUMMYFUNCTION("""COMPUTED_VALUE"""),"PriyanshiC28")</f>
        <v>PriyanshiC28</v>
      </c>
      <c r="C3443" s="8">
        <f>IFERROR(__xludf.DUMMYFUNCTION("""COMPUTED_VALUE"""),0.0)</f>
        <v>0</v>
      </c>
      <c r="D3443" s="8"/>
    </row>
    <row r="3444">
      <c r="A3444" s="9" t="str">
        <f>IFERROR(__xludf.DUMMYFUNCTION("""COMPUTED_VALUE"""),"Batch 228")</f>
        <v>Batch 228</v>
      </c>
      <c r="B3444" s="9" t="str">
        <f>IFERROR(__xludf.DUMMYFUNCTION("""COMPUTED_VALUE"""),"SatakshiC28")</f>
        <v>SatakshiC28</v>
      </c>
      <c r="C3444" s="8">
        <f>IFERROR(__xludf.DUMMYFUNCTION("""COMPUTED_VALUE"""),0.0)</f>
        <v>0</v>
      </c>
      <c r="D3444" s="8"/>
    </row>
    <row r="3445">
      <c r="A3445" s="9" t="str">
        <f>IFERROR(__xludf.DUMMYFUNCTION("""COMPUTED_VALUE"""),"Batch 228")</f>
        <v>Batch 228</v>
      </c>
      <c r="B3445" s="9" t="str">
        <f>IFERROR(__xludf.DUMMYFUNCTION("""COMPUTED_VALUE"""),"AyushiC28")</f>
        <v>AyushiC28</v>
      </c>
      <c r="C3445" s="8">
        <f>IFERROR(__xludf.DUMMYFUNCTION("""COMPUTED_VALUE"""),0.0)</f>
        <v>0</v>
      </c>
      <c r="D3445" s="8"/>
    </row>
    <row r="3446">
      <c r="A3446" s="9" t="str">
        <f>IFERROR(__xludf.DUMMYFUNCTION("""COMPUTED_VALUE"""),"Batch 228")</f>
        <v>Batch 228</v>
      </c>
      <c r="B3446" s="9" t="str">
        <f>IFERROR(__xludf.DUMMYFUNCTION("""COMPUTED_VALUE"""),"VarunC28")</f>
        <v>VarunC28</v>
      </c>
      <c r="C3446" s="8">
        <f>IFERROR(__xludf.DUMMYFUNCTION("""COMPUTED_VALUE"""),0.0)</f>
        <v>0</v>
      </c>
      <c r="D3446" s="8"/>
    </row>
    <row r="3447">
      <c r="A3447" s="9" t="str">
        <f>IFERROR(__xludf.DUMMYFUNCTION("""COMPUTED_VALUE"""),"Batch 228")</f>
        <v>Batch 228</v>
      </c>
      <c r="B3447" s="9" t="str">
        <f>IFERROR(__xludf.DUMMYFUNCTION("""COMPUTED_VALUE"""),"SomaC28")</f>
        <v>SomaC28</v>
      </c>
      <c r="C3447" s="8">
        <f>IFERROR(__xludf.DUMMYFUNCTION("""COMPUTED_VALUE"""),0.0)</f>
        <v>0</v>
      </c>
      <c r="D3447" s="8"/>
    </row>
    <row r="3448">
      <c r="A3448" s="9" t="str">
        <f>IFERROR(__xludf.DUMMYFUNCTION("""COMPUTED_VALUE"""),"Batch 228")</f>
        <v>Batch 228</v>
      </c>
      <c r="B3448" s="9" t="str">
        <f>IFERROR(__xludf.DUMMYFUNCTION("""COMPUTED_VALUE"""),"ShreyaC28")</f>
        <v>ShreyaC28</v>
      </c>
      <c r="C3448" s="8">
        <f>IFERROR(__xludf.DUMMYFUNCTION("""COMPUTED_VALUE"""),0.0)</f>
        <v>0</v>
      </c>
      <c r="D3448" s="8"/>
    </row>
    <row r="3449">
      <c r="A3449" s="9" t="str">
        <f>IFERROR(__xludf.DUMMYFUNCTION("""COMPUTED_VALUE"""),"Batch 228")</f>
        <v>Batch 228</v>
      </c>
      <c r="B3449" s="9" t="str">
        <f>IFERROR(__xludf.DUMMYFUNCTION("""COMPUTED_VALUE"""),"AbhijitC28")</f>
        <v>AbhijitC28</v>
      </c>
      <c r="C3449" s="8">
        <f>IFERROR(__xludf.DUMMYFUNCTION("""COMPUTED_VALUE"""),0.0)</f>
        <v>0</v>
      </c>
      <c r="D3449" s="8"/>
    </row>
    <row r="3450">
      <c r="A3450" s="9" t="str">
        <f>IFERROR(__xludf.DUMMYFUNCTION("""COMPUTED_VALUE"""),"Batch 228")</f>
        <v>Batch 228</v>
      </c>
      <c r="B3450" s="9" t="str">
        <f>IFERROR(__xludf.DUMMYFUNCTION("""COMPUTED_VALUE"""),"SaiyamC28")</f>
        <v>SaiyamC28</v>
      </c>
      <c r="C3450" s="8">
        <f>IFERROR(__xludf.DUMMYFUNCTION("""COMPUTED_VALUE"""),0.0)</f>
        <v>0</v>
      </c>
      <c r="D3450" s="8"/>
    </row>
    <row r="3451">
      <c r="A3451" s="9"/>
      <c r="B3451" s="9"/>
      <c r="C3451" s="8">
        <f>IFERROR(__xludf.DUMMYFUNCTION("""COMPUTED_VALUE"""),0.0)</f>
        <v>0</v>
      </c>
      <c r="D3451" s="8"/>
    </row>
    <row r="3452">
      <c r="A3452" s="9" t="str">
        <f>IFERROR(__xludf.DUMMYFUNCTION("""COMPUTED_VALUE"""),"Batch 229")</f>
        <v>Batch 229</v>
      </c>
      <c r="B3452" s="9" t="str">
        <f>IFERROR(__xludf.DUMMYFUNCTION("""COMPUTED_VALUE"""),"RahulC29")</f>
        <v>RahulC29</v>
      </c>
      <c r="C3452" s="8">
        <f>IFERROR(__xludf.DUMMYFUNCTION("""COMPUTED_VALUE"""),0.0)</f>
        <v>0</v>
      </c>
      <c r="D3452" s="8"/>
    </row>
    <row r="3453">
      <c r="A3453" s="9" t="str">
        <f>IFERROR(__xludf.DUMMYFUNCTION("""COMPUTED_VALUE"""),"Batch 229")</f>
        <v>Batch 229</v>
      </c>
      <c r="B3453" s="9" t="str">
        <f>IFERROR(__xludf.DUMMYFUNCTION("""COMPUTED_VALUE"""),"GaganC29")</f>
        <v>GaganC29</v>
      </c>
      <c r="C3453" s="8">
        <f>IFERROR(__xludf.DUMMYFUNCTION("""COMPUTED_VALUE"""),0.0)</f>
        <v>0</v>
      </c>
      <c r="D3453" s="8"/>
    </row>
    <row r="3454">
      <c r="A3454" s="9" t="str">
        <f>IFERROR(__xludf.DUMMYFUNCTION("""COMPUTED_VALUE"""),"Batch 229")</f>
        <v>Batch 229</v>
      </c>
      <c r="B3454" s="9" t="str">
        <f>IFERROR(__xludf.DUMMYFUNCTION("""COMPUTED_VALUE"""),"LaybaC29")</f>
        <v>LaybaC29</v>
      </c>
      <c r="C3454" s="8">
        <f>IFERROR(__xludf.DUMMYFUNCTION("""COMPUTED_VALUE"""),0.0)</f>
        <v>0</v>
      </c>
      <c r="D3454" s="8"/>
    </row>
    <row r="3455">
      <c r="A3455" s="9" t="str">
        <f>IFERROR(__xludf.DUMMYFUNCTION("""COMPUTED_VALUE"""),"Batch 229")</f>
        <v>Batch 229</v>
      </c>
      <c r="B3455" s="9" t="str">
        <f>IFERROR(__xludf.DUMMYFUNCTION("""COMPUTED_VALUE"""),"RedhiC29")</f>
        <v>RedhiC29</v>
      </c>
      <c r="C3455" s="8">
        <f>IFERROR(__xludf.DUMMYFUNCTION("""COMPUTED_VALUE"""),0.0)</f>
        <v>0</v>
      </c>
      <c r="D3455" s="8"/>
    </row>
    <row r="3456">
      <c r="A3456" s="9" t="str">
        <f>IFERROR(__xludf.DUMMYFUNCTION("""COMPUTED_VALUE"""),"Batch 229")</f>
        <v>Batch 229</v>
      </c>
      <c r="B3456" s="9" t="str">
        <f>IFERROR(__xludf.DUMMYFUNCTION("""COMPUTED_VALUE"""),"AnjaliC29")</f>
        <v>AnjaliC29</v>
      </c>
      <c r="C3456" s="8">
        <f>IFERROR(__xludf.DUMMYFUNCTION("""COMPUTED_VALUE"""),0.0)</f>
        <v>0</v>
      </c>
      <c r="D3456" s="8"/>
    </row>
    <row r="3457">
      <c r="A3457" s="9" t="str">
        <f>IFERROR(__xludf.DUMMYFUNCTION("""COMPUTED_VALUE"""),"Batch 229")</f>
        <v>Batch 229</v>
      </c>
      <c r="B3457" s="9" t="str">
        <f>IFERROR(__xludf.DUMMYFUNCTION("""COMPUTED_VALUE"""),"KartikC29")</f>
        <v>KartikC29</v>
      </c>
      <c r="C3457" s="8">
        <f>IFERROR(__xludf.DUMMYFUNCTION("""COMPUTED_VALUE"""),0.0)</f>
        <v>0</v>
      </c>
      <c r="D3457" s="8"/>
    </row>
    <row r="3458">
      <c r="A3458" s="9" t="str">
        <f>IFERROR(__xludf.DUMMYFUNCTION("""COMPUTED_VALUE"""),"Batch 229")</f>
        <v>Batch 229</v>
      </c>
      <c r="B3458" s="9" t="str">
        <f>IFERROR(__xludf.DUMMYFUNCTION("""COMPUTED_VALUE"""),"JamparapuC29")</f>
        <v>JamparapuC29</v>
      </c>
      <c r="C3458" s="8">
        <f>IFERROR(__xludf.DUMMYFUNCTION("""COMPUTED_VALUE"""),0.0)</f>
        <v>0</v>
      </c>
      <c r="D3458" s="8"/>
    </row>
    <row r="3459">
      <c r="A3459" s="9" t="str">
        <f>IFERROR(__xludf.DUMMYFUNCTION("""COMPUTED_VALUE"""),"Batch 229")</f>
        <v>Batch 229</v>
      </c>
      <c r="B3459" s="9" t="str">
        <f>IFERROR(__xludf.DUMMYFUNCTION("""COMPUTED_VALUE"""),"HarshaC29")</f>
        <v>HarshaC29</v>
      </c>
      <c r="C3459" s="8">
        <f>IFERROR(__xludf.DUMMYFUNCTION("""COMPUTED_VALUE"""),0.0)</f>
        <v>0</v>
      </c>
      <c r="D3459" s="8"/>
    </row>
    <row r="3460">
      <c r="A3460" s="9" t="str">
        <f>IFERROR(__xludf.DUMMYFUNCTION("""COMPUTED_VALUE"""),"Batch 229")</f>
        <v>Batch 229</v>
      </c>
      <c r="B3460" s="9" t="str">
        <f>IFERROR(__xludf.DUMMYFUNCTION("""COMPUTED_VALUE"""),"KunalC29")</f>
        <v>KunalC29</v>
      </c>
      <c r="C3460" s="8">
        <f>IFERROR(__xludf.DUMMYFUNCTION("""COMPUTED_VALUE"""),0.0)</f>
        <v>0</v>
      </c>
      <c r="D3460" s="8"/>
    </row>
    <row r="3461">
      <c r="A3461" s="9" t="str">
        <f>IFERROR(__xludf.DUMMYFUNCTION("""COMPUTED_VALUE"""),"Batch 229")</f>
        <v>Batch 229</v>
      </c>
      <c r="B3461" s="9" t="str">
        <f>IFERROR(__xludf.DUMMYFUNCTION("""COMPUTED_VALUE"""),"AbhinavC29")</f>
        <v>AbhinavC29</v>
      </c>
      <c r="C3461" s="8">
        <f>IFERROR(__xludf.DUMMYFUNCTION("""COMPUTED_VALUE"""),0.0)</f>
        <v>0</v>
      </c>
      <c r="D3461" s="8"/>
    </row>
    <row r="3462">
      <c r="A3462" s="9" t="str">
        <f>IFERROR(__xludf.DUMMYFUNCTION("""COMPUTED_VALUE"""),"Batch 229")</f>
        <v>Batch 229</v>
      </c>
      <c r="B3462" s="9" t="str">
        <f>IFERROR(__xludf.DUMMYFUNCTION("""COMPUTED_VALUE"""),"SaiC29")</f>
        <v>SaiC29</v>
      </c>
      <c r="C3462" s="8">
        <f>IFERROR(__xludf.DUMMYFUNCTION("""COMPUTED_VALUE"""),0.0)</f>
        <v>0</v>
      </c>
      <c r="D3462" s="8"/>
    </row>
    <row r="3463">
      <c r="A3463" s="9" t="str">
        <f>IFERROR(__xludf.DUMMYFUNCTION("""COMPUTED_VALUE"""),"Batch 229")</f>
        <v>Batch 229</v>
      </c>
      <c r="B3463" s="9" t="str">
        <f>IFERROR(__xludf.DUMMYFUNCTION("""COMPUTED_VALUE"""),"TayyabC29")</f>
        <v>TayyabC29</v>
      </c>
      <c r="C3463" s="8">
        <f>IFERROR(__xludf.DUMMYFUNCTION("""COMPUTED_VALUE"""),0.0)</f>
        <v>0</v>
      </c>
      <c r="D3463" s="8"/>
    </row>
    <row r="3464">
      <c r="A3464" s="9" t="str">
        <f>IFERROR(__xludf.DUMMYFUNCTION("""COMPUTED_VALUE"""),"Batch 229")</f>
        <v>Batch 229</v>
      </c>
      <c r="B3464" s="9" t="str">
        <f>IFERROR(__xludf.DUMMYFUNCTION("""COMPUTED_VALUE"""),"RashmiC29")</f>
        <v>RashmiC29</v>
      </c>
      <c r="C3464" s="8">
        <f>IFERROR(__xludf.DUMMYFUNCTION("""COMPUTED_VALUE"""),0.0)</f>
        <v>0</v>
      </c>
      <c r="D3464" s="8"/>
    </row>
    <row r="3465">
      <c r="A3465" s="9"/>
      <c r="B3465" s="9"/>
      <c r="C3465" s="8">
        <f>IFERROR(__xludf.DUMMYFUNCTION("""COMPUTED_VALUE"""),0.0)</f>
        <v>0</v>
      </c>
      <c r="D3465" s="8"/>
    </row>
    <row r="3466">
      <c r="A3466" s="9" t="str">
        <f>IFERROR(__xludf.DUMMYFUNCTION("""COMPUTED_VALUE"""),"Batch 230")</f>
        <v>Batch 230</v>
      </c>
      <c r="B3466" s="9" t="str">
        <f>IFERROR(__xludf.DUMMYFUNCTION("""COMPUTED_VALUE"""),"YogenderC30")</f>
        <v>YogenderC30</v>
      </c>
      <c r="C3466" s="8">
        <f>IFERROR(__xludf.DUMMYFUNCTION("""COMPUTED_VALUE"""),0.0)</f>
        <v>0</v>
      </c>
      <c r="D3466" s="8"/>
    </row>
    <row r="3467">
      <c r="A3467" s="9" t="str">
        <f>IFERROR(__xludf.DUMMYFUNCTION("""COMPUTED_VALUE"""),"Batch 230")</f>
        <v>Batch 230</v>
      </c>
      <c r="B3467" s="9" t="str">
        <f>IFERROR(__xludf.DUMMYFUNCTION("""COMPUTED_VALUE"""),"RupeshC30")</f>
        <v>RupeshC30</v>
      </c>
      <c r="C3467" s="8">
        <f>IFERROR(__xludf.DUMMYFUNCTION("""COMPUTED_VALUE"""),0.0)</f>
        <v>0</v>
      </c>
      <c r="D3467" s="8"/>
    </row>
    <row r="3468">
      <c r="A3468" s="9" t="str">
        <f>IFERROR(__xludf.DUMMYFUNCTION("""COMPUTED_VALUE"""),"Batch 230")</f>
        <v>Batch 230</v>
      </c>
      <c r="B3468" s="9" t="str">
        <f>IFERROR(__xludf.DUMMYFUNCTION("""COMPUTED_VALUE"""),"IraazC30")</f>
        <v>IraazC30</v>
      </c>
      <c r="C3468" s="8">
        <f>IFERROR(__xludf.DUMMYFUNCTION("""COMPUTED_VALUE"""),0.0)</f>
        <v>0</v>
      </c>
      <c r="D3468" s="8"/>
    </row>
    <row r="3469">
      <c r="A3469" s="9" t="str">
        <f>IFERROR(__xludf.DUMMYFUNCTION("""COMPUTED_VALUE"""),"Batch 230")</f>
        <v>Batch 230</v>
      </c>
      <c r="B3469" s="9" t="str">
        <f>IFERROR(__xludf.DUMMYFUNCTION("""COMPUTED_VALUE"""),"VaibhaviC30")</f>
        <v>VaibhaviC30</v>
      </c>
      <c r="C3469" s="8">
        <f>IFERROR(__xludf.DUMMYFUNCTION("""COMPUTED_VALUE"""),0.0)</f>
        <v>0</v>
      </c>
      <c r="D3469" s="8"/>
    </row>
    <row r="3470">
      <c r="A3470" s="9" t="str">
        <f>IFERROR(__xludf.DUMMYFUNCTION("""COMPUTED_VALUE"""),"Batch 230")</f>
        <v>Batch 230</v>
      </c>
      <c r="B3470" s="9" t="str">
        <f>IFERROR(__xludf.DUMMYFUNCTION("""COMPUTED_VALUE"""),"KausthubaC30")</f>
        <v>KausthubaC30</v>
      </c>
      <c r="C3470" s="8">
        <f>IFERROR(__xludf.DUMMYFUNCTION("""COMPUTED_VALUE"""),3.0)</f>
        <v>3</v>
      </c>
      <c r="D3470" s="8"/>
    </row>
    <row r="3471">
      <c r="A3471" s="9" t="str">
        <f>IFERROR(__xludf.DUMMYFUNCTION("""COMPUTED_VALUE"""),"Batch 230")</f>
        <v>Batch 230</v>
      </c>
      <c r="B3471" s="9" t="str">
        <f>IFERROR(__xludf.DUMMYFUNCTION("""COMPUTED_VALUE"""),"ShrutiC30")</f>
        <v>ShrutiC30</v>
      </c>
      <c r="C3471" s="8">
        <f>IFERROR(__xludf.DUMMYFUNCTION("""COMPUTED_VALUE"""),0.0)</f>
        <v>0</v>
      </c>
      <c r="D3471" s="8"/>
    </row>
    <row r="3472">
      <c r="A3472" s="9" t="str">
        <f>IFERROR(__xludf.DUMMYFUNCTION("""COMPUTED_VALUE"""),"Batch 230")</f>
        <v>Batch 230</v>
      </c>
      <c r="B3472" s="9" t="str">
        <f>IFERROR(__xludf.DUMMYFUNCTION("""COMPUTED_VALUE"""),"PiyushC30")</f>
        <v>PiyushC30</v>
      </c>
      <c r="C3472" s="8">
        <f>IFERROR(__xludf.DUMMYFUNCTION("""COMPUTED_VALUE"""),1.0)</f>
        <v>1</v>
      </c>
      <c r="D3472" s="8"/>
    </row>
    <row r="3473">
      <c r="A3473" s="9" t="str">
        <f>IFERROR(__xludf.DUMMYFUNCTION("""COMPUTED_VALUE"""),"Batch 230")</f>
        <v>Batch 230</v>
      </c>
      <c r="B3473" s="9" t="str">
        <f>IFERROR(__xludf.DUMMYFUNCTION("""COMPUTED_VALUE"""),"KhushiC30")</f>
        <v>KhushiC30</v>
      </c>
      <c r="C3473" s="8">
        <f>IFERROR(__xludf.DUMMYFUNCTION("""COMPUTED_VALUE"""),0.0)</f>
        <v>0</v>
      </c>
      <c r="D3473" s="8"/>
    </row>
    <row r="3474">
      <c r="A3474" s="9" t="str">
        <f>IFERROR(__xludf.DUMMYFUNCTION("""COMPUTED_VALUE"""),"Batch 230")</f>
        <v>Batch 230</v>
      </c>
      <c r="B3474" s="9" t="str">
        <f>IFERROR(__xludf.DUMMYFUNCTION("""COMPUTED_VALUE"""),"HansikaC30")</f>
        <v>HansikaC30</v>
      </c>
      <c r="C3474" s="8">
        <f>IFERROR(__xludf.DUMMYFUNCTION("""COMPUTED_VALUE"""),12.0)</f>
        <v>12</v>
      </c>
      <c r="D3474" s="8">
        <f>IFERROR(__xludf.DUMMYFUNCTION("""COMPUTED_VALUE"""),3.0)</f>
        <v>3</v>
      </c>
    </row>
    <row r="3475">
      <c r="A3475" s="9" t="str">
        <f>IFERROR(__xludf.DUMMYFUNCTION("""COMPUTED_VALUE"""),"Batch 230")</f>
        <v>Batch 230</v>
      </c>
      <c r="B3475" s="9" t="str">
        <f>IFERROR(__xludf.DUMMYFUNCTION("""COMPUTED_VALUE"""),"ShreyaC30")</f>
        <v>ShreyaC30</v>
      </c>
      <c r="C3475" s="8">
        <f>IFERROR(__xludf.DUMMYFUNCTION("""COMPUTED_VALUE"""),0.0)</f>
        <v>0</v>
      </c>
      <c r="D3475" s="8"/>
    </row>
    <row r="3476">
      <c r="A3476" s="9" t="str">
        <f>IFERROR(__xludf.DUMMYFUNCTION("""COMPUTED_VALUE"""),"Batch 230")</f>
        <v>Batch 230</v>
      </c>
      <c r="B3476" s="9" t="str">
        <f>IFERROR(__xludf.DUMMYFUNCTION("""COMPUTED_VALUE"""),"VaishnaviC30")</f>
        <v>VaishnaviC30</v>
      </c>
      <c r="C3476" s="8">
        <f>IFERROR(__xludf.DUMMYFUNCTION("""COMPUTED_VALUE"""),0.0)</f>
        <v>0</v>
      </c>
      <c r="D3476" s="8"/>
    </row>
    <row r="3477">
      <c r="A3477" s="9" t="str">
        <f>IFERROR(__xludf.DUMMYFUNCTION("""COMPUTED_VALUE"""),"Batch 230")</f>
        <v>Batch 230</v>
      </c>
      <c r="B3477" s="9" t="str">
        <f>IFERROR(__xludf.DUMMYFUNCTION("""COMPUTED_VALUE"""),"RahulC30")</f>
        <v>RahulC30</v>
      </c>
      <c r="C3477" s="8">
        <f>IFERROR(__xludf.DUMMYFUNCTION("""COMPUTED_VALUE"""),0.0)</f>
        <v>0</v>
      </c>
      <c r="D3477" s="8"/>
    </row>
    <row r="3478">
      <c r="A3478" s="9" t="str">
        <f>IFERROR(__xludf.DUMMYFUNCTION("""COMPUTED_VALUE"""),"Batch 230")</f>
        <v>Batch 230</v>
      </c>
      <c r="B3478" s="9" t="str">
        <f>IFERROR(__xludf.DUMMYFUNCTION("""COMPUTED_VALUE"""),"AditiC30")</f>
        <v>AditiC30</v>
      </c>
      <c r="C3478" s="8">
        <f>IFERROR(__xludf.DUMMYFUNCTION("""COMPUTED_VALUE"""),0.0)</f>
        <v>0</v>
      </c>
      <c r="D3478" s="8"/>
    </row>
    <row r="3479">
      <c r="A3479" s="9" t="str">
        <f>IFERROR(__xludf.DUMMYFUNCTION("""COMPUTED_VALUE"""),"Batch 230")</f>
        <v>Batch 230</v>
      </c>
      <c r="B3479" s="9" t="str">
        <f>IFERROR(__xludf.DUMMYFUNCTION("""COMPUTED_VALUE"""),"JyotiC30")</f>
        <v>JyotiC30</v>
      </c>
      <c r="C3479" s="8">
        <f>IFERROR(__xludf.DUMMYFUNCTION("""COMPUTED_VALUE"""),0.0)</f>
        <v>0</v>
      </c>
      <c r="D3479" s="8"/>
    </row>
    <row r="3480">
      <c r="A3480" s="9" t="str">
        <f>IFERROR(__xludf.DUMMYFUNCTION("""COMPUTED_VALUE"""),"Batch 230")</f>
        <v>Batch 230</v>
      </c>
      <c r="B3480" s="9" t="str">
        <f>IFERROR(__xludf.DUMMYFUNCTION("""COMPUTED_VALUE"""),"KartikC30")</f>
        <v>KartikC30</v>
      </c>
      <c r="C3480" s="8">
        <f>IFERROR(__xludf.DUMMYFUNCTION("""COMPUTED_VALUE"""),1.0)</f>
        <v>1</v>
      </c>
      <c r="D3480" s="8"/>
    </row>
    <row r="3481">
      <c r="A3481" s="9" t="str">
        <f>IFERROR(__xludf.DUMMYFUNCTION("""COMPUTED_VALUE"""),"Batch 230")</f>
        <v>Batch 230</v>
      </c>
      <c r="B3481" s="9" t="str">
        <f>IFERROR(__xludf.DUMMYFUNCTION("""COMPUTED_VALUE"""),"SubhanshuC30")</f>
        <v>SubhanshuC30</v>
      </c>
      <c r="C3481" s="8">
        <f>IFERROR(__xludf.DUMMYFUNCTION("""COMPUTED_VALUE"""),0.0)</f>
        <v>0</v>
      </c>
      <c r="D3481" s="8"/>
    </row>
    <row r="3482">
      <c r="A3482" s="9" t="str">
        <f>IFERROR(__xludf.DUMMYFUNCTION("""COMPUTED_VALUE"""),"Batch 230")</f>
        <v>Batch 230</v>
      </c>
      <c r="B3482" s="9" t="str">
        <f>IFERROR(__xludf.DUMMYFUNCTION("""COMPUTED_VALUE"""),"MansiC30")</f>
        <v>MansiC30</v>
      </c>
      <c r="C3482" s="8">
        <f>IFERROR(__xludf.DUMMYFUNCTION("""COMPUTED_VALUE"""),0.0)</f>
        <v>0</v>
      </c>
      <c r="D3482" s="8"/>
    </row>
    <row r="3483">
      <c r="A3483" s="9" t="str">
        <f>IFERROR(__xludf.DUMMYFUNCTION("""COMPUTED_VALUE"""),"Batch 230")</f>
        <v>Batch 230</v>
      </c>
      <c r="B3483" s="9" t="str">
        <f>IFERROR(__xludf.DUMMYFUNCTION("""COMPUTED_VALUE"""),"M.LakshmiC30")</f>
        <v>M.LakshmiC30</v>
      </c>
      <c r="C3483" s="8">
        <f>IFERROR(__xludf.DUMMYFUNCTION("""COMPUTED_VALUE"""),0.0)</f>
        <v>0</v>
      </c>
      <c r="D3483" s="8"/>
    </row>
    <row r="3484">
      <c r="A3484" s="9" t="str">
        <f>IFERROR(__xludf.DUMMYFUNCTION("""COMPUTED_VALUE"""),"Batch 230")</f>
        <v>Batch 230</v>
      </c>
      <c r="B3484" s="9" t="str">
        <f>IFERROR(__xludf.DUMMYFUNCTION("""COMPUTED_VALUE"""),"MDC30")</f>
        <v>MDC30</v>
      </c>
      <c r="C3484" s="8">
        <f>IFERROR(__xludf.DUMMYFUNCTION("""COMPUTED_VALUE"""),5.0)</f>
        <v>5</v>
      </c>
      <c r="D3484" s="8"/>
    </row>
    <row r="3485">
      <c r="A3485" s="9" t="str">
        <f>IFERROR(__xludf.DUMMYFUNCTION("""COMPUTED_VALUE"""),"Batch 230")</f>
        <v>Batch 230</v>
      </c>
      <c r="B3485" s="9" t="str">
        <f>IFERROR(__xludf.DUMMYFUNCTION("""COMPUTED_VALUE"""),"AYUSHC30")</f>
        <v>AYUSHC30</v>
      </c>
      <c r="C3485" s="8">
        <f>IFERROR(__xludf.DUMMYFUNCTION("""COMPUTED_VALUE"""),0.0)</f>
        <v>0</v>
      </c>
      <c r="D3485" s="8"/>
    </row>
    <row r="3486">
      <c r="A3486" s="9" t="str">
        <f>IFERROR(__xludf.DUMMYFUNCTION("""COMPUTED_VALUE"""),"Batch 230")</f>
        <v>Batch 230</v>
      </c>
      <c r="B3486" s="9" t="str">
        <f>IFERROR(__xludf.DUMMYFUNCTION("""COMPUTED_VALUE"""),"PuliC30")</f>
        <v>PuliC30</v>
      </c>
      <c r="C3486" s="8">
        <f>IFERROR(__xludf.DUMMYFUNCTION("""COMPUTED_VALUE"""),15.0)</f>
        <v>15</v>
      </c>
      <c r="D3486" s="8"/>
    </row>
    <row r="3487">
      <c r="A3487" s="9" t="str">
        <f>IFERROR(__xludf.DUMMYFUNCTION("""COMPUTED_VALUE"""),"Batch 230")</f>
        <v>Batch 230</v>
      </c>
      <c r="B3487" s="9" t="str">
        <f>IFERROR(__xludf.DUMMYFUNCTION("""COMPUTED_VALUE"""),"AashishC30")</f>
        <v>AashishC30</v>
      </c>
      <c r="C3487" s="8">
        <f>IFERROR(__xludf.DUMMYFUNCTION("""COMPUTED_VALUE"""),0.0)</f>
        <v>0</v>
      </c>
      <c r="D3487" s="8"/>
    </row>
    <row r="3488">
      <c r="A3488" s="9" t="str">
        <f>IFERROR(__xludf.DUMMYFUNCTION("""COMPUTED_VALUE"""),"Batch 230")</f>
        <v>Batch 230</v>
      </c>
      <c r="B3488" s="9" t="str">
        <f>IFERROR(__xludf.DUMMYFUNCTION("""COMPUTED_VALUE"""),"AnjaliC30")</f>
        <v>AnjaliC30</v>
      </c>
      <c r="C3488" s="8">
        <f>IFERROR(__xludf.DUMMYFUNCTION("""COMPUTED_VALUE"""),0.0)</f>
        <v>0</v>
      </c>
      <c r="D3488" s="8"/>
    </row>
    <row r="3489">
      <c r="A3489" s="9" t="str">
        <f>IFERROR(__xludf.DUMMYFUNCTION("""COMPUTED_VALUE"""),"Batch 230")</f>
        <v>Batch 230</v>
      </c>
      <c r="B3489" s="9" t="str">
        <f>IFERROR(__xludf.DUMMYFUNCTION("""COMPUTED_VALUE"""),"AbhinavC30")</f>
        <v>AbhinavC30</v>
      </c>
      <c r="C3489" s="8">
        <f>IFERROR(__xludf.DUMMYFUNCTION("""COMPUTED_VALUE"""),1.0)</f>
        <v>1</v>
      </c>
      <c r="D3489" s="8"/>
    </row>
    <row r="3490">
      <c r="A3490" s="9" t="str">
        <f>IFERROR(__xludf.DUMMYFUNCTION("""COMPUTED_VALUE"""),"Batch 230")</f>
        <v>Batch 230</v>
      </c>
      <c r="B3490" s="9" t="str">
        <f>IFERROR(__xludf.DUMMYFUNCTION("""COMPUTED_VALUE"""),"MuddanaC30")</f>
        <v>MuddanaC30</v>
      </c>
      <c r="C3490" s="8">
        <f>IFERROR(__xludf.DUMMYFUNCTION("""COMPUTED_VALUE"""),0.0)</f>
        <v>0</v>
      </c>
      <c r="D3490" s="8"/>
    </row>
    <row r="3491">
      <c r="A3491" s="9" t="str">
        <f>IFERROR(__xludf.DUMMYFUNCTION("""COMPUTED_VALUE"""),"Batch 230")</f>
        <v>Batch 230</v>
      </c>
      <c r="B3491" s="9" t="str">
        <f>IFERROR(__xludf.DUMMYFUNCTION("""COMPUTED_VALUE"""),"AnshraC30")</f>
        <v>AnshraC30</v>
      </c>
      <c r="C3491" s="8">
        <f>IFERROR(__xludf.DUMMYFUNCTION("""COMPUTED_VALUE"""),0.0)</f>
        <v>0</v>
      </c>
      <c r="D3491" s="8"/>
    </row>
    <row r="3492">
      <c r="A3492" s="9" t="str">
        <f>IFERROR(__xludf.DUMMYFUNCTION("""COMPUTED_VALUE"""),"Batch 230")</f>
        <v>Batch 230</v>
      </c>
      <c r="B3492" s="9" t="str">
        <f>IFERROR(__xludf.DUMMYFUNCTION("""COMPUTED_VALUE"""),"AnjaniC30")</f>
        <v>AnjaniC30</v>
      </c>
      <c r="C3492" s="8">
        <f>IFERROR(__xludf.DUMMYFUNCTION("""COMPUTED_VALUE"""),0.0)</f>
        <v>0</v>
      </c>
      <c r="D3492" s="8"/>
    </row>
    <row r="3493">
      <c r="A3493" s="9" t="str">
        <f>IFERROR(__xludf.DUMMYFUNCTION("""COMPUTED_VALUE"""),"Batch 230")</f>
        <v>Batch 230</v>
      </c>
      <c r="B3493" s="9" t="str">
        <f>IFERROR(__xludf.DUMMYFUNCTION("""COMPUTED_VALUE"""),"RODDAC30")</f>
        <v>RODDAC30</v>
      </c>
      <c r="C3493" s="8">
        <f>IFERROR(__xludf.DUMMYFUNCTION("""COMPUTED_VALUE"""),0.0)</f>
        <v>0</v>
      </c>
      <c r="D3493" s="8"/>
    </row>
    <row r="3494">
      <c r="A3494" s="9" t="str">
        <f>IFERROR(__xludf.DUMMYFUNCTION("""COMPUTED_VALUE"""),"Batch 230")</f>
        <v>Batch 230</v>
      </c>
      <c r="B3494" s="9" t="str">
        <f>IFERROR(__xludf.DUMMYFUNCTION("""COMPUTED_VALUE"""),"RituC30")</f>
        <v>RituC30</v>
      </c>
      <c r="C3494" s="8">
        <f>IFERROR(__xludf.DUMMYFUNCTION("""COMPUTED_VALUE"""),8.0)</f>
        <v>8</v>
      </c>
      <c r="D3494" s="8">
        <f>IFERROR(__xludf.DUMMYFUNCTION("""COMPUTED_VALUE"""),12.0)</f>
        <v>12</v>
      </c>
    </row>
    <row r="3495">
      <c r="A3495" s="9" t="str">
        <f>IFERROR(__xludf.DUMMYFUNCTION("""COMPUTED_VALUE"""),"Batch 230")</f>
        <v>Batch 230</v>
      </c>
      <c r="B3495" s="9" t="str">
        <f>IFERROR(__xludf.DUMMYFUNCTION("""COMPUTED_VALUE"""),"GaneshC30")</f>
        <v>GaneshC30</v>
      </c>
      <c r="C3495" s="8">
        <f>IFERROR(__xludf.DUMMYFUNCTION("""COMPUTED_VALUE"""),0.0)</f>
        <v>0</v>
      </c>
      <c r="D3495" s="8"/>
    </row>
    <row r="3496">
      <c r="A3496" s="9" t="str">
        <f>IFERROR(__xludf.DUMMYFUNCTION("""COMPUTED_VALUE"""),"Batch 230")</f>
        <v>Batch 230</v>
      </c>
      <c r="B3496" s="9" t="str">
        <f>IFERROR(__xludf.DUMMYFUNCTION("""COMPUTED_VALUE"""),"AnjaliC30")</f>
        <v>AnjaliC30</v>
      </c>
      <c r="C3496" s="8">
        <f>IFERROR(__xludf.DUMMYFUNCTION("""COMPUTED_VALUE"""),0.0)</f>
        <v>0</v>
      </c>
      <c r="D3496" s="8"/>
    </row>
    <row r="3497">
      <c r="A3497" s="9" t="str">
        <f>IFERROR(__xludf.DUMMYFUNCTION("""COMPUTED_VALUE"""),"Batch 230")</f>
        <v>Batch 230</v>
      </c>
      <c r="B3497" s="9" t="str">
        <f>IFERROR(__xludf.DUMMYFUNCTION("""COMPUTED_VALUE"""),"HeraC30")</f>
        <v>HeraC30</v>
      </c>
      <c r="C3497" s="8">
        <f>IFERROR(__xludf.DUMMYFUNCTION("""COMPUTED_VALUE"""),0.0)</f>
        <v>0</v>
      </c>
      <c r="D3497" s="8"/>
    </row>
    <row r="3498">
      <c r="A3498" s="9" t="str">
        <f>IFERROR(__xludf.DUMMYFUNCTION("""COMPUTED_VALUE"""),"Batch 230")</f>
        <v>Batch 230</v>
      </c>
      <c r="B3498" s="9" t="str">
        <f>IFERROR(__xludf.DUMMYFUNCTION("""COMPUTED_VALUE"""),"AashiC30")</f>
        <v>AashiC30</v>
      </c>
      <c r="C3498" s="8">
        <f>IFERROR(__xludf.DUMMYFUNCTION("""COMPUTED_VALUE"""),0.0)</f>
        <v>0</v>
      </c>
      <c r="D3498" s="8"/>
    </row>
    <row r="3499">
      <c r="A3499" s="9" t="str">
        <f>IFERROR(__xludf.DUMMYFUNCTION("""COMPUTED_VALUE"""),"Batch 230")</f>
        <v>Batch 230</v>
      </c>
      <c r="B3499" s="9" t="str">
        <f>IFERROR(__xludf.DUMMYFUNCTION("""COMPUTED_VALUE"""),"ShyamC30")</f>
        <v>ShyamC30</v>
      </c>
      <c r="C3499" s="8">
        <f>IFERROR(__xludf.DUMMYFUNCTION("""COMPUTED_VALUE"""),0.0)</f>
        <v>0</v>
      </c>
      <c r="D3499" s="8"/>
    </row>
    <row r="3500">
      <c r="A3500" s="9" t="str">
        <f>IFERROR(__xludf.DUMMYFUNCTION("""COMPUTED_VALUE"""),"Batch 230")</f>
        <v>Batch 230</v>
      </c>
      <c r="B3500" s="9" t="str">
        <f>IFERROR(__xludf.DUMMYFUNCTION("""COMPUTED_VALUE"""),"SnehaC30")</f>
        <v>SnehaC30</v>
      </c>
      <c r="C3500" s="8">
        <f>IFERROR(__xludf.DUMMYFUNCTION("""COMPUTED_VALUE"""),0.0)</f>
        <v>0</v>
      </c>
      <c r="D3500" s="8"/>
    </row>
    <row r="3501">
      <c r="A3501" s="9" t="str">
        <f>IFERROR(__xludf.DUMMYFUNCTION("""COMPUTED_VALUE"""),"Batch 230")</f>
        <v>Batch 230</v>
      </c>
      <c r="B3501" s="9" t="str">
        <f>IFERROR(__xludf.DUMMYFUNCTION("""COMPUTED_VALUE"""),"KhushiC30")</f>
        <v>KhushiC30</v>
      </c>
      <c r="C3501" s="8">
        <f>IFERROR(__xludf.DUMMYFUNCTION("""COMPUTED_VALUE"""),0.0)</f>
        <v>0</v>
      </c>
      <c r="D3501" s="8"/>
    </row>
    <row r="3502">
      <c r="A3502" s="9" t="str">
        <f>IFERROR(__xludf.DUMMYFUNCTION("""COMPUTED_VALUE"""),"Batch 230")</f>
        <v>Batch 230</v>
      </c>
      <c r="B3502" s="9" t="str">
        <f>IFERROR(__xludf.DUMMYFUNCTION("""COMPUTED_VALUE"""),"RitunC30")</f>
        <v>RitunC30</v>
      </c>
      <c r="C3502" s="8">
        <f>IFERROR(__xludf.DUMMYFUNCTION("""COMPUTED_VALUE"""),0.0)</f>
        <v>0</v>
      </c>
      <c r="D3502" s="8"/>
    </row>
    <row r="3503">
      <c r="A3503" s="9"/>
      <c r="B3503" s="9"/>
      <c r="C3503" s="8">
        <f>IFERROR(__xludf.DUMMYFUNCTION("""COMPUTED_VALUE"""),0.0)</f>
        <v>0</v>
      </c>
      <c r="D3503" s="8"/>
    </row>
    <row r="3504">
      <c r="A3504" s="9" t="str">
        <f>IFERROR(__xludf.DUMMYFUNCTION("""COMPUTED_VALUE"""),"Batch 231")</f>
        <v>Batch 231</v>
      </c>
      <c r="B3504" s="9" t="str">
        <f>IFERROR(__xludf.DUMMYFUNCTION("""COMPUTED_VALUE"""),"AenaizaC31")</f>
        <v>AenaizaC31</v>
      </c>
      <c r="C3504" s="8">
        <f>IFERROR(__xludf.DUMMYFUNCTION("""COMPUTED_VALUE"""),1.0)</f>
        <v>1</v>
      </c>
      <c r="D3504" s="8"/>
    </row>
    <row r="3505">
      <c r="A3505" s="9" t="str">
        <f>IFERROR(__xludf.DUMMYFUNCTION("""COMPUTED_VALUE"""),"Batch 231")</f>
        <v>Batch 231</v>
      </c>
      <c r="B3505" s="9" t="str">
        <f>IFERROR(__xludf.DUMMYFUNCTION("""COMPUTED_VALUE"""),"KrishnaC31")</f>
        <v>KrishnaC31</v>
      </c>
      <c r="C3505" s="8">
        <f>IFERROR(__xludf.DUMMYFUNCTION("""COMPUTED_VALUE"""),0.0)</f>
        <v>0</v>
      </c>
      <c r="D3505" s="8"/>
    </row>
    <row r="3506">
      <c r="A3506" s="9" t="str">
        <f>IFERROR(__xludf.DUMMYFUNCTION("""COMPUTED_VALUE"""),"Batch 231")</f>
        <v>Batch 231</v>
      </c>
      <c r="B3506" s="9" t="str">
        <f>IFERROR(__xludf.DUMMYFUNCTION("""COMPUTED_VALUE"""),"RanjeetC31")</f>
        <v>RanjeetC31</v>
      </c>
      <c r="C3506" s="8">
        <f>IFERROR(__xludf.DUMMYFUNCTION("""COMPUTED_VALUE"""),4.0)</f>
        <v>4</v>
      </c>
      <c r="D3506" s="8"/>
    </row>
    <row r="3507">
      <c r="A3507" s="9" t="str">
        <f>IFERROR(__xludf.DUMMYFUNCTION("""COMPUTED_VALUE"""),"Batch 231")</f>
        <v>Batch 231</v>
      </c>
      <c r="B3507" s="9" t="str">
        <f>IFERROR(__xludf.DUMMYFUNCTION("""COMPUTED_VALUE"""),"SachinC31")</f>
        <v>SachinC31</v>
      </c>
      <c r="C3507" s="8">
        <f>IFERROR(__xludf.DUMMYFUNCTION("""COMPUTED_VALUE"""),1.0)</f>
        <v>1</v>
      </c>
      <c r="D3507" s="8"/>
    </row>
    <row r="3508">
      <c r="A3508" s="9" t="str">
        <f>IFERROR(__xludf.DUMMYFUNCTION("""COMPUTED_VALUE"""),"Batch 231")</f>
        <v>Batch 231</v>
      </c>
      <c r="B3508" s="9" t="str">
        <f>IFERROR(__xludf.DUMMYFUNCTION("""COMPUTED_VALUE"""),"PriyanshuC31")</f>
        <v>PriyanshuC31</v>
      </c>
      <c r="C3508" s="8">
        <f>IFERROR(__xludf.DUMMYFUNCTION("""COMPUTED_VALUE"""),0.0)</f>
        <v>0</v>
      </c>
      <c r="D3508" s="8"/>
    </row>
    <row r="3509">
      <c r="A3509" s="9" t="str">
        <f>IFERROR(__xludf.DUMMYFUNCTION("""COMPUTED_VALUE"""),"Batch 231")</f>
        <v>Batch 231</v>
      </c>
      <c r="B3509" s="9" t="str">
        <f>IFERROR(__xludf.DUMMYFUNCTION("""COMPUTED_VALUE"""),"PragatiC31")</f>
        <v>PragatiC31</v>
      </c>
      <c r="C3509" s="8">
        <f>IFERROR(__xludf.DUMMYFUNCTION("""COMPUTED_VALUE"""),0.0)</f>
        <v>0</v>
      </c>
      <c r="D3509" s="8"/>
    </row>
    <row r="3510">
      <c r="A3510" s="9" t="str">
        <f>IFERROR(__xludf.DUMMYFUNCTION("""COMPUTED_VALUE"""),"Batch 231")</f>
        <v>Batch 231</v>
      </c>
      <c r="B3510" s="9" t="str">
        <f>IFERROR(__xludf.DUMMYFUNCTION("""COMPUTED_VALUE"""),"SumitC31")</f>
        <v>SumitC31</v>
      </c>
      <c r="C3510" s="8">
        <f>IFERROR(__xludf.DUMMYFUNCTION("""COMPUTED_VALUE"""),1.0)</f>
        <v>1</v>
      </c>
      <c r="D3510" s="8">
        <f>IFERROR(__xludf.DUMMYFUNCTION("""COMPUTED_VALUE"""),3.0)</f>
        <v>3</v>
      </c>
    </row>
    <row r="3511">
      <c r="A3511" s="9" t="str">
        <f>IFERROR(__xludf.DUMMYFUNCTION("""COMPUTED_VALUE"""),"Batch 231")</f>
        <v>Batch 231</v>
      </c>
      <c r="B3511" s="9" t="str">
        <f>IFERROR(__xludf.DUMMYFUNCTION("""COMPUTED_VALUE"""),"hrishikeshC31")</f>
        <v>hrishikeshC31</v>
      </c>
      <c r="C3511" s="8">
        <f>IFERROR(__xludf.DUMMYFUNCTION("""COMPUTED_VALUE"""),0.0)</f>
        <v>0</v>
      </c>
      <c r="D3511" s="8"/>
    </row>
    <row r="3512">
      <c r="A3512" s="9" t="str">
        <f>IFERROR(__xludf.DUMMYFUNCTION("""COMPUTED_VALUE"""),"Batch 231")</f>
        <v>Batch 231</v>
      </c>
      <c r="B3512" s="9" t="str">
        <f>IFERROR(__xludf.DUMMYFUNCTION("""COMPUTED_VALUE"""),"AnkitC31")</f>
        <v>AnkitC31</v>
      </c>
      <c r="C3512" s="8">
        <f>IFERROR(__xludf.DUMMYFUNCTION("""COMPUTED_VALUE"""),1.0)</f>
        <v>1</v>
      </c>
      <c r="D3512" s="8">
        <f>IFERROR(__xludf.DUMMYFUNCTION("""COMPUTED_VALUE"""),3.0)</f>
        <v>3</v>
      </c>
    </row>
    <row r="3513">
      <c r="A3513" s="9" t="str">
        <f>IFERROR(__xludf.DUMMYFUNCTION("""COMPUTED_VALUE"""),"Batch 231")</f>
        <v>Batch 231</v>
      </c>
      <c r="B3513" s="9" t="str">
        <f>IFERROR(__xludf.DUMMYFUNCTION("""COMPUTED_VALUE"""),"AryanC31")</f>
        <v>AryanC31</v>
      </c>
      <c r="C3513" s="8">
        <f>IFERROR(__xludf.DUMMYFUNCTION("""COMPUTED_VALUE"""),3.0)</f>
        <v>3</v>
      </c>
      <c r="D3513" s="8"/>
    </row>
    <row r="3514">
      <c r="A3514" s="9" t="str">
        <f>IFERROR(__xludf.DUMMYFUNCTION("""COMPUTED_VALUE"""),"Batch 231")</f>
        <v>Batch 231</v>
      </c>
      <c r="B3514" s="9" t="str">
        <f>IFERROR(__xludf.DUMMYFUNCTION("""COMPUTED_VALUE"""),"AmarC31")</f>
        <v>AmarC31</v>
      </c>
      <c r="C3514" s="8">
        <f>IFERROR(__xludf.DUMMYFUNCTION("""COMPUTED_VALUE"""),0.0)</f>
        <v>0</v>
      </c>
      <c r="D3514" s="8"/>
    </row>
    <row r="3515">
      <c r="A3515" s="9" t="str">
        <f>IFERROR(__xludf.DUMMYFUNCTION("""COMPUTED_VALUE"""),"Batch 231")</f>
        <v>Batch 231</v>
      </c>
      <c r="B3515" s="9" t="str">
        <f>IFERROR(__xludf.DUMMYFUNCTION("""COMPUTED_VALUE"""),"PriyaC31")</f>
        <v>PriyaC31</v>
      </c>
      <c r="C3515" s="8">
        <f>IFERROR(__xludf.DUMMYFUNCTION("""COMPUTED_VALUE"""),0.0)</f>
        <v>0</v>
      </c>
      <c r="D3515" s="8"/>
    </row>
    <row r="3516">
      <c r="A3516" s="9" t="str">
        <f>IFERROR(__xludf.DUMMYFUNCTION("""COMPUTED_VALUE"""),"Batch 231")</f>
        <v>Batch 231</v>
      </c>
      <c r="B3516" s="9" t="str">
        <f>IFERROR(__xludf.DUMMYFUNCTION("""COMPUTED_VALUE"""),"SiddharthC31")</f>
        <v>SiddharthC31</v>
      </c>
      <c r="C3516" s="8">
        <f>IFERROR(__xludf.DUMMYFUNCTION("""COMPUTED_VALUE"""),0.0)</f>
        <v>0</v>
      </c>
      <c r="D3516" s="8"/>
    </row>
    <row r="3517">
      <c r="A3517" s="9" t="str">
        <f>IFERROR(__xludf.DUMMYFUNCTION("""COMPUTED_VALUE"""),"Batch 231")</f>
        <v>Batch 231</v>
      </c>
      <c r="B3517" s="9" t="str">
        <f>IFERROR(__xludf.DUMMYFUNCTION("""COMPUTED_VALUE"""),"KunalC31")</f>
        <v>KunalC31</v>
      </c>
      <c r="C3517" s="8">
        <f>IFERROR(__xludf.DUMMYFUNCTION("""COMPUTED_VALUE"""),0.0)</f>
        <v>0</v>
      </c>
      <c r="D3517" s="8"/>
    </row>
    <row r="3518">
      <c r="A3518" s="9" t="str">
        <f>IFERROR(__xludf.DUMMYFUNCTION("""COMPUTED_VALUE"""),"Batch 231")</f>
        <v>Batch 231</v>
      </c>
      <c r="B3518" s="9" t="str">
        <f>IFERROR(__xludf.DUMMYFUNCTION("""COMPUTED_VALUE"""),"KanishkC31")</f>
        <v>KanishkC31</v>
      </c>
      <c r="C3518" s="8">
        <f>IFERROR(__xludf.DUMMYFUNCTION("""COMPUTED_VALUE"""),0.0)</f>
        <v>0</v>
      </c>
      <c r="D3518" s="8"/>
    </row>
    <row r="3519">
      <c r="A3519" s="9" t="str">
        <f>IFERROR(__xludf.DUMMYFUNCTION("""COMPUTED_VALUE"""),"Batch 231")</f>
        <v>Batch 231</v>
      </c>
      <c r="B3519" s="9" t="str">
        <f>IFERROR(__xludf.DUMMYFUNCTION("""COMPUTED_VALUE"""),"NavinC31")</f>
        <v>NavinC31</v>
      </c>
      <c r="C3519" s="8">
        <f>IFERROR(__xludf.DUMMYFUNCTION("""COMPUTED_VALUE"""),0.0)</f>
        <v>0</v>
      </c>
      <c r="D3519" s="8"/>
    </row>
    <row r="3520">
      <c r="A3520" s="9" t="str">
        <f>IFERROR(__xludf.DUMMYFUNCTION("""COMPUTED_VALUE"""),"Batch 231")</f>
        <v>Batch 231</v>
      </c>
      <c r="B3520" s="9" t="str">
        <f>IFERROR(__xludf.DUMMYFUNCTION("""COMPUTED_VALUE"""),"LuckyC31")</f>
        <v>LuckyC31</v>
      </c>
      <c r="C3520" s="8">
        <f>IFERROR(__xludf.DUMMYFUNCTION("""COMPUTED_VALUE"""),8.0)</f>
        <v>8</v>
      </c>
      <c r="D3520" s="8">
        <f>IFERROR(__xludf.DUMMYFUNCTION("""COMPUTED_VALUE"""),2.0)</f>
        <v>2</v>
      </c>
    </row>
    <row r="3521">
      <c r="A3521" s="9" t="str">
        <f>IFERROR(__xludf.DUMMYFUNCTION("""COMPUTED_VALUE"""),"Batch 231")</f>
        <v>Batch 231</v>
      </c>
      <c r="B3521" s="9" t="str">
        <f>IFERROR(__xludf.DUMMYFUNCTION("""COMPUTED_VALUE"""),"OimyakC31")</f>
        <v>OimyakC31</v>
      </c>
      <c r="C3521" s="8">
        <f>IFERROR(__xludf.DUMMYFUNCTION("""COMPUTED_VALUE"""),0.0)</f>
        <v>0</v>
      </c>
      <c r="D3521" s="8"/>
    </row>
    <row r="3522">
      <c r="A3522" s="9" t="str">
        <f>IFERROR(__xludf.DUMMYFUNCTION("""COMPUTED_VALUE"""),"Batch 231")</f>
        <v>Batch 231</v>
      </c>
      <c r="B3522" s="9" t="str">
        <f>IFERROR(__xludf.DUMMYFUNCTION("""COMPUTED_VALUE"""),"SupratimC31")</f>
        <v>SupratimC31</v>
      </c>
      <c r="C3522" s="8">
        <f>IFERROR(__xludf.DUMMYFUNCTION("""COMPUTED_VALUE"""),0.0)</f>
        <v>0</v>
      </c>
      <c r="D3522" s="8"/>
    </row>
    <row r="3523">
      <c r="A3523" s="9" t="str">
        <f>IFERROR(__xludf.DUMMYFUNCTION("""COMPUTED_VALUE"""),"Batch 231")</f>
        <v>Batch 231</v>
      </c>
      <c r="B3523" s="9" t="str">
        <f>IFERROR(__xludf.DUMMYFUNCTION("""COMPUTED_VALUE"""),"DevC31")</f>
        <v>DevC31</v>
      </c>
      <c r="C3523" s="8">
        <f>IFERROR(__xludf.DUMMYFUNCTION("""COMPUTED_VALUE"""),0.0)</f>
        <v>0</v>
      </c>
      <c r="D3523" s="8"/>
    </row>
    <row r="3524">
      <c r="A3524" s="9" t="str">
        <f>IFERROR(__xludf.DUMMYFUNCTION("""COMPUTED_VALUE"""),"Batch 231")</f>
        <v>Batch 231</v>
      </c>
      <c r="B3524" s="9" t="str">
        <f>IFERROR(__xludf.DUMMYFUNCTION("""COMPUTED_VALUE"""),"SiripuramC31")</f>
        <v>SiripuramC31</v>
      </c>
      <c r="C3524" s="8">
        <f>IFERROR(__xludf.DUMMYFUNCTION("""COMPUTED_VALUE"""),0.0)</f>
        <v>0</v>
      </c>
      <c r="D3524" s="8"/>
    </row>
    <row r="3525">
      <c r="A3525" s="9" t="str">
        <f>IFERROR(__xludf.DUMMYFUNCTION("""COMPUTED_VALUE"""),"Batch 231")</f>
        <v>Batch 231</v>
      </c>
      <c r="B3525" s="9" t="str">
        <f>IFERROR(__xludf.DUMMYFUNCTION("""COMPUTED_VALUE"""),"AyushC31")</f>
        <v>AyushC31</v>
      </c>
      <c r="C3525" s="8">
        <f>IFERROR(__xludf.DUMMYFUNCTION("""COMPUTED_VALUE"""),0.0)</f>
        <v>0</v>
      </c>
      <c r="D3525" s="8"/>
    </row>
    <row r="3526">
      <c r="A3526" s="9" t="str">
        <f>IFERROR(__xludf.DUMMYFUNCTION("""COMPUTED_VALUE"""),"Batch 231")</f>
        <v>Batch 231</v>
      </c>
      <c r="B3526" s="9" t="str">
        <f>IFERROR(__xludf.DUMMYFUNCTION("""COMPUTED_VALUE"""),"AmogC31")</f>
        <v>AmogC31</v>
      </c>
      <c r="C3526" s="8">
        <f>IFERROR(__xludf.DUMMYFUNCTION("""COMPUTED_VALUE"""),0.0)</f>
        <v>0</v>
      </c>
      <c r="D3526" s="8"/>
    </row>
    <row r="3527">
      <c r="A3527" s="9" t="str">
        <f>IFERROR(__xludf.DUMMYFUNCTION("""COMPUTED_VALUE"""),"Batch 231")</f>
        <v>Batch 231</v>
      </c>
      <c r="B3527" s="9" t="str">
        <f>IFERROR(__xludf.DUMMYFUNCTION("""COMPUTED_VALUE"""),"VivekC31")</f>
        <v>VivekC31</v>
      </c>
      <c r="C3527" s="8">
        <f>IFERROR(__xludf.DUMMYFUNCTION("""COMPUTED_VALUE"""),0.0)</f>
        <v>0</v>
      </c>
      <c r="D3527" s="8"/>
    </row>
    <row r="3528">
      <c r="A3528" s="9" t="str">
        <f>IFERROR(__xludf.DUMMYFUNCTION("""COMPUTED_VALUE"""),"Batch 231")</f>
        <v>Batch 231</v>
      </c>
      <c r="B3528" s="9" t="str">
        <f>IFERROR(__xludf.DUMMYFUNCTION("""COMPUTED_VALUE"""),"DevashishC31")</f>
        <v>DevashishC31</v>
      </c>
      <c r="C3528" s="8">
        <f>IFERROR(__xludf.DUMMYFUNCTION("""COMPUTED_VALUE"""),0.0)</f>
        <v>0</v>
      </c>
      <c r="D3528" s="8"/>
    </row>
    <row r="3529">
      <c r="A3529" s="9" t="str">
        <f>IFERROR(__xludf.DUMMYFUNCTION("""COMPUTED_VALUE"""),"Batch 231")</f>
        <v>Batch 231</v>
      </c>
      <c r="B3529" s="9" t="str">
        <f>IFERROR(__xludf.DUMMYFUNCTION("""COMPUTED_VALUE"""),"KavattiC31")</f>
        <v>KavattiC31</v>
      </c>
      <c r="C3529" s="8">
        <f>IFERROR(__xludf.DUMMYFUNCTION("""COMPUTED_VALUE"""),0.0)</f>
        <v>0</v>
      </c>
      <c r="D3529" s="8"/>
    </row>
    <row r="3530">
      <c r="A3530" s="9" t="str">
        <f>IFERROR(__xludf.DUMMYFUNCTION("""COMPUTED_VALUE"""),"Batch 231")</f>
        <v>Batch 231</v>
      </c>
      <c r="B3530" s="9" t="str">
        <f>IFERROR(__xludf.DUMMYFUNCTION("""COMPUTED_VALUE"""),"ShriC31")</f>
        <v>ShriC31</v>
      </c>
      <c r="C3530" s="8">
        <f>IFERROR(__xludf.DUMMYFUNCTION("""COMPUTED_VALUE"""),0.0)</f>
        <v>0</v>
      </c>
      <c r="D3530" s="8"/>
    </row>
    <row r="3531">
      <c r="A3531" s="9" t="str">
        <f>IFERROR(__xludf.DUMMYFUNCTION("""COMPUTED_VALUE"""),"Batch 231")</f>
        <v>Batch 231</v>
      </c>
      <c r="B3531" s="9" t="str">
        <f>IFERROR(__xludf.DUMMYFUNCTION("""COMPUTED_VALUE"""),"KavattiC31")</f>
        <v>KavattiC31</v>
      </c>
      <c r="C3531" s="8">
        <f>IFERROR(__xludf.DUMMYFUNCTION("""COMPUTED_VALUE"""),0.0)</f>
        <v>0</v>
      </c>
      <c r="D3531" s="8"/>
    </row>
    <row r="3532">
      <c r="A3532" s="9" t="str">
        <f>IFERROR(__xludf.DUMMYFUNCTION("""COMPUTED_VALUE"""),"Batch 231")</f>
        <v>Batch 231</v>
      </c>
      <c r="B3532" s="9" t="str">
        <f>IFERROR(__xludf.DUMMYFUNCTION("""COMPUTED_VALUE"""),"ManthanC31")</f>
        <v>ManthanC31</v>
      </c>
      <c r="C3532" s="8">
        <f>IFERROR(__xludf.DUMMYFUNCTION("""COMPUTED_VALUE"""),1.0)</f>
        <v>1</v>
      </c>
      <c r="D3532" s="8">
        <f>IFERROR(__xludf.DUMMYFUNCTION("""COMPUTED_VALUE"""),2.0)</f>
        <v>2</v>
      </c>
    </row>
    <row r="3533">
      <c r="A3533" s="9" t="str">
        <f>IFERROR(__xludf.DUMMYFUNCTION("""COMPUTED_VALUE"""),"Batch 231")</f>
        <v>Batch 231</v>
      </c>
      <c r="B3533" s="9" t="str">
        <f>IFERROR(__xludf.DUMMYFUNCTION("""COMPUTED_VALUE"""),"SubhranilC31")</f>
        <v>SubhranilC31</v>
      </c>
      <c r="C3533" s="8">
        <f>IFERROR(__xludf.DUMMYFUNCTION("""COMPUTED_VALUE"""),0.0)</f>
        <v>0</v>
      </c>
      <c r="D3533" s="8"/>
    </row>
    <row r="3534">
      <c r="A3534" s="9" t="str">
        <f>IFERROR(__xludf.DUMMYFUNCTION("""COMPUTED_VALUE"""),"Batch 231")</f>
        <v>Batch 231</v>
      </c>
      <c r="B3534" s="9" t="str">
        <f>IFERROR(__xludf.DUMMYFUNCTION("""COMPUTED_VALUE"""),"MilyC31")</f>
        <v>MilyC31</v>
      </c>
      <c r="C3534" s="8">
        <f>IFERROR(__xludf.DUMMYFUNCTION("""COMPUTED_VALUE"""),0.0)</f>
        <v>0</v>
      </c>
      <c r="D3534" s="8">
        <f>IFERROR(__xludf.DUMMYFUNCTION("""COMPUTED_VALUE"""),1.0)</f>
        <v>1</v>
      </c>
    </row>
    <row r="3535">
      <c r="A3535" s="9" t="str">
        <f>IFERROR(__xludf.DUMMYFUNCTION("""COMPUTED_VALUE"""),"Batch 231")</f>
        <v>Batch 231</v>
      </c>
      <c r="B3535" s="9" t="str">
        <f>IFERROR(__xludf.DUMMYFUNCTION("""COMPUTED_VALUE"""),"DarikC31")</f>
        <v>DarikC31</v>
      </c>
      <c r="C3535" s="8">
        <f>IFERROR(__xludf.DUMMYFUNCTION("""COMPUTED_VALUE"""),0.0)</f>
        <v>0</v>
      </c>
      <c r="D3535" s="8"/>
    </row>
    <row r="3536">
      <c r="A3536" s="9" t="str">
        <f>IFERROR(__xludf.DUMMYFUNCTION("""COMPUTED_VALUE"""),"Batch 231")</f>
        <v>Batch 231</v>
      </c>
      <c r="B3536" s="9" t="str">
        <f>IFERROR(__xludf.DUMMYFUNCTION("""COMPUTED_VALUE"""),"NishkarshC31")</f>
        <v>NishkarshC31</v>
      </c>
      <c r="C3536" s="8">
        <f>IFERROR(__xludf.DUMMYFUNCTION("""COMPUTED_VALUE"""),0.0)</f>
        <v>0</v>
      </c>
      <c r="D3536" s="8"/>
    </row>
    <row r="3537">
      <c r="A3537" s="9" t="str">
        <f>IFERROR(__xludf.DUMMYFUNCTION("""COMPUTED_VALUE"""),"Batch 231")</f>
        <v>Batch 231</v>
      </c>
      <c r="B3537" s="9" t="str">
        <f>IFERROR(__xludf.DUMMYFUNCTION("""COMPUTED_VALUE"""),"MayankC31")</f>
        <v>MayankC31</v>
      </c>
      <c r="C3537" s="8">
        <f>IFERROR(__xludf.DUMMYFUNCTION("""COMPUTED_VALUE"""),0.0)</f>
        <v>0</v>
      </c>
      <c r="D3537" s="8"/>
    </row>
    <row r="3538">
      <c r="A3538" s="9" t="str">
        <f>IFERROR(__xludf.DUMMYFUNCTION("""COMPUTED_VALUE"""),"Batch 231")</f>
        <v>Batch 231</v>
      </c>
      <c r="B3538" s="9" t="str">
        <f>IFERROR(__xludf.DUMMYFUNCTION("""COMPUTED_VALUE"""),"NandanC31")</f>
        <v>NandanC31</v>
      </c>
      <c r="C3538" s="8">
        <f>IFERROR(__xludf.DUMMYFUNCTION("""COMPUTED_VALUE"""),0.0)</f>
        <v>0</v>
      </c>
      <c r="D3538" s="8"/>
    </row>
    <row r="3539">
      <c r="A3539" s="9" t="str">
        <f>IFERROR(__xludf.DUMMYFUNCTION("""COMPUTED_VALUE"""),"Batch 231")</f>
        <v>Batch 231</v>
      </c>
      <c r="B3539" s="9" t="str">
        <f>IFERROR(__xludf.DUMMYFUNCTION("""COMPUTED_VALUE"""),"KhushiC31")</f>
        <v>KhushiC31</v>
      </c>
      <c r="C3539" s="8">
        <f>IFERROR(__xludf.DUMMYFUNCTION("""COMPUTED_VALUE"""),0.0)</f>
        <v>0</v>
      </c>
      <c r="D3539" s="8"/>
    </row>
    <row r="3540">
      <c r="A3540" s="9" t="str">
        <f>IFERROR(__xludf.DUMMYFUNCTION("""COMPUTED_VALUE"""),"Batch 231")</f>
        <v>Batch 231</v>
      </c>
      <c r="B3540" s="9" t="str">
        <f>IFERROR(__xludf.DUMMYFUNCTION("""COMPUTED_VALUE"""),"AstitvaC31")</f>
        <v>AstitvaC31</v>
      </c>
      <c r="C3540" s="8">
        <f>IFERROR(__xludf.DUMMYFUNCTION("""COMPUTED_VALUE"""),0.0)</f>
        <v>0</v>
      </c>
      <c r="D3540" s="8"/>
    </row>
    <row r="3541">
      <c r="A3541" s="9" t="str">
        <f>IFERROR(__xludf.DUMMYFUNCTION("""COMPUTED_VALUE"""),"Batch 231")</f>
        <v>Batch 231</v>
      </c>
      <c r="B3541" s="9" t="str">
        <f>IFERROR(__xludf.DUMMYFUNCTION("""COMPUTED_VALUE"""),"SomyaC31")</f>
        <v>SomyaC31</v>
      </c>
      <c r="C3541" s="8">
        <f>IFERROR(__xludf.DUMMYFUNCTION("""COMPUTED_VALUE"""),0.0)</f>
        <v>0</v>
      </c>
      <c r="D3541" s="8"/>
    </row>
    <row r="3542">
      <c r="A3542" s="9" t="str">
        <f>IFERROR(__xludf.DUMMYFUNCTION("""COMPUTED_VALUE"""),"Batch 231")</f>
        <v>Batch 231</v>
      </c>
      <c r="B3542" s="9" t="str">
        <f>IFERROR(__xludf.DUMMYFUNCTION("""COMPUTED_VALUE"""),"SaurabhC31")</f>
        <v>SaurabhC31</v>
      </c>
      <c r="C3542" s="8">
        <f>IFERROR(__xludf.DUMMYFUNCTION("""COMPUTED_VALUE"""),0.0)</f>
        <v>0</v>
      </c>
      <c r="D3542" s="8"/>
    </row>
    <row r="3543">
      <c r="A3543" s="9" t="str">
        <f>IFERROR(__xludf.DUMMYFUNCTION("""COMPUTED_VALUE"""),"Batch 231")</f>
        <v>Batch 231</v>
      </c>
      <c r="B3543" s="9" t="str">
        <f>IFERROR(__xludf.DUMMYFUNCTION("""COMPUTED_VALUE"""),"SrishtiC31")</f>
        <v>SrishtiC31</v>
      </c>
      <c r="C3543" s="8">
        <f>IFERROR(__xludf.DUMMYFUNCTION("""COMPUTED_VALUE"""),0.0)</f>
        <v>0</v>
      </c>
      <c r="D3543" s="8"/>
    </row>
    <row r="3544">
      <c r="A3544" s="9" t="str">
        <f>IFERROR(__xludf.DUMMYFUNCTION("""COMPUTED_VALUE"""),"Batch 231")</f>
        <v>Batch 231</v>
      </c>
      <c r="B3544" s="9" t="str">
        <f>IFERROR(__xludf.DUMMYFUNCTION("""COMPUTED_VALUE"""),"AmanC31")</f>
        <v>AmanC31</v>
      </c>
      <c r="C3544" s="8">
        <f>IFERROR(__xludf.DUMMYFUNCTION("""COMPUTED_VALUE"""),0.0)</f>
        <v>0</v>
      </c>
      <c r="D3544" s="8"/>
    </row>
    <row r="3545">
      <c r="A3545" s="9" t="str">
        <f>IFERROR(__xludf.DUMMYFUNCTION("""COMPUTED_VALUE"""),"Batch 231")</f>
        <v>Batch 231</v>
      </c>
      <c r="B3545" s="9" t="str">
        <f>IFERROR(__xludf.DUMMYFUNCTION("""COMPUTED_VALUE"""),"SyedaC31")</f>
        <v>SyedaC31</v>
      </c>
      <c r="C3545" s="8">
        <f>IFERROR(__xludf.DUMMYFUNCTION("""COMPUTED_VALUE"""),0.0)</f>
        <v>0</v>
      </c>
      <c r="D3545" s="8"/>
    </row>
    <row r="3546">
      <c r="A3546" s="9" t="str">
        <f>IFERROR(__xludf.DUMMYFUNCTION("""COMPUTED_VALUE"""),"Batch 231")</f>
        <v>Batch 231</v>
      </c>
      <c r="B3546" s="9" t="str">
        <f>IFERROR(__xludf.DUMMYFUNCTION("""COMPUTED_VALUE"""),"DiyaC31")</f>
        <v>DiyaC31</v>
      </c>
      <c r="C3546" s="8">
        <f>IFERROR(__xludf.DUMMYFUNCTION("""COMPUTED_VALUE"""),0.0)</f>
        <v>0</v>
      </c>
      <c r="D3546" s="8"/>
    </row>
    <row r="3547">
      <c r="A3547" s="9"/>
      <c r="B3547" s="9"/>
      <c r="C3547" s="8">
        <f>IFERROR(__xludf.DUMMYFUNCTION("""COMPUTED_VALUE"""),0.0)</f>
        <v>0</v>
      </c>
      <c r="D3547" s="8"/>
    </row>
    <row r="3548">
      <c r="A3548" s="9" t="str">
        <f>IFERROR(__xludf.DUMMYFUNCTION("""COMPUTED_VALUE"""),"Batch 232")</f>
        <v>Batch 232</v>
      </c>
      <c r="B3548" s="9" t="str">
        <f>IFERROR(__xludf.DUMMYFUNCTION("""COMPUTED_VALUE"""),"ManpreetC32")</f>
        <v>ManpreetC32</v>
      </c>
      <c r="C3548" s="8">
        <f>IFERROR(__xludf.DUMMYFUNCTION("""COMPUTED_VALUE"""),0.0)</f>
        <v>0</v>
      </c>
      <c r="D3548" s="8"/>
    </row>
    <row r="3549">
      <c r="A3549" s="9" t="str">
        <f>IFERROR(__xludf.DUMMYFUNCTION("""COMPUTED_VALUE"""),"Batch 232")</f>
        <v>Batch 232</v>
      </c>
      <c r="B3549" s="9" t="str">
        <f>IFERROR(__xludf.DUMMYFUNCTION("""COMPUTED_VALUE"""),"SaurabhC32")</f>
        <v>SaurabhC32</v>
      </c>
      <c r="C3549" s="8">
        <f>IFERROR(__xludf.DUMMYFUNCTION("""COMPUTED_VALUE"""),0.0)</f>
        <v>0</v>
      </c>
      <c r="D3549" s="8"/>
    </row>
    <row r="3550">
      <c r="A3550" s="9" t="str">
        <f>IFERROR(__xludf.DUMMYFUNCTION("""COMPUTED_VALUE"""),"Batch 232")</f>
        <v>Batch 232</v>
      </c>
      <c r="B3550" s="9" t="str">
        <f>IFERROR(__xludf.DUMMYFUNCTION("""COMPUTED_VALUE"""),"VanshajC32")</f>
        <v>VanshajC32</v>
      </c>
      <c r="C3550" s="8">
        <f>IFERROR(__xludf.DUMMYFUNCTION("""COMPUTED_VALUE"""),0.0)</f>
        <v>0</v>
      </c>
      <c r="D3550" s="8"/>
    </row>
    <row r="3551">
      <c r="A3551" s="9" t="str">
        <f>IFERROR(__xludf.DUMMYFUNCTION("""COMPUTED_VALUE"""),"Batch 232")</f>
        <v>Batch 232</v>
      </c>
      <c r="B3551" s="9" t="str">
        <f>IFERROR(__xludf.DUMMYFUNCTION("""COMPUTED_VALUE"""),"DivyamC32")</f>
        <v>DivyamC32</v>
      </c>
      <c r="C3551" s="8">
        <f>IFERROR(__xludf.DUMMYFUNCTION("""COMPUTED_VALUE"""),0.0)</f>
        <v>0</v>
      </c>
      <c r="D3551" s="8"/>
    </row>
    <row r="3552">
      <c r="A3552" s="9" t="str">
        <f>IFERROR(__xludf.DUMMYFUNCTION("""COMPUTED_VALUE"""),"Batch 232")</f>
        <v>Batch 232</v>
      </c>
      <c r="B3552" s="9" t="str">
        <f>IFERROR(__xludf.DUMMYFUNCTION("""COMPUTED_VALUE"""),"MohitC32")</f>
        <v>MohitC32</v>
      </c>
      <c r="C3552" s="8">
        <f>IFERROR(__xludf.DUMMYFUNCTION("""COMPUTED_VALUE"""),0.0)</f>
        <v>0</v>
      </c>
      <c r="D3552" s="8"/>
    </row>
    <row r="3553">
      <c r="A3553" s="9" t="str">
        <f>IFERROR(__xludf.DUMMYFUNCTION("""COMPUTED_VALUE"""),"Batch 232")</f>
        <v>Batch 232</v>
      </c>
      <c r="B3553" s="9" t="str">
        <f>IFERROR(__xludf.DUMMYFUNCTION("""COMPUTED_VALUE"""),"DeepC32")</f>
        <v>DeepC32</v>
      </c>
      <c r="C3553" s="8">
        <f>IFERROR(__xludf.DUMMYFUNCTION("""COMPUTED_VALUE"""),0.0)</f>
        <v>0</v>
      </c>
      <c r="D3553" s="8"/>
    </row>
    <row r="3554">
      <c r="A3554" s="9" t="str">
        <f>IFERROR(__xludf.DUMMYFUNCTION("""COMPUTED_VALUE"""),"Batch 232")</f>
        <v>Batch 232</v>
      </c>
      <c r="B3554" s="9" t="str">
        <f>IFERROR(__xludf.DUMMYFUNCTION("""COMPUTED_VALUE"""),"YuvrajC32")</f>
        <v>YuvrajC32</v>
      </c>
      <c r="C3554" s="8">
        <f>IFERROR(__xludf.DUMMYFUNCTION("""COMPUTED_VALUE"""),0.0)</f>
        <v>0</v>
      </c>
      <c r="D3554" s="8"/>
    </row>
    <row r="3555">
      <c r="A3555" s="9" t="str">
        <f>IFERROR(__xludf.DUMMYFUNCTION("""COMPUTED_VALUE"""),"Batch 232")</f>
        <v>Batch 232</v>
      </c>
      <c r="B3555" s="9" t="str">
        <f>IFERROR(__xludf.DUMMYFUNCTION("""COMPUTED_VALUE"""),"AbirC32")</f>
        <v>AbirC32</v>
      </c>
      <c r="C3555" s="8">
        <f>IFERROR(__xludf.DUMMYFUNCTION("""COMPUTED_VALUE"""),0.0)</f>
        <v>0</v>
      </c>
      <c r="D3555" s="8"/>
    </row>
    <row r="3556">
      <c r="A3556" s="9" t="str">
        <f>IFERROR(__xludf.DUMMYFUNCTION("""COMPUTED_VALUE"""),"Batch 232")</f>
        <v>Batch 232</v>
      </c>
      <c r="B3556" s="9" t="str">
        <f>IFERROR(__xludf.DUMMYFUNCTION("""COMPUTED_VALUE"""),"AkhilaC32")</f>
        <v>AkhilaC32</v>
      </c>
      <c r="C3556" s="8">
        <f>IFERROR(__xludf.DUMMYFUNCTION("""COMPUTED_VALUE"""),0.0)</f>
        <v>0</v>
      </c>
      <c r="D3556" s="8"/>
    </row>
    <row r="3557">
      <c r="A3557" s="9" t="str">
        <f>IFERROR(__xludf.DUMMYFUNCTION("""COMPUTED_VALUE"""),"Batch 232")</f>
        <v>Batch 232</v>
      </c>
      <c r="B3557" s="9" t="str">
        <f>IFERROR(__xludf.DUMMYFUNCTION("""COMPUTED_VALUE"""),"PriyanshiC32")</f>
        <v>PriyanshiC32</v>
      </c>
      <c r="C3557" s="8">
        <f>IFERROR(__xludf.DUMMYFUNCTION("""COMPUTED_VALUE"""),0.0)</f>
        <v>0</v>
      </c>
      <c r="D3557" s="8"/>
    </row>
    <row r="3558">
      <c r="A3558" s="9" t="str">
        <f>IFERROR(__xludf.DUMMYFUNCTION("""COMPUTED_VALUE"""),"Batch 232")</f>
        <v>Batch 232</v>
      </c>
      <c r="B3558" s="9" t="str">
        <f>IFERROR(__xludf.DUMMYFUNCTION("""COMPUTED_VALUE"""),"FarhanC32")</f>
        <v>FarhanC32</v>
      </c>
      <c r="C3558" s="8">
        <f>IFERROR(__xludf.DUMMYFUNCTION("""COMPUTED_VALUE"""),0.0)</f>
        <v>0</v>
      </c>
      <c r="D3558" s="8"/>
    </row>
    <row r="3559">
      <c r="A3559" s="9" t="str">
        <f>IFERROR(__xludf.DUMMYFUNCTION("""COMPUTED_VALUE"""),"Batch 232")</f>
        <v>Batch 232</v>
      </c>
      <c r="B3559" s="9" t="str">
        <f>IFERROR(__xludf.DUMMYFUNCTION("""COMPUTED_VALUE"""),"DiyaaC32")</f>
        <v>DiyaaC32</v>
      </c>
      <c r="C3559" s="8">
        <f>IFERROR(__xludf.DUMMYFUNCTION("""COMPUTED_VALUE"""),0.0)</f>
        <v>0</v>
      </c>
      <c r="D3559" s="8"/>
    </row>
    <row r="3560">
      <c r="A3560" s="9" t="str">
        <f>IFERROR(__xludf.DUMMYFUNCTION("""COMPUTED_VALUE"""),"Batch 232")</f>
        <v>Batch 232</v>
      </c>
      <c r="B3560" s="9" t="str">
        <f>IFERROR(__xludf.DUMMYFUNCTION("""COMPUTED_VALUE"""),"SARBAJITC32")</f>
        <v>SARBAJITC32</v>
      </c>
      <c r="C3560" s="8">
        <f>IFERROR(__xludf.DUMMYFUNCTION("""COMPUTED_VALUE"""),0.0)</f>
        <v>0</v>
      </c>
      <c r="D3560" s="8"/>
    </row>
    <row r="3561">
      <c r="A3561" s="9" t="str">
        <f>IFERROR(__xludf.DUMMYFUNCTION("""COMPUTED_VALUE"""),"Batch 232")</f>
        <v>Batch 232</v>
      </c>
      <c r="B3561" s="9" t="str">
        <f>IFERROR(__xludf.DUMMYFUNCTION("""COMPUTED_VALUE"""),"AtharvaC32")</f>
        <v>AtharvaC32</v>
      </c>
      <c r="C3561" s="8">
        <f>IFERROR(__xludf.DUMMYFUNCTION("""COMPUTED_VALUE"""),0.0)</f>
        <v>0</v>
      </c>
      <c r="D3561" s="8"/>
    </row>
    <row r="3562">
      <c r="A3562" s="9" t="str">
        <f>IFERROR(__xludf.DUMMYFUNCTION("""COMPUTED_VALUE"""),"Batch 232")</f>
        <v>Batch 232</v>
      </c>
      <c r="B3562" s="9" t="str">
        <f>IFERROR(__xludf.DUMMYFUNCTION("""COMPUTED_VALUE"""),"GouravC32")</f>
        <v>GouravC32</v>
      </c>
      <c r="C3562" s="8">
        <f>IFERROR(__xludf.DUMMYFUNCTION("""COMPUTED_VALUE"""),0.0)</f>
        <v>0</v>
      </c>
      <c r="D3562" s="8"/>
    </row>
    <row r="3563">
      <c r="A3563" s="9" t="str">
        <f>IFERROR(__xludf.DUMMYFUNCTION("""COMPUTED_VALUE"""),"Batch 232")</f>
        <v>Batch 232</v>
      </c>
      <c r="B3563" s="9" t="str">
        <f>IFERROR(__xludf.DUMMYFUNCTION("""COMPUTED_VALUE"""),"RoniC32")</f>
        <v>RoniC32</v>
      </c>
      <c r="C3563" s="8">
        <f>IFERROR(__xludf.DUMMYFUNCTION("""COMPUTED_VALUE"""),0.0)</f>
        <v>0</v>
      </c>
      <c r="D3563" s="8"/>
    </row>
    <row r="3564">
      <c r="A3564" s="9" t="str">
        <f>IFERROR(__xludf.DUMMYFUNCTION("""COMPUTED_VALUE"""),"Batch 232")</f>
        <v>Batch 232</v>
      </c>
      <c r="B3564" s="9" t="str">
        <f>IFERROR(__xludf.DUMMYFUNCTION("""COMPUTED_VALUE"""),"MohammadC32")</f>
        <v>MohammadC32</v>
      </c>
      <c r="C3564" s="8">
        <f>IFERROR(__xludf.DUMMYFUNCTION("""COMPUTED_VALUE"""),0.0)</f>
        <v>0</v>
      </c>
      <c r="D3564" s="8"/>
    </row>
    <row r="3565">
      <c r="A3565" s="9" t="str">
        <f>IFERROR(__xludf.DUMMYFUNCTION("""COMPUTED_VALUE"""),"Batch 232")</f>
        <v>Batch 232</v>
      </c>
      <c r="B3565" s="9" t="str">
        <f>IFERROR(__xludf.DUMMYFUNCTION("""COMPUTED_VALUE"""),"DeepakC32")</f>
        <v>DeepakC32</v>
      </c>
      <c r="C3565" s="8">
        <f>IFERROR(__xludf.DUMMYFUNCTION("""COMPUTED_VALUE"""),7.0)</f>
        <v>7</v>
      </c>
      <c r="D3565" s="8">
        <f>IFERROR(__xludf.DUMMYFUNCTION("""COMPUTED_VALUE"""),2.0)</f>
        <v>2</v>
      </c>
    </row>
    <row r="3566">
      <c r="A3566" s="9" t="str">
        <f>IFERROR(__xludf.DUMMYFUNCTION("""COMPUTED_VALUE"""),"Batch 232")</f>
        <v>Batch 232</v>
      </c>
      <c r="B3566" s="9" t="str">
        <f>IFERROR(__xludf.DUMMYFUNCTION("""COMPUTED_VALUE"""),"AnshikaC32")</f>
        <v>AnshikaC32</v>
      </c>
      <c r="C3566" s="8">
        <f>IFERROR(__xludf.DUMMYFUNCTION("""COMPUTED_VALUE"""),0.0)</f>
        <v>0</v>
      </c>
      <c r="D3566" s="8"/>
    </row>
    <row r="3567">
      <c r="A3567" s="9" t="str">
        <f>IFERROR(__xludf.DUMMYFUNCTION("""COMPUTED_VALUE"""),"Batch 232")</f>
        <v>Batch 232</v>
      </c>
      <c r="B3567" s="9" t="str">
        <f>IFERROR(__xludf.DUMMYFUNCTION("""COMPUTED_VALUE"""),"DivyanshiC32")</f>
        <v>DivyanshiC32</v>
      </c>
      <c r="C3567" s="8">
        <f>IFERROR(__xludf.DUMMYFUNCTION("""COMPUTED_VALUE"""),0.0)</f>
        <v>0</v>
      </c>
      <c r="D3567" s="8"/>
    </row>
    <row r="3568">
      <c r="A3568" s="9" t="str">
        <f>IFERROR(__xludf.DUMMYFUNCTION("""COMPUTED_VALUE"""),"Batch 232")</f>
        <v>Batch 232</v>
      </c>
      <c r="B3568" s="9" t="str">
        <f>IFERROR(__xludf.DUMMYFUNCTION("""COMPUTED_VALUE"""),"RiddhiC32")</f>
        <v>RiddhiC32</v>
      </c>
      <c r="C3568" s="8">
        <f>IFERROR(__xludf.DUMMYFUNCTION("""COMPUTED_VALUE"""),0.0)</f>
        <v>0</v>
      </c>
      <c r="D3568" s="8"/>
    </row>
    <row r="3569">
      <c r="A3569" s="9" t="str">
        <f>IFERROR(__xludf.DUMMYFUNCTION("""COMPUTED_VALUE"""),"Batch 232")</f>
        <v>Batch 232</v>
      </c>
      <c r="B3569" s="9" t="str">
        <f>IFERROR(__xludf.DUMMYFUNCTION("""COMPUTED_VALUE"""),"VedanshC32")</f>
        <v>VedanshC32</v>
      </c>
      <c r="C3569" s="8">
        <f>IFERROR(__xludf.DUMMYFUNCTION("""COMPUTED_VALUE"""),0.0)</f>
        <v>0</v>
      </c>
      <c r="D3569" s="8"/>
    </row>
    <row r="3570">
      <c r="A3570" s="9" t="str">
        <f>IFERROR(__xludf.DUMMYFUNCTION("""COMPUTED_VALUE"""),"Batch 232")</f>
        <v>Batch 232</v>
      </c>
      <c r="B3570" s="9" t="str">
        <f>IFERROR(__xludf.DUMMYFUNCTION("""COMPUTED_VALUE"""),"NiharikaC32")</f>
        <v>NiharikaC32</v>
      </c>
      <c r="C3570" s="8">
        <f>IFERROR(__xludf.DUMMYFUNCTION("""COMPUTED_VALUE"""),1.0)</f>
        <v>1</v>
      </c>
      <c r="D3570" s="8"/>
    </row>
    <row r="3571">
      <c r="A3571" s="9" t="str">
        <f>IFERROR(__xludf.DUMMYFUNCTION("""COMPUTED_VALUE"""),"Batch 232")</f>
        <v>Batch 232</v>
      </c>
      <c r="B3571" s="9" t="str">
        <f>IFERROR(__xludf.DUMMYFUNCTION("""COMPUTED_VALUE"""),"TulikaC32")</f>
        <v>TulikaC32</v>
      </c>
      <c r="C3571" s="8">
        <f>IFERROR(__xludf.DUMMYFUNCTION("""COMPUTED_VALUE"""),0.0)</f>
        <v>0</v>
      </c>
      <c r="D3571" s="8"/>
    </row>
    <row r="3572">
      <c r="A3572" s="9" t="str">
        <f>IFERROR(__xludf.DUMMYFUNCTION("""COMPUTED_VALUE"""),"Batch 232")</f>
        <v>Batch 232</v>
      </c>
      <c r="B3572" s="9" t="str">
        <f>IFERROR(__xludf.DUMMYFUNCTION("""COMPUTED_VALUE"""),"AravindhC32")</f>
        <v>AravindhC32</v>
      </c>
      <c r="C3572" s="8">
        <f>IFERROR(__xludf.DUMMYFUNCTION("""COMPUTED_VALUE"""),0.0)</f>
        <v>0</v>
      </c>
      <c r="D3572" s="8"/>
    </row>
    <row r="3573">
      <c r="A3573" s="9" t="str">
        <f>IFERROR(__xludf.DUMMYFUNCTION("""COMPUTED_VALUE"""),"Batch 232")</f>
        <v>Batch 232</v>
      </c>
      <c r="B3573" s="9" t="str">
        <f>IFERROR(__xludf.DUMMYFUNCTION("""COMPUTED_VALUE"""),"RahulC32")</f>
        <v>RahulC32</v>
      </c>
      <c r="C3573" s="8">
        <f>IFERROR(__xludf.DUMMYFUNCTION("""COMPUTED_VALUE"""),0.0)</f>
        <v>0</v>
      </c>
      <c r="D3573" s="8"/>
    </row>
    <row r="3574">
      <c r="A3574" s="9" t="str">
        <f>IFERROR(__xludf.DUMMYFUNCTION("""COMPUTED_VALUE"""),"Batch 232")</f>
        <v>Batch 232</v>
      </c>
      <c r="B3574" s="9" t="str">
        <f>IFERROR(__xludf.DUMMYFUNCTION("""COMPUTED_VALUE"""),"MTC32")</f>
        <v>MTC32</v>
      </c>
      <c r="C3574" s="8">
        <f>IFERROR(__xludf.DUMMYFUNCTION("""COMPUTED_VALUE"""),31.0)</f>
        <v>31</v>
      </c>
      <c r="D3574" s="8">
        <f>IFERROR(__xludf.DUMMYFUNCTION("""COMPUTED_VALUE"""),2.0)</f>
        <v>2</v>
      </c>
    </row>
    <row r="3575">
      <c r="A3575" s="9" t="str">
        <f>IFERROR(__xludf.DUMMYFUNCTION("""COMPUTED_VALUE"""),"Batch 232")</f>
        <v>Batch 232</v>
      </c>
      <c r="B3575" s="9" t="str">
        <f>IFERROR(__xludf.DUMMYFUNCTION("""COMPUTED_VALUE"""),"RupeshC32")</f>
        <v>RupeshC32</v>
      </c>
      <c r="C3575" s="8">
        <f>IFERROR(__xludf.DUMMYFUNCTION("""COMPUTED_VALUE"""),0.0)</f>
        <v>0</v>
      </c>
      <c r="D3575" s="8"/>
    </row>
    <row r="3576">
      <c r="A3576" s="9"/>
      <c r="B3576" s="9"/>
      <c r="C3576" s="8">
        <f>IFERROR(__xludf.DUMMYFUNCTION("""COMPUTED_VALUE"""),0.0)</f>
        <v>0</v>
      </c>
      <c r="D3576" s="8"/>
    </row>
    <row r="3577">
      <c r="A3577" s="9" t="str">
        <f>IFERROR(__xludf.DUMMYFUNCTION("""COMPUTED_VALUE"""),"Batch 233")</f>
        <v>Batch 233</v>
      </c>
      <c r="B3577" s="9" t="str">
        <f>IFERROR(__xludf.DUMMYFUNCTION("""COMPUTED_VALUE"""),"ArpitC33")</f>
        <v>ArpitC33</v>
      </c>
      <c r="C3577" s="8">
        <f>IFERROR(__xludf.DUMMYFUNCTION("""COMPUTED_VALUE"""),0.0)</f>
        <v>0</v>
      </c>
      <c r="D3577" s="8"/>
    </row>
    <row r="3578">
      <c r="A3578" s="9" t="str">
        <f>IFERROR(__xludf.DUMMYFUNCTION("""COMPUTED_VALUE"""),"Batch 233")</f>
        <v>Batch 233</v>
      </c>
      <c r="B3578" s="9" t="str">
        <f>IFERROR(__xludf.DUMMYFUNCTION("""COMPUTED_VALUE"""),"AkshayC33")</f>
        <v>AkshayC33</v>
      </c>
      <c r="C3578" s="8">
        <f>IFERROR(__xludf.DUMMYFUNCTION("""COMPUTED_VALUE"""),0.0)</f>
        <v>0</v>
      </c>
      <c r="D3578" s="8"/>
    </row>
    <row r="3579">
      <c r="A3579" s="9" t="str">
        <f>IFERROR(__xludf.DUMMYFUNCTION("""COMPUTED_VALUE"""),"Batch 233")</f>
        <v>Batch 233</v>
      </c>
      <c r="B3579" s="9" t="str">
        <f>IFERROR(__xludf.DUMMYFUNCTION("""COMPUTED_VALUE"""),"NainaC33")</f>
        <v>NainaC33</v>
      </c>
      <c r="C3579" s="8">
        <f>IFERROR(__xludf.DUMMYFUNCTION("""COMPUTED_VALUE"""),0.0)</f>
        <v>0</v>
      </c>
      <c r="D3579" s="8"/>
    </row>
    <row r="3580">
      <c r="A3580" s="9" t="str">
        <f>IFERROR(__xludf.DUMMYFUNCTION("""COMPUTED_VALUE"""),"Batch 233")</f>
        <v>Batch 233</v>
      </c>
      <c r="B3580" s="9" t="str">
        <f>IFERROR(__xludf.DUMMYFUNCTION("""COMPUTED_VALUE"""),"EKTAC33")</f>
        <v>EKTAC33</v>
      </c>
      <c r="C3580" s="8">
        <f>IFERROR(__xludf.DUMMYFUNCTION("""COMPUTED_VALUE"""),0.0)</f>
        <v>0</v>
      </c>
      <c r="D3580" s="8"/>
    </row>
    <row r="3581">
      <c r="A3581" s="9" t="str">
        <f>IFERROR(__xludf.DUMMYFUNCTION("""COMPUTED_VALUE"""),"Batch 233")</f>
        <v>Batch 233</v>
      </c>
      <c r="B3581" s="9" t="str">
        <f>IFERROR(__xludf.DUMMYFUNCTION("""COMPUTED_VALUE"""),"DronikaC33")</f>
        <v>DronikaC33</v>
      </c>
      <c r="C3581" s="8">
        <f>IFERROR(__xludf.DUMMYFUNCTION("""COMPUTED_VALUE"""),1.0)</f>
        <v>1</v>
      </c>
      <c r="D3581" s="8"/>
    </row>
    <row r="3582">
      <c r="A3582" s="9" t="str">
        <f>IFERROR(__xludf.DUMMYFUNCTION("""COMPUTED_VALUE"""),"Batch 233")</f>
        <v>Batch 233</v>
      </c>
      <c r="B3582" s="9" t="str">
        <f>IFERROR(__xludf.DUMMYFUNCTION("""COMPUTED_VALUE"""),"SurbhiC33")</f>
        <v>SurbhiC33</v>
      </c>
      <c r="C3582" s="8">
        <f>IFERROR(__xludf.DUMMYFUNCTION("""COMPUTED_VALUE"""),0.0)</f>
        <v>0</v>
      </c>
      <c r="D3582" s="8"/>
    </row>
    <row r="3583">
      <c r="A3583" s="9" t="str">
        <f>IFERROR(__xludf.DUMMYFUNCTION("""COMPUTED_VALUE"""),"Batch 233")</f>
        <v>Batch 233</v>
      </c>
      <c r="B3583" s="9" t="str">
        <f>IFERROR(__xludf.DUMMYFUNCTION("""COMPUTED_VALUE"""),"KhushiC33")</f>
        <v>KhushiC33</v>
      </c>
      <c r="C3583" s="8">
        <f>IFERROR(__xludf.DUMMYFUNCTION("""COMPUTED_VALUE"""),1.0)</f>
        <v>1</v>
      </c>
      <c r="D3583" s="8"/>
    </row>
    <row r="3584">
      <c r="A3584" s="9" t="str">
        <f>IFERROR(__xludf.DUMMYFUNCTION("""COMPUTED_VALUE"""),"Batch 233")</f>
        <v>Batch 233</v>
      </c>
      <c r="B3584" s="9" t="str">
        <f>IFERROR(__xludf.DUMMYFUNCTION("""COMPUTED_VALUE"""),"SnehaC33")</f>
        <v>SnehaC33</v>
      </c>
      <c r="C3584" s="8">
        <f>IFERROR(__xludf.DUMMYFUNCTION("""COMPUTED_VALUE"""),24.0)</f>
        <v>24</v>
      </c>
      <c r="D3584" s="8"/>
    </row>
    <row r="3585">
      <c r="A3585" s="9" t="str">
        <f>IFERROR(__xludf.DUMMYFUNCTION("""COMPUTED_VALUE"""),"Batch 233")</f>
        <v>Batch 233</v>
      </c>
      <c r="B3585" s="9" t="str">
        <f>IFERROR(__xludf.DUMMYFUNCTION("""COMPUTED_VALUE"""),"HarshC33")</f>
        <v>HarshC33</v>
      </c>
      <c r="C3585" s="8">
        <f>IFERROR(__xludf.DUMMYFUNCTION("""COMPUTED_VALUE"""),0.0)</f>
        <v>0</v>
      </c>
      <c r="D3585" s="8"/>
    </row>
    <row r="3586">
      <c r="A3586" s="9" t="str">
        <f>IFERROR(__xludf.DUMMYFUNCTION("""COMPUTED_VALUE"""),"Batch 233")</f>
        <v>Batch 233</v>
      </c>
      <c r="B3586" s="9" t="str">
        <f>IFERROR(__xludf.DUMMYFUNCTION("""COMPUTED_VALUE"""),"SiyaC33")</f>
        <v>SiyaC33</v>
      </c>
      <c r="C3586" s="8">
        <f>IFERROR(__xludf.DUMMYFUNCTION("""COMPUTED_VALUE"""),0.0)</f>
        <v>0</v>
      </c>
      <c r="D3586" s="8"/>
    </row>
    <row r="3587">
      <c r="A3587" s="9" t="str">
        <f>IFERROR(__xludf.DUMMYFUNCTION("""COMPUTED_VALUE"""),"Batch 233")</f>
        <v>Batch 233</v>
      </c>
      <c r="B3587" s="9" t="str">
        <f>IFERROR(__xludf.DUMMYFUNCTION("""COMPUTED_VALUE"""),"NISTHAC33")</f>
        <v>NISTHAC33</v>
      </c>
      <c r="C3587" s="8">
        <f>IFERROR(__xludf.DUMMYFUNCTION("""COMPUTED_VALUE"""),0.0)</f>
        <v>0</v>
      </c>
      <c r="D3587" s="8"/>
    </row>
    <row r="3588">
      <c r="A3588" s="9" t="str">
        <f>IFERROR(__xludf.DUMMYFUNCTION("""COMPUTED_VALUE"""),"Batch 233")</f>
        <v>Batch 233</v>
      </c>
      <c r="B3588" s="9" t="str">
        <f>IFERROR(__xludf.DUMMYFUNCTION("""COMPUTED_VALUE"""),"SwashataC33")</f>
        <v>SwashataC33</v>
      </c>
      <c r="C3588" s="8">
        <f>IFERROR(__xludf.DUMMYFUNCTION("""COMPUTED_VALUE"""),5.0)</f>
        <v>5</v>
      </c>
      <c r="D3588" s="8"/>
    </row>
    <row r="3589">
      <c r="A3589" s="9" t="str">
        <f>IFERROR(__xludf.DUMMYFUNCTION("""COMPUTED_VALUE"""),"Batch 233")</f>
        <v>Batch 233</v>
      </c>
      <c r="B3589" s="9" t="str">
        <f>IFERROR(__xludf.DUMMYFUNCTION("""COMPUTED_VALUE"""),"MadhviC33")</f>
        <v>MadhviC33</v>
      </c>
      <c r="C3589" s="8">
        <f>IFERROR(__xludf.DUMMYFUNCTION("""COMPUTED_VALUE"""),0.0)</f>
        <v>0</v>
      </c>
      <c r="D3589" s="8"/>
    </row>
    <row r="3590">
      <c r="A3590" s="9" t="str">
        <f>IFERROR(__xludf.DUMMYFUNCTION("""COMPUTED_VALUE"""),"Batch 233")</f>
        <v>Batch 233</v>
      </c>
      <c r="B3590" s="9" t="str">
        <f>IFERROR(__xludf.DUMMYFUNCTION("""COMPUTED_VALUE"""),"RionC33")</f>
        <v>RionC33</v>
      </c>
      <c r="C3590" s="8">
        <f>IFERROR(__xludf.DUMMYFUNCTION("""COMPUTED_VALUE"""),0.0)</f>
        <v>0</v>
      </c>
      <c r="D3590" s="8"/>
    </row>
    <row r="3591">
      <c r="A3591" s="9" t="str">
        <f>IFERROR(__xludf.DUMMYFUNCTION("""COMPUTED_VALUE"""),"Batch 233")</f>
        <v>Batch 233</v>
      </c>
      <c r="B3591" s="9" t="str">
        <f>IFERROR(__xludf.DUMMYFUNCTION("""COMPUTED_VALUE"""),"ArsheyaC33")</f>
        <v>ArsheyaC33</v>
      </c>
      <c r="C3591" s="8">
        <f>IFERROR(__xludf.DUMMYFUNCTION("""COMPUTED_VALUE"""),0.0)</f>
        <v>0</v>
      </c>
      <c r="D3591" s="8"/>
    </row>
    <row r="3592">
      <c r="A3592" s="9" t="str">
        <f>IFERROR(__xludf.DUMMYFUNCTION("""COMPUTED_VALUE"""),"Batch 233")</f>
        <v>Batch 233</v>
      </c>
      <c r="B3592" s="9" t="str">
        <f>IFERROR(__xludf.DUMMYFUNCTION("""COMPUTED_VALUE"""),"AshutoshC33")</f>
        <v>AshutoshC33</v>
      </c>
      <c r="C3592" s="8">
        <f>IFERROR(__xludf.DUMMYFUNCTION("""COMPUTED_VALUE"""),0.0)</f>
        <v>0</v>
      </c>
      <c r="D3592" s="8"/>
    </row>
    <row r="3593">
      <c r="A3593" s="9" t="str">
        <f>IFERROR(__xludf.DUMMYFUNCTION("""COMPUTED_VALUE"""),"Batch 233")</f>
        <v>Batch 233</v>
      </c>
      <c r="B3593" s="9" t="str">
        <f>IFERROR(__xludf.DUMMYFUNCTION("""COMPUTED_VALUE"""),"DishaC33")</f>
        <v>DishaC33</v>
      </c>
      <c r="C3593" s="8">
        <f>IFERROR(__xludf.DUMMYFUNCTION("""COMPUTED_VALUE"""),0.0)</f>
        <v>0</v>
      </c>
      <c r="D3593" s="8"/>
    </row>
    <row r="3594">
      <c r="A3594" s="9" t="str">
        <f>IFERROR(__xludf.DUMMYFUNCTION("""COMPUTED_VALUE"""),"Batch 233")</f>
        <v>Batch 233</v>
      </c>
      <c r="B3594" s="9" t="str">
        <f>IFERROR(__xludf.DUMMYFUNCTION("""COMPUTED_VALUE"""),"ArunC33")</f>
        <v>ArunC33</v>
      </c>
      <c r="C3594" s="8">
        <f>IFERROR(__xludf.DUMMYFUNCTION("""COMPUTED_VALUE"""),0.0)</f>
        <v>0</v>
      </c>
      <c r="D3594" s="8"/>
    </row>
    <row r="3595">
      <c r="A3595" s="9" t="str">
        <f>IFERROR(__xludf.DUMMYFUNCTION("""COMPUTED_VALUE"""),"Batch 233")</f>
        <v>Batch 233</v>
      </c>
      <c r="B3595" s="9" t="str">
        <f>IFERROR(__xludf.DUMMYFUNCTION("""COMPUTED_VALUE"""),"FARRDEENC33")</f>
        <v>FARRDEENC33</v>
      </c>
      <c r="C3595" s="8">
        <f>IFERROR(__xludf.DUMMYFUNCTION("""COMPUTED_VALUE"""),0.0)</f>
        <v>0</v>
      </c>
      <c r="D3595" s="8"/>
    </row>
    <row r="3596">
      <c r="A3596" s="9"/>
      <c r="B3596" s="9"/>
      <c r="C3596" s="8">
        <f>IFERROR(__xludf.DUMMYFUNCTION("""COMPUTED_VALUE"""),0.0)</f>
        <v>0</v>
      </c>
      <c r="D3596" s="8"/>
    </row>
    <row r="3597">
      <c r="A3597" s="9" t="str">
        <f>IFERROR(__xludf.DUMMYFUNCTION("""COMPUTED_VALUE"""),"Batch 234")</f>
        <v>Batch 234</v>
      </c>
      <c r="B3597" s="9" t="str">
        <f>IFERROR(__xludf.DUMMYFUNCTION("""COMPUTED_VALUE"""),"RahulC34")</f>
        <v>RahulC34</v>
      </c>
      <c r="C3597" s="8">
        <f>IFERROR(__xludf.DUMMYFUNCTION("""COMPUTED_VALUE"""),3.0)</f>
        <v>3</v>
      </c>
      <c r="D3597" s="8"/>
    </row>
    <row r="3598">
      <c r="A3598" s="9" t="str">
        <f>IFERROR(__xludf.DUMMYFUNCTION("""COMPUTED_VALUE"""),"Batch 234")</f>
        <v>Batch 234</v>
      </c>
      <c r="B3598" s="9" t="str">
        <f>IFERROR(__xludf.DUMMYFUNCTION("""COMPUTED_VALUE"""),"SanikaC34")</f>
        <v>SanikaC34</v>
      </c>
      <c r="C3598" s="8">
        <f>IFERROR(__xludf.DUMMYFUNCTION("""COMPUTED_VALUE"""),11.0)</f>
        <v>11</v>
      </c>
      <c r="D3598" s="8">
        <f>IFERROR(__xludf.DUMMYFUNCTION("""COMPUTED_VALUE"""),3.0)</f>
        <v>3</v>
      </c>
    </row>
    <row r="3599">
      <c r="A3599" s="9" t="str">
        <f>IFERROR(__xludf.DUMMYFUNCTION("""COMPUTED_VALUE"""),"Batch 234")</f>
        <v>Batch 234</v>
      </c>
      <c r="B3599" s="9" t="str">
        <f>IFERROR(__xludf.DUMMYFUNCTION("""COMPUTED_VALUE"""),"AboliC34")</f>
        <v>AboliC34</v>
      </c>
      <c r="C3599" s="8">
        <f>IFERROR(__xludf.DUMMYFUNCTION("""COMPUTED_VALUE"""),0.0)</f>
        <v>0</v>
      </c>
      <c r="D3599" s="8"/>
    </row>
    <row r="3600">
      <c r="A3600" s="9" t="str">
        <f>IFERROR(__xludf.DUMMYFUNCTION("""COMPUTED_VALUE"""),"Batch 234")</f>
        <v>Batch 234</v>
      </c>
      <c r="B3600" s="9" t="str">
        <f>IFERROR(__xludf.DUMMYFUNCTION("""COMPUTED_VALUE"""),"VARDIBOINAC34")</f>
        <v>VARDIBOINAC34</v>
      </c>
      <c r="C3600" s="8">
        <f>IFERROR(__xludf.DUMMYFUNCTION("""COMPUTED_VALUE"""),0.0)</f>
        <v>0</v>
      </c>
      <c r="D3600" s="8"/>
    </row>
    <row r="3601">
      <c r="A3601" s="9" t="str">
        <f>IFERROR(__xludf.DUMMYFUNCTION("""COMPUTED_VALUE"""),"Batch 234")</f>
        <v>Batch 234</v>
      </c>
      <c r="B3601" s="9" t="str">
        <f>IFERROR(__xludf.DUMMYFUNCTION("""COMPUTED_VALUE"""),"AmrikC34")</f>
        <v>AmrikC34</v>
      </c>
      <c r="C3601" s="8">
        <f>IFERROR(__xludf.DUMMYFUNCTION("""COMPUTED_VALUE"""),0.0)</f>
        <v>0</v>
      </c>
      <c r="D3601" s="8"/>
    </row>
    <row r="3602">
      <c r="A3602" s="9" t="str">
        <f>IFERROR(__xludf.DUMMYFUNCTION("""COMPUTED_VALUE"""),"Batch 234")</f>
        <v>Batch 234</v>
      </c>
      <c r="B3602" s="9" t="str">
        <f>IFERROR(__xludf.DUMMYFUNCTION("""COMPUTED_VALUE"""),"G.C34")</f>
        <v>G.C34</v>
      </c>
      <c r="C3602" s="8">
        <f>IFERROR(__xludf.DUMMYFUNCTION("""COMPUTED_VALUE"""),0.0)</f>
        <v>0</v>
      </c>
      <c r="D3602" s="8"/>
    </row>
    <row r="3603">
      <c r="A3603" s="9" t="str">
        <f>IFERROR(__xludf.DUMMYFUNCTION("""COMPUTED_VALUE"""),"Batch 234")</f>
        <v>Batch 234</v>
      </c>
      <c r="B3603" s="9" t="str">
        <f>IFERROR(__xludf.DUMMYFUNCTION("""COMPUTED_VALUE"""),"NamanC34")</f>
        <v>NamanC34</v>
      </c>
      <c r="C3603" s="8">
        <f>IFERROR(__xludf.DUMMYFUNCTION("""COMPUTED_VALUE"""),0.0)</f>
        <v>0</v>
      </c>
      <c r="D3603" s="8"/>
    </row>
    <row r="3604">
      <c r="A3604" s="9" t="str">
        <f>IFERROR(__xludf.DUMMYFUNCTION("""COMPUTED_VALUE"""),"Batch 234")</f>
        <v>Batch 234</v>
      </c>
      <c r="B3604" s="9" t="str">
        <f>IFERROR(__xludf.DUMMYFUNCTION("""COMPUTED_VALUE"""),"krushanaC34")</f>
        <v>krushanaC34</v>
      </c>
      <c r="C3604" s="8">
        <f>IFERROR(__xludf.DUMMYFUNCTION("""COMPUTED_VALUE"""),0.0)</f>
        <v>0</v>
      </c>
      <c r="D3604" s="8"/>
    </row>
    <row r="3605">
      <c r="A3605" s="9" t="str">
        <f>IFERROR(__xludf.DUMMYFUNCTION("""COMPUTED_VALUE"""),"Batch 234")</f>
        <v>Batch 234</v>
      </c>
      <c r="B3605" s="9" t="str">
        <f>IFERROR(__xludf.DUMMYFUNCTION("""COMPUTED_VALUE"""),"RamavathC34")</f>
        <v>RamavathC34</v>
      </c>
      <c r="C3605" s="8">
        <f>IFERROR(__xludf.DUMMYFUNCTION("""COMPUTED_VALUE"""),0.0)</f>
        <v>0</v>
      </c>
      <c r="D3605" s="8"/>
    </row>
    <row r="3606">
      <c r="A3606" s="9" t="str">
        <f>IFERROR(__xludf.DUMMYFUNCTION("""COMPUTED_VALUE"""),"Batch 234")</f>
        <v>Batch 234</v>
      </c>
      <c r="B3606" s="9" t="str">
        <f>IFERROR(__xludf.DUMMYFUNCTION("""COMPUTED_VALUE"""),"ManojC34")</f>
        <v>ManojC34</v>
      </c>
      <c r="C3606" s="8">
        <f>IFERROR(__xludf.DUMMYFUNCTION("""COMPUTED_VALUE"""),0.0)</f>
        <v>0</v>
      </c>
      <c r="D3606" s="8"/>
    </row>
    <row r="3607">
      <c r="A3607" s="9" t="str">
        <f>IFERROR(__xludf.DUMMYFUNCTION("""COMPUTED_VALUE"""),"Batch 234")</f>
        <v>Batch 234</v>
      </c>
      <c r="B3607" s="9" t="str">
        <f>IFERROR(__xludf.DUMMYFUNCTION("""COMPUTED_VALUE"""),"AnishC34")</f>
        <v>AnishC34</v>
      </c>
      <c r="C3607" s="8">
        <f>IFERROR(__xludf.DUMMYFUNCTION("""COMPUTED_VALUE"""),0.0)</f>
        <v>0</v>
      </c>
      <c r="D3607" s="8"/>
    </row>
    <row r="3608">
      <c r="A3608" s="9" t="str">
        <f>IFERROR(__xludf.DUMMYFUNCTION("""COMPUTED_VALUE"""),"Batch 234")</f>
        <v>Batch 234</v>
      </c>
      <c r="B3608" s="9" t="str">
        <f>IFERROR(__xludf.DUMMYFUNCTION("""COMPUTED_VALUE"""),"StutiC34")</f>
        <v>StutiC34</v>
      </c>
      <c r="C3608" s="8">
        <f>IFERROR(__xludf.DUMMYFUNCTION("""COMPUTED_VALUE"""),0.0)</f>
        <v>0</v>
      </c>
      <c r="D3608" s="8"/>
    </row>
    <row r="3609">
      <c r="A3609" s="9" t="str">
        <f>IFERROR(__xludf.DUMMYFUNCTION("""COMPUTED_VALUE"""),"Batch 234")</f>
        <v>Batch 234</v>
      </c>
      <c r="B3609" s="9" t="str">
        <f>IFERROR(__xludf.DUMMYFUNCTION("""COMPUTED_VALUE"""),"HinalC34")</f>
        <v>HinalC34</v>
      </c>
      <c r="C3609" s="8">
        <f>IFERROR(__xludf.DUMMYFUNCTION("""COMPUTED_VALUE"""),0.0)</f>
        <v>0</v>
      </c>
      <c r="D3609" s="8"/>
    </row>
    <row r="3610">
      <c r="A3610" s="9" t="str">
        <f>IFERROR(__xludf.DUMMYFUNCTION("""COMPUTED_VALUE"""),"Batch 234")</f>
        <v>Batch 234</v>
      </c>
      <c r="B3610" s="9" t="str">
        <f>IFERROR(__xludf.DUMMYFUNCTION("""COMPUTED_VALUE"""),"SparshC34")</f>
        <v>SparshC34</v>
      </c>
      <c r="C3610" s="8">
        <f>IFERROR(__xludf.DUMMYFUNCTION("""COMPUTED_VALUE"""),0.0)</f>
        <v>0</v>
      </c>
      <c r="D3610" s="8"/>
    </row>
    <row r="3611">
      <c r="A3611" s="9" t="str">
        <f>IFERROR(__xludf.DUMMYFUNCTION("""COMPUTED_VALUE"""),"Batch 234")</f>
        <v>Batch 234</v>
      </c>
      <c r="B3611" s="9" t="str">
        <f>IFERROR(__xludf.DUMMYFUNCTION("""COMPUTED_VALUE"""),"AsthaC34")</f>
        <v>AsthaC34</v>
      </c>
      <c r="C3611" s="8">
        <f>IFERROR(__xludf.DUMMYFUNCTION("""COMPUTED_VALUE"""),1.0)</f>
        <v>1</v>
      </c>
      <c r="D3611" s="8"/>
    </row>
    <row r="3612">
      <c r="A3612" s="9" t="str">
        <f>IFERROR(__xludf.DUMMYFUNCTION("""COMPUTED_VALUE"""),"Batch 234")</f>
        <v>Batch 234</v>
      </c>
      <c r="B3612" s="9" t="str">
        <f>IFERROR(__xludf.DUMMYFUNCTION("""COMPUTED_VALUE"""),"ShreyaC34")</f>
        <v>ShreyaC34</v>
      </c>
      <c r="C3612" s="8">
        <f>IFERROR(__xludf.DUMMYFUNCTION("""COMPUTED_VALUE"""),0.0)</f>
        <v>0</v>
      </c>
      <c r="D3612" s="8"/>
    </row>
    <row r="3613">
      <c r="A3613" s="9" t="str">
        <f>IFERROR(__xludf.DUMMYFUNCTION("""COMPUTED_VALUE"""),"Batch 234")</f>
        <v>Batch 234</v>
      </c>
      <c r="B3613" s="9" t="str">
        <f>IFERROR(__xludf.DUMMYFUNCTION("""COMPUTED_VALUE"""),"HansikaC34")</f>
        <v>HansikaC34</v>
      </c>
      <c r="C3613" s="8">
        <f>IFERROR(__xludf.DUMMYFUNCTION("""COMPUTED_VALUE"""),0.0)</f>
        <v>0</v>
      </c>
      <c r="D3613" s="8"/>
    </row>
    <row r="3614">
      <c r="A3614" s="9" t="str">
        <f>IFERROR(__xludf.DUMMYFUNCTION("""COMPUTED_VALUE"""),"Batch 234")</f>
        <v>Batch 234</v>
      </c>
      <c r="B3614" s="9" t="str">
        <f>IFERROR(__xludf.DUMMYFUNCTION("""COMPUTED_VALUE"""),"LeelaC34")</f>
        <v>LeelaC34</v>
      </c>
      <c r="C3614" s="8">
        <f>IFERROR(__xludf.DUMMYFUNCTION("""COMPUTED_VALUE"""),0.0)</f>
        <v>0</v>
      </c>
      <c r="D3614" s="8"/>
    </row>
    <row r="3615">
      <c r="A3615" s="9" t="str">
        <f>IFERROR(__xludf.DUMMYFUNCTION("""COMPUTED_VALUE"""),"Batch 234")</f>
        <v>Batch 234</v>
      </c>
      <c r="B3615" s="9" t="str">
        <f>IFERROR(__xludf.DUMMYFUNCTION("""COMPUTED_VALUE"""),"JiyaC34")</f>
        <v>JiyaC34</v>
      </c>
      <c r="C3615" s="8">
        <f>IFERROR(__xludf.DUMMYFUNCTION("""COMPUTED_VALUE"""),0.0)</f>
        <v>0</v>
      </c>
      <c r="D3615" s="8"/>
    </row>
    <row r="3616">
      <c r="A3616" s="9" t="str">
        <f>IFERROR(__xludf.DUMMYFUNCTION("""COMPUTED_VALUE"""),"Batch 234")</f>
        <v>Batch 234</v>
      </c>
      <c r="B3616" s="9" t="str">
        <f>IFERROR(__xludf.DUMMYFUNCTION("""COMPUTED_VALUE"""),"DukareC34")</f>
        <v>DukareC34</v>
      </c>
      <c r="C3616" s="8">
        <f>IFERROR(__xludf.DUMMYFUNCTION("""COMPUTED_VALUE"""),0.0)</f>
        <v>0</v>
      </c>
      <c r="D3616" s="8"/>
    </row>
    <row r="3617">
      <c r="A3617" s="9" t="str">
        <f>IFERROR(__xludf.DUMMYFUNCTION("""COMPUTED_VALUE"""),"Batch 234")</f>
        <v>Batch 234</v>
      </c>
      <c r="B3617" s="9" t="str">
        <f>IFERROR(__xludf.DUMMYFUNCTION("""COMPUTED_VALUE"""),"PANDHAREC34")</f>
        <v>PANDHAREC34</v>
      </c>
      <c r="C3617" s="8">
        <f>IFERROR(__xludf.DUMMYFUNCTION("""COMPUTED_VALUE"""),0.0)</f>
        <v>0</v>
      </c>
      <c r="D3617" s="8"/>
    </row>
    <row r="3618">
      <c r="A3618" s="9" t="str">
        <f>IFERROR(__xludf.DUMMYFUNCTION("""COMPUTED_VALUE"""),"Batch 234")</f>
        <v>Batch 234</v>
      </c>
      <c r="B3618" s="9" t="str">
        <f>IFERROR(__xludf.DUMMYFUNCTION("""COMPUTED_VALUE"""),"ShrishtiC34")</f>
        <v>ShrishtiC34</v>
      </c>
      <c r="C3618" s="8">
        <f>IFERROR(__xludf.DUMMYFUNCTION("""COMPUTED_VALUE"""),0.0)</f>
        <v>0</v>
      </c>
      <c r="D3618" s="8"/>
    </row>
    <row r="3619">
      <c r="A3619" s="9" t="str">
        <f>IFERROR(__xludf.DUMMYFUNCTION("""COMPUTED_VALUE"""),"Batch 234")</f>
        <v>Batch 234</v>
      </c>
      <c r="B3619" s="9" t="str">
        <f>IFERROR(__xludf.DUMMYFUNCTION("""COMPUTED_VALUE"""),"SayedC34")</f>
        <v>SayedC34</v>
      </c>
      <c r="C3619" s="8">
        <f>IFERROR(__xludf.DUMMYFUNCTION("""COMPUTED_VALUE"""),0.0)</f>
        <v>0</v>
      </c>
      <c r="D3619" s="8"/>
    </row>
    <row r="3620">
      <c r="A3620" s="9" t="str">
        <f>IFERROR(__xludf.DUMMYFUNCTION("""COMPUTED_VALUE"""),"Batch 234")</f>
        <v>Batch 234</v>
      </c>
      <c r="B3620" s="9" t="str">
        <f>IFERROR(__xludf.DUMMYFUNCTION("""COMPUTED_VALUE"""),"TanisaC34")</f>
        <v>TanisaC34</v>
      </c>
      <c r="C3620" s="8">
        <f>IFERROR(__xludf.DUMMYFUNCTION("""COMPUTED_VALUE"""),0.0)</f>
        <v>0</v>
      </c>
      <c r="D3620" s="8"/>
    </row>
    <row r="3621">
      <c r="A3621" s="9" t="str">
        <f>IFERROR(__xludf.DUMMYFUNCTION("""COMPUTED_VALUE"""),"Batch 234")</f>
        <v>Batch 234</v>
      </c>
      <c r="B3621" s="9" t="str">
        <f>IFERROR(__xludf.DUMMYFUNCTION("""COMPUTED_VALUE"""),"DivyanshiC34")</f>
        <v>DivyanshiC34</v>
      </c>
      <c r="C3621" s="8">
        <f>IFERROR(__xludf.DUMMYFUNCTION("""COMPUTED_VALUE"""),3.0)</f>
        <v>3</v>
      </c>
      <c r="D3621" s="8"/>
    </row>
    <row r="3622">
      <c r="A3622" s="9" t="str">
        <f>IFERROR(__xludf.DUMMYFUNCTION("""COMPUTED_VALUE"""),"Batch 234")</f>
        <v>Batch 234</v>
      </c>
      <c r="B3622" s="9" t="str">
        <f>IFERROR(__xludf.DUMMYFUNCTION("""COMPUTED_VALUE"""),"MeghnaC34")</f>
        <v>MeghnaC34</v>
      </c>
      <c r="C3622" s="8">
        <f>IFERROR(__xludf.DUMMYFUNCTION("""COMPUTED_VALUE"""),0.0)</f>
        <v>0</v>
      </c>
      <c r="D3622" s="8"/>
    </row>
    <row r="3623">
      <c r="A3623" s="9" t="str">
        <f>IFERROR(__xludf.DUMMYFUNCTION("""COMPUTED_VALUE"""),"Batch 234")</f>
        <v>Batch 234</v>
      </c>
      <c r="B3623" s="9" t="str">
        <f>IFERROR(__xludf.DUMMYFUNCTION("""COMPUTED_VALUE"""),"SWATANTRAC34")</f>
        <v>SWATANTRAC34</v>
      </c>
      <c r="C3623" s="8">
        <f>IFERROR(__xludf.DUMMYFUNCTION("""COMPUTED_VALUE"""),3.0)</f>
        <v>3</v>
      </c>
      <c r="D3623" s="8">
        <f>IFERROR(__xludf.DUMMYFUNCTION("""COMPUTED_VALUE"""),5.0)</f>
        <v>5</v>
      </c>
    </row>
    <row r="3624">
      <c r="A3624" s="9" t="str">
        <f>IFERROR(__xludf.DUMMYFUNCTION("""COMPUTED_VALUE"""),"Batch 234")</f>
        <v>Batch 234</v>
      </c>
      <c r="B3624" s="9" t="str">
        <f>IFERROR(__xludf.DUMMYFUNCTION("""COMPUTED_VALUE"""),"SiyaC34")</f>
        <v>SiyaC34</v>
      </c>
      <c r="C3624" s="8">
        <f>IFERROR(__xludf.DUMMYFUNCTION("""COMPUTED_VALUE"""),0.0)</f>
        <v>0</v>
      </c>
      <c r="D3624" s="8"/>
    </row>
    <row r="3625">
      <c r="A3625" s="9" t="str">
        <f>IFERROR(__xludf.DUMMYFUNCTION("""COMPUTED_VALUE"""),"Batch 234")</f>
        <v>Batch 234</v>
      </c>
      <c r="B3625" s="9" t="str">
        <f>IFERROR(__xludf.DUMMYFUNCTION("""COMPUTED_VALUE"""),"SiddhiC34")</f>
        <v>SiddhiC34</v>
      </c>
      <c r="C3625" s="8">
        <f>IFERROR(__xludf.DUMMYFUNCTION("""COMPUTED_VALUE"""),1.0)</f>
        <v>1</v>
      </c>
      <c r="D3625" s="8"/>
    </row>
    <row r="3626">
      <c r="A3626" s="9" t="str">
        <f>IFERROR(__xludf.DUMMYFUNCTION("""COMPUTED_VALUE"""),"Batch 234")</f>
        <v>Batch 234</v>
      </c>
      <c r="B3626" s="9" t="str">
        <f>IFERROR(__xludf.DUMMYFUNCTION("""COMPUTED_VALUE"""),"VincentC34")</f>
        <v>VincentC34</v>
      </c>
      <c r="C3626" s="8">
        <f>IFERROR(__xludf.DUMMYFUNCTION("""COMPUTED_VALUE"""),0.0)</f>
        <v>0</v>
      </c>
      <c r="D3626" s="8"/>
    </row>
    <row r="3627">
      <c r="A3627" s="9" t="str">
        <f>IFERROR(__xludf.DUMMYFUNCTION("""COMPUTED_VALUE"""),"Batch 234")</f>
        <v>Batch 234</v>
      </c>
      <c r="B3627" s="9" t="str">
        <f>IFERROR(__xludf.DUMMYFUNCTION("""COMPUTED_VALUE"""),"DivyanshiSC34")</f>
        <v>DivyanshiSC34</v>
      </c>
      <c r="C3627" s="8">
        <f>IFERROR(__xludf.DUMMYFUNCTION("""COMPUTED_VALUE"""),0.0)</f>
        <v>0</v>
      </c>
      <c r="D3627" s="8"/>
    </row>
    <row r="3628">
      <c r="A3628" s="9" t="str">
        <f>IFERROR(__xludf.DUMMYFUNCTION("""COMPUTED_VALUE"""),"Batch 234")</f>
        <v>Batch 234</v>
      </c>
      <c r="B3628" s="9" t="str">
        <f>IFERROR(__xludf.DUMMYFUNCTION("""COMPUTED_VALUE"""),"CHAKALIC34")</f>
        <v>CHAKALIC34</v>
      </c>
      <c r="C3628" s="8">
        <f>IFERROR(__xludf.DUMMYFUNCTION("""COMPUTED_VALUE"""),2.0)</f>
        <v>2</v>
      </c>
      <c r="D3628" s="8"/>
    </row>
    <row r="3629">
      <c r="A3629" s="9" t="str">
        <f>IFERROR(__xludf.DUMMYFUNCTION("""COMPUTED_VALUE"""),"Batch 234")</f>
        <v>Batch 234</v>
      </c>
      <c r="B3629" s="9" t="str">
        <f>IFERROR(__xludf.DUMMYFUNCTION("""COMPUTED_VALUE"""),"ShaheenC34")</f>
        <v>ShaheenC34</v>
      </c>
      <c r="C3629" s="8">
        <f>IFERROR(__xludf.DUMMYFUNCTION("""COMPUTED_VALUE"""),0.0)</f>
        <v>0</v>
      </c>
      <c r="D3629" s="8"/>
    </row>
    <row r="3630">
      <c r="A3630" s="9" t="str">
        <f>IFERROR(__xludf.DUMMYFUNCTION("""COMPUTED_VALUE"""),"Batch 234")</f>
        <v>Batch 234</v>
      </c>
      <c r="B3630" s="9" t="str">
        <f>IFERROR(__xludf.DUMMYFUNCTION("""COMPUTED_VALUE"""),"PriyanshiC34")</f>
        <v>PriyanshiC34</v>
      </c>
      <c r="C3630" s="8">
        <f>IFERROR(__xludf.DUMMYFUNCTION("""COMPUTED_VALUE"""),0.0)</f>
        <v>0</v>
      </c>
      <c r="D3630" s="8"/>
    </row>
    <row r="3631">
      <c r="A3631" s="9"/>
      <c r="B3631" s="9"/>
      <c r="C3631" s="8">
        <f>IFERROR(__xludf.DUMMYFUNCTION("""COMPUTED_VALUE"""),0.0)</f>
        <v>0</v>
      </c>
      <c r="D3631" s="8"/>
    </row>
    <row r="3632">
      <c r="A3632" s="9" t="str">
        <f>IFERROR(__xludf.DUMMYFUNCTION("""COMPUTED_VALUE"""),"Batch 235")</f>
        <v>Batch 235</v>
      </c>
      <c r="B3632" s="9" t="str">
        <f>IFERROR(__xludf.DUMMYFUNCTION("""COMPUTED_VALUE"""),"MhakseC35")</f>
        <v>MhakseC35</v>
      </c>
      <c r="C3632" s="8">
        <f>IFERROR(__xludf.DUMMYFUNCTION("""COMPUTED_VALUE"""),0.0)</f>
        <v>0</v>
      </c>
      <c r="D3632" s="8"/>
    </row>
    <row r="3633">
      <c r="A3633" s="9" t="str">
        <f>IFERROR(__xludf.DUMMYFUNCTION("""COMPUTED_VALUE"""),"Batch 235")</f>
        <v>Batch 235</v>
      </c>
      <c r="B3633" s="9" t="str">
        <f>IFERROR(__xludf.DUMMYFUNCTION("""COMPUTED_VALUE"""),"ParvC35")</f>
        <v>ParvC35</v>
      </c>
      <c r="C3633" s="8">
        <f>IFERROR(__xludf.DUMMYFUNCTION("""COMPUTED_VALUE"""),0.0)</f>
        <v>0</v>
      </c>
      <c r="D3633" s="8"/>
    </row>
    <row r="3634">
      <c r="A3634" s="9" t="str">
        <f>IFERROR(__xludf.DUMMYFUNCTION("""COMPUTED_VALUE"""),"Batch 235")</f>
        <v>Batch 235</v>
      </c>
      <c r="B3634" s="9" t="str">
        <f>IFERROR(__xludf.DUMMYFUNCTION("""COMPUTED_VALUE"""),"DHANSHREEC35")</f>
        <v>DHANSHREEC35</v>
      </c>
      <c r="C3634" s="8">
        <f>IFERROR(__xludf.DUMMYFUNCTION("""COMPUTED_VALUE"""),3.0)</f>
        <v>3</v>
      </c>
      <c r="D3634" s="8"/>
    </row>
    <row r="3635">
      <c r="A3635" s="9" t="str">
        <f>IFERROR(__xludf.DUMMYFUNCTION("""COMPUTED_VALUE"""),"Batch 235")</f>
        <v>Batch 235</v>
      </c>
      <c r="B3635" s="9" t="str">
        <f>IFERROR(__xludf.DUMMYFUNCTION("""COMPUTED_VALUE"""),"HARSHC35")</f>
        <v>HARSHC35</v>
      </c>
      <c r="C3635" s="8">
        <f>IFERROR(__xludf.DUMMYFUNCTION("""COMPUTED_VALUE"""),0.0)</f>
        <v>0</v>
      </c>
      <c r="D3635" s="8"/>
    </row>
    <row r="3636">
      <c r="A3636" s="9" t="str">
        <f>IFERROR(__xludf.DUMMYFUNCTION("""COMPUTED_VALUE"""),"Batch 235")</f>
        <v>Batch 235</v>
      </c>
      <c r="B3636" s="9" t="str">
        <f>IFERROR(__xludf.DUMMYFUNCTION("""COMPUTED_VALUE"""),"MayankC35")</f>
        <v>MayankC35</v>
      </c>
      <c r="C3636" s="8">
        <f>IFERROR(__xludf.DUMMYFUNCTION("""COMPUTED_VALUE"""),0.0)</f>
        <v>0</v>
      </c>
      <c r="D3636" s="8"/>
    </row>
    <row r="3637">
      <c r="A3637" s="9" t="str">
        <f>IFERROR(__xludf.DUMMYFUNCTION("""COMPUTED_VALUE"""),"Batch 235")</f>
        <v>Batch 235</v>
      </c>
      <c r="B3637" s="9" t="str">
        <f>IFERROR(__xludf.DUMMYFUNCTION("""COMPUTED_VALUE"""),"VaradC35")</f>
        <v>VaradC35</v>
      </c>
      <c r="C3637" s="8">
        <f>IFERROR(__xludf.DUMMYFUNCTION("""COMPUTED_VALUE"""),0.0)</f>
        <v>0</v>
      </c>
      <c r="D3637" s="8"/>
    </row>
    <row r="3638">
      <c r="A3638" s="9" t="str">
        <f>IFERROR(__xludf.DUMMYFUNCTION("""COMPUTED_VALUE"""),"Batch 235")</f>
        <v>Batch 235</v>
      </c>
      <c r="B3638" s="9" t="str">
        <f>IFERROR(__xludf.DUMMYFUNCTION("""COMPUTED_VALUE"""),"PriyankaC35")</f>
        <v>PriyankaC35</v>
      </c>
      <c r="C3638" s="8">
        <f>IFERROR(__xludf.DUMMYFUNCTION("""COMPUTED_VALUE"""),0.0)</f>
        <v>0</v>
      </c>
      <c r="D3638" s="8"/>
    </row>
    <row r="3639">
      <c r="A3639" s="9" t="str">
        <f>IFERROR(__xludf.DUMMYFUNCTION("""COMPUTED_VALUE"""),"Batch 235")</f>
        <v>Batch 235</v>
      </c>
      <c r="B3639" s="9" t="str">
        <f>IFERROR(__xludf.DUMMYFUNCTION("""COMPUTED_VALUE"""),"RaghavC35")</f>
        <v>RaghavC35</v>
      </c>
      <c r="C3639" s="8">
        <f>IFERROR(__xludf.DUMMYFUNCTION("""COMPUTED_VALUE"""),1.0)</f>
        <v>1</v>
      </c>
      <c r="D3639" s="8"/>
    </row>
    <row r="3640">
      <c r="A3640" s="9" t="str">
        <f>IFERROR(__xludf.DUMMYFUNCTION("""COMPUTED_VALUE"""),"Batch 235")</f>
        <v>Batch 235</v>
      </c>
      <c r="B3640" s="9" t="str">
        <f>IFERROR(__xludf.DUMMYFUNCTION("""COMPUTED_VALUE"""),"VertikaC35")</f>
        <v>VertikaC35</v>
      </c>
      <c r="C3640" s="8">
        <f>IFERROR(__xludf.DUMMYFUNCTION("""COMPUTED_VALUE"""),0.0)</f>
        <v>0</v>
      </c>
      <c r="D3640" s="8"/>
    </row>
    <row r="3641">
      <c r="A3641" s="9" t="str">
        <f>IFERROR(__xludf.DUMMYFUNCTION("""COMPUTED_VALUE"""),"Batch 235")</f>
        <v>Batch 235</v>
      </c>
      <c r="B3641" s="9" t="str">
        <f>IFERROR(__xludf.DUMMYFUNCTION("""COMPUTED_VALUE"""),"UtkarshC35")</f>
        <v>UtkarshC35</v>
      </c>
      <c r="C3641" s="8">
        <f>IFERROR(__xludf.DUMMYFUNCTION("""COMPUTED_VALUE"""),0.0)</f>
        <v>0</v>
      </c>
      <c r="D3641" s="8"/>
    </row>
    <row r="3642">
      <c r="A3642" s="9" t="str">
        <f>IFERROR(__xludf.DUMMYFUNCTION("""COMPUTED_VALUE"""),"Batch 235")</f>
        <v>Batch 235</v>
      </c>
      <c r="B3642" s="9" t="str">
        <f>IFERROR(__xludf.DUMMYFUNCTION("""COMPUTED_VALUE"""),"PratulC35")</f>
        <v>PratulC35</v>
      </c>
      <c r="C3642" s="8">
        <f>IFERROR(__xludf.DUMMYFUNCTION("""COMPUTED_VALUE"""),0.0)</f>
        <v>0</v>
      </c>
      <c r="D3642" s="8"/>
    </row>
    <row r="3643">
      <c r="A3643" s="9" t="str">
        <f>IFERROR(__xludf.DUMMYFUNCTION("""COMPUTED_VALUE"""),"Batch 235")</f>
        <v>Batch 235</v>
      </c>
      <c r="B3643" s="9" t="str">
        <f>IFERROR(__xludf.DUMMYFUNCTION("""COMPUTED_VALUE"""),"AthaullaC35")</f>
        <v>AthaullaC35</v>
      </c>
      <c r="C3643" s="8">
        <f>IFERROR(__xludf.DUMMYFUNCTION("""COMPUTED_VALUE"""),1.0)</f>
        <v>1</v>
      </c>
      <c r="D3643" s="8"/>
    </row>
    <row r="3644">
      <c r="A3644" s="9" t="str">
        <f>IFERROR(__xludf.DUMMYFUNCTION("""COMPUTED_VALUE"""),"Batch 235")</f>
        <v>Batch 235</v>
      </c>
      <c r="B3644" s="9" t="str">
        <f>IFERROR(__xludf.DUMMYFUNCTION("""COMPUTED_VALUE"""),"ShlokC35")</f>
        <v>ShlokC35</v>
      </c>
      <c r="C3644" s="8">
        <f>IFERROR(__xludf.DUMMYFUNCTION("""COMPUTED_VALUE"""),0.0)</f>
        <v>0</v>
      </c>
      <c r="D3644" s="8"/>
    </row>
    <row r="3645">
      <c r="A3645" s="9"/>
      <c r="B3645" s="9"/>
      <c r="C3645" s="8">
        <f>IFERROR(__xludf.DUMMYFUNCTION("""COMPUTED_VALUE"""),0.0)</f>
        <v>0</v>
      </c>
      <c r="D3645" s="8"/>
    </row>
    <row r="3646">
      <c r="A3646" s="9" t="str">
        <f>IFERROR(__xludf.DUMMYFUNCTION("""COMPUTED_VALUE"""),"Batch 236")</f>
        <v>Batch 236</v>
      </c>
      <c r="B3646" s="9" t="str">
        <f>IFERROR(__xludf.DUMMYFUNCTION("""COMPUTED_VALUE"""),"GurbakhashC36")</f>
        <v>GurbakhashC36</v>
      </c>
      <c r="C3646" s="8">
        <f>IFERROR(__xludf.DUMMYFUNCTION("""COMPUTED_VALUE"""),0.0)</f>
        <v>0</v>
      </c>
      <c r="D3646" s="8"/>
    </row>
    <row r="3647">
      <c r="A3647" s="9" t="str">
        <f>IFERROR(__xludf.DUMMYFUNCTION("""COMPUTED_VALUE"""),"Batch 236")</f>
        <v>Batch 236</v>
      </c>
      <c r="B3647" s="9" t="str">
        <f>IFERROR(__xludf.DUMMYFUNCTION("""COMPUTED_VALUE"""),"TarunC36")</f>
        <v>TarunC36</v>
      </c>
      <c r="C3647" s="8">
        <f>IFERROR(__xludf.DUMMYFUNCTION("""COMPUTED_VALUE"""),0.0)</f>
        <v>0</v>
      </c>
      <c r="D3647" s="8"/>
    </row>
    <row r="3648">
      <c r="A3648" s="9" t="str">
        <f>IFERROR(__xludf.DUMMYFUNCTION("""COMPUTED_VALUE"""),"Batch 236")</f>
        <v>Batch 236</v>
      </c>
      <c r="B3648" s="9" t="str">
        <f>IFERROR(__xludf.DUMMYFUNCTION("""COMPUTED_VALUE"""),"RahulC36")</f>
        <v>RahulC36</v>
      </c>
      <c r="C3648" s="8">
        <f>IFERROR(__xludf.DUMMYFUNCTION("""COMPUTED_VALUE"""),0.0)</f>
        <v>0</v>
      </c>
      <c r="D3648" s="8"/>
    </row>
    <row r="3649">
      <c r="A3649" s="9" t="str">
        <f>IFERROR(__xludf.DUMMYFUNCTION("""COMPUTED_VALUE"""),"Batch 236")</f>
        <v>Batch 236</v>
      </c>
      <c r="B3649" s="9" t="str">
        <f>IFERROR(__xludf.DUMMYFUNCTION("""COMPUTED_VALUE"""),"AmanC36")</f>
        <v>AmanC36</v>
      </c>
      <c r="C3649" s="8">
        <f>IFERROR(__xludf.DUMMYFUNCTION("""COMPUTED_VALUE"""),0.0)</f>
        <v>0</v>
      </c>
      <c r="D3649" s="8"/>
    </row>
    <row r="3650">
      <c r="A3650" s="9" t="str">
        <f>IFERROR(__xludf.DUMMYFUNCTION("""COMPUTED_VALUE"""),"Batch 236")</f>
        <v>Batch 236</v>
      </c>
      <c r="B3650" s="9" t="str">
        <f>IFERROR(__xludf.DUMMYFUNCTION("""COMPUTED_VALUE"""),"AdityaC36")</f>
        <v>AdityaC36</v>
      </c>
      <c r="C3650" s="8">
        <f>IFERROR(__xludf.DUMMYFUNCTION("""COMPUTED_VALUE"""),0.0)</f>
        <v>0</v>
      </c>
      <c r="D3650" s="8"/>
    </row>
    <row r="3651">
      <c r="A3651" s="9" t="str">
        <f>IFERROR(__xludf.DUMMYFUNCTION("""COMPUTED_VALUE"""),"Batch 236")</f>
        <v>Batch 236</v>
      </c>
      <c r="B3651" s="9" t="str">
        <f>IFERROR(__xludf.DUMMYFUNCTION("""COMPUTED_VALUE"""),"SameerC36")</f>
        <v>SameerC36</v>
      </c>
      <c r="C3651" s="8">
        <f>IFERROR(__xludf.DUMMYFUNCTION("""COMPUTED_VALUE"""),0.0)</f>
        <v>0</v>
      </c>
      <c r="D3651" s="8"/>
    </row>
    <row r="3652">
      <c r="A3652" s="9" t="str">
        <f>IFERROR(__xludf.DUMMYFUNCTION("""COMPUTED_VALUE"""),"Batch 236")</f>
        <v>Batch 236</v>
      </c>
      <c r="B3652" s="9" t="str">
        <f>IFERROR(__xludf.DUMMYFUNCTION("""COMPUTED_VALUE"""),"V.AkshayC36")</f>
        <v>V.AkshayC36</v>
      </c>
      <c r="C3652" s="8">
        <f>IFERROR(__xludf.DUMMYFUNCTION("""COMPUTED_VALUE"""),0.0)</f>
        <v>0</v>
      </c>
      <c r="D3652" s="8"/>
    </row>
    <row r="3653">
      <c r="A3653" s="9" t="str">
        <f>IFERROR(__xludf.DUMMYFUNCTION("""COMPUTED_VALUE"""),"Batch 236")</f>
        <v>Batch 236</v>
      </c>
      <c r="B3653" s="9" t="str">
        <f>IFERROR(__xludf.DUMMYFUNCTION("""COMPUTED_VALUE"""),"AmanC36")</f>
        <v>AmanC36</v>
      </c>
      <c r="C3653" s="8">
        <f>IFERROR(__xludf.DUMMYFUNCTION("""COMPUTED_VALUE"""),0.0)</f>
        <v>0</v>
      </c>
      <c r="D3653" s="8"/>
    </row>
    <row r="3654">
      <c r="A3654" s="9" t="str">
        <f>IFERROR(__xludf.DUMMYFUNCTION("""COMPUTED_VALUE"""),"Batch 236")</f>
        <v>Batch 236</v>
      </c>
      <c r="B3654" s="9" t="str">
        <f>IFERROR(__xludf.DUMMYFUNCTION("""COMPUTED_VALUE"""),"VivekC36")</f>
        <v>VivekC36</v>
      </c>
      <c r="C3654" s="8">
        <f>IFERROR(__xludf.DUMMYFUNCTION("""COMPUTED_VALUE"""),0.0)</f>
        <v>0</v>
      </c>
      <c r="D3654" s="8"/>
    </row>
    <row r="3655">
      <c r="A3655" s="9" t="str">
        <f>IFERROR(__xludf.DUMMYFUNCTION("""COMPUTED_VALUE"""),"Batch 236")</f>
        <v>Batch 236</v>
      </c>
      <c r="B3655" s="9" t="str">
        <f>IFERROR(__xludf.DUMMYFUNCTION("""COMPUTED_VALUE"""),"AanyaC36")</f>
        <v>AanyaC36</v>
      </c>
      <c r="C3655" s="8">
        <f>IFERROR(__xludf.DUMMYFUNCTION("""COMPUTED_VALUE"""),1.0)</f>
        <v>1</v>
      </c>
      <c r="D3655" s="8"/>
    </row>
    <row r="3656">
      <c r="A3656" s="9" t="str">
        <f>IFERROR(__xludf.DUMMYFUNCTION("""COMPUTED_VALUE"""),"Batch 236")</f>
        <v>Batch 236</v>
      </c>
      <c r="B3656" s="9" t="str">
        <f>IFERROR(__xludf.DUMMYFUNCTION("""COMPUTED_VALUE"""),"BhumeeC36")</f>
        <v>BhumeeC36</v>
      </c>
      <c r="C3656" s="8">
        <f>IFERROR(__xludf.DUMMYFUNCTION("""COMPUTED_VALUE"""),0.0)</f>
        <v>0</v>
      </c>
      <c r="D3656" s="8"/>
    </row>
    <row r="3657">
      <c r="A3657" s="9" t="str">
        <f>IFERROR(__xludf.DUMMYFUNCTION("""COMPUTED_VALUE"""),"Batch 236")</f>
        <v>Batch 236</v>
      </c>
      <c r="B3657" s="9" t="str">
        <f>IFERROR(__xludf.DUMMYFUNCTION("""COMPUTED_VALUE"""),"sourabhC36")</f>
        <v>sourabhC36</v>
      </c>
      <c r="C3657" s="8">
        <f>IFERROR(__xludf.DUMMYFUNCTION("""COMPUTED_VALUE"""),1.0)</f>
        <v>1</v>
      </c>
      <c r="D3657" s="8"/>
    </row>
    <row r="3658">
      <c r="A3658" s="9" t="str">
        <f>IFERROR(__xludf.DUMMYFUNCTION("""COMPUTED_VALUE"""),"Batch 236")</f>
        <v>Batch 236</v>
      </c>
      <c r="B3658" s="9" t="str">
        <f>IFERROR(__xludf.DUMMYFUNCTION("""COMPUTED_VALUE"""),"NehaC36")</f>
        <v>NehaC36</v>
      </c>
      <c r="C3658" s="8">
        <f>IFERROR(__xludf.DUMMYFUNCTION("""COMPUTED_VALUE"""),0.0)</f>
        <v>0</v>
      </c>
      <c r="D3658" s="8"/>
    </row>
    <row r="3659">
      <c r="A3659" s="9" t="str">
        <f>IFERROR(__xludf.DUMMYFUNCTION("""COMPUTED_VALUE"""),"Batch 236")</f>
        <v>Batch 236</v>
      </c>
      <c r="B3659" s="9" t="str">
        <f>IFERROR(__xludf.DUMMYFUNCTION("""COMPUTED_VALUE"""),"MaithiliC36")</f>
        <v>MaithiliC36</v>
      </c>
      <c r="C3659" s="8">
        <f>IFERROR(__xludf.DUMMYFUNCTION("""COMPUTED_VALUE"""),0.0)</f>
        <v>0</v>
      </c>
      <c r="D3659" s="8"/>
    </row>
    <row r="3660">
      <c r="A3660" s="9" t="str">
        <f>IFERROR(__xludf.DUMMYFUNCTION("""COMPUTED_VALUE"""),"Batch 236")</f>
        <v>Batch 236</v>
      </c>
      <c r="B3660" s="9" t="str">
        <f>IFERROR(__xludf.DUMMYFUNCTION("""COMPUTED_VALUE"""),"RiddhiC36")</f>
        <v>RiddhiC36</v>
      </c>
      <c r="C3660" s="8">
        <f>IFERROR(__xludf.DUMMYFUNCTION("""COMPUTED_VALUE"""),0.0)</f>
        <v>0</v>
      </c>
      <c r="D3660" s="8"/>
    </row>
    <row r="3661">
      <c r="A3661" s="9"/>
      <c r="B3661" s="9"/>
      <c r="C3661" s="8">
        <f>IFERROR(__xludf.DUMMYFUNCTION("""COMPUTED_VALUE"""),0.0)</f>
        <v>0</v>
      </c>
      <c r="D3661" s="8"/>
    </row>
    <row r="3662">
      <c r="A3662" s="9" t="str">
        <f>IFERROR(__xludf.DUMMYFUNCTION("""COMPUTED_VALUE"""),"Batch 237")</f>
        <v>Batch 237</v>
      </c>
      <c r="B3662" s="9" t="str">
        <f>IFERROR(__xludf.DUMMYFUNCTION("""COMPUTED_VALUE"""),"SanjayC37")</f>
        <v>SanjayC37</v>
      </c>
      <c r="C3662" s="8">
        <f>IFERROR(__xludf.DUMMYFUNCTION("""COMPUTED_VALUE"""),0.0)</f>
        <v>0</v>
      </c>
      <c r="D3662" s="8"/>
    </row>
    <row r="3663">
      <c r="A3663" s="9" t="str">
        <f>IFERROR(__xludf.DUMMYFUNCTION("""COMPUTED_VALUE"""),"Batch 237")</f>
        <v>Batch 237</v>
      </c>
      <c r="B3663" s="9" t="str">
        <f>IFERROR(__xludf.DUMMYFUNCTION("""COMPUTED_VALUE"""),"NISCHAYC37")</f>
        <v>NISCHAYC37</v>
      </c>
      <c r="C3663" s="8">
        <f>IFERROR(__xludf.DUMMYFUNCTION("""COMPUTED_VALUE"""),0.0)</f>
        <v>0</v>
      </c>
      <c r="D3663" s="8"/>
    </row>
    <row r="3664">
      <c r="A3664" s="9" t="str">
        <f>IFERROR(__xludf.DUMMYFUNCTION("""COMPUTED_VALUE"""),"Batch 237")</f>
        <v>Batch 237</v>
      </c>
      <c r="B3664" s="9" t="str">
        <f>IFERROR(__xludf.DUMMYFUNCTION("""COMPUTED_VALUE"""),"SaherC37")</f>
        <v>SaherC37</v>
      </c>
      <c r="C3664" s="8">
        <f>IFERROR(__xludf.DUMMYFUNCTION("""COMPUTED_VALUE"""),0.0)</f>
        <v>0</v>
      </c>
      <c r="D3664" s="8"/>
    </row>
    <row r="3665">
      <c r="A3665" s="9" t="str">
        <f>IFERROR(__xludf.DUMMYFUNCTION("""COMPUTED_VALUE"""),"Batch 237")</f>
        <v>Batch 237</v>
      </c>
      <c r="B3665" s="9" t="str">
        <f>IFERROR(__xludf.DUMMYFUNCTION("""COMPUTED_VALUE"""),"RaviC37")</f>
        <v>RaviC37</v>
      </c>
      <c r="C3665" s="8">
        <f>IFERROR(__xludf.DUMMYFUNCTION("""COMPUTED_VALUE"""),0.0)</f>
        <v>0</v>
      </c>
      <c r="D3665" s="8"/>
    </row>
    <row r="3666">
      <c r="A3666" s="9" t="str">
        <f>IFERROR(__xludf.DUMMYFUNCTION("""COMPUTED_VALUE"""),"Batch 237")</f>
        <v>Batch 237</v>
      </c>
      <c r="B3666" s="9" t="str">
        <f>IFERROR(__xludf.DUMMYFUNCTION("""COMPUTED_VALUE"""),"aparajitaC37")</f>
        <v>aparajitaC37</v>
      </c>
      <c r="C3666" s="8">
        <f>IFERROR(__xludf.DUMMYFUNCTION("""COMPUTED_VALUE"""),3.0)</f>
        <v>3</v>
      </c>
      <c r="D3666" s="8">
        <f>IFERROR(__xludf.DUMMYFUNCTION("""COMPUTED_VALUE"""),5.0)</f>
        <v>5</v>
      </c>
    </row>
    <row r="3667">
      <c r="A3667" s="9" t="str">
        <f>IFERROR(__xludf.DUMMYFUNCTION("""COMPUTED_VALUE"""),"Batch 237")</f>
        <v>Batch 237</v>
      </c>
      <c r="B3667" s="9" t="str">
        <f>IFERROR(__xludf.DUMMYFUNCTION("""COMPUTED_VALUE"""),"TC37")</f>
        <v>TC37</v>
      </c>
      <c r="C3667" s="8">
        <f>IFERROR(__xludf.DUMMYFUNCTION("""COMPUTED_VALUE"""),0.0)</f>
        <v>0</v>
      </c>
      <c r="D3667" s="8"/>
    </row>
    <row r="3668">
      <c r="A3668" s="9" t="str">
        <f>IFERROR(__xludf.DUMMYFUNCTION("""COMPUTED_VALUE"""),"Batch 237")</f>
        <v>Batch 237</v>
      </c>
      <c r="B3668" s="9" t="str">
        <f>IFERROR(__xludf.DUMMYFUNCTION("""COMPUTED_VALUE"""),"RakhaC37")</f>
        <v>RakhaC37</v>
      </c>
      <c r="C3668" s="8">
        <f>IFERROR(__xludf.DUMMYFUNCTION("""COMPUTED_VALUE"""),0.0)</f>
        <v>0</v>
      </c>
      <c r="D3668" s="8"/>
    </row>
    <row r="3669">
      <c r="A3669" s="9" t="str">
        <f>IFERROR(__xludf.DUMMYFUNCTION("""COMPUTED_VALUE"""),"Batch 237")</f>
        <v>Batch 237</v>
      </c>
      <c r="B3669" s="9" t="str">
        <f>IFERROR(__xludf.DUMMYFUNCTION("""COMPUTED_VALUE"""),"MDC37")</f>
        <v>MDC37</v>
      </c>
      <c r="C3669" s="8">
        <f>IFERROR(__xludf.DUMMYFUNCTION("""COMPUTED_VALUE"""),0.0)</f>
        <v>0</v>
      </c>
      <c r="D3669" s="8"/>
    </row>
    <row r="3670">
      <c r="A3670" s="9" t="str">
        <f>IFERROR(__xludf.DUMMYFUNCTION("""COMPUTED_VALUE"""),"Batch 237")</f>
        <v>Batch 237</v>
      </c>
      <c r="B3670" s="9" t="str">
        <f>IFERROR(__xludf.DUMMYFUNCTION("""COMPUTED_VALUE"""),"NainaC37")</f>
        <v>NainaC37</v>
      </c>
      <c r="C3670" s="8">
        <f>IFERROR(__xludf.DUMMYFUNCTION("""COMPUTED_VALUE"""),0.0)</f>
        <v>0</v>
      </c>
      <c r="D3670" s="8"/>
    </row>
    <row r="3671">
      <c r="A3671" s="9" t="str">
        <f>IFERROR(__xludf.DUMMYFUNCTION("""COMPUTED_VALUE"""),"Batch 237")</f>
        <v>Batch 237</v>
      </c>
      <c r="B3671" s="9" t="str">
        <f>IFERROR(__xludf.DUMMYFUNCTION("""COMPUTED_VALUE"""),"DC37")</f>
        <v>DC37</v>
      </c>
      <c r="C3671" s="8">
        <f>IFERROR(__xludf.DUMMYFUNCTION("""COMPUTED_VALUE"""),0.0)</f>
        <v>0</v>
      </c>
      <c r="D3671" s="8"/>
    </row>
    <row r="3672">
      <c r="A3672" s="9" t="str">
        <f>IFERROR(__xludf.DUMMYFUNCTION("""COMPUTED_VALUE"""),"Batch 237")</f>
        <v>Batch 237</v>
      </c>
      <c r="B3672" s="9" t="str">
        <f>IFERROR(__xludf.DUMMYFUNCTION("""COMPUTED_VALUE"""),"RithikaC37")</f>
        <v>RithikaC37</v>
      </c>
      <c r="C3672" s="8">
        <f>IFERROR(__xludf.DUMMYFUNCTION("""COMPUTED_VALUE"""),0.0)</f>
        <v>0</v>
      </c>
      <c r="D3672" s="8"/>
    </row>
    <row r="3673">
      <c r="A3673" s="9" t="str">
        <f>IFERROR(__xludf.DUMMYFUNCTION("""COMPUTED_VALUE"""),"Batch 237")</f>
        <v>Batch 237</v>
      </c>
      <c r="B3673" s="9" t="str">
        <f>IFERROR(__xludf.DUMMYFUNCTION("""COMPUTED_VALUE"""),"OsmiC37")</f>
        <v>OsmiC37</v>
      </c>
      <c r="C3673" s="8">
        <f>IFERROR(__xludf.DUMMYFUNCTION("""COMPUTED_VALUE"""),0.0)</f>
        <v>0</v>
      </c>
      <c r="D3673" s="8"/>
    </row>
    <row r="3674">
      <c r="A3674" s="9" t="str">
        <f>IFERROR(__xludf.DUMMYFUNCTION("""COMPUTED_VALUE"""),"Batch 237")</f>
        <v>Batch 237</v>
      </c>
      <c r="B3674" s="9" t="str">
        <f>IFERROR(__xludf.DUMMYFUNCTION("""COMPUTED_VALUE"""),"PradeepC37")</f>
        <v>PradeepC37</v>
      </c>
      <c r="C3674" s="8">
        <f>IFERROR(__xludf.DUMMYFUNCTION("""COMPUTED_VALUE"""),0.0)</f>
        <v>0</v>
      </c>
      <c r="D3674" s="8">
        <f>IFERROR(__xludf.DUMMYFUNCTION("""COMPUTED_VALUE"""),3.0)</f>
        <v>3</v>
      </c>
    </row>
    <row r="3675">
      <c r="A3675" s="9" t="str">
        <f>IFERROR(__xludf.DUMMYFUNCTION("""COMPUTED_VALUE"""),"Batch 237")</f>
        <v>Batch 237</v>
      </c>
      <c r="B3675" s="9" t="str">
        <f>IFERROR(__xludf.DUMMYFUNCTION("""COMPUTED_VALUE"""),"NishitaC37")</f>
        <v>NishitaC37</v>
      </c>
      <c r="C3675" s="8">
        <f>IFERROR(__xludf.DUMMYFUNCTION("""COMPUTED_VALUE"""),0.0)</f>
        <v>0</v>
      </c>
      <c r="D3675" s="8"/>
    </row>
    <row r="3676">
      <c r="A3676" s="9" t="str">
        <f>IFERROR(__xludf.DUMMYFUNCTION("""COMPUTED_VALUE"""),"Batch 237")</f>
        <v>Batch 237</v>
      </c>
      <c r="B3676" s="9" t="str">
        <f>IFERROR(__xludf.DUMMYFUNCTION("""COMPUTED_VALUE"""),"NischayC37")</f>
        <v>NischayC37</v>
      </c>
      <c r="C3676" s="8">
        <f>IFERROR(__xludf.DUMMYFUNCTION("""COMPUTED_VALUE"""),0.0)</f>
        <v>0</v>
      </c>
      <c r="D3676" s="8"/>
    </row>
    <row r="3677">
      <c r="A3677" s="9" t="str">
        <f>IFERROR(__xludf.DUMMYFUNCTION("""COMPUTED_VALUE"""),"Batch 237")</f>
        <v>Batch 237</v>
      </c>
      <c r="B3677" s="9" t="str">
        <f>IFERROR(__xludf.DUMMYFUNCTION("""COMPUTED_VALUE"""),"PriyankaC37")</f>
        <v>PriyankaC37</v>
      </c>
      <c r="C3677" s="8">
        <f>IFERROR(__xludf.DUMMYFUNCTION("""COMPUTED_VALUE"""),0.0)</f>
        <v>0</v>
      </c>
      <c r="D3677" s="8"/>
    </row>
    <row r="3678">
      <c r="A3678" s="9" t="str">
        <f>IFERROR(__xludf.DUMMYFUNCTION("""COMPUTED_VALUE"""),"Batch 237")</f>
        <v>Batch 237</v>
      </c>
      <c r="B3678" s="9" t="str">
        <f>IFERROR(__xludf.DUMMYFUNCTION("""COMPUTED_VALUE"""),"ArchithaC37")</f>
        <v>ArchithaC37</v>
      </c>
      <c r="C3678" s="8">
        <f>IFERROR(__xludf.DUMMYFUNCTION("""COMPUTED_VALUE"""),0.0)</f>
        <v>0</v>
      </c>
      <c r="D3678" s="8"/>
    </row>
    <row r="3679">
      <c r="A3679" s="9" t="str">
        <f>IFERROR(__xludf.DUMMYFUNCTION("""COMPUTED_VALUE"""),"Batch 237")</f>
        <v>Batch 237</v>
      </c>
      <c r="B3679" s="9" t="str">
        <f>IFERROR(__xludf.DUMMYFUNCTION("""COMPUTED_VALUE"""),"KhushiC37")</f>
        <v>KhushiC37</v>
      </c>
      <c r="C3679" s="8">
        <f>IFERROR(__xludf.DUMMYFUNCTION("""COMPUTED_VALUE"""),0.0)</f>
        <v>0</v>
      </c>
      <c r="D3679" s="8"/>
    </row>
    <row r="3680">
      <c r="A3680" s="9" t="str">
        <f>IFERROR(__xludf.DUMMYFUNCTION("""COMPUTED_VALUE"""),"Batch 237")</f>
        <v>Batch 237</v>
      </c>
      <c r="B3680" s="9" t="str">
        <f>IFERROR(__xludf.DUMMYFUNCTION("""COMPUTED_VALUE"""),"MousumC37")</f>
        <v>MousumC37</v>
      </c>
      <c r="C3680" s="8">
        <f>IFERROR(__xludf.DUMMYFUNCTION("""COMPUTED_VALUE"""),0.0)</f>
        <v>0</v>
      </c>
      <c r="D3680" s="8"/>
    </row>
    <row r="3681">
      <c r="A3681" s="9" t="str">
        <f>IFERROR(__xludf.DUMMYFUNCTION("""COMPUTED_VALUE"""),"Batch 237")</f>
        <v>Batch 237</v>
      </c>
      <c r="B3681" s="9" t="str">
        <f>IFERROR(__xludf.DUMMYFUNCTION("""COMPUTED_VALUE"""),"JuveriyaC37")</f>
        <v>JuveriyaC37</v>
      </c>
      <c r="C3681" s="8">
        <f>IFERROR(__xludf.DUMMYFUNCTION("""COMPUTED_VALUE"""),2.0)</f>
        <v>2</v>
      </c>
      <c r="D3681" s="8"/>
    </row>
    <row r="3682">
      <c r="A3682" s="9" t="str">
        <f>IFERROR(__xludf.DUMMYFUNCTION("""COMPUTED_VALUE"""),"Batch 237")</f>
        <v>Batch 237</v>
      </c>
      <c r="B3682" s="9" t="str">
        <f>IFERROR(__xludf.DUMMYFUNCTION("""COMPUTED_VALUE"""),"AwariC37")</f>
        <v>AwariC37</v>
      </c>
      <c r="C3682" s="8">
        <f>IFERROR(__xludf.DUMMYFUNCTION("""COMPUTED_VALUE"""),2.0)</f>
        <v>2</v>
      </c>
      <c r="D3682" s="8"/>
    </row>
    <row r="3683">
      <c r="A3683" s="9"/>
      <c r="B3683" s="9"/>
      <c r="C3683" s="8">
        <f>IFERROR(__xludf.DUMMYFUNCTION("""COMPUTED_VALUE"""),0.0)</f>
        <v>0</v>
      </c>
      <c r="D3683" s="8"/>
    </row>
    <row r="3684">
      <c r="A3684" s="9" t="str">
        <f>IFERROR(__xludf.DUMMYFUNCTION("""COMPUTED_VALUE"""),"Batch 238")</f>
        <v>Batch 238</v>
      </c>
      <c r="B3684" s="9" t="str">
        <f>IFERROR(__xludf.DUMMYFUNCTION("""COMPUTED_VALUE"""),"VidishaC38")</f>
        <v>VidishaC38</v>
      </c>
      <c r="C3684" s="8">
        <f>IFERROR(__xludf.DUMMYFUNCTION("""COMPUTED_VALUE"""),0.0)</f>
        <v>0</v>
      </c>
      <c r="D3684" s="8"/>
    </row>
    <row r="3685">
      <c r="A3685" s="9" t="str">
        <f>IFERROR(__xludf.DUMMYFUNCTION("""COMPUTED_VALUE"""),"Batch 238")</f>
        <v>Batch 238</v>
      </c>
      <c r="B3685" s="9" t="str">
        <f>IFERROR(__xludf.DUMMYFUNCTION("""COMPUTED_VALUE"""),"PushkarC38")</f>
        <v>PushkarC38</v>
      </c>
      <c r="C3685" s="8">
        <f>IFERROR(__xludf.DUMMYFUNCTION("""COMPUTED_VALUE"""),0.0)</f>
        <v>0</v>
      </c>
      <c r="D3685" s="8"/>
    </row>
    <row r="3686">
      <c r="A3686" s="9" t="str">
        <f>IFERROR(__xludf.DUMMYFUNCTION("""COMPUTED_VALUE"""),"Batch 238")</f>
        <v>Batch 238</v>
      </c>
      <c r="B3686" s="9" t="str">
        <f>IFERROR(__xludf.DUMMYFUNCTION("""COMPUTED_VALUE"""),"RamyaC38")</f>
        <v>RamyaC38</v>
      </c>
      <c r="C3686" s="8">
        <f>IFERROR(__xludf.DUMMYFUNCTION("""COMPUTED_VALUE"""),0.0)</f>
        <v>0</v>
      </c>
      <c r="D3686" s="8"/>
    </row>
    <row r="3687">
      <c r="A3687" s="9" t="str">
        <f>IFERROR(__xludf.DUMMYFUNCTION("""COMPUTED_VALUE"""),"Batch 238")</f>
        <v>Batch 238</v>
      </c>
      <c r="B3687" s="9" t="str">
        <f>IFERROR(__xludf.DUMMYFUNCTION("""COMPUTED_VALUE"""),"SatyaC38")</f>
        <v>SatyaC38</v>
      </c>
      <c r="C3687" s="8">
        <f>IFERROR(__xludf.DUMMYFUNCTION("""COMPUTED_VALUE"""),0.0)</f>
        <v>0</v>
      </c>
      <c r="D3687" s="8"/>
    </row>
    <row r="3688">
      <c r="A3688" s="9" t="str">
        <f>IFERROR(__xludf.DUMMYFUNCTION("""COMPUTED_VALUE"""),"Batch 238")</f>
        <v>Batch 238</v>
      </c>
      <c r="B3688" s="9" t="str">
        <f>IFERROR(__xludf.DUMMYFUNCTION("""COMPUTED_VALUE"""),"MohitC38")</f>
        <v>MohitC38</v>
      </c>
      <c r="C3688" s="8">
        <f>IFERROR(__xludf.DUMMYFUNCTION("""COMPUTED_VALUE"""),0.0)</f>
        <v>0</v>
      </c>
      <c r="D3688" s="8"/>
    </row>
    <row r="3689">
      <c r="A3689" s="9" t="str">
        <f>IFERROR(__xludf.DUMMYFUNCTION("""COMPUTED_VALUE"""),"Batch 238")</f>
        <v>Batch 238</v>
      </c>
      <c r="B3689" s="9" t="str">
        <f>IFERROR(__xludf.DUMMYFUNCTION("""COMPUTED_VALUE"""),"BhumiC38")</f>
        <v>BhumiC38</v>
      </c>
      <c r="C3689" s="8">
        <f>IFERROR(__xludf.DUMMYFUNCTION("""COMPUTED_VALUE"""),0.0)</f>
        <v>0</v>
      </c>
      <c r="D3689" s="8"/>
    </row>
    <row r="3690">
      <c r="A3690" s="9" t="str">
        <f>IFERROR(__xludf.DUMMYFUNCTION("""COMPUTED_VALUE"""),"Batch 238")</f>
        <v>Batch 238</v>
      </c>
      <c r="B3690" s="9" t="str">
        <f>IFERROR(__xludf.DUMMYFUNCTION("""COMPUTED_VALUE"""),"PalakC38")</f>
        <v>PalakC38</v>
      </c>
      <c r="C3690" s="8">
        <f>IFERROR(__xludf.DUMMYFUNCTION("""COMPUTED_VALUE"""),0.0)</f>
        <v>0</v>
      </c>
      <c r="D3690" s="8"/>
    </row>
    <row r="3691">
      <c r="A3691" s="9" t="str">
        <f>IFERROR(__xludf.DUMMYFUNCTION("""COMPUTED_VALUE"""),"Batch 238")</f>
        <v>Batch 238</v>
      </c>
      <c r="B3691" s="9" t="str">
        <f>IFERROR(__xludf.DUMMYFUNCTION("""COMPUTED_VALUE"""),"RituC38")</f>
        <v>RituC38</v>
      </c>
      <c r="C3691" s="8">
        <f>IFERROR(__xludf.DUMMYFUNCTION("""COMPUTED_VALUE"""),0.0)</f>
        <v>0</v>
      </c>
      <c r="D3691" s="8"/>
    </row>
    <row r="3692">
      <c r="A3692" s="9" t="str">
        <f>IFERROR(__xludf.DUMMYFUNCTION("""COMPUTED_VALUE"""),"Batch 238")</f>
        <v>Batch 238</v>
      </c>
      <c r="B3692" s="9" t="str">
        <f>IFERROR(__xludf.DUMMYFUNCTION("""COMPUTED_VALUE"""),"SatakshiC38")</f>
        <v>SatakshiC38</v>
      </c>
      <c r="C3692" s="8">
        <f>IFERROR(__xludf.DUMMYFUNCTION("""COMPUTED_VALUE"""),0.0)</f>
        <v>0</v>
      </c>
      <c r="D3692" s="8"/>
    </row>
    <row r="3693">
      <c r="A3693" s="9" t="str">
        <f>IFERROR(__xludf.DUMMYFUNCTION("""COMPUTED_VALUE"""),"Batch 238")</f>
        <v>Batch 238</v>
      </c>
      <c r="B3693" s="9" t="str">
        <f>IFERROR(__xludf.DUMMYFUNCTION("""COMPUTED_VALUE"""),"DivyanshiC38")</f>
        <v>DivyanshiC38</v>
      </c>
      <c r="C3693" s="8">
        <f>IFERROR(__xludf.DUMMYFUNCTION("""COMPUTED_VALUE"""),0.0)</f>
        <v>0</v>
      </c>
      <c r="D3693" s="8"/>
    </row>
    <row r="3694">
      <c r="A3694" s="9" t="str">
        <f>IFERROR(__xludf.DUMMYFUNCTION("""COMPUTED_VALUE"""),"Batch 238")</f>
        <v>Batch 238</v>
      </c>
      <c r="B3694" s="9" t="str">
        <f>IFERROR(__xludf.DUMMYFUNCTION("""COMPUTED_VALUE"""),"DARSHANC38")</f>
        <v>DARSHANC38</v>
      </c>
      <c r="C3694" s="8">
        <f>IFERROR(__xludf.DUMMYFUNCTION("""COMPUTED_VALUE"""),0.0)</f>
        <v>0</v>
      </c>
      <c r="D3694" s="8"/>
    </row>
    <row r="3695">
      <c r="A3695" s="9" t="str">
        <f>IFERROR(__xludf.DUMMYFUNCTION("""COMPUTED_VALUE"""),"Batch 238")</f>
        <v>Batch 238</v>
      </c>
      <c r="B3695" s="9" t="str">
        <f>IFERROR(__xludf.DUMMYFUNCTION("""COMPUTED_VALUE"""),"DEEPIKAC38")</f>
        <v>DEEPIKAC38</v>
      </c>
      <c r="C3695" s="8">
        <f>IFERROR(__xludf.DUMMYFUNCTION("""COMPUTED_VALUE"""),0.0)</f>
        <v>0</v>
      </c>
      <c r="D3695" s="8"/>
    </row>
    <row r="3696">
      <c r="A3696" s="9" t="str">
        <f>IFERROR(__xludf.DUMMYFUNCTION("""COMPUTED_VALUE"""),"Batch 238")</f>
        <v>Batch 238</v>
      </c>
      <c r="B3696" s="9" t="str">
        <f>IFERROR(__xludf.DUMMYFUNCTION("""COMPUTED_VALUE"""),"HarshC38")</f>
        <v>HarshC38</v>
      </c>
      <c r="C3696" s="8">
        <f>IFERROR(__xludf.DUMMYFUNCTION("""COMPUTED_VALUE"""),0.0)</f>
        <v>0</v>
      </c>
      <c r="D3696" s="8"/>
    </row>
    <row r="3697">
      <c r="A3697" s="9" t="str">
        <f>IFERROR(__xludf.DUMMYFUNCTION("""COMPUTED_VALUE"""),"Batch 238")</f>
        <v>Batch 238</v>
      </c>
      <c r="B3697" s="9" t="str">
        <f>IFERROR(__xludf.DUMMYFUNCTION("""COMPUTED_VALUE"""),"SejalC38")</f>
        <v>SejalC38</v>
      </c>
      <c r="C3697" s="8">
        <f>IFERROR(__xludf.DUMMYFUNCTION("""COMPUTED_VALUE"""),0.0)</f>
        <v>0</v>
      </c>
      <c r="D3697" s="8"/>
    </row>
    <row r="3698">
      <c r="A3698" s="9" t="str">
        <f>IFERROR(__xludf.DUMMYFUNCTION("""COMPUTED_VALUE"""),"Batch 238")</f>
        <v>Batch 238</v>
      </c>
      <c r="B3698" s="9" t="str">
        <f>IFERROR(__xludf.DUMMYFUNCTION("""COMPUTED_VALUE"""),"PrajjwalC38")</f>
        <v>PrajjwalC38</v>
      </c>
      <c r="C3698" s="8">
        <f>IFERROR(__xludf.DUMMYFUNCTION("""COMPUTED_VALUE"""),0.0)</f>
        <v>0</v>
      </c>
      <c r="D3698" s="8"/>
    </row>
    <row r="3699">
      <c r="A3699" s="9" t="str">
        <f>IFERROR(__xludf.DUMMYFUNCTION("""COMPUTED_VALUE"""),"Batch 238")</f>
        <v>Batch 238</v>
      </c>
      <c r="B3699" s="9" t="str">
        <f>IFERROR(__xludf.DUMMYFUNCTION("""COMPUTED_VALUE"""),"AmishaC38")</f>
        <v>AmishaC38</v>
      </c>
      <c r="C3699" s="8">
        <f>IFERROR(__xludf.DUMMYFUNCTION("""COMPUTED_VALUE"""),0.0)</f>
        <v>0</v>
      </c>
      <c r="D3699" s="8"/>
    </row>
    <row r="3700">
      <c r="A3700" s="9"/>
      <c r="B3700" s="9"/>
      <c r="C3700" s="8">
        <f>IFERROR(__xludf.DUMMYFUNCTION("""COMPUTED_VALUE"""),0.0)</f>
        <v>0</v>
      </c>
      <c r="D3700" s="8"/>
    </row>
    <row r="3701">
      <c r="A3701" s="9" t="str">
        <f>IFERROR(__xludf.DUMMYFUNCTION("""COMPUTED_VALUE"""),"Batch 239")</f>
        <v>Batch 239</v>
      </c>
      <c r="B3701" s="9" t="str">
        <f>IFERROR(__xludf.DUMMYFUNCTION("""COMPUTED_VALUE"""),"VanshC39")</f>
        <v>VanshC39</v>
      </c>
      <c r="C3701" s="8">
        <f>IFERROR(__xludf.DUMMYFUNCTION("""COMPUTED_VALUE"""),0.0)</f>
        <v>0</v>
      </c>
      <c r="D3701" s="8"/>
    </row>
    <row r="3702">
      <c r="A3702" s="9" t="str">
        <f>IFERROR(__xludf.DUMMYFUNCTION("""COMPUTED_VALUE"""),"Batch 239")</f>
        <v>Batch 239</v>
      </c>
      <c r="B3702" s="9" t="str">
        <f>IFERROR(__xludf.DUMMYFUNCTION("""COMPUTED_VALUE"""),"RishabhC39")</f>
        <v>RishabhC39</v>
      </c>
      <c r="C3702" s="8">
        <f>IFERROR(__xludf.DUMMYFUNCTION("""COMPUTED_VALUE"""),0.0)</f>
        <v>0</v>
      </c>
      <c r="D3702" s="8"/>
    </row>
    <row r="3703">
      <c r="A3703" s="9" t="str">
        <f>IFERROR(__xludf.DUMMYFUNCTION("""COMPUTED_VALUE"""),"Batch 239")</f>
        <v>Batch 239</v>
      </c>
      <c r="B3703" s="9" t="str">
        <f>IFERROR(__xludf.DUMMYFUNCTION("""COMPUTED_VALUE"""),"AbhinayC39")</f>
        <v>AbhinayC39</v>
      </c>
      <c r="C3703" s="8">
        <f>IFERROR(__xludf.DUMMYFUNCTION("""COMPUTED_VALUE"""),0.0)</f>
        <v>0</v>
      </c>
      <c r="D3703" s="8"/>
    </row>
    <row r="3704">
      <c r="A3704" s="9" t="str">
        <f>IFERROR(__xludf.DUMMYFUNCTION("""COMPUTED_VALUE"""),"Batch 239")</f>
        <v>Batch 239</v>
      </c>
      <c r="B3704" s="9" t="str">
        <f>IFERROR(__xludf.DUMMYFUNCTION("""COMPUTED_VALUE"""),"VaishnaviC39")</f>
        <v>VaishnaviC39</v>
      </c>
      <c r="C3704" s="8">
        <f>IFERROR(__xludf.DUMMYFUNCTION("""COMPUTED_VALUE"""),0.0)</f>
        <v>0</v>
      </c>
      <c r="D3704" s="8"/>
    </row>
    <row r="3705">
      <c r="A3705" s="9" t="str">
        <f>IFERROR(__xludf.DUMMYFUNCTION("""COMPUTED_VALUE"""),"Batch 239")</f>
        <v>Batch 239</v>
      </c>
      <c r="B3705" s="9" t="str">
        <f>IFERROR(__xludf.DUMMYFUNCTION("""COMPUTED_VALUE"""),"payalC39")</f>
        <v>payalC39</v>
      </c>
      <c r="C3705" s="8">
        <f>IFERROR(__xludf.DUMMYFUNCTION("""COMPUTED_VALUE"""),0.0)</f>
        <v>0</v>
      </c>
      <c r="D3705" s="8"/>
    </row>
    <row r="3706">
      <c r="A3706" s="9" t="str">
        <f>IFERROR(__xludf.DUMMYFUNCTION("""COMPUTED_VALUE"""),"Batch 239")</f>
        <v>Batch 239</v>
      </c>
      <c r="B3706" s="9" t="str">
        <f>IFERROR(__xludf.DUMMYFUNCTION("""COMPUTED_VALUE"""),"SumeetC39")</f>
        <v>SumeetC39</v>
      </c>
      <c r="C3706" s="8">
        <f>IFERROR(__xludf.DUMMYFUNCTION("""COMPUTED_VALUE"""),0.0)</f>
        <v>0</v>
      </c>
      <c r="D3706" s="8"/>
    </row>
    <row r="3707">
      <c r="A3707" s="9" t="str">
        <f>IFERROR(__xludf.DUMMYFUNCTION("""COMPUTED_VALUE"""),"Batch 239")</f>
        <v>Batch 239</v>
      </c>
      <c r="B3707" s="9" t="str">
        <f>IFERROR(__xludf.DUMMYFUNCTION("""COMPUTED_VALUE"""),"AryanC39")</f>
        <v>AryanC39</v>
      </c>
      <c r="C3707" s="8">
        <f>IFERROR(__xludf.DUMMYFUNCTION("""COMPUTED_VALUE"""),0.0)</f>
        <v>0</v>
      </c>
      <c r="D3707" s="8"/>
    </row>
    <row r="3708">
      <c r="A3708" s="9" t="str">
        <f>IFERROR(__xludf.DUMMYFUNCTION("""COMPUTED_VALUE"""),"Batch 239")</f>
        <v>Batch 239</v>
      </c>
      <c r="B3708" s="9" t="str">
        <f>IFERROR(__xludf.DUMMYFUNCTION("""COMPUTED_VALUE"""),"HarshitaC39")</f>
        <v>HarshitaC39</v>
      </c>
      <c r="C3708" s="8">
        <f>IFERROR(__xludf.DUMMYFUNCTION("""COMPUTED_VALUE"""),0.0)</f>
        <v>0</v>
      </c>
      <c r="D3708" s="8"/>
    </row>
    <row r="3709">
      <c r="A3709" s="9" t="str">
        <f>IFERROR(__xludf.DUMMYFUNCTION("""COMPUTED_VALUE"""),"Batch 239")</f>
        <v>Batch 239</v>
      </c>
      <c r="B3709" s="9" t="str">
        <f>IFERROR(__xludf.DUMMYFUNCTION("""COMPUTED_VALUE"""),"RheaC39")</f>
        <v>RheaC39</v>
      </c>
      <c r="C3709" s="8">
        <f>IFERROR(__xludf.DUMMYFUNCTION("""COMPUTED_VALUE"""),0.0)</f>
        <v>0</v>
      </c>
      <c r="D3709" s="8"/>
    </row>
    <row r="3710">
      <c r="A3710" s="9" t="str">
        <f>IFERROR(__xludf.DUMMYFUNCTION("""COMPUTED_VALUE"""),"Batch 239")</f>
        <v>Batch 239</v>
      </c>
      <c r="B3710" s="9" t="str">
        <f>IFERROR(__xludf.DUMMYFUNCTION("""COMPUTED_VALUE"""),"KUMPATIC39")</f>
        <v>KUMPATIC39</v>
      </c>
      <c r="C3710" s="8">
        <f>IFERROR(__xludf.DUMMYFUNCTION("""COMPUTED_VALUE"""),0.0)</f>
        <v>0</v>
      </c>
      <c r="D3710" s="8"/>
    </row>
    <row r="3711">
      <c r="A3711" s="9" t="str">
        <f>IFERROR(__xludf.DUMMYFUNCTION("""COMPUTED_VALUE"""),"Batch 239")</f>
        <v>Batch 239</v>
      </c>
      <c r="B3711" s="9" t="str">
        <f>IFERROR(__xludf.DUMMYFUNCTION("""COMPUTED_VALUE"""),"VaaniC39")</f>
        <v>VaaniC39</v>
      </c>
      <c r="C3711" s="8">
        <f>IFERROR(__xludf.DUMMYFUNCTION("""COMPUTED_VALUE"""),0.0)</f>
        <v>0</v>
      </c>
      <c r="D3711" s="8"/>
    </row>
    <row r="3712">
      <c r="A3712" s="9" t="str">
        <f>IFERROR(__xludf.DUMMYFUNCTION("""COMPUTED_VALUE"""),"Batch 239")</f>
        <v>Batch 239</v>
      </c>
      <c r="B3712" s="9" t="str">
        <f>IFERROR(__xludf.DUMMYFUNCTION("""COMPUTED_VALUE"""),"AmbujC39")</f>
        <v>AmbujC39</v>
      </c>
      <c r="C3712" s="8">
        <f>IFERROR(__xludf.DUMMYFUNCTION("""COMPUTED_VALUE"""),0.0)</f>
        <v>0</v>
      </c>
      <c r="D3712" s="8"/>
    </row>
    <row r="3713">
      <c r="A3713" s="9" t="str">
        <f>IFERROR(__xludf.DUMMYFUNCTION("""COMPUTED_VALUE"""),"Batch 239")</f>
        <v>Batch 239</v>
      </c>
      <c r="B3713" s="9" t="str">
        <f>IFERROR(__xludf.DUMMYFUNCTION("""COMPUTED_VALUE"""),"RitikC39")</f>
        <v>RitikC39</v>
      </c>
      <c r="C3713" s="8">
        <f>IFERROR(__xludf.DUMMYFUNCTION("""COMPUTED_VALUE"""),0.0)</f>
        <v>0</v>
      </c>
      <c r="D3713" s="8"/>
    </row>
    <row r="3714">
      <c r="A3714" s="9" t="str">
        <f>IFERROR(__xludf.DUMMYFUNCTION("""COMPUTED_VALUE"""),"Batch 239")</f>
        <v>Batch 239</v>
      </c>
      <c r="B3714" s="9" t="str">
        <f>IFERROR(__xludf.DUMMYFUNCTION("""COMPUTED_VALUE"""),"RamanC39")</f>
        <v>RamanC39</v>
      </c>
      <c r="C3714" s="8">
        <f>IFERROR(__xludf.DUMMYFUNCTION("""COMPUTED_VALUE"""),0.0)</f>
        <v>0</v>
      </c>
      <c r="D3714" s="8"/>
    </row>
    <row r="3715">
      <c r="A3715" s="9" t="str">
        <f>IFERROR(__xludf.DUMMYFUNCTION("""COMPUTED_VALUE"""),"Batch 239")</f>
        <v>Batch 239</v>
      </c>
      <c r="B3715" s="9" t="str">
        <f>IFERROR(__xludf.DUMMYFUNCTION("""COMPUTED_VALUE"""),"RiyaC39")</f>
        <v>RiyaC39</v>
      </c>
      <c r="C3715" s="8">
        <f>IFERROR(__xludf.DUMMYFUNCTION("""COMPUTED_VALUE"""),0.0)</f>
        <v>0</v>
      </c>
      <c r="D3715" s="8"/>
    </row>
    <row r="3716">
      <c r="A3716" s="9" t="str">
        <f>IFERROR(__xludf.DUMMYFUNCTION("""COMPUTED_VALUE"""),"Batch 239")</f>
        <v>Batch 239</v>
      </c>
      <c r="B3716" s="9" t="str">
        <f>IFERROR(__xludf.DUMMYFUNCTION("""COMPUTED_VALUE"""),"RadhikaC39")</f>
        <v>RadhikaC39</v>
      </c>
      <c r="C3716" s="8">
        <f>IFERROR(__xludf.DUMMYFUNCTION("""COMPUTED_VALUE"""),0.0)</f>
        <v>0</v>
      </c>
      <c r="D3716" s="8"/>
    </row>
    <row r="3717">
      <c r="A3717" s="9" t="str">
        <f>IFERROR(__xludf.DUMMYFUNCTION("""COMPUTED_VALUE"""),"Batch 239")</f>
        <v>Batch 239</v>
      </c>
      <c r="B3717" s="9" t="str">
        <f>IFERROR(__xludf.DUMMYFUNCTION("""COMPUTED_VALUE"""),"VaishnavC39")</f>
        <v>VaishnavC39</v>
      </c>
      <c r="C3717" s="8">
        <f>IFERROR(__xludf.DUMMYFUNCTION("""COMPUTED_VALUE"""),0.0)</f>
        <v>0</v>
      </c>
      <c r="D3717" s="8"/>
    </row>
    <row r="3718">
      <c r="A3718" s="9" t="str">
        <f>IFERROR(__xludf.DUMMYFUNCTION("""COMPUTED_VALUE"""),"Batch 239")</f>
        <v>Batch 239</v>
      </c>
      <c r="B3718" s="9" t="str">
        <f>IFERROR(__xludf.DUMMYFUNCTION("""COMPUTED_VALUE"""),"KhushiC39")</f>
        <v>KhushiC39</v>
      </c>
      <c r="C3718" s="8">
        <f>IFERROR(__xludf.DUMMYFUNCTION("""COMPUTED_VALUE"""),0.0)</f>
        <v>0</v>
      </c>
      <c r="D3718" s="8"/>
    </row>
    <row r="3719">
      <c r="A3719" s="9" t="str">
        <f>IFERROR(__xludf.DUMMYFUNCTION("""COMPUTED_VALUE"""),"Batch 239")</f>
        <v>Batch 239</v>
      </c>
      <c r="B3719" s="9" t="str">
        <f>IFERROR(__xludf.DUMMYFUNCTION("""COMPUTED_VALUE"""),"AnujC39")</f>
        <v>AnujC39</v>
      </c>
      <c r="C3719" s="8">
        <f>IFERROR(__xludf.DUMMYFUNCTION("""COMPUTED_VALUE"""),0.0)</f>
        <v>0</v>
      </c>
      <c r="D3719" s="8"/>
    </row>
    <row r="3720">
      <c r="A3720" s="9" t="str">
        <f>IFERROR(__xludf.DUMMYFUNCTION("""COMPUTED_VALUE"""),"Batch 239")</f>
        <v>Batch 239</v>
      </c>
      <c r="B3720" s="9" t="str">
        <f>IFERROR(__xludf.DUMMYFUNCTION("""COMPUTED_VALUE"""),"AvadhC39")</f>
        <v>AvadhC39</v>
      </c>
      <c r="C3720" s="8">
        <f>IFERROR(__xludf.DUMMYFUNCTION("""COMPUTED_VALUE"""),0.0)</f>
        <v>0</v>
      </c>
      <c r="D3720" s="8"/>
    </row>
    <row r="3721">
      <c r="A3721" s="9" t="str">
        <f>IFERROR(__xludf.DUMMYFUNCTION("""COMPUTED_VALUE"""),"Batch 239")</f>
        <v>Batch 239</v>
      </c>
      <c r="B3721" s="9" t="str">
        <f>IFERROR(__xludf.DUMMYFUNCTION("""COMPUTED_VALUE"""),"AayushiC39")</f>
        <v>AayushiC39</v>
      </c>
      <c r="C3721" s="8">
        <f>IFERROR(__xludf.DUMMYFUNCTION("""COMPUTED_VALUE"""),0.0)</f>
        <v>0</v>
      </c>
      <c r="D3721" s="8"/>
    </row>
    <row r="3722">
      <c r="A3722" s="9" t="str">
        <f>IFERROR(__xludf.DUMMYFUNCTION("""COMPUTED_VALUE"""),"Batch 239")</f>
        <v>Batch 239</v>
      </c>
      <c r="B3722" s="9" t="str">
        <f>IFERROR(__xludf.DUMMYFUNCTION("""COMPUTED_VALUE"""),"NdianaC39")</f>
        <v>NdianaC39</v>
      </c>
      <c r="C3722" s="8">
        <f>IFERROR(__xludf.DUMMYFUNCTION("""COMPUTED_VALUE"""),0.0)</f>
        <v>0</v>
      </c>
      <c r="D3722" s="8"/>
    </row>
    <row r="3723">
      <c r="A3723" s="9"/>
      <c r="B3723" s="9"/>
      <c r="C3723" s="8">
        <f>IFERROR(__xludf.DUMMYFUNCTION("""COMPUTED_VALUE"""),0.0)</f>
        <v>0</v>
      </c>
      <c r="D3723" s="8"/>
    </row>
    <row r="3724">
      <c r="A3724" s="9" t="str">
        <f>IFERROR(__xludf.DUMMYFUNCTION("""COMPUTED_VALUE"""),"Batch 240")</f>
        <v>Batch 240</v>
      </c>
      <c r="B3724" s="9" t="str">
        <f>IFERROR(__xludf.DUMMYFUNCTION("""COMPUTED_VALUE"""),"PragatiC40")</f>
        <v>PragatiC40</v>
      </c>
      <c r="C3724" s="8">
        <f>IFERROR(__xludf.DUMMYFUNCTION("""COMPUTED_VALUE"""),0.0)</f>
        <v>0</v>
      </c>
      <c r="D3724" s="8"/>
    </row>
    <row r="3725">
      <c r="A3725" s="9" t="str">
        <f>IFERROR(__xludf.DUMMYFUNCTION("""COMPUTED_VALUE"""),"Batch 240")</f>
        <v>Batch 240</v>
      </c>
      <c r="B3725" s="9" t="str">
        <f>IFERROR(__xludf.DUMMYFUNCTION("""COMPUTED_VALUE"""),"UtkarshC40")</f>
        <v>UtkarshC40</v>
      </c>
      <c r="C3725" s="8">
        <f>IFERROR(__xludf.DUMMYFUNCTION("""COMPUTED_VALUE"""),0.0)</f>
        <v>0</v>
      </c>
      <c r="D3725" s="8"/>
    </row>
    <row r="3726">
      <c r="A3726" s="9" t="str">
        <f>IFERROR(__xludf.DUMMYFUNCTION("""COMPUTED_VALUE"""),"Batch 240")</f>
        <v>Batch 240</v>
      </c>
      <c r="B3726" s="9" t="str">
        <f>IFERROR(__xludf.DUMMYFUNCTION("""COMPUTED_VALUE"""),"MohammadC40")</f>
        <v>MohammadC40</v>
      </c>
      <c r="C3726" s="8">
        <f>IFERROR(__xludf.DUMMYFUNCTION("""COMPUTED_VALUE"""),0.0)</f>
        <v>0</v>
      </c>
      <c r="D3726" s="8"/>
    </row>
    <row r="3727">
      <c r="A3727" s="9" t="str">
        <f>IFERROR(__xludf.DUMMYFUNCTION("""COMPUTED_VALUE"""),"Batch 240")</f>
        <v>Batch 240</v>
      </c>
      <c r="B3727" s="9" t="str">
        <f>IFERROR(__xludf.DUMMYFUNCTION("""COMPUTED_VALUE"""),"KhushiC40")</f>
        <v>KhushiC40</v>
      </c>
      <c r="C3727" s="8">
        <f>IFERROR(__xludf.DUMMYFUNCTION("""COMPUTED_VALUE"""),0.0)</f>
        <v>0</v>
      </c>
      <c r="D3727" s="8"/>
    </row>
    <row r="3728">
      <c r="A3728" s="9" t="str">
        <f>IFERROR(__xludf.DUMMYFUNCTION("""COMPUTED_VALUE"""),"Batch 240")</f>
        <v>Batch 240</v>
      </c>
      <c r="B3728" s="9" t="str">
        <f>IFERROR(__xludf.DUMMYFUNCTION("""COMPUTED_VALUE"""),"KeerthanaC40")</f>
        <v>KeerthanaC40</v>
      </c>
      <c r="C3728" s="8">
        <f>IFERROR(__xludf.DUMMYFUNCTION("""COMPUTED_VALUE"""),1.0)</f>
        <v>1</v>
      </c>
      <c r="D3728" s="8"/>
    </row>
    <row r="3729">
      <c r="A3729" s="9" t="str">
        <f>IFERROR(__xludf.DUMMYFUNCTION("""COMPUTED_VALUE"""),"Batch 240")</f>
        <v>Batch 240</v>
      </c>
      <c r="B3729" s="9" t="str">
        <f>IFERROR(__xludf.DUMMYFUNCTION("""COMPUTED_VALUE"""),"NerallaC40")</f>
        <v>NerallaC40</v>
      </c>
      <c r="C3729" s="8">
        <f>IFERROR(__xludf.DUMMYFUNCTION("""COMPUTED_VALUE"""),0.0)</f>
        <v>0</v>
      </c>
      <c r="D3729" s="8"/>
    </row>
    <row r="3730">
      <c r="A3730" s="9" t="str">
        <f>IFERROR(__xludf.DUMMYFUNCTION("""COMPUTED_VALUE"""),"Batch 240")</f>
        <v>Batch 240</v>
      </c>
      <c r="B3730" s="9" t="str">
        <f>IFERROR(__xludf.DUMMYFUNCTION("""COMPUTED_VALUE"""),"MohammedC40")</f>
        <v>MohammedC40</v>
      </c>
      <c r="C3730" s="8">
        <f>IFERROR(__xludf.DUMMYFUNCTION("""COMPUTED_VALUE"""),0.0)</f>
        <v>0</v>
      </c>
      <c r="D3730" s="8"/>
    </row>
    <row r="3731">
      <c r="A3731" s="9" t="str">
        <f>IFERROR(__xludf.DUMMYFUNCTION("""COMPUTED_VALUE"""),"Batch 240")</f>
        <v>Batch 240</v>
      </c>
      <c r="B3731" s="9" t="str">
        <f>IFERROR(__xludf.DUMMYFUNCTION("""COMPUTED_VALUE"""),"SonaliC40")</f>
        <v>SonaliC40</v>
      </c>
      <c r="C3731" s="8">
        <f>IFERROR(__xludf.DUMMYFUNCTION("""COMPUTED_VALUE"""),5.0)</f>
        <v>5</v>
      </c>
      <c r="D3731" s="8">
        <f>IFERROR(__xludf.DUMMYFUNCTION("""COMPUTED_VALUE"""),4.0)</f>
        <v>4</v>
      </c>
    </row>
    <row r="3732">
      <c r="A3732" s="9" t="str">
        <f>IFERROR(__xludf.DUMMYFUNCTION("""COMPUTED_VALUE"""),"Batch 240")</f>
        <v>Batch 240</v>
      </c>
      <c r="B3732" s="9" t="str">
        <f>IFERROR(__xludf.DUMMYFUNCTION("""COMPUTED_VALUE"""),"ShubhC40")</f>
        <v>ShubhC40</v>
      </c>
      <c r="C3732" s="8">
        <f>IFERROR(__xludf.DUMMYFUNCTION("""COMPUTED_VALUE"""),16.0)</f>
        <v>16</v>
      </c>
      <c r="D3732" s="8">
        <f>IFERROR(__xludf.DUMMYFUNCTION("""COMPUTED_VALUE"""),1.0)</f>
        <v>1</v>
      </c>
    </row>
    <row r="3733">
      <c r="A3733" s="9" t="str">
        <f>IFERROR(__xludf.DUMMYFUNCTION("""COMPUTED_VALUE"""),"Batch 240")</f>
        <v>Batch 240</v>
      </c>
      <c r="B3733" s="9" t="str">
        <f>IFERROR(__xludf.DUMMYFUNCTION("""COMPUTED_VALUE"""),"ShivaniC40")</f>
        <v>ShivaniC40</v>
      </c>
      <c r="C3733" s="8">
        <f>IFERROR(__xludf.DUMMYFUNCTION("""COMPUTED_VALUE"""),0.0)</f>
        <v>0</v>
      </c>
      <c r="D3733" s="8"/>
    </row>
    <row r="3734">
      <c r="A3734" s="9" t="str">
        <f>IFERROR(__xludf.DUMMYFUNCTION("""COMPUTED_VALUE"""),"Batch 240")</f>
        <v>Batch 240</v>
      </c>
      <c r="B3734" s="9" t="str">
        <f>IFERROR(__xludf.DUMMYFUNCTION("""COMPUTED_VALUE"""),"mohdC40")</f>
        <v>mohdC40</v>
      </c>
      <c r="C3734" s="8">
        <f>IFERROR(__xludf.DUMMYFUNCTION("""COMPUTED_VALUE"""),11.0)</f>
        <v>11</v>
      </c>
      <c r="D3734" s="8">
        <f>IFERROR(__xludf.DUMMYFUNCTION("""COMPUTED_VALUE"""),4.0)</f>
        <v>4</v>
      </c>
    </row>
    <row r="3735">
      <c r="A3735" s="9" t="str">
        <f>IFERROR(__xludf.DUMMYFUNCTION("""COMPUTED_VALUE"""),"Batch 240")</f>
        <v>Batch 240</v>
      </c>
      <c r="B3735" s="9" t="str">
        <f>IFERROR(__xludf.DUMMYFUNCTION("""COMPUTED_VALUE"""),"NakshathraC40")</f>
        <v>NakshathraC40</v>
      </c>
      <c r="C3735" s="8">
        <f>IFERROR(__xludf.DUMMYFUNCTION("""COMPUTED_VALUE"""),7.0)</f>
        <v>7</v>
      </c>
      <c r="D3735" s="8"/>
    </row>
    <row r="3736">
      <c r="A3736" s="9" t="str">
        <f>IFERROR(__xludf.DUMMYFUNCTION("""COMPUTED_VALUE"""),"Batch 240")</f>
        <v>Batch 240</v>
      </c>
      <c r="B3736" s="9" t="str">
        <f>IFERROR(__xludf.DUMMYFUNCTION("""COMPUTED_VALUE"""),"ParahvaC40")</f>
        <v>ParahvaC40</v>
      </c>
      <c r="C3736" s="8">
        <f>IFERROR(__xludf.DUMMYFUNCTION("""COMPUTED_VALUE"""),0.0)</f>
        <v>0</v>
      </c>
      <c r="D3736" s="8"/>
    </row>
    <row r="3737">
      <c r="A3737" s="9" t="str">
        <f>IFERROR(__xludf.DUMMYFUNCTION("""COMPUTED_VALUE"""),"Batch 240")</f>
        <v>Batch 240</v>
      </c>
      <c r="B3737" s="9" t="str">
        <f>IFERROR(__xludf.DUMMYFUNCTION("""COMPUTED_VALUE"""),"KhushiC40")</f>
        <v>KhushiC40</v>
      </c>
      <c r="C3737" s="8">
        <f>IFERROR(__xludf.DUMMYFUNCTION("""COMPUTED_VALUE"""),0.0)</f>
        <v>0</v>
      </c>
      <c r="D3737" s="8"/>
    </row>
    <row r="3738">
      <c r="A3738" s="9" t="str">
        <f>IFERROR(__xludf.DUMMYFUNCTION("""COMPUTED_VALUE"""),"Batch 240")</f>
        <v>Batch 240</v>
      </c>
      <c r="B3738" s="9" t="str">
        <f>IFERROR(__xludf.DUMMYFUNCTION("""COMPUTED_VALUE"""),"AbhishekhC40")</f>
        <v>AbhishekhC40</v>
      </c>
      <c r="C3738" s="8">
        <f>IFERROR(__xludf.DUMMYFUNCTION("""COMPUTED_VALUE"""),0.0)</f>
        <v>0</v>
      </c>
      <c r="D3738" s="8"/>
    </row>
    <row r="3739">
      <c r="A3739" s="9" t="str">
        <f>IFERROR(__xludf.DUMMYFUNCTION("""COMPUTED_VALUE"""),"Batch 240")</f>
        <v>Batch 240</v>
      </c>
      <c r="B3739" s="9" t="str">
        <f>IFERROR(__xludf.DUMMYFUNCTION("""COMPUTED_VALUE"""),"RaghavC40")</f>
        <v>RaghavC40</v>
      </c>
      <c r="C3739" s="8">
        <f>IFERROR(__xludf.DUMMYFUNCTION("""COMPUTED_VALUE"""),0.0)</f>
        <v>0</v>
      </c>
      <c r="D3739" s="8"/>
    </row>
    <row r="3740">
      <c r="A3740" s="9" t="str">
        <f>IFERROR(__xludf.DUMMYFUNCTION("""COMPUTED_VALUE"""),"Batch 240")</f>
        <v>Batch 240</v>
      </c>
      <c r="B3740" s="9" t="str">
        <f>IFERROR(__xludf.DUMMYFUNCTION("""COMPUTED_VALUE"""),"MahendraC40")</f>
        <v>MahendraC40</v>
      </c>
      <c r="C3740" s="8">
        <f>IFERROR(__xludf.DUMMYFUNCTION("""COMPUTED_VALUE"""),0.0)</f>
        <v>0</v>
      </c>
      <c r="D3740" s="8"/>
    </row>
    <row r="3741">
      <c r="A3741" s="9" t="str">
        <f>IFERROR(__xludf.DUMMYFUNCTION("""COMPUTED_VALUE"""),"Batch 240")</f>
        <v>Batch 240</v>
      </c>
      <c r="B3741" s="9" t="str">
        <f>IFERROR(__xludf.DUMMYFUNCTION("""COMPUTED_VALUE"""),"YashC40")</f>
        <v>YashC40</v>
      </c>
      <c r="C3741" s="8">
        <f>IFERROR(__xludf.DUMMYFUNCTION("""COMPUTED_VALUE"""),0.0)</f>
        <v>0</v>
      </c>
      <c r="D3741" s="8"/>
    </row>
    <row r="3742">
      <c r="A3742" s="9" t="str">
        <f>IFERROR(__xludf.DUMMYFUNCTION("""COMPUTED_VALUE"""),"Batch 240")</f>
        <v>Batch 240</v>
      </c>
      <c r="B3742" s="9" t="str">
        <f>IFERROR(__xludf.DUMMYFUNCTION("""COMPUTED_VALUE"""),"SANIYAC40")</f>
        <v>SANIYAC40</v>
      </c>
      <c r="C3742" s="8">
        <f>IFERROR(__xludf.DUMMYFUNCTION("""COMPUTED_VALUE"""),0.0)</f>
        <v>0</v>
      </c>
      <c r="D3742" s="8"/>
    </row>
    <row r="3743">
      <c r="A3743" s="9" t="str">
        <f>IFERROR(__xludf.DUMMYFUNCTION("""COMPUTED_VALUE"""),"Batch 240")</f>
        <v>Batch 240</v>
      </c>
      <c r="B3743" s="9" t="str">
        <f>IFERROR(__xludf.DUMMYFUNCTION("""COMPUTED_VALUE"""),"NikkyC40")</f>
        <v>NikkyC40</v>
      </c>
      <c r="C3743" s="8">
        <f>IFERROR(__xludf.DUMMYFUNCTION("""COMPUTED_VALUE"""),0.0)</f>
        <v>0</v>
      </c>
      <c r="D3743" s="8"/>
    </row>
    <row r="3744">
      <c r="A3744" s="9" t="str">
        <f>IFERROR(__xludf.DUMMYFUNCTION("""COMPUTED_VALUE"""),"Batch 240")</f>
        <v>Batch 240</v>
      </c>
      <c r="B3744" s="9" t="str">
        <f>IFERROR(__xludf.DUMMYFUNCTION("""COMPUTED_VALUE"""),"AshishC40")</f>
        <v>AshishC40</v>
      </c>
      <c r="C3744" s="8">
        <f>IFERROR(__xludf.DUMMYFUNCTION("""COMPUTED_VALUE"""),0.0)</f>
        <v>0</v>
      </c>
      <c r="D3744" s="8"/>
    </row>
    <row r="3745">
      <c r="A3745" s="9" t="str">
        <f>IFERROR(__xludf.DUMMYFUNCTION("""COMPUTED_VALUE"""),"Batch 240")</f>
        <v>Batch 240</v>
      </c>
      <c r="B3745" s="9" t="str">
        <f>IFERROR(__xludf.DUMMYFUNCTION("""COMPUTED_VALUE"""),"TanmayC40")</f>
        <v>TanmayC40</v>
      </c>
      <c r="C3745" s="8">
        <f>IFERROR(__xludf.DUMMYFUNCTION("""COMPUTED_VALUE"""),0.0)</f>
        <v>0</v>
      </c>
      <c r="D3745" s="8"/>
    </row>
    <row r="3746">
      <c r="A3746" s="9" t="str">
        <f>IFERROR(__xludf.DUMMYFUNCTION("""COMPUTED_VALUE"""),"Batch 240")</f>
        <v>Batch 240</v>
      </c>
      <c r="B3746" s="9" t="str">
        <f>IFERROR(__xludf.DUMMYFUNCTION("""COMPUTED_VALUE"""),"SuhanaC40")</f>
        <v>SuhanaC40</v>
      </c>
      <c r="C3746" s="8">
        <f>IFERROR(__xludf.DUMMYFUNCTION("""COMPUTED_VALUE"""),0.0)</f>
        <v>0</v>
      </c>
      <c r="D3746" s="8"/>
    </row>
    <row r="3747">
      <c r="A3747" s="9" t="str">
        <f>IFERROR(__xludf.DUMMYFUNCTION("""COMPUTED_VALUE"""),"Batch 240")</f>
        <v>Batch 240</v>
      </c>
      <c r="B3747" s="9" t="str">
        <f>IFERROR(__xludf.DUMMYFUNCTION("""COMPUTED_VALUE"""),"GaganC40")</f>
        <v>GaganC40</v>
      </c>
      <c r="C3747" s="8">
        <f>IFERROR(__xludf.DUMMYFUNCTION("""COMPUTED_VALUE"""),4.0)</f>
        <v>4</v>
      </c>
      <c r="D3747" s="8"/>
    </row>
    <row r="3748">
      <c r="A3748" s="9" t="str">
        <f>IFERROR(__xludf.DUMMYFUNCTION("""COMPUTED_VALUE"""),"Batch 240")</f>
        <v>Batch 240</v>
      </c>
      <c r="B3748" s="9" t="str">
        <f>IFERROR(__xludf.DUMMYFUNCTION("""COMPUTED_VALUE"""),"JigarC40")</f>
        <v>JigarC40</v>
      </c>
      <c r="C3748" s="8">
        <f>IFERROR(__xludf.DUMMYFUNCTION("""COMPUTED_VALUE"""),0.0)</f>
        <v>0</v>
      </c>
      <c r="D3748" s="8"/>
    </row>
    <row r="3749">
      <c r="A3749" s="9" t="str">
        <f>IFERROR(__xludf.DUMMYFUNCTION("""COMPUTED_VALUE"""),"Batch 240")</f>
        <v>Batch 240</v>
      </c>
      <c r="B3749" s="9" t="str">
        <f>IFERROR(__xludf.DUMMYFUNCTION("""COMPUTED_VALUE"""),"SriC40")</f>
        <v>SriC40</v>
      </c>
      <c r="C3749" s="8">
        <f>IFERROR(__xludf.DUMMYFUNCTION("""COMPUTED_VALUE"""),0.0)</f>
        <v>0</v>
      </c>
      <c r="D3749" s="8"/>
    </row>
    <row r="3750">
      <c r="A3750" s="9" t="str">
        <f>IFERROR(__xludf.DUMMYFUNCTION("""COMPUTED_VALUE"""),"Batch 240")</f>
        <v>Batch 240</v>
      </c>
      <c r="B3750" s="9" t="str">
        <f>IFERROR(__xludf.DUMMYFUNCTION("""COMPUTED_VALUE"""),"HarshikaC40")</f>
        <v>HarshikaC40</v>
      </c>
      <c r="C3750" s="8">
        <f>IFERROR(__xludf.DUMMYFUNCTION("""COMPUTED_VALUE"""),0.0)</f>
        <v>0</v>
      </c>
      <c r="D3750" s="8"/>
    </row>
    <row r="3751">
      <c r="A3751" s="9" t="str">
        <f>IFERROR(__xludf.DUMMYFUNCTION("""COMPUTED_VALUE"""),"Batch 240")</f>
        <v>Batch 240</v>
      </c>
      <c r="B3751" s="9" t="str">
        <f>IFERROR(__xludf.DUMMYFUNCTION("""COMPUTED_VALUE"""),"SamiranC40")</f>
        <v>SamiranC40</v>
      </c>
      <c r="C3751" s="8">
        <f>IFERROR(__xludf.DUMMYFUNCTION("""COMPUTED_VALUE"""),0.0)</f>
        <v>0</v>
      </c>
      <c r="D3751" s="8"/>
    </row>
    <row r="3752">
      <c r="A3752" s="9" t="str">
        <f>IFERROR(__xludf.DUMMYFUNCTION("""COMPUTED_VALUE"""),"Batch 240")</f>
        <v>Batch 240</v>
      </c>
      <c r="B3752" s="9" t="str">
        <f>IFERROR(__xludf.DUMMYFUNCTION("""COMPUTED_VALUE"""),"KomalC40")</f>
        <v>KomalC40</v>
      </c>
      <c r="C3752" s="8">
        <f>IFERROR(__xludf.DUMMYFUNCTION("""COMPUTED_VALUE"""),0.0)</f>
        <v>0</v>
      </c>
      <c r="D3752" s="8"/>
    </row>
    <row r="3753">
      <c r="A3753" s="9" t="str">
        <f>IFERROR(__xludf.DUMMYFUNCTION("""COMPUTED_VALUE"""),"Batch 240")</f>
        <v>Batch 240</v>
      </c>
      <c r="B3753" s="9" t="str">
        <f>IFERROR(__xludf.DUMMYFUNCTION("""COMPUTED_VALUE"""),"MdC40")</f>
        <v>MdC40</v>
      </c>
      <c r="C3753" s="8">
        <f>IFERROR(__xludf.DUMMYFUNCTION("""COMPUTED_VALUE"""),0.0)</f>
        <v>0</v>
      </c>
      <c r="D3753" s="8"/>
    </row>
    <row r="3754">
      <c r="A3754" s="9" t="str">
        <f>IFERROR(__xludf.DUMMYFUNCTION("""COMPUTED_VALUE"""),"Batch 240")</f>
        <v>Batch 240</v>
      </c>
      <c r="B3754" s="9" t="str">
        <f>IFERROR(__xludf.DUMMYFUNCTION("""COMPUTED_VALUE"""),"AdwinC40")</f>
        <v>AdwinC40</v>
      </c>
      <c r="C3754" s="8">
        <f>IFERROR(__xludf.DUMMYFUNCTION("""COMPUTED_VALUE"""),0.0)</f>
        <v>0</v>
      </c>
      <c r="D3754" s="8"/>
    </row>
    <row r="3755">
      <c r="A3755" s="9" t="str">
        <f>IFERROR(__xludf.DUMMYFUNCTION("""COMPUTED_VALUE"""),"Batch 240")</f>
        <v>Batch 240</v>
      </c>
      <c r="B3755" s="9" t="str">
        <f>IFERROR(__xludf.DUMMYFUNCTION("""COMPUTED_VALUE"""),"PrathamC40")</f>
        <v>PrathamC40</v>
      </c>
      <c r="C3755" s="8">
        <f>IFERROR(__xludf.DUMMYFUNCTION("""COMPUTED_VALUE"""),0.0)</f>
        <v>0</v>
      </c>
      <c r="D3755" s="8"/>
    </row>
    <row r="3756">
      <c r="A3756" s="9" t="str">
        <f>IFERROR(__xludf.DUMMYFUNCTION("""COMPUTED_VALUE"""),"Batch 240")</f>
        <v>Batch 240</v>
      </c>
      <c r="B3756" s="9" t="str">
        <f>IFERROR(__xludf.DUMMYFUNCTION("""COMPUTED_VALUE"""),"AditiC40")</f>
        <v>AditiC40</v>
      </c>
      <c r="C3756" s="8">
        <f>IFERROR(__xludf.DUMMYFUNCTION("""COMPUTED_VALUE"""),0.0)</f>
        <v>0</v>
      </c>
      <c r="D3756" s="8"/>
    </row>
    <row r="3757">
      <c r="A3757" s="9" t="str">
        <f>IFERROR(__xludf.DUMMYFUNCTION("""COMPUTED_VALUE"""),"Batch 240")</f>
        <v>Batch 240</v>
      </c>
      <c r="B3757" s="9" t="str">
        <f>IFERROR(__xludf.DUMMYFUNCTION("""COMPUTED_VALUE"""),"JanhaviC40")</f>
        <v>JanhaviC40</v>
      </c>
      <c r="C3757" s="8">
        <f>IFERROR(__xludf.DUMMYFUNCTION("""COMPUTED_VALUE"""),0.0)</f>
        <v>0</v>
      </c>
      <c r="D3757" s="8"/>
    </row>
    <row r="3758">
      <c r="A3758" s="9" t="str">
        <f>IFERROR(__xludf.DUMMYFUNCTION("""COMPUTED_VALUE"""),"Batch 240")</f>
        <v>Batch 240</v>
      </c>
      <c r="B3758" s="9" t="str">
        <f>IFERROR(__xludf.DUMMYFUNCTION("""COMPUTED_VALUE"""),"MohdUC40")</f>
        <v>MohdUC40</v>
      </c>
      <c r="C3758" s="8">
        <f>IFERROR(__xludf.DUMMYFUNCTION("""COMPUTED_VALUE"""),0.0)</f>
        <v>0</v>
      </c>
      <c r="D3758" s="8"/>
    </row>
    <row r="3759">
      <c r="A3759" s="9" t="str">
        <f>IFERROR(__xludf.DUMMYFUNCTION("""COMPUTED_VALUE"""),"Batch 240")</f>
        <v>Batch 240</v>
      </c>
      <c r="B3759" s="9" t="str">
        <f>IFERROR(__xludf.DUMMYFUNCTION("""COMPUTED_VALUE"""),"AsifC40")</f>
        <v>AsifC40</v>
      </c>
      <c r="C3759" s="8">
        <f>IFERROR(__xludf.DUMMYFUNCTION("""COMPUTED_VALUE"""),0.0)</f>
        <v>0</v>
      </c>
      <c r="D3759" s="8"/>
    </row>
    <row r="3760">
      <c r="A3760" s="9" t="str">
        <f>IFERROR(__xludf.DUMMYFUNCTION("""COMPUTED_VALUE"""),"Batch 240")</f>
        <v>Batch 240</v>
      </c>
      <c r="B3760" s="9" t="str">
        <f>IFERROR(__xludf.DUMMYFUNCTION("""COMPUTED_VALUE"""),"KamisettyC40")</f>
        <v>KamisettyC40</v>
      </c>
      <c r="C3760" s="8">
        <f>IFERROR(__xludf.DUMMYFUNCTION("""COMPUTED_VALUE"""),0.0)</f>
        <v>0</v>
      </c>
      <c r="D3760" s="8"/>
    </row>
    <row r="3761">
      <c r="A3761" s="9" t="str">
        <f>IFERROR(__xludf.DUMMYFUNCTION("""COMPUTED_VALUE"""),"Batch 240")</f>
        <v>Batch 240</v>
      </c>
      <c r="B3761" s="9" t="str">
        <f>IFERROR(__xludf.DUMMYFUNCTION("""COMPUTED_VALUE"""),"MayankC40")</f>
        <v>MayankC40</v>
      </c>
      <c r="C3761" s="8">
        <f>IFERROR(__xludf.DUMMYFUNCTION("""COMPUTED_VALUE"""),0.0)</f>
        <v>0</v>
      </c>
      <c r="D3761" s="8"/>
    </row>
    <row r="3762">
      <c r="A3762" s="9" t="str">
        <f>IFERROR(__xludf.DUMMYFUNCTION("""COMPUTED_VALUE"""),"Batch 240")</f>
        <v>Batch 240</v>
      </c>
      <c r="B3762" s="9" t="str">
        <f>IFERROR(__xludf.DUMMYFUNCTION("""COMPUTED_VALUE"""),"TanishaC40")</f>
        <v>TanishaC40</v>
      </c>
      <c r="C3762" s="8">
        <f>IFERROR(__xludf.DUMMYFUNCTION("""COMPUTED_VALUE"""),0.0)</f>
        <v>0</v>
      </c>
      <c r="D3762" s="8"/>
    </row>
    <row r="3763">
      <c r="A3763" s="9" t="str">
        <f>IFERROR(__xludf.DUMMYFUNCTION("""COMPUTED_VALUE"""),"Batch 240")</f>
        <v>Batch 240</v>
      </c>
      <c r="B3763" s="9" t="str">
        <f>IFERROR(__xludf.DUMMYFUNCTION("""COMPUTED_VALUE"""),"NikshithaC40")</f>
        <v>NikshithaC40</v>
      </c>
      <c r="C3763" s="8">
        <f>IFERROR(__xludf.DUMMYFUNCTION("""COMPUTED_VALUE"""),0.0)</f>
        <v>0</v>
      </c>
      <c r="D3763" s="8"/>
    </row>
    <row r="3764">
      <c r="A3764" s="9" t="str">
        <f>IFERROR(__xludf.DUMMYFUNCTION("""COMPUTED_VALUE"""),"Batch 240")</f>
        <v>Batch 240</v>
      </c>
      <c r="B3764" s="9" t="str">
        <f>IFERROR(__xludf.DUMMYFUNCTION("""COMPUTED_VALUE"""),"RohanC40")</f>
        <v>RohanC40</v>
      </c>
      <c r="C3764" s="8">
        <f>IFERROR(__xludf.DUMMYFUNCTION("""COMPUTED_VALUE"""),0.0)</f>
        <v>0</v>
      </c>
      <c r="D3764" s="8"/>
    </row>
    <row r="3765">
      <c r="A3765" s="9"/>
      <c r="B3765" s="9"/>
      <c r="C3765" s="8">
        <f>IFERROR(__xludf.DUMMYFUNCTION("""COMPUTED_VALUE"""),0.0)</f>
        <v>0</v>
      </c>
      <c r="D3765" s="8"/>
    </row>
    <row r="3766">
      <c r="A3766" s="9" t="str">
        <f>IFERROR(__xludf.DUMMYFUNCTION("""COMPUTED_VALUE"""),"Batch 241")</f>
        <v>Batch 241</v>
      </c>
      <c r="B3766" s="9" t="str">
        <f>IFERROR(__xludf.DUMMYFUNCTION("""COMPUTED_VALUE"""),"DishaC41")</f>
        <v>DishaC41</v>
      </c>
      <c r="C3766" s="8">
        <f>IFERROR(__xludf.DUMMYFUNCTION("""COMPUTED_VALUE"""),0.0)</f>
        <v>0</v>
      </c>
      <c r="D3766" s="8"/>
    </row>
    <row r="3767">
      <c r="A3767" s="9" t="str">
        <f>IFERROR(__xludf.DUMMYFUNCTION("""COMPUTED_VALUE"""),"Batch 241")</f>
        <v>Batch 241</v>
      </c>
      <c r="B3767" s="9" t="str">
        <f>IFERROR(__xludf.DUMMYFUNCTION("""COMPUTED_VALUE"""),"AadityaC41")</f>
        <v>AadityaC41</v>
      </c>
      <c r="C3767" s="8">
        <f>IFERROR(__xludf.DUMMYFUNCTION("""COMPUTED_VALUE"""),4.0)</f>
        <v>4</v>
      </c>
      <c r="D3767" s="8"/>
    </row>
    <row r="3768">
      <c r="A3768" s="9" t="str">
        <f>IFERROR(__xludf.DUMMYFUNCTION("""COMPUTED_VALUE"""),"Batch 241")</f>
        <v>Batch 241</v>
      </c>
      <c r="B3768" s="9" t="str">
        <f>IFERROR(__xludf.DUMMYFUNCTION("""COMPUTED_VALUE"""),"harshC41")</f>
        <v>harshC41</v>
      </c>
      <c r="C3768" s="8">
        <f>IFERROR(__xludf.DUMMYFUNCTION("""COMPUTED_VALUE"""),0.0)</f>
        <v>0</v>
      </c>
      <c r="D3768" s="8"/>
    </row>
    <row r="3769">
      <c r="A3769" s="9" t="str">
        <f>IFERROR(__xludf.DUMMYFUNCTION("""COMPUTED_VALUE"""),"Batch 241")</f>
        <v>Batch 241</v>
      </c>
      <c r="B3769" s="9" t="str">
        <f>IFERROR(__xludf.DUMMYFUNCTION("""COMPUTED_VALUE"""),"VecantC41")</f>
        <v>VecantC41</v>
      </c>
      <c r="C3769" s="8">
        <f>IFERROR(__xludf.DUMMYFUNCTION("""COMPUTED_VALUE"""),0.0)</f>
        <v>0</v>
      </c>
      <c r="D3769" s="8"/>
    </row>
    <row r="3770">
      <c r="A3770" s="9" t="str">
        <f>IFERROR(__xludf.DUMMYFUNCTION("""COMPUTED_VALUE"""),"Batch 241")</f>
        <v>Batch 241</v>
      </c>
      <c r="B3770" s="9" t="str">
        <f>IFERROR(__xludf.DUMMYFUNCTION("""COMPUTED_VALUE"""),"KashishC41")</f>
        <v>KashishC41</v>
      </c>
      <c r="C3770" s="8">
        <f>IFERROR(__xludf.DUMMYFUNCTION("""COMPUTED_VALUE"""),0.0)</f>
        <v>0</v>
      </c>
      <c r="D3770" s="8"/>
    </row>
    <row r="3771">
      <c r="A3771" s="9" t="str">
        <f>IFERROR(__xludf.DUMMYFUNCTION("""COMPUTED_VALUE"""),"Batch 241")</f>
        <v>Batch 241</v>
      </c>
      <c r="B3771" s="9" t="str">
        <f>IFERROR(__xludf.DUMMYFUNCTION("""COMPUTED_VALUE"""),"LavanyaC41")</f>
        <v>LavanyaC41</v>
      </c>
      <c r="C3771" s="8">
        <f>IFERROR(__xludf.DUMMYFUNCTION("""COMPUTED_VALUE"""),2.0)</f>
        <v>2</v>
      </c>
      <c r="D3771" s="8">
        <f>IFERROR(__xludf.DUMMYFUNCTION("""COMPUTED_VALUE"""),1.0)</f>
        <v>1</v>
      </c>
    </row>
    <row r="3772">
      <c r="A3772" s="9" t="str">
        <f>IFERROR(__xludf.DUMMYFUNCTION("""COMPUTED_VALUE"""),"Batch 241")</f>
        <v>Batch 241</v>
      </c>
      <c r="B3772" s="9" t="str">
        <f>IFERROR(__xludf.DUMMYFUNCTION("""COMPUTED_VALUE"""),"ShagunC41")</f>
        <v>ShagunC41</v>
      </c>
      <c r="C3772" s="8">
        <f>IFERROR(__xludf.DUMMYFUNCTION("""COMPUTED_VALUE"""),0.0)</f>
        <v>0</v>
      </c>
      <c r="D3772" s="8"/>
    </row>
    <row r="3773">
      <c r="A3773" s="9" t="str">
        <f>IFERROR(__xludf.DUMMYFUNCTION("""COMPUTED_VALUE"""),"Batch 241")</f>
        <v>Batch 241</v>
      </c>
      <c r="B3773" s="9" t="str">
        <f>IFERROR(__xludf.DUMMYFUNCTION("""COMPUTED_VALUE"""),"MohdC41")</f>
        <v>MohdC41</v>
      </c>
      <c r="C3773" s="8">
        <f>IFERROR(__xludf.DUMMYFUNCTION("""COMPUTED_VALUE"""),0.0)</f>
        <v>0</v>
      </c>
      <c r="D3773" s="8"/>
    </row>
    <row r="3774">
      <c r="A3774" s="9" t="str">
        <f>IFERROR(__xludf.DUMMYFUNCTION("""COMPUTED_VALUE"""),"Batch 241")</f>
        <v>Batch 241</v>
      </c>
      <c r="B3774" s="9" t="str">
        <f>IFERROR(__xludf.DUMMYFUNCTION("""COMPUTED_VALUE"""),"SaishaC41")</f>
        <v>SaishaC41</v>
      </c>
      <c r="C3774" s="8">
        <f>IFERROR(__xludf.DUMMYFUNCTION("""COMPUTED_VALUE"""),0.0)</f>
        <v>0</v>
      </c>
      <c r="D3774" s="8"/>
    </row>
    <row r="3775">
      <c r="A3775" s="9" t="str">
        <f>IFERROR(__xludf.DUMMYFUNCTION("""COMPUTED_VALUE"""),"Batch 241")</f>
        <v>Batch 241</v>
      </c>
      <c r="B3775" s="9" t="str">
        <f>IFERROR(__xludf.DUMMYFUNCTION("""COMPUTED_VALUE"""),"SurbhiC41")</f>
        <v>SurbhiC41</v>
      </c>
      <c r="C3775" s="8">
        <f>IFERROR(__xludf.DUMMYFUNCTION("""COMPUTED_VALUE"""),0.0)</f>
        <v>0</v>
      </c>
      <c r="D3775" s="8"/>
    </row>
    <row r="3776">
      <c r="A3776" s="9" t="str">
        <f>IFERROR(__xludf.DUMMYFUNCTION("""COMPUTED_VALUE"""),"Batch 241")</f>
        <v>Batch 241</v>
      </c>
      <c r="B3776" s="9" t="str">
        <f>IFERROR(__xludf.DUMMYFUNCTION("""COMPUTED_VALUE"""),"NayanaviramC41")</f>
        <v>NayanaviramC41</v>
      </c>
      <c r="C3776" s="8">
        <f>IFERROR(__xludf.DUMMYFUNCTION("""COMPUTED_VALUE"""),0.0)</f>
        <v>0</v>
      </c>
      <c r="D3776" s="8"/>
    </row>
    <row r="3777">
      <c r="A3777" s="9" t="str">
        <f>IFERROR(__xludf.DUMMYFUNCTION("""COMPUTED_VALUE"""),"Batch 241")</f>
        <v>Batch 241</v>
      </c>
      <c r="B3777" s="9" t="str">
        <f>IFERROR(__xludf.DUMMYFUNCTION("""COMPUTED_VALUE"""),"SHIVARCHANC41")</f>
        <v>SHIVARCHANC41</v>
      </c>
      <c r="C3777" s="8">
        <f>IFERROR(__xludf.DUMMYFUNCTION("""COMPUTED_VALUE"""),0.0)</f>
        <v>0</v>
      </c>
      <c r="D3777" s="8"/>
    </row>
    <row r="3778">
      <c r="A3778" s="9" t="str">
        <f>IFERROR(__xludf.DUMMYFUNCTION("""COMPUTED_VALUE"""),"Batch 241")</f>
        <v>Batch 241</v>
      </c>
      <c r="B3778" s="9" t="str">
        <f>IFERROR(__xludf.DUMMYFUNCTION("""COMPUTED_VALUE"""),"CifaC41")</f>
        <v>CifaC41</v>
      </c>
      <c r="C3778" s="8">
        <f>IFERROR(__xludf.DUMMYFUNCTION("""COMPUTED_VALUE"""),0.0)</f>
        <v>0</v>
      </c>
      <c r="D3778" s="8"/>
    </row>
    <row r="3779">
      <c r="A3779" s="9" t="str">
        <f>IFERROR(__xludf.DUMMYFUNCTION("""COMPUTED_VALUE"""),"Batch 241")</f>
        <v>Batch 241</v>
      </c>
      <c r="B3779" s="9" t="str">
        <f>IFERROR(__xludf.DUMMYFUNCTION("""COMPUTED_VALUE"""),"M.HemanthC41")</f>
        <v>M.HemanthC41</v>
      </c>
      <c r="C3779" s="8">
        <f>IFERROR(__xludf.DUMMYFUNCTION("""COMPUTED_VALUE"""),0.0)</f>
        <v>0</v>
      </c>
      <c r="D3779" s="8"/>
    </row>
    <row r="3780">
      <c r="A3780" s="9" t="str">
        <f>IFERROR(__xludf.DUMMYFUNCTION("""COMPUTED_VALUE"""),"Batch 241")</f>
        <v>Batch 241</v>
      </c>
      <c r="B3780" s="9" t="str">
        <f>IFERROR(__xludf.DUMMYFUNCTION("""COMPUTED_VALUE"""),"ShivageethikaC41")</f>
        <v>ShivageethikaC41</v>
      </c>
      <c r="C3780" s="8">
        <f>IFERROR(__xludf.DUMMYFUNCTION("""COMPUTED_VALUE"""),0.0)</f>
        <v>0</v>
      </c>
      <c r="D3780" s="8"/>
    </row>
    <row r="3781">
      <c r="A3781" s="9" t="str">
        <f>IFERROR(__xludf.DUMMYFUNCTION("""COMPUTED_VALUE"""),"Batch 241")</f>
        <v>Batch 241</v>
      </c>
      <c r="B3781" s="9" t="str">
        <f>IFERROR(__xludf.DUMMYFUNCTION("""COMPUTED_VALUE"""),"BhargavC41")</f>
        <v>BhargavC41</v>
      </c>
      <c r="C3781" s="8">
        <f>IFERROR(__xludf.DUMMYFUNCTION("""COMPUTED_VALUE"""),0.0)</f>
        <v>0</v>
      </c>
      <c r="D3781" s="8"/>
    </row>
    <row r="3782">
      <c r="A3782" s="9" t="str">
        <f>IFERROR(__xludf.DUMMYFUNCTION("""COMPUTED_VALUE"""),"Batch 241")</f>
        <v>Batch 241</v>
      </c>
      <c r="B3782" s="9" t="str">
        <f>IFERROR(__xludf.DUMMYFUNCTION("""COMPUTED_VALUE"""),"FarhanC41")</f>
        <v>FarhanC41</v>
      </c>
      <c r="C3782" s="8">
        <f>IFERROR(__xludf.DUMMYFUNCTION("""COMPUTED_VALUE"""),1.0)</f>
        <v>1</v>
      </c>
      <c r="D3782" s="8"/>
    </row>
    <row r="3783">
      <c r="A3783" s="9" t="str">
        <f>IFERROR(__xludf.DUMMYFUNCTION("""COMPUTED_VALUE"""),"Batch 241")</f>
        <v>Batch 241</v>
      </c>
      <c r="B3783" s="9" t="str">
        <f>IFERROR(__xludf.DUMMYFUNCTION("""COMPUTED_VALUE"""),"GanduriC41")</f>
        <v>GanduriC41</v>
      </c>
      <c r="C3783" s="8">
        <f>IFERROR(__xludf.DUMMYFUNCTION("""COMPUTED_VALUE"""),0.0)</f>
        <v>0</v>
      </c>
      <c r="D3783" s="8"/>
    </row>
    <row r="3784">
      <c r="A3784" s="9" t="str">
        <f>IFERROR(__xludf.DUMMYFUNCTION("""COMPUTED_VALUE"""),"Batch 241")</f>
        <v>Batch 241</v>
      </c>
      <c r="B3784" s="9" t="str">
        <f>IFERROR(__xludf.DUMMYFUNCTION("""COMPUTED_VALUE"""),"PriyankaC41")</f>
        <v>PriyankaC41</v>
      </c>
      <c r="C3784" s="8">
        <f>IFERROR(__xludf.DUMMYFUNCTION("""COMPUTED_VALUE"""),0.0)</f>
        <v>0</v>
      </c>
      <c r="D3784" s="8"/>
    </row>
    <row r="3785">
      <c r="A3785" s="9" t="str">
        <f>IFERROR(__xludf.DUMMYFUNCTION("""COMPUTED_VALUE"""),"Batch 241")</f>
        <v>Batch 241</v>
      </c>
      <c r="B3785" s="9" t="str">
        <f>IFERROR(__xludf.DUMMYFUNCTION("""COMPUTED_VALUE"""),"AnkitaC41")</f>
        <v>AnkitaC41</v>
      </c>
      <c r="C3785" s="8">
        <f>IFERROR(__xludf.DUMMYFUNCTION("""COMPUTED_VALUE"""),0.0)</f>
        <v>0</v>
      </c>
      <c r="D3785" s="8"/>
    </row>
    <row r="3786">
      <c r="A3786" s="9" t="str">
        <f>IFERROR(__xludf.DUMMYFUNCTION("""COMPUTED_VALUE"""),"Batch 241")</f>
        <v>Batch 241</v>
      </c>
      <c r="B3786" s="9" t="str">
        <f>IFERROR(__xludf.DUMMYFUNCTION("""COMPUTED_VALUE"""),"EkataC41")</f>
        <v>EkataC41</v>
      </c>
      <c r="C3786" s="8">
        <f>IFERROR(__xludf.DUMMYFUNCTION("""COMPUTED_VALUE"""),0.0)</f>
        <v>0</v>
      </c>
      <c r="D3786" s="8"/>
    </row>
    <row r="3787">
      <c r="A3787" s="9" t="str">
        <f>IFERROR(__xludf.DUMMYFUNCTION("""COMPUTED_VALUE"""),"Batch 241")</f>
        <v>Batch 241</v>
      </c>
      <c r="B3787" s="9" t="str">
        <f>IFERROR(__xludf.DUMMYFUNCTION("""COMPUTED_VALUE"""),"SalgarC41")</f>
        <v>SalgarC41</v>
      </c>
      <c r="C3787" s="8">
        <f>IFERROR(__xludf.DUMMYFUNCTION("""COMPUTED_VALUE"""),0.0)</f>
        <v>0</v>
      </c>
      <c r="D3787" s="8"/>
    </row>
    <row r="3788">
      <c r="A3788" s="9" t="str">
        <f>IFERROR(__xludf.DUMMYFUNCTION("""COMPUTED_VALUE"""),"Batch 241")</f>
        <v>Batch 241</v>
      </c>
      <c r="B3788" s="9" t="str">
        <f>IFERROR(__xludf.DUMMYFUNCTION("""COMPUTED_VALUE"""),"MuskanC41")</f>
        <v>MuskanC41</v>
      </c>
      <c r="C3788" s="8">
        <f>IFERROR(__xludf.DUMMYFUNCTION("""COMPUTED_VALUE"""),0.0)</f>
        <v>0</v>
      </c>
      <c r="D3788" s="8"/>
    </row>
    <row r="3789">
      <c r="A3789" s="9" t="str">
        <f>IFERROR(__xludf.DUMMYFUNCTION("""COMPUTED_VALUE"""),"Batch 241")</f>
        <v>Batch 241</v>
      </c>
      <c r="B3789" s="9" t="str">
        <f>IFERROR(__xludf.DUMMYFUNCTION("""COMPUTED_VALUE"""),"DivishaC41")</f>
        <v>DivishaC41</v>
      </c>
      <c r="C3789" s="8">
        <f>IFERROR(__xludf.DUMMYFUNCTION("""COMPUTED_VALUE"""),0.0)</f>
        <v>0</v>
      </c>
      <c r="D3789" s="8"/>
    </row>
    <row r="3790">
      <c r="A3790" s="9" t="str">
        <f>IFERROR(__xludf.DUMMYFUNCTION("""COMPUTED_VALUE"""),"Batch 241")</f>
        <v>Batch 241</v>
      </c>
      <c r="B3790" s="9" t="str">
        <f>IFERROR(__xludf.DUMMYFUNCTION("""COMPUTED_VALUE"""),"KajalC41")</f>
        <v>KajalC41</v>
      </c>
      <c r="C3790" s="8">
        <f>IFERROR(__xludf.DUMMYFUNCTION("""COMPUTED_VALUE"""),0.0)</f>
        <v>0</v>
      </c>
      <c r="D3790" s="8"/>
    </row>
    <row r="3791">
      <c r="A3791" s="9" t="str">
        <f>IFERROR(__xludf.DUMMYFUNCTION("""COMPUTED_VALUE"""),"Batch 241")</f>
        <v>Batch 241</v>
      </c>
      <c r="B3791" s="9" t="str">
        <f>IFERROR(__xludf.DUMMYFUNCTION("""COMPUTED_VALUE"""),"ChetanC41")</f>
        <v>ChetanC41</v>
      </c>
      <c r="C3791" s="8">
        <f>IFERROR(__xludf.DUMMYFUNCTION("""COMPUTED_VALUE"""),1.0)</f>
        <v>1</v>
      </c>
      <c r="D3791" s="8"/>
    </row>
    <row r="3792">
      <c r="A3792" s="9" t="str">
        <f>IFERROR(__xludf.DUMMYFUNCTION("""COMPUTED_VALUE"""),"Batch 241")</f>
        <v>Batch 241</v>
      </c>
      <c r="B3792" s="9" t="str">
        <f>IFERROR(__xludf.DUMMYFUNCTION("""COMPUTED_VALUE"""),"MahakC41")</f>
        <v>MahakC41</v>
      </c>
      <c r="C3792" s="8">
        <f>IFERROR(__xludf.DUMMYFUNCTION("""COMPUTED_VALUE"""),86.0)</f>
        <v>86</v>
      </c>
      <c r="D3792" s="8">
        <f>IFERROR(__xludf.DUMMYFUNCTION("""COMPUTED_VALUE"""),22.0)</f>
        <v>22</v>
      </c>
    </row>
    <row r="3793">
      <c r="A3793" s="9" t="str">
        <f>IFERROR(__xludf.DUMMYFUNCTION("""COMPUTED_VALUE"""),"Batch 241")</f>
        <v>Batch 241</v>
      </c>
      <c r="B3793" s="9" t="str">
        <f>IFERROR(__xludf.DUMMYFUNCTION("""COMPUTED_VALUE"""),"TirthC41")</f>
        <v>TirthC41</v>
      </c>
      <c r="C3793" s="8">
        <f>IFERROR(__xludf.DUMMYFUNCTION("""COMPUTED_VALUE"""),0.0)</f>
        <v>0</v>
      </c>
      <c r="D3793" s="8"/>
    </row>
    <row r="3794">
      <c r="A3794" s="9" t="str">
        <f>IFERROR(__xludf.DUMMYFUNCTION("""COMPUTED_VALUE"""),"Batch 241")</f>
        <v>Batch 241</v>
      </c>
      <c r="B3794" s="9" t="str">
        <f>IFERROR(__xludf.DUMMYFUNCTION("""COMPUTED_VALUE"""),"TC41")</f>
        <v>TC41</v>
      </c>
      <c r="C3794" s="8">
        <f>IFERROR(__xludf.DUMMYFUNCTION("""COMPUTED_VALUE"""),7.0)</f>
        <v>7</v>
      </c>
      <c r="D3794" s="8"/>
    </row>
    <row r="3795">
      <c r="A3795" s="9" t="str">
        <f>IFERROR(__xludf.DUMMYFUNCTION("""COMPUTED_VALUE"""),"Batch 241")</f>
        <v>Batch 241</v>
      </c>
      <c r="B3795" s="9" t="str">
        <f>IFERROR(__xludf.DUMMYFUNCTION("""COMPUTED_VALUE"""),"AdityapC41")</f>
        <v>AdityapC41</v>
      </c>
      <c r="C3795" s="8">
        <f>IFERROR(__xludf.DUMMYFUNCTION("""COMPUTED_VALUE"""),0.0)</f>
        <v>0</v>
      </c>
      <c r="D3795" s="8"/>
    </row>
    <row r="3796">
      <c r="A3796" s="9" t="str">
        <f>IFERROR(__xludf.DUMMYFUNCTION("""COMPUTED_VALUE"""),"Batch 241")</f>
        <v>Batch 241</v>
      </c>
      <c r="B3796" s="9" t="str">
        <f>IFERROR(__xludf.DUMMYFUNCTION("""COMPUTED_VALUE"""),"AdityasC41")</f>
        <v>AdityasC41</v>
      </c>
      <c r="C3796" s="8">
        <f>IFERROR(__xludf.DUMMYFUNCTION("""COMPUTED_VALUE"""),5.0)</f>
        <v>5</v>
      </c>
      <c r="D3796" s="8"/>
    </row>
    <row r="3797">
      <c r="A3797" s="9" t="str">
        <f>IFERROR(__xludf.DUMMYFUNCTION("""COMPUTED_VALUE"""),"Batch 241")</f>
        <v>Batch 241</v>
      </c>
      <c r="B3797" s="9" t="str">
        <f>IFERROR(__xludf.DUMMYFUNCTION("""COMPUTED_VALUE"""),"AshishC41")</f>
        <v>AshishC41</v>
      </c>
      <c r="C3797" s="8">
        <f>IFERROR(__xludf.DUMMYFUNCTION("""COMPUTED_VALUE"""),0.0)</f>
        <v>0</v>
      </c>
      <c r="D3797" s="8"/>
    </row>
    <row r="3798">
      <c r="A3798" s="9" t="str">
        <f>IFERROR(__xludf.DUMMYFUNCTION("""COMPUTED_VALUE"""),"Batch 241")</f>
        <v>Batch 241</v>
      </c>
      <c r="B3798" s="9" t="str">
        <f>IFERROR(__xludf.DUMMYFUNCTION("""COMPUTED_VALUE"""),"AltamashC41")</f>
        <v>AltamashC41</v>
      </c>
      <c r="C3798" s="8">
        <f>IFERROR(__xludf.DUMMYFUNCTION("""COMPUTED_VALUE"""),0.0)</f>
        <v>0</v>
      </c>
      <c r="D3798" s="8"/>
    </row>
    <row r="3799">
      <c r="A3799" s="9" t="str">
        <f>IFERROR(__xludf.DUMMYFUNCTION("""COMPUTED_VALUE"""),"Batch 241")</f>
        <v>Batch 241</v>
      </c>
      <c r="B3799" s="9" t="str">
        <f>IFERROR(__xludf.DUMMYFUNCTION("""COMPUTED_VALUE"""),"AdnanC41")</f>
        <v>AdnanC41</v>
      </c>
      <c r="C3799" s="8">
        <f>IFERROR(__xludf.DUMMYFUNCTION("""COMPUTED_VALUE"""),0.0)</f>
        <v>0</v>
      </c>
      <c r="D3799" s="8">
        <f>IFERROR(__xludf.DUMMYFUNCTION("""COMPUTED_VALUE"""),4.0)</f>
        <v>4</v>
      </c>
    </row>
    <row r="3800">
      <c r="A3800" s="9" t="str">
        <f>IFERROR(__xludf.DUMMYFUNCTION("""COMPUTED_VALUE"""),"Batch 241")</f>
        <v>Batch 241</v>
      </c>
      <c r="B3800" s="9" t="str">
        <f>IFERROR(__xludf.DUMMYFUNCTION("""COMPUTED_VALUE"""),"JoselinC41")</f>
        <v>JoselinC41</v>
      </c>
      <c r="C3800" s="8">
        <f>IFERROR(__xludf.DUMMYFUNCTION("""COMPUTED_VALUE"""),0.0)</f>
        <v>0</v>
      </c>
      <c r="D3800" s="8"/>
    </row>
    <row r="3801">
      <c r="A3801" s="9" t="str">
        <f>IFERROR(__xludf.DUMMYFUNCTION("""COMPUTED_VALUE"""),"Batch 241")</f>
        <v>Batch 241</v>
      </c>
      <c r="B3801" s="9" t="str">
        <f>IFERROR(__xludf.DUMMYFUNCTION("""COMPUTED_VALUE"""),"PranjalC41")</f>
        <v>PranjalC41</v>
      </c>
      <c r="C3801" s="8">
        <f>IFERROR(__xludf.DUMMYFUNCTION("""COMPUTED_VALUE"""),0.0)</f>
        <v>0</v>
      </c>
      <c r="D3801" s="8"/>
    </row>
    <row r="3802">
      <c r="A3802" s="9"/>
      <c r="B3802" s="9"/>
      <c r="C3802" s="8">
        <f>IFERROR(__xludf.DUMMYFUNCTION("""COMPUTED_VALUE"""),0.0)</f>
        <v>0</v>
      </c>
      <c r="D3802" s="8"/>
    </row>
    <row r="3803">
      <c r="A3803" s="9" t="str">
        <f>IFERROR(__xludf.DUMMYFUNCTION("""COMPUTED_VALUE"""),"Batch 242")</f>
        <v>Batch 242</v>
      </c>
      <c r="B3803" s="9" t="str">
        <f>IFERROR(__xludf.DUMMYFUNCTION("""COMPUTED_VALUE"""),"JahnaviC42")</f>
        <v>JahnaviC42</v>
      </c>
      <c r="C3803" s="8">
        <f>IFERROR(__xludf.DUMMYFUNCTION("""COMPUTED_VALUE"""),11.0)</f>
        <v>11</v>
      </c>
      <c r="D3803" s="8">
        <f>IFERROR(__xludf.DUMMYFUNCTION("""COMPUTED_VALUE"""),5.0)</f>
        <v>5</v>
      </c>
    </row>
    <row r="3804">
      <c r="A3804" s="9" t="str">
        <f>IFERROR(__xludf.DUMMYFUNCTION("""COMPUTED_VALUE"""),"Batch 242")</f>
        <v>Batch 242</v>
      </c>
      <c r="B3804" s="9" t="str">
        <f>IFERROR(__xludf.DUMMYFUNCTION("""COMPUTED_VALUE"""),"SejalC42")</f>
        <v>SejalC42</v>
      </c>
      <c r="C3804" s="8">
        <f>IFERROR(__xludf.DUMMYFUNCTION("""COMPUTED_VALUE"""),0.0)</f>
        <v>0</v>
      </c>
      <c r="D3804" s="8"/>
    </row>
    <row r="3805">
      <c r="A3805" s="9" t="str">
        <f>IFERROR(__xludf.DUMMYFUNCTION("""COMPUTED_VALUE"""),"Batch 242")</f>
        <v>Batch 242</v>
      </c>
      <c r="B3805" s="9" t="str">
        <f>IFERROR(__xludf.DUMMYFUNCTION("""COMPUTED_VALUE"""),"MugunthC42")</f>
        <v>MugunthC42</v>
      </c>
      <c r="C3805" s="8">
        <f>IFERROR(__xludf.DUMMYFUNCTION("""COMPUTED_VALUE"""),0.0)</f>
        <v>0</v>
      </c>
      <c r="D3805" s="8"/>
    </row>
    <row r="3806">
      <c r="A3806" s="9" t="str">
        <f>IFERROR(__xludf.DUMMYFUNCTION("""COMPUTED_VALUE"""),"Batch 242")</f>
        <v>Batch 242</v>
      </c>
      <c r="B3806" s="9" t="str">
        <f>IFERROR(__xludf.DUMMYFUNCTION("""COMPUTED_VALUE"""),"YashviC42")</f>
        <v>YashviC42</v>
      </c>
      <c r="C3806" s="8">
        <f>IFERROR(__xludf.DUMMYFUNCTION("""COMPUTED_VALUE"""),1.0)</f>
        <v>1</v>
      </c>
      <c r="D3806" s="8"/>
    </row>
    <row r="3807">
      <c r="A3807" s="9" t="str">
        <f>IFERROR(__xludf.DUMMYFUNCTION("""COMPUTED_VALUE"""),"Batch 242")</f>
        <v>Batch 242</v>
      </c>
      <c r="B3807" s="9" t="str">
        <f>IFERROR(__xludf.DUMMYFUNCTION("""COMPUTED_VALUE"""),"AbuC42")</f>
        <v>AbuC42</v>
      </c>
      <c r="C3807" s="8">
        <f>IFERROR(__xludf.DUMMYFUNCTION("""COMPUTED_VALUE"""),6.0)</f>
        <v>6</v>
      </c>
      <c r="D3807" s="8"/>
    </row>
    <row r="3808">
      <c r="A3808" s="9" t="str">
        <f>IFERROR(__xludf.DUMMYFUNCTION("""COMPUTED_VALUE"""),"Batch 242")</f>
        <v>Batch 242</v>
      </c>
      <c r="B3808" s="9" t="str">
        <f>IFERROR(__xludf.DUMMYFUNCTION("""COMPUTED_VALUE"""),"SaranshC42")</f>
        <v>SaranshC42</v>
      </c>
      <c r="C3808" s="8">
        <f>IFERROR(__xludf.DUMMYFUNCTION("""COMPUTED_VALUE"""),1.0)</f>
        <v>1</v>
      </c>
      <c r="D3808" s="8"/>
    </row>
    <row r="3809">
      <c r="A3809" s="9" t="str">
        <f>IFERROR(__xludf.DUMMYFUNCTION("""COMPUTED_VALUE"""),"Batch 242")</f>
        <v>Batch 242</v>
      </c>
      <c r="B3809" s="9" t="str">
        <f>IFERROR(__xludf.DUMMYFUNCTION("""COMPUTED_VALUE"""),"GeetanjaliC42")</f>
        <v>GeetanjaliC42</v>
      </c>
      <c r="C3809" s="8">
        <f>IFERROR(__xludf.DUMMYFUNCTION("""COMPUTED_VALUE"""),0.0)</f>
        <v>0</v>
      </c>
      <c r="D3809" s="8"/>
    </row>
    <row r="3810">
      <c r="A3810" s="9" t="str">
        <f>IFERROR(__xludf.DUMMYFUNCTION("""COMPUTED_VALUE"""),"Batch 242")</f>
        <v>Batch 242</v>
      </c>
      <c r="B3810" s="9" t="str">
        <f>IFERROR(__xludf.DUMMYFUNCTION("""COMPUTED_VALUE"""),"BodhaC42")</f>
        <v>BodhaC42</v>
      </c>
      <c r="C3810" s="8">
        <f>IFERROR(__xludf.DUMMYFUNCTION("""COMPUTED_VALUE"""),3.0)</f>
        <v>3</v>
      </c>
      <c r="D3810" s="8"/>
    </row>
    <row r="3811">
      <c r="A3811" s="9" t="str">
        <f>IFERROR(__xludf.DUMMYFUNCTION("""COMPUTED_VALUE"""),"Batch 242")</f>
        <v>Batch 242</v>
      </c>
      <c r="B3811" s="9" t="str">
        <f>IFERROR(__xludf.DUMMYFUNCTION("""COMPUTED_VALUE"""),"RupendraC42")</f>
        <v>RupendraC42</v>
      </c>
      <c r="C3811" s="8">
        <f>IFERROR(__xludf.DUMMYFUNCTION("""COMPUTED_VALUE"""),0.0)</f>
        <v>0</v>
      </c>
      <c r="D3811" s="8"/>
    </row>
    <row r="3812">
      <c r="A3812" s="9" t="str">
        <f>IFERROR(__xludf.DUMMYFUNCTION("""COMPUTED_VALUE"""),"Batch 242")</f>
        <v>Batch 242</v>
      </c>
      <c r="B3812" s="9" t="str">
        <f>IFERROR(__xludf.DUMMYFUNCTION("""COMPUTED_VALUE"""),"MansiC42")</f>
        <v>MansiC42</v>
      </c>
      <c r="C3812" s="8">
        <f>IFERROR(__xludf.DUMMYFUNCTION("""COMPUTED_VALUE"""),0.0)</f>
        <v>0</v>
      </c>
      <c r="D3812" s="8"/>
    </row>
    <row r="3813">
      <c r="A3813" s="9" t="str">
        <f>IFERROR(__xludf.DUMMYFUNCTION("""COMPUTED_VALUE"""),"Batch 242")</f>
        <v>Batch 242</v>
      </c>
      <c r="B3813" s="9" t="str">
        <f>IFERROR(__xludf.DUMMYFUNCTION("""COMPUTED_VALUE"""),"HarshalC42")</f>
        <v>HarshalC42</v>
      </c>
      <c r="C3813" s="8">
        <f>IFERROR(__xludf.DUMMYFUNCTION("""COMPUTED_VALUE"""),2.0)</f>
        <v>2</v>
      </c>
      <c r="D3813" s="8"/>
    </row>
    <row r="3814">
      <c r="A3814" s="9" t="str">
        <f>IFERROR(__xludf.DUMMYFUNCTION("""COMPUTED_VALUE"""),"Batch 242")</f>
        <v>Batch 242</v>
      </c>
      <c r="B3814" s="9" t="str">
        <f>IFERROR(__xludf.DUMMYFUNCTION("""COMPUTED_VALUE"""),"AngelinaC42")</f>
        <v>AngelinaC42</v>
      </c>
      <c r="C3814" s="8">
        <f>IFERROR(__xludf.DUMMYFUNCTION("""COMPUTED_VALUE"""),0.0)</f>
        <v>0</v>
      </c>
      <c r="D3814" s="8"/>
    </row>
    <row r="3815">
      <c r="A3815" s="9" t="str">
        <f>IFERROR(__xludf.DUMMYFUNCTION("""COMPUTED_VALUE"""),"Batch 242")</f>
        <v>Batch 242</v>
      </c>
      <c r="B3815" s="9" t="str">
        <f>IFERROR(__xludf.DUMMYFUNCTION("""COMPUTED_VALUE"""),"SvayamC42")</f>
        <v>SvayamC42</v>
      </c>
      <c r="C3815" s="8">
        <f>IFERROR(__xludf.DUMMYFUNCTION("""COMPUTED_VALUE"""),3.0)</f>
        <v>3</v>
      </c>
      <c r="D3815" s="8"/>
    </row>
    <row r="3816">
      <c r="A3816" s="9" t="str">
        <f>IFERROR(__xludf.DUMMYFUNCTION("""COMPUTED_VALUE"""),"Batch 242")</f>
        <v>Batch 242</v>
      </c>
      <c r="B3816" s="9" t="str">
        <f>IFERROR(__xludf.DUMMYFUNCTION("""COMPUTED_VALUE"""),"KatharineC42")</f>
        <v>KatharineC42</v>
      </c>
      <c r="C3816" s="8">
        <f>IFERROR(__xludf.DUMMYFUNCTION("""COMPUTED_VALUE"""),0.0)</f>
        <v>0</v>
      </c>
      <c r="D3816" s="8"/>
    </row>
    <row r="3817">
      <c r="A3817" s="9" t="str">
        <f>IFERROR(__xludf.DUMMYFUNCTION("""COMPUTED_VALUE"""),"Batch 242")</f>
        <v>Batch 242</v>
      </c>
      <c r="B3817" s="9" t="str">
        <f>IFERROR(__xludf.DUMMYFUNCTION("""COMPUTED_VALUE"""),"DivyaC42")</f>
        <v>DivyaC42</v>
      </c>
      <c r="C3817" s="8">
        <f>IFERROR(__xludf.DUMMYFUNCTION("""COMPUTED_VALUE"""),0.0)</f>
        <v>0</v>
      </c>
      <c r="D3817" s="8"/>
    </row>
    <row r="3818">
      <c r="A3818" s="9" t="str">
        <f>IFERROR(__xludf.DUMMYFUNCTION("""COMPUTED_VALUE"""),"Batch 242")</f>
        <v>Batch 242</v>
      </c>
      <c r="B3818" s="9" t="str">
        <f>IFERROR(__xludf.DUMMYFUNCTION("""COMPUTED_VALUE"""),"AnjaliC42")</f>
        <v>AnjaliC42</v>
      </c>
      <c r="C3818" s="8">
        <f>IFERROR(__xludf.DUMMYFUNCTION("""COMPUTED_VALUE"""),0.0)</f>
        <v>0</v>
      </c>
      <c r="D3818" s="8"/>
    </row>
    <row r="3819">
      <c r="A3819" s="9"/>
      <c r="B3819" s="9"/>
      <c r="C3819" s="8">
        <f>IFERROR(__xludf.DUMMYFUNCTION("""COMPUTED_VALUE"""),0.0)</f>
        <v>0</v>
      </c>
      <c r="D3819" s="8"/>
    </row>
    <row r="3820">
      <c r="A3820" s="9" t="str">
        <f>IFERROR(__xludf.DUMMYFUNCTION("""COMPUTED_VALUE"""),"Batch 243")</f>
        <v>Batch 243</v>
      </c>
      <c r="B3820" s="9" t="str">
        <f>IFERROR(__xludf.DUMMYFUNCTION("""COMPUTED_VALUE"""),"ShivaniC43")</f>
        <v>ShivaniC43</v>
      </c>
      <c r="C3820" s="8">
        <f>IFERROR(__xludf.DUMMYFUNCTION("""COMPUTED_VALUE"""),0.0)</f>
        <v>0</v>
      </c>
      <c r="D3820" s="8"/>
    </row>
    <row r="3821">
      <c r="A3821" s="9" t="str">
        <f>IFERROR(__xludf.DUMMYFUNCTION("""COMPUTED_VALUE"""),"Batch 243")</f>
        <v>Batch 243</v>
      </c>
      <c r="B3821" s="9" t="str">
        <f>IFERROR(__xludf.DUMMYFUNCTION("""COMPUTED_VALUE"""),"HarshitaC43")</f>
        <v>HarshitaC43</v>
      </c>
      <c r="C3821" s="8">
        <f>IFERROR(__xludf.DUMMYFUNCTION("""COMPUTED_VALUE"""),0.0)</f>
        <v>0</v>
      </c>
      <c r="D3821" s="8"/>
    </row>
    <row r="3822">
      <c r="A3822" s="9" t="str">
        <f>IFERROR(__xludf.DUMMYFUNCTION("""COMPUTED_VALUE"""),"Batch 243")</f>
        <v>Batch 243</v>
      </c>
      <c r="B3822" s="9" t="str">
        <f>IFERROR(__xludf.DUMMYFUNCTION("""COMPUTED_VALUE"""),"NamanpreetC43")</f>
        <v>NamanpreetC43</v>
      </c>
      <c r="C3822" s="8">
        <f>IFERROR(__xludf.DUMMYFUNCTION("""COMPUTED_VALUE"""),0.0)</f>
        <v>0</v>
      </c>
      <c r="D3822" s="8"/>
    </row>
    <row r="3823">
      <c r="A3823" s="9" t="str">
        <f>IFERROR(__xludf.DUMMYFUNCTION("""COMPUTED_VALUE"""),"Batch 243")</f>
        <v>Batch 243</v>
      </c>
      <c r="B3823" s="9" t="str">
        <f>IFERROR(__xludf.DUMMYFUNCTION("""COMPUTED_VALUE"""),"ShafeqC43")</f>
        <v>ShafeqC43</v>
      </c>
      <c r="C3823" s="8">
        <f>IFERROR(__xludf.DUMMYFUNCTION("""COMPUTED_VALUE"""),0.0)</f>
        <v>0</v>
      </c>
      <c r="D3823" s="8"/>
    </row>
    <row r="3824">
      <c r="A3824" s="9" t="str">
        <f>IFERROR(__xludf.DUMMYFUNCTION("""COMPUTED_VALUE"""),"Batch 243")</f>
        <v>Batch 243</v>
      </c>
      <c r="B3824" s="9" t="str">
        <f>IFERROR(__xludf.DUMMYFUNCTION("""COMPUTED_VALUE"""),"RushaC43")</f>
        <v>RushaC43</v>
      </c>
      <c r="C3824" s="8">
        <f>IFERROR(__xludf.DUMMYFUNCTION("""COMPUTED_VALUE"""),0.0)</f>
        <v>0</v>
      </c>
      <c r="D3824" s="8"/>
    </row>
    <row r="3825">
      <c r="A3825" s="9" t="str">
        <f>IFERROR(__xludf.DUMMYFUNCTION("""COMPUTED_VALUE"""),"Batch 243")</f>
        <v>Batch 243</v>
      </c>
      <c r="B3825" s="9" t="str">
        <f>IFERROR(__xludf.DUMMYFUNCTION("""COMPUTED_VALUE"""),"RakshithaC43")</f>
        <v>RakshithaC43</v>
      </c>
      <c r="C3825" s="8">
        <f>IFERROR(__xludf.DUMMYFUNCTION("""COMPUTED_VALUE"""),0.0)</f>
        <v>0</v>
      </c>
      <c r="D3825" s="8"/>
    </row>
    <row r="3826">
      <c r="A3826" s="9" t="str">
        <f>IFERROR(__xludf.DUMMYFUNCTION("""COMPUTED_VALUE"""),"Batch 243")</f>
        <v>Batch 243</v>
      </c>
      <c r="B3826" s="9" t="str">
        <f>IFERROR(__xludf.DUMMYFUNCTION("""COMPUTED_VALUE"""),"VIVEKC43")</f>
        <v>VIVEKC43</v>
      </c>
      <c r="C3826" s="8">
        <f>IFERROR(__xludf.DUMMYFUNCTION("""COMPUTED_VALUE"""),1.0)</f>
        <v>1</v>
      </c>
      <c r="D3826" s="8"/>
    </row>
    <row r="3827">
      <c r="A3827" s="9" t="str">
        <f>IFERROR(__xludf.DUMMYFUNCTION("""COMPUTED_VALUE"""),"Batch 243")</f>
        <v>Batch 243</v>
      </c>
      <c r="B3827" s="9" t="str">
        <f>IFERROR(__xludf.DUMMYFUNCTION("""COMPUTED_VALUE"""),"ANJANC43")</f>
        <v>ANJANC43</v>
      </c>
      <c r="C3827" s="8">
        <f>IFERROR(__xludf.DUMMYFUNCTION("""COMPUTED_VALUE"""),0.0)</f>
        <v>0</v>
      </c>
      <c r="D3827" s="8"/>
    </row>
    <row r="3828">
      <c r="A3828" s="9" t="str">
        <f>IFERROR(__xludf.DUMMYFUNCTION("""COMPUTED_VALUE"""),"Batch 243")</f>
        <v>Batch 243</v>
      </c>
      <c r="B3828" s="9" t="str">
        <f>IFERROR(__xludf.DUMMYFUNCTION("""COMPUTED_VALUE"""),"PraneethaC43")</f>
        <v>PraneethaC43</v>
      </c>
      <c r="C3828" s="8">
        <f>IFERROR(__xludf.DUMMYFUNCTION("""COMPUTED_VALUE"""),0.0)</f>
        <v>0</v>
      </c>
      <c r="D3828" s="8"/>
    </row>
    <row r="3829">
      <c r="A3829" s="9" t="str">
        <f>IFERROR(__xludf.DUMMYFUNCTION("""COMPUTED_VALUE"""),"Batch 243")</f>
        <v>Batch 243</v>
      </c>
      <c r="B3829" s="9" t="str">
        <f>IFERROR(__xludf.DUMMYFUNCTION("""COMPUTED_VALUE"""),"IshaanC43")</f>
        <v>IshaanC43</v>
      </c>
      <c r="C3829" s="8">
        <f>IFERROR(__xludf.DUMMYFUNCTION("""COMPUTED_VALUE"""),0.0)</f>
        <v>0</v>
      </c>
      <c r="D3829" s="8"/>
    </row>
    <row r="3830">
      <c r="A3830" s="9" t="str">
        <f>IFERROR(__xludf.DUMMYFUNCTION("""COMPUTED_VALUE"""),"Batch 243")</f>
        <v>Batch 243</v>
      </c>
      <c r="B3830" s="9" t="str">
        <f>IFERROR(__xludf.DUMMYFUNCTION("""COMPUTED_VALUE"""),"GarvitC43")</f>
        <v>GarvitC43</v>
      </c>
      <c r="C3830" s="8">
        <f>IFERROR(__xludf.DUMMYFUNCTION("""COMPUTED_VALUE"""),0.0)</f>
        <v>0</v>
      </c>
      <c r="D3830" s="8"/>
    </row>
    <row r="3831">
      <c r="A3831" s="9" t="str">
        <f>IFERROR(__xludf.DUMMYFUNCTION("""COMPUTED_VALUE"""),"Batch 243")</f>
        <v>Batch 243</v>
      </c>
      <c r="B3831" s="9" t="str">
        <f>IFERROR(__xludf.DUMMYFUNCTION("""COMPUTED_VALUE"""),"DarisiC43")</f>
        <v>DarisiC43</v>
      </c>
      <c r="C3831" s="8">
        <f>IFERROR(__xludf.DUMMYFUNCTION("""COMPUTED_VALUE"""),0.0)</f>
        <v>0</v>
      </c>
      <c r="D3831" s="8"/>
    </row>
    <row r="3832">
      <c r="A3832" s="9" t="str">
        <f>IFERROR(__xludf.DUMMYFUNCTION("""COMPUTED_VALUE"""),"Batch 243")</f>
        <v>Batch 243</v>
      </c>
      <c r="B3832" s="9" t="str">
        <f>IFERROR(__xludf.DUMMYFUNCTION("""COMPUTED_VALUE"""),"AkhilC43")</f>
        <v>AkhilC43</v>
      </c>
      <c r="C3832" s="8">
        <f>IFERROR(__xludf.DUMMYFUNCTION("""COMPUTED_VALUE"""),0.0)</f>
        <v>0</v>
      </c>
      <c r="D3832" s="8"/>
    </row>
    <row r="3833">
      <c r="A3833" s="9" t="str">
        <f>IFERROR(__xludf.DUMMYFUNCTION("""COMPUTED_VALUE"""),"Batch 243")</f>
        <v>Batch 243</v>
      </c>
      <c r="B3833" s="9" t="str">
        <f>IFERROR(__xludf.DUMMYFUNCTION("""COMPUTED_VALUE"""),"MehakC43")</f>
        <v>MehakC43</v>
      </c>
      <c r="C3833" s="8">
        <f>IFERROR(__xludf.DUMMYFUNCTION("""COMPUTED_VALUE"""),0.0)</f>
        <v>0</v>
      </c>
      <c r="D3833" s="8"/>
    </row>
    <row r="3834">
      <c r="A3834" s="9" t="str">
        <f>IFERROR(__xludf.DUMMYFUNCTION("""COMPUTED_VALUE"""),"Batch 243")</f>
        <v>Batch 243</v>
      </c>
      <c r="B3834" s="9" t="str">
        <f>IFERROR(__xludf.DUMMYFUNCTION("""COMPUTED_VALUE"""),"MittC43")</f>
        <v>MittC43</v>
      </c>
      <c r="C3834" s="8">
        <f>IFERROR(__xludf.DUMMYFUNCTION("""COMPUTED_VALUE"""),11.0)</f>
        <v>11</v>
      </c>
      <c r="D3834" s="8">
        <f>IFERROR(__xludf.DUMMYFUNCTION("""COMPUTED_VALUE"""),1.0)</f>
        <v>1</v>
      </c>
    </row>
    <row r="3835">
      <c r="A3835" s="9" t="str">
        <f>IFERROR(__xludf.DUMMYFUNCTION("""COMPUTED_VALUE"""),"Batch 243")</f>
        <v>Batch 243</v>
      </c>
      <c r="B3835" s="9" t="str">
        <f>IFERROR(__xludf.DUMMYFUNCTION("""COMPUTED_VALUE"""),"KrishankantC43")</f>
        <v>KrishankantC43</v>
      </c>
      <c r="C3835" s="8">
        <f>IFERROR(__xludf.DUMMYFUNCTION("""COMPUTED_VALUE"""),1.0)</f>
        <v>1</v>
      </c>
      <c r="D3835" s="8"/>
    </row>
    <row r="3836">
      <c r="A3836" s="9" t="str">
        <f>IFERROR(__xludf.DUMMYFUNCTION("""COMPUTED_VALUE"""),"Batch 243")</f>
        <v>Batch 243</v>
      </c>
      <c r="B3836" s="9" t="str">
        <f>IFERROR(__xludf.DUMMYFUNCTION("""COMPUTED_VALUE"""),"FarhanC43")</f>
        <v>FarhanC43</v>
      </c>
      <c r="C3836" s="8">
        <f>IFERROR(__xludf.DUMMYFUNCTION("""COMPUTED_VALUE"""),0.0)</f>
        <v>0</v>
      </c>
      <c r="D3836" s="8"/>
    </row>
    <row r="3837">
      <c r="A3837" s="9" t="str">
        <f>IFERROR(__xludf.DUMMYFUNCTION("""COMPUTED_VALUE"""),"Batch 243")</f>
        <v>Batch 243</v>
      </c>
      <c r="B3837" s="9" t="str">
        <f>IFERROR(__xludf.DUMMYFUNCTION("""COMPUTED_VALUE"""),"MC43")</f>
        <v>MC43</v>
      </c>
      <c r="C3837" s="8">
        <f>IFERROR(__xludf.DUMMYFUNCTION("""COMPUTED_VALUE"""),0.0)</f>
        <v>0</v>
      </c>
      <c r="D3837" s="8"/>
    </row>
    <row r="3838">
      <c r="A3838" s="9" t="str">
        <f>IFERROR(__xludf.DUMMYFUNCTION("""COMPUTED_VALUE"""),"Batch 243")</f>
        <v>Batch 243</v>
      </c>
      <c r="B3838" s="9" t="str">
        <f>IFERROR(__xludf.DUMMYFUNCTION("""COMPUTED_VALUE"""),"RiyaC43")</f>
        <v>RiyaC43</v>
      </c>
      <c r="C3838" s="8">
        <f>IFERROR(__xludf.DUMMYFUNCTION("""COMPUTED_VALUE"""),0.0)</f>
        <v>0</v>
      </c>
      <c r="D3838" s="8"/>
    </row>
    <row r="3839">
      <c r="A3839" s="9" t="str">
        <f>IFERROR(__xludf.DUMMYFUNCTION("""COMPUTED_VALUE"""),"Batch 243")</f>
        <v>Batch 243</v>
      </c>
      <c r="B3839" s="9" t="str">
        <f>IFERROR(__xludf.DUMMYFUNCTION("""COMPUTED_VALUE"""),"MohammedC43")</f>
        <v>MohammedC43</v>
      </c>
      <c r="C3839" s="8">
        <f>IFERROR(__xludf.DUMMYFUNCTION("""COMPUTED_VALUE"""),1.0)</f>
        <v>1</v>
      </c>
      <c r="D3839" s="8"/>
    </row>
    <row r="3840">
      <c r="A3840" s="9" t="str">
        <f>IFERROR(__xludf.DUMMYFUNCTION("""COMPUTED_VALUE"""),"Batch 243")</f>
        <v>Batch 243</v>
      </c>
      <c r="B3840" s="9" t="str">
        <f>IFERROR(__xludf.DUMMYFUNCTION("""COMPUTED_VALUE"""),"PavithraC43")</f>
        <v>PavithraC43</v>
      </c>
      <c r="C3840" s="8">
        <f>IFERROR(__xludf.DUMMYFUNCTION("""COMPUTED_VALUE"""),0.0)</f>
        <v>0</v>
      </c>
      <c r="D3840" s="8"/>
    </row>
    <row r="3841">
      <c r="A3841" s="9" t="str">
        <f>IFERROR(__xludf.DUMMYFUNCTION("""COMPUTED_VALUE"""),"Batch 243")</f>
        <v>Batch 243</v>
      </c>
      <c r="B3841" s="9" t="str">
        <f>IFERROR(__xludf.DUMMYFUNCTION("""COMPUTED_VALUE"""),"TejaC43")</f>
        <v>TejaC43</v>
      </c>
      <c r="C3841" s="8">
        <f>IFERROR(__xludf.DUMMYFUNCTION("""COMPUTED_VALUE"""),3.0)</f>
        <v>3</v>
      </c>
      <c r="D3841" s="8"/>
    </row>
    <row r="3842">
      <c r="A3842" s="9" t="str">
        <f>IFERROR(__xludf.DUMMYFUNCTION("""COMPUTED_VALUE"""),"Batch 243")</f>
        <v>Batch 243</v>
      </c>
      <c r="B3842" s="9" t="str">
        <f>IFERROR(__xludf.DUMMYFUNCTION("""COMPUTED_VALUE"""),"VarshaC43")</f>
        <v>VarshaC43</v>
      </c>
      <c r="C3842" s="8">
        <f>IFERROR(__xludf.DUMMYFUNCTION("""COMPUTED_VALUE"""),0.0)</f>
        <v>0</v>
      </c>
      <c r="D3842" s="8"/>
    </row>
    <row r="3843">
      <c r="A3843" s="9" t="str">
        <f>IFERROR(__xludf.DUMMYFUNCTION("""COMPUTED_VALUE"""),"Batch 243")</f>
        <v>Batch 243</v>
      </c>
      <c r="B3843" s="9" t="str">
        <f>IFERROR(__xludf.DUMMYFUNCTION("""COMPUTED_VALUE"""),"MonikaC43")</f>
        <v>MonikaC43</v>
      </c>
      <c r="C3843" s="8">
        <f>IFERROR(__xludf.DUMMYFUNCTION("""COMPUTED_VALUE"""),1.0)</f>
        <v>1</v>
      </c>
      <c r="D3843" s="8"/>
    </row>
    <row r="3844">
      <c r="A3844" s="9" t="str">
        <f>IFERROR(__xludf.DUMMYFUNCTION("""COMPUTED_VALUE"""),"Batch 243")</f>
        <v>Batch 243</v>
      </c>
      <c r="B3844" s="9" t="str">
        <f>IFERROR(__xludf.DUMMYFUNCTION("""COMPUTED_VALUE"""),"UtkarshC43")</f>
        <v>UtkarshC43</v>
      </c>
      <c r="C3844" s="8">
        <f>IFERROR(__xludf.DUMMYFUNCTION("""COMPUTED_VALUE"""),0.0)</f>
        <v>0</v>
      </c>
      <c r="D3844" s="8"/>
    </row>
    <row r="3845">
      <c r="A3845" s="9" t="str">
        <f>IFERROR(__xludf.DUMMYFUNCTION("""COMPUTED_VALUE"""),"Batch 243")</f>
        <v>Batch 243</v>
      </c>
      <c r="B3845" s="9" t="str">
        <f>IFERROR(__xludf.DUMMYFUNCTION("""COMPUTED_VALUE"""),"BishnuC43")</f>
        <v>BishnuC43</v>
      </c>
      <c r="C3845" s="8">
        <f>IFERROR(__xludf.DUMMYFUNCTION("""COMPUTED_VALUE"""),23.0)</f>
        <v>23</v>
      </c>
      <c r="D3845" s="8">
        <f>IFERROR(__xludf.DUMMYFUNCTION("""COMPUTED_VALUE"""),1.0)</f>
        <v>1</v>
      </c>
    </row>
    <row r="3846">
      <c r="A3846" s="9" t="str">
        <f>IFERROR(__xludf.DUMMYFUNCTION("""COMPUTED_VALUE"""),"Batch 243")</f>
        <v>Batch 243</v>
      </c>
      <c r="B3846" s="9" t="str">
        <f>IFERROR(__xludf.DUMMYFUNCTION("""COMPUTED_VALUE"""),"PurvaC43")</f>
        <v>PurvaC43</v>
      </c>
      <c r="C3846" s="8">
        <f>IFERROR(__xludf.DUMMYFUNCTION("""COMPUTED_VALUE"""),0.0)</f>
        <v>0</v>
      </c>
      <c r="D3846" s="8"/>
    </row>
    <row r="3847">
      <c r="A3847" s="9" t="str">
        <f>IFERROR(__xludf.DUMMYFUNCTION("""COMPUTED_VALUE"""),"Batch 243")</f>
        <v>Batch 243</v>
      </c>
      <c r="B3847" s="9" t="str">
        <f>IFERROR(__xludf.DUMMYFUNCTION("""COMPUTED_VALUE"""),"MohammadC43")</f>
        <v>MohammadC43</v>
      </c>
      <c r="C3847" s="8">
        <f>IFERROR(__xludf.DUMMYFUNCTION("""COMPUTED_VALUE"""),0.0)</f>
        <v>0</v>
      </c>
      <c r="D3847" s="8"/>
    </row>
    <row r="3848">
      <c r="A3848" s="9" t="str">
        <f>IFERROR(__xludf.DUMMYFUNCTION("""COMPUTED_VALUE"""),"Batch 243")</f>
        <v>Batch 243</v>
      </c>
      <c r="B3848" s="9" t="str">
        <f>IFERROR(__xludf.DUMMYFUNCTION("""COMPUTED_VALUE"""),"SaddaC43")</f>
        <v>SaddaC43</v>
      </c>
      <c r="C3848" s="8">
        <f>IFERROR(__xludf.DUMMYFUNCTION("""COMPUTED_VALUE"""),0.0)</f>
        <v>0</v>
      </c>
      <c r="D3848" s="8"/>
    </row>
    <row r="3849">
      <c r="A3849" s="9" t="str">
        <f>IFERROR(__xludf.DUMMYFUNCTION("""COMPUTED_VALUE"""),"Batch 243")</f>
        <v>Batch 243</v>
      </c>
      <c r="B3849" s="9" t="str">
        <f>IFERROR(__xludf.DUMMYFUNCTION("""COMPUTED_VALUE"""),"RishikC43")</f>
        <v>RishikC43</v>
      </c>
      <c r="C3849" s="8">
        <f>IFERROR(__xludf.DUMMYFUNCTION("""COMPUTED_VALUE"""),0.0)</f>
        <v>0</v>
      </c>
      <c r="D3849" s="8"/>
    </row>
    <row r="3850">
      <c r="A3850" s="9" t="str">
        <f>IFERROR(__xludf.DUMMYFUNCTION("""COMPUTED_VALUE"""),"Batch 243")</f>
        <v>Batch 243</v>
      </c>
      <c r="B3850" s="9" t="str">
        <f>IFERROR(__xludf.DUMMYFUNCTION("""COMPUTED_VALUE"""),"MahavirC43")</f>
        <v>MahavirC43</v>
      </c>
      <c r="C3850" s="8">
        <f>IFERROR(__xludf.DUMMYFUNCTION("""COMPUTED_VALUE"""),0.0)</f>
        <v>0</v>
      </c>
      <c r="D3850" s="8"/>
    </row>
    <row r="3851">
      <c r="A3851" s="9" t="str">
        <f>IFERROR(__xludf.DUMMYFUNCTION("""COMPUTED_VALUE"""),"Batch 243")</f>
        <v>Batch 243</v>
      </c>
      <c r="B3851" s="9" t="str">
        <f>IFERROR(__xludf.DUMMYFUNCTION("""COMPUTED_VALUE"""),"TarunC43")</f>
        <v>TarunC43</v>
      </c>
      <c r="C3851" s="8">
        <f>IFERROR(__xludf.DUMMYFUNCTION("""COMPUTED_VALUE"""),0.0)</f>
        <v>0</v>
      </c>
      <c r="D3851" s="8"/>
    </row>
    <row r="3852">
      <c r="A3852" s="9" t="str">
        <f>IFERROR(__xludf.DUMMYFUNCTION("""COMPUTED_VALUE"""),"Batch 243")</f>
        <v>Batch 243</v>
      </c>
      <c r="B3852" s="9" t="str">
        <f>IFERROR(__xludf.DUMMYFUNCTION("""COMPUTED_VALUE"""),"HrishitaC43")</f>
        <v>HrishitaC43</v>
      </c>
      <c r="C3852" s="8">
        <f>IFERROR(__xludf.DUMMYFUNCTION("""COMPUTED_VALUE"""),0.0)</f>
        <v>0</v>
      </c>
      <c r="D3852" s="8"/>
    </row>
    <row r="3853">
      <c r="A3853" s="9" t="str">
        <f>IFERROR(__xludf.DUMMYFUNCTION("""COMPUTED_VALUE"""),"Batch 243")</f>
        <v>Batch 243</v>
      </c>
      <c r="B3853" s="9" t="str">
        <f>IFERROR(__xludf.DUMMYFUNCTION("""COMPUTED_VALUE"""),"GokulC43")</f>
        <v>GokulC43</v>
      </c>
      <c r="C3853" s="8">
        <f>IFERROR(__xludf.DUMMYFUNCTION("""COMPUTED_VALUE"""),0.0)</f>
        <v>0</v>
      </c>
      <c r="D3853" s="8"/>
    </row>
    <row r="3854">
      <c r="A3854" s="9" t="str">
        <f>IFERROR(__xludf.DUMMYFUNCTION("""COMPUTED_VALUE"""),"Batch 243")</f>
        <v>Batch 243</v>
      </c>
      <c r="B3854" s="9" t="str">
        <f>IFERROR(__xludf.DUMMYFUNCTION("""COMPUTED_VALUE"""),"AashishC43")</f>
        <v>AashishC43</v>
      </c>
      <c r="C3854" s="8">
        <f>IFERROR(__xludf.DUMMYFUNCTION("""COMPUTED_VALUE"""),0.0)</f>
        <v>0</v>
      </c>
      <c r="D3854" s="8"/>
    </row>
    <row r="3855">
      <c r="A3855" s="9" t="str">
        <f>IFERROR(__xludf.DUMMYFUNCTION("""COMPUTED_VALUE"""),"Batch 243")</f>
        <v>Batch 243</v>
      </c>
      <c r="B3855" s="9" t="str">
        <f>IFERROR(__xludf.DUMMYFUNCTION("""COMPUTED_VALUE"""),"AryanC43")</f>
        <v>AryanC43</v>
      </c>
      <c r="C3855" s="8">
        <f>IFERROR(__xludf.DUMMYFUNCTION("""COMPUTED_VALUE"""),0.0)</f>
        <v>0</v>
      </c>
      <c r="D3855" s="8"/>
    </row>
    <row r="3856">
      <c r="A3856" s="9" t="str">
        <f>IFERROR(__xludf.DUMMYFUNCTION("""COMPUTED_VALUE"""),"Batch 243")</f>
        <v>Batch 243</v>
      </c>
      <c r="B3856" s="9" t="str">
        <f>IFERROR(__xludf.DUMMYFUNCTION("""COMPUTED_VALUE"""),"RenolineC43")</f>
        <v>RenolineC43</v>
      </c>
      <c r="C3856" s="8">
        <f>IFERROR(__xludf.DUMMYFUNCTION("""COMPUTED_VALUE"""),0.0)</f>
        <v>0</v>
      </c>
      <c r="D3856" s="8"/>
    </row>
    <row r="3857">
      <c r="A3857" s="9" t="str">
        <f>IFERROR(__xludf.DUMMYFUNCTION("""COMPUTED_VALUE"""),"Batch 243")</f>
        <v>Batch 243</v>
      </c>
      <c r="B3857" s="9" t="str">
        <f>IFERROR(__xludf.DUMMYFUNCTION("""COMPUTED_VALUE"""),"HarnimarC43")</f>
        <v>HarnimarC43</v>
      </c>
      <c r="C3857" s="8">
        <f>IFERROR(__xludf.DUMMYFUNCTION("""COMPUTED_VALUE"""),60.0)</f>
        <v>60</v>
      </c>
      <c r="D3857" s="8">
        <f>IFERROR(__xludf.DUMMYFUNCTION("""COMPUTED_VALUE"""),13.0)</f>
        <v>13</v>
      </c>
    </row>
    <row r="3858">
      <c r="A3858" s="9" t="str">
        <f>IFERROR(__xludf.DUMMYFUNCTION("""COMPUTED_VALUE"""),"Batch 243")</f>
        <v>Batch 243</v>
      </c>
      <c r="B3858" s="9" t="str">
        <f>IFERROR(__xludf.DUMMYFUNCTION("""COMPUTED_VALUE"""),"ShahimAkbarC43")</f>
        <v>ShahimAkbarC43</v>
      </c>
      <c r="C3858" s="8">
        <f>IFERROR(__xludf.DUMMYFUNCTION("""COMPUTED_VALUE"""),0.0)</f>
        <v>0</v>
      </c>
      <c r="D3858" s="8"/>
    </row>
    <row r="3859">
      <c r="A3859" s="9" t="str">
        <f>IFERROR(__xludf.DUMMYFUNCTION("""COMPUTED_VALUE"""),"Batch 243")</f>
        <v>Batch 243</v>
      </c>
      <c r="B3859" s="9" t="str">
        <f>IFERROR(__xludf.DUMMYFUNCTION("""COMPUTED_VALUE"""),"KeertiC43")</f>
        <v>KeertiC43</v>
      </c>
      <c r="C3859" s="8">
        <f>IFERROR(__xludf.DUMMYFUNCTION("""COMPUTED_VALUE"""),0.0)</f>
        <v>0</v>
      </c>
      <c r="D3859" s="8"/>
    </row>
    <row r="3860">
      <c r="A3860" s="9"/>
      <c r="B3860" s="9"/>
      <c r="C3860" s="8">
        <f>IFERROR(__xludf.DUMMYFUNCTION("""COMPUTED_VALUE"""),0.0)</f>
        <v>0</v>
      </c>
      <c r="D3860" s="8"/>
    </row>
    <row r="3861">
      <c r="A3861" s="9" t="str">
        <f>IFERROR(__xludf.DUMMYFUNCTION("""COMPUTED_VALUE"""),"Batch 244")</f>
        <v>Batch 244</v>
      </c>
      <c r="B3861" s="9" t="str">
        <f>IFERROR(__xludf.DUMMYFUNCTION("""COMPUTED_VALUE"""),"CheruvuC44")</f>
        <v>CheruvuC44</v>
      </c>
      <c r="C3861" s="8">
        <f>IFERROR(__xludf.DUMMYFUNCTION("""COMPUTED_VALUE"""),2.0)</f>
        <v>2</v>
      </c>
      <c r="D3861" s="8"/>
    </row>
    <row r="3862">
      <c r="A3862" s="9" t="str">
        <f>IFERROR(__xludf.DUMMYFUNCTION("""COMPUTED_VALUE"""),"Batch 244")</f>
        <v>Batch 244</v>
      </c>
      <c r="B3862" s="9" t="str">
        <f>IFERROR(__xludf.DUMMYFUNCTION("""COMPUTED_VALUE"""),"MehakC44")</f>
        <v>MehakC44</v>
      </c>
      <c r="C3862" s="8">
        <f>IFERROR(__xludf.DUMMYFUNCTION("""COMPUTED_VALUE"""),0.0)</f>
        <v>0</v>
      </c>
      <c r="D3862" s="8"/>
    </row>
    <row r="3863">
      <c r="A3863" s="9" t="str">
        <f>IFERROR(__xludf.DUMMYFUNCTION("""COMPUTED_VALUE"""),"Batch 244")</f>
        <v>Batch 244</v>
      </c>
      <c r="B3863" s="9" t="str">
        <f>IFERROR(__xludf.DUMMYFUNCTION("""COMPUTED_VALUE"""),"AmanC44")</f>
        <v>AmanC44</v>
      </c>
      <c r="C3863" s="8">
        <f>IFERROR(__xludf.DUMMYFUNCTION("""COMPUTED_VALUE"""),0.0)</f>
        <v>0</v>
      </c>
      <c r="D3863" s="8"/>
    </row>
    <row r="3864">
      <c r="A3864" s="9" t="str">
        <f>IFERROR(__xludf.DUMMYFUNCTION("""COMPUTED_VALUE"""),"Batch 244")</f>
        <v>Batch 244</v>
      </c>
      <c r="B3864" s="9" t="str">
        <f>IFERROR(__xludf.DUMMYFUNCTION("""COMPUTED_VALUE"""),"AadhavanC44")</f>
        <v>AadhavanC44</v>
      </c>
      <c r="C3864" s="8">
        <f>IFERROR(__xludf.DUMMYFUNCTION("""COMPUTED_VALUE"""),0.0)</f>
        <v>0</v>
      </c>
      <c r="D3864" s="8"/>
    </row>
    <row r="3865">
      <c r="A3865" s="9" t="str">
        <f>IFERROR(__xludf.DUMMYFUNCTION("""COMPUTED_VALUE"""),"Batch 244")</f>
        <v>Batch 244</v>
      </c>
      <c r="B3865" s="9" t="str">
        <f>IFERROR(__xludf.DUMMYFUNCTION("""COMPUTED_VALUE"""),"ShriramC44")</f>
        <v>ShriramC44</v>
      </c>
      <c r="C3865" s="8">
        <f>IFERROR(__xludf.DUMMYFUNCTION("""COMPUTED_VALUE"""),6.0)</f>
        <v>6</v>
      </c>
      <c r="D3865" s="8"/>
    </row>
    <row r="3866">
      <c r="A3866" s="9" t="str">
        <f>IFERROR(__xludf.DUMMYFUNCTION("""COMPUTED_VALUE"""),"Batch 244")</f>
        <v>Batch 244</v>
      </c>
      <c r="B3866" s="9" t="str">
        <f>IFERROR(__xludf.DUMMYFUNCTION("""COMPUTED_VALUE"""),"MuddabbirC44")</f>
        <v>MuddabbirC44</v>
      </c>
      <c r="C3866" s="8">
        <f>IFERROR(__xludf.DUMMYFUNCTION("""COMPUTED_VALUE"""),0.0)</f>
        <v>0</v>
      </c>
      <c r="D3866" s="8"/>
    </row>
    <row r="3867">
      <c r="A3867" s="9" t="str">
        <f>IFERROR(__xludf.DUMMYFUNCTION("""COMPUTED_VALUE"""),"Batch 244")</f>
        <v>Batch 244</v>
      </c>
      <c r="B3867" s="9" t="str">
        <f>IFERROR(__xludf.DUMMYFUNCTION("""COMPUTED_VALUE"""),"BasireddyC44")</f>
        <v>BasireddyC44</v>
      </c>
      <c r="C3867" s="8">
        <f>IFERROR(__xludf.DUMMYFUNCTION("""COMPUTED_VALUE"""),0.0)</f>
        <v>0</v>
      </c>
      <c r="D3867" s="8"/>
    </row>
    <row r="3868">
      <c r="A3868" s="9" t="str">
        <f>IFERROR(__xludf.DUMMYFUNCTION("""COMPUTED_VALUE"""),"Batch 244")</f>
        <v>Batch 244</v>
      </c>
      <c r="B3868" s="9" t="str">
        <f>IFERROR(__xludf.DUMMYFUNCTION("""COMPUTED_VALUE"""),"AnubhiC44")</f>
        <v>AnubhiC44</v>
      </c>
      <c r="C3868" s="8">
        <f>IFERROR(__xludf.DUMMYFUNCTION("""COMPUTED_VALUE"""),0.0)</f>
        <v>0</v>
      </c>
      <c r="D3868" s="8"/>
    </row>
    <row r="3869">
      <c r="A3869" s="9" t="str">
        <f>IFERROR(__xludf.DUMMYFUNCTION("""COMPUTED_VALUE"""),"Batch 244")</f>
        <v>Batch 244</v>
      </c>
      <c r="B3869" s="9" t="str">
        <f>IFERROR(__xludf.DUMMYFUNCTION("""COMPUTED_VALUE"""),"AlokC44")</f>
        <v>AlokC44</v>
      </c>
      <c r="C3869" s="8">
        <f>IFERROR(__xludf.DUMMYFUNCTION("""COMPUTED_VALUE"""),7.0)</f>
        <v>7</v>
      </c>
      <c r="D3869" s="8">
        <f>IFERROR(__xludf.DUMMYFUNCTION("""COMPUTED_VALUE"""),1.0)</f>
        <v>1</v>
      </c>
    </row>
    <row r="3870">
      <c r="A3870" s="9" t="str">
        <f>IFERROR(__xludf.DUMMYFUNCTION("""COMPUTED_VALUE"""),"Batch 244")</f>
        <v>Batch 244</v>
      </c>
      <c r="B3870" s="9" t="str">
        <f>IFERROR(__xludf.DUMMYFUNCTION("""COMPUTED_VALUE"""),"MaribC44")</f>
        <v>MaribC44</v>
      </c>
      <c r="C3870" s="8">
        <f>IFERROR(__xludf.DUMMYFUNCTION("""COMPUTED_VALUE"""),0.0)</f>
        <v>0</v>
      </c>
      <c r="D3870" s="8"/>
    </row>
    <row r="3871">
      <c r="A3871" s="9" t="str">
        <f>IFERROR(__xludf.DUMMYFUNCTION("""COMPUTED_VALUE"""),"Batch 244")</f>
        <v>Batch 244</v>
      </c>
      <c r="B3871" s="9" t="str">
        <f>IFERROR(__xludf.DUMMYFUNCTION("""COMPUTED_VALUE"""),"PalakC44")</f>
        <v>PalakC44</v>
      </c>
      <c r="C3871" s="8">
        <f>IFERROR(__xludf.DUMMYFUNCTION("""COMPUTED_VALUE"""),0.0)</f>
        <v>0</v>
      </c>
      <c r="D3871" s="8"/>
    </row>
    <row r="3872">
      <c r="A3872" s="9" t="str">
        <f>IFERROR(__xludf.DUMMYFUNCTION("""COMPUTED_VALUE"""),"Batch 244")</f>
        <v>Batch 244</v>
      </c>
      <c r="B3872" s="9" t="str">
        <f>IFERROR(__xludf.DUMMYFUNCTION("""COMPUTED_VALUE"""),"ManitC44")</f>
        <v>ManitC44</v>
      </c>
      <c r="C3872" s="8">
        <f>IFERROR(__xludf.DUMMYFUNCTION("""COMPUTED_VALUE"""),0.0)</f>
        <v>0</v>
      </c>
      <c r="D3872" s="8"/>
    </row>
    <row r="3873">
      <c r="A3873" s="9" t="str">
        <f>IFERROR(__xludf.DUMMYFUNCTION("""COMPUTED_VALUE"""),"Batch 244")</f>
        <v>Batch 244</v>
      </c>
      <c r="B3873" s="9" t="str">
        <f>IFERROR(__xludf.DUMMYFUNCTION("""COMPUTED_VALUE"""),"EshaC44")</f>
        <v>EshaC44</v>
      </c>
      <c r="C3873" s="8">
        <f>IFERROR(__xludf.DUMMYFUNCTION("""COMPUTED_VALUE"""),0.0)</f>
        <v>0</v>
      </c>
      <c r="D3873" s="8"/>
    </row>
    <row r="3874">
      <c r="A3874" s="9" t="str">
        <f>IFERROR(__xludf.DUMMYFUNCTION("""COMPUTED_VALUE"""),"Batch 244")</f>
        <v>Batch 244</v>
      </c>
      <c r="B3874" s="9" t="str">
        <f>IFERROR(__xludf.DUMMYFUNCTION("""COMPUTED_VALUE"""),"HarshitC44")</f>
        <v>HarshitC44</v>
      </c>
      <c r="C3874" s="8">
        <f>IFERROR(__xludf.DUMMYFUNCTION("""COMPUTED_VALUE"""),0.0)</f>
        <v>0</v>
      </c>
      <c r="D3874" s="8"/>
    </row>
    <row r="3875">
      <c r="A3875" s="9" t="str">
        <f>IFERROR(__xludf.DUMMYFUNCTION("""COMPUTED_VALUE"""),"Batch 244")</f>
        <v>Batch 244</v>
      </c>
      <c r="B3875" s="9" t="str">
        <f>IFERROR(__xludf.DUMMYFUNCTION("""COMPUTED_VALUE"""),"AnuragC44")</f>
        <v>AnuragC44</v>
      </c>
      <c r="C3875" s="8">
        <f>IFERROR(__xludf.DUMMYFUNCTION("""COMPUTED_VALUE"""),0.0)</f>
        <v>0</v>
      </c>
      <c r="D3875" s="8"/>
    </row>
    <row r="3876">
      <c r="A3876" s="9" t="str">
        <f>IFERROR(__xludf.DUMMYFUNCTION("""COMPUTED_VALUE"""),"Batch 244")</f>
        <v>Batch 244</v>
      </c>
      <c r="B3876" s="9" t="str">
        <f>IFERROR(__xludf.DUMMYFUNCTION("""COMPUTED_VALUE"""),"KanikaC44")</f>
        <v>KanikaC44</v>
      </c>
      <c r="C3876" s="8">
        <f>IFERROR(__xludf.DUMMYFUNCTION("""COMPUTED_VALUE"""),0.0)</f>
        <v>0</v>
      </c>
      <c r="D3876" s="8"/>
    </row>
    <row r="3877">
      <c r="A3877" s="9" t="str">
        <f>IFERROR(__xludf.DUMMYFUNCTION("""COMPUTED_VALUE"""),"Batch 244")</f>
        <v>Batch 244</v>
      </c>
      <c r="B3877" s="9" t="str">
        <f>IFERROR(__xludf.DUMMYFUNCTION("""COMPUTED_VALUE"""),"PratiikC44")</f>
        <v>PratiikC44</v>
      </c>
      <c r="C3877" s="8">
        <f>IFERROR(__xludf.DUMMYFUNCTION("""COMPUTED_VALUE"""),0.0)</f>
        <v>0</v>
      </c>
      <c r="D3877" s="8"/>
    </row>
    <row r="3878">
      <c r="A3878" s="9" t="str">
        <f>IFERROR(__xludf.DUMMYFUNCTION("""COMPUTED_VALUE"""),"Batch 244")</f>
        <v>Batch 244</v>
      </c>
      <c r="B3878" s="9" t="str">
        <f>IFERROR(__xludf.DUMMYFUNCTION("""COMPUTED_VALUE"""),"AnkitC44")</f>
        <v>AnkitC44</v>
      </c>
      <c r="C3878" s="8">
        <f>IFERROR(__xludf.DUMMYFUNCTION("""COMPUTED_VALUE"""),0.0)</f>
        <v>0</v>
      </c>
      <c r="D3878" s="8"/>
    </row>
    <row r="3879">
      <c r="A3879" s="9" t="str">
        <f>IFERROR(__xludf.DUMMYFUNCTION("""COMPUTED_VALUE"""),"Batch 244")</f>
        <v>Batch 244</v>
      </c>
      <c r="B3879" s="9" t="str">
        <f>IFERROR(__xludf.DUMMYFUNCTION("""COMPUTED_VALUE"""),"NavneetaC44")</f>
        <v>NavneetaC44</v>
      </c>
      <c r="C3879" s="8">
        <f>IFERROR(__xludf.DUMMYFUNCTION("""COMPUTED_VALUE"""),0.0)</f>
        <v>0</v>
      </c>
      <c r="D3879" s="8"/>
    </row>
    <row r="3880">
      <c r="A3880" s="9"/>
      <c r="B3880" s="9"/>
      <c r="C3880" s="8">
        <f>IFERROR(__xludf.DUMMYFUNCTION("""COMPUTED_VALUE"""),0.0)</f>
        <v>0</v>
      </c>
      <c r="D3880" s="8"/>
    </row>
    <row r="3881">
      <c r="A3881" s="9" t="str">
        <f>IFERROR(__xludf.DUMMYFUNCTION("""COMPUTED_VALUE"""),"Batch 245")</f>
        <v>Batch 245</v>
      </c>
      <c r="B3881" s="9" t="str">
        <f>IFERROR(__xludf.DUMMYFUNCTION("""COMPUTED_VALUE"""),"ShreyC45")</f>
        <v>ShreyC45</v>
      </c>
      <c r="C3881" s="8">
        <f>IFERROR(__xludf.DUMMYFUNCTION("""COMPUTED_VALUE"""),0.0)</f>
        <v>0</v>
      </c>
      <c r="D3881" s="8"/>
    </row>
    <row r="3882">
      <c r="A3882" s="9" t="str">
        <f>IFERROR(__xludf.DUMMYFUNCTION("""COMPUTED_VALUE"""),"Batch 245")</f>
        <v>Batch 245</v>
      </c>
      <c r="B3882" s="9" t="str">
        <f>IFERROR(__xludf.DUMMYFUNCTION("""COMPUTED_VALUE"""),"AnshikaC45")</f>
        <v>AnshikaC45</v>
      </c>
      <c r="C3882" s="8">
        <f>IFERROR(__xludf.DUMMYFUNCTION("""COMPUTED_VALUE"""),0.0)</f>
        <v>0</v>
      </c>
      <c r="D3882" s="8"/>
    </row>
    <row r="3883">
      <c r="A3883" s="9" t="str">
        <f>IFERROR(__xludf.DUMMYFUNCTION("""COMPUTED_VALUE"""),"Batch 245")</f>
        <v>Batch 245</v>
      </c>
      <c r="B3883" s="9" t="str">
        <f>IFERROR(__xludf.DUMMYFUNCTION("""COMPUTED_VALUE"""),"HiyatiC45")</f>
        <v>HiyatiC45</v>
      </c>
      <c r="C3883" s="8">
        <f>IFERROR(__xludf.DUMMYFUNCTION("""COMPUTED_VALUE"""),0.0)</f>
        <v>0</v>
      </c>
      <c r="D3883" s="8"/>
    </row>
    <row r="3884">
      <c r="A3884" s="9" t="str">
        <f>IFERROR(__xludf.DUMMYFUNCTION("""COMPUTED_VALUE"""),"Batch 245")</f>
        <v>Batch 245</v>
      </c>
      <c r="B3884" s="9" t="str">
        <f>IFERROR(__xludf.DUMMYFUNCTION("""COMPUTED_VALUE"""),"KanishkaC45")</f>
        <v>KanishkaC45</v>
      </c>
      <c r="C3884" s="8">
        <f>IFERROR(__xludf.DUMMYFUNCTION("""COMPUTED_VALUE"""),0.0)</f>
        <v>0</v>
      </c>
      <c r="D3884" s="8"/>
    </row>
    <row r="3885">
      <c r="A3885" s="9" t="str">
        <f>IFERROR(__xludf.DUMMYFUNCTION("""COMPUTED_VALUE"""),"Batch 245")</f>
        <v>Batch 245</v>
      </c>
      <c r="B3885" s="9" t="str">
        <f>IFERROR(__xludf.DUMMYFUNCTION("""COMPUTED_VALUE"""),"AnushkaC45")</f>
        <v>AnushkaC45</v>
      </c>
      <c r="C3885" s="8">
        <f>IFERROR(__xludf.DUMMYFUNCTION("""COMPUTED_VALUE"""),0.0)</f>
        <v>0</v>
      </c>
      <c r="D3885" s="8"/>
    </row>
    <row r="3886">
      <c r="A3886" s="9" t="str">
        <f>IFERROR(__xludf.DUMMYFUNCTION("""COMPUTED_VALUE"""),"Batch 245")</f>
        <v>Batch 245</v>
      </c>
      <c r="B3886" s="9" t="str">
        <f>IFERROR(__xludf.DUMMYFUNCTION("""COMPUTED_VALUE"""),"DaemC45")</f>
        <v>DaemC45</v>
      </c>
      <c r="C3886" s="8">
        <f>IFERROR(__xludf.DUMMYFUNCTION("""COMPUTED_VALUE"""),0.0)</f>
        <v>0</v>
      </c>
      <c r="D3886" s="8"/>
    </row>
    <row r="3887">
      <c r="A3887" s="9" t="str">
        <f>IFERROR(__xludf.DUMMYFUNCTION("""COMPUTED_VALUE"""),"Batch 245")</f>
        <v>Batch 245</v>
      </c>
      <c r="B3887" s="9" t="str">
        <f>IFERROR(__xludf.DUMMYFUNCTION("""COMPUTED_VALUE"""),"HimanshuC45")</f>
        <v>HimanshuC45</v>
      </c>
      <c r="C3887" s="8">
        <f>IFERROR(__xludf.DUMMYFUNCTION("""COMPUTED_VALUE"""),0.0)</f>
        <v>0</v>
      </c>
      <c r="D3887" s="8"/>
    </row>
    <row r="3888">
      <c r="A3888" s="9" t="str">
        <f>IFERROR(__xludf.DUMMYFUNCTION("""COMPUTED_VALUE"""),"Batch 245")</f>
        <v>Batch 245</v>
      </c>
      <c r="B3888" s="9" t="str">
        <f>IFERROR(__xludf.DUMMYFUNCTION("""COMPUTED_VALUE"""),"SudheerC45")</f>
        <v>SudheerC45</v>
      </c>
      <c r="C3888" s="8">
        <f>IFERROR(__xludf.DUMMYFUNCTION("""COMPUTED_VALUE"""),0.0)</f>
        <v>0</v>
      </c>
      <c r="D3888" s="8"/>
    </row>
    <row r="3889">
      <c r="A3889" s="9" t="str">
        <f>IFERROR(__xludf.DUMMYFUNCTION("""COMPUTED_VALUE"""),"Batch 245")</f>
        <v>Batch 245</v>
      </c>
      <c r="B3889" s="9" t="str">
        <f>IFERROR(__xludf.DUMMYFUNCTION("""COMPUTED_VALUE"""),"BALAJIC45")</f>
        <v>BALAJIC45</v>
      </c>
      <c r="C3889" s="8">
        <f>IFERROR(__xludf.DUMMYFUNCTION("""COMPUTED_VALUE"""),0.0)</f>
        <v>0</v>
      </c>
      <c r="D3889" s="8"/>
    </row>
    <row r="3890">
      <c r="A3890" s="9" t="str">
        <f>IFERROR(__xludf.DUMMYFUNCTION("""COMPUTED_VALUE"""),"Batch 245")</f>
        <v>Batch 245</v>
      </c>
      <c r="B3890" s="9" t="str">
        <f>IFERROR(__xludf.DUMMYFUNCTION("""COMPUTED_VALUE"""),"JhilikghosalC45")</f>
        <v>JhilikghosalC45</v>
      </c>
      <c r="C3890" s="8">
        <f>IFERROR(__xludf.DUMMYFUNCTION("""COMPUTED_VALUE"""),0.0)</f>
        <v>0</v>
      </c>
      <c r="D3890" s="8"/>
    </row>
    <row r="3891">
      <c r="A3891" s="9" t="str">
        <f>IFERROR(__xludf.DUMMYFUNCTION("""COMPUTED_VALUE"""),"Batch 245")</f>
        <v>Batch 245</v>
      </c>
      <c r="B3891" s="9" t="str">
        <f>IFERROR(__xludf.DUMMYFUNCTION("""COMPUTED_VALUE"""),"VishwaC45")</f>
        <v>VishwaC45</v>
      </c>
      <c r="C3891" s="8">
        <f>IFERROR(__xludf.DUMMYFUNCTION("""COMPUTED_VALUE"""),2.0)</f>
        <v>2</v>
      </c>
      <c r="D3891" s="8"/>
    </row>
    <row r="3892">
      <c r="A3892" s="9" t="str">
        <f>IFERROR(__xludf.DUMMYFUNCTION("""COMPUTED_VALUE"""),"Batch 245")</f>
        <v>Batch 245</v>
      </c>
      <c r="B3892" s="9" t="str">
        <f>IFERROR(__xludf.DUMMYFUNCTION("""COMPUTED_VALUE"""),"K.SiriC45")</f>
        <v>K.SiriC45</v>
      </c>
      <c r="C3892" s="8">
        <f>IFERROR(__xludf.DUMMYFUNCTION("""COMPUTED_VALUE"""),0.0)</f>
        <v>0</v>
      </c>
      <c r="D3892" s="8"/>
    </row>
    <row r="3893">
      <c r="A3893" s="9" t="str">
        <f>IFERROR(__xludf.DUMMYFUNCTION("""COMPUTED_VALUE"""),"Batch 245")</f>
        <v>Batch 245</v>
      </c>
      <c r="B3893" s="9" t="str">
        <f>IFERROR(__xludf.DUMMYFUNCTION("""COMPUTED_VALUE"""),"AnushkaC45")</f>
        <v>AnushkaC45</v>
      </c>
      <c r="C3893" s="8">
        <f>IFERROR(__xludf.DUMMYFUNCTION("""COMPUTED_VALUE"""),0.0)</f>
        <v>0</v>
      </c>
      <c r="D3893" s="8"/>
    </row>
    <row r="3894">
      <c r="A3894" s="9" t="str">
        <f>IFERROR(__xludf.DUMMYFUNCTION("""COMPUTED_VALUE"""),"Batch 245")</f>
        <v>Batch 245</v>
      </c>
      <c r="B3894" s="9" t="str">
        <f>IFERROR(__xludf.DUMMYFUNCTION("""COMPUTED_VALUE"""),"HimadriC45")</f>
        <v>HimadriC45</v>
      </c>
      <c r="C3894" s="8">
        <f>IFERROR(__xludf.DUMMYFUNCTION("""COMPUTED_VALUE"""),0.0)</f>
        <v>0</v>
      </c>
      <c r="D3894" s="8"/>
    </row>
    <row r="3895">
      <c r="A3895" s="9" t="str">
        <f>IFERROR(__xludf.DUMMYFUNCTION("""COMPUTED_VALUE"""),"Batch 245")</f>
        <v>Batch 245</v>
      </c>
      <c r="B3895" s="9" t="str">
        <f>IFERROR(__xludf.DUMMYFUNCTION("""COMPUTED_VALUE"""),"LAKSHC45")</f>
        <v>LAKSHC45</v>
      </c>
      <c r="C3895" s="8">
        <f>IFERROR(__xludf.DUMMYFUNCTION("""COMPUTED_VALUE"""),0.0)</f>
        <v>0</v>
      </c>
      <c r="D3895" s="8"/>
    </row>
    <row r="3896">
      <c r="A3896" s="9" t="str">
        <f>IFERROR(__xludf.DUMMYFUNCTION("""COMPUTED_VALUE"""),"Batch 245")</f>
        <v>Batch 245</v>
      </c>
      <c r="B3896" s="9" t="str">
        <f>IFERROR(__xludf.DUMMYFUNCTION("""COMPUTED_VALUE"""),"KadigariC45")</f>
        <v>KadigariC45</v>
      </c>
      <c r="C3896" s="8">
        <f>IFERROR(__xludf.DUMMYFUNCTION("""COMPUTED_VALUE"""),0.0)</f>
        <v>0</v>
      </c>
      <c r="D3896" s="8">
        <f>IFERROR(__xludf.DUMMYFUNCTION("""COMPUTED_VALUE"""),2.0)</f>
        <v>2</v>
      </c>
    </row>
    <row r="3897">
      <c r="A3897" s="9" t="str">
        <f>IFERROR(__xludf.DUMMYFUNCTION("""COMPUTED_VALUE"""),"Batch 245")</f>
        <v>Batch 245</v>
      </c>
      <c r="B3897" s="9" t="str">
        <f>IFERROR(__xludf.DUMMYFUNCTION("""COMPUTED_VALUE"""),"UjjavalC45")</f>
        <v>UjjavalC45</v>
      </c>
      <c r="C3897" s="8">
        <f>IFERROR(__xludf.DUMMYFUNCTION("""COMPUTED_VALUE"""),0.0)</f>
        <v>0</v>
      </c>
      <c r="D3897" s="8"/>
    </row>
    <row r="3898">
      <c r="A3898" s="9" t="str">
        <f>IFERROR(__xludf.DUMMYFUNCTION("""COMPUTED_VALUE"""),"Batch 245")</f>
        <v>Batch 245</v>
      </c>
      <c r="B3898" s="9" t="str">
        <f>IFERROR(__xludf.DUMMYFUNCTION("""COMPUTED_VALUE"""),"ArpitaC45")</f>
        <v>ArpitaC45</v>
      </c>
      <c r="C3898" s="8">
        <f>IFERROR(__xludf.DUMMYFUNCTION("""COMPUTED_VALUE"""),0.0)</f>
        <v>0</v>
      </c>
      <c r="D3898" s="8"/>
    </row>
    <row r="3899">
      <c r="A3899" s="9" t="str">
        <f>IFERROR(__xludf.DUMMYFUNCTION("""COMPUTED_VALUE"""),"Batch 245")</f>
        <v>Batch 245</v>
      </c>
      <c r="B3899" s="9" t="str">
        <f>IFERROR(__xludf.DUMMYFUNCTION("""COMPUTED_VALUE"""),"PriteshC45")</f>
        <v>PriteshC45</v>
      </c>
      <c r="C3899" s="8">
        <f>IFERROR(__xludf.DUMMYFUNCTION("""COMPUTED_VALUE"""),0.0)</f>
        <v>0</v>
      </c>
      <c r="D3899" s="8"/>
    </row>
    <row r="3900">
      <c r="A3900" s="9" t="str">
        <f>IFERROR(__xludf.DUMMYFUNCTION("""COMPUTED_VALUE"""),"Batch 245")</f>
        <v>Batch 245</v>
      </c>
      <c r="B3900" s="9" t="str">
        <f>IFERROR(__xludf.DUMMYFUNCTION("""COMPUTED_VALUE"""),"PrathamC45")</f>
        <v>PrathamC45</v>
      </c>
      <c r="C3900" s="8">
        <f>IFERROR(__xludf.DUMMYFUNCTION("""COMPUTED_VALUE"""),0.0)</f>
        <v>0</v>
      </c>
      <c r="D3900" s="8">
        <f>IFERROR(__xludf.DUMMYFUNCTION("""COMPUTED_VALUE"""),5.0)</f>
        <v>5</v>
      </c>
    </row>
    <row r="3901">
      <c r="A3901" s="9" t="str">
        <f>IFERROR(__xludf.DUMMYFUNCTION("""COMPUTED_VALUE"""),"Batch 245")</f>
        <v>Batch 245</v>
      </c>
      <c r="B3901" s="9" t="str">
        <f>IFERROR(__xludf.DUMMYFUNCTION("""COMPUTED_VALUE"""),"FaizaC45")</f>
        <v>FaizaC45</v>
      </c>
      <c r="C3901" s="8">
        <f>IFERROR(__xludf.DUMMYFUNCTION("""COMPUTED_VALUE"""),0.0)</f>
        <v>0</v>
      </c>
      <c r="D3901" s="8"/>
    </row>
    <row r="3902">
      <c r="A3902" s="9" t="str">
        <f>IFERROR(__xludf.DUMMYFUNCTION("""COMPUTED_VALUE"""),"Batch 245")</f>
        <v>Batch 245</v>
      </c>
      <c r="B3902" s="9" t="str">
        <f>IFERROR(__xludf.DUMMYFUNCTION("""COMPUTED_VALUE"""),"AnshulC45")</f>
        <v>AnshulC45</v>
      </c>
      <c r="C3902" s="8">
        <f>IFERROR(__xludf.DUMMYFUNCTION("""COMPUTED_VALUE"""),0.0)</f>
        <v>0</v>
      </c>
      <c r="D3902" s="8"/>
    </row>
    <row r="3903">
      <c r="A3903" s="9" t="str">
        <f>IFERROR(__xludf.DUMMYFUNCTION("""COMPUTED_VALUE"""),"Batch 245")</f>
        <v>Batch 245</v>
      </c>
      <c r="B3903" s="9" t="str">
        <f>IFERROR(__xludf.DUMMYFUNCTION("""COMPUTED_VALUE"""),"KomalC45")</f>
        <v>KomalC45</v>
      </c>
      <c r="C3903" s="8">
        <f>IFERROR(__xludf.DUMMYFUNCTION("""COMPUTED_VALUE"""),0.0)</f>
        <v>0</v>
      </c>
      <c r="D3903" s="8"/>
    </row>
    <row r="3904">
      <c r="A3904" s="9" t="str">
        <f>IFERROR(__xludf.DUMMYFUNCTION("""COMPUTED_VALUE"""),"Batch 245")</f>
        <v>Batch 245</v>
      </c>
      <c r="B3904" s="9" t="str">
        <f>IFERROR(__xludf.DUMMYFUNCTION("""COMPUTED_VALUE"""),"HimanshiC45")</f>
        <v>HimanshiC45</v>
      </c>
      <c r="C3904" s="8">
        <f>IFERROR(__xludf.DUMMYFUNCTION("""COMPUTED_VALUE"""),0.0)</f>
        <v>0</v>
      </c>
      <c r="D3904" s="8"/>
    </row>
    <row r="3905">
      <c r="A3905" s="9" t="str">
        <f>IFERROR(__xludf.DUMMYFUNCTION("""COMPUTED_VALUE"""),"Batch 245")</f>
        <v>Batch 245</v>
      </c>
      <c r="B3905" s="9" t="str">
        <f>IFERROR(__xludf.DUMMYFUNCTION("""COMPUTED_VALUE"""),"SC45")</f>
        <v>SC45</v>
      </c>
      <c r="C3905" s="8">
        <f>IFERROR(__xludf.DUMMYFUNCTION("""COMPUTED_VALUE"""),0.0)</f>
        <v>0</v>
      </c>
      <c r="D3905" s="8"/>
    </row>
    <row r="3906">
      <c r="A3906" s="9" t="str">
        <f>IFERROR(__xludf.DUMMYFUNCTION("""COMPUTED_VALUE"""),"Batch 245")</f>
        <v>Batch 245</v>
      </c>
      <c r="B3906" s="9" t="str">
        <f>IFERROR(__xludf.DUMMYFUNCTION("""COMPUTED_VALUE"""),"DiptishreeC45")</f>
        <v>DiptishreeC45</v>
      </c>
      <c r="C3906" s="8">
        <f>IFERROR(__xludf.DUMMYFUNCTION("""COMPUTED_VALUE"""),0.0)</f>
        <v>0</v>
      </c>
      <c r="D3906" s="8"/>
    </row>
    <row r="3907">
      <c r="A3907" s="9" t="str">
        <f>IFERROR(__xludf.DUMMYFUNCTION("""COMPUTED_VALUE"""),"Batch 245")</f>
        <v>Batch 245</v>
      </c>
      <c r="B3907" s="9" t="str">
        <f>IFERROR(__xludf.DUMMYFUNCTION("""COMPUTED_VALUE"""),"MohdC45")</f>
        <v>MohdC45</v>
      </c>
      <c r="C3907" s="8">
        <f>IFERROR(__xludf.DUMMYFUNCTION("""COMPUTED_VALUE"""),0.0)</f>
        <v>0</v>
      </c>
      <c r="D3907" s="8"/>
    </row>
    <row r="3908">
      <c r="A3908" s="9" t="str">
        <f>IFERROR(__xludf.DUMMYFUNCTION("""COMPUTED_VALUE"""),"Batch 245")</f>
        <v>Batch 245</v>
      </c>
      <c r="B3908" s="9" t="str">
        <f>IFERROR(__xludf.DUMMYFUNCTION("""COMPUTED_VALUE"""),"MansiC45")</f>
        <v>MansiC45</v>
      </c>
      <c r="C3908" s="8">
        <f>IFERROR(__xludf.DUMMYFUNCTION("""COMPUTED_VALUE"""),0.0)</f>
        <v>0</v>
      </c>
      <c r="D3908" s="8"/>
    </row>
    <row r="3909">
      <c r="A3909" s="9" t="str">
        <f>IFERROR(__xludf.DUMMYFUNCTION("""COMPUTED_VALUE"""),"Batch 245")</f>
        <v>Batch 245</v>
      </c>
      <c r="B3909" s="9" t="str">
        <f>IFERROR(__xludf.DUMMYFUNCTION("""COMPUTED_VALUE"""),"LaviC45")</f>
        <v>LaviC45</v>
      </c>
      <c r="C3909" s="8">
        <f>IFERROR(__xludf.DUMMYFUNCTION("""COMPUTED_VALUE"""),0.0)</f>
        <v>0</v>
      </c>
      <c r="D3909" s="8"/>
    </row>
    <row r="3910">
      <c r="A3910" s="9" t="str">
        <f>IFERROR(__xludf.DUMMYFUNCTION("""COMPUTED_VALUE"""),"Batch 245")</f>
        <v>Batch 245</v>
      </c>
      <c r="B3910" s="9" t="str">
        <f>IFERROR(__xludf.DUMMYFUNCTION("""COMPUTED_VALUE"""),"ShanviC45")</f>
        <v>ShanviC45</v>
      </c>
      <c r="C3910" s="8">
        <f>IFERROR(__xludf.DUMMYFUNCTION("""COMPUTED_VALUE"""),0.0)</f>
        <v>0</v>
      </c>
      <c r="D3910" s="8"/>
    </row>
    <row r="3911">
      <c r="A3911" s="9" t="str">
        <f>IFERROR(__xludf.DUMMYFUNCTION("""COMPUTED_VALUE"""),"Batch 245")</f>
        <v>Batch 245</v>
      </c>
      <c r="B3911" s="9" t="str">
        <f>IFERROR(__xludf.DUMMYFUNCTION("""COMPUTED_VALUE"""),"ShivamC45")</f>
        <v>ShivamC45</v>
      </c>
      <c r="C3911" s="8">
        <f>IFERROR(__xludf.DUMMYFUNCTION("""COMPUTED_VALUE"""),0.0)</f>
        <v>0</v>
      </c>
      <c r="D3911" s="8"/>
    </row>
    <row r="3912">
      <c r="A3912" s="9" t="str">
        <f>IFERROR(__xludf.DUMMYFUNCTION("""COMPUTED_VALUE"""),"Batch 245")</f>
        <v>Batch 245</v>
      </c>
      <c r="B3912" s="9" t="str">
        <f>IFERROR(__xludf.DUMMYFUNCTION("""COMPUTED_VALUE"""),"ArjunC45")</f>
        <v>ArjunC45</v>
      </c>
      <c r="C3912" s="8">
        <f>IFERROR(__xludf.DUMMYFUNCTION("""COMPUTED_VALUE"""),0.0)</f>
        <v>0</v>
      </c>
      <c r="D3912" s="8"/>
    </row>
    <row r="3913">
      <c r="A3913" s="9" t="str">
        <f>IFERROR(__xludf.DUMMYFUNCTION("""COMPUTED_VALUE"""),"Batch 245")</f>
        <v>Batch 245</v>
      </c>
      <c r="B3913" s="9" t="str">
        <f>IFERROR(__xludf.DUMMYFUNCTION("""COMPUTED_VALUE"""),"RewantC45")</f>
        <v>RewantC45</v>
      </c>
      <c r="C3913" s="8">
        <f>IFERROR(__xludf.DUMMYFUNCTION("""COMPUTED_VALUE"""),26.0)</f>
        <v>26</v>
      </c>
      <c r="D3913" s="8"/>
    </row>
    <row r="3914">
      <c r="A3914" s="9" t="str">
        <f>IFERROR(__xludf.DUMMYFUNCTION("""COMPUTED_VALUE"""),"Batch 245")</f>
        <v>Batch 245</v>
      </c>
      <c r="B3914" s="9" t="str">
        <f>IFERROR(__xludf.DUMMYFUNCTION("""COMPUTED_VALUE"""),"SundarC45")</f>
        <v>SundarC45</v>
      </c>
      <c r="C3914" s="8">
        <f>IFERROR(__xludf.DUMMYFUNCTION("""COMPUTED_VALUE"""),0.0)</f>
        <v>0</v>
      </c>
      <c r="D3914" s="8"/>
    </row>
    <row r="3915">
      <c r="A3915" s="9" t="str">
        <f>IFERROR(__xludf.DUMMYFUNCTION("""COMPUTED_VALUE"""),"Batch 245")</f>
        <v>Batch 245</v>
      </c>
      <c r="B3915" s="9" t="str">
        <f>IFERROR(__xludf.DUMMYFUNCTION("""COMPUTED_VALUE"""),"SoumydeepC45")</f>
        <v>SoumydeepC45</v>
      </c>
      <c r="C3915" s="8">
        <f>IFERROR(__xludf.DUMMYFUNCTION("""COMPUTED_VALUE"""),0.0)</f>
        <v>0</v>
      </c>
      <c r="D3915" s="8"/>
    </row>
    <row r="3916">
      <c r="A3916" s="9" t="str">
        <f>IFERROR(__xludf.DUMMYFUNCTION("""COMPUTED_VALUE"""),"Batch 245")</f>
        <v>Batch 245</v>
      </c>
      <c r="B3916" s="9" t="str">
        <f>IFERROR(__xludf.DUMMYFUNCTION("""COMPUTED_VALUE"""),"JathinC45")</f>
        <v>JathinC45</v>
      </c>
      <c r="C3916" s="8">
        <f>IFERROR(__xludf.DUMMYFUNCTION("""COMPUTED_VALUE"""),0.0)</f>
        <v>0</v>
      </c>
      <c r="D3916" s="8"/>
    </row>
    <row r="3917">
      <c r="A3917" s="9" t="str">
        <f>IFERROR(__xludf.DUMMYFUNCTION("""COMPUTED_VALUE"""),"Batch 245")</f>
        <v>Batch 245</v>
      </c>
      <c r="B3917" s="9" t="str">
        <f>IFERROR(__xludf.DUMMYFUNCTION("""COMPUTED_VALUE"""),"RajeevC45")</f>
        <v>RajeevC45</v>
      </c>
      <c r="C3917" s="8">
        <f>IFERROR(__xludf.DUMMYFUNCTION("""COMPUTED_VALUE"""),0.0)</f>
        <v>0</v>
      </c>
      <c r="D3917" s="8"/>
    </row>
    <row r="3918">
      <c r="A3918" s="9" t="str">
        <f>IFERROR(__xludf.DUMMYFUNCTION("""COMPUTED_VALUE"""),"Batch 245")</f>
        <v>Batch 245</v>
      </c>
      <c r="B3918" s="9" t="str">
        <f>IFERROR(__xludf.DUMMYFUNCTION("""COMPUTED_VALUE"""),"vemulaC45")</f>
        <v>vemulaC45</v>
      </c>
      <c r="C3918" s="8">
        <f>IFERROR(__xludf.DUMMYFUNCTION("""COMPUTED_VALUE"""),0.0)</f>
        <v>0</v>
      </c>
      <c r="D3918" s="8"/>
    </row>
    <row r="3919">
      <c r="A3919" s="9" t="str">
        <f>IFERROR(__xludf.DUMMYFUNCTION("""COMPUTED_VALUE"""),"Batch 245")</f>
        <v>Batch 245</v>
      </c>
      <c r="B3919" s="9" t="str">
        <f>IFERROR(__xludf.DUMMYFUNCTION("""COMPUTED_VALUE"""),"KushagraC45")</f>
        <v>KushagraC45</v>
      </c>
      <c r="C3919" s="8">
        <f>IFERROR(__xludf.DUMMYFUNCTION("""COMPUTED_VALUE"""),0.0)</f>
        <v>0</v>
      </c>
      <c r="D3919" s="8"/>
    </row>
    <row r="3920">
      <c r="A3920" s="9" t="str">
        <f>IFERROR(__xludf.DUMMYFUNCTION("""COMPUTED_VALUE"""),"Batch 245")</f>
        <v>Batch 245</v>
      </c>
      <c r="B3920" s="9" t="str">
        <f>IFERROR(__xludf.DUMMYFUNCTION("""COMPUTED_VALUE"""),"AnshulC45")</f>
        <v>AnshulC45</v>
      </c>
      <c r="C3920" s="8">
        <f>IFERROR(__xludf.DUMMYFUNCTION("""COMPUTED_VALUE"""),0.0)</f>
        <v>0</v>
      </c>
      <c r="D3920" s="8"/>
    </row>
    <row r="3921">
      <c r="A3921" s="9" t="str">
        <f>IFERROR(__xludf.DUMMYFUNCTION("""COMPUTED_VALUE"""),"Batch 245")</f>
        <v>Batch 245</v>
      </c>
      <c r="B3921" s="9" t="str">
        <f>IFERROR(__xludf.DUMMYFUNCTION("""COMPUTED_VALUE"""),"AfeefakhanC45")</f>
        <v>AfeefakhanC45</v>
      </c>
      <c r="C3921" s="8">
        <f>IFERROR(__xludf.DUMMYFUNCTION("""COMPUTED_VALUE"""),0.0)</f>
        <v>0</v>
      </c>
      <c r="D3921" s="8"/>
    </row>
    <row r="3922">
      <c r="A3922" s="9" t="str">
        <f>IFERROR(__xludf.DUMMYFUNCTION("""COMPUTED_VALUE"""),"Batch 245")</f>
        <v>Batch 245</v>
      </c>
      <c r="B3922" s="9" t="str">
        <f>IFERROR(__xludf.DUMMYFUNCTION("""COMPUTED_VALUE"""),"UttamC45")</f>
        <v>UttamC45</v>
      </c>
      <c r="C3922" s="8">
        <f>IFERROR(__xludf.DUMMYFUNCTION("""COMPUTED_VALUE"""),0.0)</f>
        <v>0</v>
      </c>
      <c r="D3922" s="8"/>
    </row>
    <row r="3923">
      <c r="A3923" s="9" t="str">
        <f>IFERROR(__xludf.DUMMYFUNCTION("""COMPUTED_VALUE"""),"Batch 245")</f>
        <v>Batch 245</v>
      </c>
      <c r="B3923" s="9" t="str">
        <f>IFERROR(__xludf.DUMMYFUNCTION("""COMPUTED_VALUE"""),"FaisalC45")</f>
        <v>FaisalC45</v>
      </c>
      <c r="C3923" s="8">
        <f>IFERROR(__xludf.DUMMYFUNCTION("""COMPUTED_VALUE"""),0.0)</f>
        <v>0</v>
      </c>
      <c r="D3923" s="8"/>
    </row>
    <row r="3924">
      <c r="A3924" s="9" t="str">
        <f>IFERROR(__xludf.DUMMYFUNCTION("""COMPUTED_VALUE"""),"Batch 245")</f>
        <v>Batch 245</v>
      </c>
      <c r="B3924" s="9" t="str">
        <f>IFERROR(__xludf.DUMMYFUNCTION("""COMPUTED_VALUE"""),"shraddhaC45")</f>
        <v>shraddhaC45</v>
      </c>
      <c r="C3924" s="8">
        <f>IFERROR(__xludf.DUMMYFUNCTION("""COMPUTED_VALUE"""),0.0)</f>
        <v>0</v>
      </c>
      <c r="D3924" s="8"/>
    </row>
    <row r="3925">
      <c r="A3925" s="9"/>
      <c r="B3925" s="9"/>
      <c r="C3925" s="8">
        <f>IFERROR(__xludf.DUMMYFUNCTION("""COMPUTED_VALUE"""),0.0)</f>
        <v>0</v>
      </c>
      <c r="D3925" s="8"/>
    </row>
    <row r="3926">
      <c r="A3926" s="9" t="str">
        <f>IFERROR(__xludf.DUMMYFUNCTION("""COMPUTED_VALUE"""),"Batch 246")</f>
        <v>Batch 246</v>
      </c>
      <c r="B3926" s="9" t="str">
        <f>IFERROR(__xludf.DUMMYFUNCTION("""COMPUTED_VALUE"""),"VaishnaviC46")</f>
        <v>VaishnaviC46</v>
      </c>
      <c r="C3926" s="8">
        <f>IFERROR(__xludf.DUMMYFUNCTION("""COMPUTED_VALUE"""),0.0)</f>
        <v>0</v>
      </c>
      <c r="D3926" s="8"/>
    </row>
    <row r="3927">
      <c r="A3927" s="9" t="str">
        <f>IFERROR(__xludf.DUMMYFUNCTION("""COMPUTED_VALUE"""),"Batch 246")</f>
        <v>Batch 246</v>
      </c>
      <c r="B3927" s="9" t="str">
        <f>IFERROR(__xludf.DUMMYFUNCTION("""COMPUTED_VALUE"""),"AjayC46")</f>
        <v>AjayC46</v>
      </c>
      <c r="C3927" s="8">
        <f>IFERROR(__xludf.DUMMYFUNCTION("""COMPUTED_VALUE"""),0.0)</f>
        <v>0</v>
      </c>
      <c r="D3927" s="8"/>
    </row>
    <row r="3928">
      <c r="A3928" s="9" t="str">
        <f>IFERROR(__xludf.DUMMYFUNCTION("""COMPUTED_VALUE"""),"Batch 246")</f>
        <v>Batch 246</v>
      </c>
      <c r="B3928" s="9" t="str">
        <f>IFERROR(__xludf.DUMMYFUNCTION("""COMPUTED_VALUE"""),"LavanyaC46")</f>
        <v>LavanyaC46</v>
      </c>
      <c r="C3928" s="8">
        <f>IFERROR(__xludf.DUMMYFUNCTION("""COMPUTED_VALUE"""),0.0)</f>
        <v>0</v>
      </c>
      <c r="D3928" s="8"/>
    </row>
    <row r="3929">
      <c r="A3929" s="9" t="str">
        <f>IFERROR(__xludf.DUMMYFUNCTION("""COMPUTED_VALUE"""),"Batch 246")</f>
        <v>Batch 246</v>
      </c>
      <c r="B3929" s="9" t="str">
        <f>IFERROR(__xludf.DUMMYFUNCTION("""COMPUTED_VALUE"""),"AreonC46")</f>
        <v>AreonC46</v>
      </c>
      <c r="C3929" s="8">
        <f>IFERROR(__xludf.DUMMYFUNCTION("""COMPUTED_VALUE"""),0.0)</f>
        <v>0</v>
      </c>
      <c r="D3929" s="8"/>
    </row>
    <row r="3930">
      <c r="A3930" s="9" t="str">
        <f>IFERROR(__xludf.DUMMYFUNCTION("""COMPUTED_VALUE"""),"Batch 246")</f>
        <v>Batch 246</v>
      </c>
      <c r="B3930" s="9" t="str">
        <f>IFERROR(__xludf.DUMMYFUNCTION("""COMPUTED_VALUE"""),"MehantC46")</f>
        <v>MehantC46</v>
      </c>
      <c r="C3930" s="8">
        <f>IFERROR(__xludf.DUMMYFUNCTION("""COMPUTED_VALUE"""),1.0)</f>
        <v>1</v>
      </c>
      <c r="D3930" s="8"/>
    </row>
    <row r="3931">
      <c r="A3931" s="9" t="str">
        <f>IFERROR(__xludf.DUMMYFUNCTION("""COMPUTED_VALUE"""),"Batch 246")</f>
        <v>Batch 246</v>
      </c>
      <c r="B3931" s="9" t="str">
        <f>IFERROR(__xludf.DUMMYFUNCTION("""COMPUTED_VALUE"""),"SoumyaC46")</f>
        <v>SoumyaC46</v>
      </c>
      <c r="C3931" s="8">
        <f>IFERROR(__xludf.DUMMYFUNCTION("""COMPUTED_VALUE"""),0.0)</f>
        <v>0</v>
      </c>
      <c r="D3931" s="8"/>
    </row>
    <row r="3932">
      <c r="A3932" s="9" t="str">
        <f>IFERROR(__xludf.DUMMYFUNCTION("""COMPUTED_VALUE"""),"Batch 246")</f>
        <v>Batch 246</v>
      </c>
      <c r="B3932" s="9" t="str">
        <f>IFERROR(__xludf.DUMMYFUNCTION("""COMPUTED_VALUE"""),"GauravC46")</f>
        <v>GauravC46</v>
      </c>
      <c r="C3932" s="8">
        <f>IFERROR(__xludf.DUMMYFUNCTION("""COMPUTED_VALUE"""),0.0)</f>
        <v>0</v>
      </c>
      <c r="D3932" s="8"/>
    </row>
    <row r="3933">
      <c r="A3933" s="9" t="str">
        <f>IFERROR(__xludf.DUMMYFUNCTION("""COMPUTED_VALUE"""),"Batch 246")</f>
        <v>Batch 246</v>
      </c>
      <c r="B3933" s="9" t="str">
        <f>IFERROR(__xludf.DUMMYFUNCTION("""COMPUTED_VALUE"""),"AleshaC46")</f>
        <v>AleshaC46</v>
      </c>
      <c r="C3933" s="8">
        <f>IFERROR(__xludf.DUMMYFUNCTION("""COMPUTED_VALUE"""),0.0)</f>
        <v>0</v>
      </c>
      <c r="D3933" s="8"/>
    </row>
    <row r="3934">
      <c r="A3934" s="9" t="str">
        <f>IFERROR(__xludf.DUMMYFUNCTION("""COMPUTED_VALUE"""),"Batch 246")</f>
        <v>Batch 246</v>
      </c>
      <c r="B3934" s="9" t="str">
        <f>IFERROR(__xludf.DUMMYFUNCTION("""COMPUTED_VALUE"""),"KhushiC46")</f>
        <v>KhushiC46</v>
      </c>
      <c r="C3934" s="8">
        <f>IFERROR(__xludf.DUMMYFUNCTION("""COMPUTED_VALUE"""),0.0)</f>
        <v>0</v>
      </c>
      <c r="D3934" s="8"/>
    </row>
    <row r="3935">
      <c r="A3935" s="9" t="str">
        <f>IFERROR(__xludf.DUMMYFUNCTION("""COMPUTED_VALUE"""),"Batch 246")</f>
        <v>Batch 246</v>
      </c>
      <c r="B3935" s="9" t="str">
        <f>IFERROR(__xludf.DUMMYFUNCTION("""COMPUTED_VALUE"""),"MohammedC46")</f>
        <v>MohammedC46</v>
      </c>
      <c r="C3935" s="8">
        <f>IFERROR(__xludf.DUMMYFUNCTION("""COMPUTED_VALUE"""),0.0)</f>
        <v>0</v>
      </c>
      <c r="D3935" s="8"/>
    </row>
    <row r="3936">
      <c r="A3936" s="9" t="str">
        <f>IFERROR(__xludf.DUMMYFUNCTION("""COMPUTED_VALUE"""),"Batch 246")</f>
        <v>Batch 246</v>
      </c>
      <c r="B3936" s="9" t="str">
        <f>IFERROR(__xludf.DUMMYFUNCTION("""COMPUTED_VALUE"""),"YashubC46")</f>
        <v>YashubC46</v>
      </c>
      <c r="C3936" s="8">
        <f>IFERROR(__xludf.DUMMYFUNCTION("""COMPUTED_VALUE"""),0.0)</f>
        <v>0</v>
      </c>
      <c r="D3936" s="8"/>
    </row>
    <row r="3937">
      <c r="A3937" s="9" t="str">
        <f>IFERROR(__xludf.DUMMYFUNCTION("""COMPUTED_VALUE"""),"Batch 246")</f>
        <v>Batch 246</v>
      </c>
      <c r="B3937" s="9" t="str">
        <f>IFERROR(__xludf.DUMMYFUNCTION("""COMPUTED_VALUE"""),"BhupathiC46")</f>
        <v>BhupathiC46</v>
      </c>
      <c r="C3937" s="8">
        <f>IFERROR(__xludf.DUMMYFUNCTION("""COMPUTED_VALUE"""),0.0)</f>
        <v>0</v>
      </c>
      <c r="D3937" s="8"/>
    </row>
    <row r="3938">
      <c r="A3938" s="9" t="str">
        <f>IFERROR(__xludf.DUMMYFUNCTION("""COMPUTED_VALUE"""),"Batch 246")</f>
        <v>Batch 246</v>
      </c>
      <c r="B3938" s="9" t="str">
        <f>IFERROR(__xludf.DUMMYFUNCTION("""COMPUTED_VALUE"""),"NeeshadC46")</f>
        <v>NeeshadC46</v>
      </c>
      <c r="C3938" s="8">
        <f>IFERROR(__xludf.DUMMYFUNCTION("""COMPUTED_VALUE"""),0.0)</f>
        <v>0</v>
      </c>
      <c r="D3938" s="8"/>
    </row>
    <row r="3939">
      <c r="A3939" s="9" t="str">
        <f>IFERROR(__xludf.DUMMYFUNCTION("""COMPUTED_VALUE"""),"Batch 246")</f>
        <v>Batch 246</v>
      </c>
      <c r="B3939" s="9" t="str">
        <f>IFERROR(__xludf.DUMMYFUNCTION("""COMPUTED_VALUE"""),"SurbhiC46")</f>
        <v>SurbhiC46</v>
      </c>
      <c r="C3939" s="8">
        <f>IFERROR(__xludf.DUMMYFUNCTION("""COMPUTED_VALUE"""),0.0)</f>
        <v>0</v>
      </c>
      <c r="D3939" s="8"/>
    </row>
    <row r="3940">
      <c r="A3940" s="9" t="str">
        <f>IFERROR(__xludf.DUMMYFUNCTION("""COMPUTED_VALUE"""),"Batch 246")</f>
        <v>Batch 246</v>
      </c>
      <c r="B3940" s="9" t="str">
        <f>IFERROR(__xludf.DUMMYFUNCTION("""COMPUTED_VALUE"""),"hemantC46")</f>
        <v>hemantC46</v>
      </c>
      <c r="C3940" s="8">
        <f>IFERROR(__xludf.DUMMYFUNCTION("""COMPUTED_VALUE"""),0.0)</f>
        <v>0</v>
      </c>
      <c r="D3940" s="8"/>
    </row>
    <row r="3941">
      <c r="A3941" s="9" t="str">
        <f>IFERROR(__xludf.DUMMYFUNCTION("""COMPUTED_VALUE"""),"Batch 246")</f>
        <v>Batch 246</v>
      </c>
      <c r="B3941" s="9" t="str">
        <f>IFERROR(__xludf.DUMMYFUNCTION("""COMPUTED_VALUE"""),"PratiikC46")</f>
        <v>PratiikC46</v>
      </c>
      <c r="C3941" s="8">
        <f>IFERROR(__xludf.DUMMYFUNCTION("""COMPUTED_VALUE"""),0.0)</f>
        <v>0</v>
      </c>
      <c r="D3941" s="8"/>
    </row>
    <row r="3942">
      <c r="A3942" s="9" t="str">
        <f>IFERROR(__xludf.DUMMYFUNCTION("""COMPUTED_VALUE"""),"Batch 246")</f>
        <v>Batch 246</v>
      </c>
      <c r="B3942" s="9" t="str">
        <f>IFERROR(__xludf.DUMMYFUNCTION("""COMPUTED_VALUE"""),"PrateekC46")</f>
        <v>PrateekC46</v>
      </c>
      <c r="C3942" s="8">
        <f>IFERROR(__xludf.DUMMYFUNCTION("""COMPUTED_VALUE"""),0.0)</f>
        <v>0</v>
      </c>
      <c r="D3942" s="8"/>
    </row>
    <row r="3943">
      <c r="A3943" s="9" t="str">
        <f>IFERROR(__xludf.DUMMYFUNCTION("""COMPUTED_VALUE"""),"Batch 246")</f>
        <v>Batch 246</v>
      </c>
      <c r="B3943" s="9" t="str">
        <f>IFERROR(__xludf.DUMMYFUNCTION("""COMPUTED_VALUE"""),"KshitijC46")</f>
        <v>KshitijC46</v>
      </c>
      <c r="C3943" s="8">
        <f>IFERROR(__xludf.DUMMYFUNCTION("""COMPUTED_VALUE"""),0.0)</f>
        <v>0</v>
      </c>
      <c r="D3943" s="8"/>
    </row>
    <row r="3944">
      <c r="A3944" s="9"/>
      <c r="B3944" s="9"/>
      <c r="C3944" s="8">
        <f>IFERROR(__xludf.DUMMYFUNCTION("""COMPUTED_VALUE"""),0.0)</f>
        <v>0</v>
      </c>
      <c r="D3944" s="8"/>
    </row>
    <row r="3945">
      <c r="A3945" s="9" t="str">
        <f>IFERROR(__xludf.DUMMYFUNCTION("""COMPUTED_VALUE"""),"Batch 247")</f>
        <v>Batch 247</v>
      </c>
      <c r="B3945" s="9" t="str">
        <f>IFERROR(__xludf.DUMMYFUNCTION("""COMPUTED_VALUE"""),"VaishnaviC47")</f>
        <v>VaishnaviC47</v>
      </c>
      <c r="C3945" s="8">
        <f>IFERROR(__xludf.DUMMYFUNCTION("""COMPUTED_VALUE"""),9.0)</f>
        <v>9</v>
      </c>
      <c r="D3945" s="8">
        <f>IFERROR(__xludf.DUMMYFUNCTION("""COMPUTED_VALUE"""),1.0)</f>
        <v>1</v>
      </c>
    </row>
    <row r="3946">
      <c r="A3946" s="9" t="str">
        <f>IFERROR(__xludf.DUMMYFUNCTION("""COMPUTED_VALUE"""),"Batch 247")</f>
        <v>Batch 247</v>
      </c>
      <c r="B3946" s="9" t="str">
        <f>IFERROR(__xludf.DUMMYFUNCTION("""COMPUTED_VALUE"""),"SimranC47")</f>
        <v>SimranC47</v>
      </c>
      <c r="C3946" s="8">
        <f>IFERROR(__xludf.DUMMYFUNCTION("""COMPUTED_VALUE"""),0.0)</f>
        <v>0</v>
      </c>
      <c r="D3946" s="8"/>
    </row>
    <row r="3947">
      <c r="A3947" s="9" t="str">
        <f>IFERROR(__xludf.DUMMYFUNCTION("""COMPUTED_VALUE"""),"Batch 247")</f>
        <v>Batch 247</v>
      </c>
      <c r="B3947" s="9" t="str">
        <f>IFERROR(__xludf.DUMMYFUNCTION("""COMPUTED_VALUE"""),"RishabhC47")</f>
        <v>RishabhC47</v>
      </c>
      <c r="C3947" s="8">
        <f>IFERROR(__xludf.DUMMYFUNCTION("""COMPUTED_VALUE"""),0.0)</f>
        <v>0</v>
      </c>
      <c r="D3947" s="8"/>
    </row>
    <row r="3948">
      <c r="A3948" s="9" t="str">
        <f>IFERROR(__xludf.DUMMYFUNCTION("""COMPUTED_VALUE"""),"Batch 247")</f>
        <v>Batch 247</v>
      </c>
      <c r="B3948" s="9" t="str">
        <f>IFERROR(__xludf.DUMMYFUNCTION("""COMPUTED_VALUE"""),"NC47")</f>
        <v>NC47</v>
      </c>
      <c r="C3948" s="8">
        <f>IFERROR(__xludf.DUMMYFUNCTION("""COMPUTED_VALUE"""),11.0)</f>
        <v>11</v>
      </c>
      <c r="D3948" s="8"/>
    </row>
    <row r="3949">
      <c r="A3949" s="9" t="str">
        <f>IFERROR(__xludf.DUMMYFUNCTION("""COMPUTED_VALUE"""),"Batch 247")</f>
        <v>Batch 247</v>
      </c>
      <c r="B3949" s="9" t="str">
        <f>IFERROR(__xludf.DUMMYFUNCTION("""COMPUTED_VALUE"""),"MarutiC47")</f>
        <v>MarutiC47</v>
      </c>
      <c r="C3949" s="8">
        <f>IFERROR(__xludf.DUMMYFUNCTION("""COMPUTED_VALUE"""),11.0)</f>
        <v>11</v>
      </c>
      <c r="D3949" s="8"/>
    </row>
    <row r="3950">
      <c r="A3950" s="9" t="str">
        <f>IFERROR(__xludf.DUMMYFUNCTION("""COMPUTED_VALUE"""),"Batch 247")</f>
        <v>Batch 247</v>
      </c>
      <c r="B3950" s="9" t="str">
        <f>IFERROR(__xludf.DUMMYFUNCTION("""COMPUTED_VALUE"""),"AnanyaC47")</f>
        <v>AnanyaC47</v>
      </c>
      <c r="C3950" s="8">
        <f>IFERROR(__xludf.DUMMYFUNCTION("""COMPUTED_VALUE"""),4.0)</f>
        <v>4</v>
      </c>
      <c r="D3950" s="8">
        <f>IFERROR(__xludf.DUMMYFUNCTION("""COMPUTED_VALUE"""),3.0)</f>
        <v>3</v>
      </c>
    </row>
    <row r="3951">
      <c r="A3951" s="9" t="str">
        <f>IFERROR(__xludf.DUMMYFUNCTION("""COMPUTED_VALUE"""),"Batch 247")</f>
        <v>Batch 247</v>
      </c>
      <c r="B3951" s="9" t="str">
        <f>IFERROR(__xludf.DUMMYFUNCTION("""COMPUTED_VALUE"""),"DODLAC47")</f>
        <v>DODLAC47</v>
      </c>
      <c r="C3951" s="8">
        <f>IFERROR(__xludf.DUMMYFUNCTION("""COMPUTED_VALUE"""),1.0)</f>
        <v>1</v>
      </c>
      <c r="D3951" s="8"/>
    </row>
    <row r="3952">
      <c r="A3952" s="9" t="str">
        <f>IFERROR(__xludf.DUMMYFUNCTION("""COMPUTED_VALUE"""),"Batch 247")</f>
        <v>Batch 247</v>
      </c>
      <c r="B3952" s="9" t="str">
        <f>IFERROR(__xludf.DUMMYFUNCTION("""COMPUTED_VALUE"""),"SamuelC47")</f>
        <v>SamuelC47</v>
      </c>
      <c r="C3952" s="8">
        <f>IFERROR(__xludf.DUMMYFUNCTION("""COMPUTED_VALUE"""),0.0)</f>
        <v>0</v>
      </c>
      <c r="D3952" s="8"/>
    </row>
    <row r="3953">
      <c r="A3953" s="9" t="str">
        <f>IFERROR(__xludf.DUMMYFUNCTION("""COMPUTED_VALUE"""),"Batch 247")</f>
        <v>Batch 247</v>
      </c>
      <c r="B3953" s="9" t="str">
        <f>IFERROR(__xludf.DUMMYFUNCTION("""COMPUTED_VALUE"""),"ParthC47")</f>
        <v>ParthC47</v>
      </c>
      <c r="C3953" s="8">
        <f>IFERROR(__xludf.DUMMYFUNCTION("""COMPUTED_VALUE"""),0.0)</f>
        <v>0</v>
      </c>
      <c r="D3953" s="8"/>
    </row>
    <row r="3954">
      <c r="A3954" s="9" t="str">
        <f>IFERROR(__xludf.DUMMYFUNCTION("""COMPUTED_VALUE"""),"Batch 247")</f>
        <v>Batch 247</v>
      </c>
      <c r="B3954" s="9" t="str">
        <f>IFERROR(__xludf.DUMMYFUNCTION("""COMPUTED_VALUE"""),"SakinaC47")</f>
        <v>SakinaC47</v>
      </c>
      <c r="C3954" s="8">
        <f>IFERROR(__xludf.DUMMYFUNCTION("""COMPUTED_VALUE"""),1.0)</f>
        <v>1</v>
      </c>
      <c r="D3954" s="8"/>
    </row>
    <row r="3955">
      <c r="A3955" s="9"/>
      <c r="B3955" s="9"/>
      <c r="C3955" s="8">
        <f>IFERROR(__xludf.DUMMYFUNCTION("""COMPUTED_VALUE"""),0.0)</f>
        <v>0</v>
      </c>
      <c r="D3955" s="8"/>
    </row>
    <row r="3956">
      <c r="A3956" s="9" t="str">
        <f>IFERROR(__xludf.DUMMYFUNCTION("""COMPUTED_VALUE"""),"Batch 248")</f>
        <v>Batch 248</v>
      </c>
      <c r="B3956" s="9" t="str">
        <f>IFERROR(__xludf.DUMMYFUNCTION("""COMPUTED_VALUE"""),"MACHARLAC48")</f>
        <v>MACHARLAC48</v>
      </c>
      <c r="C3956" s="8">
        <f>IFERROR(__xludf.DUMMYFUNCTION("""COMPUTED_VALUE"""),0.0)</f>
        <v>0</v>
      </c>
      <c r="D3956" s="8"/>
    </row>
    <row r="3957">
      <c r="A3957" s="9" t="str">
        <f>IFERROR(__xludf.DUMMYFUNCTION("""COMPUTED_VALUE"""),"Batch 248")</f>
        <v>Batch 248</v>
      </c>
      <c r="B3957" s="9" t="str">
        <f>IFERROR(__xludf.DUMMYFUNCTION("""COMPUTED_VALUE"""),"AmitC48")</f>
        <v>AmitC48</v>
      </c>
      <c r="C3957" s="8">
        <f>IFERROR(__xludf.DUMMYFUNCTION("""COMPUTED_VALUE"""),0.0)</f>
        <v>0</v>
      </c>
      <c r="D3957" s="8"/>
    </row>
    <row r="3958">
      <c r="A3958" s="9" t="str">
        <f>IFERROR(__xludf.DUMMYFUNCTION("""COMPUTED_VALUE"""),"Batch 248")</f>
        <v>Batch 248</v>
      </c>
      <c r="B3958" s="9" t="str">
        <f>IFERROR(__xludf.DUMMYFUNCTION("""COMPUTED_VALUE"""),"ArpitaC48")</f>
        <v>ArpitaC48</v>
      </c>
      <c r="C3958" s="8">
        <f>IFERROR(__xludf.DUMMYFUNCTION("""COMPUTED_VALUE"""),0.0)</f>
        <v>0</v>
      </c>
      <c r="D3958" s="8"/>
    </row>
    <row r="3959">
      <c r="A3959" s="9" t="str">
        <f>IFERROR(__xludf.DUMMYFUNCTION("""COMPUTED_VALUE"""),"Batch 248")</f>
        <v>Batch 248</v>
      </c>
      <c r="B3959" s="9" t="str">
        <f>IFERROR(__xludf.DUMMYFUNCTION("""COMPUTED_VALUE"""),"ShivomC48")</f>
        <v>ShivomC48</v>
      </c>
      <c r="C3959" s="8">
        <f>IFERROR(__xludf.DUMMYFUNCTION("""COMPUTED_VALUE"""),3.0)</f>
        <v>3</v>
      </c>
      <c r="D3959" s="8"/>
    </row>
    <row r="3960">
      <c r="A3960" s="9" t="str">
        <f>IFERROR(__xludf.DUMMYFUNCTION("""COMPUTED_VALUE"""),"Batch 248")</f>
        <v>Batch 248</v>
      </c>
      <c r="B3960" s="9" t="str">
        <f>IFERROR(__xludf.DUMMYFUNCTION("""COMPUTED_VALUE"""),"SyedaC48")</f>
        <v>SyedaC48</v>
      </c>
      <c r="C3960" s="8">
        <f>IFERROR(__xludf.DUMMYFUNCTION("""COMPUTED_VALUE"""),3.0)</f>
        <v>3</v>
      </c>
      <c r="D3960" s="8"/>
    </row>
    <row r="3961">
      <c r="A3961" s="9" t="str">
        <f>IFERROR(__xludf.DUMMYFUNCTION("""COMPUTED_VALUE"""),"Batch 248")</f>
        <v>Batch 248</v>
      </c>
      <c r="B3961" s="9" t="str">
        <f>IFERROR(__xludf.DUMMYFUNCTION("""COMPUTED_VALUE"""),"SyedC48")</f>
        <v>SyedC48</v>
      </c>
      <c r="C3961" s="8">
        <f>IFERROR(__xludf.DUMMYFUNCTION("""COMPUTED_VALUE"""),0.0)</f>
        <v>0</v>
      </c>
      <c r="D3961" s="8"/>
    </row>
    <row r="3962">
      <c r="A3962" s="9" t="str">
        <f>IFERROR(__xludf.DUMMYFUNCTION("""COMPUTED_VALUE"""),"Batch 248")</f>
        <v>Batch 248</v>
      </c>
      <c r="B3962" s="9" t="str">
        <f>IFERROR(__xludf.DUMMYFUNCTION("""COMPUTED_VALUE"""),"GhanatheC48")</f>
        <v>GhanatheC48</v>
      </c>
      <c r="C3962" s="8">
        <f>IFERROR(__xludf.DUMMYFUNCTION("""COMPUTED_VALUE"""),0.0)</f>
        <v>0</v>
      </c>
      <c r="D3962" s="8">
        <f>IFERROR(__xludf.DUMMYFUNCTION("""COMPUTED_VALUE"""),2.0)</f>
        <v>2</v>
      </c>
    </row>
    <row r="3963">
      <c r="A3963" s="9" t="str">
        <f>IFERROR(__xludf.DUMMYFUNCTION("""COMPUTED_VALUE"""),"Batch 248")</f>
        <v>Batch 248</v>
      </c>
      <c r="B3963" s="9" t="str">
        <f>IFERROR(__xludf.DUMMYFUNCTION("""COMPUTED_VALUE"""),"NiharikaC48")</f>
        <v>NiharikaC48</v>
      </c>
      <c r="C3963" s="8">
        <f>IFERROR(__xludf.DUMMYFUNCTION("""COMPUTED_VALUE"""),1.0)</f>
        <v>1</v>
      </c>
      <c r="D3963" s="8"/>
    </row>
    <row r="3964">
      <c r="A3964" s="9" t="str">
        <f>IFERROR(__xludf.DUMMYFUNCTION("""COMPUTED_VALUE"""),"Batch 248")</f>
        <v>Batch 248</v>
      </c>
      <c r="B3964" s="9" t="str">
        <f>IFERROR(__xludf.DUMMYFUNCTION("""COMPUTED_VALUE"""),"AayushC48")</f>
        <v>AayushC48</v>
      </c>
      <c r="C3964" s="8">
        <f>IFERROR(__xludf.DUMMYFUNCTION("""COMPUTED_VALUE"""),0.0)</f>
        <v>0</v>
      </c>
      <c r="D3964" s="8"/>
    </row>
    <row r="3965">
      <c r="A3965" s="9" t="str">
        <f>IFERROR(__xludf.DUMMYFUNCTION("""COMPUTED_VALUE"""),"Batch 248")</f>
        <v>Batch 248</v>
      </c>
      <c r="B3965" s="9" t="str">
        <f>IFERROR(__xludf.DUMMYFUNCTION("""COMPUTED_VALUE"""),"RonakC48")</f>
        <v>RonakC48</v>
      </c>
      <c r="C3965" s="8">
        <f>IFERROR(__xludf.DUMMYFUNCTION("""COMPUTED_VALUE"""),0.0)</f>
        <v>0</v>
      </c>
      <c r="D3965" s="8"/>
    </row>
    <row r="3966">
      <c r="A3966" s="9" t="str">
        <f>IFERROR(__xludf.DUMMYFUNCTION("""COMPUTED_VALUE"""),"Batch 248")</f>
        <v>Batch 248</v>
      </c>
      <c r="B3966" s="9" t="str">
        <f>IFERROR(__xludf.DUMMYFUNCTION("""COMPUTED_VALUE"""),"SAMEERC48")</f>
        <v>SAMEERC48</v>
      </c>
      <c r="C3966" s="8">
        <f>IFERROR(__xludf.DUMMYFUNCTION("""COMPUTED_VALUE"""),0.0)</f>
        <v>0</v>
      </c>
      <c r="D3966" s="8"/>
    </row>
    <row r="3967">
      <c r="A3967" s="9" t="str">
        <f>IFERROR(__xludf.DUMMYFUNCTION("""COMPUTED_VALUE"""),"Batch 248")</f>
        <v>Batch 248</v>
      </c>
      <c r="B3967" s="9" t="str">
        <f>IFERROR(__xludf.DUMMYFUNCTION("""COMPUTED_VALUE"""),"LahiriC48")</f>
        <v>LahiriC48</v>
      </c>
      <c r="C3967" s="8">
        <f>IFERROR(__xludf.DUMMYFUNCTION("""COMPUTED_VALUE"""),4.0)</f>
        <v>4</v>
      </c>
      <c r="D3967" s="8"/>
    </row>
    <row r="3968">
      <c r="A3968" s="9" t="str">
        <f>IFERROR(__xludf.DUMMYFUNCTION("""COMPUTED_VALUE"""),"Batch 248")</f>
        <v>Batch 248</v>
      </c>
      <c r="B3968" s="9" t="str">
        <f>IFERROR(__xludf.DUMMYFUNCTION("""COMPUTED_VALUE"""),"ShraddhanshC48")</f>
        <v>ShraddhanshC48</v>
      </c>
      <c r="C3968" s="8">
        <f>IFERROR(__xludf.DUMMYFUNCTION("""COMPUTED_VALUE"""),0.0)</f>
        <v>0</v>
      </c>
      <c r="D3968" s="8"/>
    </row>
    <row r="3969">
      <c r="A3969" s="9" t="str">
        <f>IFERROR(__xludf.DUMMYFUNCTION("""COMPUTED_VALUE"""),"Batch 248")</f>
        <v>Batch 248</v>
      </c>
      <c r="B3969" s="9" t="str">
        <f>IFERROR(__xludf.DUMMYFUNCTION("""COMPUTED_VALUE"""),"PrathimaC48")</f>
        <v>PrathimaC48</v>
      </c>
      <c r="C3969" s="8">
        <f>IFERROR(__xludf.DUMMYFUNCTION("""COMPUTED_VALUE"""),2.0)</f>
        <v>2</v>
      </c>
      <c r="D3969" s="8"/>
    </row>
    <row r="3970">
      <c r="A3970" s="9" t="str">
        <f>IFERROR(__xludf.DUMMYFUNCTION("""COMPUTED_VALUE"""),"Batch 248")</f>
        <v>Batch 248</v>
      </c>
      <c r="B3970" s="9" t="str">
        <f>IFERROR(__xludf.DUMMYFUNCTION("""COMPUTED_VALUE"""),"AkashC48")</f>
        <v>AkashC48</v>
      </c>
      <c r="C3970" s="8">
        <f>IFERROR(__xludf.DUMMYFUNCTION("""COMPUTED_VALUE"""),0.0)</f>
        <v>0</v>
      </c>
      <c r="D3970" s="8"/>
    </row>
    <row r="3971">
      <c r="A3971" s="9" t="str">
        <f>IFERROR(__xludf.DUMMYFUNCTION("""COMPUTED_VALUE"""),"Batch 248")</f>
        <v>Batch 248</v>
      </c>
      <c r="B3971" s="9" t="str">
        <f>IFERROR(__xludf.DUMMYFUNCTION("""COMPUTED_VALUE"""),"SouvikC48")</f>
        <v>SouvikC48</v>
      </c>
      <c r="C3971" s="8">
        <f>IFERROR(__xludf.DUMMYFUNCTION("""COMPUTED_VALUE"""),4.0)</f>
        <v>4</v>
      </c>
      <c r="D3971" s="8"/>
    </row>
    <row r="3972">
      <c r="A3972" s="9" t="str">
        <f>IFERROR(__xludf.DUMMYFUNCTION("""COMPUTED_VALUE"""),"Batch 248")</f>
        <v>Batch 248</v>
      </c>
      <c r="B3972" s="9" t="str">
        <f>IFERROR(__xludf.DUMMYFUNCTION("""COMPUTED_VALUE"""),"HarshC48")</f>
        <v>HarshC48</v>
      </c>
      <c r="C3972" s="8">
        <f>IFERROR(__xludf.DUMMYFUNCTION("""COMPUTED_VALUE"""),0.0)</f>
        <v>0</v>
      </c>
      <c r="D3972" s="8"/>
    </row>
    <row r="3973">
      <c r="A3973" s="9" t="str">
        <f>IFERROR(__xludf.DUMMYFUNCTION("""COMPUTED_VALUE"""),"Batch 248")</f>
        <v>Batch 248</v>
      </c>
      <c r="B3973" s="9" t="str">
        <f>IFERROR(__xludf.DUMMYFUNCTION("""COMPUTED_VALUE"""),"SonalC48")</f>
        <v>SonalC48</v>
      </c>
      <c r="C3973" s="8">
        <f>IFERROR(__xludf.DUMMYFUNCTION("""COMPUTED_VALUE"""),0.0)</f>
        <v>0</v>
      </c>
      <c r="D3973" s="8"/>
    </row>
    <row r="3974">
      <c r="A3974" s="9" t="str">
        <f>IFERROR(__xludf.DUMMYFUNCTION("""COMPUTED_VALUE"""),"Batch 248")</f>
        <v>Batch 248</v>
      </c>
      <c r="B3974" s="9" t="str">
        <f>IFERROR(__xludf.DUMMYFUNCTION("""COMPUTED_VALUE"""),"ArhamC48")</f>
        <v>ArhamC48</v>
      </c>
      <c r="C3974" s="8">
        <f>IFERROR(__xludf.DUMMYFUNCTION("""COMPUTED_VALUE"""),0.0)</f>
        <v>0</v>
      </c>
      <c r="D3974" s="8"/>
    </row>
    <row r="3975">
      <c r="A3975" s="9" t="str">
        <f>IFERROR(__xludf.DUMMYFUNCTION("""COMPUTED_VALUE"""),"Batch 248")</f>
        <v>Batch 248</v>
      </c>
      <c r="B3975" s="9" t="str">
        <f>IFERROR(__xludf.DUMMYFUNCTION("""COMPUTED_VALUE"""),"RenittaC48")</f>
        <v>RenittaC48</v>
      </c>
      <c r="C3975" s="8">
        <f>IFERROR(__xludf.DUMMYFUNCTION("""COMPUTED_VALUE"""),3.0)</f>
        <v>3</v>
      </c>
      <c r="D3975" s="8"/>
    </row>
    <row r="3976">
      <c r="A3976" s="9" t="str">
        <f>IFERROR(__xludf.DUMMYFUNCTION("""COMPUTED_VALUE"""),"Batch 248")</f>
        <v>Batch 248</v>
      </c>
      <c r="B3976" s="9" t="str">
        <f>IFERROR(__xludf.DUMMYFUNCTION("""COMPUTED_VALUE"""),"SagnikC48")</f>
        <v>SagnikC48</v>
      </c>
      <c r="C3976" s="8">
        <f>IFERROR(__xludf.DUMMYFUNCTION("""COMPUTED_VALUE"""),0.0)</f>
        <v>0</v>
      </c>
      <c r="D3976" s="8"/>
    </row>
    <row r="3977">
      <c r="A3977" s="9" t="str">
        <f>IFERROR(__xludf.DUMMYFUNCTION("""COMPUTED_VALUE"""),"Batch 248")</f>
        <v>Batch 248</v>
      </c>
      <c r="B3977" s="9" t="str">
        <f>IFERROR(__xludf.DUMMYFUNCTION("""COMPUTED_VALUE"""),"MeghnaC48")</f>
        <v>MeghnaC48</v>
      </c>
      <c r="C3977" s="8">
        <f>IFERROR(__xludf.DUMMYFUNCTION("""COMPUTED_VALUE"""),0.0)</f>
        <v>0</v>
      </c>
      <c r="D3977" s="8"/>
    </row>
    <row r="3978">
      <c r="A3978" s="9" t="str">
        <f>IFERROR(__xludf.DUMMYFUNCTION("""COMPUTED_VALUE"""),"Batch 248")</f>
        <v>Batch 248</v>
      </c>
      <c r="B3978" s="9" t="str">
        <f>IFERROR(__xludf.DUMMYFUNCTION("""COMPUTED_VALUE"""),"NehaC48")</f>
        <v>NehaC48</v>
      </c>
      <c r="C3978" s="8">
        <f>IFERROR(__xludf.DUMMYFUNCTION("""COMPUTED_VALUE"""),0.0)</f>
        <v>0</v>
      </c>
      <c r="D3978" s="8"/>
    </row>
    <row r="3979">
      <c r="A3979" s="9" t="str">
        <f>IFERROR(__xludf.DUMMYFUNCTION("""COMPUTED_VALUE"""),"Batch 248")</f>
        <v>Batch 248</v>
      </c>
      <c r="B3979" s="9" t="str">
        <f>IFERROR(__xludf.DUMMYFUNCTION("""COMPUTED_VALUE"""),"PrathamC48")</f>
        <v>PrathamC48</v>
      </c>
      <c r="C3979" s="8">
        <f>IFERROR(__xludf.DUMMYFUNCTION("""COMPUTED_VALUE"""),0.0)</f>
        <v>0</v>
      </c>
      <c r="D3979" s="8"/>
    </row>
    <row r="3980">
      <c r="A3980" s="9" t="str">
        <f>IFERROR(__xludf.DUMMYFUNCTION("""COMPUTED_VALUE"""),"Batch 248")</f>
        <v>Batch 248</v>
      </c>
      <c r="B3980" s="9" t="str">
        <f>IFERROR(__xludf.DUMMYFUNCTION("""COMPUTED_VALUE"""),"INDRANILC48")</f>
        <v>INDRANILC48</v>
      </c>
      <c r="C3980" s="8">
        <f>IFERROR(__xludf.DUMMYFUNCTION("""COMPUTED_VALUE"""),0.0)</f>
        <v>0</v>
      </c>
      <c r="D3980" s="8"/>
    </row>
    <row r="3981">
      <c r="A3981" s="9" t="str">
        <f>IFERROR(__xludf.DUMMYFUNCTION("""COMPUTED_VALUE"""),"Batch 248")</f>
        <v>Batch 248</v>
      </c>
      <c r="B3981" s="9" t="str">
        <f>IFERROR(__xludf.DUMMYFUNCTION("""COMPUTED_VALUE"""),"HarshC48")</f>
        <v>HarshC48</v>
      </c>
      <c r="C3981" s="8">
        <f>IFERROR(__xludf.DUMMYFUNCTION("""COMPUTED_VALUE"""),0.0)</f>
        <v>0</v>
      </c>
      <c r="D3981" s="8"/>
    </row>
    <row r="3982">
      <c r="A3982" s="9" t="str">
        <f>IFERROR(__xludf.DUMMYFUNCTION("""COMPUTED_VALUE"""),"Batch 248")</f>
        <v>Batch 248</v>
      </c>
      <c r="B3982" s="9" t="str">
        <f>IFERROR(__xludf.DUMMYFUNCTION("""COMPUTED_VALUE"""),"DebadityaC48")</f>
        <v>DebadityaC48</v>
      </c>
      <c r="C3982" s="8">
        <f>IFERROR(__xludf.DUMMYFUNCTION("""COMPUTED_VALUE"""),0.0)</f>
        <v>0</v>
      </c>
      <c r="D3982" s="8"/>
    </row>
    <row r="3983">
      <c r="A3983" s="9" t="str">
        <f>IFERROR(__xludf.DUMMYFUNCTION("""COMPUTED_VALUE"""),"Batch 248")</f>
        <v>Batch 248</v>
      </c>
      <c r="B3983" s="9" t="str">
        <f>IFERROR(__xludf.DUMMYFUNCTION("""COMPUTED_VALUE"""),"KaushikC48")</f>
        <v>KaushikC48</v>
      </c>
      <c r="C3983" s="8">
        <f>IFERROR(__xludf.DUMMYFUNCTION("""COMPUTED_VALUE"""),0.0)</f>
        <v>0</v>
      </c>
      <c r="D3983" s="8"/>
    </row>
    <row r="3984">
      <c r="A3984" s="9"/>
      <c r="B3984" s="9"/>
      <c r="C3984" s="8">
        <f>IFERROR(__xludf.DUMMYFUNCTION("""COMPUTED_VALUE"""),0.0)</f>
        <v>0</v>
      </c>
      <c r="D3984" s="8"/>
    </row>
    <row r="3985">
      <c r="A3985" s="9" t="str">
        <f>IFERROR(__xludf.DUMMYFUNCTION("""COMPUTED_VALUE"""),"Batch 249")</f>
        <v>Batch 249</v>
      </c>
      <c r="B3985" s="9" t="str">
        <f>IFERROR(__xludf.DUMMYFUNCTION("""COMPUTED_VALUE"""),"PranavC49")</f>
        <v>PranavC49</v>
      </c>
      <c r="C3985" s="8">
        <f>IFERROR(__xludf.DUMMYFUNCTION("""COMPUTED_VALUE"""),0.0)</f>
        <v>0</v>
      </c>
      <c r="D3985" s="8"/>
    </row>
    <row r="3986">
      <c r="A3986" s="9" t="str">
        <f>IFERROR(__xludf.DUMMYFUNCTION("""COMPUTED_VALUE"""),"Batch 249")</f>
        <v>Batch 249</v>
      </c>
      <c r="B3986" s="9" t="str">
        <f>IFERROR(__xludf.DUMMYFUNCTION("""COMPUTED_VALUE"""),"KhushiC49")</f>
        <v>KhushiC49</v>
      </c>
      <c r="C3986" s="8">
        <f>IFERROR(__xludf.DUMMYFUNCTION("""COMPUTED_VALUE"""),0.0)</f>
        <v>0</v>
      </c>
      <c r="D3986" s="8"/>
    </row>
    <row r="3987">
      <c r="A3987" s="9" t="str">
        <f>IFERROR(__xludf.DUMMYFUNCTION("""COMPUTED_VALUE"""),"Batch 249")</f>
        <v>Batch 249</v>
      </c>
      <c r="B3987" s="9" t="str">
        <f>IFERROR(__xludf.DUMMYFUNCTION("""COMPUTED_VALUE"""),"SupreetC49")</f>
        <v>SupreetC49</v>
      </c>
      <c r="C3987" s="8">
        <f>IFERROR(__xludf.DUMMYFUNCTION("""COMPUTED_VALUE"""),0.0)</f>
        <v>0</v>
      </c>
      <c r="D3987" s="8"/>
    </row>
    <row r="3988">
      <c r="A3988" s="9" t="str">
        <f>IFERROR(__xludf.DUMMYFUNCTION("""COMPUTED_VALUE"""),"Batch 249")</f>
        <v>Batch 249</v>
      </c>
      <c r="B3988" s="9" t="str">
        <f>IFERROR(__xludf.DUMMYFUNCTION("""COMPUTED_VALUE"""),"JayeshC49")</f>
        <v>JayeshC49</v>
      </c>
      <c r="C3988" s="8">
        <f>IFERROR(__xludf.DUMMYFUNCTION("""COMPUTED_VALUE"""),0.0)</f>
        <v>0</v>
      </c>
      <c r="D3988" s="8"/>
    </row>
    <row r="3989">
      <c r="A3989" s="9" t="str">
        <f>IFERROR(__xludf.DUMMYFUNCTION("""COMPUTED_VALUE"""),"Batch 249")</f>
        <v>Batch 249</v>
      </c>
      <c r="B3989" s="9" t="str">
        <f>IFERROR(__xludf.DUMMYFUNCTION("""COMPUTED_VALUE"""),"ZaaraC49")</f>
        <v>ZaaraC49</v>
      </c>
      <c r="C3989" s="8">
        <f>IFERROR(__xludf.DUMMYFUNCTION("""COMPUTED_VALUE"""),0.0)</f>
        <v>0</v>
      </c>
      <c r="D3989" s="8"/>
    </row>
    <row r="3990">
      <c r="A3990" s="9" t="str">
        <f>IFERROR(__xludf.DUMMYFUNCTION("""COMPUTED_VALUE"""),"Batch 249")</f>
        <v>Batch 249</v>
      </c>
      <c r="B3990" s="9" t="str">
        <f>IFERROR(__xludf.DUMMYFUNCTION("""COMPUTED_VALUE"""),"HarshitaC49")</f>
        <v>HarshitaC49</v>
      </c>
      <c r="C3990" s="8">
        <f>IFERROR(__xludf.DUMMYFUNCTION("""COMPUTED_VALUE"""),0.0)</f>
        <v>0</v>
      </c>
      <c r="D3990" s="8"/>
    </row>
    <row r="3991">
      <c r="A3991" s="9" t="str">
        <f>IFERROR(__xludf.DUMMYFUNCTION("""COMPUTED_VALUE"""),"Batch 249")</f>
        <v>Batch 249</v>
      </c>
      <c r="B3991" s="9" t="str">
        <f>IFERROR(__xludf.DUMMYFUNCTION("""COMPUTED_VALUE"""),"HemalathaC49")</f>
        <v>HemalathaC49</v>
      </c>
      <c r="C3991" s="8">
        <f>IFERROR(__xludf.DUMMYFUNCTION("""COMPUTED_VALUE"""),0.0)</f>
        <v>0</v>
      </c>
      <c r="D3991" s="8"/>
    </row>
    <row r="3992">
      <c r="A3992" s="9" t="str">
        <f>IFERROR(__xludf.DUMMYFUNCTION("""COMPUTED_VALUE"""),"Batch 249")</f>
        <v>Batch 249</v>
      </c>
      <c r="B3992" s="9" t="str">
        <f>IFERROR(__xludf.DUMMYFUNCTION("""COMPUTED_VALUE"""),"SupriyoC49")</f>
        <v>SupriyoC49</v>
      </c>
      <c r="C3992" s="8">
        <f>IFERROR(__xludf.DUMMYFUNCTION("""COMPUTED_VALUE"""),0.0)</f>
        <v>0</v>
      </c>
      <c r="D3992" s="8"/>
    </row>
    <row r="3993">
      <c r="A3993" s="9" t="str">
        <f>IFERROR(__xludf.DUMMYFUNCTION("""COMPUTED_VALUE"""),"Batch 249")</f>
        <v>Batch 249</v>
      </c>
      <c r="B3993" s="9" t="str">
        <f>IFERROR(__xludf.DUMMYFUNCTION("""COMPUTED_VALUE"""),"AkashC49")</f>
        <v>AkashC49</v>
      </c>
      <c r="C3993" s="8">
        <f>IFERROR(__xludf.DUMMYFUNCTION("""COMPUTED_VALUE"""),0.0)</f>
        <v>0</v>
      </c>
      <c r="D3993" s="8"/>
    </row>
    <row r="3994">
      <c r="A3994" s="9" t="str">
        <f>IFERROR(__xludf.DUMMYFUNCTION("""COMPUTED_VALUE"""),"Batch 249")</f>
        <v>Batch 249</v>
      </c>
      <c r="B3994" s="9" t="str">
        <f>IFERROR(__xludf.DUMMYFUNCTION("""COMPUTED_VALUE"""),"MannuC49")</f>
        <v>MannuC49</v>
      </c>
      <c r="C3994" s="8">
        <f>IFERROR(__xludf.DUMMYFUNCTION("""COMPUTED_VALUE"""),0.0)</f>
        <v>0</v>
      </c>
      <c r="D3994" s="8"/>
    </row>
    <row r="3995">
      <c r="A3995" s="9" t="str">
        <f>IFERROR(__xludf.DUMMYFUNCTION("""COMPUTED_VALUE"""),"Batch 249")</f>
        <v>Batch 249</v>
      </c>
      <c r="B3995" s="9" t="str">
        <f>IFERROR(__xludf.DUMMYFUNCTION("""COMPUTED_VALUE"""),"AdarshC49")</f>
        <v>AdarshC49</v>
      </c>
      <c r="C3995" s="8">
        <f>IFERROR(__xludf.DUMMYFUNCTION("""COMPUTED_VALUE"""),2.0)</f>
        <v>2</v>
      </c>
      <c r="D3995" s="8"/>
    </row>
    <row r="3996">
      <c r="A3996" s="9" t="str">
        <f>IFERROR(__xludf.DUMMYFUNCTION("""COMPUTED_VALUE"""),"Batch 249")</f>
        <v>Batch 249</v>
      </c>
      <c r="B3996" s="9" t="str">
        <f>IFERROR(__xludf.DUMMYFUNCTION("""COMPUTED_VALUE"""),"RohitC49")</f>
        <v>RohitC49</v>
      </c>
      <c r="C3996" s="8">
        <f>IFERROR(__xludf.DUMMYFUNCTION("""COMPUTED_VALUE"""),0.0)</f>
        <v>0</v>
      </c>
      <c r="D3996" s="8"/>
    </row>
    <row r="3997">
      <c r="A3997" s="9" t="str">
        <f>IFERROR(__xludf.DUMMYFUNCTION("""COMPUTED_VALUE"""),"Batch 249")</f>
        <v>Batch 249</v>
      </c>
      <c r="B3997" s="9" t="str">
        <f>IFERROR(__xludf.DUMMYFUNCTION("""COMPUTED_VALUE"""),"PC49")</f>
        <v>PC49</v>
      </c>
      <c r="C3997" s="8">
        <f>IFERROR(__xludf.DUMMYFUNCTION("""COMPUTED_VALUE"""),0.0)</f>
        <v>0</v>
      </c>
      <c r="D3997" s="8"/>
    </row>
    <row r="3998">
      <c r="A3998" s="9" t="str">
        <f>IFERROR(__xludf.DUMMYFUNCTION("""COMPUTED_VALUE"""),"Batch 249")</f>
        <v>Batch 249</v>
      </c>
      <c r="B3998" s="9" t="str">
        <f>IFERROR(__xludf.DUMMYFUNCTION("""COMPUTED_VALUE"""),"ThouheedC49")</f>
        <v>ThouheedC49</v>
      </c>
      <c r="C3998" s="8">
        <f>IFERROR(__xludf.DUMMYFUNCTION("""COMPUTED_VALUE"""),29.0)</f>
        <v>29</v>
      </c>
      <c r="D3998" s="8">
        <f>IFERROR(__xludf.DUMMYFUNCTION("""COMPUTED_VALUE"""),9.0)</f>
        <v>9</v>
      </c>
    </row>
    <row r="3999">
      <c r="A3999" s="9" t="str">
        <f>IFERROR(__xludf.DUMMYFUNCTION("""COMPUTED_VALUE"""),"Batch 249")</f>
        <v>Batch 249</v>
      </c>
      <c r="B3999" s="9" t="str">
        <f>IFERROR(__xludf.DUMMYFUNCTION("""COMPUTED_VALUE"""),"AditiC49")</f>
        <v>AditiC49</v>
      </c>
      <c r="C3999" s="8">
        <f>IFERROR(__xludf.DUMMYFUNCTION("""COMPUTED_VALUE"""),0.0)</f>
        <v>0</v>
      </c>
      <c r="D3999" s="8"/>
    </row>
    <row r="4000">
      <c r="A4000" s="9" t="str">
        <f>IFERROR(__xludf.DUMMYFUNCTION("""COMPUTED_VALUE"""),"Batch 249")</f>
        <v>Batch 249</v>
      </c>
      <c r="B4000" s="9" t="str">
        <f>IFERROR(__xludf.DUMMYFUNCTION("""COMPUTED_VALUE"""),"InshaC49")</f>
        <v>InshaC49</v>
      </c>
      <c r="C4000" s="8">
        <f>IFERROR(__xludf.DUMMYFUNCTION("""COMPUTED_VALUE"""),0.0)</f>
        <v>0</v>
      </c>
      <c r="D4000" s="8"/>
    </row>
    <row r="4001">
      <c r="A4001" s="9" t="str">
        <f>IFERROR(__xludf.DUMMYFUNCTION("""COMPUTED_VALUE"""),"Batch 249")</f>
        <v>Batch 249</v>
      </c>
      <c r="B4001" s="9" t="str">
        <f>IFERROR(__xludf.DUMMYFUNCTION("""COMPUTED_VALUE"""),"PrithviC49")</f>
        <v>PrithviC49</v>
      </c>
      <c r="C4001" s="8">
        <f>IFERROR(__xludf.DUMMYFUNCTION("""COMPUTED_VALUE"""),0.0)</f>
        <v>0</v>
      </c>
      <c r="D4001" s="8"/>
    </row>
    <row r="4002">
      <c r="A4002" s="9" t="str">
        <f>IFERROR(__xludf.DUMMYFUNCTION("""COMPUTED_VALUE"""),"Batch 249")</f>
        <v>Batch 249</v>
      </c>
      <c r="B4002" s="9" t="str">
        <f>IFERROR(__xludf.DUMMYFUNCTION("""COMPUTED_VALUE"""),"AishwaryaC49")</f>
        <v>AishwaryaC49</v>
      </c>
      <c r="C4002" s="8">
        <f>IFERROR(__xludf.DUMMYFUNCTION("""COMPUTED_VALUE"""),0.0)</f>
        <v>0</v>
      </c>
      <c r="D4002" s="8"/>
    </row>
    <row r="4003">
      <c r="A4003" s="9" t="str">
        <f>IFERROR(__xludf.DUMMYFUNCTION("""COMPUTED_VALUE"""),"Batch 249")</f>
        <v>Batch 249</v>
      </c>
      <c r="B4003" s="9" t="str">
        <f>IFERROR(__xludf.DUMMYFUNCTION("""COMPUTED_VALUE"""),"MygapulaC49")</f>
        <v>MygapulaC49</v>
      </c>
      <c r="C4003" s="8">
        <f>IFERROR(__xludf.DUMMYFUNCTION("""COMPUTED_VALUE"""),0.0)</f>
        <v>0</v>
      </c>
      <c r="D4003" s="8"/>
    </row>
    <row r="4004">
      <c r="A4004" s="9" t="str">
        <f>IFERROR(__xludf.DUMMYFUNCTION("""COMPUTED_VALUE"""),"Batch 249")</f>
        <v>Batch 249</v>
      </c>
      <c r="B4004" s="9" t="str">
        <f>IFERROR(__xludf.DUMMYFUNCTION("""COMPUTED_VALUE"""),"VaishnaviC49")</f>
        <v>VaishnaviC49</v>
      </c>
      <c r="C4004" s="8">
        <f>IFERROR(__xludf.DUMMYFUNCTION("""COMPUTED_VALUE"""),5.0)</f>
        <v>5</v>
      </c>
      <c r="D4004" s="8"/>
    </row>
    <row r="4005">
      <c r="A4005" s="9" t="str">
        <f>IFERROR(__xludf.DUMMYFUNCTION("""COMPUTED_VALUE"""),"Batch 249")</f>
        <v>Batch 249</v>
      </c>
      <c r="B4005" s="9" t="str">
        <f>IFERROR(__xludf.DUMMYFUNCTION("""COMPUTED_VALUE"""),"RishikaC49")</f>
        <v>RishikaC49</v>
      </c>
      <c r="C4005" s="8">
        <f>IFERROR(__xludf.DUMMYFUNCTION("""COMPUTED_VALUE"""),0.0)</f>
        <v>0</v>
      </c>
      <c r="D4005" s="8"/>
    </row>
    <row r="4006">
      <c r="A4006" s="9" t="str">
        <f>IFERROR(__xludf.DUMMYFUNCTION("""COMPUTED_VALUE"""),"Batch 249")</f>
        <v>Batch 249</v>
      </c>
      <c r="B4006" s="9" t="str">
        <f>IFERROR(__xludf.DUMMYFUNCTION("""COMPUTED_VALUE"""),"KripaC49")</f>
        <v>KripaC49</v>
      </c>
      <c r="C4006" s="8">
        <f>IFERROR(__xludf.DUMMYFUNCTION("""COMPUTED_VALUE"""),0.0)</f>
        <v>0</v>
      </c>
      <c r="D4006" s="8"/>
    </row>
    <row r="4007">
      <c r="A4007" s="9" t="str">
        <f>IFERROR(__xludf.DUMMYFUNCTION("""COMPUTED_VALUE"""),"Batch 249")</f>
        <v>Batch 249</v>
      </c>
      <c r="B4007" s="9" t="str">
        <f>IFERROR(__xludf.DUMMYFUNCTION("""COMPUTED_VALUE"""),"AkshidC49")</f>
        <v>AkshidC49</v>
      </c>
      <c r="C4007" s="8">
        <f>IFERROR(__xludf.DUMMYFUNCTION("""COMPUTED_VALUE"""),0.0)</f>
        <v>0</v>
      </c>
      <c r="D4007" s="8"/>
    </row>
    <row r="4008">
      <c r="A4008" s="9" t="str">
        <f>IFERROR(__xludf.DUMMYFUNCTION("""COMPUTED_VALUE"""),"Batch 249")</f>
        <v>Batch 249</v>
      </c>
      <c r="B4008" s="9" t="str">
        <f>IFERROR(__xludf.DUMMYFUNCTION("""COMPUTED_VALUE"""),"DeepanshuC49")</f>
        <v>DeepanshuC49</v>
      </c>
      <c r="C4008" s="8">
        <f>IFERROR(__xludf.DUMMYFUNCTION("""COMPUTED_VALUE"""),0.0)</f>
        <v>0</v>
      </c>
      <c r="D4008" s="8"/>
    </row>
    <row r="4009">
      <c r="A4009" s="9" t="str">
        <f>IFERROR(__xludf.DUMMYFUNCTION("""COMPUTED_VALUE"""),"Batch 249")</f>
        <v>Batch 249</v>
      </c>
      <c r="B4009" s="9" t="str">
        <f>IFERROR(__xludf.DUMMYFUNCTION("""COMPUTED_VALUE"""),"SritamaC49")</f>
        <v>SritamaC49</v>
      </c>
      <c r="C4009" s="8">
        <f>IFERROR(__xludf.DUMMYFUNCTION("""COMPUTED_VALUE"""),0.0)</f>
        <v>0</v>
      </c>
      <c r="D4009" s="8"/>
    </row>
    <row r="4010">
      <c r="A4010" s="9" t="str">
        <f>IFERROR(__xludf.DUMMYFUNCTION("""COMPUTED_VALUE"""),"Batch 249")</f>
        <v>Batch 249</v>
      </c>
      <c r="B4010" s="9" t="str">
        <f>IFERROR(__xludf.DUMMYFUNCTION("""COMPUTED_VALUE"""),"MaithriC49")</f>
        <v>MaithriC49</v>
      </c>
      <c r="C4010" s="8">
        <f>IFERROR(__xludf.DUMMYFUNCTION("""COMPUTED_VALUE"""),0.0)</f>
        <v>0</v>
      </c>
      <c r="D4010" s="8"/>
    </row>
    <row r="4011">
      <c r="A4011" s="9" t="str">
        <f>IFERROR(__xludf.DUMMYFUNCTION("""COMPUTED_VALUE"""),"Batch 249")</f>
        <v>Batch 249</v>
      </c>
      <c r="B4011" s="9" t="str">
        <f>IFERROR(__xludf.DUMMYFUNCTION("""COMPUTED_VALUE"""),"ShariC49")</f>
        <v>ShariC49</v>
      </c>
      <c r="C4011" s="8">
        <f>IFERROR(__xludf.DUMMYFUNCTION("""COMPUTED_VALUE"""),0.0)</f>
        <v>0</v>
      </c>
      <c r="D4011" s="8"/>
    </row>
    <row r="4012">
      <c r="A4012" s="9" t="str">
        <f>IFERROR(__xludf.DUMMYFUNCTION("""COMPUTED_VALUE"""),"Batch 249")</f>
        <v>Batch 249</v>
      </c>
      <c r="B4012" s="9" t="str">
        <f>IFERROR(__xludf.DUMMYFUNCTION("""COMPUTED_VALUE"""),"HarshithaC49")</f>
        <v>HarshithaC49</v>
      </c>
      <c r="C4012" s="8">
        <f>IFERROR(__xludf.DUMMYFUNCTION("""COMPUTED_VALUE"""),0.0)</f>
        <v>0</v>
      </c>
      <c r="D4012" s="8"/>
    </row>
    <row r="4013">
      <c r="A4013" s="9" t="str">
        <f>IFERROR(__xludf.DUMMYFUNCTION("""COMPUTED_VALUE"""),"Batch 249")</f>
        <v>Batch 249</v>
      </c>
      <c r="B4013" s="9" t="str">
        <f>IFERROR(__xludf.DUMMYFUNCTION("""COMPUTED_VALUE"""),"GouriC49")</f>
        <v>GouriC49</v>
      </c>
      <c r="C4013" s="8">
        <f>IFERROR(__xludf.DUMMYFUNCTION("""COMPUTED_VALUE"""),0.0)</f>
        <v>0</v>
      </c>
      <c r="D4013" s="8"/>
    </row>
    <row r="4014">
      <c r="A4014" s="9" t="str">
        <f>IFERROR(__xludf.DUMMYFUNCTION("""COMPUTED_VALUE"""),"Batch 249")</f>
        <v>Batch 249</v>
      </c>
      <c r="B4014" s="9" t="str">
        <f>IFERROR(__xludf.DUMMYFUNCTION("""COMPUTED_VALUE"""),"AmanpreetC49")</f>
        <v>AmanpreetC49</v>
      </c>
      <c r="C4014" s="8">
        <f>IFERROR(__xludf.DUMMYFUNCTION("""COMPUTED_VALUE"""),0.0)</f>
        <v>0</v>
      </c>
      <c r="D4014" s="8"/>
    </row>
    <row r="4015">
      <c r="A4015" s="9" t="str">
        <f>IFERROR(__xludf.DUMMYFUNCTION("""COMPUTED_VALUE"""),"Batch 249")</f>
        <v>Batch 249</v>
      </c>
      <c r="B4015" s="9" t="str">
        <f>IFERROR(__xludf.DUMMYFUNCTION("""COMPUTED_VALUE"""),"RidhimaC49")</f>
        <v>RidhimaC49</v>
      </c>
      <c r="C4015" s="8">
        <f>IFERROR(__xludf.DUMMYFUNCTION("""COMPUTED_VALUE"""),0.0)</f>
        <v>0</v>
      </c>
      <c r="D4015" s="8"/>
    </row>
    <row r="4016">
      <c r="A4016" s="9" t="str">
        <f>IFERROR(__xludf.DUMMYFUNCTION("""COMPUTED_VALUE"""),"Batch 249")</f>
        <v>Batch 249</v>
      </c>
      <c r="B4016" s="9" t="str">
        <f>IFERROR(__xludf.DUMMYFUNCTION("""COMPUTED_VALUE"""),"AvinashC49")</f>
        <v>AvinashC49</v>
      </c>
      <c r="C4016" s="8">
        <f>IFERROR(__xludf.DUMMYFUNCTION("""COMPUTED_VALUE"""),0.0)</f>
        <v>0</v>
      </c>
      <c r="D4016" s="8"/>
    </row>
    <row r="4017">
      <c r="A4017" s="9" t="str">
        <f>IFERROR(__xludf.DUMMYFUNCTION("""COMPUTED_VALUE"""),"Batch 249")</f>
        <v>Batch 249</v>
      </c>
      <c r="B4017" s="9" t="str">
        <f>IFERROR(__xludf.DUMMYFUNCTION("""COMPUTED_VALUE"""),"DwarikaC49")</f>
        <v>DwarikaC49</v>
      </c>
      <c r="C4017" s="8">
        <f>IFERROR(__xludf.DUMMYFUNCTION("""COMPUTED_VALUE"""),0.0)</f>
        <v>0</v>
      </c>
      <c r="D4017" s="8"/>
    </row>
    <row r="4018">
      <c r="A4018" s="9" t="str">
        <f>IFERROR(__xludf.DUMMYFUNCTION("""COMPUTED_VALUE"""),"Batch 249")</f>
        <v>Batch 249</v>
      </c>
      <c r="B4018" s="9" t="str">
        <f>IFERROR(__xludf.DUMMYFUNCTION("""COMPUTED_VALUE"""),"SayantanC49")</f>
        <v>SayantanC49</v>
      </c>
      <c r="C4018" s="8">
        <f>IFERROR(__xludf.DUMMYFUNCTION("""COMPUTED_VALUE"""),0.0)</f>
        <v>0</v>
      </c>
      <c r="D4018" s="8"/>
    </row>
    <row r="4019">
      <c r="A4019" s="9" t="str">
        <f>IFERROR(__xludf.DUMMYFUNCTION("""COMPUTED_VALUE"""),"Batch 249")</f>
        <v>Batch 249</v>
      </c>
      <c r="B4019" s="9" t="str">
        <f>IFERROR(__xludf.DUMMYFUNCTION("""COMPUTED_VALUE"""),"DivyanshuC49")</f>
        <v>DivyanshuC49</v>
      </c>
      <c r="C4019" s="8">
        <f>IFERROR(__xludf.DUMMYFUNCTION("""COMPUTED_VALUE"""),0.0)</f>
        <v>0</v>
      </c>
      <c r="D4019" s="8"/>
    </row>
    <row r="4020">
      <c r="A4020" s="9" t="str">
        <f>IFERROR(__xludf.DUMMYFUNCTION("""COMPUTED_VALUE"""),"Batch 249")</f>
        <v>Batch 249</v>
      </c>
      <c r="B4020" s="9" t="str">
        <f>IFERROR(__xludf.DUMMYFUNCTION("""COMPUTED_VALUE"""),"MeghaC49")</f>
        <v>MeghaC49</v>
      </c>
      <c r="C4020" s="8">
        <f>IFERROR(__xludf.DUMMYFUNCTION("""COMPUTED_VALUE"""),0.0)</f>
        <v>0</v>
      </c>
      <c r="D4020" s="8"/>
    </row>
    <row r="4021">
      <c r="A4021" s="9"/>
      <c r="B4021" s="9"/>
      <c r="C4021" s="8">
        <f>IFERROR(__xludf.DUMMYFUNCTION("""COMPUTED_VALUE"""),0.0)</f>
        <v>0</v>
      </c>
      <c r="D4021" s="8"/>
    </row>
    <row r="4022">
      <c r="A4022" s="9" t="str">
        <f>IFERROR(__xludf.DUMMYFUNCTION("""COMPUTED_VALUE"""),"Batch 250")</f>
        <v>Batch 250</v>
      </c>
      <c r="B4022" s="9" t="str">
        <f>IFERROR(__xludf.DUMMYFUNCTION("""COMPUTED_VALUE"""),"B.V.DiwakarC50")</f>
        <v>B.V.DiwakarC50</v>
      </c>
      <c r="C4022" s="8">
        <f>IFERROR(__xludf.DUMMYFUNCTION("""COMPUTED_VALUE"""),0.0)</f>
        <v>0</v>
      </c>
      <c r="D4022" s="8"/>
    </row>
    <row r="4023">
      <c r="A4023" s="9" t="str">
        <f>IFERROR(__xludf.DUMMYFUNCTION("""COMPUTED_VALUE"""),"Batch 250")</f>
        <v>Batch 250</v>
      </c>
      <c r="B4023" s="9" t="str">
        <f>IFERROR(__xludf.DUMMYFUNCTION("""COMPUTED_VALUE"""),"NithyaC50")</f>
        <v>NithyaC50</v>
      </c>
      <c r="C4023" s="8">
        <f>IFERROR(__xludf.DUMMYFUNCTION("""COMPUTED_VALUE"""),0.0)</f>
        <v>0</v>
      </c>
      <c r="D4023" s="8"/>
    </row>
    <row r="4024">
      <c r="A4024" s="9" t="str">
        <f>IFERROR(__xludf.DUMMYFUNCTION("""COMPUTED_VALUE"""),"Batch 250")</f>
        <v>Batch 250</v>
      </c>
      <c r="B4024" s="9" t="str">
        <f>IFERROR(__xludf.DUMMYFUNCTION("""COMPUTED_VALUE"""),"PulkitC50")</f>
        <v>PulkitC50</v>
      </c>
      <c r="C4024" s="8">
        <f>IFERROR(__xludf.DUMMYFUNCTION("""COMPUTED_VALUE"""),0.0)</f>
        <v>0</v>
      </c>
      <c r="D4024" s="8"/>
    </row>
    <row r="4025">
      <c r="A4025" s="9" t="str">
        <f>IFERROR(__xludf.DUMMYFUNCTION("""COMPUTED_VALUE"""),"Batch 250")</f>
        <v>Batch 250</v>
      </c>
      <c r="B4025" s="9" t="str">
        <f>IFERROR(__xludf.DUMMYFUNCTION("""COMPUTED_VALUE"""),"HarsimarC50")</f>
        <v>HarsimarC50</v>
      </c>
      <c r="C4025" s="8">
        <f>IFERROR(__xludf.DUMMYFUNCTION("""COMPUTED_VALUE"""),0.0)</f>
        <v>0</v>
      </c>
      <c r="D4025" s="8"/>
    </row>
    <row r="4026">
      <c r="A4026" s="9" t="str">
        <f>IFERROR(__xludf.DUMMYFUNCTION("""COMPUTED_VALUE"""),"Batch 250")</f>
        <v>Batch 250</v>
      </c>
      <c r="B4026" s="9" t="str">
        <f>IFERROR(__xludf.DUMMYFUNCTION("""COMPUTED_VALUE"""),"AmanC50")</f>
        <v>AmanC50</v>
      </c>
      <c r="C4026" s="8">
        <f>IFERROR(__xludf.DUMMYFUNCTION("""COMPUTED_VALUE"""),0.0)</f>
        <v>0</v>
      </c>
      <c r="D4026" s="8"/>
    </row>
    <row r="4027">
      <c r="A4027" s="9" t="str">
        <f>IFERROR(__xludf.DUMMYFUNCTION("""COMPUTED_VALUE"""),"Batch 250")</f>
        <v>Batch 250</v>
      </c>
      <c r="B4027" s="9" t="str">
        <f>IFERROR(__xludf.DUMMYFUNCTION("""COMPUTED_VALUE"""),"AkshithaC50")</f>
        <v>AkshithaC50</v>
      </c>
      <c r="C4027" s="8">
        <f>IFERROR(__xludf.DUMMYFUNCTION("""COMPUTED_VALUE"""),1.0)</f>
        <v>1</v>
      </c>
      <c r="D4027" s="8">
        <f>IFERROR(__xludf.DUMMYFUNCTION("""COMPUTED_VALUE"""),5.0)</f>
        <v>5</v>
      </c>
    </row>
    <row r="4028">
      <c r="A4028" s="9" t="str">
        <f>IFERROR(__xludf.DUMMYFUNCTION("""COMPUTED_VALUE"""),"Batch 250")</f>
        <v>Batch 250</v>
      </c>
      <c r="B4028" s="9" t="str">
        <f>IFERROR(__xludf.DUMMYFUNCTION("""COMPUTED_VALUE"""),"MohammedC50")</f>
        <v>MohammedC50</v>
      </c>
      <c r="C4028" s="8">
        <f>IFERROR(__xludf.DUMMYFUNCTION("""COMPUTED_VALUE"""),0.0)</f>
        <v>0</v>
      </c>
      <c r="D4028" s="8"/>
    </row>
    <row r="4029">
      <c r="A4029" s="9" t="str">
        <f>IFERROR(__xludf.DUMMYFUNCTION("""COMPUTED_VALUE"""),"Batch 250")</f>
        <v>Batch 250</v>
      </c>
      <c r="B4029" s="9" t="str">
        <f>IFERROR(__xludf.DUMMYFUNCTION("""COMPUTED_VALUE"""),"ShreyaC50")</f>
        <v>ShreyaC50</v>
      </c>
      <c r="C4029" s="8">
        <f>IFERROR(__xludf.DUMMYFUNCTION("""COMPUTED_VALUE"""),0.0)</f>
        <v>0</v>
      </c>
      <c r="D4029" s="8"/>
    </row>
    <row r="4030">
      <c r="A4030" s="9" t="str">
        <f>IFERROR(__xludf.DUMMYFUNCTION("""COMPUTED_VALUE"""),"Batch 250")</f>
        <v>Batch 250</v>
      </c>
      <c r="B4030" s="9" t="str">
        <f>IFERROR(__xludf.DUMMYFUNCTION("""COMPUTED_VALUE"""),"HardikC50")</f>
        <v>HardikC50</v>
      </c>
      <c r="C4030" s="8">
        <f>IFERROR(__xludf.DUMMYFUNCTION("""COMPUTED_VALUE"""),0.0)</f>
        <v>0</v>
      </c>
      <c r="D4030" s="8"/>
    </row>
    <row r="4031">
      <c r="A4031" s="9" t="str">
        <f>IFERROR(__xludf.DUMMYFUNCTION("""COMPUTED_VALUE"""),"Batch 250")</f>
        <v>Batch 250</v>
      </c>
      <c r="B4031" s="9" t="str">
        <f>IFERROR(__xludf.DUMMYFUNCTION("""COMPUTED_VALUE"""),"PiyushC50")</f>
        <v>PiyushC50</v>
      </c>
      <c r="C4031" s="8">
        <f>IFERROR(__xludf.DUMMYFUNCTION("""COMPUTED_VALUE"""),0.0)</f>
        <v>0</v>
      </c>
      <c r="D4031" s="8"/>
    </row>
    <row r="4032">
      <c r="A4032" s="9" t="str">
        <f>IFERROR(__xludf.DUMMYFUNCTION("""COMPUTED_VALUE"""),"Batch 250")</f>
        <v>Batch 250</v>
      </c>
      <c r="B4032" s="9" t="str">
        <f>IFERROR(__xludf.DUMMYFUNCTION("""COMPUTED_VALUE"""),"AnshikaC50")</f>
        <v>AnshikaC50</v>
      </c>
      <c r="C4032" s="8">
        <f>IFERROR(__xludf.DUMMYFUNCTION("""COMPUTED_VALUE"""),0.0)</f>
        <v>0</v>
      </c>
      <c r="D4032" s="8"/>
    </row>
    <row r="4033">
      <c r="A4033" s="9" t="str">
        <f>IFERROR(__xludf.DUMMYFUNCTION("""COMPUTED_VALUE"""),"Batch 250")</f>
        <v>Batch 250</v>
      </c>
      <c r="B4033" s="9" t="str">
        <f>IFERROR(__xludf.DUMMYFUNCTION("""COMPUTED_VALUE"""),"RaynardC50")</f>
        <v>RaynardC50</v>
      </c>
      <c r="C4033" s="8">
        <f>IFERROR(__xludf.DUMMYFUNCTION("""COMPUTED_VALUE"""),0.0)</f>
        <v>0</v>
      </c>
      <c r="D4033" s="8"/>
    </row>
    <row r="4034">
      <c r="A4034" s="9" t="str">
        <f>IFERROR(__xludf.DUMMYFUNCTION("""COMPUTED_VALUE"""),"Batch 250")</f>
        <v>Batch 250</v>
      </c>
      <c r="B4034" s="9" t="str">
        <f>IFERROR(__xludf.DUMMYFUNCTION("""COMPUTED_VALUE"""),"RiyaC50")</f>
        <v>RiyaC50</v>
      </c>
      <c r="C4034" s="8">
        <f>IFERROR(__xludf.DUMMYFUNCTION("""COMPUTED_VALUE"""),0.0)</f>
        <v>0</v>
      </c>
      <c r="D4034" s="8"/>
    </row>
    <row r="4035">
      <c r="A4035" s="9" t="str">
        <f>IFERROR(__xludf.DUMMYFUNCTION("""COMPUTED_VALUE"""),"Batch 250")</f>
        <v>Batch 250</v>
      </c>
      <c r="B4035" s="9" t="str">
        <f>IFERROR(__xludf.DUMMYFUNCTION("""COMPUTED_VALUE"""),"SagarC50")</f>
        <v>SagarC50</v>
      </c>
      <c r="C4035" s="8">
        <f>IFERROR(__xludf.DUMMYFUNCTION("""COMPUTED_VALUE"""),0.0)</f>
        <v>0</v>
      </c>
      <c r="D4035" s="8"/>
    </row>
    <row r="4036">
      <c r="A4036" s="9" t="str">
        <f>IFERROR(__xludf.DUMMYFUNCTION("""COMPUTED_VALUE"""),"Batch 250")</f>
        <v>Batch 250</v>
      </c>
      <c r="B4036" s="9" t="str">
        <f>IFERROR(__xludf.DUMMYFUNCTION("""COMPUTED_VALUE"""),"AditiC50")</f>
        <v>AditiC50</v>
      </c>
      <c r="C4036" s="8">
        <f>IFERROR(__xludf.DUMMYFUNCTION("""COMPUTED_VALUE"""),0.0)</f>
        <v>0</v>
      </c>
      <c r="D4036" s="8"/>
    </row>
    <row r="4037">
      <c r="A4037" s="9" t="str">
        <f>IFERROR(__xludf.DUMMYFUNCTION("""COMPUTED_VALUE"""),"Batch 250")</f>
        <v>Batch 250</v>
      </c>
      <c r="B4037" s="9" t="str">
        <f>IFERROR(__xludf.DUMMYFUNCTION("""COMPUTED_VALUE"""),"MC50")</f>
        <v>MC50</v>
      </c>
      <c r="C4037" s="8">
        <f>IFERROR(__xludf.DUMMYFUNCTION("""COMPUTED_VALUE"""),1.0)</f>
        <v>1</v>
      </c>
      <c r="D4037" s="8"/>
    </row>
    <row r="4038">
      <c r="A4038" s="9" t="str">
        <f>IFERROR(__xludf.DUMMYFUNCTION("""COMPUTED_VALUE"""),"Batch 250")</f>
        <v>Batch 250</v>
      </c>
      <c r="B4038" s="9" t="str">
        <f>IFERROR(__xludf.DUMMYFUNCTION("""COMPUTED_VALUE"""),"PeehuC50")</f>
        <v>PeehuC50</v>
      </c>
      <c r="C4038" s="8">
        <f>IFERROR(__xludf.DUMMYFUNCTION("""COMPUTED_VALUE"""),0.0)</f>
        <v>0</v>
      </c>
      <c r="D4038" s="8"/>
    </row>
    <row r="4039">
      <c r="A4039" s="9" t="str">
        <f>IFERROR(__xludf.DUMMYFUNCTION("""COMPUTED_VALUE"""),"Batch 250")</f>
        <v>Batch 250</v>
      </c>
      <c r="B4039" s="9" t="str">
        <f>IFERROR(__xludf.DUMMYFUNCTION("""COMPUTED_VALUE"""),"KARIC50")</f>
        <v>KARIC50</v>
      </c>
      <c r="C4039" s="8">
        <f>IFERROR(__xludf.DUMMYFUNCTION("""COMPUTED_VALUE"""),0.0)</f>
        <v>0</v>
      </c>
      <c r="D4039" s="8"/>
    </row>
    <row r="4040">
      <c r="A4040" s="9" t="str">
        <f>IFERROR(__xludf.DUMMYFUNCTION("""COMPUTED_VALUE"""),"Batch 250")</f>
        <v>Batch 250</v>
      </c>
      <c r="B4040" s="9" t="str">
        <f>IFERROR(__xludf.DUMMYFUNCTION("""COMPUTED_VALUE"""),"SanskarC50")</f>
        <v>SanskarC50</v>
      </c>
      <c r="C4040" s="8">
        <f>IFERROR(__xludf.DUMMYFUNCTION("""COMPUTED_VALUE"""),0.0)</f>
        <v>0</v>
      </c>
      <c r="D4040" s="8"/>
    </row>
    <row r="4041">
      <c r="A4041" s="9" t="str">
        <f>IFERROR(__xludf.DUMMYFUNCTION("""COMPUTED_VALUE"""),"Batch 250")</f>
        <v>Batch 250</v>
      </c>
      <c r="B4041" s="9" t="str">
        <f>IFERROR(__xludf.DUMMYFUNCTION("""COMPUTED_VALUE"""),"JimitC50")</f>
        <v>JimitC50</v>
      </c>
      <c r="C4041" s="8">
        <f>IFERROR(__xludf.DUMMYFUNCTION("""COMPUTED_VALUE"""),0.0)</f>
        <v>0</v>
      </c>
      <c r="D4041" s="8"/>
    </row>
    <row r="4042">
      <c r="A4042" s="9" t="str">
        <f>IFERROR(__xludf.DUMMYFUNCTION("""COMPUTED_VALUE"""),"Batch 250")</f>
        <v>Batch 250</v>
      </c>
      <c r="B4042" s="9" t="str">
        <f>IFERROR(__xludf.DUMMYFUNCTION("""COMPUTED_VALUE"""),"YashiC50")</f>
        <v>YashiC50</v>
      </c>
      <c r="C4042" s="8">
        <f>IFERROR(__xludf.DUMMYFUNCTION("""COMPUTED_VALUE"""),0.0)</f>
        <v>0</v>
      </c>
      <c r="D4042" s="8"/>
    </row>
    <row r="4043">
      <c r="A4043" s="9" t="str">
        <f>IFERROR(__xludf.DUMMYFUNCTION("""COMPUTED_VALUE"""),"Batch 250")</f>
        <v>Batch 250</v>
      </c>
      <c r="B4043" s="9" t="str">
        <f>IFERROR(__xludf.DUMMYFUNCTION("""COMPUTED_VALUE"""),"VedikaC50")</f>
        <v>VedikaC50</v>
      </c>
      <c r="C4043" s="8">
        <f>IFERROR(__xludf.DUMMYFUNCTION("""COMPUTED_VALUE"""),0.0)</f>
        <v>0</v>
      </c>
      <c r="D4043" s="8"/>
    </row>
    <row r="4044">
      <c r="A4044" s="9" t="str">
        <f>IFERROR(__xludf.DUMMYFUNCTION("""COMPUTED_VALUE"""),"Batch 250")</f>
        <v>Batch 250</v>
      </c>
      <c r="B4044" s="9" t="str">
        <f>IFERROR(__xludf.DUMMYFUNCTION("""COMPUTED_VALUE"""),"KAUSTOOBHC50")</f>
        <v>KAUSTOOBHC50</v>
      </c>
      <c r="C4044" s="8">
        <f>IFERROR(__xludf.DUMMYFUNCTION("""COMPUTED_VALUE"""),0.0)</f>
        <v>0</v>
      </c>
      <c r="D4044" s="8"/>
    </row>
    <row r="4045">
      <c r="A4045" s="9" t="str">
        <f>IFERROR(__xludf.DUMMYFUNCTION("""COMPUTED_VALUE"""),"Batch 250")</f>
        <v>Batch 250</v>
      </c>
      <c r="B4045" s="9" t="str">
        <f>IFERROR(__xludf.DUMMYFUNCTION("""COMPUTED_VALUE"""),"M.MonicaC50")</f>
        <v>M.MonicaC50</v>
      </c>
      <c r="C4045" s="8">
        <f>IFERROR(__xludf.DUMMYFUNCTION("""COMPUTED_VALUE"""),0.0)</f>
        <v>0</v>
      </c>
      <c r="D4045" s="8"/>
    </row>
    <row r="4046">
      <c r="A4046" s="9" t="str">
        <f>IFERROR(__xludf.DUMMYFUNCTION("""COMPUTED_VALUE"""),"Batch 250")</f>
        <v>Batch 250</v>
      </c>
      <c r="B4046" s="9" t="str">
        <f>IFERROR(__xludf.DUMMYFUNCTION("""COMPUTED_VALUE"""),"AnushkaC50")</f>
        <v>AnushkaC50</v>
      </c>
      <c r="C4046" s="8">
        <f>IFERROR(__xludf.DUMMYFUNCTION("""COMPUTED_VALUE"""),0.0)</f>
        <v>0</v>
      </c>
      <c r="D4046" s="8"/>
    </row>
    <row r="4047">
      <c r="A4047" s="9" t="str">
        <f>IFERROR(__xludf.DUMMYFUNCTION("""COMPUTED_VALUE"""),"Batch 250")</f>
        <v>Batch 250</v>
      </c>
      <c r="B4047" s="9" t="str">
        <f>IFERROR(__xludf.DUMMYFUNCTION("""COMPUTED_VALUE"""),"KessicaC50")</f>
        <v>KessicaC50</v>
      </c>
      <c r="C4047" s="8">
        <f>IFERROR(__xludf.DUMMYFUNCTION("""COMPUTED_VALUE"""),0.0)</f>
        <v>0</v>
      </c>
      <c r="D4047" s="8"/>
    </row>
    <row r="4048">
      <c r="A4048" s="9" t="str">
        <f>IFERROR(__xludf.DUMMYFUNCTION("""COMPUTED_VALUE"""),"Batch 250")</f>
        <v>Batch 250</v>
      </c>
      <c r="B4048" s="9" t="str">
        <f>IFERROR(__xludf.DUMMYFUNCTION("""COMPUTED_VALUE"""),"LambodaraC50")</f>
        <v>LambodaraC50</v>
      </c>
      <c r="C4048" s="8">
        <f>IFERROR(__xludf.DUMMYFUNCTION("""COMPUTED_VALUE"""),0.0)</f>
        <v>0</v>
      </c>
      <c r="D4048" s="8"/>
    </row>
    <row r="4049">
      <c r="A4049" s="9" t="str">
        <f>IFERROR(__xludf.DUMMYFUNCTION("""COMPUTED_VALUE"""),"Batch 250")</f>
        <v>Batch 250</v>
      </c>
      <c r="B4049" s="9" t="str">
        <f>IFERROR(__xludf.DUMMYFUNCTION("""COMPUTED_VALUE"""),"VisheshC50")</f>
        <v>VisheshC50</v>
      </c>
      <c r="C4049" s="8">
        <f>IFERROR(__xludf.DUMMYFUNCTION("""COMPUTED_VALUE"""),0.0)</f>
        <v>0</v>
      </c>
      <c r="D4049" s="8"/>
    </row>
    <row r="4050">
      <c r="A4050" s="9" t="str">
        <f>IFERROR(__xludf.DUMMYFUNCTION("""COMPUTED_VALUE"""),"Batch 250")</f>
        <v>Batch 250</v>
      </c>
      <c r="B4050" s="9" t="str">
        <f>IFERROR(__xludf.DUMMYFUNCTION("""COMPUTED_VALUE"""),"MesramC50")</f>
        <v>MesramC50</v>
      </c>
      <c r="C4050" s="8">
        <f>IFERROR(__xludf.DUMMYFUNCTION("""COMPUTED_VALUE"""),0.0)</f>
        <v>0</v>
      </c>
      <c r="D4050" s="8"/>
    </row>
    <row r="4051">
      <c r="A4051" s="9" t="str">
        <f>IFERROR(__xludf.DUMMYFUNCTION("""COMPUTED_VALUE"""),"Batch 250")</f>
        <v>Batch 250</v>
      </c>
      <c r="B4051" s="9" t="str">
        <f>IFERROR(__xludf.DUMMYFUNCTION("""COMPUTED_VALUE"""),"Afin.C50")</f>
        <v>Afin.C50</v>
      </c>
      <c r="C4051" s="8">
        <f>IFERROR(__xludf.DUMMYFUNCTION("""COMPUTED_VALUE"""),0.0)</f>
        <v>0</v>
      </c>
      <c r="D4051" s="8"/>
    </row>
    <row r="4052">
      <c r="A4052" s="9" t="str">
        <f>IFERROR(__xludf.DUMMYFUNCTION("""COMPUTED_VALUE"""),"Batch 250")</f>
        <v>Batch 250</v>
      </c>
      <c r="B4052" s="9" t="str">
        <f>IFERROR(__xludf.DUMMYFUNCTION("""COMPUTED_VALUE"""),"DikshaC50")</f>
        <v>DikshaC50</v>
      </c>
      <c r="C4052" s="8">
        <f>IFERROR(__xludf.DUMMYFUNCTION("""COMPUTED_VALUE"""),0.0)</f>
        <v>0</v>
      </c>
      <c r="D4052" s="8"/>
    </row>
    <row r="4053">
      <c r="A4053" s="9" t="str">
        <f>IFERROR(__xludf.DUMMYFUNCTION("""COMPUTED_VALUE"""),"Batch 250")</f>
        <v>Batch 250</v>
      </c>
      <c r="B4053" s="9" t="str">
        <f>IFERROR(__xludf.DUMMYFUNCTION("""COMPUTED_VALUE"""),"SaumyaC50")</f>
        <v>SaumyaC50</v>
      </c>
      <c r="C4053" s="8">
        <f>IFERROR(__xludf.DUMMYFUNCTION("""COMPUTED_VALUE"""),0.0)</f>
        <v>0</v>
      </c>
      <c r="D4053" s="8"/>
    </row>
    <row r="4054">
      <c r="A4054" s="9" t="str">
        <f>IFERROR(__xludf.DUMMYFUNCTION("""COMPUTED_VALUE"""),"Batch 250")</f>
        <v>Batch 250</v>
      </c>
      <c r="B4054" s="9" t="str">
        <f>IFERROR(__xludf.DUMMYFUNCTION("""COMPUTED_VALUE"""),"ArunC50")</f>
        <v>ArunC50</v>
      </c>
      <c r="C4054" s="8">
        <f>IFERROR(__xludf.DUMMYFUNCTION("""COMPUTED_VALUE"""),0.0)</f>
        <v>0</v>
      </c>
      <c r="D4054" s="8"/>
    </row>
    <row r="4055">
      <c r="A4055" s="9" t="str">
        <f>IFERROR(__xludf.DUMMYFUNCTION("""COMPUTED_VALUE"""),"Batch 250")</f>
        <v>Batch 250</v>
      </c>
      <c r="B4055" s="9" t="str">
        <f>IFERROR(__xludf.DUMMYFUNCTION("""COMPUTED_VALUE"""),"AnkithaC50")</f>
        <v>AnkithaC50</v>
      </c>
      <c r="C4055" s="8">
        <f>IFERROR(__xludf.DUMMYFUNCTION("""COMPUTED_VALUE"""),0.0)</f>
        <v>0</v>
      </c>
      <c r="D4055" s="8"/>
    </row>
    <row r="4056">
      <c r="A4056" s="9" t="str">
        <f>IFERROR(__xludf.DUMMYFUNCTION("""COMPUTED_VALUE"""),"Batch 250")</f>
        <v>Batch 250</v>
      </c>
      <c r="B4056" s="9" t="str">
        <f>IFERROR(__xludf.DUMMYFUNCTION("""COMPUTED_VALUE"""),"IlmaC50")</f>
        <v>IlmaC50</v>
      </c>
      <c r="C4056" s="8">
        <f>IFERROR(__xludf.DUMMYFUNCTION("""COMPUTED_VALUE"""),0.0)</f>
        <v>0</v>
      </c>
      <c r="D4056" s="8"/>
    </row>
    <row r="4057">
      <c r="A4057" s="9" t="str">
        <f>IFERROR(__xludf.DUMMYFUNCTION("""COMPUTED_VALUE"""),"Batch 250")</f>
        <v>Batch 250</v>
      </c>
      <c r="B4057" s="9" t="str">
        <f>IFERROR(__xludf.DUMMYFUNCTION("""COMPUTED_VALUE"""),"NitikaC50")</f>
        <v>NitikaC50</v>
      </c>
      <c r="C4057" s="8">
        <f>IFERROR(__xludf.DUMMYFUNCTION("""COMPUTED_VALUE"""),0.0)</f>
        <v>0</v>
      </c>
      <c r="D4057" s="8"/>
    </row>
    <row r="4058">
      <c r="A4058" s="9" t="str">
        <f>IFERROR(__xludf.DUMMYFUNCTION("""COMPUTED_VALUE"""),"Batch 250")</f>
        <v>Batch 250</v>
      </c>
      <c r="B4058" s="9" t="str">
        <f>IFERROR(__xludf.DUMMYFUNCTION("""COMPUTED_VALUE"""),"AditiDC50")</f>
        <v>AditiDC50</v>
      </c>
      <c r="C4058" s="8">
        <f>IFERROR(__xludf.DUMMYFUNCTION("""COMPUTED_VALUE"""),3.0)</f>
        <v>3</v>
      </c>
      <c r="D4058" s="8"/>
    </row>
    <row r="4059">
      <c r="A4059" s="9" t="str">
        <f>IFERROR(__xludf.DUMMYFUNCTION("""COMPUTED_VALUE"""),"Batch 250")</f>
        <v>Batch 250</v>
      </c>
      <c r="B4059" s="9" t="str">
        <f>IFERROR(__xludf.DUMMYFUNCTION("""COMPUTED_VALUE"""),"ShambhavieC50")</f>
        <v>ShambhavieC50</v>
      </c>
      <c r="C4059" s="8">
        <f>IFERROR(__xludf.DUMMYFUNCTION("""COMPUTED_VALUE"""),0.0)</f>
        <v>0</v>
      </c>
      <c r="D4059" s="8"/>
    </row>
    <row r="4060">
      <c r="A4060" s="9" t="str">
        <f>IFERROR(__xludf.DUMMYFUNCTION("""COMPUTED_VALUE"""),"Batch 250")</f>
        <v>Batch 250</v>
      </c>
      <c r="B4060" s="9" t="str">
        <f>IFERROR(__xludf.DUMMYFUNCTION("""COMPUTED_VALUE"""),"Thanushree.SC50")</f>
        <v>Thanushree.SC50</v>
      </c>
      <c r="C4060" s="8">
        <f>IFERROR(__xludf.DUMMYFUNCTION("""COMPUTED_VALUE"""),2.0)</f>
        <v>2</v>
      </c>
      <c r="D4060" s="8">
        <f>IFERROR(__xludf.DUMMYFUNCTION("""COMPUTED_VALUE"""),3.0)</f>
        <v>3</v>
      </c>
    </row>
    <row r="4061">
      <c r="A4061" s="9" t="str">
        <f>IFERROR(__xludf.DUMMYFUNCTION("""COMPUTED_VALUE"""),"Batch 250")</f>
        <v>Batch 250</v>
      </c>
      <c r="B4061" s="9" t="str">
        <f>IFERROR(__xludf.DUMMYFUNCTION("""COMPUTED_VALUE"""),"VedanshC50")</f>
        <v>VedanshC50</v>
      </c>
      <c r="C4061" s="8">
        <f>IFERROR(__xludf.DUMMYFUNCTION("""COMPUTED_VALUE"""),0.0)</f>
        <v>0</v>
      </c>
      <c r="D4061" s="8"/>
    </row>
    <row r="4062">
      <c r="A4062" s="9" t="str">
        <f>IFERROR(__xludf.DUMMYFUNCTION("""COMPUTED_VALUE"""),"Batch 250")</f>
        <v>Batch 250</v>
      </c>
      <c r="B4062" s="9" t="str">
        <f>IFERROR(__xludf.DUMMYFUNCTION("""COMPUTED_VALUE"""),"rishabhC50")</f>
        <v>rishabhC50</v>
      </c>
      <c r="C4062" s="8">
        <f>IFERROR(__xludf.DUMMYFUNCTION("""COMPUTED_VALUE"""),0.0)</f>
        <v>0</v>
      </c>
      <c r="D4062" s="8"/>
    </row>
    <row r="4063">
      <c r="A4063" s="9" t="str">
        <f>IFERROR(__xludf.DUMMYFUNCTION("""COMPUTED_VALUE"""),"Batch 250")</f>
        <v>Batch 250</v>
      </c>
      <c r="B4063" s="9" t="str">
        <f>IFERROR(__xludf.DUMMYFUNCTION("""COMPUTED_VALUE"""),"KRISHNAC50")</f>
        <v>KRISHNAC50</v>
      </c>
      <c r="C4063" s="8">
        <f>IFERROR(__xludf.DUMMYFUNCTION("""COMPUTED_VALUE"""),0.0)</f>
        <v>0</v>
      </c>
      <c r="D4063" s="8"/>
    </row>
    <row r="4064">
      <c r="A4064" s="9" t="str">
        <f>IFERROR(__xludf.DUMMYFUNCTION("""COMPUTED_VALUE"""),"Batch 250")</f>
        <v>Batch 250</v>
      </c>
      <c r="B4064" s="9" t="str">
        <f>IFERROR(__xludf.DUMMYFUNCTION("""COMPUTED_VALUE"""),"EejarlaC50")</f>
        <v>EejarlaC50</v>
      </c>
      <c r="C4064" s="8">
        <f>IFERROR(__xludf.DUMMYFUNCTION("""COMPUTED_VALUE"""),0.0)</f>
        <v>0</v>
      </c>
      <c r="D4064" s="8"/>
    </row>
    <row r="4065">
      <c r="A4065" s="9" t="str">
        <f>IFERROR(__xludf.DUMMYFUNCTION("""COMPUTED_VALUE"""),"Batch 250")</f>
        <v>Batch 250</v>
      </c>
      <c r="B4065" s="9" t="str">
        <f>IFERROR(__xludf.DUMMYFUNCTION("""COMPUTED_VALUE"""),"ShreyasC50")</f>
        <v>ShreyasC50</v>
      </c>
      <c r="C4065" s="8">
        <f>IFERROR(__xludf.DUMMYFUNCTION("""COMPUTED_VALUE"""),0.0)</f>
        <v>0</v>
      </c>
      <c r="D4065" s="8"/>
    </row>
    <row r="4066">
      <c r="A4066" s="9" t="str">
        <f>IFERROR(__xludf.DUMMYFUNCTION("""COMPUTED_VALUE"""),"Batch 250")</f>
        <v>Batch 250</v>
      </c>
      <c r="B4066" s="9" t="str">
        <f>IFERROR(__xludf.DUMMYFUNCTION("""COMPUTED_VALUE"""),"AsmitaC50")</f>
        <v>AsmitaC50</v>
      </c>
      <c r="C4066" s="8">
        <f>IFERROR(__xludf.DUMMYFUNCTION("""COMPUTED_VALUE"""),0.0)</f>
        <v>0</v>
      </c>
      <c r="D4066" s="8"/>
    </row>
    <row r="4067">
      <c r="A4067" s="9" t="str">
        <f>IFERROR(__xludf.DUMMYFUNCTION("""COMPUTED_VALUE"""),"Batch 250")</f>
        <v>Batch 250</v>
      </c>
      <c r="B4067" s="9" t="str">
        <f>IFERROR(__xludf.DUMMYFUNCTION("""COMPUTED_VALUE"""),"MahishC50")</f>
        <v>MahishC50</v>
      </c>
      <c r="C4067" s="8">
        <f>IFERROR(__xludf.DUMMYFUNCTION("""COMPUTED_VALUE"""),5.0)</f>
        <v>5</v>
      </c>
      <c r="D4067" s="8"/>
    </row>
    <row r="4068">
      <c r="A4068" s="9" t="str">
        <f>IFERROR(__xludf.DUMMYFUNCTION("""COMPUTED_VALUE"""),"Batch 250")</f>
        <v>Batch 250</v>
      </c>
      <c r="B4068" s="9" t="str">
        <f>IFERROR(__xludf.DUMMYFUNCTION("""COMPUTED_VALUE"""),"TanyaC50")</f>
        <v>TanyaC50</v>
      </c>
      <c r="C4068" s="8">
        <f>IFERROR(__xludf.DUMMYFUNCTION("""COMPUTED_VALUE"""),0.0)</f>
        <v>0</v>
      </c>
      <c r="D4068" s="8"/>
    </row>
    <row r="4069">
      <c r="A4069" s="9" t="str">
        <f>IFERROR(__xludf.DUMMYFUNCTION("""COMPUTED_VALUE"""),"Batch 250")</f>
        <v>Batch 250</v>
      </c>
      <c r="B4069" s="9" t="str">
        <f>IFERROR(__xludf.DUMMYFUNCTION("""COMPUTED_VALUE"""),"ReeyanshC50")</f>
        <v>ReeyanshC50</v>
      </c>
      <c r="C4069" s="8">
        <f>IFERROR(__xludf.DUMMYFUNCTION("""COMPUTED_VALUE"""),0.0)</f>
        <v>0</v>
      </c>
      <c r="D4069" s="8"/>
    </row>
    <row r="4070">
      <c r="A4070" s="9" t="str">
        <f>IFERROR(__xludf.DUMMYFUNCTION("""COMPUTED_VALUE"""),"Batch 250")</f>
        <v>Batch 250</v>
      </c>
      <c r="B4070" s="9" t="str">
        <f>IFERROR(__xludf.DUMMYFUNCTION("""COMPUTED_VALUE"""),"SahityaC50")</f>
        <v>SahityaC50</v>
      </c>
      <c r="C4070" s="8">
        <f>IFERROR(__xludf.DUMMYFUNCTION("""COMPUTED_VALUE"""),0.0)</f>
        <v>0</v>
      </c>
      <c r="D4070" s="8"/>
    </row>
    <row r="4071">
      <c r="A4071" s="9" t="str">
        <f>IFERROR(__xludf.DUMMYFUNCTION("""COMPUTED_VALUE"""),"Batch 250")</f>
        <v>Batch 250</v>
      </c>
      <c r="B4071" s="9" t="str">
        <f>IFERROR(__xludf.DUMMYFUNCTION("""COMPUTED_VALUE"""),"SaralC50")</f>
        <v>SaralC50</v>
      </c>
      <c r="C4071" s="8">
        <f>IFERROR(__xludf.DUMMYFUNCTION("""COMPUTED_VALUE"""),0.0)</f>
        <v>0</v>
      </c>
      <c r="D4071" s="8"/>
    </row>
    <row r="4072">
      <c r="A4072" s="9" t="str">
        <f>IFERROR(__xludf.DUMMYFUNCTION("""COMPUTED_VALUE"""),"Batch 250")</f>
        <v>Batch 250</v>
      </c>
      <c r="B4072" s="9" t="str">
        <f>IFERROR(__xludf.DUMMYFUNCTION("""COMPUTED_VALUE"""),"GURUC50")</f>
        <v>GURUC50</v>
      </c>
      <c r="C4072" s="8">
        <f>IFERROR(__xludf.DUMMYFUNCTION("""COMPUTED_VALUE"""),0.0)</f>
        <v>0</v>
      </c>
      <c r="D4072" s="8"/>
    </row>
    <row r="4073">
      <c r="A4073" s="9" t="str">
        <f>IFERROR(__xludf.DUMMYFUNCTION("""COMPUTED_VALUE"""),"Batch 250")</f>
        <v>Batch 250</v>
      </c>
      <c r="B4073" s="9" t="str">
        <f>IFERROR(__xludf.DUMMYFUNCTION("""COMPUTED_VALUE"""),"ShrasthiC50")</f>
        <v>ShrasthiC50</v>
      </c>
      <c r="C4073" s="8">
        <f>IFERROR(__xludf.DUMMYFUNCTION("""COMPUTED_VALUE"""),0.0)</f>
        <v>0</v>
      </c>
      <c r="D4073" s="8"/>
    </row>
    <row r="4074">
      <c r="A4074" s="9" t="str">
        <f>IFERROR(__xludf.DUMMYFUNCTION("""COMPUTED_VALUE"""),"Batch 250")</f>
        <v>Batch 250</v>
      </c>
      <c r="B4074" s="9" t="str">
        <f>IFERROR(__xludf.DUMMYFUNCTION("""COMPUTED_VALUE"""),"SagnikC50")</f>
        <v>SagnikC50</v>
      </c>
      <c r="C4074" s="8">
        <f>IFERROR(__xludf.DUMMYFUNCTION("""COMPUTED_VALUE"""),0.0)</f>
        <v>0</v>
      </c>
      <c r="D4074" s="8"/>
    </row>
    <row r="4075">
      <c r="A4075" s="9"/>
      <c r="B4075" s="9"/>
      <c r="C4075" s="8">
        <f>IFERROR(__xludf.DUMMYFUNCTION("""COMPUTED_VALUE"""),0.0)</f>
        <v>0</v>
      </c>
      <c r="D4075" s="8"/>
    </row>
    <row r="4076">
      <c r="A4076" s="9" t="str">
        <f>IFERROR(__xludf.DUMMYFUNCTION("""COMPUTED_VALUE"""),"Batch 251")</f>
        <v>Batch 251</v>
      </c>
      <c r="B4076" s="9" t="str">
        <f>IFERROR(__xludf.DUMMYFUNCTION("""COMPUTED_VALUE"""),"NallaC51")</f>
        <v>NallaC51</v>
      </c>
      <c r="C4076" s="8">
        <f>IFERROR(__xludf.DUMMYFUNCTION("""COMPUTED_VALUE"""),6.0)</f>
        <v>6</v>
      </c>
      <c r="D4076" s="8"/>
    </row>
    <row r="4077">
      <c r="A4077" s="9" t="str">
        <f>IFERROR(__xludf.DUMMYFUNCTION("""COMPUTED_VALUE"""),"Batch 251")</f>
        <v>Batch 251</v>
      </c>
      <c r="B4077" s="9" t="str">
        <f>IFERROR(__xludf.DUMMYFUNCTION("""COMPUTED_VALUE"""),"GujaratiC51")</f>
        <v>GujaratiC51</v>
      </c>
      <c r="C4077" s="8">
        <f>IFERROR(__xludf.DUMMYFUNCTION("""COMPUTED_VALUE"""),0.0)</f>
        <v>0</v>
      </c>
      <c r="D4077" s="8"/>
    </row>
    <row r="4078">
      <c r="A4078" s="9" t="str">
        <f>IFERROR(__xludf.DUMMYFUNCTION("""COMPUTED_VALUE"""),"Batch 251")</f>
        <v>Batch 251</v>
      </c>
      <c r="B4078" s="9" t="str">
        <f>IFERROR(__xludf.DUMMYFUNCTION("""COMPUTED_VALUE"""),"AyeeshaC51")</f>
        <v>AyeeshaC51</v>
      </c>
      <c r="C4078" s="8">
        <f>IFERROR(__xludf.DUMMYFUNCTION("""COMPUTED_VALUE"""),0.0)</f>
        <v>0</v>
      </c>
      <c r="D4078" s="8"/>
    </row>
    <row r="4079">
      <c r="A4079" s="9" t="str">
        <f>IFERROR(__xludf.DUMMYFUNCTION("""COMPUTED_VALUE"""),"Batch 251")</f>
        <v>Batch 251</v>
      </c>
      <c r="B4079" s="9" t="str">
        <f>IFERROR(__xludf.DUMMYFUNCTION("""COMPUTED_VALUE"""),"KomalC51")</f>
        <v>KomalC51</v>
      </c>
      <c r="C4079" s="8">
        <f>IFERROR(__xludf.DUMMYFUNCTION("""COMPUTED_VALUE"""),0.0)</f>
        <v>0</v>
      </c>
      <c r="D4079" s="8"/>
    </row>
    <row r="4080">
      <c r="A4080" s="9" t="str">
        <f>IFERROR(__xludf.DUMMYFUNCTION("""COMPUTED_VALUE"""),"Batch 251")</f>
        <v>Batch 251</v>
      </c>
      <c r="B4080" s="9" t="str">
        <f>IFERROR(__xludf.DUMMYFUNCTION("""COMPUTED_VALUE"""),"AryanC51")</f>
        <v>AryanC51</v>
      </c>
      <c r="C4080" s="8">
        <f>IFERROR(__xludf.DUMMYFUNCTION("""COMPUTED_VALUE"""),0.0)</f>
        <v>0</v>
      </c>
      <c r="D4080" s="8"/>
    </row>
    <row r="4081">
      <c r="A4081" s="9" t="str">
        <f>IFERROR(__xludf.DUMMYFUNCTION("""COMPUTED_VALUE"""),"Batch 251")</f>
        <v>Batch 251</v>
      </c>
      <c r="B4081" s="9" t="str">
        <f>IFERROR(__xludf.DUMMYFUNCTION("""COMPUTED_VALUE"""),"ShaileshC51")</f>
        <v>ShaileshC51</v>
      </c>
      <c r="C4081" s="8">
        <f>IFERROR(__xludf.DUMMYFUNCTION("""COMPUTED_VALUE"""),2.0)</f>
        <v>2</v>
      </c>
      <c r="D4081" s="8">
        <f>IFERROR(__xludf.DUMMYFUNCTION("""COMPUTED_VALUE"""),2.0)</f>
        <v>2</v>
      </c>
    </row>
    <row r="4082">
      <c r="A4082" s="9" t="str">
        <f>IFERROR(__xludf.DUMMYFUNCTION("""COMPUTED_VALUE"""),"Batch 251")</f>
        <v>Batch 251</v>
      </c>
      <c r="B4082" s="9" t="str">
        <f>IFERROR(__xludf.DUMMYFUNCTION("""COMPUTED_VALUE"""),"OmC51")</f>
        <v>OmC51</v>
      </c>
      <c r="C4082" s="8">
        <f>IFERROR(__xludf.DUMMYFUNCTION("""COMPUTED_VALUE"""),0.0)</f>
        <v>0</v>
      </c>
      <c r="D4082" s="8"/>
    </row>
    <row r="4083">
      <c r="A4083" s="9" t="str">
        <f>IFERROR(__xludf.DUMMYFUNCTION("""COMPUTED_VALUE"""),"Batch 251")</f>
        <v>Batch 251</v>
      </c>
      <c r="B4083" s="9" t="str">
        <f>IFERROR(__xludf.DUMMYFUNCTION("""COMPUTED_VALUE"""),"RishwanthC51")</f>
        <v>RishwanthC51</v>
      </c>
      <c r="C4083" s="8">
        <f>IFERROR(__xludf.DUMMYFUNCTION("""COMPUTED_VALUE"""),1.0)</f>
        <v>1</v>
      </c>
      <c r="D4083" s="8"/>
    </row>
    <row r="4084">
      <c r="A4084" s="9" t="str">
        <f>IFERROR(__xludf.DUMMYFUNCTION("""COMPUTED_VALUE"""),"Batch 251")</f>
        <v>Batch 251</v>
      </c>
      <c r="B4084" s="9" t="str">
        <f>IFERROR(__xludf.DUMMYFUNCTION("""COMPUTED_VALUE"""),"SWASTIKAC51")</f>
        <v>SWASTIKAC51</v>
      </c>
      <c r="C4084" s="8">
        <f>IFERROR(__xludf.DUMMYFUNCTION("""COMPUTED_VALUE"""),0.0)</f>
        <v>0</v>
      </c>
      <c r="D4084" s="8"/>
    </row>
    <row r="4085">
      <c r="A4085" s="9" t="str">
        <f>IFERROR(__xludf.DUMMYFUNCTION("""COMPUTED_VALUE"""),"Batch 251")</f>
        <v>Batch 251</v>
      </c>
      <c r="B4085" s="9" t="str">
        <f>IFERROR(__xludf.DUMMYFUNCTION("""COMPUTED_VALUE"""),"OMSC51")</f>
        <v>OMSC51</v>
      </c>
      <c r="C4085" s="8">
        <f>IFERROR(__xludf.DUMMYFUNCTION("""COMPUTED_VALUE"""),6.0)</f>
        <v>6</v>
      </c>
      <c r="D4085" s="8"/>
    </row>
    <row r="4086">
      <c r="A4086" s="9" t="str">
        <f>IFERROR(__xludf.DUMMYFUNCTION("""COMPUTED_VALUE"""),"Batch 251")</f>
        <v>Batch 251</v>
      </c>
      <c r="B4086" s="9" t="str">
        <f>IFERROR(__xludf.DUMMYFUNCTION("""COMPUTED_VALUE"""),"MADAPAC51")</f>
        <v>MADAPAC51</v>
      </c>
      <c r="C4086" s="8">
        <f>IFERROR(__xludf.DUMMYFUNCTION("""COMPUTED_VALUE"""),0.0)</f>
        <v>0</v>
      </c>
      <c r="D4086" s="8"/>
    </row>
    <row r="4087">
      <c r="A4087" s="9" t="str">
        <f>IFERROR(__xludf.DUMMYFUNCTION("""COMPUTED_VALUE"""),"Batch 251")</f>
        <v>Batch 251</v>
      </c>
      <c r="B4087" s="9" t="str">
        <f>IFERROR(__xludf.DUMMYFUNCTION("""COMPUTED_VALUE"""),"UtkarshC51")</f>
        <v>UtkarshC51</v>
      </c>
      <c r="C4087" s="8">
        <f>IFERROR(__xludf.DUMMYFUNCTION("""COMPUTED_VALUE"""),3.0)</f>
        <v>3</v>
      </c>
      <c r="D4087" s="8"/>
    </row>
    <row r="4088">
      <c r="A4088" s="9" t="str">
        <f>IFERROR(__xludf.DUMMYFUNCTION("""COMPUTED_VALUE"""),"Batch 251")</f>
        <v>Batch 251</v>
      </c>
      <c r="B4088" s="9" t="str">
        <f>IFERROR(__xludf.DUMMYFUNCTION("""COMPUTED_VALUE"""),"KarthishaC51")</f>
        <v>KarthishaC51</v>
      </c>
      <c r="C4088" s="8">
        <f>IFERROR(__xludf.DUMMYFUNCTION("""COMPUTED_VALUE"""),17.0)</f>
        <v>17</v>
      </c>
      <c r="D4088" s="8">
        <f>IFERROR(__xludf.DUMMYFUNCTION("""COMPUTED_VALUE"""),1.0)</f>
        <v>1</v>
      </c>
    </row>
    <row r="4089">
      <c r="A4089" s="9" t="str">
        <f>IFERROR(__xludf.DUMMYFUNCTION("""COMPUTED_VALUE"""),"Batch 251")</f>
        <v>Batch 251</v>
      </c>
      <c r="B4089" s="9" t="str">
        <f>IFERROR(__xludf.DUMMYFUNCTION("""COMPUTED_VALUE"""),"SnehaC51")</f>
        <v>SnehaC51</v>
      </c>
      <c r="C4089" s="8">
        <f>IFERROR(__xludf.DUMMYFUNCTION("""COMPUTED_VALUE"""),0.0)</f>
        <v>0</v>
      </c>
      <c r="D4089" s="8"/>
    </row>
    <row r="4090">
      <c r="A4090" s="9" t="str">
        <f>IFERROR(__xludf.DUMMYFUNCTION("""COMPUTED_VALUE"""),"Batch 251")</f>
        <v>Batch 251</v>
      </c>
      <c r="B4090" s="9" t="str">
        <f>IFERROR(__xludf.DUMMYFUNCTION("""COMPUTED_VALUE"""),"NayanC51")</f>
        <v>NayanC51</v>
      </c>
      <c r="C4090" s="8">
        <f>IFERROR(__xludf.DUMMYFUNCTION("""COMPUTED_VALUE"""),0.0)</f>
        <v>0</v>
      </c>
      <c r="D4090" s="8"/>
    </row>
    <row r="4091">
      <c r="A4091" s="9" t="str">
        <f>IFERROR(__xludf.DUMMYFUNCTION("""COMPUTED_VALUE"""),"Batch 251")</f>
        <v>Batch 251</v>
      </c>
      <c r="B4091" s="9" t="str">
        <f>IFERROR(__xludf.DUMMYFUNCTION("""COMPUTED_VALUE"""),"SudeepC51")</f>
        <v>SudeepC51</v>
      </c>
      <c r="C4091" s="8">
        <f>IFERROR(__xludf.DUMMYFUNCTION("""COMPUTED_VALUE"""),0.0)</f>
        <v>0</v>
      </c>
      <c r="D4091" s="8"/>
    </row>
    <row r="4092">
      <c r="A4092" s="9" t="str">
        <f>IFERROR(__xludf.DUMMYFUNCTION("""COMPUTED_VALUE"""),"Batch 251")</f>
        <v>Batch 251</v>
      </c>
      <c r="B4092" s="9" t="str">
        <f>IFERROR(__xludf.DUMMYFUNCTION("""COMPUTED_VALUE"""),"MahommdC51")</f>
        <v>MahommdC51</v>
      </c>
      <c r="C4092" s="8">
        <f>IFERROR(__xludf.DUMMYFUNCTION("""COMPUTED_VALUE"""),0.0)</f>
        <v>0</v>
      </c>
      <c r="D4092" s="8"/>
    </row>
    <row r="4093">
      <c r="A4093" s="9" t="str">
        <f>IFERROR(__xludf.DUMMYFUNCTION("""COMPUTED_VALUE"""),"Batch 251")</f>
        <v>Batch 251</v>
      </c>
      <c r="B4093" s="9" t="str">
        <f>IFERROR(__xludf.DUMMYFUNCTION("""COMPUTED_VALUE"""),"JiyaC51")</f>
        <v>JiyaC51</v>
      </c>
      <c r="C4093" s="8">
        <f>IFERROR(__xludf.DUMMYFUNCTION("""COMPUTED_VALUE"""),1.0)</f>
        <v>1</v>
      </c>
      <c r="D4093" s="8"/>
    </row>
    <row r="4094">
      <c r="A4094" s="9" t="str">
        <f>IFERROR(__xludf.DUMMYFUNCTION("""COMPUTED_VALUE"""),"Batch 251")</f>
        <v>Batch 251</v>
      </c>
      <c r="B4094" s="9" t="str">
        <f>IFERROR(__xludf.DUMMYFUNCTION("""COMPUTED_VALUE"""),"AbhiramC51")</f>
        <v>AbhiramC51</v>
      </c>
      <c r="C4094" s="8">
        <f>IFERROR(__xludf.DUMMYFUNCTION("""COMPUTED_VALUE"""),0.0)</f>
        <v>0</v>
      </c>
      <c r="D4094" s="8"/>
    </row>
    <row r="4095">
      <c r="A4095" s="9" t="str">
        <f>IFERROR(__xludf.DUMMYFUNCTION("""COMPUTED_VALUE"""),"Batch 251")</f>
        <v>Batch 251</v>
      </c>
      <c r="B4095" s="9" t="str">
        <f>IFERROR(__xludf.DUMMYFUNCTION("""COMPUTED_VALUE"""),"HarshpreetC51")</f>
        <v>HarshpreetC51</v>
      </c>
      <c r="C4095" s="8">
        <f>IFERROR(__xludf.DUMMYFUNCTION("""COMPUTED_VALUE"""),0.0)</f>
        <v>0</v>
      </c>
      <c r="D4095" s="8"/>
    </row>
    <row r="4096">
      <c r="A4096" s="9" t="str">
        <f>IFERROR(__xludf.DUMMYFUNCTION("""COMPUTED_VALUE"""),"Batch 251")</f>
        <v>Batch 251</v>
      </c>
      <c r="B4096" s="9" t="str">
        <f>IFERROR(__xludf.DUMMYFUNCTION("""COMPUTED_VALUE"""),"AbhinavC51")</f>
        <v>AbhinavC51</v>
      </c>
      <c r="C4096" s="8">
        <f>IFERROR(__xludf.DUMMYFUNCTION("""COMPUTED_VALUE"""),0.0)</f>
        <v>0</v>
      </c>
      <c r="D4096" s="8"/>
    </row>
    <row r="4097">
      <c r="A4097" s="9" t="str">
        <f>IFERROR(__xludf.DUMMYFUNCTION("""COMPUTED_VALUE"""),"Batch 251")</f>
        <v>Batch 251</v>
      </c>
      <c r="B4097" s="9" t="str">
        <f>IFERROR(__xludf.DUMMYFUNCTION("""COMPUTED_VALUE"""),"TimbaC51")</f>
        <v>TimbaC51</v>
      </c>
      <c r="C4097" s="8">
        <f>IFERROR(__xludf.DUMMYFUNCTION("""COMPUTED_VALUE"""),0.0)</f>
        <v>0</v>
      </c>
      <c r="D4097" s="8"/>
    </row>
    <row r="4098">
      <c r="A4098" s="9" t="str">
        <f>IFERROR(__xludf.DUMMYFUNCTION("""COMPUTED_VALUE"""),"Batch 251")</f>
        <v>Batch 251</v>
      </c>
      <c r="B4098" s="9" t="str">
        <f>IFERROR(__xludf.DUMMYFUNCTION("""COMPUTED_VALUE"""),"NehaC51")</f>
        <v>NehaC51</v>
      </c>
      <c r="C4098" s="8">
        <f>IFERROR(__xludf.DUMMYFUNCTION("""COMPUTED_VALUE"""),0.0)</f>
        <v>0</v>
      </c>
      <c r="D4098" s="8"/>
    </row>
    <row r="4099">
      <c r="A4099" s="9" t="str">
        <f>IFERROR(__xludf.DUMMYFUNCTION("""COMPUTED_VALUE"""),"Batch 251")</f>
        <v>Batch 251</v>
      </c>
      <c r="B4099" s="9" t="str">
        <f>IFERROR(__xludf.DUMMYFUNCTION("""COMPUTED_VALUE"""),"DevangC51")</f>
        <v>DevangC51</v>
      </c>
      <c r="C4099" s="8">
        <f>IFERROR(__xludf.DUMMYFUNCTION("""COMPUTED_VALUE"""),0.0)</f>
        <v>0</v>
      </c>
      <c r="D4099" s="8"/>
    </row>
    <row r="4100">
      <c r="A4100" s="9" t="str">
        <f>IFERROR(__xludf.DUMMYFUNCTION("""COMPUTED_VALUE"""),"Batch 251")</f>
        <v>Batch 251</v>
      </c>
      <c r="B4100" s="9" t="str">
        <f>IFERROR(__xludf.DUMMYFUNCTION("""COMPUTED_VALUE"""),"AniketC51")</f>
        <v>AniketC51</v>
      </c>
      <c r="C4100" s="8">
        <f>IFERROR(__xludf.DUMMYFUNCTION("""COMPUTED_VALUE"""),0.0)</f>
        <v>0</v>
      </c>
      <c r="D4100" s="8"/>
    </row>
    <row r="4101">
      <c r="A4101" s="9" t="str">
        <f>IFERROR(__xludf.DUMMYFUNCTION("""COMPUTED_VALUE"""),"Batch 251")</f>
        <v>Batch 251</v>
      </c>
      <c r="B4101" s="9" t="str">
        <f>IFERROR(__xludf.DUMMYFUNCTION("""COMPUTED_VALUE"""),"GoutamC51")</f>
        <v>GoutamC51</v>
      </c>
      <c r="C4101" s="8">
        <f>IFERROR(__xludf.DUMMYFUNCTION("""COMPUTED_VALUE"""),0.0)</f>
        <v>0</v>
      </c>
      <c r="D4101" s="8"/>
    </row>
    <row r="4102">
      <c r="A4102" s="9" t="str">
        <f>IFERROR(__xludf.DUMMYFUNCTION("""COMPUTED_VALUE"""),"Batch 251")</f>
        <v>Batch 251</v>
      </c>
      <c r="B4102" s="9" t="str">
        <f>IFERROR(__xludf.DUMMYFUNCTION("""COMPUTED_VALUE"""),"SayanC51")</f>
        <v>SayanC51</v>
      </c>
      <c r="C4102" s="8">
        <f>IFERROR(__xludf.DUMMYFUNCTION("""COMPUTED_VALUE"""),0.0)</f>
        <v>0</v>
      </c>
      <c r="D4102" s="8"/>
    </row>
    <row r="4103">
      <c r="A4103" s="9" t="str">
        <f>IFERROR(__xludf.DUMMYFUNCTION("""COMPUTED_VALUE"""),"Batch 251")</f>
        <v>Batch 251</v>
      </c>
      <c r="B4103" s="9" t="str">
        <f>IFERROR(__xludf.DUMMYFUNCTION("""COMPUTED_VALUE"""),"IshaniC51")</f>
        <v>IshaniC51</v>
      </c>
      <c r="C4103" s="8">
        <f>IFERROR(__xludf.DUMMYFUNCTION("""COMPUTED_VALUE"""),0.0)</f>
        <v>0</v>
      </c>
      <c r="D4103" s="8"/>
    </row>
    <row r="4104">
      <c r="A4104" s="9" t="str">
        <f>IFERROR(__xludf.DUMMYFUNCTION("""COMPUTED_VALUE"""),"Batch 251")</f>
        <v>Batch 251</v>
      </c>
      <c r="B4104" s="9" t="str">
        <f>IFERROR(__xludf.DUMMYFUNCTION("""COMPUTED_VALUE"""),"VipulC51")</f>
        <v>VipulC51</v>
      </c>
      <c r="C4104" s="8">
        <f>IFERROR(__xludf.DUMMYFUNCTION("""COMPUTED_VALUE"""),0.0)</f>
        <v>0</v>
      </c>
      <c r="D4104" s="8"/>
    </row>
    <row r="4105">
      <c r="A4105" s="9" t="str">
        <f>IFERROR(__xludf.DUMMYFUNCTION("""COMPUTED_VALUE"""),"Batch 251")</f>
        <v>Batch 251</v>
      </c>
      <c r="B4105" s="9" t="str">
        <f>IFERROR(__xludf.DUMMYFUNCTION("""COMPUTED_VALUE"""),"YashiC51")</f>
        <v>YashiC51</v>
      </c>
      <c r="C4105" s="8">
        <f>IFERROR(__xludf.DUMMYFUNCTION("""COMPUTED_VALUE"""),0.0)</f>
        <v>0</v>
      </c>
      <c r="D4105" s="8"/>
    </row>
    <row r="4106">
      <c r="A4106" s="9" t="str">
        <f>IFERROR(__xludf.DUMMYFUNCTION("""COMPUTED_VALUE"""),"Batch 251")</f>
        <v>Batch 251</v>
      </c>
      <c r="B4106" s="9" t="str">
        <f>IFERROR(__xludf.DUMMYFUNCTION("""COMPUTED_VALUE"""),"ChristoC51")</f>
        <v>ChristoC51</v>
      </c>
      <c r="C4106" s="8">
        <f>IFERROR(__xludf.DUMMYFUNCTION("""COMPUTED_VALUE"""),0.0)</f>
        <v>0</v>
      </c>
      <c r="D4106" s="8"/>
    </row>
    <row r="4107">
      <c r="A4107" s="9" t="str">
        <f>IFERROR(__xludf.DUMMYFUNCTION("""COMPUTED_VALUE"""),"Batch 251")</f>
        <v>Batch 251</v>
      </c>
      <c r="B4107" s="9" t="str">
        <f>IFERROR(__xludf.DUMMYFUNCTION("""COMPUTED_VALUE"""),"RijulC51")</f>
        <v>RijulC51</v>
      </c>
      <c r="C4107" s="8">
        <f>IFERROR(__xludf.DUMMYFUNCTION("""COMPUTED_VALUE"""),0.0)</f>
        <v>0</v>
      </c>
      <c r="D4107" s="8"/>
    </row>
    <row r="4108">
      <c r="A4108" s="9" t="str">
        <f>IFERROR(__xludf.DUMMYFUNCTION("""COMPUTED_VALUE"""),"Batch 251")</f>
        <v>Batch 251</v>
      </c>
      <c r="B4108" s="9" t="str">
        <f>IFERROR(__xludf.DUMMYFUNCTION("""COMPUTED_VALUE"""),"RachanaC51")</f>
        <v>RachanaC51</v>
      </c>
      <c r="C4108" s="8">
        <f>IFERROR(__xludf.DUMMYFUNCTION("""COMPUTED_VALUE"""),0.0)</f>
        <v>0</v>
      </c>
      <c r="D4108" s="8"/>
    </row>
    <row r="4109">
      <c r="A4109" s="9" t="str">
        <f>IFERROR(__xludf.DUMMYFUNCTION("""COMPUTED_VALUE"""),"Batch 251")</f>
        <v>Batch 251</v>
      </c>
      <c r="B4109" s="9" t="str">
        <f>IFERROR(__xludf.DUMMYFUNCTION("""COMPUTED_VALUE"""),"AartiC51")</f>
        <v>AartiC51</v>
      </c>
      <c r="C4109" s="8">
        <f>IFERROR(__xludf.DUMMYFUNCTION("""COMPUTED_VALUE"""),0.0)</f>
        <v>0</v>
      </c>
      <c r="D4109" s="8"/>
    </row>
    <row r="4110">
      <c r="A4110" s="9" t="str">
        <f>IFERROR(__xludf.DUMMYFUNCTION("""COMPUTED_VALUE"""),"Batch 251")</f>
        <v>Batch 251</v>
      </c>
      <c r="B4110" s="9" t="str">
        <f>IFERROR(__xludf.DUMMYFUNCTION("""COMPUTED_VALUE"""),"hardikC51")</f>
        <v>hardikC51</v>
      </c>
      <c r="C4110" s="8">
        <f>IFERROR(__xludf.DUMMYFUNCTION("""COMPUTED_VALUE"""),0.0)</f>
        <v>0</v>
      </c>
      <c r="D4110" s="8"/>
    </row>
    <row r="4111">
      <c r="A4111" s="9" t="str">
        <f>IFERROR(__xludf.DUMMYFUNCTION("""COMPUTED_VALUE"""),"Batch 251")</f>
        <v>Batch 251</v>
      </c>
      <c r="B4111" s="9" t="str">
        <f>IFERROR(__xludf.DUMMYFUNCTION("""COMPUTED_VALUE"""),"ShubhangiC51")</f>
        <v>ShubhangiC51</v>
      </c>
      <c r="C4111" s="8">
        <f>IFERROR(__xludf.DUMMYFUNCTION("""COMPUTED_VALUE"""),0.0)</f>
        <v>0</v>
      </c>
      <c r="D4111" s="8"/>
    </row>
    <row r="4112">
      <c r="A4112" s="9" t="str">
        <f>IFERROR(__xludf.DUMMYFUNCTION("""COMPUTED_VALUE"""),"Batch 251")</f>
        <v>Batch 251</v>
      </c>
      <c r="B4112" s="9" t="str">
        <f>IFERROR(__xludf.DUMMYFUNCTION("""COMPUTED_VALUE"""),"ShreeyaC51")</f>
        <v>ShreeyaC51</v>
      </c>
      <c r="C4112" s="8">
        <f>IFERROR(__xludf.DUMMYFUNCTION("""COMPUTED_VALUE"""),0.0)</f>
        <v>0</v>
      </c>
      <c r="D4112" s="8"/>
    </row>
    <row r="4113">
      <c r="A4113" s="9" t="str">
        <f>IFERROR(__xludf.DUMMYFUNCTION("""COMPUTED_VALUE"""),"Batch 251")</f>
        <v>Batch 251</v>
      </c>
      <c r="B4113" s="9" t="str">
        <f>IFERROR(__xludf.DUMMYFUNCTION("""COMPUTED_VALUE"""),"DhruvC51")</f>
        <v>DhruvC51</v>
      </c>
      <c r="C4113" s="8">
        <f>IFERROR(__xludf.DUMMYFUNCTION("""COMPUTED_VALUE"""),0.0)</f>
        <v>0</v>
      </c>
      <c r="D4113" s="8"/>
    </row>
    <row r="4114">
      <c r="A4114" s="9" t="str">
        <f>IFERROR(__xludf.DUMMYFUNCTION("""COMPUTED_VALUE"""),"Batch 251")</f>
        <v>Batch 251</v>
      </c>
      <c r="B4114" s="9" t="str">
        <f>IFERROR(__xludf.DUMMYFUNCTION("""COMPUTED_VALUE"""),"PranavC51")</f>
        <v>PranavC51</v>
      </c>
      <c r="C4114" s="8">
        <f>IFERROR(__xludf.DUMMYFUNCTION("""COMPUTED_VALUE"""),0.0)</f>
        <v>0</v>
      </c>
      <c r="D4114" s="8"/>
    </row>
    <row r="4115">
      <c r="A4115" s="9" t="str">
        <f>IFERROR(__xludf.DUMMYFUNCTION("""COMPUTED_VALUE"""),"Batch 251")</f>
        <v>Batch 251</v>
      </c>
      <c r="B4115" s="9" t="str">
        <f>IFERROR(__xludf.DUMMYFUNCTION("""COMPUTED_VALUE"""),"NiveshitaC51")</f>
        <v>NiveshitaC51</v>
      </c>
      <c r="C4115" s="8">
        <f>IFERROR(__xludf.DUMMYFUNCTION("""COMPUTED_VALUE"""),0.0)</f>
        <v>0</v>
      </c>
      <c r="D4115" s="8"/>
    </row>
    <row r="4116">
      <c r="A4116" s="9" t="str">
        <f>IFERROR(__xludf.DUMMYFUNCTION("""COMPUTED_VALUE"""),"Batch 251")</f>
        <v>Batch 251</v>
      </c>
      <c r="B4116" s="9" t="str">
        <f>IFERROR(__xludf.DUMMYFUNCTION("""COMPUTED_VALUE"""),"ShouryaC51")</f>
        <v>ShouryaC51</v>
      </c>
      <c r="C4116" s="8">
        <f>IFERROR(__xludf.DUMMYFUNCTION("""COMPUTED_VALUE"""),0.0)</f>
        <v>0</v>
      </c>
      <c r="D4116" s="8"/>
    </row>
    <row r="4117">
      <c r="A4117" s="9" t="str">
        <f>IFERROR(__xludf.DUMMYFUNCTION("""COMPUTED_VALUE"""),"Batch 251")</f>
        <v>Batch 251</v>
      </c>
      <c r="B4117" s="9" t="str">
        <f>IFERROR(__xludf.DUMMYFUNCTION("""COMPUTED_VALUE"""),"YovanC51")</f>
        <v>YovanC51</v>
      </c>
      <c r="C4117" s="8">
        <f>IFERROR(__xludf.DUMMYFUNCTION("""COMPUTED_VALUE"""),0.0)</f>
        <v>0</v>
      </c>
      <c r="D4117" s="8"/>
    </row>
    <row r="4118">
      <c r="A4118" s="9" t="str">
        <f>IFERROR(__xludf.DUMMYFUNCTION("""COMPUTED_VALUE"""),"Batch 251")</f>
        <v>Batch 251</v>
      </c>
      <c r="B4118" s="9" t="str">
        <f>IFERROR(__xludf.DUMMYFUNCTION("""COMPUTED_VALUE"""),"VartikaC51")</f>
        <v>VartikaC51</v>
      </c>
      <c r="C4118" s="8">
        <f>IFERROR(__xludf.DUMMYFUNCTION("""COMPUTED_VALUE"""),1.0)</f>
        <v>1</v>
      </c>
      <c r="D4118" s="8"/>
    </row>
    <row r="4119">
      <c r="A4119" s="9" t="str">
        <f>IFERROR(__xludf.DUMMYFUNCTION("""COMPUTED_VALUE"""),"Batch 251")</f>
        <v>Batch 251</v>
      </c>
      <c r="B4119" s="9" t="str">
        <f>IFERROR(__xludf.DUMMYFUNCTION("""COMPUTED_VALUE"""),"ArjunC51")</f>
        <v>ArjunC51</v>
      </c>
      <c r="C4119" s="8">
        <f>IFERROR(__xludf.DUMMYFUNCTION("""COMPUTED_VALUE"""),0.0)</f>
        <v>0</v>
      </c>
      <c r="D4119" s="8"/>
    </row>
    <row r="4120">
      <c r="A4120" s="9" t="str">
        <f>IFERROR(__xludf.DUMMYFUNCTION("""COMPUTED_VALUE"""),"Batch 251")</f>
        <v>Batch 251</v>
      </c>
      <c r="B4120" s="9" t="str">
        <f>IFERROR(__xludf.DUMMYFUNCTION("""COMPUTED_VALUE"""),"NamanC51")</f>
        <v>NamanC51</v>
      </c>
      <c r="C4120" s="8">
        <f>IFERROR(__xludf.DUMMYFUNCTION("""COMPUTED_VALUE"""),0.0)</f>
        <v>0</v>
      </c>
      <c r="D4120" s="8"/>
    </row>
    <row r="4121">
      <c r="A4121" s="9" t="str">
        <f>IFERROR(__xludf.DUMMYFUNCTION("""COMPUTED_VALUE"""),"Batch 251")</f>
        <v>Batch 251</v>
      </c>
      <c r="B4121" s="9" t="str">
        <f>IFERROR(__xludf.DUMMYFUNCTION("""COMPUTED_VALUE"""),"MayankC51")</f>
        <v>MayankC51</v>
      </c>
      <c r="C4121" s="8">
        <f>IFERROR(__xludf.DUMMYFUNCTION("""COMPUTED_VALUE"""),0.0)</f>
        <v>0</v>
      </c>
      <c r="D4121" s="8"/>
    </row>
    <row r="4122">
      <c r="A4122" s="9" t="str">
        <f>IFERROR(__xludf.DUMMYFUNCTION("""COMPUTED_VALUE"""),"Batch 251")</f>
        <v>Batch 251</v>
      </c>
      <c r="B4122" s="9" t="str">
        <f>IFERROR(__xludf.DUMMYFUNCTION("""COMPUTED_VALUE"""),"TammanaC51")</f>
        <v>TammanaC51</v>
      </c>
      <c r="C4122" s="8">
        <f>IFERROR(__xludf.DUMMYFUNCTION("""COMPUTED_VALUE"""),0.0)</f>
        <v>0</v>
      </c>
      <c r="D4122" s="8"/>
    </row>
    <row r="4123">
      <c r="A4123" s="9" t="str">
        <f>IFERROR(__xludf.DUMMYFUNCTION("""COMPUTED_VALUE"""),"Batch 251")</f>
        <v>Batch 251</v>
      </c>
      <c r="B4123" s="9" t="str">
        <f>IFERROR(__xludf.DUMMYFUNCTION("""COMPUTED_VALUE"""),"AgrimaC51")</f>
        <v>AgrimaC51</v>
      </c>
      <c r="C4123" s="8">
        <f>IFERROR(__xludf.DUMMYFUNCTION("""COMPUTED_VALUE"""),0.0)</f>
        <v>0</v>
      </c>
      <c r="D4123" s="8"/>
    </row>
    <row r="4124">
      <c r="A4124" s="9" t="str">
        <f>IFERROR(__xludf.DUMMYFUNCTION("""COMPUTED_VALUE"""),"Batch 251")</f>
        <v>Batch 251</v>
      </c>
      <c r="B4124" s="9" t="str">
        <f>IFERROR(__xludf.DUMMYFUNCTION("""COMPUTED_VALUE"""),"RiddhiC51")</f>
        <v>RiddhiC51</v>
      </c>
      <c r="C4124" s="8">
        <f>IFERROR(__xludf.DUMMYFUNCTION("""COMPUTED_VALUE"""),0.0)</f>
        <v>0</v>
      </c>
      <c r="D4124" s="8"/>
    </row>
    <row r="4125">
      <c r="A4125" s="9" t="str">
        <f>IFERROR(__xludf.DUMMYFUNCTION("""COMPUTED_VALUE"""),"Batch 251")</f>
        <v>Batch 251</v>
      </c>
      <c r="B4125" s="9" t="str">
        <f>IFERROR(__xludf.DUMMYFUNCTION("""COMPUTED_VALUE"""),"RakshaC51")</f>
        <v>RakshaC51</v>
      </c>
      <c r="C4125" s="8">
        <f>IFERROR(__xludf.DUMMYFUNCTION("""COMPUTED_VALUE"""),0.0)</f>
        <v>0</v>
      </c>
      <c r="D4125" s="8"/>
    </row>
    <row r="4126">
      <c r="A4126" s="9" t="str">
        <f>IFERROR(__xludf.DUMMYFUNCTION("""COMPUTED_VALUE"""),"Batch 251")</f>
        <v>Batch 251</v>
      </c>
      <c r="B4126" s="9" t="str">
        <f>IFERROR(__xludf.DUMMYFUNCTION("""COMPUTED_VALUE"""),"AnushkaC51")</f>
        <v>AnushkaC51</v>
      </c>
      <c r="C4126" s="8">
        <f>IFERROR(__xludf.DUMMYFUNCTION("""COMPUTED_VALUE"""),6.0)</f>
        <v>6</v>
      </c>
      <c r="D4126" s="8"/>
    </row>
    <row r="4127">
      <c r="A4127" s="9" t="str">
        <f>IFERROR(__xludf.DUMMYFUNCTION("""COMPUTED_VALUE"""),"Batch 251")</f>
        <v>Batch 251</v>
      </c>
      <c r="B4127" s="9" t="str">
        <f>IFERROR(__xludf.DUMMYFUNCTION("""COMPUTED_VALUE"""),"UmeshC51")</f>
        <v>UmeshC51</v>
      </c>
      <c r="C4127" s="8">
        <f>IFERROR(__xludf.DUMMYFUNCTION("""COMPUTED_VALUE"""),0.0)</f>
        <v>0</v>
      </c>
      <c r="D4127" s="8"/>
    </row>
    <row r="4128">
      <c r="A4128" s="9" t="str">
        <f>IFERROR(__xludf.DUMMYFUNCTION("""COMPUTED_VALUE"""),"Batch 251")</f>
        <v>Batch 251</v>
      </c>
      <c r="B4128" s="9" t="str">
        <f>IFERROR(__xludf.DUMMYFUNCTION("""COMPUTED_VALUE"""),"PoornimaC51")</f>
        <v>PoornimaC51</v>
      </c>
      <c r="C4128" s="8">
        <f>IFERROR(__xludf.DUMMYFUNCTION("""COMPUTED_VALUE"""),0.0)</f>
        <v>0</v>
      </c>
      <c r="D4128" s="8"/>
    </row>
    <row r="4129">
      <c r="A4129" s="9" t="str">
        <f>IFERROR(__xludf.DUMMYFUNCTION("""COMPUTED_VALUE"""),"Batch 251")</f>
        <v>Batch 251</v>
      </c>
      <c r="B4129" s="9" t="str">
        <f>IFERROR(__xludf.DUMMYFUNCTION("""COMPUTED_VALUE"""),"ShreyanshC51")</f>
        <v>ShreyanshC51</v>
      </c>
      <c r="C4129" s="8">
        <f>IFERROR(__xludf.DUMMYFUNCTION("""COMPUTED_VALUE"""),0.0)</f>
        <v>0</v>
      </c>
      <c r="D4129" s="8"/>
    </row>
    <row r="4130">
      <c r="A4130" s="9" t="str">
        <f>IFERROR(__xludf.DUMMYFUNCTION("""COMPUTED_VALUE"""),"Batch 251")</f>
        <v>Batch 251</v>
      </c>
      <c r="B4130" s="9" t="str">
        <f>IFERROR(__xludf.DUMMYFUNCTION("""COMPUTED_VALUE"""),"IshikaC51")</f>
        <v>IshikaC51</v>
      </c>
      <c r="C4130" s="8">
        <f>IFERROR(__xludf.DUMMYFUNCTION("""COMPUTED_VALUE"""),0.0)</f>
        <v>0</v>
      </c>
      <c r="D4130" s="8"/>
    </row>
    <row r="4131">
      <c r="A4131" s="9" t="str">
        <f>IFERROR(__xludf.DUMMYFUNCTION("""COMPUTED_VALUE"""),"Batch 251")</f>
        <v>Batch 251</v>
      </c>
      <c r="B4131" s="9" t="str">
        <f>IFERROR(__xludf.DUMMYFUNCTION("""COMPUTED_VALUE"""),"ShivaniC51")</f>
        <v>ShivaniC51</v>
      </c>
      <c r="C4131" s="8">
        <f>IFERROR(__xludf.DUMMYFUNCTION("""COMPUTED_VALUE"""),5.0)</f>
        <v>5</v>
      </c>
      <c r="D4131" s="8"/>
    </row>
    <row r="4132">
      <c r="A4132" s="9" t="str">
        <f>IFERROR(__xludf.DUMMYFUNCTION("""COMPUTED_VALUE"""),"Batch 251")</f>
        <v>Batch 251</v>
      </c>
      <c r="B4132" s="9" t="str">
        <f>IFERROR(__xludf.DUMMYFUNCTION("""COMPUTED_VALUE"""),"PrathamC51")</f>
        <v>PrathamC51</v>
      </c>
      <c r="C4132" s="8">
        <f>IFERROR(__xludf.DUMMYFUNCTION("""COMPUTED_VALUE"""),0.0)</f>
        <v>0</v>
      </c>
      <c r="D4132" s="8"/>
    </row>
    <row r="4133">
      <c r="A4133" s="9" t="str">
        <f>IFERROR(__xludf.DUMMYFUNCTION("""COMPUTED_VALUE"""),"Batch 251")</f>
        <v>Batch 251</v>
      </c>
      <c r="B4133" s="9" t="str">
        <f>IFERROR(__xludf.DUMMYFUNCTION("""COMPUTED_VALUE"""),"AishaC51")</f>
        <v>AishaC51</v>
      </c>
      <c r="C4133" s="8">
        <f>IFERROR(__xludf.DUMMYFUNCTION("""COMPUTED_VALUE"""),5.0)</f>
        <v>5</v>
      </c>
      <c r="D4133" s="8"/>
    </row>
    <row r="4134">
      <c r="A4134" s="9" t="str">
        <f>IFERROR(__xludf.DUMMYFUNCTION("""COMPUTED_VALUE"""),"Batch 251")</f>
        <v>Batch 251</v>
      </c>
      <c r="B4134" s="9" t="str">
        <f>IFERROR(__xludf.DUMMYFUNCTION("""COMPUTED_VALUE"""),"BandaC51")</f>
        <v>BandaC51</v>
      </c>
      <c r="C4134" s="8">
        <f>IFERROR(__xludf.DUMMYFUNCTION("""COMPUTED_VALUE"""),0.0)</f>
        <v>0</v>
      </c>
      <c r="D4134" s="8"/>
    </row>
    <row r="4135">
      <c r="A4135" s="9" t="str">
        <f>IFERROR(__xludf.DUMMYFUNCTION("""COMPUTED_VALUE"""),"Batch 251")</f>
        <v>Batch 251</v>
      </c>
      <c r="B4135" s="9" t="str">
        <f>IFERROR(__xludf.DUMMYFUNCTION("""COMPUTED_VALUE"""),"ShivangiC51")</f>
        <v>ShivangiC51</v>
      </c>
      <c r="C4135" s="8">
        <f>IFERROR(__xludf.DUMMYFUNCTION("""COMPUTED_VALUE"""),0.0)</f>
        <v>0</v>
      </c>
      <c r="D4135" s="8"/>
    </row>
    <row r="4136">
      <c r="A4136" s="9" t="str">
        <f>IFERROR(__xludf.DUMMYFUNCTION("""COMPUTED_VALUE"""),"Batch 251")</f>
        <v>Batch 251</v>
      </c>
      <c r="B4136" s="9" t="str">
        <f>IFERROR(__xludf.DUMMYFUNCTION("""COMPUTED_VALUE"""),"JayeshC51")</f>
        <v>JayeshC51</v>
      </c>
      <c r="C4136" s="8">
        <f>IFERROR(__xludf.DUMMYFUNCTION("""COMPUTED_VALUE"""),61.0)</f>
        <v>61</v>
      </c>
      <c r="D4136" s="8"/>
    </row>
    <row r="4137">
      <c r="A4137" s="9" t="str">
        <f>IFERROR(__xludf.DUMMYFUNCTION("""COMPUTED_VALUE"""),"Batch 251")</f>
        <v>Batch 251</v>
      </c>
      <c r="B4137" s="9" t="str">
        <f>IFERROR(__xludf.DUMMYFUNCTION("""COMPUTED_VALUE"""),"CharviC51")</f>
        <v>CharviC51</v>
      </c>
      <c r="C4137" s="8">
        <f>IFERROR(__xludf.DUMMYFUNCTION("""COMPUTED_VALUE"""),0.0)</f>
        <v>0</v>
      </c>
      <c r="D4137" s="8"/>
    </row>
    <row r="4138">
      <c r="A4138" s="9" t="str">
        <f>IFERROR(__xludf.DUMMYFUNCTION("""COMPUTED_VALUE"""),"Batch 251")</f>
        <v>Batch 251</v>
      </c>
      <c r="B4138" s="9" t="str">
        <f>IFERROR(__xludf.DUMMYFUNCTION("""COMPUTED_VALUE"""),"HetalC51")</f>
        <v>HetalC51</v>
      </c>
      <c r="C4138" s="8">
        <f>IFERROR(__xludf.DUMMYFUNCTION("""COMPUTED_VALUE"""),0.0)</f>
        <v>0</v>
      </c>
      <c r="D4138" s="8"/>
    </row>
    <row r="4139">
      <c r="A4139" s="9" t="str">
        <f>IFERROR(__xludf.DUMMYFUNCTION("""COMPUTED_VALUE"""),"Batch 251")</f>
        <v>Batch 251</v>
      </c>
      <c r="B4139" s="9" t="str">
        <f>IFERROR(__xludf.DUMMYFUNCTION("""COMPUTED_VALUE"""),"ManasC51")</f>
        <v>ManasC51</v>
      </c>
      <c r="C4139" s="8">
        <f>IFERROR(__xludf.DUMMYFUNCTION("""COMPUTED_VALUE"""),0.0)</f>
        <v>0</v>
      </c>
      <c r="D4139" s="8"/>
    </row>
    <row r="4140">
      <c r="A4140" s="9" t="str">
        <f>IFERROR(__xludf.DUMMYFUNCTION("""COMPUTED_VALUE"""),"Batch 251")</f>
        <v>Batch 251</v>
      </c>
      <c r="B4140" s="9" t="str">
        <f>IFERROR(__xludf.DUMMYFUNCTION("""COMPUTED_VALUE"""),"ZoyaC51")</f>
        <v>ZoyaC51</v>
      </c>
      <c r="C4140" s="8">
        <f>IFERROR(__xludf.DUMMYFUNCTION("""COMPUTED_VALUE"""),1.0)</f>
        <v>1</v>
      </c>
      <c r="D4140" s="8"/>
    </row>
    <row r="4141">
      <c r="A4141" s="9" t="str">
        <f>IFERROR(__xludf.DUMMYFUNCTION("""COMPUTED_VALUE"""),"Batch 251")</f>
        <v>Batch 251</v>
      </c>
      <c r="B4141" s="9" t="str">
        <f>IFERROR(__xludf.DUMMYFUNCTION("""COMPUTED_VALUE"""),"KunjdeepC51")</f>
        <v>KunjdeepC51</v>
      </c>
      <c r="C4141" s="8">
        <f>IFERROR(__xludf.DUMMYFUNCTION("""COMPUTED_VALUE"""),0.0)</f>
        <v>0</v>
      </c>
      <c r="D4141" s="8"/>
    </row>
    <row r="4142">
      <c r="A4142" s="9" t="str">
        <f>IFERROR(__xludf.DUMMYFUNCTION("""COMPUTED_VALUE"""),"Batch 251")</f>
        <v>Batch 251</v>
      </c>
      <c r="B4142" s="9" t="str">
        <f>IFERROR(__xludf.DUMMYFUNCTION("""COMPUTED_VALUE"""),"AshiC51")</f>
        <v>AshiC51</v>
      </c>
      <c r="C4142" s="8">
        <f>IFERROR(__xludf.DUMMYFUNCTION("""COMPUTED_VALUE"""),0.0)</f>
        <v>0</v>
      </c>
      <c r="D4142" s="8"/>
    </row>
    <row r="4143">
      <c r="A4143" s="9" t="str">
        <f>IFERROR(__xludf.DUMMYFUNCTION("""COMPUTED_VALUE"""),"Batch 251")</f>
        <v>Batch 251</v>
      </c>
      <c r="B4143" s="9" t="str">
        <f>IFERROR(__xludf.DUMMYFUNCTION("""COMPUTED_VALUE"""),"RoshniC51")</f>
        <v>RoshniC51</v>
      </c>
      <c r="C4143" s="8">
        <f>IFERROR(__xludf.DUMMYFUNCTION("""COMPUTED_VALUE"""),0.0)</f>
        <v>0</v>
      </c>
      <c r="D4143" s="8"/>
    </row>
    <row r="4144">
      <c r="A4144" s="9" t="str">
        <f>IFERROR(__xludf.DUMMYFUNCTION("""COMPUTED_VALUE"""),"Batch 251")</f>
        <v>Batch 251</v>
      </c>
      <c r="B4144" s="9" t="str">
        <f>IFERROR(__xludf.DUMMYFUNCTION("""COMPUTED_VALUE"""),"JanhaviC51")</f>
        <v>JanhaviC51</v>
      </c>
      <c r="C4144" s="8">
        <f>IFERROR(__xludf.DUMMYFUNCTION("""COMPUTED_VALUE"""),0.0)</f>
        <v>0</v>
      </c>
      <c r="D4144" s="8"/>
    </row>
    <row r="4145">
      <c r="A4145" s="9" t="str">
        <f>IFERROR(__xludf.DUMMYFUNCTION("""COMPUTED_VALUE"""),"Batch 251")</f>
        <v>Batch 251</v>
      </c>
      <c r="B4145" s="9" t="str">
        <f>IFERROR(__xludf.DUMMYFUNCTION("""COMPUTED_VALUE"""),"DakshC51")</f>
        <v>DakshC51</v>
      </c>
      <c r="C4145" s="8">
        <f>IFERROR(__xludf.DUMMYFUNCTION("""COMPUTED_VALUE"""),0.0)</f>
        <v>0</v>
      </c>
      <c r="D4145" s="8"/>
    </row>
    <row r="4146">
      <c r="A4146" s="9"/>
      <c r="B4146" s="9"/>
      <c r="C4146" s="8">
        <f>IFERROR(__xludf.DUMMYFUNCTION("""COMPUTED_VALUE"""),0.0)</f>
        <v>0</v>
      </c>
      <c r="D4146" s="8"/>
    </row>
    <row r="4147">
      <c r="A4147" s="9" t="str">
        <f>IFERROR(__xludf.DUMMYFUNCTION("""COMPUTED_VALUE"""),"Batch 252")</f>
        <v>Batch 252</v>
      </c>
      <c r="B4147" s="9" t="str">
        <f>IFERROR(__xludf.DUMMYFUNCTION("""COMPUTED_VALUE"""),"NithyaC52")</f>
        <v>NithyaC52</v>
      </c>
      <c r="C4147" s="8">
        <f>IFERROR(__xludf.DUMMYFUNCTION("""COMPUTED_VALUE"""),0.0)</f>
        <v>0</v>
      </c>
      <c r="D4147" s="8"/>
    </row>
    <row r="4148">
      <c r="A4148" s="9" t="str">
        <f>IFERROR(__xludf.DUMMYFUNCTION("""COMPUTED_VALUE"""),"Batch 252")</f>
        <v>Batch 252</v>
      </c>
      <c r="B4148" s="9" t="str">
        <f>IFERROR(__xludf.DUMMYFUNCTION("""COMPUTED_VALUE"""),"SritamaC52")</f>
        <v>SritamaC52</v>
      </c>
      <c r="C4148" s="8">
        <f>IFERROR(__xludf.DUMMYFUNCTION("""COMPUTED_VALUE"""),22.0)</f>
        <v>22</v>
      </c>
      <c r="D4148" s="8"/>
    </row>
    <row r="4149">
      <c r="A4149" s="9" t="str">
        <f>IFERROR(__xludf.DUMMYFUNCTION("""COMPUTED_VALUE"""),"Batch 252")</f>
        <v>Batch 252</v>
      </c>
      <c r="B4149" s="9" t="str">
        <f>IFERROR(__xludf.DUMMYFUNCTION("""COMPUTED_VALUE"""),"MohammedC52")</f>
        <v>MohammedC52</v>
      </c>
      <c r="C4149" s="8">
        <f>IFERROR(__xludf.DUMMYFUNCTION("""COMPUTED_VALUE"""),0.0)</f>
        <v>0</v>
      </c>
      <c r="D4149" s="8"/>
    </row>
    <row r="4150">
      <c r="A4150" s="9" t="str">
        <f>IFERROR(__xludf.DUMMYFUNCTION("""COMPUTED_VALUE"""),"Batch 252")</f>
        <v>Batch 252</v>
      </c>
      <c r="B4150" s="9" t="str">
        <f>IFERROR(__xludf.DUMMYFUNCTION("""COMPUTED_VALUE"""),"VanshC52")</f>
        <v>VanshC52</v>
      </c>
      <c r="C4150" s="8">
        <f>IFERROR(__xludf.DUMMYFUNCTION("""COMPUTED_VALUE"""),0.0)</f>
        <v>0</v>
      </c>
      <c r="D4150" s="8"/>
    </row>
    <row r="4151">
      <c r="A4151" s="9" t="str">
        <f>IFERROR(__xludf.DUMMYFUNCTION("""COMPUTED_VALUE"""),"Batch 252")</f>
        <v>Batch 252</v>
      </c>
      <c r="B4151" s="9" t="str">
        <f>IFERROR(__xludf.DUMMYFUNCTION("""COMPUTED_VALUE"""),"RushabhC52")</f>
        <v>RushabhC52</v>
      </c>
      <c r="C4151" s="8">
        <f>IFERROR(__xludf.DUMMYFUNCTION("""COMPUTED_VALUE"""),0.0)</f>
        <v>0</v>
      </c>
      <c r="D4151" s="8"/>
    </row>
    <row r="4152">
      <c r="A4152" s="9" t="str">
        <f>IFERROR(__xludf.DUMMYFUNCTION("""COMPUTED_VALUE"""),"Batch 252")</f>
        <v>Batch 252</v>
      </c>
      <c r="B4152" s="9" t="str">
        <f>IFERROR(__xludf.DUMMYFUNCTION("""COMPUTED_VALUE"""),"AshwellC52")</f>
        <v>AshwellC52</v>
      </c>
      <c r="C4152" s="8">
        <f>IFERROR(__xludf.DUMMYFUNCTION("""COMPUTED_VALUE"""),3.0)</f>
        <v>3</v>
      </c>
      <c r="D4152" s="8"/>
    </row>
    <row r="4153">
      <c r="A4153" s="9" t="str">
        <f>IFERROR(__xludf.DUMMYFUNCTION("""COMPUTED_VALUE"""),"Batch 252")</f>
        <v>Batch 252</v>
      </c>
      <c r="B4153" s="9" t="str">
        <f>IFERROR(__xludf.DUMMYFUNCTION("""COMPUTED_VALUE"""),"BalineniC52")</f>
        <v>BalineniC52</v>
      </c>
      <c r="C4153" s="8">
        <f>IFERROR(__xludf.DUMMYFUNCTION("""COMPUTED_VALUE"""),0.0)</f>
        <v>0</v>
      </c>
      <c r="D4153" s="8"/>
    </row>
    <row r="4154">
      <c r="A4154" s="9" t="str">
        <f>IFERROR(__xludf.DUMMYFUNCTION("""COMPUTED_VALUE"""),"Batch 252")</f>
        <v>Batch 252</v>
      </c>
      <c r="B4154" s="9" t="str">
        <f>IFERROR(__xludf.DUMMYFUNCTION("""COMPUTED_VALUE"""),"ManojC52")</f>
        <v>ManojC52</v>
      </c>
      <c r="C4154" s="8">
        <f>IFERROR(__xludf.DUMMYFUNCTION("""COMPUTED_VALUE"""),0.0)</f>
        <v>0</v>
      </c>
      <c r="D4154" s="8"/>
    </row>
    <row r="4155">
      <c r="A4155" s="9" t="str">
        <f>IFERROR(__xludf.DUMMYFUNCTION("""COMPUTED_VALUE"""),"Batch 252")</f>
        <v>Batch 252</v>
      </c>
      <c r="B4155" s="9" t="str">
        <f>IFERROR(__xludf.DUMMYFUNCTION("""COMPUTED_VALUE"""),"SalmanC52")</f>
        <v>SalmanC52</v>
      </c>
      <c r="C4155" s="8">
        <f>IFERROR(__xludf.DUMMYFUNCTION("""COMPUTED_VALUE"""),0.0)</f>
        <v>0</v>
      </c>
      <c r="D4155" s="8"/>
    </row>
    <row r="4156">
      <c r="A4156" s="9" t="str">
        <f>IFERROR(__xludf.DUMMYFUNCTION("""COMPUTED_VALUE"""),"Batch 252")</f>
        <v>Batch 252</v>
      </c>
      <c r="B4156" s="9" t="str">
        <f>IFERROR(__xludf.DUMMYFUNCTION("""COMPUTED_VALUE"""),"RuchikaC52")</f>
        <v>RuchikaC52</v>
      </c>
      <c r="C4156" s="8">
        <f>IFERROR(__xludf.DUMMYFUNCTION("""COMPUTED_VALUE"""),0.0)</f>
        <v>0</v>
      </c>
      <c r="D4156" s="8"/>
    </row>
    <row r="4157">
      <c r="A4157" s="9" t="str">
        <f>IFERROR(__xludf.DUMMYFUNCTION("""COMPUTED_VALUE"""),"Batch 252")</f>
        <v>Batch 252</v>
      </c>
      <c r="B4157" s="9" t="str">
        <f>IFERROR(__xludf.DUMMYFUNCTION("""COMPUTED_VALUE"""),"NunnaC52")</f>
        <v>NunnaC52</v>
      </c>
      <c r="C4157" s="8">
        <f>IFERROR(__xludf.DUMMYFUNCTION("""COMPUTED_VALUE"""),3.0)</f>
        <v>3</v>
      </c>
      <c r="D4157" s="8"/>
    </row>
    <row r="4158">
      <c r="A4158" s="9" t="str">
        <f>IFERROR(__xludf.DUMMYFUNCTION("""COMPUTED_VALUE"""),"Batch 252")</f>
        <v>Batch 252</v>
      </c>
      <c r="B4158" s="9" t="str">
        <f>IFERROR(__xludf.DUMMYFUNCTION("""COMPUTED_VALUE"""),"ChayaC52")</f>
        <v>ChayaC52</v>
      </c>
      <c r="C4158" s="8">
        <f>IFERROR(__xludf.DUMMYFUNCTION("""COMPUTED_VALUE"""),0.0)</f>
        <v>0</v>
      </c>
      <c r="D4158" s="8"/>
    </row>
    <row r="4159">
      <c r="A4159" s="9" t="str">
        <f>IFERROR(__xludf.DUMMYFUNCTION("""COMPUTED_VALUE"""),"Batch 252")</f>
        <v>Batch 252</v>
      </c>
      <c r="B4159" s="9" t="str">
        <f>IFERROR(__xludf.DUMMYFUNCTION("""COMPUTED_VALUE"""),"PushkarC52")</f>
        <v>PushkarC52</v>
      </c>
      <c r="C4159" s="8">
        <f>IFERROR(__xludf.DUMMYFUNCTION("""COMPUTED_VALUE"""),0.0)</f>
        <v>0</v>
      </c>
      <c r="D4159" s="8"/>
    </row>
    <row r="4160">
      <c r="A4160" s="9" t="str">
        <f>IFERROR(__xludf.DUMMYFUNCTION("""COMPUTED_VALUE"""),"Batch 252")</f>
        <v>Batch 252</v>
      </c>
      <c r="B4160" s="9" t="str">
        <f>IFERROR(__xludf.DUMMYFUNCTION("""COMPUTED_VALUE"""),"MohammadC52")</f>
        <v>MohammadC52</v>
      </c>
      <c r="C4160" s="8">
        <f>IFERROR(__xludf.DUMMYFUNCTION("""COMPUTED_VALUE"""),0.0)</f>
        <v>0</v>
      </c>
      <c r="D4160" s="8"/>
    </row>
    <row r="4161">
      <c r="A4161" s="9" t="str">
        <f>IFERROR(__xludf.DUMMYFUNCTION("""COMPUTED_VALUE"""),"Batch 252")</f>
        <v>Batch 252</v>
      </c>
      <c r="B4161" s="9" t="str">
        <f>IFERROR(__xludf.DUMMYFUNCTION("""COMPUTED_VALUE"""),"RajputC52")</f>
        <v>RajputC52</v>
      </c>
      <c r="C4161" s="8">
        <f>IFERROR(__xludf.DUMMYFUNCTION("""COMPUTED_VALUE"""),0.0)</f>
        <v>0</v>
      </c>
      <c r="D4161" s="8"/>
    </row>
    <row r="4162">
      <c r="A4162" s="9" t="str">
        <f>IFERROR(__xludf.DUMMYFUNCTION("""COMPUTED_VALUE"""),"Batch 252")</f>
        <v>Batch 252</v>
      </c>
      <c r="B4162" s="9" t="str">
        <f>IFERROR(__xludf.DUMMYFUNCTION("""COMPUTED_VALUE"""),"DeekshaC52")</f>
        <v>DeekshaC52</v>
      </c>
      <c r="C4162" s="8">
        <f>IFERROR(__xludf.DUMMYFUNCTION("""COMPUTED_VALUE"""),2.0)</f>
        <v>2</v>
      </c>
      <c r="D4162" s="8"/>
    </row>
    <row r="4163">
      <c r="A4163" s="9" t="str">
        <f>IFERROR(__xludf.DUMMYFUNCTION("""COMPUTED_VALUE"""),"Batch 252")</f>
        <v>Batch 252</v>
      </c>
      <c r="B4163" s="9" t="str">
        <f>IFERROR(__xludf.DUMMYFUNCTION("""COMPUTED_VALUE"""),"SomyaC52")</f>
        <v>SomyaC52</v>
      </c>
      <c r="C4163" s="8">
        <f>IFERROR(__xludf.DUMMYFUNCTION("""COMPUTED_VALUE"""),0.0)</f>
        <v>0</v>
      </c>
      <c r="D4163" s="8"/>
    </row>
    <row r="4164">
      <c r="A4164" s="9" t="str">
        <f>IFERROR(__xludf.DUMMYFUNCTION("""COMPUTED_VALUE"""),"Batch 252")</f>
        <v>Batch 252</v>
      </c>
      <c r="B4164" s="9" t="str">
        <f>IFERROR(__xludf.DUMMYFUNCTION("""COMPUTED_VALUE"""),"MC52")</f>
        <v>MC52</v>
      </c>
      <c r="C4164" s="8">
        <f>IFERROR(__xludf.DUMMYFUNCTION("""COMPUTED_VALUE"""),0.0)</f>
        <v>0</v>
      </c>
      <c r="D4164" s="8"/>
    </row>
    <row r="4165">
      <c r="A4165" s="9" t="str">
        <f>IFERROR(__xludf.DUMMYFUNCTION("""COMPUTED_VALUE"""),"Batch 252")</f>
        <v>Batch 252</v>
      </c>
      <c r="B4165" s="9" t="str">
        <f>IFERROR(__xludf.DUMMYFUNCTION("""COMPUTED_VALUE"""),"RiteshC52")</f>
        <v>RiteshC52</v>
      </c>
      <c r="C4165" s="8">
        <f>IFERROR(__xludf.DUMMYFUNCTION("""COMPUTED_VALUE"""),0.0)</f>
        <v>0</v>
      </c>
      <c r="D4165" s="8">
        <f>IFERROR(__xludf.DUMMYFUNCTION("""COMPUTED_VALUE"""),6.0)</f>
        <v>6</v>
      </c>
    </row>
    <row r="4166">
      <c r="A4166" s="9" t="str">
        <f>IFERROR(__xludf.DUMMYFUNCTION("""COMPUTED_VALUE"""),"Batch 252")</f>
        <v>Batch 252</v>
      </c>
      <c r="B4166" s="9" t="str">
        <f>IFERROR(__xludf.DUMMYFUNCTION("""COMPUTED_VALUE"""),"JITANSHUC52")</f>
        <v>JITANSHUC52</v>
      </c>
      <c r="C4166" s="8">
        <f>IFERROR(__xludf.DUMMYFUNCTION("""COMPUTED_VALUE"""),0.0)</f>
        <v>0</v>
      </c>
      <c r="D4166" s="8"/>
    </row>
    <row r="4167">
      <c r="A4167" s="9" t="str">
        <f>IFERROR(__xludf.DUMMYFUNCTION("""COMPUTED_VALUE"""),"Batch 252")</f>
        <v>Batch 252</v>
      </c>
      <c r="B4167" s="9" t="str">
        <f>IFERROR(__xludf.DUMMYFUNCTION("""COMPUTED_VALUE"""),"SujalC52")</f>
        <v>SujalC52</v>
      </c>
      <c r="C4167" s="8">
        <f>IFERROR(__xludf.DUMMYFUNCTION("""COMPUTED_VALUE"""),0.0)</f>
        <v>0</v>
      </c>
      <c r="D4167" s="8"/>
    </row>
    <row r="4168">
      <c r="A4168" s="9" t="str">
        <f>IFERROR(__xludf.DUMMYFUNCTION("""COMPUTED_VALUE"""),"Batch 252")</f>
        <v>Batch 252</v>
      </c>
      <c r="B4168" s="9" t="str">
        <f>IFERROR(__xludf.DUMMYFUNCTION("""COMPUTED_VALUE"""),"NagarathnaC52")</f>
        <v>NagarathnaC52</v>
      </c>
      <c r="C4168" s="8">
        <f>IFERROR(__xludf.DUMMYFUNCTION("""COMPUTED_VALUE"""),1.0)</f>
        <v>1</v>
      </c>
      <c r="D4168" s="8"/>
    </row>
    <row r="4169">
      <c r="A4169" s="9" t="str">
        <f>IFERROR(__xludf.DUMMYFUNCTION("""COMPUTED_VALUE"""),"Batch 252")</f>
        <v>Batch 252</v>
      </c>
      <c r="B4169" s="9" t="str">
        <f>IFERROR(__xludf.DUMMYFUNCTION("""COMPUTED_VALUE"""),"C52")</f>
        <v>C52</v>
      </c>
      <c r="C4169" s="8">
        <f>IFERROR(__xludf.DUMMYFUNCTION("""COMPUTED_VALUE"""),0.0)</f>
        <v>0</v>
      </c>
      <c r="D4169" s="8"/>
    </row>
    <row r="4170">
      <c r="A4170" s="9" t="str">
        <f>IFERROR(__xludf.DUMMYFUNCTION("""COMPUTED_VALUE"""),"Batch 252")</f>
        <v>Batch 252</v>
      </c>
      <c r="B4170" s="9" t="str">
        <f>IFERROR(__xludf.DUMMYFUNCTION("""COMPUTED_VALUE"""),"SadiaC52")</f>
        <v>SadiaC52</v>
      </c>
      <c r="C4170" s="8">
        <f>IFERROR(__xludf.DUMMYFUNCTION("""COMPUTED_VALUE"""),0.0)</f>
        <v>0</v>
      </c>
      <c r="D4170" s="8"/>
    </row>
    <row r="4171">
      <c r="A4171" s="9" t="str">
        <f>IFERROR(__xludf.DUMMYFUNCTION("""COMPUTED_VALUE"""),"Batch 252")</f>
        <v>Batch 252</v>
      </c>
      <c r="B4171" s="9" t="str">
        <f>IFERROR(__xludf.DUMMYFUNCTION("""COMPUTED_VALUE"""),"AminaC52")</f>
        <v>AminaC52</v>
      </c>
      <c r="C4171" s="8">
        <f>IFERROR(__xludf.DUMMYFUNCTION("""COMPUTED_VALUE"""),0.0)</f>
        <v>0</v>
      </c>
      <c r="D4171" s="8"/>
    </row>
    <row r="4172">
      <c r="A4172" s="9" t="str">
        <f>IFERROR(__xludf.DUMMYFUNCTION("""COMPUTED_VALUE"""),"Batch 252")</f>
        <v>Batch 252</v>
      </c>
      <c r="B4172" s="9" t="str">
        <f>IFERROR(__xludf.DUMMYFUNCTION("""COMPUTED_VALUE"""),"YadhukrishnaC52")</f>
        <v>YadhukrishnaC52</v>
      </c>
      <c r="C4172" s="8">
        <f>IFERROR(__xludf.DUMMYFUNCTION("""COMPUTED_VALUE"""),0.0)</f>
        <v>0</v>
      </c>
      <c r="D4172" s="8"/>
    </row>
    <row r="4173">
      <c r="A4173" s="9" t="str">
        <f>IFERROR(__xludf.DUMMYFUNCTION("""COMPUTED_VALUE"""),"Batch 252")</f>
        <v>Batch 252</v>
      </c>
      <c r="B4173" s="9" t="str">
        <f>IFERROR(__xludf.DUMMYFUNCTION("""COMPUTED_VALUE"""),"ManasviC52")</f>
        <v>ManasviC52</v>
      </c>
      <c r="C4173" s="8">
        <f>IFERROR(__xludf.DUMMYFUNCTION("""COMPUTED_VALUE"""),0.0)</f>
        <v>0</v>
      </c>
      <c r="D4173" s="8"/>
    </row>
    <row r="4174">
      <c r="A4174" s="9" t="str">
        <f>IFERROR(__xludf.DUMMYFUNCTION("""COMPUTED_VALUE"""),"Batch 252")</f>
        <v>Batch 252</v>
      </c>
      <c r="B4174" s="9" t="str">
        <f>IFERROR(__xludf.DUMMYFUNCTION("""COMPUTED_VALUE"""),"AvantikaC52")</f>
        <v>AvantikaC52</v>
      </c>
      <c r="C4174" s="8">
        <f>IFERROR(__xludf.DUMMYFUNCTION("""COMPUTED_VALUE"""),6.0)</f>
        <v>6</v>
      </c>
      <c r="D4174" s="8"/>
    </row>
    <row r="4175">
      <c r="A4175" s="9" t="str">
        <f>IFERROR(__xludf.DUMMYFUNCTION("""COMPUTED_VALUE"""),"Batch 252")</f>
        <v>Batch 252</v>
      </c>
      <c r="B4175" s="9" t="str">
        <f>IFERROR(__xludf.DUMMYFUNCTION("""COMPUTED_VALUE"""),"ReaC52")</f>
        <v>ReaC52</v>
      </c>
      <c r="C4175" s="8">
        <f>IFERROR(__xludf.DUMMYFUNCTION("""COMPUTED_VALUE"""),0.0)</f>
        <v>0</v>
      </c>
      <c r="D4175" s="8"/>
    </row>
    <row r="4176">
      <c r="A4176" s="9" t="str">
        <f>IFERROR(__xludf.DUMMYFUNCTION("""COMPUTED_VALUE"""),"Batch 252")</f>
        <v>Batch 252</v>
      </c>
      <c r="B4176" s="9" t="str">
        <f>IFERROR(__xludf.DUMMYFUNCTION("""COMPUTED_VALUE"""),"ShreyasiC52")</f>
        <v>ShreyasiC52</v>
      </c>
      <c r="C4176" s="8">
        <f>IFERROR(__xludf.DUMMYFUNCTION("""COMPUTED_VALUE"""),0.0)</f>
        <v>0</v>
      </c>
      <c r="D4176" s="8"/>
    </row>
    <row r="4177">
      <c r="A4177" s="9" t="str">
        <f>IFERROR(__xludf.DUMMYFUNCTION("""COMPUTED_VALUE"""),"Batch 252")</f>
        <v>Batch 252</v>
      </c>
      <c r="B4177" s="9" t="str">
        <f>IFERROR(__xludf.DUMMYFUNCTION("""COMPUTED_VALUE"""),"RoshniC52")</f>
        <v>RoshniC52</v>
      </c>
      <c r="C4177" s="8">
        <f>IFERROR(__xludf.DUMMYFUNCTION("""COMPUTED_VALUE"""),0.0)</f>
        <v>0</v>
      </c>
      <c r="D4177" s="8"/>
    </row>
    <row r="4178">
      <c r="A4178" s="9" t="str">
        <f>IFERROR(__xludf.DUMMYFUNCTION("""COMPUTED_VALUE"""),"Batch 252")</f>
        <v>Batch 252</v>
      </c>
      <c r="B4178" s="9" t="str">
        <f>IFERROR(__xludf.DUMMYFUNCTION("""COMPUTED_VALUE"""),"SadiaC52")</f>
        <v>SadiaC52</v>
      </c>
      <c r="C4178" s="8">
        <f>IFERROR(__xludf.DUMMYFUNCTION("""COMPUTED_VALUE"""),0.0)</f>
        <v>0</v>
      </c>
      <c r="D4178" s="8"/>
    </row>
    <row r="4179">
      <c r="A4179" s="9" t="str">
        <f>IFERROR(__xludf.DUMMYFUNCTION("""COMPUTED_VALUE"""),"Batch 252")</f>
        <v>Batch 252</v>
      </c>
      <c r="B4179" s="9" t="str">
        <f>IFERROR(__xludf.DUMMYFUNCTION("""COMPUTED_VALUE"""),"IshaC52")</f>
        <v>IshaC52</v>
      </c>
      <c r="C4179" s="8">
        <f>IFERROR(__xludf.DUMMYFUNCTION("""COMPUTED_VALUE"""),0.0)</f>
        <v>0</v>
      </c>
      <c r="D4179" s="8"/>
    </row>
    <row r="4180">
      <c r="A4180" s="9" t="str">
        <f>IFERROR(__xludf.DUMMYFUNCTION("""COMPUTED_VALUE"""),"Batch 252")</f>
        <v>Batch 252</v>
      </c>
      <c r="B4180" s="9" t="str">
        <f>IFERROR(__xludf.DUMMYFUNCTION("""COMPUTED_VALUE"""),"TanishqC52")</f>
        <v>TanishqC52</v>
      </c>
      <c r="C4180" s="8">
        <f>IFERROR(__xludf.DUMMYFUNCTION("""COMPUTED_VALUE"""),0.0)</f>
        <v>0</v>
      </c>
      <c r="D4180" s="8"/>
    </row>
    <row r="4181">
      <c r="A4181" s="9" t="str">
        <f>IFERROR(__xludf.DUMMYFUNCTION("""COMPUTED_VALUE"""),"Batch 252")</f>
        <v>Batch 252</v>
      </c>
      <c r="B4181" s="9" t="str">
        <f>IFERROR(__xludf.DUMMYFUNCTION("""COMPUTED_VALUE"""),"AnasC52")</f>
        <v>AnasC52</v>
      </c>
      <c r="C4181" s="8">
        <f>IFERROR(__xludf.DUMMYFUNCTION("""COMPUTED_VALUE"""),0.0)</f>
        <v>0</v>
      </c>
      <c r="D4181" s="8"/>
    </row>
    <row r="4182">
      <c r="A4182" s="9" t="str">
        <f>IFERROR(__xludf.DUMMYFUNCTION("""COMPUTED_VALUE"""),"Batch 252")</f>
        <v>Batch 252</v>
      </c>
      <c r="B4182" s="9" t="str">
        <f>IFERROR(__xludf.DUMMYFUNCTION("""COMPUTED_VALUE"""),"HridayC52")</f>
        <v>HridayC52</v>
      </c>
      <c r="C4182" s="8">
        <f>IFERROR(__xludf.DUMMYFUNCTION("""COMPUTED_VALUE"""),0.0)</f>
        <v>0</v>
      </c>
      <c r="D4182" s="8"/>
    </row>
    <row r="4183">
      <c r="A4183" s="9" t="str">
        <f>IFERROR(__xludf.DUMMYFUNCTION("""COMPUTED_VALUE"""),"Batch 252")</f>
        <v>Batch 252</v>
      </c>
      <c r="B4183" s="9" t="str">
        <f>IFERROR(__xludf.DUMMYFUNCTION("""COMPUTED_VALUE"""),"V.C52")</f>
        <v>V.C52</v>
      </c>
      <c r="C4183" s="8">
        <f>IFERROR(__xludf.DUMMYFUNCTION("""COMPUTED_VALUE"""),0.0)</f>
        <v>0</v>
      </c>
      <c r="D4183" s="8"/>
    </row>
    <row r="4184">
      <c r="A4184" s="9" t="str">
        <f>IFERROR(__xludf.DUMMYFUNCTION("""COMPUTED_VALUE"""),"Batch 252")</f>
        <v>Batch 252</v>
      </c>
      <c r="B4184" s="9" t="str">
        <f>IFERROR(__xludf.DUMMYFUNCTION("""COMPUTED_VALUE"""),"MDC52")</f>
        <v>MDC52</v>
      </c>
      <c r="C4184" s="8">
        <f>IFERROR(__xludf.DUMMYFUNCTION("""COMPUTED_VALUE"""),4.0)</f>
        <v>4</v>
      </c>
      <c r="D4184" s="8"/>
    </row>
    <row r="4185">
      <c r="A4185" s="9" t="str">
        <f>IFERROR(__xludf.DUMMYFUNCTION("""COMPUTED_VALUE"""),"Batch 252")</f>
        <v>Batch 252</v>
      </c>
      <c r="B4185" s="9" t="str">
        <f>IFERROR(__xludf.DUMMYFUNCTION("""COMPUTED_VALUE"""),"DevaC52")</f>
        <v>DevaC52</v>
      </c>
      <c r="C4185" s="8">
        <f>IFERROR(__xludf.DUMMYFUNCTION("""COMPUTED_VALUE"""),0.0)</f>
        <v>0</v>
      </c>
      <c r="D4185" s="8"/>
    </row>
    <row r="4186">
      <c r="A4186" s="9" t="str">
        <f>IFERROR(__xludf.DUMMYFUNCTION("""COMPUTED_VALUE"""),"Batch 252")</f>
        <v>Batch 252</v>
      </c>
      <c r="B4186" s="9" t="str">
        <f>IFERROR(__xludf.DUMMYFUNCTION("""COMPUTED_VALUE"""),"AnshulC52")</f>
        <v>AnshulC52</v>
      </c>
      <c r="C4186" s="8">
        <f>IFERROR(__xludf.DUMMYFUNCTION("""COMPUTED_VALUE"""),0.0)</f>
        <v>0</v>
      </c>
      <c r="D4186" s="8"/>
    </row>
    <row r="4187">
      <c r="A4187" s="9" t="str">
        <f>IFERROR(__xludf.DUMMYFUNCTION("""COMPUTED_VALUE"""),"Batch 252")</f>
        <v>Batch 252</v>
      </c>
      <c r="B4187" s="9" t="str">
        <f>IFERROR(__xludf.DUMMYFUNCTION("""COMPUTED_VALUE"""),"TanviC52")</f>
        <v>TanviC52</v>
      </c>
      <c r="C4187" s="8">
        <f>IFERROR(__xludf.DUMMYFUNCTION("""COMPUTED_VALUE"""),0.0)</f>
        <v>0</v>
      </c>
      <c r="D4187" s="8"/>
    </row>
    <row r="4188">
      <c r="A4188" s="9" t="str">
        <f>IFERROR(__xludf.DUMMYFUNCTION("""COMPUTED_VALUE"""),"Batch 252")</f>
        <v>Batch 252</v>
      </c>
      <c r="B4188" s="9" t="str">
        <f>IFERROR(__xludf.DUMMYFUNCTION("""COMPUTED_VALUE"""),"SNEHAC52")</f>
        <v>SNEHAC52</v>
      </c>
      <c r="C4188" s="8">
        <f>IFERROR(__xludf.DUMMYFUNCTION("""COMPUTED_VALUE"""),0.0)</f>
        <v>0</v>
      </c>
      <c r="D4188" s="8"/>
    </row>
    <row r="4189">
      <c r="A4189" s="9" t="str">
        <f>IFERROR(__xludf.DUMMYFUNCTION("""COMPUTED_VALUE"""),"Batch 252")</f>
        <v>Batch 252</v>
      </c>
      <c r="B4189" s="9" t="str">
        <f>IFERROR(__xludf.DUMMYFUNCTION("""COMPUTED_VALUE"""),"ApsanaC52")</f>
        <v>ApsanaC52</v>
      </c>
      <c r="C4189" s="8">
        <f>IFERROR(__xludf.DUMMYFUNCTION("""COMPUTED_VALUE"""),0.0)</f>
        <v>0</v>
      </c>
      <c r="D4189" s="8"/>
    </row>
    <row r="4190">
      <c r="A4190" s="9" t="str">
        <f>IFERROR(__xludf.DUMMYFUNCTION("""COMPUTED_VALUE"""),"Batch 252")</f>
        <v>Batch 252</v>
      </c>
      <c r="B4190" s="9" t="str">
        <f>IFERROR(__xludf.DUMMYFUNCTION("""COMPUTED_VALUE"""),"SaraC52")</f>
        <v>SaraC52</v>
      </c>
      <c r="C4190" s="8">
        <f>IFERROR(__xludf.DUMMYFUNCTION("""COMPUTED_VALUE"""),0.0)</f>
        <v>0</v>
      </c>
      <c r="D4190" s="8"/>
    </row>
    <row r="4191">
      <c r="A4191" s="9" t="str">
        <f>IFERROR(__xludf.DUMMYFUNCTION("""COMPUTED_VALUE"""),"Batch 252")</f>
        <v>Batch 252</v>
      </c>
      <c r="B4191" s="9" t="str">
        <f>IFERROR(__xludf.DUMMYFUNCTION("""COMPUTED_VALUE"""),"KavitaC52")</f>
        <v>KavitaC52</v>
      </c>
      <c r="C4191" s="8">
        <f>IFERROR(__xludf.DUMMYFUNCTION("""COMPUTED_VALUE"""),0.0)</f>
        <v>0</v>
      </c>
      <c r="D4191" s="8"/>
    </row>
    <row r="4192">
      <c r="A4192" s="9" t="str">
        <f>IFERROR(__xludf.DUMMYFUNCTION("""COMPUTED_VALUE"""),"Batch 252")</f>
        <v>Batch 252</v>
      </c>
      <c r="B4192" s="9" t="str">
        <f>IFERROR(__xludf.DUMMYFUNCTION("""COMPUTED_VALUE"""),"MAHIPALC52")</f>
        <v>MAHIPALC52</v>
      </c>
      <c r="C4192" s="8">
        <f>IFERROR(__xludf.DUMMYFUNCTION("""COMPUTED_VALUE"""),0.0)</f>
        <v>0</v>
      </c>
      <c r="D4192" s="8"/>
    </row>
    <row r="4193">
      <c r="A4193" s="9" t="str">
        <f>IFERROR(__xludf.DUMMYFUNCTION("""COMPUTED_VALUE"""),"Batch 252")</f>
        <v>Batch 252</v>
      </c>
      <c r="B4193" s="9" t="str">
        <f>IFERROR(__xludf.DUMMYFUNCTION("""COMPUTED_VALUE"""),"sanskratiC52")</f>
        <v>sanskratiC52</v>
      </c>
      <c r="C4193" s="8">
        <f>IFERROR(__xludf.DUMMYFUNCTION("""COMPUTED_VALUE"""),0.0)</f>
        <v>0</v>
      </c>
      <c r="D4193" s="8"/>
    </row>
    <row r="4194">
      <c r="A4194" s="9" t="str">
        <f>IFERROR(__xludf.DUMMYFUNCTION("""COMPUTED_VALUE"""),"Batch 252")</f>
        <v>Batch 252</v>
      </c>
      <c r="B4194" s="9" t="str">
        <f>IFERROR(__xludf.DUMMYFUNCTION("""COMPUTED_VALUE"""),"tanishC52")</f>
        <v>tanishC52</v>
      </c>
      <c r="C4194" s="8">
        <f>IFERROR(__xludf.DUMMYFUNCTION("""COMPUTED_VALUE"""),0.0)</f>
        <v>0</v>
      </c>
      <c r="D4194" s="8"/>
    </row>
    <row r="4195">
      <c r="A4195" s="9" t="str">
        <f>IFERROR(__xludf.DUMMYFUNCTION("""COMPUTED_VALUE"""),"Batch 252")</f>
        <v>Batch 252</v>
      </c>
      <c r="B4195" s="9" t="str">
        <f>IFERROR(__xludf.DUMMYFUNCTION("""COMPUTED_VALUE"""),"ArjunC52")</f>
        <v>ArjunC52</v>
      </c>
      <c r="C4195" s="8">
        <f>IFERROR(__xludf.DUMMYFUNCTION("""COMPUTED_VALUE"""),0.0)</f>
        <v>0</v>
      </c>
      <c r="D4195" s="8"/>
    </row>
    <row r="4196">
      <c r="A4196" s="9" t="str">
        <f>IFERROR(__xludf.DUMMYFUNCTION("""COMPUTED_VALUE"""),"Batch 252")</f>
        <v>Batch 252</v>
      </c>
      <c r="B4196" s="9" t="str">
        <f>IFERROR(__xludf.DUMMYFUNCTION("""COMPUTED_VALUE"""),"MrigankC52")</f>
        <v>MrigankC52</v>
      </c>
      <c r="C4196" s="8">
        <f>IFERROR(__xludf.DUMMYFUNCTION("""COMPUTED_VALUE"""),0.0)</f>
        <v>0</v>
      </c>
      <c r="D4196" s="8"/>
    </row>
    <row r="4197">
      <c r="A4197" s="9" t="str">
        <f>IFERROR(__xludf.DUMMYFUNCTION("""COMPUTED_VALUE"""),"Batch 252")</f>
        <v>Batch 252</v>
      </c>
      <c r="B4197" s="9" t="str">
        <f>IFERROR(__xludf.DUMMYFUNCTION("""COMPUTED_VALUE"""),"MeghaC52")</f>
        <v>MeghaC52</v>
      </c>
      <c r="C4197" s="8">
        <f>IFERROR(__xludf.DUMMYFUNCTION("""COMPUTED_VALUE"""),0.0)</f>
        <v>0</v>
      </c>
      <c r="D4197" s="8"/>
    </row>
    <row r="4198">
      <c r="A4198" s="9" t="str">
        <f>IFERROR(__xludf.DUMMYFUNCTION("""COMPUTED_VALUE"""),"Batch 252")</f>
        <v>Batch 252</v>
      </c>
      <c r="B4198" s="9" t="str">
        <f>IFERROR(__xludf.DUMMYFUNCTION("""COMPUTED_VALUE"""),"SrijaC52")</f>
        <v>SrijaC52</v>
      </c>
      <c r="C4198" s="8">
        <f>IFERROR(__xludf.DUMMYFUNCTION("""COMPUTED_VALUE"""),0.0)</f>
        <v>0</v>
      </c>
      <c r="D4198" s="8"/>
    </row>
    <row r="4199">
      <c r="A4199" s="9" t="str">
        <f>IFERROR(__xludf.DUMMYFUNCTION("""COMPUTED_VALUE"""),"Batch 252")</f>
        <v>Batch 252</v>
      </c>
      <c r="B4199" s="9" t="str">
        <f>IFERROR(__xludf.DUMMYFUNCTION("""COMPUTED_VALUE"""),"PoornimaC52")</f>
        <v>PoornimaC52</v>
      </c>
      <c r="C4199" s="8">
        <f>IFERROR(__xludf.DUMMYFUNCTION("""COMPUTED_VALUE"""),0.0)</f>
        <v>0</v>
      </c>
      <c r="D4199" s="8"/>
    </row>
    <row r="4200">
      <c r="A4200" s="9" t="str">
        <f>IFERROR(__xludf.DUMMYFUNCTION("""COMPUTED_VALUE"""),"Batch 252")</f>
        <v>Batch 252</v>
      </c>
      <c r="B4200" s="9" t="str">
        <f>IFERROR(__xludf.DUMMYFUNCTION("""COMPUTED_VALUE"""),"AdarshC52")</f>
        <v>AdarshC52</v>
      </c>
      <c r="C4200" s="8">
        <f>IFERROR(__xludf.DUMMYFUNCTION("""COMPUTED_VALUE"""),0.0)</f>
        <v>0</v>
      </c>
      <c r="D4200" s="8"/>
    </row>
    <row r="4201">
      <c r="A4201" s="9" t="str">
        <f>IFERROR(__xludf.DUMMYFUNCTION("""COMPUTED_VALUE"""),"Batch 252")</f>
        <v>Batch 252</v>
      </c>
      <c r="B4201" s="9" t="str">
        <f>IFERROR(__xludf.DUMMYFUNCTION("""COMPUTED_VALUE"""),"VishakhaC52")</f>
        <v>VishakhaC52</v>
      </c>
      <c r="C4201" s="8">
        <f>IFERROR(__xludf.DUMMYFUNCTION("""COMPUTED_VALUE"""),0.0)</f>
        <v>0</v>
      </c>
      <c r="D4201" s="8"/>
    </row>
    <row r="4202">
      <c r="A4202" s="9" t="str">
        <f>IFERROR(__xludf.DUMMYFUNCTION("""COMPUTED_VALUE"""),"Batch 252")</f>
        <v>Batch 252</v>
      </c>
      <c r="B4202" s="9" t="str">
        <f>IFERROR(__xludf.DUMMYFUNCTION("""COMPUTED_VALUE"""),"AbhishekC52")</f>
        <v>AbhishekC52</v>
      </c>
      <c r="C4202" s="8">
        <f>IFERROR(__xludf.DUMMYFUNCTION("""COMPUTED_VALUE"""),0.0)</f>
        <v>0</v>
      </c>
      <c r="D4202" s="8"/>
    </row>
    <row r="4203">
      <c r="A4203" s="9" t="str">
        <f>IFERROR(__xludf.DUMMYFUNCTION("""COMPUTED_VALUE"""),"Batch 252")</f>
        <v>Batch 252</v>
      </c>
      <c r="B4203" s="9" t="str">
        <f>IFERROR(__xludf.DUMMYFUNCTION("""COMPUTED_VALUE"""),"TitishkaC52")</f>
        <v>TitishkaC52</v>
      </c>
      <c r="C4203" s="8">
        <f>IFERROR(__xludf.DUMMYFUNCTION("""COMPUTED_VALUE"""),0.0)</f>
        <v>0</v>
      </c>
      <c r="D4203" s="8"/>
    </row>
    <row r="4204">
      <c r="A4204" s="9" t="str">
        <f>IFERROR(__xludf.DUMMYFUNCTION("""COMPUTED_VALUE"""),"Batch 252")</f>
        <v>Batch 252</v>
      </c>
      <c r="B4204" s="9" t="str">
        <f>IFERROR(__xludf.DUMMYFUNCTION("""COMPUTED_VALUE"""),"TanishaC52")</f>
        <v>TanishaC52</v>
      </c>
      <c r="C4204" s="8">
        <f>IFERROR(__xludf.DUMMYFUNCTION("""COMPUTED_VALUE"""),0.0)</f>
        <v>0</v>
      </c>
      <c r="D4204" s="8"/>
    </row>
    <row r="4205">
      <c r="A4205" s="9" t="str">
        <f>IFERROR(__xludf.DUMMYFUNCTION("""COMPUTED_VALUE"""),"Batch 252")</f>
        <v>Batch 252</v>
      </c>
      <c r="B4205" s="9" t="str">
        <f>IFERROR(__xludf.DUMMYFUNCTION("""COMPUTED_VALUE"""),"HanumanC52")</f>
        <v>HanumanC52</v>
      </c>
      <c r="C4205" s="8">
        <f>IFERROR(__xludf.DUMMYFUNCTION("""COMPUTED_VALUE"""),0.0)</f>
        <v>0</v>
      </c>
      <c r="D4205" s="8"/>
    </row>
    <row r="4206">
      <c r="A4206" s="9" t="str">
        <f>IFERROR(__xludf.DUMMYFUNCTION("""COMPUTED_VALUE"""),"Batch 252")</f>
        <v>Batch 252</v>
      </c>
      <c r="B4206" s="9" t="str">
        <f>IFERROR(__xludf.DUMMYFUNCTION("""COMPUTED_VALUE"""),"AyushC52")</f>
        <v>AyushC52</v>
      </c>
      <c r="C4206" s="8">
        <f>IFERROR(__xludf.DUMMYFUNCTION("""COMPUTED_VALUE"""),0.0)</f>
        <v>0</v>
      </c>
      <c r="D4206" s="8"/>
    </row>
    <row r="4207">
      <c r="A4207" s="9"/>
      <c r="B4207" s="9"/>
      <c r="C4207" s="8">
        <f>IFERROR(__xludf.DUMMYFUNCTION("""COMPUTED_VALUE"""),0.0)</f>
        <v>0</v>
      </c>
      <c r="D4207" s="8"/>
    </row>
    <row r="4208">
      <c r="A4208" s="9" t="str">
        <f>IFERROR(__xludf.DUMMYFUNCTION("""COMPUTED_VALUE"""),"Batch 253")</f>
        <v>Batch 253</v>
      </c>
      <c r="B4208" s="9" t="str">
        <f>IFERROR(__xludf.DUMMYFUNCTION("""COMPUTED_VALUE"""),"ArickPC253")</f>
        <v>ArickPC253</v>
      </c>
      <c r="C4208" s="8">
        <f>IFERROR(__xludf.DUMMYFUNCTION("""COMPUTED_VALUE"""),0.0)</f>
        <v>0</v>
      </c>
      <c r="D4208" s="8"/>
    </row>
    <row r="4209">
      <c r="A4209" s="9" t="str">
        <f>IFERROR(__xludf.DUMMYFUNCTION("""COMPUTED_VALUE"""),"Batch 253")</f>
        <v>Batch 253</v>
      </c>
      <c r="B4209" s="9" t="str">
        <f>IFERROR(__xludf.DUMMYFUNCTION("""COMPUTED_VALUE"""),"KashishaC253")</f>
        <v>KashishaC253</v>
      </c>
      <c r="C4209" s="8">
        <f>IFERROR(__xludf.DUMMYFUNCTION("""COMPUTED_VALUE"""),0.0)</f>
        <v>0</v>
      </c>
      <c r="D4209" s="8"/>
    </row>
    <row r="4210">
      <c r="A4210" s="9" t="str">
        <f>IFERROR(__xludf.DUMMYFUNCTION("""COMPUTED_VALUE"""),"Batch 253")</f>
        <v>Batch 253</v>
      </c>
      <c r="B4210" s="9" t="str">
        <f>IFERROR(__xludf.DUMMYFUNCTION("""COMPUTED_VALUE"""),"MayukhNC253")</f>
        <v>MayukhNC253</v>
      </c>
      <c r="C4210" s="8">
        <f>IFERROR(__xludf.DUMMYFUNCTION("""COMPUTED_VALUE"""),0.0)</f>
        <v>0</v>
      </c>
      <c r="D4210" s="8"/>
    </row>
    <row r="4211">
      <c r="A4211" s="9" t="str">
        <f>IFERROR(__xludf.DUMMYFUNCTION("""COMPUTED_VALUE"""),"Batch 253")</f>
        <v>Batch 253</v>
      </c>
      <c r="B4211" s="9" t="str">
        <f>IFERROR(__xludf.DUMMYFUNCTION("""COMPUTED_VALUE"""),"AnujaC253")</f>
        <v>AnujaC253</v>
      </c>
      <c r="C4211" s="8">
        <f>IFERROR(__xludf.DUMMYFUNCTION("""COMPUTED_VALUE"""),0.0)</f>
        <v>0</v>
      </c>
      <c r="D4211" s="8"/>
    </row>
    <row r="4212">
      <c r="A4212" s="9" t="str">
        <f>IFERROR(__xludf.DUMMYFUNCTION("""COMPUTED_VALUE"""),"Batch 253")</f>
        <v>Batch 253</v>
      </c>
      <c r="B4212" s="9" t="str">
        <f>IFERROR(__xludf.DUMMYFUNCTION("""COMPUTED_VALUE"""),"GraceSC253")</f>
        <v>GraceSC253</v>
      </c>
      <c r="C4212" s="8">
        <f>IFERROR(__xludf.DUMMYFUNCTION("""COMPUTED_VALUE"""),1.0)</f>
        <v>1</v>
      </c>
      <c r="D4212" s="8"/>
    </row>
    <row r="4213">
      <c r="A4213" s="9" t="str">
        <f>IFERROR(__xludf.DUMMYFUNCTION("""COMPUTED_VALUE"""),"Batch 253")</f>
        <v>Batch 253</v>
      </c>
      <c r="B4213" s="9" t="str">
        <f>IFERROR(__xludf.DUMMYFUNCTION("""COMPUTED_VALUE"""),"SharathHC253")</f>
        <v>SharathHC253</v>
      </c>
      <c r="C4213" s="8">
        <f>IFERROR(__xludf.DUMMYFUNCTION("""COMPUTED_VALUE"""),0.0)</f>
        <v>0</v>
      </c>
      <c r="D4213" s="8"/>
    </row>
    <row r="4214">
      <c r="A4214" s="9" t="str">
        <f>IFERROR(__xludf.DUMMYFUNCTION("""COMPUTED_VALUE"""),"Batch 253")</f>
        <v>Batch 253</v>
      </c>
      <c r="B4214" s="9" t="str">
        <f>IFERROR(__xludf.DUMMYFUNCTION("""COMPUTED_VALUE"""),"ShounakCC253")</f>
        <v>ShounakCC253</v>
      </c>
      <c r="C4214" s="8">
        <f>IFERROR(__xludf.DUMMYFUNCTION("""COMPUTED_VALUE"""),0.0)</f>
        <v>0</v>
      </c>
      <c r="D4214" s="8"/>
    </row>
    <row r="4215">
      <c r="A4215" s="9" t="str">
        <f>IFERROR(__xludf.DUMMYFUNCTION("""COMPUTED_VALUE"""),"Batch 253")</f>
        <v>Batch 253</v>
      </c>
      <c r="B4215" s="9" t="str">
        <f>IFERROR(__xludf.DUMMYFUNCTION("""COMPUTED_VALUE"""),"AnushkaPC253")</f>
        <v>AnushkaPC253</v>
      </c>
      <c r="C4215" s="8">
        <f>IFERROR(__xludf.DUMMYFUNCTION("""COMPUTED_VALUE"""),0.0)</f>
        <v>0</v>
      </c>
      <c r="D4215" s="8"/>
    </row>
    <row r="4216">
      <c r="A4216" s="9" t="str">
        <f>IFERROR(__xludf.DUMMYFUNCTION("""COMPUTED_VALUE"""),"Batch 253")</f>
        <v>Batch 253</v>
      </c>
      <c r="B4216" s="9" t="str">
        <f>IFERROR(__xludf.DUMMYFUNCTION("""COMPUTED_VALUE"""),"NimitjC253")</f>
        <v>NimitjC253</v>
      </c>
      <c r="C4216" s="8">
        <f>IFERROR(__xludf.DUMMYFUNCTION("""COMPUTED_VALUE"""),0.0)</f>
        <v>0</v>
      </c>
      <c r="D4216" s="8"/>
    </row>
    <row r="4217">
      <c r="A4217" s="9" t="str">
        <f>IFERROR(__xludf.DUMMYFUNCTION("""COMPUTED_VALUE"""),"Batch 253")</f>
        <v>Batch 253</v>
      </c>
      <c r="B4217" s="9" t="str">
        <f>IFERROR(__xludf.DUMMYFUNCTION("""COMPUTED_VALUE"""),"ParthKC253")</f>
        <v>ParthKC253</v>
      </c>
      <c r="C4217" s="8">
        <f>IFERROR(__xludf.DUMMYFUNCTION("""COMPUTED_VALUE"""),0.0)</f>
        <v>0</v>
      </c>
      <c r="D4217" s="8"/>
    </row>
    <row r="4218">
      <c r="A4218" s="9" t="str">
        <f>IFERROR(__xludf.DUMMYFUNCTION("""COMPUTED_VALUE"""),"Batch 253")</f>
        <v>Batch 253</v>
      </c>
      <c r="B4218" s="9" t="str">
        <f>IFERROR(__xludf.DUMMYFUNCTION("""COMPUTED_VALUE"""),"RonaksC253")</f>
        <v>RonaksC253</v>
      </c>
      <c r="C4218" s="8">
        <f>IFERROR(__xludf.DUMMYFUNCTION("""COMPUTED_VALUE"""),0.0)</f>
        <v>0</v>
      </c>
      <c r="D4218" s="8"/>
    </row>
    <row r="4219">
      <c r="A4219" s="9" t="str">
        <f>IFERROR(__xludf.DUMMYFUNCTION("""COMPUTED_VALUE"""),"Batch 253")</f>
        <v>Batch 253</v>
      </c>
      <c r="B4219" s="9" t="str">
        <f>IFERROR(__xludf.DUMMYFUNCTION("""COMPUTED_VALUE"""),"MamtamC253")</f>
        <v>MamtamC253</v>
      </c>
      <c r="C4219" s="8">
        <f>IFERROR(__xludf.DUMMYFUNCTION("""COMPUTED_VALUE"""),0.0)</f>
        <v>0</v>
      </c>
      <c r="D4219" s="8"/>
    </row>
    <row r="4220">
      <c r="A4220" s="9" t="str">
        <f>IFERROR(__xludf.DUMMYFUNCTION("""COMPUTED_VALUE"""),"Batch 253")</f>
        <v>Batch 253</v>
      </c>
      <c r="B4220" s="9" t="str">
        <f>IFERROR(__xludf.DUMMYFUNCTION("""COMPUTED_VALUE"""),"ChaitanyaDC253")</f>
        <v>ChaitanyaDC253</v>
      </c>
      <c r="C4220" s="8">
        <f>IFERROR(__xludf.DUMMYFUNCTION("""COMPUTED_VALUE"""),0.0)</f>
        <v>0</v>
      </c>
      <c r="D4220" s="8"/>
    </row>
    <row r="4221">
      <c r="A4221" s="9" t="str">
        <f>IFERROR(__xludf.DUMMYFUNCTION("""COMPUTED_VALUE"""),"Batch 253")</f>
        <v>Batch 253</v>
      </c>
      <c r="B4221" s="9" t="str">
        <f>IFERROR(__xludf.DUMMYFUNCTION("""COMPUTED_VALUE"""),"AmitSC253")</f>
        <v>AmitSC253</v>
      </c>
      <c r="C4221" s="8">
        <f>IFERROR(__xludf.DUMMYFUNCTION("""COMPUTED_VALUE"""),0.0)</f>
        <v>0</v>
      </c>
      <c r="D4221" s="8"/>
    </row>
    <row r="4222">
      <c r="A4222" s="9" t="str">
        <f>IFERROR(__xludf.DUMMYFUNCTION("""COMPUTED_VALUE"""),"Batch 253")</f>
        <v>Batch 253</v>
      </c>
      <c r="B4222" s="9" t="str">
        <f>IFERROR(__xludf.DUMMYFUNCTION("""COMPUTED_VALUE"""),"HIMANSHUFC253")</f>
        <v>HIMANSHUFC253</v>
      </c>
      <c r="C4222" s="8">
        <f>IFERROR(__xludf.DUMMYFUNCTION("""COMPUTED_VALUE"""),1.0)</f>
        <v>1</v>
      </c>
      <c r="D4222" s="8"/>
    </row>
    <row r="4223">
      <c r="A4223" s="9" t="str">
        <f>IFERROR(__xludf.DUMMYFUNCTION("""COMPUTED_VALUE"""),"Batch 253")</f>
        <v>Batch 253</v>
      </c>
      <c r="B4223" s="9" t="str">
        <f>IFERROR(__xludf.DUMMYFUNCTION("""COMPUTED_VALUE"""),"AyushiTC253")</f>
        <v>AyushiTC253</v>
      </c>
      <c r="C4223" s="8">
        <f>IFERROR(__xludf.DUMMYFUNCTION("""COMPUTED_VALUE"""),53.0)</f>
        <v>53</v>
      </c>
      <c r="D4223" s="8">
        <f>IFERROR(__xludf.DUMMYFUNCTION("""COMPUTED_VALUE"""),15.0)</f>
        <v>15</v>
      </c>
    </row>
    <row r="4224">
      <c r="A4224" s="9" t="str">
        <f>IFERROR(__xludf.DUMMYFUNCTION("""COMPUTED_VALUE"""),"Batch 253")</f>
        <v>Batch 253</v>
      </c>
      <c r="B4224" s="9" t="str">
        <f>IFERROR(__xludf.DUMMYFUNCTION("""COMPUTED_VALUE"""),"DevashKC253")</f>
        <v>DevashKC253</v>
      </c>
      <c r="C4224" s="8">
        <f>IFERROR(__xludf.DUMMYFUNCTION("""COMPUTED_VALUE"""),0.0)</f>
        <v>0</v>
      </c>
      <c r="D4224" s="8"/>
    </row>
    <row r="4225">
      <c r="A4225" s="9" t="str">
        <f>IFERROR(__xludf.DUMMYFUNCTION("""COMPUTED_VALUE"""),"Batch 253")</f>
        <v>Batch 253</v>
      </c>
      <c r="B4225" s="9" t="str">
        <f>IFERROR(__xludf.DUMMYFUNCTION("""COMPUTED_VALUE"""),"AnuppC253")</f>
        <v>AnuppC253</v>
      </c>
      <c r="C4225" s="8">
        <f>IFERROR(__xludf.DUMMYFUNCTION("""COMPUTED_VALUE"""),0.0)</f>
        <v>0</v>
      </c>
      <c r="D4225" s="8"/>
    </row>
    <row r="4226">
      <c r="A4226" s="9" t="str">
        <f>IFERROR(__xludf.DUMMYFUNCTION("""COMPUTED_VALUE"""),"Batch 253")</f>
        <v>Batch 253</v>
      </c>
      <c r="B4226" s="9" t="str">
        <f>IFERROR(__xludf.DUMMYFUNCTION("""COMPUTED_VALUE"""),"AarohiSC253")</f>
        <v>AarohiSC253</v>
      </c>
      <c r="C4226" s="8">
        <f>IFERROR(__xludf.DUMMYFUNCTION("""COMPUTED_VALUE"""),0.0)</f>
        <v>0</v>
      </c>
      <c r="D4226" s="8"/>
    </row>
    <row r="4227">
      <c r="A4227" s="9" t="str">
        <f>IFERROR(__xludf.DUMMYFUNCTION("""COMPUTED_VALUE"""),"Batch 253")</f>
        <v>Batch 253</v>
      </c>
      <c r="B4227" s="9" t="str">
        <f>IFERROR(__xludf.DUMMYFUNCTION("""COMPUTED_VALUE"""),"LipsarC253")</f>
        <v>LipsarC253</v>
      </c>
      <c r="C4227" s="8">
        <f>IFERROR(__xludf.DUMMYFUNCTION("""COMPUTED_VALUE"""),81.0)</f>
        <v>81</v>
      </c>
      <c r="D4227" s="8">
        <f>IFERROR(__xludf.DUMMYFUNCTION("""COMPUTED_VALUE"""),43.0)</f>
        <v>43</v>
      </c>
    </row>
    <row r="4228">
      <c r="A4228" s="9" t="str">
        <f>IFERROR(__xludf.DUMMYFUNCTION("""COMPUTED_VALUE"""),"Batch 253")</f>
        <v>Batch 253</v>
      </c>
      <c r="B4228" s="9" t="str">
        <f>IFERROR(__xludf.DUMMYFUNCTION("""COMPUTED_VALUE"""),"SUHANAMC253")</f>
        <v>SUHANAMC253</v>
      </c>
      <c r="C4228" s="8">
        <f>IFERROR(__xludf.DUMMYFUNCTION("""COMPUTED_VALUE"""),0.0)</f>
        <v>0</v>
      </c>
      <c r="D4228" s="8"/>
    </row>
    <row r="4229">
      <c r="A4229" s="9" t="str">
        <f>IFERROR(__xludf.DUMMYFUNCTION("""COMPUTED_VALUE"""),"Batch 253")</f>
        <v>Batch 253</v>
      </c>
      <c r="B4229" s="9" t="str">
        <f>IFERROR(__xludf.DUMMYFUNCTION("""COMPUTED_VALUE"""),"VaishnaviPC253")</f>
        <v>VaishnaviPC253</v>
      </c>
      <c r="C4229" s="8">
        <f>IFERROR(__xludf.DUMMYFUNCTION("""COMPUTED_VALUE"""),0.0)</f>
        <v>0</v>
      </c>
      <c r="D4229" s="8"/>
    </row>
    <row r="4230">
      <c r="A4230" s="9" t="str">
        <f>IFERROR(__xludf.DUMMYFUNCTION("""COMPUTED_VALUE"""),"Batch 253")</f>
        <v>Batch 253</v>
      </c>
      <c r="B4230" s="9" t="str">
        <f>IFERROR(__xludf.DUMMYFUNCTION("""COMPUTED_VALUE"""),"ShwetaMC253")</f>
        <v>ShwetaMC253</v>
      </c>
      <c r="C4230" s="8">
        <f>IFERROR(__xludf.DUMMYFUNCTION("""COMPUTED_VALUE"""),0.0)</f>
        <v>0</v>
      </c>
      <c r="D4230" s="8"/>
    </row>
    <row r="4231">
      <c r="A4231" s="9" t="str">
        <f>IFERROR(__xludf.DUMMYFUNCTION("""COMPUTED_VALUE"""),"Batch 253")</f>
        <v>Batch 253</v>
      </c>
      <c r="B4231" s="9" t="str">
        <f>IFERROR(__xludf.DUMMYFUNCTION("""COMPUTED_VALUE"""),"AdritaLC253")</f>
        <v>AdritaLC253</v>
      </c>
      <c r="C4231" s="8">
        <f>IFERROR(__xludf.DUMMYFUNCTION("""COMPUTED_VALUE"""),0.0)</f>
        <v>0</v>
      </c>
      <c r="D4231" s="8"/>
    </row>
    <row r="4232">
      <c r="A4232" s="9" t="str">
        <f>IFERROR(__xludf.DUMMYFUNCTION("""COMPUTED_VALUE"""),"Batch 253")</f>
        <v>Batch 253</v>
      </c>
      <c r="B4232" s="9" t="str">
        <f>IFERROR(__xludf.DUMMYFUNCTION("""COMPUTED_VALUE"""),"TanishqJC253")</f>
        <v>TanishqJC253</v>
      </c>
      <c r="C4232" s="8">
        <f>IFERROR(__xludf.DUMMYFUNCTION("""COMPUTED_VALUE"""),0.0)</f>
        <v>0</v>
      </c>
      <c r="D4232" s="8"/>
    </row>
    <row r="4233">
      <c r="A4233" s="9" t="str">
        <f>IFERROR(__xludf.DUMMYFUNCTION("""COMPUTED_VALUE"""),"Batch 253")</f>
        <v>Batch 253</v>
      </c>
      <c r="B4233" s="9" t="str">
        <f>IFERROR(__xludf.DUMMYFUNCTION("""COMPUTED_VALUE"""),"Jama.C253")</f>
        <v>Jama.C253</v>
      </c>
      <c r="C4233" s="8">
        <f>IFERROR(__xludf.DUMMYFUNCTION("""COMPUTED_VALUE"""),0.0)</f>
        <v>0</v>
      </c>
      <c r="D4233" s="8"/>
    </row>
    <row r="4234">
      <c r="A4234" s="9" t="str">
        <f>IFERROR(__xludf.DUMMYFUNCTION("""COMPUTED_VALUE"""),"Batch 253")</f>
        <v>Batch 253</v>
      </c>
      <c r="B4234" s="9" t="str">
        <f>IFERROR(__xludf.DUMMYFUNCTION("""COMPUTED_VALUE"""),"KhushiKC253")</f>
        <v>KhushiKC253</v>
      </c>
      <c r="C4234" s="8">
        <f>IFERROR(__xludf.DUMMYFUNCTION("""COMPUTED_VALUE"""),0.0)</f>
        <v>0</v>
      </c>
      <c r="D4234" s="8"/>
    </row>
    <row r="4235">
      <c r="A4235" s="9" t="str">
        <f>IFERROR(__xludf.DUMMYFUNCTION("""COMPUTED_VALUE"""),"Batch 253")</f>
        <v>Batch 253</v>
      </c>
      <c r="B4235" s="9" t="str">
        <f>IFERROR(__xludf.DUMMYFUNCTION("""COMPUTED_VALUE"""),"zainabIC253")</f>
        <v>zainabIC253</v>
      </c>
      <c r="C4235" s="8">
        <f>IFERROR(__xludf.DUMMYFUNCTION("""COMPUTED_VALUE"""),0.0)</f>
        <v>0</v>
      </c>
      <c r="D4235" s="8"/>
    </row>
    <row r="4236">
      <c r="A4236" s="9" t="str">
        <f>IFERROR(__xludf.DUMMYFUNCTION("""COMPUTED_VALUE"""),"Batch 253")</f>
        <v>Batch 253</v>
      </c>
      <c r="B4236" s="9" t="str">
        <f>IFERROR(__xludf.DUMMYFUNCTION("""COMPUTED_VALUE"""),"PujaC253")</f>
        <v>PujaC253</v>
      </c>
      <c r="C4236" s="8">
        <f>IFERROR(__xludf.DUMMYFUNCTION("""COMPUTED_VALUE"""),4.0)</f>
        <v>4</v>
      </c>
      <c r="D4236" s="8"/>
    </row>
    <row r="4237">
      <c r="A4237" s="9" t="str">
        <f>IFERROR(__xludf.DUMMYFUNCTION("""COMPUTED_VALUE"""),"Batch 253")</f>
        <v>Batch 253</v>
      </c>
      <c r="B4237" s="9" t="str">
        <f>IFERROR(__xludf.DUMMYFUNCTION("""COMPUTED_VALUE"""),"MaribMC253")</f>
        <v>MaribMC253</v>
      </c>
      <c r="C4237" s="8">
        <f>IFERROR(__xludf.DUMMYFUNCTION("""COMPUTED_VALUE"""),0.0)</f>
        <v>0</v>
      </c>
      <c r="D4237" s="8"/>
    </row>
    <row r="4238">
      <c r="A4238" s="9" t="str">
        <f>IFERROR(__xludf.DUMMYFUNCTION("""COMPUTED_VALUE"""),"Batch 253")</f>
        <v>Batch 253</v>
      </c>
      <c r="B4238" s="9" t="str">
        <f>IFERROR(__xludf.DUMMYFUNCTION("""COMPUTED_VALUE"""),"HarshithaJC253")</f>
        <v>HarshithaJC253</v>
      </c>
      <c r="C4238" s="8">
        <f>IFERROR(__xludf.DUMMYFUNCTION("""COMPUTED_VALUE"""),0.0)</f>
        <v>0</v>
      </c>
      <c r="D4238" s="8"/>
    </row>
    <row r="4239">
      <c r="A4239" s="9" t="str">
        <f>IFERROR(__xludf.DUMMYFUNCTION("""COMPUTED_VALUE"""),"Batch 253")</f>
        <v>Batch 253</v>
      </c>
      <c r="B4239" s="9" t="str">
        <f>IFERROR(__xludf.DUMMYFUNCTION("""COMPUTED_VALUE"""),"FarhatAC253")</f>
        <v>FarhatAC253</v>
      </c>
      <c r="C4239" s="8">
        <f>IFERROR(__xludf.DUMMYFUNCTION("""COMPUTED_VALUE"""),4.0)</f>
        <v>4</v>
      </c>
      <c r="D4239" s="8"/>
    </row>
    <row r="4240">
      <c r="A4240" s="9" t="str">
        <f>IFERROR(__xludf.DUMMYFUNCTION("""COMPUTED_VALUE"""),"Batch 253")</f>
        <v>Batch 253</v>
      </c>
      <c r="B4240" s="9" t="str">
        <f>IFERROR(__xludf.DUMMYFUNCTION("""COMPUTED_VALUE"""),"SakshamrC253")</f>
        <v>SakshamrC253</v>
      </c>
      <c r="C4240" s="8">
        <f>IFERROR(__xludf.DUMMYFUNCTION("""COMPUTED_VALUE"""),0.0)</f>
        <v>0</v>
      </c>
      <c r="D4240" s="8"/>
    </row>
    <row r="4241">
      <c r="A4241" s="9" t="str">
        <f>IFERROR(__xludf.DUMMYFUNCTION("""COMPUTED_VALUE"""),"Batch 253")</f>
        <v>Batch 253</v>
      </c>
      <c r="B4241" s="9" t="str">
        <f>IFERROR(__xludf.DUMMYFUNCTION("""COMPUTED_VALUE"""),"VaishnaviSC253")</f>
        <v>VaishnaviSC253</v>
      </c>
      <c r="C4241" s="8">
        <f>IFERROR(__xludf.DUMMYFUNCTION("""COMPUTED_VALUE"""),0.0)</f>
        <v>0</v>
      </c>
      <c r="D4241" s="8"/>
    </row>
    <row r="4242">
      <c r="A4242" s="9" t="str">
        <f>IFERROR(__xludf.DUMMYFUNCTION("""COMPUTED_VALUE"""),"Batch 253")</f>
        <v>Batch 253</v>
      </c>
      <c r="B4242" s="9" t="str">
        <f>IFERROR(__xludf.DUMMYFUNCTION("""COMPUTED_VALUE"""),"JhanviC253")</f>
        <v>JhanviC253</v>
      </c>
      <c r="C4242" s="8">
        <f>IFERROR(__xludf.DUMMYFUNCTION("""COMPUTED_VALUE"""),0.0)</f>
        <v>0</v>
      </c>
      <c r="D4242" s="8"/>
    </row>
    <row r="4243">
      <c r="A4243" s="9" t="str">
        <f>IFERROR(__xludf.DUMMYFUNCTION("""COMPUTED_VALUE"""),"Batch 253")</f>
        <v>Batch 253</v>
      </c>
      <c r="B4243" s="9" t="str">
        <f>IFERROR(__xludf.DUMMYFUNCTION("""COMPUTED_VALUE"""),"ShaynaSC253")</f>
        <v>ShaynaSC253</v>
      </c>
      <c r="C4243" s="8">
        <f>IFERROR(__xludf.DUMMYFUNCTION("""COMPUTED_VALUE"""),0.0)</f>
        <v>0</v>
      </c>
      <c r="D4243" s="8"/>
    </row>
    <row r="4244">
      <c r="A4244" s="9" t="str">
        <f>IFERROR(__xludf.DUMMYFUNCTION("""COMPUTED_VALUE"""),"Batch 253")</f>
        <v>Batch 253</v>
      </c>
      <c r="B4244" s="9" t="str">
        <f>IFERROR(__xludf.DUMMYFUNCTION("""COMPUTED_VALUE"""),"RajSC253")</f>
        <v>RajSC253</v>
      </c>
      <c r="C4244" s="8">
        <f>IFERROR(__xludf.DUMMYFUNCTION("""COMPUTED_VALUE"""),0.0)</f>
        <v>0</v>
      </c>
      <c r="D4244" s="8"/>
    </row>
    <row r="4245">
      <c r="A4245" s="9" t="str">
        <f>IFERROR(__xludf.DUMMYFUNCTION("""COMPUTED_VALUE"""),"Batch 253")</f>
        <v>Batch 253</v>
      </c>
      <c r="B4245" s="9" t="str">
        <f>IFERROR(__xludf.DUMMYFUNCTION("""COMPUTED_VALUE"""),"MahavirC253")</f>
        <v>MahavirC253</v>
      </c>
      <c r="C4245" s="8">
        <f>IFERROR(__xludf.DUMMYFUNCTION("""COMPUTED_VALUE"""),0.0)</f>
        <v>0</v>
      </c>
      <c r="D4245" s="8"/>
    </row>
    <row r="4246">
      <c r="A4246" s="9" t="str">
        <f>IFERROR(__xludf.DUMMYFUNCTION("""COMPUTED_VALUE"""),"Batch 253")</f>
        <v>Batch 253</v>
      </c>
      <c r="B4246" s="9"/>
      <c r="C4246" s="8">
        <f>IFERROR(__xludf.DUMMYFUNCTION("""COMPUTED_VALUE"""),0.0)</f>
        <v>0</v>
      </c>
      <c r="D4246" s="8"/>
    </row>
    <row r="4247">
      <c r="A4247" s="9" t="str">
        <f>IFERROR(__xludf.DUMMYFUNCTION("""COMPUTED_VALUE"""),"Batch 253")</f>
        <v>Batch 253</v>
      </c>
      <c r="B4247" s="9" t="str">
        <f>IFERROR(__xludf.DUMMYFUNCTION("""COMPUTED_VALUE"""),"AnjaliTC253")</f>
        <v>AnjaliTC253</v>
      </c>
      <c r="C4247" s="8">
        <f>IFERROR(__xludf.DUMMYFUNCTION("""COMPUTED_VALUE"""),0.0)</f>
        <v>0</v>
      </c>
      <c r="D4247" s="8"/>
    </row>
    <row r="4248">
      <c r="A4248" s="9" t="str">
        <f>IFERROR(__xludf.DUMMYFUNCTION("""COMPUTED_VALUE"""),"Batch 253")</f>
        <v>Batch 253</v>
      </c>
      <c r="B4248" s="9" t="str">
        <f>IFERROR(__xludf.DUMMYFUNCTION("""COMPUTED_VALUE"""),"DeepalimC253")</f>
        <v>DeepalimC253</v>
      </c>
      <c r="C4248" s="8">
        <f>IFERROR(__xludf.DUMMYFUNCTION("""COMPUTED_VALUE"""),2.0)</f>
        <v>2</v>
      </c>
      <c r="D4248" s="8"/>
    </row>
    <row r="4249">
      <c r="A4249" s="9" t="str">
        <f>IFERROR(__xludf.DUMMYFUNCTION("""COMPUTED_VALUE"""),"Batch 253")</f>
        <v>Batch 253</v>
      </c>
      <c r="B4249" s="9" t="str">
        <f>IFERROR(__xludf.DUMMYFUNCTION("""COMPUTED_VALUE"""),"RvC253")</f>
        <v>RvC253</v>
      </c>
      <c r="C4249" s="8">
        <f>IFERROR(__xludf.DUMMYFUNCTION("""COMPUTED_VALUE"""),1.0)</f>
        <v>1</v>
      </c>
      <c r="D4249" s="8"/>
    </row>
    <row r="4250">
      <c r="A4250" s="9" t="str">
        <f>IFERROR(__xludf.DUMMYFUNCTION("""COMPUTED_VALUE"""),"Batch 253")</f>
        <v>Batch 253</v>
      </c>
      <c r="B4250" s="9" t="str">
        <f>IFERROR(__xludf.DUMMYFUNCTION("""COMPUTED_VALUE"""),"ViswaSC253")</f>
        <v>ViswaSC253</v>
      </c>
      <c r="C4250" s="8">
        <f>IFERROR(__xludf.DUMMYFUNCTION("""COMPUTED_VALUE"""),0.0)</f>
        <v>0</v>
      </c>
      <c r="D4250" s="8"/>
    </row>
    <row r="4251">
      <c r="A4251" s="9" t="str">
        <f>IFERROR(__xludf.DUMMYFUNCTION("""COMPUTED_VALUE"""),"Batch 253")</f>
        <v>Batch 253</v>
      </c>
      <c r="B4251" s="9" t="str">
        <f>IFERROR(__xludf.DUMMYFUNCTION("""COMPUTED_VALUE"""),"AbhishekSC253")</f>
        <v>AbhishekSC253</v>
      </c>
      <c r="C4251" s="8">
        <f>IFERROR(__xludf.DUMMYFUNCTION("""COMPUTED_VALUE"""),0.0)</f>
        <v>0</v>
      </c>
      <c r="D4251" s="8"/>
    </row>
    <row r="4252">
      <c r="A4252" s="9" t="str">
        <f>IFERROR(__xludf.DUMMYFUNCTION("""COMPUTED_VALUE"""),"Batch 253")</f>
        <v>Batch 253</v>
      </c>
      <c r="B4252" s="9" t="str">
        <f>IFERROR(__xludf.DUMMYFUNCTION("""COMPUTED_VALUE"""),"NidhisC253")</f>
        <v>NidhisC253</v>
      </c>
      <c r="C4252" s="8">
        <f>IFERROR(__xludf.DUMMYFUNCTION("""COMPUTED_VALUE"""),2.0)</f>
        <v>2</v>
      </c>
      <c r="D4252" s="8"/>
    </row>
    <row r="4253">
      <c r="A4253" s="9" t="str">
        <f>IFERROR(__xludf.DUMMYFUNCTION("""COMPUTED_VALUE"""),"Batch 253")</f>
        <v>Batch 253</v>
      </c>
      <c r="B4253" s="9" t="str">
        <f>IFERROR(__xludf.DUMMYFUNCTION("""COMPUTED_VALUE"""),"KaranYC253")</f>
        <v>KaranYC253</v>
      </c>
      <c r="C4253" s="8">
        <f>IFERROR(__xludf.DUMMYFUNCTION("""COMPUTED_VALUE"""),0.0)</f>
        <v>0</v>
      </c>
      <c r="D4253" s="8"/>
    </row>
    <row r="4254">
      <c r="A4254" s="9" t="str">
        <f>IFERROR(__xludf.DUMMYFUNCTION("""COMPUTED_VALUE"""),"Batch 253")</f>
        <v>Batch 253</v>
      </c>
      <c r="B4254" s="9" t="str">
        <f>IFERROR(__xludf.DUMMYFUNCTION("""COMPUTED_VALUE"""),"HarshitaMC253")</f>
        <v>HarshitaMC253</v>
      </c>
      <c r="C4254" s="8">
        <f>IFERROR(__xludf.DUMMYFUNCTION("""COMPUTED_VALUE"""),0.0)</f>
        <v>0</v>
      </c>
      <c r="D4254" s="8"/>
    </row>
    <row r="4255">
      <c r="A4255" s="9"/>
      <c r="B4255" s="9"/>
      <c r="C4255" s="8">
        <f>IFERROR(__xludf.DUMMYFUNCTION("""COMPUTED_VALUE"""),0.0)</f>
        <v>0</v>
      </c>
      <c r="D4255" s="8"/>
    </row>
    <row r="4256">
      <c r="A4256" s="9" t="str">
        <f>IFERROR(__xludf.DUMMYFUNCTION("""COMPUTED_VALUE"""),"Batch 254")</f>
        <v>Batch 254</v>
      </c>
      <c r="B4256" s="9" t="str">
        <f>IFERROR(__xludf.DUMMYFUNCTION("""COMPUTED_VALUE"""),"WaqarBC54")</f>
        <v>WaqarBC54</v>
      </c>
      <c r="C4256" s="8">
        <f>IFERROR(__xludf.DUMMYFUNCTION("""COMPUTED_VALUE"""),0.0)</f>
        <v>0</v>
      </c>
      <c r="D4256" s="8"/>
    </row>
    <row r="4257">
      <c r="A4257" s="9" t="str">
        <f>IFERROR(__xludf.DUMMYFUNCTION("""COMPUTED_VALUE"""),"Batch 254")</f>
        <v>Batch 254</v>
      </c>
      <c r="B4257" s="9" t="str">
        <f>IFERROR(__xludf.DUMMYFUNCTION("""COMPUTED_VALUE"""),"NoshinRC54")</f>
        <v>NoshinRC54</v>
      </c>
      <c r="C4257" s="8">
        <f>IFERROR(__xludf.DUMMYFUNCTION("""COMPUTED_VALUE"""),0.0)</f>
        <v>0</v>
      </c>
      <c r="D4257" s="8"/>
    </row>
    <row r="4258">
      <c r="A4258" s="9" t="str">
        <f>IFERROR(__xludf.DUMMYFUNCTION("""COMPUTED_VALUE"""),"Batch 254")</f>
        <v>Batch 254</v>
      </c>
      <c r="B4258" s="9" t="str">
        <f>IFERROR(__xludf.DUMMYFUNCTION("""COMPUTED_VALUE"""),"PAVANTC54")</f>
        <v>PAVANTC54</v>
      </c>
      <c r="C4258" s="8">
        <f>IFERROR(__xludf.DUMMYFUNCTION("""COMPUTED_VALUE"""),0.0)</f>
        <v>0</v>
      </c>
      <c r="D4258" s="8"/>
    </row>
    <row r="4259">
      <c r="A4259" s="9" t="str">
        <f>IFERROR(__xludf.DUMMYFUNCTION("""COMPUTED_VALUE"""),"Batch 254")</f>
        <v>Batch 254</v>
      </c>
      <c r="B4259" s="9" t="str">
        <f>IFERROR(__xludf.DUMMYFUNCTION("""COMPUTED_VALUE"""),"MSC54")</f>
        <v>MSC54</v>
      </c>
      <c r="C4259" s="8">
        <f>IFERROR(__xludf.DUMMYFUNCTION("""COMPUTED_VALUE"""),0.0)</f>
        <v>0</v>
      </c>
      <c r="D4259" s="8"/>
    </row>
    <row r="4260">
      <c r="A4260" s="9" t="str">
        <f>IFERROR(__xludf.DUMMYFUNCTION("""COMPUTED_VALUE"""),"Batch 254")</f>
        <v>Batch 254</v>
      </c>
      <c r="B4260" s="9" t="str">
        <f>IFERROR(__xludf.DUMMYFUNCTION("""COMPUTED_VALUE"""),"SarathC54")</f>
        <v>SarathC54</v>
      </c>
      <c r="C4260" s="8">
        <f>IFERROR(__xludf.DUMMYFUNCTION("""COMPUTED_VALUE"""),0.0)</f>
        <v>0</v>
      </c>
      <c r="D4260" s="8"/>
    </row>
    <row r="4261">
      <c r="A4261" s="9" t="str">
        <f>IFERROR(__xludf.DUMMYFUNCTION("""COMPUTED_VALUE"""),"Batch 254")</f>
        <v>Batch 254</v>
      </c>
      <c r="B4261" s="9" t="str">
        <f>IFERROR(__xludf.DUMMYFUNCTION("""COMPUTED_VALUE"""),"MuhammadSC54")</f>
        <v>MuhammadSC54</v>
      </c>
      <c r="C4261" s="8">
        <f>IFERROR(__xludf.DUMMYFUNCTION("""COMPUTED_VALUE"""),0.0)</f>
        <v>0</v>
      </c>
      <c r="D4261" s="8"/>
    </row>
    <row r="4262">
      <c r="A4262" s="9" t="str">
        <f>IFERROR(__xludf.DUMMYFUNCTION("""COMPUTED_VALUE"""),"Batch 254")</f>
        <v>Batch 254</v>
      </c>
      <c r="B4262" s="9" t="str">
        <f>IFERROR(__xludf.DUMMYFUNCTION("""COMPUTED_VALUE"""),"GauravC54")</f>
        <v>GauravC54</v>
      </c>
      <c r="C4262" s="8">
        <f>IFERROR(__xludf.DUMMYFUNCTION("""COMPUTED_VALUE"""),0.0)</f>
        <v>0</v>
      </c>
      <c r="D4262" s="8"/>
    </row>
    <row r="4263">
      <c r="A4263" s="9" t="str">
        <f>IFERROR(__xludf.DUMMYFUNCTION("""COMPUTED_VALUE"""),"Batch 254")</f>
        <v>Batch 254</v>
      </c>
      <c r="B4263" s="9" t="str">
        <f>IFERROR(__xludf.DUMMYFUNCTION("""COMPUTED_VALUE"""),"MridulHC54")</f>
        <v>MridulHC54</v>
      </c>
      <c r="C4263" s="8"/>
      <c r="D4263" s="8"/>
    </row>
    <row r="4264">
      <c r="A4264" s="9" t="str">
        <f>IFERROR(__xludf.DUMMYFUNCTION("""COMPUTED_VALUE"""),"Batch 254")</f>
        <v>Batch 254</v>
      </c>
      <c r="B4264" s="9" t="str">
        <f>IFERROR(__xludf.DUMMYFUNCTION("""COMPUTED_VALUE"""),"SneharC54")</f>
        <v>SneharC54</v>
      </c>
      <c r="C4264" s="8">
        <f>IFERROR(__xludf.DUMMYFUNCTION("""COMPUTED_VALUE"""),0.0)</f>
        <v>0</v>
      </c>
      <c r="D4264" s="8"/>
    </row>
    <row r="4265">
      <c r="A4265" s="9" t="str">
        <f>IFERROR(__xludf.DUMMYFUNCTION("""COMPUTED_VALUE"""),"Batch 254")</f>
        <v>Batch 254</v>
      </c>
      <c r="B4265" s="9" t="str">
        <f>IFERROR(__xludf.DUMMYFUNCTION("""COMPUTED_VALUE"""),"ZeelSC54")</f>
        <v>ZeelSC54</v>
      </c>
      <c r="C4265" s="8">
        <f>IFERROR(__xludf.DUMMYFUNCTION("""COMPUTED_VALUE"""),0.0)</f>
        <v>0</v>
      </c>
      <c r="D4265" s="8"/>
    </row>
    <row r="4266">
      <c r="A4266" s="9" t="str">
        <f>IFERROR(__xludf.DUMMYFUNCTION("""COMPUTED_VALUE"""),"Batch 254")</f>
        <v>Batch 254</v>
      </c>
      <c r="B4266" s="9" t="str">
        <f>IFERROR(__xludf.DUMMYFUNCTION("""COMPUTED_VALUE"""),"PronabdC54")</f>
        <v>PronabdC54</v>
      </c>
      <c r="C4266" s="8">
        <f>IFERROR(__xludf.DUMMYFUNCTION("""COMPUTED_VALUE"""),0.0)</f>
        <v>0</v>
      </c>
      <c r="D4266" s="8"/>
    </row>
    <row r="4267">
      <c r="A4267" s="9" t="str">
        <f>IFERROR(__xludf.DUMMYFUNCTION("""COMPUTED_VALUE"""),"Batch 254")</f>
        <v>Batch 254</v>
      </c>
      <c r="B4267" s="9" t="str">
        <f>IFERROR(__xludf.DUMMYFUNCTION("""COMPUTED_VALUE"""),"UdayC54")</f>
        <v>UdayC54</v>
      </c>
      <c r="C4267" s="8">
        <f>IFERROR(__xludf.DUMMYFUNCTION("""COMPUTED_VALUE"""),0.0)</f>
        <v>0</v>
      </c>
      <c r="D4267" s="8"/>
    </row>
    <row r="4268">
      <c r="A4268" s="9" t="str">
        <f>IFERROR(__xludf.DUMMYFUNCTION("""COMPUTED_VALUE"""),"Batch 254")</f>
        <v>Batch 254</v>
      </c>
      <c r="B4268" s="9" t="str">
        <f>IFERROR(__xludf.DUMMYFUNCTION("""COMPUTED_VALUE"""),"HasnaIC54")</f>
        <v>HasnaIC54</v>
      </c>
      <c r="C4268" s="8">
        <f>IFERROR(__xludf.DUMMYFUNCTION("""COMPUTED_VALUE"""),0.0)</f>
        <v>0</v>
      </c>
      <c r="D4268" s="8"/>
    </row>
    <row r="4269">
      <c r="A4269" s="9" t="str">
        <f>IFERROR(__xludf.DUMMYFUNCTION("""COMPUTED_VALUE"""),"Batch 254")</f>
        <v>Batch 254</v>
      </c>
      <c r="B4269" s="9" t="str">
        <f>IFERROR(__xludf.DUMMYFUNCTION("""COMPUTED_VALUE"""),"ShivamBC54")</f>
        <v>ShivamBC54</v>
      </c>
      <c r="C4269" s="8">
        <f>IFERROR(__xludf.DUMMYFUNCTION("""COMPUTED_VALUE"""),0.0)</f>
        <v>0</v>
      </c>
      <c r="D4269" s="8"/>
    </row>
    <row r="4270">
      <c r="A4270" s="9" t="str">
        <f>IFERROR(__xludf.DUMMYFUNCTION("""COMPUTED_VALUE"""),"Batch 254")</f>
        <v>Batch 254</v>
      </c>
      <c r="B4270" s="9" t="str">
        <f>IFERROR(__xludf.DUMMYFUNCTION("""COMPUTED_VALUE"""),"NimitjC54")</f>
        <v>NimitjC54</v>
      </c>
      <c r="C4270" s="8">
        <f>IFERROR(__xludf.DUMMYFUNCTION("""COMPUTED_VALUE"""),0.0)</f>
        <v>0</v>
      </c>
      <c r="D4270" s="8"/>
    </row>
    <row r="4271">
      <c r="A4271" s="9" t="str">
        <f>IFERROR(__xludf.DUMMYFUNCTION("""COMPUTED_VALUE"""),"Batch 254")</f>
        <v>Batch 254</v>
      </c>
      <c r="B4271" s="9" t="str">
        <f>IFERROR(__xludf.DUMMYFUNCTION("""COMPUTED_VALUE"""),"AshwareetBC54")</f>
        <v>AshwareetBC54</v>
      </c>
      <c r="C4271" s="8">
        <f>IFERROR(__xludf.DUMMYFUNCTION("""COMPUTED_VALUE"""),11.0)</f>
        <v>11</v>
      </c>
      <c r="D4271" s="8"/>
    </row>
    <row r="4272">
      <c r="A4272" s="9" t="str">
        <f>IFERROR(__xludf.DUMMYFUNCTION("""COMPUTED_VALUE"""),"Batch 254")</f>
        <v>Batch 254</v>
      </c>
      <c r="B4272" s="9" t="str">
        <f>IFERROR(__xludf.DUMMYFUNCTION("""COMPUTED_VALUE"""),"AngelMC54")</f>
        <v>AngelMC54</v>
      </c>
      <c r="C4272" s="8">
        <f>IFERROR(__xludf.DUMMYFUNCTION("""COMPUTED_VALUE"""),0.0)</f>
        <v>0</v>
      </c>
      <c r="D4272" s="8"/>
    </row>
    <row r="4273">
      <c r="A4273" s="9" t="str">
        <f>IFERROR(__xludf.DUMMYFUNCTION("""COMPUTED_VALUE"""),"Batch 254")</f>
        <v>Batch 254</v>
      </c>
      <c r="B4273" s="9" t="str">
        <f>IFERROR(__xludf.DUMMYFUNCTION("""COMPUTED_VALUE"""),"PrachiGC54")</f>
        <v>PrachiGC54</v>
      </c>
      <c r="C4273" s="8">
        <f>IFERROR(__xludf.DUMMYFUNCTION("""COMPUTED_VALUE"""),0.0)</f>
        <v>0</v>
      </c>
      <c r="D4273" s="8"/>
    </row>
    <row r="4274">
      <c r="A4274" s="9" t="str">
        <f>IFERROR(__xludf.DUMMYFUNCTION("""COMPUTED_VALUE"""),"Batch 254")</f>
        <v>Batch 254</v>
      </c>
      <c r="B4274" s="9" t="str">
        <f>IFERROR(__xludf.DUMMYFUNCTION("""COMPUTED_VALUE"""),"AnshikaC54")</f>
        <v>AnshikaC54</v>
      </c>
      <c r="C4274" s="8">
        <f>IFERROR(__xludf.DUMMYFUNCTION("""COMPUTED_VALUE"""),0.0)</f>
        <v>0</v>
      </c>
      <c r="D4274" s="8"/>
    </row>
    <row r="4275">
      <c r="A4275" s="9" t="str">
        <f>IFERROR(__xludf.DUMMYFUNCTION("""COMPUTED_VALUE"""),"Batch 254")</f>
        <v>Batch 254</v>
      </c>
      <c r="B4275" s="9" t="str">
        <f>IFERROR(__xludf.DUMMYFUNCTION("""COMPUTED_VALUE"""),"AryaMC54")</f>
        <v>AryaMC54</v>
      </c>
      <c r="C4275" s="8">
        <f>IFERROR(__xludf.DUMMYFUNCTION("""COMPUTED_VALUE"""),0.0)</f>
        <v>0</v>
      </c>
      <c r="D4275" s="8"/>
    </row>
    <row r="4276">
      <c r="A4276" s="9" t="str">
        <f>IFERROR(__xludf.DUMMYFUNCTION("""COMPUTED_VALUE"""),"Batch 254")</f>
        <v>Batch 254</v>
      </c>
      <c r="B4276" s="9" t="str">
        <f>IFERROR(__xludf.DUMMYFUNCTION("""COMPUTED_VALUE"""),"SouradipmC54")</f>
        <v>SouradipmC54</v>
      </c>
      <c r="C4276" s="8">
        <f>IFERROR(__xludf.DUMMYFUNCTION("""COMPUTED_VALUE"""),0.0)</f>
        <v>0</v>
      </c>
      <c r="D4276" s="8"/>
    </row>
    <row r="4277">
      <c r="A4277" s="9" t="str">
        <f>IFERROR(__xludf.DUMMYFUNCTION("""COMPUTED_VALUE"""),"Batch 254")</f>
        <v>Batch 254</v>
      </c>
      <c r="B4277" s="9" t="str">
        <f>IFERROR(__xludf.DUMMYFUNCTION("""COMPUTED_VALUE"""),"ShubhamKC54")</f>
        <v>ShubhamKC54</v>
      </c>
      <c r="C4277" s="8">
        <f>IFERROR(__xludf.DUMMYFUNCTION("""COMPUTED_VALUE"""),4.0)</f>
        <v>4</v>
      </c>
      <c r="D4277" s="8"/>
    </row>
    <row r="4278">
      <c r="A4278" s="9" t="str">
        <f>IFERROR(__xludf.DUMMYFUNCTION("""COMPUTED_VALUE"""),"Batch 254")</f>
        <v>Batch 254</v>
      </c>
      <c r="B4278" s="9" t="str">
        <f>IFERROR(__xludf.DUMMYFUNCTION("""COMPUTED_VALUE"""),"RuzaynsC54")</f>
        <v>RuzaynsC54</v>
      </c>
      <c r="C4278" s="8">
        <f>IFERROR(__xludf.DUMMYFUNCTION("""COMPUTED_VALUE"""),0.0)</f>
        <v>0</v>
      </c>
      <c r="D4278" s="8"/>
    </row>
    <row r="4279">
      <c r="A4279" s="9" t="str">
        <f>IFERROR(__xludf.DUMMYFUNCTION("""COMPUTED_VALUE"""),"Batch 254")</f>
        <v>Batch 254</v>
      </c>
      <c r="B4279" s="9" t="str">
        <f>IFERROR(__xludf.DUMMYFUNCTION("""COMPUTED_VALUE"""),"RashiGC54")</f>
        <v>RashiGC54</v>
      </c>
      <c r="C4279" s="8">
        <f>IFERROR(__xludf.DUMMYFUNCTION("""COMPUTED_VALUE"""),0.0)</f>
        <v>0</v>
      </c>
      <c r="D4279" s="8"/>
    </row>
    <row r="4280">
      <c r="A4280" s="9" t="str">
        <f>IFERROR(__xludf.DUMMYFUNCTION("""COMPUTED_VALUE"""),"Batch 254")</f>
        <v>Batch 254</v>
      </c>
      <c r="B4280" s="9" t="str">
        <f>IFERROR(__xludf.DUMMYFUNCTION("""COMPUTED_VALUE"""),"AimanMC54")</f>
        <v>AimanMC54</v>
      </c>
      <c r="C4280" s="8">
        <f>IFERROR(__xludf.DUMMYFUNCTION("""COMPUTED_VALUE"""),1.0)</f>
        <v>1</v>
      </c>
      <c r="D4280" s="8"/>
    </row>
    <row r="4281">
      <c r="A4281" s="9" t="str">
        <f>IFERROR(__xludf.DUMMYFUNCTION("""COMPUTED_VALUE"""),"Batch 254")</f>
        <v>Batch 254</v>
      </c>
      <c r="B4281" s="9" t="str">
        <f>IFERROR(__xludf.DUMMYFUNCTION("""COMPUTED_VALUE"""),"KousthubC54")</f>
        <v>KousthubC54</v>
      </c>
      <c r="C4281" s="8">
        <f>IFERROR(__xludf.DUMMYFUNCTION("""COMPUTED_VALUE"""),2.0)</f>
        <v>2</v>
      </c>
      <c r="D4281" s="8"/>
    </row>
    <row r="4282">
      <c r="A4282" s="9" t="str">
        <f>IFERROR(__xludf.DUMMYFUNCTION("""COMPUTED_VALUE"""),"Batch 254")</f>
        <v>Batch 254</v>
      </c>
      <c r="B4282" s="9" t="str">
        <f>IFERROR(__xludf.DUMMYFUNCTION("""COMPUTED_VALUE"""),"MuskanC54")</f>
        <v>MuskanC54</v>
      </c>
      <c r="C4282" s="8">
        <f>IFERROR(__xludf.DUMMYFUNCTION("""COMPUTED_VALUE"""),26.0)</f>
        <v>26</v>
      </c>
      <c r="D4282" s="8"/>
    </row>
    <row r="4283">
      <c r="A4283" s="9" t="str">
        <f>IFERROR(__xludf.DUMMYFUNCTION("""COMPUTED_VALUE"""),"Batch 254")</f>
        <v>Batch 254</v>
      </c>
      <c r="B4283" s="9" t="str">
        <f>IFERROR(__xludf.DUMMYFUNCTION("""COMPUTED_VALUE"""),"CharuC54")</f>
        <v>CharuC54</v>
      </c>
      <c r="C4283" s="8">
        <f>IFERROR(__xludf.DUMMYFUNCTION("""COMPUTED_VALUE"""),1.0)</f>
        <v>1</v>
      </c>
      <c r="D4283" s="8"/>
    </row>
    <row r="4284">
      <c r="A4284" s="9" t="str">
        <f>IFERROR(__xludf.DUMMYFUNCTION("""COMPUTED_VALUE"""),"Batch 254")</f>
        <v>Batch 254</v>
      </c>
      <c r="B4284" s="9" t="str">
        <f>IFERROR(__xludf.DUMMYFUNCTION("""COMPUTED_VALUE"""),"RiyaAC54")</f>
        <v>RiyaAC54</v>
      </c>
      <c r="C4284" s="8">
        <f>IFERROR(__xludf.DUMMYFUNCTION("""COMPUTED_VALUE"""),15.0)</f>
        <v>15</v>
      </c>
      <c r="D4284" s="8">
        <f>IFERROR(__xludf.DUMMYFUNCTION("""COMPUTED_VALUE"""),10.0)</f>
        <v>10</v>
      </c>
    </row>
    <row r="4285">
      <c r="A4285" s="9" t="str">
        <f>IFERROR(__xludf.DUMMYFUNCTION("""COMPUTED_VALUE"""),"Batch 254")</f>
        <v>Batch 254</v>
      </c>
      <c r="B4285" s="9" t="str">
        <f>IFERROR(__xludf.DUMMYFUNCTION("""COMPUTED_VALUE"""),"ParthSC54")</f>
        <v>ParthSC54</v>
      </c>
      <c r="C4285" s="8">
        <f>IFERROR(__xludf.DUMMYFUNCTION("""COMPUTED_VALUE"""),0.0)</f>
        <v>0</v>
      </c>
      <c r="D4285" s="8"/>
    </row>
    <row r="4286">
      <c r="A4286" s="9" t="str">
        <f>IFERROR(__xludf.DUMMYFUNCTION("""COMPUTED_VALUE"""),"Batch 254")</f>
        <v>Batch 254</v>
      </c>
      <c r="B4286" s="9" t="str">
        <f>IFERROR(__xludf.DUMMYFUNCTION("""COMPUTED_VALUE"""),"KhushiMC54")</f>
        <v>KhushiMC54</v>
      </c>
      <c r="C4286" s="8">
        <f>IFERROR(__xludf.DUMMYFUNCTION("""COMPUTED_VALUE"""),0.0)</f>
        <v>0</v>
      </c>
      <c r="D4286" s="8"/>
    </row>
    <row r="4287">
      <c r="A4287" s="9" t="str">
        <f>IFERROR(__xludf.DUMMYFUNCTION("""COMPUTED_VALUE"""),"Batch 254")</f>
        <v>Batch 254</v>
      </c>
      <c r="B4287" s="9" t="str">
        <f>IFERROR(__xludf.DUMMYFUNCTION("""COMPUTED_VALUE"""),"DevikaMC54")</f>
        <v>DevikaMC54</v>
      </c>
      <c r="C4287" s="8">
        <f>IFERROR(__xludf.DUMMYFUNCTION("""COMPUTED_VALUE"""),0.0)</f>
        <v>0</v>
      </c>
      <c r="D4287" s="8"/>
    </row>
    <row r="4288">
      <c r="A4288" s="9" t="str">
        <f>IFERROR(__xludf.DUMMYFUNCTION("""COMPUTED_VALUE"""),"Batch 254")</f>
        <v>Batch 254</v>
      </c>
      <c r="B4288" s="9" t="str">
        <f>IFERROR(__xludf.DUMMYFUNCTION("""COMPUTED_VALUE"""),"AyushKC54")</f>
        <v>AyushKC54</v>
      </c>
      <c r="C4288" s="8">
        <f>IFERROR(__xludf.DUMMYFUNCTION("""COMPUTED_VALUE"""),0.0)</f>
        <v>0</v>
      </c>
      <c r="D4288" s="8"/>
    </row>
    <row r="4289">
      <c r="A4289" s="9" t="str">
        <f>IFERROR(__xludf.DUMMYFUNCTION("""COMPUTED_VALUE"""),"Batch 254")</f>
        <v>Batch 254</v>
      </c>
      <c r="B4289" s="9" t="str">
        <f>IFERROR(__xludf.DUMMYFUNCTION("""COMPUTED_VALUE"""),"GaurishSC54")</f>
        <v>GaurishSC54</v>
      </c>
      <c r="C4289" s="8">
        <f>IFERROR(__xludf.DUMMYFUNCTION("""COMPUTED_VALUE"""),0.0)</f>
        <v>0</v>
      </c>
      <c r="D4289" s="8"/>
    </row>
    <row r="4290">
      <c r="A4290" s="9" t="str">
        <f>IFERROR(__xludf.DUMMYFUNCTION("""COMPUTED_VALUE"""),"Batch 254")</f>
        <v>Batch 254</v>
      </c>
      <c r="B4290" s="9" t="str">
        <f>IFERROR(__xludf.DUMMYFUNCTION("""COMPUTED_VALUE"""),"AnanyaNC54")</f>
        <v>AnanyaNC54</v>
      </c>
      <c r="C4290" s="8">
        <f>IFERROR(__xludf.DUMMYFUNCTION("""COMPUTED_VALUE"""),0.0)</f>
        <v>0</v>
      </c>
      <c r="D4290" s="8"/>
    </row>
    <row r="4291">
      <c r="A4291" s="9" t="str">
        <f>IFERROR(__xludf.DUMMYFUNCTION("""COMPUTED_VALUE"""),"Batch 254")</f>
        <v>Batch 254</v>
      </c>
      <c r="B4291" s="9" t="str">
        <f>IFERROR(__xludf.DUMMYFUNCTION("""COMPUTED_VALUE"""),"AshaKC54")</f>
        <v>AshaKC54</v>
      </c>
      <c r="C4291" s="8">
        <f>IFERROR(__xludf.DUMMYFUNCTION("""COMPUTED_VALUE"""),2.0)</f>
        <v>2</v>
      </c>
      <c r="D4291" s="8"/>
    </row>
    <row r="4292">
      <c r="A4292" s="9" t="str">
        <f>IFERROR(__xludf.DUMMYFUNCTION("""COMPUTED_VALUE"""),"Batch 254")</f>
        <v>Batch 254</v>
      </c>
      <c r="B4292" s="9" t="str">
        <f>IFERROR(__xludf.DUMMYFUNCTION("""COMPUTED_VALUE"""),"MehakCC54")</f>
        <v>MehakCC54</v>
      </c>
      <c r="C4292" s="8">
        <f>IFERROR(__xludf.DUMMYFUNCTION("""COMPUTED_VALUE"""),0.0)</f>
        <v>0</v>
      </c>
      <c r="D4292" s="8"/>
    </row>
    <row r="4293">
      <c r="A4293" s="9"/>
      <c r="B4293" s="9"/>
      <c r="C4293" s="8">
        <f>IFERROR(__xludf.DUMMYFUNCTION("""COMPUTED_VALUE"""),0.0)</f>
        <v>0</v>
      </c>
      <c r="D4293" s="8"/>
    </row>
    <row r="4294">
      <c r="A4294" s="9" t="str">
        <f>IFERROR(__xludf.DUMMYFUNCTION("""COMPUTED_VALUE"""),"Batch 255")</f>
        <v>Batch 255</v>
      </c>
      <c r="B4294" s="9" t="str">
        <f>IFERROR(__xludf.DUMMYFUNCTION("""COMPUTED_VALUE"""),"AishwaryaC55")</f>
        <v>AishwaryaC55</v>
      </c>
      <c r="C4294" s="8">
        <f>IFERROR(__xludf.DUMMYFUNCTION("""COMPUTED_VALUE"""),0.0)</f>
        <v>0</v>
      </c>
      <c r="D4294" s="8"/>
    </row>
    <row r="4295">
      <c r="A4295" s="9" t="str">
        <f>IFERROR(__xludf.DUMMYFUNCTION("""COMPUTED_VALUE"""),"Batch 255")</f>
        <v>Batch 255</v>
      </c>
      <c r="B4295" s="9" t="str">
        <f>IFERROR(__xludf.DUMMYFUNCTION("""COMPUTED_VALUE"""),"JamaC55")</f>
        <v>JamaC55</v>
      </c>
      <c r="C4295" s="8">
        <f>IFERROR(__xludf.DUMMYFUNCTION("""COMPUTED_VALUE"""),0.0)</f>
        <v>0</v>
      </c>
      <c r="D4295" s="8"/>
    </row>
    <row r="4296">
      <c r="A4296" s="9" t="str">
        <f>IFERROR(__xludf.DUMMYFUNCTION("""COMPUTED_VALUE"""),"Batch 255")</f>
        <v>Batch 255</v>
      </c>
      <c r="B4296" s="9" t="str">
        <f>IFERROR(__xludf.DUMMYFUNCTION("""COMPUTED_VALUE"""),"MaribC55")</f>
        <v>MaribC55</v>
      </c>
      <c r="C4296" s="8">
        <f>IFERROR(__xludf.DUMMYFUNCTION("""COMPUTED_VALUE"""),5.0)</f>
        <v>5</v>
      </c>
      <c r="D4296" s="8"/>
    </row>
    <row r="4297">
      <c r="A4297" s="9" t="str">
        <f>IFERROR(__xludf.DUMMYFUNCTION("""COMPUTED_VALUE"""),"Batch 255")</f>
        <v>Batch 255</v>
      </c>
      <c r="B4297" s="9" t="str">
        <f>IFERROR(__xludf.DUMMYFUNCTION("""COMPUTED_VALUE"""),"VanshikaC55")</f>
        <v>VanshikaC55</v>
      </c>
      <c r="C4297" s="8">
        <f>IFERROR(__xludf.DUMMYFUNCTION("""COMPUTED_VALUE"""),0.0)</f>
        <v>0</v>
      </c>
      <c r="D4297" s="8"/>
    </row>
    <row r="4298">
      <c r="A4298" s="9" t="str">
        <f>IFERROR(__xludf.DUMMYFUNCTION("""COMPUTED_VALUE"""),"Batch 255")</f>
        <v>Batch 255</v>
      </c>
      <c r="B4298" s="9" t="str">
        <f>IFERROR(__xludf.DUMMYFUNCTION("""COMPUTED_VALUE"""),"KushagraC55")</f>
        <v>KushagraC55</v>
      </c>
      <c r="C4298" s="8">
        <f>IFERROR(__xludf.DUMMYFUNCTION("""COMPUTED_VALUE"""),0.0)</f>
        <v>0</v>
      </c>
      <c r="D4298" s="8"/>
    </row>
    <row r="4299">
      <c r="A4299" s="9" t="str">
        <f>IFERROR(__xludf.DUMMYFUNCTION("""COMPUTED_VALUE"""),"Batch 255")</f>
        <v>Batch 255</v>
      </c>
      <c r="B4299" s="9" t="str">
        <f>IFERROR(__xludf.DUMMYFUNCTION("""COMPUTED_VALUE"""),"TanishkC55")</f>
        <v>TanishkC55</v>
      </c>
      <c r="C4299" s="8">
        <f>IFERROR(__xludf.DUMMYFUNCTION("""COMPUTED_VALUE"""),0.0)</f>
        <v>0</v>
      </c>
      <c r="D4299" s="8"/>
    </row>
    <row r="4300">
      <c r="A4300" s="9" t="str">
        <f>IFERROR(__xludf.DUMMYFUNCTION("""COMPUTED_VALUE"""),"Batch 255")</f>
        <v>Batch 255</v>
      </c>
      <c r="B4300" s="9" t="str">
        <f>IFERROR(__xludf.DUMMYFUNCTION("""COMPUTED_VALUE"""),"ANUSHKAC55")</f>
        <v>ANUSHKAC55</v>
      </c>
      <c r="C4300" s="8">
        <f>IFERROR(__xludf.DUMMYFUNCTION("""COMPUTED_VALUE"""),23.0)</f>
        <v>23</v>
      </c>
      <c r="D4300" s="8">
        <f>IFERROR(__xludf.DUMMYFUNCTION("""COMPUTED_VALUE"""),8.0)</f>
        <v>8</v>
      </c>
    </row>
    <row r="4301">
      <c r="A4301" s="9" t="str">
        <f>IFERROR(__xludf.DUMMYFUNCTION("""COMPUTED_VALUE"""),"Batch 255")</f>
        <v>Batch 255</v>
      </c>
      <c r="B4301" s="9" t="str">
        <f>IFERROR(__xludf.DUMMYFUNCTION("""COMPUTED_VALUE"""),"BC55")</f>
        <v>BC55</v>
      </c>
      <c r="C4301" s="8">
        <f>IFERROR(__xludf.DUMMYFUNCTION("""COMPUTED_VALUE"""),6.0)</f>
        <v>6</v>
      </c>
      <c r="D4301" s="8"/>
    </row>
    <row r="4302">
      <c r="A4302" s="9" t="str">
        <f>IFERROR(__xludf.DUMMYFUNCTION("""COMPUTED_VALUE"""),"Batch 255")</f>
        <v>Batch 255</v>
      </c>
      <c r="B4302" s="9" t="str">
        <f>IFERROR(__xludf.DUMMYFUNCTION("""COMPUTED_VALUE"""),"PranavC55")</f>
        <v>PranavC55</v>
      </c>
      <c r="C4302" s="8">
        <f>IFERROR(__xludf.DUMMYFUNCTION("""COMPUTED_VALUE"""),0.0)</f>
        <v>0</v>
      </c>
      <c r="D4302" s="8"/>
    </row>
    <row r="4303">
      <c r="A4303" s="9" t="str">
        <f>IFERROR(__xludf.DUMMYFUNCTION("""COMPUTED_VALUE"""),"Batch 255")</f>
        <v>Batch 255</v>
      </c>
      <c r="B4303" s="9" t="str">
        <f>IFERROR(__xludf.DUMMYFUNCTION("""COMPUTED_VALUE"""),"viditC55")</f>
        <v>viditC55</v>
      </c>
      <c r="C4303" s="8">
        <f>IFERROR(__xludf.DUMMYFUNCTION("""COMPUTED_VALUE"""),0.0)</f>
        <v>0</v>
      </c>
      <c r="D4303" s="8"/>
    </row>
    <row r="4304">
      <c r="A4304" s="9" t="str">
        <f>IFERROR(__xludf.DUMMYFUNCTION("""COMPUTED_VALUE"""),"Batch 255")</f>
        <v>Batch 255</v>
      </c>
      <c r="B4304" s="9" t="str">
        <f>IFERROR(__xludf.DUMMYFUNCTION("""COMPUTED_VALUE"""),"ArushaC55")</f>
        <v>ArushaC55</v>
      </c>
      <c r="C4304" s="8">
        <f>IFERROR(__xludf.DUMMYFUNCTION("""COMPUTED_VALUE"""),0.0)</f>
        <v>0</v>
      </c>
      <c r="D4304" s="8"/>
    </row>
    <row r="4305">
      <c r="A4305" s="9" t="str">
        <f>IFERROR(__xludf.DUMMYFUNCTION("""COMPUTED_VALUE"""),"Batch 255")</f>
        <v>Batch 255</v>
      </c>
      <c r="B4305" s="9" t="str">
        <f>IFERROR(__xludf.DUMMYFUNCTION("""COMPUTED_VALUE"""),"HarshiniC55")</f>
        <v>HarshiniC55</v>
      </c>
      <c r="C4305" s="8">
        <f>IFERROR(__xludf.DUMMYFUNCTION("""COMPUTED_VALUE"""),0.0)</f>
        <v>0</v>
      </c>
      <c r="D4305" s="8"/>
    </row>
    <row r="4306">
      <c r="A4306" s="9" t="str">
        <f>IFERROR(__xludf.DUMMYFUNCTION("""COMPUTED_VALUE"""),"Batch 255")</f>
        <v>Batch 255</v>
      </c>
      <c r="B4306" s="9" t="str">
        <f>IFERROR(__xludf.DUMMYFUNCTION("""COMPUTED_VALUE"""),"PayalC55")</f>
        <v>PayalC55</v>
      </c>
      <c r="C4306" s="8">
        <f>IFERROR(__xludf.DUMMYFUNCTION("""COMPUTED_VALUE"""),0.0)</f>
        <v>0</v>
      </c>
      <c r="D4306" s="8"/>
    </row>
    <row r="4307">
      <c r="A4307" s="9" t="str">
        <f>IFERROR(__xludf.DUMMYFUNCTION("""COMPUTED_VALUE"""),"Batch 255")</f>
        <v>Batch 255</v>
      </c>
      <c r="B4307" s="9" t="str">
        <f>IFERROR(__xludf.DUMMYFUNCTION("""COMPUTED_VALUE"""),"SulagnaC55")</f>
        <v>SulagnaC55</v>
      </c>
      <c r="C4307" s="8">
        <f>IFERROR(__xludf.DUMMYFUNCTION("""COMPUTED_VALUE"""),67.0)</f>
        <v>67</v>
      </c>
      <c r="D4307" s="8">
        <f>IFERROR(__xludf.DUMMYFUNCTION("""COMPUTED_VALUE"""),21.0)</f>
        <v>21</v>
      </c>
    </row>
    <row r="4308">
      <c r="A4308" s="9" t="str">
        <f>IFERROR(__xludf.DUMMYFUNCTION("""COMPUTED_VALUE"""),"Batch 255")</f>
        <v>Batch 255</v>
      </c>
      <c r="B4308" s="9" t="str">
        <f>IFERROR(__xludf.DUMMYFUNCTION("""COMPUTED_VALUE"""),"DevanshC55")</f>
        <v>DevanshC55</v>
      </c>
      <c r="C4308" s="8">
        <f>IFERROR(__xludf.DUMMYFUNCTION("""COMPUTED_VALUE"""),0.0)</f>
        <v>0</v>
      </c>
      <c r="D4308" s="8"/>
    </row>
    <row r="4309">
      <c r="A4309" s="9" t="str">
        <f>IFERROR(__xludf.DUMMYFUNCTION("""COMPUTED_VALUE"""),"Batch 255")</f>
        <v>Batch 255</v>
      </c>
      <c r="B4309" s="9" t="str">
        <f>IFERROR(__xludf.DUMMYFUNCTION("""COMPUTED_VALUE"""),"SanyaC55")</f>
        <v>SanyaC55</v>
      </c>
      <c r="C4309" s="8">
        <f>IFERROR(__xludf.DUMMYFUNCTION("""COMPUTED_VALUE"""),0.0)</f>
        <v>0</v>
      </c>
      <c r="D4309" s="8"/>
    </row>
    <row r="4310">
      <c r="A4310" s="9" t="str">
        <f>IFERROR(__xludf.DUMMYFUNCTION("""COMPUTED_VALUE"""),"Batch 255")</f>
        <v>Batch 255</v>
      </c>
      <c r="B4310" s="9" t="str">
        <f>IFERROR(__xludf.DUMMYFUNCTION("""COMPUTED_VALUE"""),"ShreyaC55")</f>
        <v>ShreyaC55</v>
      </c>
      <c r="C4310" s="8">
        <f>IFERROR(__xludf.DUMMYFUNCTION("""COMPUTED_VALUE"""),0.0)</f>
        <v>0</v>
      </c>
      <c r="D4310" s="8"/>
    </row>
    <row r="4311">
      <c r="A4311" s="9" t="str">
        <f>IFERROR(__xludf.DUMMYFUNCTION("""COMPUTED_VALUE"""),"Batch 255")</f>
        <v>Batch 255</v>
      </c>
      <c r="B4311" s="9" t="str">
        <f>IFERROR(__xludf.DUMMYFUNCTION("""COMPUTED_VALUE"""),"KushC55")</f>
        <v>KushC55</v>
      </c>
      <c r="C4311" s="8">
        <f>IFERROR(__xludf.DUMMYFUNCTION("""COMPUTED_VALUE"""),0.0)</f>
        <v>0</v>
      </c>
      <c r="D4311" s="8"/>
    </row>
    <row r="4312">
      <c r="A4312" s="9" t="str">
        <f>IFERROR(__xludf.DUMMYFUNCTION("""COMPUTED_VALUE"""),"Batch 255")</f>
        <v>Batch 255</v>
      </c>
      <c r="B4312" s="9" t="str">
        <f>IFERROR(__xludf.DUMMYFUNCTION("""COMPUTED_VALUE"""),"ShikshaC55")</f>
        <v>ShikshaC55</v>
      </c>
      <c r="C4312" s="8">
        <f>IFERROR(__xludf.DUMMYFUNCTION("""COMPUTED_VALUE"""),0.0)</f>
        <v>0</v>
      </c>
      <c r="D4312" s="8"/>
    </row>
    <row r="4313">
      <c r="A4313" s="9" t="str">
        <f>IFERROR(__xludf.DUMMYFUNCTION("""COMPUTED_VALUE"""),"Batch 255")</f>
        <v>Batch 255</v>
      </c>
      <c r="B4313" s="9" t="str">
        <f>IFERROR(__xludf.DUMMYFUNCTION("""COMPUTED_VALUE"""),"SuhavaniC55")</f>
        <v>SuhavaniC55</v>
      </c>
      <c r="C4313" s="8">
        <f>IFERROR(__xludf.DUMMYFUNCTION("""COMPUTED_VALUE"""),25.0)</f>
        <v>25</v>
      </c>
      <c r="D4313" s="8">
        <f>IFERROR(__xludf.DUMMYFUNCTION("""COMPUTED_VALUE"""),3.0)</f>
        <v>3</v>
      </c>
    </row>
    <row r="4314">
      <c r="A4314" s="9" t="str">
        <f>IFERROR(__xludf.DUMMYFUNCTION("""COMPUTED_VALUE"""),"Batch 255")</f>
        <v>Batch 255</v>
      </c>
      <c r="B4314" s="9" t="str">
        <f>IFERROR(__xludf.DUMMYFUNCTION("""COMPUTED_VALUE"""),"AbhimanC55")</f>
        <v>AbhimanC55</v>
      </c>
      <c r="C4314" s="8">
        <f>IFERROR(__xludf.DUMMYFUNCTION("""COMPUTED_VALUE"""),53.0)</f>
        <v>53</v>
      </c>
      <c r="D4314" s="8">
        <f>IFERROR(__xludf.DUMMYFUNCTION("""COMPUTED_VALUE"""),8.0)</f>
        <v>8</v>
      </c>
    </row>
    <row r="4315">
      <c r="A4315" s="9" t="str">
        <f>IFERROR(__xludf.DUMMYFUNCTION("""COMPUTED_VALUE"""),"Batch 255")</f>
        <v>Batch 255</v>
      </c>
      <c r="B4315" s="9" t="str">
        <f>IFERROR(__xludf.DUMMYFUNCTION("""COMPUTED_VALUE"""),"BivekC55")</f>
        <v>BivekC55</v>
      </c>
      <c r="C4315" s="8">
        <f>IFERROR(__xludf.DUMMYFUNCTION("""COMPUTED_VALUE"""),1.0)</f>
        <v>1</v>
      </c>
      <c r="D4315" s="8"/>
    </row>
    <row r="4316">
      <c r="A4316" s="9" t="str">
        <f>IFERROR(__xludf.DUMMYFUNCTION("""COMPUTED_VALUE"""),"Batch 255")</f>
        <v>Batch 255</v>
      </c>
      <c r="B4316" s="9" t="str">
        <f>IFERROR(__xludf.DUMMYFUNCTION("""COMPUTED_VALUE"""),"NainshahC55")</f>
        <v>NainshahC55</v>
      </c>
      <c r="C4316" s="8">
        <f>IFERROR(__xludf.DUMMYFUNCTION("""COMPUTED_VALUE"""),10.0)</f>
        <v>10</v>
      </c>
      <c r="D4316" s="8"/>
    </row>
    <row r="4317">
      <c r="A4317" s="9" t="str">
        <f>IFERROR(__xludf.DUMMYFUNCTION("""COMPUTED_VALUE"""),"Batch 255")</f>
        <v>Batch 255</v>
      </c>
      <c r="B4317" s="9" t="str">
        <f>IFERROR(__xludf.DUMMYFUNCTION("""COMPUTED_VALUE"""),"MythriC55")</f>
        <v>MythriC55</v>
      </c>
      <c r="C4317" s="8">
        <f>IFERROR(__xludf.DUMMYFUNCTION("""COMPUTED_VALUE"""),0.0)</f>
        <v>0</v>
      </c>
      <c r="D4317" s="8"/>
    </row>
    <row r="4318">
      <c r="A4318" s="9" t="str">
        <f>IFERROR(__xludf.DUMMYFUNCTION("""COMPUTED_VALUE"""),"Batch 255")</f>
        <v>Batch 255</v>
      </c>
      <c r="B4318" s="9" t="str">
        <f>IFERROR(__xludf.DUMMYFUNCTION("""COMPUTED_VALUE"""),"SiddharthC55")</f>
        <v>SiddharthC55</v>
      </c>
      <c r="C4318" s="8">
        <f>IFERROR(__xludf.DUMMYFUNCTION("""COMPUTED_VALUE"""),4.0)</f>
        <v>4</v>
      </c>
      <c r="D4318" s="8"/>
    </row>
    <row r="4319">
      <c r="A4319" s="9" t="str">
        <f>IFERROR(__xludf.DUMMYFUNCTION("""COMPUTED_VALUE"""),"Batch 255")</f>
        <v>Batch 255</v>
      </c>
      <c r="B4319" s="9" t="str">
        <f>IFERROR(__xludf.DUMMYFUNCTION("""COMPUTED_VALUE"""),"ArleenC55")</f>
        <v>ArleenC55</v>
      </c>
      <c r="C4319" s="8">
        <f>IFERROR(__xludf.DUMMYFUNCTION("""COMPUTED_VALUE"""),1.0)</f>
        <v>1</v>
      </c>
      <c r="D4319" s="8"/>
    </row>
    <row r="4320">
      <c r="A4320" s="9" t="str">
        <f>IFERROR(__xludf.DUMMYFUNCTION("""COMPUTED_VALUE"""),"Batch 255")</f>
        <v>Batch 255</v>
      </c>
      <c r="B4320" s="9" t="str">
        <f>IFERROR(__xludf.DUMMYFUNCTION("""COMPUTED_VALUE"""),"ShivangiC55")</f>
        <v>ShivangiC55</v>
      </c>
      <c r="C4320" s="8">
        <f>IFERROR(__xludf.DUMMYFUNCTION("""COMPUTED_VALUE"""),0.0)</f>
        <v>0</v>
      </c>
      <c r="D4320" s="8"/>
    </row>
    <row r="4321">
      <c r="A4321" s="9" t="str">
        <f>IFERROR(__xludf.DUMMYFUNCTION("""COMPUTED_VALUE"""),"Batch 255")</f>
        <v>Batch 255</v>
      </c>
      <c r="B4321" s="9" t="str">
        <f>IFERROR(__xludf.DUMMYFUNCTION("""COMPUTED_VALUE"""),"KowshithaC55")</f>
        <v>KowshithaC55</v>
      </c>
      <c r="C4321" s="8">
        <f>IFERROR(__xludf.DUMMYFUNCTION("""COMPUTED_VALUE"""),0.0)</f>
        <v>0</v>
      </c>
      <c r="D4321" s="8"/>
    </row>
    <row r="4322">
      <c r="A4322" s="9" t="str">
        <f>IFERROR(__xludf.DUMMYFUNCTION("""COMPUTED_VALUE"""),"Batch 255")</f>
        <v>Batch 255</v>
      </c>
      <c r="B4322" s="9" t="str">
        <f>IFERROR(__xludf.DUMMYFUNCTION("""COMPUTED_VALUE"""),"SakshiC55")</f>
        <v>SakshiC55</v>
      </c>
      <c r="C4322" s="8">
        <f>IFERROR(__xludf.DUMMYFUNCTION("""COMPUTED_VALUE"""),0.0)</f>
        <v>0</v>
      </c>
      <c r="D4322" s="8"/>
    </row>
    <row r="4323">
      <c r="A4323" s="9" t="str">
        <f>IFERROR(__xludf.DUMMYFUNCTION("""COMPUTED_VALUE"""),"Batch 255")</f>
        <v>Batch 255</v>
      </c>
      <c r="B4323" s="9" t="str">
        <f>IFERROR(__xludf.DUMMYFUNCTION("""COMPUTED_VALUE"""),"AnushkaSC55")</f>
        <v>AnushkaSC55</v>
      </c>
      <c r="C4323" s="8">
        <f>IFERROR(__xludf.DUMMYFUNCTION("""COMPUTED_VALUE"""),3.0)</f>
        <v>3</v>
      </c>
      <c r="D4323" s="8"/>
    </row>
    <row r="4324">
      <c r="A4324" s="9" t="str">
        <f>IFERROR(__xludf.DUMMYFUNCTION("""COMPUTED_VALUE"""),"Batch 255")</f>
        <v>Batch 255</v>
      </c>
      <c r="B4324" s="9" t="str">
        <f>IFERROR(__xludf.DUMMYFUNCTION("""COMPUTED_VALUE"""),"PiyushC55")</f>
        <v>PiyushC55</v>
      </c>
      <c r="C4324" s="8">
        <f>IFERROR(__xludf.DUMMYFUNCTION("""COMPUTED_VALUE"""),0.0)</f>
        <v>0</v>
      </c>
      <c r="D4324" s="8"/>
    </row>
    <row r="4325">
      <c r="A4325" s="9" t="str">
        <f>IFERROR(__xludf.DUMMYFUNCTION("""COMPUTED_VALUE"""),"Batch 255")</f>
        <v>Batch 255</v>
      </c>
      <c r="B4325" s="9" t="str">
        <f>IFERROR(__xludf.DUMMYFUNCTION("""COMPUTED_VALUE"""),"ManishC55")</f>
        <v>ManishC55</v>
      </c>
      <c r="C4325" s="8">
        <f>IFERROR(__xludf.DUMMYFUNCTION("""COMPUTED_VALUE"""),0.0)</f>
        <v>0</v>
      </c>
      <c r="D4325" s="8"/>
    </row>
    <row r="4326">
      <c r="A4326" s="9" t="str">
        <f>IFERROR(__xludf.DUMMYFUNCTION("""COMPUTED_VALUE"""),"Batch 255")</f>
        <v>Batch 255</v>
      </c>
      <c r="B4326" s="9" t="str">
        <f>IFERROR(__xludf.DUMMYFUNCTION("""COMPUTED_VALUE"""),"GuttapalleC55")</f>
        <v>GuttapalleC55</v>
      </c>
      <c r="C4326" s="8">
        <f>IFERROR(__xludf.DUMMYFUNCTION("""COMPUTED_VALUE"""),0.0)</f>
        <v>0</v>
      </c>
      <c r="D4326" s="8"/>
    </row>
    <row r="4327">
      <c r="A4327" s="9" t="str">
        <f>IFERROR(__xludf.DUMMYFUNCTION("""COMPUTED_VALUE"""),"Batch 255")</f>
        <v>Batch 255</v>
      </c>
      <c r="B4327" s="9" t="str">
        <f>IFERROR(__xludf.DUMMYFUNCTION("""COMPUTED_VALUE"""),"TarunC55")</f>
        <v>TarunC55</v>
      </c>
      <c r="C4327" s="8">
        <f>IFERROR(__xludf.DUMMYFUNCTION("""COMPUTED_VALUE"""),1.0)</f>
        <v>1</v>
      </c>
      <c r="D4327" s="8"/>
    </row>
    <row r="4328">
      <c r="A4328" s="9" t="str">
        <f>IFERROR(__xludf.DUMMYFUNCTION("""COMPUTED_VALUE"""),"Batch 255")</f>
        <v>Batch 255</v>
      </c>
      <c r="B4328" s="9" t="str">
        <f>IFERROR(__xludf.DUMMYFUNCTION("""COMPUTED_VALUE"""),"AnandC55")</f>
        <v>AnandC55</v>
      </c>
      <c r="C4328" s="8">
        <f>IFERROR(__xludf.DUMMYFUNCTION("""COMPUTED_VALUE"""),0.0)</f>
        <v>0</v>
      </c>
      <c r="D4328" s="8"/>
    </row>
    <row r="4329">
      <c r="A4329" s="9" t="str">
        <f>IFERROR(__xludf.DUMMYFUNCTION("""COMPUTED_VALUE"""),"Batch 255")</f>
        <v>Batch 255</v>
      </c>
      <c r="B4329" s="9" t="str">
        <f>IFERROR(__xludf.DUMMYFUNCTION("""COMPUTED_VALUE"""),"HrishikeshC55")</f>
        <v>HrishikeshC55</v>
      </c>
      <c r="C4329" s="8">
        <f>IFERROR(__xludf.DUMMYFUNCTION("""COMPUTED_VALUE"""),0.0)</f>
        <v>0</v>
      </c>
      <c r="D4329" s="8"/>
    </row>
    <row r="4330">
      <c r="A4330" s="9" t="str">
        <f>IFERROR(__xludf.DUMMYFUNCTION("""COMPUTED_VALUE"""),"Batch 255")</f>
        <v>Batch 255</v>
      </c>
      <c r="B4330" s="9" t="str">
        <f>IFERROR(__xludf.DUMMYFUNCTION("""COMPUTED_VALUE"""),"TanushreeC55")</f>
        <v>TanushreeC55</v>
      </c>
      <c r="C4330" s="8">
        <f>IFERROR(__xludf.DUMMYFUNCTION("""COMPUTED_VALUE"""),0.0)</f>
        <v>0</v>
      </c>
      <c r="D4330" s="8"/>
    </row>
    <row r="4331">
      <c r="A4331" s="9" t="str">
        <f>IFERROR(__xludf.DUMMYFUNCTION("""COMPUTED_VALUE"""),"Batch 255")</f>
        <v>Batch 255</v>
      </c>
      <c r="B4331" s="9" t="str">
        <f>IFERROR(__xludf.DUMMYFUNCTION("""COMPUTED_VALUE"""),"SachinC55")</f>
        <v>SachinC55</v>
      </c>
      <c r="C4331" s="8">
        <f>IFERROR(__xludf.DUMMYFUNCTION("""COMPUTED_VALUE"""),0.0)</f>
        <v>0</v>
      </c>
      <c r="D4331" s="8"/>
    </row>
    <row r="4332">
      <c r="A4332" s="9" t="str">
        <f>IFERROR(__xludf.DUMMYFUNCTION("""COMPUTED_VALUE"""),"Batch 255")</f>
        <v>Batch 255</v>
      </c>
      <c r="B4332" s="9" t="str">
        <f>IFERROR(__xludf.DUMMYFUNCTION("""COMPUTED_VALUE"""),"DarshikaC55")</f>
        <v>DarshikaC55</v>
      </c>
      <c r="C4332" s="8">
        <f>IFERROR(__xludf.DUMMYFUNCTION("""COMPUTED_VALUE"""),0.0)</f>
        <v>0</v>
      </c>
      <c r="D4332" s="8"/>
    </row>
    <row r="4333">
      <c r="A4333" s="9" t="str">
        <f>IFERROR(__xludf.DUMMYFUNCTION("""COMPUTED_VALUE"""),"Batch 255")</f>
        <v>Batch 255</v>
      </c>
      <c r="B4333" s="9" t="str">
        <f>IFERROR(__xludf.DUMMYFUNCTION("""COMPUTED_VALUE"""),"PanithaC55")</f>
        <v>PanithaC55</v>
      </c>
      <c r="C4333" s="8">
        <f>IFERROR(__xludf.DUMMYFUNCTION("""COMPUTED_VALUE"""),0.0)</f>
        <v>0</v>
      </c>
      <c r="D4333" s="8"/>
    </row>
    <row r="4334">
      <c r="A4334" s="9" t="str">
        <f>IFERROR(__xludf.DUMMYFUNCTION("""COMPUTED_VALUE"""),"Batch 255")</f>
        <v>Batch 255</v>
      </c>
      <c r="B4334" s="9" t="str">
        <f>IFERROR(__xludf.DUMMYFUNCTION("""COMPUTED_VALUE"""),"RaghavC55")</f>
        <v>RaghavC55</v>
      </c>
      <c r="C4334" s="8">
        <f>IFERROR(__xludf.DUMMYFUNCTION("""COMPUTED_VALUE"""),0.0)</f>
        <v>0</v>
      </c>
      <c r="D4334" s="8"/>
    </row>
    <row r="4335">
      <c r="A4335" s="9" t="str">
        <f>IFERROR(__xludf.DUMMYFUNCTION("""COMPUTED_VALUE"""),"Batch 255")</f>
        <v>Batch 255</v>
      </c>
      <c r="B4335" s="9" t="str">
        <f>IFERROR(__xludf.DUMMYFUNCTION("""COMPUTED_VALUE"""),"TanushC55")</f>
        <v>TanushC55</v>
      </c>
      <c r="C4335" s="8">
        <f>IFERROR(__xludf.DUMMYFUNCTION("""COMPUTED_VALUE"""),13.0)</f>
        <v>13</v>
      </c>
      <c r="D4335" s="8"/>
    </row>
    <row r="4336">
      <c r="A4336" s="9" t="str">
        <f>IFERROR(__xludf.DUMMYFUNCTION("""COMPUTED_VALUE"""),"Batch 255")</f>
        <v>Batch 255</v>
      </c>
      <c r="B4336" s="9" t="str">
        <f>IFERROR(__xludf.DUMMYFUNCTION("""COMPUTED_VALUE"""),"SwagataC55")</f>
        <v>SwagataC55</v>
      </c>
      <c r="C4336" s="8">
        <f>IFERROR(__xludf.DUMMYFUNCTION("""COMPUTED_VALUE"""),0.0)</f>
        <v>0</v>
      </c>
      <c r="D4336" s="8"/>
    </row>
    <row r="4337">
      <c r="A4337" s="9" t="str">
        <f>IFERROR(__xludf.DUMMYFUNCTION("""COMPUTED_VALUE"""),"Batch 255")</f>
        <v>Batch 255</v>
      </c>
      <c r="B4337" s="9" t="str">
        <f>IFERROR(__xludf.DUMMYFUNCTION("""COMPUTED_VALUE"""),"SehajC55")</f>
        <v>SehajC55</v>
      </c>
      <c r="C4337" s="8">
        <f>IFERROR(__xludf.DUMMYFUNCTION("""COMPUTED_VALUE"""),0.0)</f>
        <v>0</v>
      </c>
      <c r="D4337" s="8"/>
    </row>
    <row r="4338">
      <c r="A4338" s="9" t="str">
        <f>IFERROR(__xludf.DUMMYFUNCTION("""COMPUTED_VALUE"""),"Batch 255")</f>
        <v>Batch 255</v>
      </c>
      <c r="B4338" s="9" t="str">
        <f>IFERROR(__xludf.DUMMYFUNCTION("""COMPUTED_VALUE"""),"CheruvuC55")</f>
        <v>CheruvuC55</v>
      </c>
      <c r="C4338" s="8">
        <f>IFERROR(__xludf.DUMMYFUNCTION("""COMPUTED_VALUE"""),0.0)</f>
        <v>0</v>
      </c>
      <c r="D4338" s="8"/>
    </row>
    <row r="4339">
      <c r="A4339" s="9" t="str">
        <f>IFERROR(__xludf.DUMMYFUNCTION("""COMPUTED_VALUE"""),"Batch 255")</f>
        <v>Batch 255</v>
      </c>
      <c r="B4339" s="9" t="str">
        <f>IFERROR(__xludf.DUMMYFUNCTION("""COMPUTED_VALUE"""),"AdityaC55")</f>
        <v>AdityaC55</v>
      </c>
      <c r="C4339" s="8">
        <f>IFERROR(__xludf.DUMMYFUNCTION("""COMPUTED_VALUE"""),0.0)</f>
        <v>0</v>
      </c>
      <c r="D4339" s="8"/>
    </row>
    <row r="4340">
      <c r="A4340" s="9" t="str">
        <f>IFERROR(__xludf.DUMMYFUNCTION("""COMPUTED_VALUE"""),"Batch 255")</f>
        <v>Batch 255</v>
      </c>
      <c r="B4340" s="9" t="str">
        <f>IFERROR(__xludf.DUMMYFUNCTION("""COMPUTED_VALUE"""),"AryanC55")</f>
        <v>AryanC55</v>
      </c>
      <c r="C4340" s="8">
        <f>IFERROR(__xludf.DUMMYFUNCTION("""COMPUTED_VALUE"""),0.0)</f>
        <v>0</v>
      </c>
      <c r="D4340" s="8"/>
    </row>
    <row r="4341">
      <c r="A4341" s="9" t="str">
        <f>IFERROR(__xludf.DUMMYFUNCTION("""COMPUTED_VALUE"""),"Batch 255")</f>
        <v>Batch 255</v>
      </c>
      <c r="B4341" s="9" t="str">
        <f>IFERROR(__xludf.DUMMYFUNCTION("""COMPUTED_VALUE"""),"NituC55")</f>
        <v>NituC55</v>
      </c>
      <c r="C4341" s="8">
        <f>IFERROR(__xludf.DUMMYFUNCTION("""COMPUTED_VALUE"""),0.0)</f>
        <v>0</v>
      </c>
      <c r="D4341" s="8"/>
    </row>
    <row r="4342">
      <c r="A4342" s="9" t="str">
        <f>IFERROR(__xludf.DUMMYFUNCTION("""COMPUTED_VALUE"""),"Batch 255")</f>
        <v>Batch 255</v>
      </c>
      <c r="B4342" s="9" t="str">
        <f>IFERROR(__xludf.DUMMYFUNCTION("""COMPUTED_VALUE"""),"JacksonC55")</f>
        <v>JacksonC55</v>
      </c>
      <c r="C4342" s="8">
        <f>IFERROR(__xludf.DUMMYFUNCTION("""COMPUTED_VALUE"""),0.0)</f>
        <v>0</v>
      </c>
      <c r="D4342" s="8"/>
    </row>
    <row r="4343">
      <c r="A4343" s="9" t="str">
        <f>IFERROR(__xludf.DUMMYFUNCTION("""COMPUTED_VALUE"""),"Batch 255")</f>
        <v>Batch 255</v>
      </c>
      <c r="B4343" s="9" t="str">
        <f>IFERROR(__xludf.DUMMYFUNCTION("""COMPUTED_VALUE"""),"RitvikC55")</f>
        <v>RitvikC55</v>
      </c>
      <c r="C4343" s="8">
        <f>IFERROR(__xludf.DUMMYFUNCTION("""COMPUTED_VALUE"""),1.0)</f>
        <v>1</v>
      </c>
      <c r="D4343" s="8"/>
    </row>
    <row r="4344">
      <c r="A4344" s="9" t="str">
        <f>IFERROR(__xludf.DUMMYFUNCTION("""COMPUTED_VALUE"""),"Batch 255")</f>
        <v>Batch 255</v>
      </c>
      <c r="B4344" s="9" t="str">
        <f>IFERROR(__xludf.DUMMYFUNCTION("""COMPUTED_VALUE"""),"AdvaitC55")</f>
        <v>AdvaitC55</v>
      </c>
      <c r="C4344" s="8">
        <f>IFERROR(__xludf.DUMMYFUNCTION("""COMPUTED_VALUE"""),0.0)</f>
        <v>0</v>
      </c>
      <c r="D4344" s="8"/>
    </row>
    <row r="4345">
      <c r="A4345" s="9" t="str">
        <f>IFERROR(__xludf.DUMMYFUNCTION("""COMPUTED_VALUE"""),"Batch 255")</f>
        <v>Batch 255</v>
      </c>
      <c r="B4345" s="9" t="str">
        <f>IFERROR(__xludf.DUMMYFUNCTION("""COMPUTED_VALUE"""),"SunchulaC55")</f>
        <v>SunchulaC55</v>
      </c>
      <c r="C4345" s="8">
        <f>IFERROR(__xludf.DUMMYFUNCTION("""COMPUTED_VALUE"""),0.0)</f>
        <v>0</v>
      </c>
      <c r="D4345" s="8"/>
    </row>
    <row r="4346">
      <c r="A4346" s="9" t="str">
        <f>IFERROR(__xludf.DUMMYFUNCTION("""COMPUTED_VALUE"""),"Batch 255")</f>
        <v>Batch 255</v>
      </c>
      <c r="B4346" s="9" t="str">
        <f>IFERROR(__xludf.DUMMYFUNCTION("""COMPUTED_VALUE"""),"vinayC55")</f>
        <v>vinayC55</v>
      </c>
      <c r="C4346" s="8">
        <f>IFERROR(__xludf.DUMMYFUNCTION("""COMPUTED_VALUE"""),0.0)</f>
        <v>0</v>
      </c>
      <c r="D4346" s="8"/>
    </row>
    <row r="4347">
      <c r="A4347" s="9" t="str">
        <f>IFERROR(__xludf.DUMMYFUNCTION("""COMPUTED_VALUE"""),"Batch 255")</f>
        <v>Batch 255</v>
      </c>
      <c r="B4347" s="9" t="str">
        <f>IFERROR(__xludf.DUMMYFUNCTION("""COMPUTED_VALUE"""),"arshiaC55")</f>
        <v>arshiaC55</v>
      </c>
      <c r="C4347" s="8">
        <f>IFERROR(__xludf.DUMMYFUNCTION("""COMPUTED_VALUE"""),0.0)</f>
        <v>0</v>
      </c>
      <c r="D4347" s="8"/>
    </row>
    <row r="4348">
      <c r="A4348" s="9" t="str">
        <f>IFERROR(__xludf.DUMMYFUNCTION("""COMPUTED_VALUE"""),"Batch 255")</f>
        <v>Batch 255</v>
      </c>
      <c r="B4348" s="9" t="str">
        <f>IFERROR(__xludf.DUMMYFUNCTION("""COMPUTED_VALUE"""),"AlexC55")</f>
        <v>AlexC55</v>
      </c>
      <c r="C4348" s="8">
        <f>IFERROR(__xludf.DUMMYFUNCTION("""COMPUTED_VALUE"""),0.0)</f>
        <v>0</v>
      </c>
      <c r="D4348" s="8"/>
    </row>
    <row r="4349">
      <c r="A4349" s="9" t="str">
        <f>IFERROR(__xludf.DUMMYFUNCTION("""COMPUTED_VALUE"""),"Batch 255")</f>
        <v>Batch 255</v>
      </c>
      <c r="B4349" s="9" t="str">
        <f>IFERROR(__xludf.DUMMYFUNCTION("""COMPUTED_VALUE"""),"DebosmitaC55")</f>
        <v>DebosmitaC55</v>
      </c>
      <c r="C4349" s="8">
        <f>IFERROR(__xludf.DUMMYFUNCTION("""COMPUTED_VALUE"""),0.0)</f>
        <v>0</v>
      </c>
      <c r="D4349" s="8"/>
    </row>
    <row r="4350">
      <c r="A4350" s="9" t="str">
        <f>IFERROR(__xludf.DUMMYFUNCTION("""COMPUTED_VALUE"""),"Batch 255")</f>
        <v>Batch 255</v>
      </c>
      <c r="B4350" s="9" t="str">
        <f>IFERROR(__xludf.DUMMYFUNCTION("""COMPUTED_VALUE"""),"NamanC55")</f>
        <v>NamanC55</v>
      </c>
      <c r="C4350" s="8">
        <f>IFERROR(__xludf.DUMMYFUNCTION("""COMPUTED_VALUE"""),0.0)</f>
        <v>0</v>
      </c>
      <c r="D4350" s="8"/>
    </row>
    <row r="4351">
      <c r="A4351" s="9" t="str">
        <f>IFERROR(__xludf.DUMMYFUNCTION("""COMPUTED_VALUE"""),"Batch 255")</f>
        <v>Batch 255</v>
      </c>
      <c r="B4351" s="9" t="str">
        <f>IFERROR(__xludf.DUMMYFUNCTION("""COMPUTED_VALUE""")," ")</f>
        <v> </v>
      </c>
      <c r="C4351" s="8">
        <f>IFERROR(__xludf.DUMMYFUNCTION("""COMPUTED_VALUE"""),0.0)</f>
        <v>0</v>
      </c>
      <c r="D4351" s="8"/>
    </row>
    <row r="4352">
      <c r="A4352" s="9" t="str">
        <f>IFERROR(__xludf.DUMMYFUNCTION("""COMPUTED_VALUE"""),"Batch 255")</f>
        <v>Batch 255</v>
      </c>
      <c r="B4352" s="9" t="str">
        <f>IFERROR(__xludf.DUMMYFUNCTION("""COMPUTED_VALUE"""),"ShantiC55")</f>
        <v>ShantiC55</v>
      </c>
      <c r="C4352" s="8">
        <f>IFERROR(__xludf.DUMMYFUNCTION("""COMPUTED_VALUE"""),0.0)</f>
        <v>0</v>
      </c>
      <c r="D4352" s="8"/>
    </row>
    <row r="4353">
      <c r="A4353" s="9" t="str">
        <f>IFERROR(__xludf.DUMMYFUNCTION("""COMPUTED_VALUE"""),"Batch 255")</f>
        <v>Batch 255</v>
      </c>
      <c r="B4353" s="9" t="str">
        <f>IFERROR(__xludf.DUMMYFUNCTION("""COMPUTED_VALUE"""),"JanviC55")</f>
        <v>JanviC55</v>
      </c>
      <c r="C4353" s="8">
        <f>IFERROR(__xludf.DUMMYFUNCTION("""COMPUTED_VALUE"""),0.0)</f>
        <v>0</v>
      </c>
      <c r="D4353" s="8"/>
    </row>
    <row r="4354">
      <c r="A4354" s="9" t="str">
        <f>IFERROR(__xludf.DUMMYFUNCTION("""COMPUTED_VALUE"""),"Batch 255")</f>
        <v>Batch 255</v>
      </c>
      <c r="B4354" s="9" t="str">
        <f>IFERROR(__xludf.DUMMYFUNCTION("""COMPUTED_VALUE"""),"K.FazuluC55")</f>
        <v>K.FazuluC55</v>
      </c>
      <c r="C4354" s="8">
        <f>IFERROR(__xludf.DUMMYFUNCTION("""COMPUTED_VALUE"""),0.0)</f>
        <v>0</v>
      </c>
      <c r="D4354" s="8"/>
    </row>
    <row r="4355">
      <c r="A4355" s="9" t="str">
        <f>IFERROR(__xludf.DUMMYFUNCTION("""COMPUTED_VALUE"""),"Batch 255")</f>
        <v>Batch 255</v>
      </c>
      <c r="B4355" s="9" t="str">
        <f>IFERROR(__xludf.DUMMYFUNCTION("""COMPUTED_VALUE"""),"AkulC55")</f>
        <v>AkulC55</v>
      </c>
      <c r="C4355" s="8">
        <f>IFERROR(__xludf.DUMMYFUNCTION("""COMPUTED_VALUE"""),1.0)</f>
        <v>1</v>
      </c>
      <c r="D4355" s="8"/>
    </row>
    <row r="4356">
      <c r="A4356" s="9" t="str">
        <f>IFERROR(__xludf.DUMMYFUNCTION("""COMPUTED_VALUE"""),"Batch 255")</f>
        <v>Batch 255</v>
      </c>
      <c r="B4356" s="9" t="str">
        <f>IFERROR(__xludf.DUMMYFUNCTION("""COMPUTED_VALUE"""),"AvishiC55")</f>
        <v>AvishiC55</v>
      </c>
      <c r="C4356" s="8">
        <f>IFERROR(__xludf.DUMMYFUNCTION("""COMPUTED_VALUE"""),0.0)</f>
        <v>0</v>
      </c>
      <c r="D4356" s="8"/>
    </row>
    <row r="4357">
      <c r="A4357" s="9" t="str">
        <f>IFERROR(__xludf.DUMMYFUNCTION("""COMPUTED_VALUE"""),"Batch 255")</f>
        <v>Batch 255</v>
      </c>
      <c r="B4357" s="9" t="str">
        <f>IFERROR(__xludf.DUMMYFUNCTION("""COMPUTED_VALUE"""),"arunC55")</f>
        <v>arunC55</v>
      </c>
      <c r="C4357" s="8">
        <f>IFERROR(__xludf.DUMMYFUNCTION("""COMPUTED_VALUE"""),0.0)</f>
        <v>0</v>
      </c>
      <c r="D4357" s="8"/>
    </row>
    <row r="4358">
      <c r="A4358" s="9" t="str">
        <f>IFERROR(__xludf.DUMMYFUNCTION("""COMPUTED_VALUE"""),"Batch 255")</f>
        <v>Batch 255</v>
      </c>
      <c r="B4358" s="9" t="str">
        <f>IFERROR(__xludf.DUMMYFUNCTION("""COMPUTED_VALUE"""),"RiyaC55")</f>
        <v>RiyaC55</v>
      </c>
      <c r="C4358" s="8">
        <f>IFERROR(__xludf.DUMMYFUNCTION("""COMPUTED_VALUE"""),0.0)</f>
        <v>0</v>
      </c>
      <c r="D4358" s="8"/>
    </row>
    <row r="4359">
      <c r="A4359" s="9" t="str">
        <f>IFERROR(__xludf.DUMMYFUNCTION("""COMPUTED_VALUE"""),"Batch 255")</f>
        <v>Batch 255</v>
      </c>
      <c r="B4359" s="9" t="str">
        <f>IFERROR(__xludf.DUMMYFUNCTION("""COMPUTED_VALUE"""),"SUCHARITHAC55")</f>
        <v>SUCHARITHAC55</v>
      </c>
      <c r="C4359" s="8">
        <f>IFERROR(__xludf.DUMMYFUNCTION("""COMPUTED_VALUE"""),0.0)</f>
        <v>0</v>
      </c>
      <c r="D4359" s="8"/>
    </row>
    <row r="4360">
      <c r="A4360" s="9" t="str">
        <f>IFERROR(__xludf.DUMMYFUNCTION("""COMPUTED_VALUE"""),"Batch 255")</f>
        <v>Batch 255</v>
      </c>
      <c r="B4360" s="9" t="str">
        <f>IFERROR(__xludf.DUMMYFUNCTION("""COMPUTED_VALUE"""),"MohammedC55")</f>
        <v>MohammedC55</v>
      </c>
      <c r="C4360" s="8">
        <f>IFERROR(__xludf.DUMMYFUNCTION("""COMPUTED_VALUE"""),0.0)</f>
        <v>0</v>
      </c>
      <c r="D4360" s="8"/>
    </row>
    <row r="4361">
      <c r="A4361" s="9" t="str">
        <f>IFERROR(__xludf.DUMMYFUNCTION("""COMPUTED_VALUE"""),"Batch 255")</f>
        <v>Batch 255</v>
      </c>
      <c r="B4361" s="9" t="str">
        <f>IFERROR(__xludf.DUMMYFUNCTION("""COMPUTED_VALUE"""),"AnshikaC55")</f>
        <v>AnshikaC55</v>
      </c>
      <c r="C4361" s="8">
        <f>IFERROR(__xludf.DUMMYFUNCTION("""COMPUTED_VALUE"""),0.0)</f>
        <v>0</v>
      </c>
      <c r="D4361" s="8"/>
    </row>
    <row r="4362">
      <c r="A4362" s="9"/>
      <c r="B4362" s="9"/>
      <c r="C4362" s="8">
        <f>IFERROR(__xludf.DUMMYFUNCTION("""COMPUTED_VALUE"""),0.0)</f>
        <v>0</v>
      </c>
      <c r="D4362" s="8"/>
    </row>
    <row r="4363">
      <c r="A4363" s="9" t="str">
        <f>IFERROR(__xludf.DUMMYFUNCTION("""COMPUTED_VALUE"""),"Batch 256")</f>
        <v>Batch 256</v>
      </c>
      <c r="B4363" s="9" t="str">
        <f>IFERROR(__xludf.DUMMYFUNCTION("""COMPUTED_VALUE"""),"TanushreeC56")</f>
        <v>TanushreeC56</v>
      </c>
      <c r="C4363" s="8">
        <f>IFERROR(__xludf.DUMMYFUNCTION("""COMPUTED_VALUE"""),0.0)</f>
        <v>0</v>
      </c>
      <c r="D4363" s="8"/>
    </row>
    <row r="4364">
      <c r="A4364" s="9" t="str">
        <f>IFERROR(__xludf.DUMMYFUNCTION("""COMPUTED_VALUE"""),"Batch 256")</f>
        <v>Batch 256</v>
      </c>
      <c r="B4364" s="9" t="str">
        <f>IFERROR(__xludf.DUMMYFUNCTION("""COMPUTED_VALUE"""),"AaryanC56")</f>
        <v>AaryanC56</v>
      </c>
      <c r="C4364" s="8">
        <f>IFERROR(__xludf.DUMMYFUNCTION("""COMPUTED_VALUE"""),0.0)</f>
        <v>0</v>
      </c>
      <c r="D4364" s="8"/>
    </row>
    <row r="4365">
      <c r="A4365" s="9" t="str">
        <f>IFERROR(__xludf.DUMMYFUNCTION("""COMPUTED_VALUE"""),"Batch 256")</f>
        <v>Batch 256</v>
      </c>
      <c r="B4365" s="9" t="str">
        <f>IFERROR(__xludf.DUMMYFUNCTION("""COMPUTED_VALUE"""),"BadriC56")</f>
        <v>BadriC56</v>
      </c>
      <c r="C4365" s="8">
        <f>IFERROR(__xludf.DUMMYFUNCTION("""COMPUTED_VALUE"""),0.0)</f>
        <v>0</v>
      </c>
      <c r="D4365" s="8"/>
    </row>
    <row r="4366">
      <c r="A4366" s="9" t="str">
        <f>IFERROR(__xludf.DUMMYFUNCTION("""COMPUTED_VALUE"""),"Batch 256")</f>
        <v>Batch 256</v>
      </c>
      <c r="B4366" s="9" t="str">
        <f>IFERROR(__xludf.DUMMYFUNCTION("""COMPUTED_VALUE"""),"AngelC56")</f>
        <v>AngelC56</v>
      </c>
      <c r="C4366" s="8">
        <f>IFERROR(__xludf.DUMMYFUNCTION("""COMPUTED_VALUE"""),0.0)</f>
        <v>0</v>
      </c>
      <c r="D4366" s="8"/>
    </row>
    <row r="4367">
      <c r="A4367" s="9" t="str">
        <f>IFERROR(__xludf.DUMMYFUNCTION("""COMPUTED_VALUE"""),"Batch 256")</f>
        <v>Batch 256</v>
      </c>
      <c r="B4367" s="9" t="str">
        <f>IFERROR(__xludf.DUMMYFUNCTION("""COMPUTED_VALUE"""),"NehaC56")</f>
        <v>NehaC56</v>
      </c>
      <c r="C4367" s="8">
        <f>IFERROR(__xludf.DUMMYFUNCTION("""COMPUTED_VALUE"""),2.0)</f>
        <v>2</v>
      </c>
      <c r="D4367" s="8"/>
    </row>
    <row r="4368">
      <c r="A4368" s="9" t="str">
        <f>IFERROR(__xludf.DUMMYFUNCTION("""COMPUTED_VALUE"""),"Batch 256")</f>
        <v>Batch 256</v>
      </c>
      <c r="B4368" s="9" t="str">
        <f>IFERROR(__xludf.DUMMYFUNCTION("""COMPUTED_VALUE"""),"AdarshC56")</f>
        <v>AdarshC56</v>
      </c>
      <c r="C4368" s="8">
        <f>IFERROR(__xludf.DUMMYFUNCTION("""COMPUTED_VALUE"""),0.0)</f>
        <v>0</v>
      </c>
      <c r="D4368" s="8"/>
    </row>
    <row r="4369">
      <c r="A4369" s="9" t="str">
        <f>IFERROR(__xludf.DUMMYFUNCTION("""COMPUTED_VALUE"""),"Batch 256")</f>
        <v>Batch 256</v>
      </c>
      <c r="B4369" s="9" t="str">
        <f>IFERROR(__xludf.DUMMYFUNCTION("""COMPUTED_VALUE"""),"FakhruddinC56")</f>
        <v>FakhruddinC56</v>
      </c>
      <c r="C4369" s="8">
        <f>IFERROR(__xludf.DUMMYFUNCTION("""COMPUTED_VALUE"""),0.0)</f>
        <v>0</v>
      </c>
      <c r="D4369" s="8"/>
    </row>
    <row r="4370">
      <c r="A4370" s="9" t="str">
        <f>IFERROR(__xludf.DUMMYFUNCTION("""COMPUTED_VALUE"""),"Batch 256")</f>
        <v>Batch 256</v>
      </c>
      <c r="B4370" s="9" t="str">
        <f>IFERROR(__xludf.DUMMYFUNCTION("""COMPUTED_VALUE"""),"RangaswamyC56")</f>
        <v>RangaswamyC56</v>
      </c>
      <c r="C4370" s="8">
        <f>IFERROR(__xludf.DUMMYFUNCTION("""COMPUTED_VALUE"""),0.0)</f>
        <v>0</v>
      </c>
      <c r="D4370" s="8"/>
    </row>
    <row r="4371">
      <c r="A4371" s="9" t="str">
        <f>IFERROR(__xludf.DUMMYFUNCTION("""COMPUTED_VALUE"""),"Batch 256")</f>
        <v>Batch 256</v>
      </c>
      <c r="B4371" s="9" t="str">
        <f>IFERROR(__xludf.DUMMYFUNCTION("""COMPUTED_VALUE"""),"AditiC56")</f>
        <v>AditiC56</v>
      </c>
      <c r="C4371" s="8">
        <f>IFERROR(__xludf.DUMMYFUNCTION("""COMPUTED_VALUE"""),4.0)</f>
        <v>4</v>
      </c>
      <c r="D4371" s="8"/>
    </row>
    <row r="4372">
      <c r="A4372" s="9" t="str">
        <f>IFERROR(__xludf.DUMMYFUNCTION("""COMPUTED_VALUE"""),"Batch 256")</f>
        <v>Batch 256</v>
      </c>
      <c r="B4372" s="9" t="str">
        <f>IFERROR(__xludf.DUMMYFUNCTION("""COMPUTED_VALUE"""),"ArpitaC56")</f>
        <v>ArpitaC56</v>
      </c>
      <c r="C4372" s="8">
        <f>IFERROR(__xludf.DUMMYFUNCTION("""COMPUTED_VALUE"""),0.0)</f>
        <v>0</v>
      </c>
      <c r="D4372" s="8"/>
    </row>
    <row r="4373">
      <c r="A4373" s="9" t="str">
        <f>IFERROR(__xludf.DUMMYFUNCTION("""COMPUTED_VALUE"""),"Batch 256")</f>
        <v>Batch 256</v>
      </c>
      <c r="B4373" s="9" t="str">
        <f>IFERROR(__xludf.DUMMYFUNCTION("""COMPUTED_VALUE"""),"DrishtiC56")</f>
        <v>DrishtiC56</v>
      </c>
      <c r="C4373" s="8">
        <f>IFERROR(__xludf.DUMMYFUNCTION("""COMPUTED_VALUE"""),3.0)</f>
        <v>3</v>
      </c>
      <c r="D4373" s="8"/>
    </row>
    <row r="4374">
      <c r="A4374" s="9" t="str">
        <f>IFERROR(__xludf.DUMMYFUNCTION("""COMPUTED_VALUE"""),"Batch 256")</f>
        <v>Batch 256</v>
      </c>
      <c r="B4374" s="9" t="str">
        <f>IFERROR(__xludf.DUMMYFUNCTION("""COMPUTED_VALUE"""),"MuhammedC56")</f>
        <v>MuhammedC56</v>
      </c>
      <c r="C4374" s="8">
        <f>IFERROR(__xludf.DUMMYFUNCTION("""COMPUTED_VALUE"""),0.0)</f>
        <v>0</v>
      </c>
      <c r="D4374" s="8"/>
    </row>
    <row r="4375">
      <c r="A4375" s="9" t="str">
        <f>IFERROR(__xludf.DUMMYFUNCTION("""COMPUTED_VALUE"""),"Batch 256")</f>
        <v>Batch 256</v>
      </c>
      <c r="B4375" s="9" t="str">
        <f>IFERROR(__xludf.DUMMYFUNCTION("""COMPUTED_VALUE"""),"PreritC56")</f>
        <v>PreritC56</v>
      </c>
      <c r="C4375" s="8">
        <f>IFERROR(__xludf.DUMMYFUNCTION("""COMPUTED_VALUE"""),1.0)</f>
        <v>1</v>
      </c>
      <c r="D4375" s="8"/>
    </row>
    <row r="4376">
      <c r="A4376" s="9" t="str">
        <f>IFERROR(__xludf.DUMMYFUNCTION("""COMPUTED_VALUE"""),"Batch 256")</f>
        <v>Batch 256</v>
      </c>
      <c r="B4376" s="9" t="str">
        <f>IFERROR(__xludf.DUMMYFUNCTION("""COMPUTED_VALUE"""),"ShreyaC56")</f>
        <v>ShreyaC56</v>
      </c>
      <c r="C4376" s="8">
        <f>IFERROR(__xludf.DUMMYFUNCTION("""COMPUTED_VALUE"""),0.0)</f>
        <v>0</v>
      </c>
      <c r="D4376" s="8"/>
    </row>
    <row r="4377">
      <c r="A4377" s="9" t="str">
        <f>IFERROR(__xludf.DUMMYFUNCTION("""COMPUTED_VALUE"""),"Batch 256")</f>
        <v>Batch 256</v>
      </c>
      <c r="B4377" s="9" t="str">
        <f>IFERROR(__xludf.DUMMYFUNCTION("""COMPUTED_VALUE"""),"JaheenC56")</f>
        <v>JaheenC56</v>
      </c>
      <c r="C4377" s="8">
        <f>IFERROR(__xludf.DUMMYFUNCTION("""COMPUTED_VALUE"""),4.0)</f>
        <v>4</v>
      </c>
      <c r="D4377" s="8"/>
    </row>
    <row r="4378">
      <c r="A4378" s="9" t="str">
        <f>IFERROR(__xludf.DUMMYFUNCTION("""COMPUTED_VALUE"""),"Batch 256")</f>
        <v>Batch 256</v>
      </c>
      <c r="B4378" s="9" t="str">
        <f>IFERROR(__xludf.DUMMYFUNCTION("""COMPUTED_VALUE"""),"VimalC56")</f>
        <v>VimalC56</v>
      </c>
      <c r="C4378" s="8">
        <f>IFERROR(__xludf.DUMMYFUNCTION("""COMPUTED_VALUE"""),0.0)</f>
        <v>0</v>
      </c>
      <c r="D4378" s="8">
        <f>IFERROR(__xludf.DUMMYFUNCTION("""COMPUTED_VALUE"""),1.0)</f>
        <v>1</v>
      </c>
    </row>
    <row r="4379">
      <c r="A4379" s="9" t="str">
        <f>IFERROR(__xludf.DUMMYFUNCTION("""COMPUTED_VALUE"""),"Batch 256")</f>
        <v>Batch 256</v>
      </c>
      <c r="B4379" s="9" t="str">
        <f>IFERROR(__xludf.DUMMYFUNCTION("""COMPUTED_VALUE"""),"AshleshaC56")</f>
        <v>AshleshaC56</v>
      </c>
      <c r="C4379" s="8">
        <f>IFERROR(__xludf.DUMMYFUNCTION("""COMPUTED_VALUE"""),0.0)</f>
        <v>0</v>
      </c>
      <c r="D4379" s="8"/>
    </row>
    <row r="4380">
      <c r="A4380" s="9" t="str">
        <f>IFERROR(__xludf.DUMMYFUNCTION("""COMPUTED_VALUE"""),"Batch 256")</f>
        <v>Batch 256</v>
      </c>
      <c r="B4380" s="9" t="str">
        <f>IFERROR(__xludf.DUMMYFUNCTION("""COMPUTED_VALUE"""),"YashC56")</f>
        <v>YashC56</v>
      </c>
      <c r="C4380" s="8">
        <f>IFERROR(__xludf.DUMMYFUNCTION("""COMPUTED_VALUE"""),0.0)</f>
        <v>0</v>
      </c>
      <c r="D4380" s="8"/>
    </row>
    <row r="4381">
      <c r="A4381" s="9" t="str">
        <f>IFERROR(__xludf.DUMMYFUNCTION("""COMPUTED_VALUE"""),"Batch 256")</f>
        <v>Batch 256</v>
      </c>
      <c r="B4381" s="9" t="str">
        <f>IFERROR(__xludf.DUMMYFUNCTION("""COMPUTED_VALUE"""),"PurvajeetC56")</f>
        <v>PurvajeetC56</v>
      </c>
      <c r="C4381" s="8">
        <f>IFERROR(__xludf.DUMMYFUNCTION("""COMPUTED_VALUE"""),0.0)</f>
        <v>0</v>
      </c>
      <c r="D4381" s="8"/>
    </row>
    <row r="4382">
      <c r="A4382" s="9" t="str">
        <f>IFERROR(__xludf.DUMMYFUNCTION("""COMPUTED_VALUE"""),"Batch 256")</f>
        <v>Batch 256</v>
      </c>
      <c r="B4382" s="9" t="str">
        <f>IFERROR(__xludf.DUMMYFUNCTION("""COMPUTED_VALUE"""),"PrankitC56")</f>
        <v>PrankitC56</v>
      </c>
      <c r="C4382" s="8">
        <f>IFERROR(__xludf.DUMMYFUNCTION("""COMPUTED_VALUE"""),0.0)</f>
        <v>0</v>
      </c>
      <c r="D4382" s="8"/>
    </row>
    <row r="4383">
      <c r="A4383" s="9" t="str">
        <f>IFERROR(__xludf.DUMMYFUNCTION("""COMPUTED_VALUE"""),"Batch 256")</f>
        <v>Batch 256</v>
      </c>
      <c r="B4383" s="9" t="str">
        <f>IFERROR(__xludf.DUMMYFUNCTION("""COMPUTED_VALUE"""),"PayalC56")</f>
        <v>PayalC56</v>
      </c>
      <c r="C4383" s="8">
        <f>IFERROR(__xludf.DUMMYFUNCTION("""COMPUTED_VALUE"""),0.0)</f>
        <v>0</v>
      </c>
      <c r="D4383" s="8"/>
    </row>
    <row r="4384">
      <c r="A4384" s="9" t="str">
        <f>IFERROR(__xludf.DUMMYFUNCTION("""COMPUTED_VALUE"""),"Batch 256")</f>
        <v>Batch 256</v>
      </c>
      <c r="B4384" s="9" t="str">
        <f>IFERROR(__xludf.DUMMYFUNCTION("""COMPUTED_VALUE"""),"TusharC56")</f>
        <v>TusharC56</v>
      </c>
      <c r="C4384" s="8">
        <f>IFERROR(__xludf.DUMMYFUNCTION("""COMPUTED_VALUE"""),0.0)</f>
        <v>0</v>
      </c>
      <c r="D4384" s="8"/>
    </row>
    <row r="4385">
      <c r="A4385" s="9" t="str">
        <f>IFERROR(__xludf.DUMMYFUNCTION("""COMPUTED_VALUE"""),"Batch 256")</f>
        <v>Batch 256</v>
      </c>
      <c r="B4385" s="9" t="str">
        <f>IFERROR(__xludf.DUMMYFUNCTION("""COMPUTED_VALUE"""),"AditiSC56")</f>
        <v>AditiSC56</v>
      </c>
      <c r="C4385" s="8">
        <f>IFERROR(__xludf.DUMMYFUNCTION("""COMPUTED_VALUE"""),0.0)</f>
        <v>0</v>
      </c>
      <c r="D4385" s="8"/>
    </row>
    <row r="4386">
      <c r="A4386" s="9" t="str">
        <f>IFERROR(__xludf.DUMMYFUNCTION("""COMPUTED_VALUE"""),"Batch 256")</f>
        <v>Batch 256</v>
      </c>
      <c r="B4386" s="9" t="str">
        <f>IFERROR(__xludf.DUMMYFUNCTION("""COMPUTED_VALUE"""),"RiddhiC56")</f>
        <v>RiddhiC56</v>
      </c>
      <c r="C4386" s="8">
        <f>IFERROR(__xludf.DUMMYFUNCTION("""COMPUTED_VALUE"""),0.0)</f>
        <v>0</v>
      </c>
      <c r="D4386" s="8"/>
    </row>
    <row r="4387">
      <c r="A4387" s="9" t="str">
        <f>IFERROR(__xludf.DUMMYFUNCTION("""COMPUTED_VALUE"""),"Batch 256")</f>
        <v>Batch 256</v>
      </c>
      <c r="B4387" s="9" t="str">
        <f>IFERROR(__xludf.DUMMYFUNCTION("""COMPUTED_VALUE"""),"BHUSHANC56")</f>
        <v>BHUSHANC56</v>
      </c>
      <c r="C4387" s="8">
        <f>IFERROR(__xludf.DUMMYFUNCTION("""COMPUTED_VALUE"""),0.0)</f>
        <v>0</v>
      </c>
      <c r="D4387" s="8"/>
    </row>
    <row r="4388">
      <c r="A4388" s="9" t="str">
        <f>IFERROR(__xludf.DUMMYFUNCTION("""COMPUTED_VALUE"""),"Batch 256")</f>
        <v>Batch 256</v>
      </c>
      <c r="B4388" s="9" t="str">
        <f>IFERROR(__xludf.DUMMYFUNCTION("""COMPUTED_VALUE"""),"VIDISHAC56")</f>
        <v>VIDISHAC56</v>
      </c>
      <c r="C4388" s="8">
        <f>IFERROR(__xludf.DUMMYFUNCTION("""COMPUTED_VALUE"""),0.0)</f>
        <v>0</v>
      </c>
      <c r="D4388" s="8"/>
    </row>
    <row r="4389">
      <c r="A4389" s="9" t="str">
        <f>IFERROR(__xludf.DUMMYFUNCTION("""COMPUTED_VALUE"""),"Batch 256")</f>
        <v>Batch 256</v>
      </c>
      <c r="B4389" s="9" t="str">
        <f>IFERROR(__xludf.DUMMYFUNCTION("""COMPUTED_VALUE"""),"MC56")</f>
        <v>MC56</v>
      </c>
      <c r="C4389" s="8">
        <f>IFERROR(__xludf.DUMMYFUNCTION("""COMPUTED_VALUE"""),0.0)</f>
        <v>0</v>
      </c>
      <c r="D4389" s="8"/>
    </row>
    <row r="4390">
      <c r="A4390" s="9" t="str">
        <f>IFERROR(__xludf.DUMMYFUNCTION("""COMPUTED_VALUE"""),"Batch 256")</f>
        <v>Batch 256</v>
      </c>
      <c r="B4390" s="9" t="str">
        <f>IFERROR(__xludf.DUMMYFUNCTION("""COMPUTED_VALUE"""),"NathaniaC56")</f>
        <v>NathaniaC56</v>
      </c>
      <c r="C4390" s="8">
        <f>IFERROR(__xludf.DUMMYFUNCTION("""COMPUTED_VALUE"""),0.0)</f>
        <v>0</v>
      </c>
      <c r="D4390" s="8"/>
    </row>
    <row r="4391">
      <c r="A4391" s="9" t="str">
        <f>IFERROR(__xludf.DUMMYFUNCTION("""COMPUTED_VALUE"""),"Batch 256")</f>
        <v>Batch 256</v>
      </c>
      <c r="B4391" s="9" t="str">
        <f>IFERROR(__xludf.DUMMYFUNCTION("""COMPUTED_VALUE"""),"SyedC56")</f>
        <v>SyedC56</v>
      </c>
      <c r="C4391" s="8">
        <f>IFERROR(__xludf.DUMMYFUNCTION("""COMPUTED_VALUE"""),0.0)</f>
        <v>0</v>
      </c>
      <c r="D4391" s="8"/>
    </row>
    <row r="4392">
      <c r="A4392" s="9" t="str">
        <f>IFERROR(__xludf.DUMMYFUNCTION("""COMPUTED_VALUE"""),"Batch 256")</f>
        <v>Batch 256</v>
      </c>
      <c r="B4392" s="9" t="str">
        <f>IFERROR(__xludf.DUMMYFUNCTION("""COMPUTED_VALUE"""),"NaazC56")</f>
        <v>NaazC56</v>
      </c>
      <c r="C4392" s="8">
        <f>IFERROR(__xludf.DUMMYFUNCTION("""COMPUTED_VALUE"""),0.0)</f>
        <v>0</v>
      </c>
      <c r="D4392" s="8"/>
    </row>
    <row r="4393">
      <c r="A4393" s="9" t="str">
        <f>IFERROR(__xludf.DUMMYFUNCTION("""COMPUTED_VALUE"""),"Batch 256")</f>
        <v>Batch 256</v>
      </c>
      <c r="B4393" s="9" t="str">
        <f>IFERROR(__xludf.DUMMYFUNCTION("""COMPUTED_VALUE"""),"Gosu.UsharaniC56")</f>
        <v>Gosu.UsharaniC56</v>
      </c>
      <c r="C4393" s="8">
        <f>IFERROR(__xludf.DUMMYFUNCTION("""COMPUTED_VALUE"""),2.0)</f>
        <v>2</v>
      </c>
      <c r="D4393" s="8">
        <f>IFERROR(__xludf.DUMMYFUNCTION("""COMPUTED_VALUE"""),1.0)</f>
        <v>1</v>
      </c>
    </row>
    <row r="4394">
      <c r="A4394" s="9" t="str">
        <f>IFERROR(__xludf.DUMMYFUNCTION("""COMPUTED_VALUE"""),"Batch 256")</f>
        <v>Batch 256</v>
      </c>
      <c r="B4394" s="9" t="str">
        <f>IFERROR(__xludf.DUMMYFUNCTION("""COMPUTED_VALUE"""),"KaushalC56")</f>
        <v>KaushalC56</v>
      </c>
      <c r="C4394" s="8">
        <f>IFERROR(__xludf.DUMMYFUNCTION("""COMPUTED_VALUE"""),0.0)</f>
        <v>0</v>
      </c>
      <c r="D4394" s="8"/>
    </row>
    <row r="4395">
      <c r="A4395" s="9" t="str">
        <f>IFERROR(__xludf.DUMMYFUNCTION("""COMPUTED_VALUE"""),"Batch 256")</f>
        <v>Batch 256</v>
      </c>
      <c r="B4395" s="9" t="str">
        <f>IFERROR(__xludf.DUMMYFUNCTION("""COMPUTED_VALUE"""),"ZeelC56")</f>
        <v>ZeelC56</v>
      </c>
      <c r="C4395" s="8">
        <f>IFERROR(__xludf.DUMMYFUNCTION("""COMPUTED_VALUE"""),0.0)</f>
        <v>0</v>
      </c>
      <c r="D4395" s="8"/>
    </row>
    <row r="4396">
      <c r="A4396" s="9" t="str">
        <f>IFERROR(__xludf.DUMMYFUNCTION("""COMPUTED_VALUE"""),"Batch 256")</f>
        <v>Batch 256</v>
      </c>
      <c r="B4396" s="9" t="str">
        <f>IFERROR(__xludf.DUMMYFUNCTION("""COMPUTED_VALUE"""),"BasilC56")</f>
        <v>BasilC56</v>
      </c>
      <c r="C4396" s="8">
        <f>IFERROR(__xludf.DUMMYFUNCTION("""COMPUTED_VALUE"""),1.0)</f>
        <v>1</v>
      </c>
      <c r="D4396" s="8"/>
    </row>
    <row r="4397">
      <c r="A4397" s="9" t="str">
        <f>IFERROR(__xludf.DUMMYFUNCTION("""COMPUTED_VALUE"""),"Batch 256")</f>
        <v>Batch 256</v>
      </c>
      <c r="B4397" s="9" t="str">
        <f>IFERROR(__xludf.DUMMYFUNCTION("""COMPUTED_VALUE""")," ")</f>
        <v> </v>
      </c>
      <c r="C4397" s="8">
        <f>IFERROR(__xludf.DUMMYFUNCTION("""COMPUTED_VALUE"""),0.0)</f>
        <v>0</v>
      </c>
      <c r="D4397" s="8"/>
    </row>
    <row r="4398">
      <c r="A4398" s="9" t="str">
        <f>IFERROR(__xludf.DUMMYFUNCTION("""COMPUTED_VALUE"""),"Batch 256")</f>
        <v>Batch 256</v>
      </c>
      <c r="B4398" s="9" t="str">
        <f>IFERROR(__xludf.DUMMYFUNCTION("""COMPUTED_VALUE"""),"VaishnaviC56")</f>
        <v>VaishnaviC56</v>
      </c>
      <c r="C4398" s="8">
        <f>IFERROR(__xludf.DUMMYFUNCTION("""COMPUTED_VALUE"""),5.0)</f>
        <v>5</v>
      </c>
      <c r="D4398" s="8">
        <f>IFERROR(__xludf.DUMMYFUNCTION("""COMPUTED_VALUE"""),1.0)</f>
        <v>1</v>
      </c>
    </row>
    <row r="4399">
      <c r="A4399" s="9" t="str">
        <f>IFERROR(__xludf.DUMMYFUNCTION("""COMPUTED_VALUE"""),"Batch 256")</f>
        <v>Batch 256</v>
      </c>
      <c r="B4399" s="9" t="str">
        <f>IFERROR(__xludf.DUMMYFUNCTION("""COMPUTED_VALUE"""),"TishagniC56")</f>
        <v>TishagniC56</v>
      </c>
      <c r="C4399" s="8">
        <f>IFERROR(__xludf.DUMMYFUNCTION("""COMPUTED_VALUE"""),0.0)</f>
        <v>0</v>
      </c>
      <c r="D4399" s="8"/>
    </row>
    <row r="4400">
      <c r="A4400" s="9" t="str">
        <f>IFERROR(__xludf.DUMMYFUNCTION("""COMPUTED_VALUE"""),"Batch 256")</f>
        <v>Batch 256</v>
      </c>
      <c r="B4400" s="9" t="str">
        <f>IFERROR(__xludf.DUMMYFUNCTION("""COMPUTED_VALUE"""),"NoorC56")</f>
        <v>NoorC56</v>
      </c>
      <c r="C4400" s="8">
        <f>IFERROR(__xludf.DUMMYFUNCTION("""COMPUTED_VALUE"""),0.0)</f>
        <v>0</v>
      </c>
      <c r="D4400" s="8"/>
    </row>
    <row r="4401">
      <c r="A4401" s="9" t="str">
        <f>IFERROR(__xludf.DUMMYFUNCTION("""COMPUTED_VALUE"""),"Batch 256")</f>
        <v>Batch 256</v>
      </c>
      <c r="B4401" s="9" t="str">
        <f>IFERROR(__xludf.DUMMYFUNCTION("""COMPUTED_VALUE"""),"BiswajitC56")</f>
        <v>BiswajitC56</v>
      </c>
      <c r="C4401" s="8">
        <f>IFERROR(__xludf.DUMMYFUNCTION("""COMPUTED_VALUE"""),0.0)</f>
        <v>0</v>
      </c>
      <c r="D4401" s="8"/>
    </row>
    <row r="4402">
      <c r="A4402" s="9" t="str">
        <f>IFERROR(__xludf.DUMMYFUNCTION("""COMPUTED_VALUE"""),"Batch 256")</f>
        <v>Batch 256</v>
      </c>
      <c r="B4402" s="9" t="str">
        <f>IFERROR(__xludf.DUMMYFUNCTION("""COMPUTED_VALUE"""),"KrishnaC56")</f>
        <v>KrishnaC56</v>
      </c>
      <c r="C4402" s="8">
        <f>IFERROR(__xludf.DUMMYFUNCTION("""COMPUTED_VALUE"""),0.0)</f>
        <v>0</v>
      </c>
      <c r="D4402" s="8"/>
    </row>
    <row r="4403">
      <c r="A4403" s="9" t="str">
        <f>IFERROR(__xludf.DUMMYFUNCTION("""COMPUTED_VALUE"""),"Batch 256")</f>
        <v>Batch 256</v>
      </c>
      <c r="B4403" s="9" t="str">
        <f>IFERROR(__xludf.DUMMYFUNCTION("""COMPUTED_VALUE"""),"S.PoomathiC56")</f>
        <v>S.PoomathiC56</v>
      </c>
      <c r="C4403" s="8">
        <f>IFERROR(__xludf.DUMMYFUNCTION("""COMPUTED_VALUE"""),11.0)</f>
        <v>11</v>
      </c>
      <c r="D4403" s="8">
        <f>IFERROR(__xludf.DUMMYFUNCTION("""COMPUTED_VALUE"""),1.0)</f>
        <v>1</v>
      </c>
    </row>
    <row r="4404">
      <c r="A4404" s="9" t="str">
        <f>IFERROR(__xludf.DUMMYFUNCTION("""COMPUTED_VALUE"""),"Batch 256")</f>
        <v>Batch 256</v>
      </c>
      <c r="B4404" s="9" t="str">
        <f>IFERROR(__xludf.DUMMYFUNCTION("""COMPUTED_VALUE"""),"TakshilC56")</f>
        <v>TakshilC56</v>
      </c>
      <c r="C4404" s="8">
        <f>IFERROR(__xludf.DUMMYFUNCTION("""COMPUTED_VALUE"""),0.0)</f>
        <v>0</v>
      </c>
      <c r="D4404" s="8"/>
    </row>
    <row r="4405">
      <c r="A4405" s="9" t="str">
        <f>IFERROR(__xludf.DUMMYFUNCTION("""COMPUTED_VALUE"""),"Batch 256")</f>
        <v>Batch 256</v>
      </c>
      <c r="B4405" s="9" t="str">
        <f>IFERROR(__xludf.DUMMYFUNCTION("""COMPUTED_VALUE"""),"SyedC56")</f>
        <v>SyedC56</v>
      </c>
      <c r="C4405" s="8">
        <f>IFERROR(__xludf.DUMMYFUNCTION("""COMPUTED_VALUE"""),0.0)</f>
        <v>0</v>
      </c>
      <c r="D4405" s="8"/>
    </row>
    <row r="4406">
      <c r="A4406" s="9" t="str">
        <f>IFERROR(__xludf.DUMMYFUNCTION("""COMPUTED_VALUE"""),"Batch 256")</f>
        <v>Batch 256</v>
      </c>
      <c r="B4406" s="9" t="str">
        <f>IFERROR(__xludf.DUMMYFUNCTION("""COMPUTED_VALUE"""),"AdityaC56")</f>
        <v>AdityaC56</v>
      </c>
      <c r="C4406" s="8">
        <f>IFERROR(__xludf.DUMMYFUNCTION("""COMPUTED_VALUE"""),0.0)</f>
        <v>0</v>
      </c>
      <c r="D4406" s="8"/>
    </row>
    <row r="4407">
      <c r="A4407" s="9" t="str">
        <f>IFERROR(__xludf.DUMMYFUNCTION("""COMPUTED_VALUE"""),"Batch 256")</f>
        <v>Batch 256</v>
      </c>
      <c r="B4407" s="9" t="str">
        <f>IFERROR(__xludf.DUMMYFUNCTION("""COMPUTED_VALUE"""),"SHUBANC56")</f>
        <v>SHUBANC56</v>
      </c>
      <c r="C4407" s="8">
        <f>IFERROR(__xludf.DUMMYFUNCTION("""COMPUTED_VALUE"""),0.0)</f>
        <v>0</v>
      </c>
      <c r="D4407" s="8"/>
    </row>
    <row r="4408">
      <c r="A4408" s="9" t="str">
        <f>IFERROR(__xludf.DUMMYFUNCTION("""COMPUTED_VALUE"""),"Batch 256")</f>
        <v>Batch 256</v>
      </c>
      <c r="B4408" s="9" t="str">
        <f>IFERROR(__xludf.DUMMYFUNCTION("""COMPUTED_VALUE"""),"MariaC56")</f>
        <v>MariaC56</v>
      </c>
      <c r="C4408" s="8">
        <f>IFERROR(__xludf.DUMMYFUNCTION("""COMPUTED_VALUE"""),0.0)</f>
        <v>0</v>
      </c>
      <c r="D4408" s="8"/>
    </row>
    <row r="4409">
      <c r="A4409" s="9" t="str">
        <f>IFERROR(__xludf.DUMMYFUNCTION("""COMPUTED_VALUE"""),"Batch 256")</f>
        <v>Batch 256</v>
      </c>
      <c r="B4409" s="9" t="str">
        <f>IFERROR(__xludf.DUMMYFUNCTION("""COMPUTED_VALUE"""),"KashishC56")</f>
        <v>KashishC56</v>
      </c>
      <c r="C4409" s="8">
        <f>IFERROR(__xludf.DUMMYFUNCTION("""COMPUTED_VALUE"""),2.0)</f>
        <v>2</v>
      </c>
      <c r="D4409" s="8"/>
    </row>
    <row r="4410">
      <c r="A4410" s="9" t="str">
        <f>IFERROR(__xludf.DUMMYFUNCTION("""COMPUTED_VALUE"""),"Batch 256")</f>
        <v>Batch 256</v>
      </c>
      <c r="B4410" s="9" t="str">
        <f>IFERROR(__xludf.DUMMYFUNCTION("""COMPUTED_VALUE"""),"PrashantC56")</f>
        <v>PrashantC56</v>
      </c>
      <c r="C4410" s="8">
        <f>IFERROR(__xludf.DUMMYFUNCTION("""COMPUTED_VALUE"""),0.0)</f>
        <v>0</v>
      </c>
      <c r="D4410" s="8"/>
    </row>
    <row r="4411">
      <c r="A4411" s="9" t="str">
        <f>IFERROR(__xludf.DUMMYFUNCTION("""COMPUTED_VALUE"""),"Batch 256")</f>
        <v>Batch 256</v>
      </c>
      <c r="B4411" s="9" t="str">
        <f>IFERROR(__xludf.DUMMYFUNCTION("""COMPUTED_VALUE"""),"IshitaC56")</f>
        <v>IshitaC56</v>
      </c>
      <c r="C4411" s="8">
        <f>IFERROR(__xludf.DUMMYFUNCTION("""COMPUTED_VALUE"""),0.0)</f>
        <v>0</v>
      </c>
      <c r="D4411" s="8"/>
    </row>
    <row r="4412">
      <c r="A4412" s="9" t="str">
        <f>IFERROR(__xludf.DUMMYFUNCTION("""COMPUTED_VALUE"""),"Batch 256")</f>
        <v>Batch 256</v>
      </c>
      <c r="B4412" s="9" t="str">
        <f>IFERROR(__xludf.DUMMYFUNCTION("""COMPUTED_VALUE"""),"ShlokaC56")</f>
        <v>ShlokaC56</v>
      </c>
      <c r="C4412" s="8">
        <f>IFERROR(__xludf.DUMMYFUNCTION("""COMPUTED_VALUE"""),0.0)</f>
        <v>0</v>
      </c>
      <c r="D4412" s="8"/>
    </row>
    <row r="4413">
      <c r="A4413" s="9" t="str">
        <f>IFERROR(__xludf.DUMMYFUNCTION("""COMPUTED_VALUE"""),"Batch 256")</f>
        <v>Batch 256</v>
      </c>
      <c r="B4413" s="9" t="str">
        <f>IFERROR(__xludf.DUMMYFUNCTION("""COMPUTED_VALUE"""),"GYANESHWARIC56")</f>
        <v>GYANESHWARIC56</v>
      </c>
      <c r="C4413" s="8">
        <f>IFERROR(__xludf.DUMMYFUNCTION("""COMPUTED_VALUE"""),2.0)</f>
        <v>2</v>
      </c>
      <c r="D4413" s="8"/>
    </row>
    <row r="4414">
      <c r="A4414" s="9" t="str">
        <f>IFERROR(__xludf.DUMMYFUNCTION("""COMPUTED_VALUE"""),"Batch 256")</f>
        <v>Batch 256</v>
      </c>
      <c r="B4414" s="9" t="str">
        <f>IFERROR(__xludf.DUMMYFUNCTION("""COMPUTED_VALUE"""),"RohitC56")</f>
        <v>RohitC56</v>
      </c>
      <c r="C4414" s="8">
        <f>IFERROR(__xludf.DUMMYFUNCTION("""COMPUTED_VALUE"""),2.0)</f>
        <v>2</v>
      </c>
      <c r="D4414" s="8"/>
    </row>
    <row r="4415">
      <c r="A4415" s="9" t="str">
        <f>IFERROR(__xludf.DUMMYFUNCTION("""COMPUTED_VALUE"""),"Batch 256")</f>
        <v>Batch 256</v>
      </c>
      <c r="B4415" s="9" t="str">
        <f>IFERROR(__xludf.DUMMYFUNCTION("""COMPUTED_VALUE"""),"TarandeepC56")</f>
        <v>TarandeepC56</v>
      </c>
      <c r="C4415" s="8">
        <f>IFERROR(__xludf.DUMMYFUNCTION("""COMPUTED_VALUE"""),0.0)</f>
        <v>0</v>
      </c>
      <c r="D4415" s="8"/>
    </row>
    <row r="4416">
      <c r="A4416" s="9" t="str">
        <f>IFERROR(__xludf.DUMMYFUNCTION("""COMPUTED_VALUE"""),"Batch 256")</f>
        <v>Batch 256</v>
      </c>
      <c r="B4416" s="9" t="str">
        <f>IFERROR(__xludf.DUMMYFUNCTION("""COMPUTED_VALUE"""),"MansiC56")</f>
        <v>MansiC56</v>
      </c>
      <c r="C4416" s="8">
        <f>IFERROR(__xludf.DUMMYFUNCTION("""COMPUTED_VALUE"""),0.0)</f>
        <v>0</v>
      </c>
      <c r="D4416" s="8"/>
    </row>
    <row r="4417">
      <c r="A4417" s="9" t="str">
        <f>IFERROR(__xludf.DUMMYFUNCTION("""COMPUTED_VALUE"""),"Batch 256")</f>
        <v>Batch 256</v>
      </c>
      <c r="B4417" s="9" t="str">
        <f>IFERROR(__xludf.DUMMYFUNCTION("""COMPUTED_VALUE"""),"JudithC56")</f>
        <v>JudithC56</v>
      </c>
      <c r="C4417" s="8">
        <f>IFERROR(__xludf.DUMMYFUNCTION("""COMPUTED_VALUE"""),4.0)</f>
        <v>4</v>
      </c>
      <c r="D4417" s="8"/>
    </row>
    <row r="4418">
      <c r="A4418" s="9" t="str">
        <f>IFERROR(__xludf.DUMMYFUNCTION("""COMPUTED_VALUE"""),"Batch 256")</f>
        <v>Batch 256</v>
      </c>
      <c r="B4418" s="9" t="str">
        <f>IFERROR(__xludf.DUMMYFUNCTION("""COMPUTED_VALUE"""),"SmrutiC56")</f>
        <v>SmrutiC56</v>
      </c>
      <c r="C4418" s="8">
        <f>IFERROR(__xludf.DUMMYFUNCTION("""COMPUTED_VALUE"""),0.0)</f>
        <v>0</v>
      </c>
      <c r="D4418" s="8"/>
    </row>
    <row r="4419">
      <c r="A4419" s="9" t="str">
        <f>IFERROR(__xludf.DUMMYFUNCTION("""COMPUTED_VALUE"""),"Batch 256")</f>
        <v>Batch 256</v>
      </c>
      <c r="B4419" s="9" t="str">
        <f>IFERROR(__xludf.DUMMYFUNCTION("""COMPUTED_VALUE"""),"SuufiC56")</f>
        <v>SuufiC56</v>
      </c>
      <c r="C4419" s="8">
        <f>IFERROR(__xludf.DUMMYFUNCTION("""COMPUTED_VALUE"""),0.0)</f>
        <v>0</v>
      </c>
      <c r="D4419" s="8"/>
    </row>
    <row r="4420">
      <c r="A4420" s="9" t="str">
        <f>IFERROR(__xludf.DUMMYFUNCTION("""COMPUTED_VALUE"""),"Batch 256")</f>
        <v>Batch 256</v>
      </c>
      <c r="B4420" s="9" t="str">
        <f>IFERROR(__xludf.DUMMYFUNCTION("""COMPUTED_VALUE"""),"AdarshC56")</f>
        <v>AdarshC56</v>
      </c>
      <c r="C4420" s="8">
        <f>IFERROR(__xludf.DUMMYFUNCTION("""COMPUTED_VALUE"""),0.0)</f>
        <v>0</v>
      </c>
      <c r="D4420" s="8"/>
    </row>
    <row r="4421">
      <c r="A4421" s="9" t="str">
        <f>IFERROR(__xludf.DUMMYFUNCTION("""COMPUTED_VALUE"""),"Batch 256")</f>
        <v>Batch 256</v>
      </c>
      <c r="B4421" s="9" t="str">
        <f>IFERROR(__xludf.DUMMYFUNCTION("""COMPUTED_VALUE"""),"AkankshaC56")</f>
        <v>AkankshaC56</v>
      </c>
      <c r="C4421" s="8">
        <f>IFERROR(__xludf.DUMMYFUNCTION("""COMPUTED_VALUE"""),0.0)</f>
        <v>0</v>
      </c>
      <c r="D4421" s="8"/>
    </row>
    <row r="4422">
      <c r="A4422" s="9" t="str">
        <f>IFERROR(__xludf.DUMMYFUNCTION("""COMPUTED_VALUE"""),"Batch 256")</f>
        <v>Batch 256</v>
      </c>
      <c r="B4422" s="9" t="str">
        <f>IFERROR(__xludf.DUMMYFUNCTION("""COMPUTED_VALUE"""),"SharanyaC56")</f>
        <v>SharanyaC56</v>
      </c>
      <c r="C4422" s="8">
        <f>IFERROR(__xludf.DUMMYFUNCTION("""COMPUTED_VALUE"""),0.0)</f>
        <v>0</v>
      </c>
      <c r="D4422" s="8"/>
    </row>
    <row r="4423">
      <c r="A4423" s="9" t="str">
        <f>IFERROR(__xludf.DUMMYFUNCTION("""COMPUTED_VALUE"""),"Batch 256")</f>
        <v>Batch 256</v>
      </c>
      <c r="B4423" s="9" t="str">
        <f>IFERROR(__xludf.DUMMYFUNCTION("""COMPUTED_VALUE"""),"RiyaC56")</f>
        <v>RiyaC56</v>
      </c>
      <c r="C4423" s="8">
        <f>IFERROR(__xludf.DUMMYFUNCTION("""COMPUTED_VALUE"""),0.0)</f>
        <v>0</v>
      </c>
      <c r="D4423" s="8"/>
    </row>
    <row r="4424">
      <c r="A4424" s="9" t="str">
        <f>IFERROR(__xludf.DUMMYFUNCTION("""COMPUTED_VALUE"""),"Batch 256")</f>
        <v>Batch 256</v>
      </c>
      <c r="B4424" s="9" t="str">
        <f>IFERROR(__xludf.DUMMYFUNCTION("""COMPUTED_VALUE""")," ")</f>
        <v> </v>
      </c>
      <c r="C4424" s="8">
        <f>IFERROR(__xludf.DUMMYFUNCTION("""COMPUTED_VALUE"""),0.0)</f>
        <v>0</v>
      </c>
      <c r="D4424" s="8"/>
    </row>
    <row r="4425">
      <c r="A4425" s="9" t="str">
        <f>IFERROR(__xludf.DUMMYFUNCTION("""COMPUTED_VALUE"""),"Batch 256")</f>
        <v>Batch 256</v>
      </c>
      <c r="B4425" s="9" t="str">
        <f>IFERROR(__xludf.DUMMYFUNCTION("""COMPUTED_VALUE"""),"MittaC56")</f>
        <v>MittaC56</v>
      </c>
      <c r="C4425" s="8">
        <f>IFERROR(__xludf.DUMMYFUNCTION("""COMPUTED_VALUE"""),2.0)</f>
        <v>2</v>
      </c>
      <c r="D4425" s="8"/>
    </row>
    <row r="4426">
      <c r="A4426" s="9" t="str">
        <f>IFERROR(__xludf.DUMMYFUNCTION("""COMPUTED_VALUE"""),"Batch 256")</f>
        <v>Batch 256</v>
      </c>
      <c r="B4426" s="9" t="str">
        <f>IFERROR(__xludf.DUMMYFUNCTION("""COMPUTED_VALUE"""),"YashikaC56")</f>
        <v>YashikaC56</v>
      </c>
      <c r="C4426" s="8">
        <f>IFERROR(__xludf.DUMMYFUNCTION("""COMPUTED_VALUE"""),0.0)</f>
        <v>0</v>
      </c>
      <c r="D4426" s="8"/>
    </row>
    <row r="4427">
      <c r="A4427" s="9" t="str">
        <f>IFERROR(__xludf.DUMMYFUNCTION("""COMPUTED_VALUE"""),"Batch 256")</f>
        <v>Batch 256</v>
      </c>
      <c r="B4427" s="9" t="str">
        <f>IFERROR(__xludf.DUMMYFUNCTION("""COMPUTED_VALUE"""),"KiranC56")</f>
        <v>KiranC56</v>
      </c>
      <c r="C4427" s="8">
        <f>IFERROR(__xludf.DUMMYFUNCTION("""COMPUTED_VALUE"""),0.0)</f>
        <v>0</v>
      </c>
      <c r="D4427" s="8"/>
    </row>
    <row r="4428">
      <c r="A4428" s="9" t="str">
        <f>IFERROR(__xludf.DUMMYFUNCTION("""COMPUTED_VALUE"""),"Batch 256")</f>
        <v>Batch 256</v>
      </c>
      <c r="B4428" s="9" t="str">
        <f>IFERROR(__xludf.DUMMYFUNCTION("""COMPUTED_VALUE"""),"ShaikC56")</f>
        <v>ShaikC56</v>
      </c>
      <c r="C4428" s="8">
        <f>IFERROR(__xludf.DUMMYFUNCTION("""COMPUTED_VALUE"""),6.0)</f>
        <v>6</v>
      </c>
      <c r="D4428" s="8"/>
    </row>
    <row r="4429">
      <c r="A4429" s="9" t="str">
        <f>IFERROR(__xludf.DUMMYFUNCTION("""COMPUTED_VALUE"""),"Batch 256")</f>
        <v>Batch 256</v>
      </c>
      <c r="B4429" s="9" t="str">
        <f>IFERROR(__xludf.DUMMYFUNCTION("""COMPUTED_VALUE"""),"SowmyaC56")</f>
        <v>SowmyaC56</v>
      </c>
      <c r="C4429" s="8">
        <f>IFERROR(__xludf.DUMMYFUNCTION("""COMPUTED_VALUE"""),1.0)</f>
        <v>1</v>
      </c>
      <c r="D4429" s="8"/>
    </row>
    <row r="4430">
      <c r="A4430" s="9" t="str">
        <f>IFERROR(__xludf.DUMMYFUNCTION("""COMPUTED_VALUE"""),"Batch 256")</f>
        <v>Batch 256</v>
      </c>
      <c r="B4430" s="9" t="str">
        <f>IFERROR(__xludf.DUMMYFUNCTION("""COMPUTED_VALUE"""),"NaushitC56")</f>
        <v>NaushitC56</v>
      </c>
      <c r="C4430" s="8">
        <f>IFERROR(__xludf.DUMMYFUNCTION("""COMPUTED_VALUE"""),0.0)</f>
        <v>0</v>
      </c>
      <c r="D4430" s="8"/>
    </row>
    <row r="4431">
      <c r="A4431" s="9" t="str">
        <f>IFERROR(__xludf.DUMMYFUNCTION("""COMPUTED_VALUE"""),"Batch 256")</f>
        <v>Batch 256</v>
      </c>
      <c r="B4431" s="9" t="str">
        <f>IFERROR(__xludf.DUMMYFUNCTION("""COMPUTED_VALUE"""),"KolliC56")</f>
        <v>KolliC56</v>
      </c>
      <c r="C4431" s="8">
        <f>IFERROR(__xludf.DUMMYFUNCTION("""COMPUTED_VALUE"""),0.0)</f>
        <v>0</v>
      </c>
      <c r="D4431" s="8"/>
    </row>
    <row r="4432">
      <c r="A4432" s="9" t="str">
        <f>IFERROR(__xludf.DUMMYFUNCTION("""COMPUTED_VALUE"""),"Batch 256")</f>
        <v>Batch 256</v>
      </c>
      <c r="B4432" s="9" t="str">
        <f>IFERROR(__xludf.DUMMYFUNCTION("""COMPUTED_VALUE"""),"MaheshC56")</f>
        <v>MaheshC56</v>
      </c>
      <c r="C4432" s="8">
        <f>IFERROR(__xludf.DUMMYFUNCTION("""COMPUTED_VALUE"""),0.0)</f>
        <v>0</v>
      </c>
      <c r="D4432" s="8"/>
    </row>
    <row r="4433">
      <c r="A4433" s="9" t="str">
        <f>IFERROR(__xludf.DUMMYFUNCTION("""COMPUTED_VALUE"""),"Batch 256")</f>
        <v>Batch 256</v>
      </c>
      <c r="B4433" s="9" t="str">
        <f>IFERROR(__xludf.DUMMYFUNCTION("""COMPUTED_VALUE"""),"SivaC56")</f>
        <v>SivaC56</v>
      </c>
      <c r="C4433" s="8">
        <f>IFERROR(__xludf.DUMMYFUNCTION("""COMPUTED_VALUE"""),2.0)</f>
        <v>2</v>
      </c>
      <c r="D4433" s="8"/>
    </row>
    <row r="4434">
      <c r="A4434" s="9" t="str">
        <f>IFERROR(__xludf.DUMMYFUNCTION("""COMPUTED_VALUE"""),"Batch 256")</f>
        <v>Batch 256</v>
      </c>
      <c r="B4434" s="9" t="str">
        <f>IFERROR(__xludf.DUMMYFUNCTION("""COMPUTED_VALUE"""),"BhumikaC56")</f>
        <v>BhumikaC56</v>
      </c>
      <c r="C4434" s="8">
        <f>IFERROR(__xludf.DUMMYFUNCTION("""COMPUTED_VALUE"""),1.0)</f>
        <v>1</v>
      </c>
      <c r="D4434" s="8"/>
    </row>
    <row r="4435">
      <c r="A4435" s="9" t="str">
        <f>IFERROR(__xludf.DUMMYFUNCTION("""COMPUTED_VALUE"""),"Batch 256")</f>
        <v>Batch 256</v>
      </c>
      <c r="B4435" s="9" t="str">
        <f>IFERROR(__xludf.DUMMYFUNCTION("""COMPUTED_VALUE"""),"NishanthiniC56")</f>
        <v>NishanthiniC56</v>
      </c>
      <c r="C4435" s="8">
        <f>IFERROR(__xludf.DUMMYFUNCTION("""COMPUTED_VALUE"""),18.0)</f>
        <v>18</v>
      </c>
      <c r="D4435" s="8">
        <f>IFERROR(__xludf.DUMMYFUNCTION("""COMPUTED_VALUE"""),3.0)</f>
        <v>3</v>
      </c>
    </row>
    <row r="4436">
      <c r="A4436" s="9" t="str">
        <f>IFERROR(__xludf.DUMMYFUNCTION("""COMPUTED_VALUE"""),"Batch 256")</f>
        <v>Batch 256</v>
      </c>
      <c r="B4436" s="9" t="str">
        <f>IFERROR(__xludf.DUMMYFUNCTION("""COMPUTED_VALUE"""),"RajnandiniC56")</f>
        <v>RajnandiniC56</v>
      </c>
      <c r="C4436" s="8">
        <f>IFERROR(__xludf.DUMMYFUNCTION("""COMPUTED_VALUE"""),0.0)</f>
        <v>0</v>
      </c>
      <c r="D4436" s="8"/>
    </row>
    <row r="4437">
      <c r="A4437" s="9" t="str">
        <f>IFERROR(__xludf.DUMMYFUNCTION("""COMPUTED_VALUE"""),"Batch 256")</f>
        <v>Batch 256</v>
      </c>
      <c r="B4437" s="9" t="str">
        <f>IFERROR(__xludf.DUMMYFUNCTION("""COMPUTED_VALUE"""),"JashmiC56")</f>
        <v>JashmiC56</v>
      </c>
      <c r="C4437" s="8">
        <f>IFERROR(__xludf.DUMMYFUNCTION("""COMPUTED_VALUE"""),0.0)</f>
        <v>0</v>
      </c>
      <c r="D4437" s="8"/>
    </row>
    <row r="4438">
      <c r="A4438" s="9" t="str">
        <f>IFERROR(__xludf.DUMMYFUNCTION("""COMPUTED_VALUE"""),"Batch 256")</f>
        <v>Batch 256</v>
      </c>
      <c r="B4438" s="9" t="str">
        <f>IFERROR(__xludf.DUMMYFUNCTION("""COMPUTED_VALUE"""),"AryanC56")</f>
        <v>AryanC56</v>
      </c>
      <c r="C4438" s="8">
        <f>IFERROR(__xludf.DUMMYFUNCTION("""COMPUTED_VALUE"""),0.0)</f>
        <v>0</v>
      </c>
      <c r="D4438" s="8"/>
    </row>
    <row r="4439">
      <c r="A4439" s="9" t="str">
        <f>IFERROR(__xludf.DUMMYFUNCTION("""COMPUTED_VALUE"""),"Batch 256")</f>
        <v>Batch 256</v>
      </c>
      <c r="B4439" s="9" t="str">
        <f>IFERROR(__xludf.DUMMYFUNCTION("""COMPUTED_VALUE"""),"KavyaC56")</f>
        <v>KavyaC56</v>
      </c>
      <c r="C4439" s="8">
        <f>IFERROR(__xludf.DUMMYFUNCTION("""COMPUTED_VALUE"""),0.0)</f>
        <v>0</v>
      </c>
      <c r="D4439" s="8"/>
    </row>
    <row r="4440">
      <c r="A4440" s="9" t="str">
        <f>IFERROR(__xludf.DUMMYFUNCTION("""COMPUTED_VALUE"""),"Batch 256")</f>
        <v>Batch 256</v>
      </c>
      <c r="B4440" s="9" t="str">
        <f>IFERROR(__xludf.DUMMYFUNCTION("""COMPUTED_VALUE"""),"AdhiC56")</f>
        <v>AdhiC56</v>
      </c>
      <c r="C4440" s="8">
        <f>IFERROR(__xludf.DUMMYFUNCTION("""COMPUTED_VALUE"""),0.0)</f>
        <v>0</v>
      </c>
      <c r="D4440" s="8"/>
    </row>
    <row r="4441">
      <c r="A4441" s="9" t="str">
        <f>IFERROR(__xludf.DUMMYFUNCTION("""COMPUTED_VALUE"""),"Batch 256")</f>
        <v>Batch 256</v>
      </c>
      <c r="B4441" s="9" t="str">
        <f>IFERROR(__xludf.DUMMYFUNCTION("""COMPUTED_VALUE"""),"GURUC56")</f>
        <v>GURUC56</v>
      </c>
      <c r="C4441" s="8">
        <f>IFERROR(__xludf.DUMMYFUNCTION("""COMPUTED_VALUE"""),3.0)</f>
        <v>3</v>
      </c>
      <c r="D4441" s="8"/>
    </row>
    <row r="4442">
      <c r="A4442" s="9" t="str">
        <f>IFERROR(__xludf.DUMMYFUNCTION("""COMPUTED_VALUE"""),"Batch 256")</f>
        <v>Batch 256</v>
      </c>
      <c r="B4442" s="9" t="str">
        <f>IFERROR(__xludf.DUMMYFUNCTION("""COMPUTED_VALUE"""),"SujithC56")</f>
        <v>SujithC56</v>
      </c>
      <c r="C4442" s="8">
        <f>IFERROR(__xludf.DUMMYFUNCTION("""COMPUTED_VALUE"""),0.0)</f>
        <v>0</v>
      </c>
      <c r="D4442" s="8"/>
    </row>
    <row r="4443">
      <c r="A4443" s="9" t="str">
        <f>IFERROR(__xludf.DUMMYFUNCTION("""COMPUTED_VALUE"""),"Batch 256")</f>
        <v>Batch 256</v>
      </c>
      <c r="B4443" s="9" t="str">
        <f>IFERROR(__xludf.DUMMYFUNCTION("""COMPUTED_VALUE"""),"AshwinC56")</f>
        <v>AshwinC56</v>
      </c>
      <c r="C4443" s="8">
        <f>IFERROR(__xludf.DUMMYFUNCTION("""COMPUTED_VALUE"""),0.0)</f>
        <v>0</v>
      </c>
      <c r="D4443" s="8"/>
    </row>
    <row r="4444">
      <c r="A4444" s="9" t="str">
        <f>IFERROR(__xludf.DUMMYFUNCTION("""COMPUTED_VALUE"""),"Batch 256")</f>
        <v>Batch 256</v>
      </c>
      <c r="B4444" s="9" t="str">
        <f>IFERROR(__xludf.DUMMYFUNCTION("""COMPUTED_VALUE"""),"KhushiC56")</f>
        <v>KhushiC56</v>
      </c>
      <c r="C4444" s="8">
        <f>IFERROR(__xludf.DUMMYFUNCTION("""COMPUTED_VALUE"""),0.0)</f>
        <v>0</v>
      </c>
      <c r="D4444" s="8"/>
    </row>
    <row r="4445">
      <c r="A4445" s="9" t="str">
        <f>IFERROR(__xludf.DUMMYFUNCTION("""COMPUTED_VALUE"""),"Batch 256")</f>
        <v>Batch 256</v>
      </c>
      <c r="B4445" s="9" t="str">
        <f>IFERROR(__xludf.DUMMYFUNCTION("""COMPUTED_VALUE"""),"EejarlaC56")</f>
        <v>EejarlaC56</v>
      </c>
      <c r="C4445" s="8">
        <f>IFERROR(__xludf.DUMMYFUNCTION("""COMPUTED_VALUE"""),0.0)</f>
        <v>0</v>
      </c>
      <c r="D4445" s="8"/>
    </row>
    <row r="4446">
      <c r="A4446" s="9"/>
      <c r="B4446" s="9"/>
      <c r="C4446" s="8">
        <f>IFERROR(__xludf.DUMMYFUNCTION("""COMPUTED_VALUE"""),0.0)</f>
        <v>0</v>
      </c>
      <c r="D4446" s="8"/>
    </row>
    <row r="4447">
      <c r="A4447" s="9" t="str">
        <f>IFERROR(__xludf.DUMMYFUNCTION("""COMPUTED_VALUE"""),"Batch 257")</f>
        <v>Batch 257</v>
      </c>
      <c r="B4447" s="9" t="str">
        <f>IFERROR(__xludf.DUMMYFUNCTION("""COMPUTED_VALUE"""),"HanumanC57")</f>
        <v>HanumanC57</v>
      </c>
      <c r="C4447" s="8">
        <f>IFERROR(__xludf.DUMMYFUNCTION("""COMPUTED_VALUE"""),0.0)</f>
        <v>0</v>
      </c>
      <c r="D4447" s="8"/>
    </row>
    <row r="4448">
      <c r="A4448" s="9" t="str">
        <f>IFERROR(__xludf.DUMMYFUNCTION("""COMPUTED_VALUE"""),"Batch 257")</f>
        <v>Batch 257</v>
      </c>
      <c r="B4448" s="9" t="str">
        <f>IFERROR(__xludf.DUMMYFUNCTION("""COMPUTED_VALUE"""),"AyushC57")</f>
        <v>AyushC57</v>
      </c>
      <c r="C4448" s="8">
        <f>IFERROR(__xludf.DUMMYFUNCTION("""COMPUTED_VALUE"""),0.0)</f>
        <v>0</v>
      </c>
      <c r="D4448" s="8"/>
    </row>
    <row r="4449">
      <c r="A4449" s="9" t="str">
        <f>IFERROR(__xludf.DUMMYFUNCTION("""COMPUTED_VALUE"""),"Batch 257")</f>
        <v>Batch 257</v>
      </c>
      <c r="B4449" s="9" t="str">
        <f>IFERROR(__xludf.DUMMYFUNCTION("""COMPUTED_VALUE"""),"ArushC57")</f>
        <v>ArushC57</v>
      </c>
      <c r="C4449" s="8">
        <f>IFERROR(__xludf.DUMMYFUNCTION("""COMPUTED_VALUE"""),0.0)</f>
        <v>0</v>
      </c>
      <c r="D4449" s="8"/>
    </row>
    <row r="4450">
      <c r="A4450" s="9" t="str">
        <f>IFERROR(__xludf.DUMMYFUNCTION("""COMPUTED_VALUE"""),"Batch 257")</f>
        <v>Batch 257</v>
      </c>
      <c r="B4450" s="9" t="str">
        <f>IFERROR(__xludf.DUMMYFUNCTION("""COMPUTED_VALUE"""),"MishtiC57")</f>
        <v>MishtiC57</v>
      </c>
      <c r="C4450" s="8">
        <f>IFERROR(__xludf.DUMMYFUNCTION("""COMPUTED_VALUE"""),3.0)</f>
        <v>3</v>
      </c>
      <c r="D4450" s="8"/>
    </row>
    <row r="4451">
      <c r="A4451" s="9" t="str">
        <f>IFERROR(__xludf.DUMMYFUNCTION("""COMPUTED_VALUE"""),"Batch 257")</f>
        <v>Batch 257</v>
      </c>
      <c r="B4451" s="9" t="str">
        <f>IFERROR(__xludf.DUMMYFUNCTION("""COMPUTED_VALUE"""),"VishalC57")</f>
        <v>VishalC57</v>
      </c>
      <c r="C4451" s="8">
        <f>IFERROR(__xludf.DUMMYFUNCTION("""COMPUTED_VALUE"""),0.0)</f>
        <v>0</v>
      </c>
      <c r="D4451" s="8"/>
    </row>
    <row r="4452">
      <c r="A4452" s="9" t="str">
        <f>IFERROR(__xludf.DUMMYFUNCTION("""COMPUTED_VALUE"""),"Batch 257")</f>
        <v>Batch 257</v>
      </c>
      <c r="B4452" s="9" t="str">
        <f>IFERROR(__xludf.DUMMYFUNCTION("""COMPUTED_VALUE"""),"MishtiC57")</f>
        <v>MishtiC57</v>
      </c>
      <c r="C4452" s="8">
        <f>IFERROR(__xludf.DUMMYFUNCTION("""COMPUTED_VALUE"""),0.0)</f>
        <v>0</v>
      </c>
      <c r="D4452" s="8"/>
    </row>
    <row r="4453">
      <c r="A4453" s="9" t="str">
        <f>IFERROR(__xludf.DUMMYFUNCTION("""COMPUTED_VALUE"""),"Batch 257")</f>
        <v>Batch 257</v>
      </c>
      <c r="B4453" s="9" t="str">
        <f>IFERROR(__xludf.DUMMYFUNCTION("""COMPUTED_VALUE"""),"RithanyaC57")</f>
        <v>RithanyaC57</v>
      </c>
      <c r="C4453" s="8">
        <f>IFERROR(__xludf.DUMMYFUNCTION("""COMPUTED_VALUE"""),6.0)</f>
        <v>6</v>
      </c>
      <c r="D4453" s="8"/>
    </row>
    <row r="4454">
      <c r="A4454" s="9" t="str">
        <f>IFERROR(__xludf.DUMMYFUNCTION("""COMPUTED_VALUE"""),"Batch 257")</f>
        <v>Batch 257</v>
      </c>
      <c r="B4454" s="9" t="str">
        <f>IFERROR(__xludf.DUMMYFUNCTION("""COMPUTED_VALUE"""),"WasundaraC57")</f>
        <v>WasundaraC57</v>
      </c>
      <c r="C4454" s="8">
        <f>IFERROR(__xludf.DUMMYFUNCTION("""COMPUTED_VALUE"""),0.0)</f>
        <v>0</v>
      </c>
      <c r="D4454" s="8"/>
    </row>
    <row r="4455">
      <c r="A4455" s="9" t="str">
        <f>IFERROR(__xludf.DUMMYFUNCTION("""COMPUTED_VALUE"""),"Batch 257")</f>
        <v>Batch 257</v>
      </c>
      <c r="B4455" s="9" t="str">
        <f>IFERROR(__xludf.DUMMYFUNCTION("""COMPUTED_VALUE"""),"AkashC57")</f>
        <v>AkashC57</v>
      </c>
      <c r="C4455" s="8">
        <f>IFERROR(__xludf.DUMMYFUNCTION("""COMPUTED_VALUE"""),21.0)</f>
        <v>21</v>
      </c>
      <c r="D4455" s="8">
        <f>IFERROR(__xludf.DUMMYFUNCTION("""COMPUTED_VALUE"""),1.0)</f>
        <v>1</v>
      </c>
    </row>
    <row r="4456">
      <c r="A4456" s="9" t="str">
        <f>IFERROR(__xludf.DUMMYFUNCTION("""COMPUTED_VALUE"""),"Batch 257")</f>
        <v>Batch 257</v>
      </c>
      <c r="B4456" s="9" t="str">
        <f>IFERROR(__xludf.DUMMYFUNCTION("""COMPUTED_VALUE"""),"AksharaC57")</f>
        <v>AksharaC57</v>
      </c>
      <c r="C4456" s="8">
        <f>IFERROR(__xludf.DUMMYFUNCTION("""COMPUTED_VALUE"""),0.0)</f>
        <v>0</v>
      </c>
      <c r="D4456" s="8"/>
    </row>
    <row r="4457">
      <c r="A4457" s="9" t="str">
        <f>IFERROR(__xludf.DUMMYFUNCTION("""COMPUTED_VALUE"""),"Batch 257")</f>
        <v>Batch 257</v>
      </c>
      <c r="B4457" s="9" t="str">
        <f>IFERROR(__xludf.DUMMYFUNCTION("""COMPUTED_VALUE"""),"ParthivC57")</f>
        <v>ParthivC57</v>
      </c>
      <c r="C4457" s="8">
        <f>IFERROR(__xludf.DUMMYFUNCTION("""COMPUTED_VALUE"""),1.0)</f>
        <v>1</v>
      </c>
      <c r="D4457" s="8"/>
    </row>
    <row r="4458">
      <c r="A4458" s="9" t="str">
        <f>IFERROR(__xludf.DUMMYFUNCTION("""COMPUTED_VALUE"""),"Batch 257")</f>
        <v>Batch 257</v>
      </c>
      <c r="B4458" s="9" t="str">
        <f>IFERROR(__xludf.DUMMYFUNCTION("""COMPUTED_VALUE"""),"TubaC57")</f>
        <v>TubaC57</v>
      </c>
      <c r="C4458" s="8">
        <f>IFERROR(__xludf.DUMMYFUNCTION("""COMPUTED_VALUE"""),0.0)</f>
        <v>0</v>
      </c>
      <c r="D4458" s="8"/>
    </row>
    <row r="4459">
      <c r="A4459" s="9" t="str">
        <f>IFERROR(__xludf.DUMMYFUNCTION("""COMPUTED_VALUE"""),"Batch 257")</f>
        <v>Batch 257</v>
      </c>
      <c r="B4459" s="9" t="str">
        <f>IFERROR(__xludf.DUMMYFUNCTION("""COMPUTED_VALUE"""),"KarishmaC57")</f>
        <v>KarishmaC57</v>
      </c>
      <c r="C4459" s="8">
        <f>IFERROR(__xludf.DUMMYFUNCTION("""COMPUTED_VALUE"""),0.0)</f>
        <v>0</v>
      </c>
      <c r="D4459" s="8"/>
    </row>
    <row r="4460">
      <c r="A4460" s="9" t="str">
        <f>IFERROR(__xludf.DUMMYFUNCTION("""COMPUTED_VALUE"""),"Batch 257")</f>
        <v>Batch 257</v>
      </c>
      <c r="B4460" s="9" t="str">
        <f>IFERROR(__xludf.DUMMYFUNCTION("""COMPUTED_VALUE"""),"SibaniC57")</f>
        <v>SibaniC57</v>
      </c>
      <c r="C4460" s="8">
        <f>IFERROR(__xludf.DUMMYFUNCTION("""COMPUTED_VALUE"""),1.0)</f>
        <v>1</v>
      </c>
      <c r="D4460" s="8"/>
    </row>
    <row r="4461">
      <c r="A4461" s="9" t="str">
        <f>IFERROR(__xludf.DUMMYFUNCTION("""COMPUTED_VALUE"""),"Batch 257")</f>
        <v>Batch 257</v>
      </c>
      <c r="B4461" s="9" t="str">
        <f>IFERROR(__xludf.DUMMYFUNCTION("""COMPUTED_VALUE"""),"HarshithaC57")</f>
        <v>HarshithaC57</v>
      </c>
      <c r="C4461" s="8">
        <f>IFERROR(__xludf.DUMMYFUNCTION("""COMPUTED_VALUE"""),0.0)</f>
        <v>0</v>
      </c>
      <c r="D4461" s="8"/>
    </row>
    <row r="4462">
      <c r="A4462" s="9" t="str">
        <f>IFERROR(__xludf.DUMMYFUNCTION("""COMPUTED_VALUE"""),"Batch 257")</f>
        <v>Batch 257</v>
      </c>
      <c r="B4462" s="9" t="str">
        <f>IFERROR(__xludf.DUMMYFUNCTION("""COMPUTED_VALUE"""),"AKSHARC57")</f>
        <v>AKSHARC57</v>
      </c>
      <c r="C4462" s="8">
        <f>IFERROR(__xludf.DUMMYFUNCTION("""COMPUTED_VALUE"""),0.0)</f>
        <v>0</v>
      </c>
      <c r="D4462" s="8"/>
    </row>
    <row r="4463">
      <c r="A4463" s="9" t="str">
        <f>IFERROR(__xludf.DUMMYFUNCTION("""COMPUTED_VALUE"""),"Batch 257")</f>
        <v>Batch 257</v>
      </c>
      <c r="B4463" s="9" t="str">
        <f>IFERROR(__xludf.DUMMYFUNCTION("""COMPUTED_VALUE"""),"RohanC57")</f>
        <v>RohanC57</v>
      </c>
      <c r="C4463" s="8">
        <f>IFERROR(__xludf.DUMMYFUNCTION("""COMPUTED_VALUE"""),10.0)</f>
        <v>10</v>
      </c>
      <c r="D4463" s="8">
        <f>IFERROR(__xludf.DUMMYFUNCTION("""COMPUTED_VALUE"""),9.0)</f>
        <v>9</v>
      </c>
    </row>
    <row r="4464">
      <c r="A4464" s="9" t="str">
        <f>IFERROR(__xludf.DUMMYFUNCTION("""COMPUTED_VALUE"""),"Batch 257")</f>
        <v>Batch 257</v>
      </c>
      <c r="B4464" s="9" t="str">
        <f>IFERROR(__xludf.DUMMYFUNCTION("""COMPUTED_VALUE"""),"NacharamC57")</f>
        <v>NacharamC57</v>
      </c>
      <c r="C4464" s="8">
        <f>IFERROR(__xludf.DUMMYFUNCTION("""COMPUTED_VALUE"""),0.0)</f>
        <v>0</v>
      </c>
      <c r="D4464" s="8"/>
    </row>
    <row r="4465">
      <c r="A4465" s="9" t="str">
        <f>IFERROR(__xludf.DUMMYFUNCTION("""COMPUTED_VALUE"""),"Batch 257")</f>
        <v>Batch 257</v>
      </c>
      <c r="B4465" s="9" t="str">
        <f>IFERROR(__xludf.DUMMYFUNCTION("""COMPUTED_VALUE"""),"SwetaC57")</f>
        <v>SwetaC57</v>
      </c>
      <c r="C4465" s="8">
        <f>IFERROR(__xludf.DUMMYFUNCTION("""COMPUTED_VALUE"""),0.0)</f>
        <v>0</v>
      </c>
      <c r="D4465" s="8"/>
    </row>
    <row r="4466">
      <c r="A4466" s="9" t="str">
        <f>IFERROR(__xludf.DUMMYFUNCTION("""COMPUTED_VALUE"""),"Batch 257")</f>
        <v>Batch 257</v>
      </c>
      <c r="B4466" s="9" t="str">
        <f>IFERROR(__xludf.DUMMYFUNCTION("""COMPUTED_VALUE"""),"S.AdityaC57")</f>
        <v>S.AdityaC57</v>
      </c>
      <c r="C4466" s="8">
        <f>IFERROR(__xludf.DUMMYFUNCTION("""COMPUTED_VALUE"""),0.0)</f>
        <v>0</v>
      </c>
      <c r="D4466" s="8"/>
    </row>
    <row r="4467">
      <c r="A4467" s="9" t="str">
        <f>IFERROR(__xludf.DUMMYFUNCTION("""COMPUTED_VALUE"""),"Batch 257")</f>
        <v>Batch 257</v>
      </c>
      <c r="B4467" s="9" t="str">
        <f>IFERROR(__xludf.DUMMYFUNCTION("""COMPUTED_VALUE"""),"BiswajitC57")</f>
        <v>BiswajitC57</v>
      </c>
      <c r="C4467" s="8">
        <f>IFERROR(__xludf.DUMMYFUNCTION("""COMPUTED_VALUE"""),0.0)</f>
        <v>0</v>
      </c>
      <c r="D4467" s="8"/>
    </row>
    <row r="4468">
      <c r="A4468" s="9" t="str">
        <f>IFERROR(__xludf.DUMMYFUNCTION("""COMPUTED_VALUE"""),"Batch 257")</f>
        <v>Batch 257</v>
      </c>
      <c r="B4468" s="9" t="str">
        <f>IFERROR(__xludf.DUMMYFUNCTION("""COMPUTED_VALUE"""),"MuhammedC57")</f>
        <v>MuhammedC57</v>
      </c>
      <c r="C4468" s="8">
        <f>IFERROR(__xludf.DUMMYFUNCTION("""COMPUTED_VALUE"""),0.0)</f>
        <v>0</v>
      </c>
      <c r="D4468" s="8"/>
    </row>
    <row r="4469">
      <c r="A4469" s="9" t="str">
        <f>IFERROR(__xludf.DUMMYFUNCTION("""COMPUTED_VALUE"""),"Batch 257")</f>
        <v>Batch 257</v>
      </c>
      <c r="B4469" s="9" t="str">
        <f>IFERROR(__xludf.DUMMYFUNCTION("""COMPUTED_VALUE"""),"NaazC57")</f>
        <v>NaazC57</v>
      </c>
      <c r="C4469" s="8">
        <f>IFERROR(__xludf.DUMMYFUNCTION("""COMPUTED_VALUE"""),0.0)</f>
        <v>0</v>
      </c>
      <c r="D4469" s="8"/>
    </row>
    <row r="4470">
      <c r="A4470" s="9" t="str">
        <f>IFERROR(__xludf.DUMMYFUNCTION("""COMPUTED_VALUE"""),"Batch 257")</f>
        <v>Batch 257</v>
      </c>
      <c r="B4470" s="9" t="str">
        <f>IFERROR(__xludf.DUMMYFUNCTION("""COMPUTED_VALUE"""),"Konnur.C57")</f>
        <v>Konnur.C57</v>
      </c>
      <c r="C4470" s="8">
        <f>IFERROR(__xludf.DUMMYFUNCTION("""COMPUTED_VALUE"""),0.0)</f>
        <v>0</v>
      </c>
      <c r="D4470" s="8"/>
    </row>
    <row r="4471">
      <c r="A4471" s="9" t="str">
        <f>IFERROR(__xludf.DUMMYFUNCTION("""COMPUTED_VALUE"""),"Batch 257")</f>
        <v>Batch 257</v>
      </c>
      <c r="B4471" s="9" t="str">
        <f>IFERROR(__xludf.DUMMYFUNCTION("""COMPUTED_VALUE"""),"AnkitC57")</f>
        <v>AnkitC57</v>
      </c>
      <c r="C4471" s="8">
        <f>IFERROR(__xludf.DUMMYFUNCTION("""COMPUTED_VALUE"""),0.0)</f>
        <v>0</v>
      </c>
      <c r="D4471" s="8"/>
    </row>
    <row r="4472">
      <c r="A4472" s="9"/>
      <c r="B4472" s="9"/>
      <c r="C4472" s="8">
        <f>IFERROR(__xludf.DUMMYFUNCTION("""COMPUTED_VALUE"""),0.0)</f>
        <v>0</v>
      </c>
      <c r="D4472" s="8"/>
    </row>
    <row r="4473">
      <c r="A4473" s="9" t="str">
        <f>IFERROR(__xludf.DUMMYFUNCTION("""COMPUTED_VALUE"""),"Batch 258")</f>
        <v>Batch 258</v>
      </c>
      <c r="B4473" s="9" t="str">
        <f>IFERROR(__xludf.DUMMYFUNCTION("""COMPUTED_VALUE"""),"RajatC58")</f>
        <v>RajatC58</v>
      </c>
      <c r="C4473" s="8">
        <f>IFERROR(__xludf.DUMMYFUNCTION("""COMPUTED_VALUE"""),0.0)</f>
        <v>0</v>
      </c>
      <c r="D4473" s="8"/>
    </row>
    <row r="4474">
      <c r="A4474" s="9" t="str">
        <f>IFERROR(__xludf.DUMMYFUNCTION("""COMPUTED_VALUE"""),"Batch 258")</f>
        <v>Batch 258</v>
      </c>
      <c r="B4474" s="9" t="str">
        <f>IFERROR(__xludf.DUMMYFUNCTION("""COMPUTED_VALUE"""),"GahenaC58")</f>
        <v>GahenaC58</v>
      </c>
      <c r="C4474" s="8">
        <f>IFERROR(__xludf.DUMMYFUNCTION("""COMPUTED_VALUE"""),30.0)</f>
        <v>30</v>
      </c>
      <c r="D4474" s="8"/>
    </row>
    <row r="4475">
      <c r="A4475" s="9" t="str">
        <f>IFERROR(__xludf.DUMMYFUNCTION("""COMPUTED_VALUE"""),"Batch 258")</f>
        <v>Batch 258</v>
      </c>
      <c r="B4475" s="9" t="str">
        <f>IFERROR(__xludf.DUMMYFUNCTION("""COMPUTED_VALUE"""),"AayushC58")</f>
        <v>AayushC58</v>
      </c>
      <c r="C4475" s="8">
        <f>IFERROR(__xludf.DUMMYFUNCTION("""COMPUTED_VALUE"""),0.0)</f>
        <v>0</v>
      </c>
      <c r="D4475" s="8"/>
    </row>
    <row r="4476">
      <c r="A4476" s="9" t="str">
        <f>IFERROR(__xludf.DUMMYFUNCTION("""COMPUTED_VALUE"""),"Batch 258")</f>
        <v>Batch 258</v>
      </c>
      <c r="B4476" s="9" t="str">
        <f>IFERROR(__xludf.DUMMYFUNCTION("""COMPUTED_VALUE"""),"AryanC58")</f>
        <v>AryanC58</v>
      </c>
      <c r="C4476" s="8">
        <f>IFERROR(__xludf.DUMMYFUNCTION("""COMPUTED_VALUE"""),4.0)</f>
        <v>4</v>
      </c>
      <c r="D4476" s="8"/>
    </row>
    <row r="4477">
      <c r="A4477" s="9" t="str">
        <f>IFERROR(__xludf.DUMMYFUNCTION("""COMPUTED_VALUE"""),"Batch 258")</f>
        <v>Batch 258</v>
      </c>
      <c r="B4477" s="9" t="str">
        <f>IFERROR(__xludf.DUMMYFUNCTION("""COMPUTED_VALUE"""),"JaskaranC58")</f>
        <v>JaskaranC58</v>
      </c>
      <c r="C4477" s="8">
        <f>IFERROR(__xludf.DUMMYFUNCTION("""COMPUTED_VALUE"""),0.0)</f>
        <v>0</v>
      </c>
      <c r="D4477" s="8"/>
    </row>
    <row r="4478">
      <c r="A4478" s="9" t="str">
        <f>IFERROR(__xludf.DUMMYFUNCTION("""COMPUTED_VALUE"""),"Batch 258")</f>
        <v>Batch 258</v>
      </c>
      <c r="B4478" s="9" t="str">
        <f>IFERROR(__xludf.DUMMYFUNCTION("""COMPUTED_VALUE"""),"ParthasarathyC58")</f>
        <v>ParthasarathyC58</v>
      </c>
      <c r="C4478" s="8">
        <f>IFERROR(__xludf.DUMMYFUNCTION("""COMPUTED_VALUE"""),0.0)</f>
        <v>0</v>
      </c>
      <c r="D4478" s="8"/>
    </row>
    <row r="4479">
      <c r="A4479" s="9" t="str">
        <f>IFERROR(__xludf.DUMMYFUNCTION("""COMPUTED_VALUE"""),"Batch 258")</f>
        <v>Batch 258</v>
      </c>
      <c r="B4479" s="9" t="str">
        <f>IFERROR(__xludf.DUMMYFUNCTION("""COMPUTED_VALUE"""),"BipanshuC58")</f>
        <v>BipanshuC58</v>
      </c>
      <c r="C4479" s="8">
        <f>IFERROR(__xludf.DUMMYFUNCTION("""COMPUTED_VALUE"""),0.0)</f>
        <v>0</v>
      </c>
      <c r="D4479" s="8"/>
    </row>
    <row r="4480">
      <c r="A4480" s="9" t="str">
        <f>IFERROR(__xludf.DUMMYFUNCTION("""COMPUTED_VALUE"""),"Batch 258")</f>
        <v>Batch 258</v>
      </c>
      <c r="B4480" s="9" t="str">
        <f>IFERROR(__xludf.DUMMYFUNCTION("""COMPUTED_VALUE"""),"PavitraC58")</f>
        <v>PavitraC58</v>
      </c>
      <c r="C4480" s="8">
        <f>IFERROR(__xludf.DUMMYFUNCTION("""COMPUTED_VALUE"""),0.0)</f>
        <v>0</v>
      </c>
      <c r="D4480" s="8"/>
    </row>
    <row r="4481">
      <c r="A4481" s="9" t="str">
        <f>IFERROR(__xludf.DUMMYFUNCTION("""COMPUTED_VALUE"""),"Batch 258")</f>
        <v>Batch 258</v>
      </c>
      <c r="B4481" s="9" t="str">
        <f>IFERROR(__xludf.DUMMYFUNCTION("""COMPUTED_VALUE"""),"UjjwalC58")</f>
        <v>UjjwalC58</v>
      </c>
      <c r="C4481" s="8">
        <f>IFERROR(__xludf.DUMMYFUNCTION("""COMPUTED_VALUE"""),0.0)</f>
        <v>0</v>
      </c>
      <c r="D4481" s="8"/>
    </row>
    <row r="4482">
      <c r="A4482" s="9" t="str">
        <f>IFERROR(__xludf.DUMMYFUNCTION("""COMPUTED_VALUE"""),"Batch 258")</f>
        <v>Batch 258</v>
      </c>
      <c r="B4482" s="9" t="str">
        <f>IFERROR(__xludf.DUMMYFUNCTION("""COMPUTED_VALUE"""),"AbhayC58")</f>
        <v>AbhayC58</v>
      </c>
      <c r="C4482" s="8">
        <f>IFERROR(__xludf.DUMMYFUNCTION("""COMPUTED_VALUE"""),0.0)</f>
        <v>0</v>
      </c>
      <c r="D4482" s="8"/>
    </row>
    <row r="4483">
      <c r="A4483" s="9" t="str">
        <f>IFERROR(__xludf.DUMMYFUNCTION("""COMPUTED_VALUE"""),"Batch 258")</f>
        <v>Batch 258</v>
      </c>
      <c r="B4483" s="9" t="str">
        <f>IFERROR(__xludf.DUMMYFUNCTION("""COMPUTED_VALUE"""),"VanshikaC58")</f>
        <v>VanshikaC58</v>
      </c>
      <c r="C4483" s="8">
        <f>IFERROR(__xludf.DUMMYFUNCTION("""COMPUTED_VALUE"""),0.0)</f>
        <v>0</v>
      </c>
      <c r="D4483" s="8"/>
    </row>
    <row r="4484">
      <c r="A4484" s="9" t="str">
        <f>IFERROR(__xludf.DUMMYFUNCTION("""COMPUTED_VALUE"""),"Batch 258")</f>
        <v>Batch 258</v>
      </c>
      <c r="B4484" s="9" t="str">
        <f>IFERROR(__xludf.DUMMYFUNCTION("""COMPUTED_VALUE"""),"AnandC58")</f>
        <v>AnandC58</v>
      </c>
      <c r="C4484" s="8">
        <f>IFERROR(__xludf.DUMMYFUNCTION("""COMPUTED_VALUE"""),0.0)</f>
        <v>0</v>
      </c>
      <c r="D4484" s="8"/>
    </row>
    <row r="4485">
      <c r="A4485" s="9" t="str">
        <f>IFERROR(__xludf.DUMMYFUNCTION("""COMPUTED_VALUE"""),"Batch 258")</f>
        <v>Batch 258</v>
      </c>
      <c r="B4485" s="9" t="str">
        <f>IFERROR(__xludf.DUMMYFUNCTION("""COMPUTED_VALUE"""),"SarthakC58")</f>
        <v>SarthakC58</v>
      </c>
      <c r="C4485" s="8">
        <f>IFERROR(__xludf.DUMMYFUNCTION("""COMPUTED_VALUE"""),0.0)</f>
        <v>0</v>
      </c>
      <c r="D4485" s="8"/>
    </row>
    <row r="4486">
      <c r="A4486" s="9" t="str">
        <f>IFERROR(__xludf.DUMMYFUNCTION("""COMPUTED_VALUE"""),"Batch 258")</f>
        <v>Batch 258</v>
      </c>
      <c r="B4486" s="9" t="str">
        <f>IFERROR(__xludf.DUMMYFUNCTION("""COMPUTED_VALUE"""),"HarshC58")</f>
        <v>HarshC58</v>
      </c>
      <c r="C4486" s="8">
        <f>IFERROR(__xludf.DUMMYFUNCTION("""COMPUTED_VALUE"""),0.0)</f>
        <v>0</v>
      </c>
      <c r="D4486" s="8"/>
    </row>
    <row r="4487">
      <c r="A4487" s="9" t="str">
        <f>IFERROR(__xludf.DUMMYFUNCTION("""COMPUTED_VALUE"""),"Batch 258")</f>
        <v>Batch 258</v>
      </c>
      <c r="B4487" s="9" t="str">
        <f>IFERROR(__xludf.DUMMYFUNCTION("""COMPUTED_VALUE"""),"ArnavC58")</f>
        <v>ArnavC58</v>
      </c>
      <c r="C4487" s="8">
        <f>IFERROR(__xludf.DUMMYFUNCTION("""COMPUTED_VALUE"""),0.0)</f>
        <v>0</v>
      </c>
      <c r="D4487" s="8"/>
    </row>
    <row r="4488">
      <c r="A4488" s="9" t="str">
        <f>IFERROR(__xludf.DUMMYFUNCTION("""COMPUTED_VALUE"""),"Batch 258")</f>
        <v>Batch 258</v>
      </c>
      <c r="B4488" s="9" t="str">
        <f>IFERROR(__xludf.DUMMYFUNCTION("""COMPUTED_VALUE"""),"TanishqC58")</f>
        <v>TanishqC58</v>
      </c>
      <c r="C4488" s="8">
        <f>IFERROR(__xludf.DUMMYFUNCTION("""COMPUTED_VALUE"""),2.0)</f>
        <v>2</v>
      </c>
      <c r="D4488" s="8"/>
    </row>
    <row r="4489">
      <c r="A4489" s="9" t="str">
        <f>IFERROR(__xludf.DUMMYFUNCTION("""COMPUTED_VALUE"""),"Batch 258")</f>
        <v>Batch 258</v>
      </c>
      <c r="B4489" s="9" t="str">
        <f>IFERROR(__xludf.DUMMYFUNCTION("""COMPUTED_VALUE"""),"HarenderC58")</f>
        <v>HarenderC58</v>
      </c>
      <c r="C4489" s="8">
        <f>IFERROR(__xludf.DUMMYFUNCTION("""COMPUTED_VALUE"""),0.0)</f>
        <v>0</v>
      </c>
      <c r="D4489" s="8"/>
    </row>
    <row r="4490">
      <c r="A4490" s="9" t="str">
        <f>IFERROR(__xludf.DUMMYFUNCTION("""COMPUTED_VALUE"""),"Batch 258")</f>
        <v>Batch 258</v>
      </c>
      <c r="B4490" s="9" t="str">
        <f>IFERROR(__xludf.DUMMYFUNCTION("""COMPUTED_VALUE"""),"MadhuC58")</f>
        <v>MadhuC58</v>
      </c>
      <c r="C4490" s="8">
        <f>IFERROR(__xludf.DUMMYFUNCTION("""COMPUTED_VALUE"""),0.0)</f>
        <v>0</v>
      </c>
      <c r="D4490" s="8"/>
    </row>
    <row r="4491">
      <c r="A4491" s="9" t="str">
        <f>IFERROR(__xludf.DUMMYFUNCTION("""COMPUTED_VALUE"""),"Batch 258")</f>
        <v>Batch 258</v>
      </c>
      <c r="B4491" s="9" t="str">
        <f>IFERROR(__xludf.DUMMYFUNCTION("""COMPUTED_VALUE"""),"AnkurC58")</f>
        <v>AnkurC58</v>
      </c>
      <c r="C4491" s="8">
        <f>IFERROR(__xludf.DUMMYFUNCTION("""COMPUTED_VALUE"""),0.0)</f>
        <v>0</v>
      </c>
      <c r="D4491" s="8"/>
    </row>
    <row r="4492">
      <c r="A4492" s="9" t="str">
        <f>IFERROR(__xludf.DUMMYFUNCTION("""COMPUTED_VALUE"""),"Batch 258")</f>
        <v>Batch 258</v>
      </c>
      <c r="B4492" s="9" t="str">
        <f>IFERROR(__xludf.DUMMYFUNCTION("""COMPUTED_VALUE"""),"SOMESH.S.TALLIGERIC58")</f>
        <v>SOMESH.S.TALLIGERIC58</v>
      </c>
      <c r="C4492" s="8">
        <f>IFERROR(__xludf.DUMMYFUNCTION("""COMPUTED_VALUE"""),0.0)</f>
        <v>0</v>
      </c>
      <c r="D4492" s="8"/>
    </row>
    <row r="4493">
      <c r="A4493" s="9" t="str">
        <f>IFERROR(__xludf.DUMMYFUNCTION("""COMPUTED_VALUE"""),"Batch 258")</f>
        <v>Batch 258</v>
      </c>
      <c r="B4493" s="9" t="str">
        <f>IFERROR(__xludf.DUMMYFUNCTION("""COMPUTED_VALUE"""),"OmC58")</f>
        <v>OmC58</v>
      </c>
      <c r="C4493" s="8">
        <f>IFERROR(__xludf.DUMMYFUNCTION("""COMPUTED_VALUE"""),0.0)</f>
        <v>0</v>
      </c>
      <c r="D4493" s="8"/>
    </row>
    <row r="4494">
      <c r="A4494" s="9" t="str">
        <f>IFERROR(__xludf.DUMMYFUNCTION("""COMPUTED_VALUE"""),"Batch 258")</f>
        <v>Batch 258</v>
      </c>
      <c r="B4494" s="9" t="str">
        <f>IFERROR(__xludf.DUMMYFUNCTION("""COMPUTED_VALUE"""),"V.DeepakC58")</f>
        <v>V.DeepakC58</v>
      </c>
      <c r="C4494" s="8">
        <f>IFERROR(__xludf.DUMMYFUNCTION("""COMPUTED_VALUE"""),0.0)</f>
        <v>0</v>
      </c>
      <c r="D4494" s="8"/>
    </row>
    <row r="4495">
      <c r="A4495" s="9" t="str">
        <f>IFERROR(__xludf.DUMMYFUNCTION("""COMPUTED_VALUE"""),"Batch 258")</f>
        <v>Batch 258</v>
      </c>
      <c r="B4495" s="9" t="str">
        <f>IFERROR(__xludf.DUMMYFUNCTION("""COMPUTED_VALUE"""),"SwastikaC58")</f>
        <v>SwastikaC58</v>
      </c>
      <c r="C4495" s="8">
        <f>IFERROR(__xludf.DUMMYFUNCTION("""COMPUTED_VALUE"""),0.0)</f>
        <v>0</v>
      </c>
      <c r="D4495" s="8"/>
    </row>
    <row r="4496">
      <c r="A4496" s="9" t="str">
        <f>IFERROR(__xludf.DUMMYFUNCTION("""COMPUTED_VALUE"""),"Batch 258")</f>
        <v>Batch 258</v>
      </c>
      <c r="B4496" s="9" t="str">
        <f>IFERROR(__xludf.DUMMYFUNCTION("""COMPUTED_VALUE"""),"TanmayC58")</f>
        <v>TanmayC58</v>
      </c>
      <c r="C4496" s="8">
        <f>IFERROR(__xludf.DUMMYFUNCTION("""COMPUTED_VALUE"""),0.0)</f>
        <v>0</v>
      </c>
      <c r="D4496" s="8"/>
    </row>
    <row r="4497">
      <c r="A4497" s="9" t="str">
        <f>IFERROR(__xludf.DUMMYFUNCTION("""COMPUTED_VALUE"""),"Batch 258")</f>
        <v>Batch 258</v>
      </c>
      <c r="B4497" s="9" t="str">
        <f>IFERROR(__xludf.DUMMYFUNCTION("""COMPUTED_VALUE"""),"Somesh.S.TalligeriC58")</f>
        <v>Somesh.S.TalligeriC58</v>
      </c>
      <c r="C4497" s="8">
        <f>IFERROR(__xludf.DUMMYFUNCTION("""COMPUTED_VALUE"""),0.0)</f>
        <v>0</v>
      </c>
      <c r="D4497" s="8"/>
    </row>
    <row r="4498">
      <c r="A4498" s="9" t="str">
        <f>IFERROR(__xludf.DUMMYFUNCTION("""COMPUTED_VALUE"""),"Batch 258")</f>
        <v>Batch 258</v>
      </c>
      <c r="B4498" s="9" t="str">
        <f>IFERROR(__xludf.DUMMYFUNCTION("""COMPUTED_VALUE"""),"HimanshuC58")</f>
        <v>HimanshuC58</v>
      </c>
      <c r="C4498" s="8">
        <f>IFERROR(__xludf.DUMMYFUNCTION("""COMPUTED_VALUE"""),0.0)</f>
        <v>0</v>
      </c>
      <c r="D4498" s="8"/>
    </row>
    <row r="4499">
      <c r="A4499" s="9" t="str">
        <f>IFERROR(__xludf.DUMMYFUNCTION("""COMPUTED_VALUE"""),"Batch 258")</f>
        <v>Batch 258</v>
      </c>
      <c r="B4499" s="9" t="str">
        <f>IFERROR(__xludf.DUMMYFUNCTION("""COMPUTED_VALUE"""),"MahaC58")</f>
        <v>MahaC58</v>
      </c>
      <c r="C4499" s="8">
        <f>IFERROR(__xludf.DUMMYFUNCTION("""COMPUTED_VALUE"""),0.0)</f>
        <v>0</v>
      </c>
      <c r="D4499" s="8"/>
    </row>
    <row r="4500">
      <c r="A4500" s="9" t="str">
        <f>IFERROR(__xludf.DUMMYFUNCTION("""COMPUTED_VALUE"""),"Batch 258")</f>
        <v>Batch 258</v>
      </c>
      <c r="B4500" s="9" t="str">
        <f>IFERROR(__xludf.DUMMYFUNCTION("""COMPUTED_VALUE"""),"DheerajC58")</f>
        <v>DheerajC58</v>
      </c>
      <c r="C4500" s="8">
        <f>IFERROR(__xludf.DUMMYFUNCTION("""COMPUTED_VALUE"""),1.0)</f>
        <v>1</v>
      </c>
      <c r="D4500" s="8"/>
    </row>
    <row r="4501">
      <c r="A4501" s="9" t="str">
        <f>IFERROR(__xludf.DUMMYFUNCTION("""COMPUTED_VALUE"""),"Batch 258")</f>
        <v>Batch 258</v>
      </c>
      <c r="B4501" s="9" t="str">
        <f>IFERROR(__xludf.DUMMYFUNCTION("""COMPUTED_VALUE"""),"M.BhanodayaC58")</f>
        <v>M.BhanodayaC58</v>
      </c>
      <c r="C4501" s="8">
        <f>IFERROR(__xludf.DUMMYFUNCTION("""COMPUTED_VALUE"""),0.0)</f>
        <v>0</v>
      </c>
      <c r="D4501" s="8"/>
    </row>
    <row r="4502">
      <c r="A4502" s="9" t="str">
        <f>IFERROR(__xludf.DUMMYFUNCTION("""COMPUTED_VALUE"""),"Batch 258")</f>
        <v>Batch 258</v>
      </c>
      <c r="B4502" s="9" t="str">
        <f>IFERROR(__xludf.DUMMYFUNCTION("""COMPUTED_VALUE"""),"SuyashC58")</f>
        <v>SuyashC58</v>
      </c>
      <c r="C4502" s="8">
        <f>IFERROR(__xludf.DUMMYFUNCTION("""COMPUTED_VALUE"""),0.0)</f>
        <v>0</v>
      </c>
      <c r="D4502" s="8"/>
    </row>
    <row r="4503">
      <c r="A4503" s="9" t="str">
        <f>IFERROR(__xludf.DUMMYFUNCTION("""COMPUTED_VALUE"""),"Batch 258")</f>
        <v>Batch 258</v>
      </c>
      <c r="B4503" s="9" t="str">
        <f>IFERROR(__xludf.DUMMYFUNCTION("""COMPUTED_VALUE"""),"MokshasriC58")</f>
        <v>MokshasriC58</v>
      </c>
      <c r="C4503" s="8">
        <f>IFERROR(__xludf.DUMMYFUNCTION("""COMPUTED_VALUE"""),0.0)</f>
        <v>0</v>
      </c>
      <c r="D4503" s="8"/>
    </row>
    <row r="4504">
      <c r="A4504" s="9" t="str">
        <f>IFERROR(__xludf.DUMMYFUNCTION("""COMPUTED_VALUE"""),"Batch 258")</f>
        <v>Batch 258</v>
      </c>
      <c r="B4504" s="9" t="str">
        <f>IFERROR(__xludf.DUMMYFUNCTION("""COMPUTED_VALUE"""),"RohithC58")</f>
        <v>RohithC58</v>
      </c>
      <c r="C4504" s="8">
        <f>IFERROR(__xludf.DUMMYFUNCTION("""COMPUTED_VALUE"""),0.0)</f>
        <v>0</v>
      </c>
      <c r="D4504" s="8"/>
    </row>
    <row r="4505">
      <c r="A4505" s="9" t="str">
        <f>IFERROR(__xludf.DUMMYFUNCTION("""COMPUTED_VALUE"""),"Batch 258")</f>
        <v>Batch 258</v>
      </c>
      <c r="B4505" s="9" t="str">
        <f>IFERROR(__xludf.DUMMYFUNCTION("""COMPUTED_VALUE"""),"ParthSC58")</f>
        <v>ParthSC58</v>
      </c>
      <c r="C4505" s="8">
        <f>IFERROR(__xludf.DUMMYFUNCTION("""COMPUTED_VALUE"""),1.0)</f>
        <v>1</v>
      </c>
      <c r="D4505" s="8"/>
    </row>
    <row r="4506">
      <c r="A4506" s="9" t="str">
        <f>IFERROR(__xludf.DUMMYFUNCTION("""COMPUTED_VALUE"""),"Batch 258")</f>
        <v>Batch 258</v>
      </c>
      <c r="B4506" s="9" t="str">
        <f>IFERROR(__xludf.DUMMYFUNCTION("""COMPUTED_VALUE"""),"MukhyanshC58")</f>
        <v>MukhyanshC58</v>
      </c>
      <c r="C4506" s="8">
        <f>IFERROR(__xludf.DUMMYFUNCTION("""COMPUTED_VALUE"""),2.0)</f>
        <v>2</v>
      </c>
      <c r="D4506" s="8"/>
    </row>
    <row r="4507">
      <c r="A4507" s="9" t="str">
        <f>IFERROR(__xludf.DUMMYFUNCTION("""COMPUTED_VALUE"""),"Batch 258")</f>
        <v>Batch 258</v>
      </c>
      <c r="B4507" s="9" t="str">
        <f>IFERROR(__xludf.DUMMYFUNCTION("""COMPUTED_VALUE"""),"MADHURC58")</f>
        <v>MADHURC58</v>
      </c>
      <c r="C4507" s="8">
        <f>IFERROR(__xludf.DUMMYFUNCTION("""COMPUTED_VALUE"""),0.0)</f>
        <v>0</v>
      </c>
      <c r="D4507" s="8"/>
    </row>
    <row r="4508">
      <c r="A4508" s="9" t="str">
        <f>IFERROR(__xludf.DUMMYFUNCTION("""COMPUTED_VALUE"""),"Batch 258")</f>
        <v>Batch 258</v>
      </c>
      <c r="B4508" s="9" t="str">
        <f>IFERROR(__xludf.DUMMYFUNCTION("""COMPUTED_VALUE"""),"VivekC58")</f>
        <v>VivekC58</v>
      </c>
      <c r="C4508" s="8">
        <f>IFERROR(__xludf.DUMMYFUNCTION("""COMPUTED_VALUE"""),0.0)</f>
        <v>0</v>
      </c>
      <c r="D4508" s="8"/>
    </row>
    <row r="4509">
      <c r="A4509" s="9" t="str">
        <f>IFERROR(__xludf.DUMMYFUNCTION("""COMPUTED_VALUE"""),"Batch 258")</f>
        <v>Batch 258</v>
      </c>
      <c r="B4509" s="9" t="str">
        <f>IFERROR(__xludf.DUMMYFUNCTION("""COMPUTED_VALUE"""),"HarshaC58")</f>
        <v>HarshaC58</v>
      </c>
      <c r="C4509" s="8">
        <f>IFERROR(__xludf.DUMMYFUNCTION("""COMPUTED_VALUE"""),0.0)</f>
        <v>0</v>
      </c>
      <c r="D4509" s="8"/>
    </row>
    <row r="4510">
      <c r="A4510" s="9" t="str">
        <f>IFERROR(__xludf.DUMMYFUNCTION("""COMPUTED_VALUE"""),"Batch 258")</f>
        <v>Batch 258</v>
      </c>
      <c r="B4510" s="9" t="str">
        <f>IFERROR(__xludf.DUMMYFUNCTION("""COMPUTED_VALUE"""),"MokshasriC58")</f>
        <v>MokshasriC58</v>
      </c>
      <c r="C4510" s="8">
        <f>IFERROR(__xludf.DUMMYFUNCTION("""COMPUTED_VALUE"""),0.0)</f>
        <v>0</v>
      </c>
      <c r="D4510" s="8"/>
    </row>
    <row r="4511">
      <c r="A4511" s="9" t="str">
        <f>IFERROR(__xludf.DUMMYFUNCTION("""COMPUTED_VALUE"""),"Batch 258")</f>
        <v>Batch 258</v>
      </c>
      <c r="B4511" s="9" t="str">
        <f>IFERROR(__xludf.DUMMYFUNCTION("""COMPUTED_VALUE"""),"RC58")</f>
        <v>RC58</v>
      </c>
      <c r="C4511" s="8">
        <f>IFERROR(__xludf.DUMMYFUNCTION("""COMPUTED_VALUE"""),0.0)</f>
        <v>0</v>
      </c>
      <c r="D4511" s="8"/>
    </row>
    <row r="4512">
      <c r="A4512" s="9" t="str">
        <f>IFERROR(__xludf.DUMMYFUNCTION("""COMPUTED_VALUE"""),"Batch 258")</f>
        <v>Batch 258</v>
      </c>
      <c r="B4512" s="9" t="str">
        <f>IFERROR(__xludf.DUMMYFUNCTION("""COMPUTED_VALUE"""),"ShindeC58")</f>
        <v>ShindeC58</v>
      </c>
      <c r="C4512" s="8">
        <f>IFERROR(__xludf.DUMMYFUNCTION("""COMPUTED_VALUE"""),0.0)</f>
        <v>0</v>
      </c>
      <c r="D4512" s="8"/>
    </row>
    <row r="4513">
      <c r="A4513" s="9" t="str">
        <f>IFERROR(__xludf.DUMMYFUNCTION("""COMPUTED_VALUE"""),"Batch 258")</f>
        <v>Batch 258</v>
      </c>
      <c r="B4513" s="9" t="str">
        <f>IFERROR(__xludf.DUMMYFUNCTION("""COMPUTED_VALUE"""),"PiyushC58")</f>
        <v>PiyushC58</v>
      </c>
      <c r="C4513" s="8">
        <f>IFERROR(__xludf.DUMMYFUNCTION("""COMPUTED_VALUE"""),0.0)</f>
        <v>0</v>
      </c>
      <c r="D4513" s="8"/>
    </row>
    <row r="4514">
      <c r="A4514" s="9" t="str">
        <f>IFERROR(__xludf.DUMMYFUNCTION("""COMPUTED_VALUE"""),"Batch 258")</f>
        <v>Batch 258</v>
      </c>
      <c r="B4514" s="9" t="str">
        <f>IFERROR(__xludf.DUMMYFUNCTION("""COMPUTED_VALUE"""),"BhagyeshC58")</f>
        <v>BhagyeshC58</v>
      </c>
      <c r="C4514" s="8">
        <f>IFERROR(__xludf.DUMMYFUNCTION("""COMPUTED_VALUE"""),0.0)</f>
        <v>0</v>
      </c>
      <c r="D4514" s="8"/>
    </row>
    <row r="4515">
      <c r="A4515" s="9" t="str">
        <f>IFERROR(__xludf.DUMMYFUNCTION("""COMPUTED_VALUE"""),"Batch 258")</f>
        <v>Batch 258</v>
      </c>
      <c r="B4515" s="9" t="str">
        <f>IFERROR(__xludf.DUMMYFUNCTION("""COMPUTED_VALUE"""),"MuskanC58")</f>
        <v>MuskanC58</v>
      </c>
      <c r="C4515" s="8">
        <f>IFERROR(__xludf.DUMMYFUNCTION("""COMPUTED_VALUE"""),0.0)</f>
        <v>0</v>
      </c>
      <c r="D4515" s="8"/>
    </row>
    <row r="4516">
      <c r="A4516" s="9" t="str">
        <f>IFERROR(__xludf.DUMMYFUNCTION("""COMPUTED_VALUE"""),"Batch 258")</f>
        <v>Batch 258</v>
      </c>
      <c r="B4516" s="9" t="str">
        <f>IFERROR(__xludf.DUMMYFUNCTION("""COMPUTED_VALUE"""),"SurabhiC58")</f>
        <v>SurabhiC58</v>
      </c>
      <c r="C4516" s="8">
        <f>IFERROR(__xludf.DUMMYFUNCTION("""COMPUTED_VALUE"""),0.0)</f>
        <v>0</v>
      </c>
      <c r="D4516" s="8"/>
    </row>
    <row r="4517">
      <c r="A4517" s="9" t="str">
        <f>IFERROR(__xludf.DUMMYFUNCTION("""COMPUTED_VALUE"""),"Batch 258")</f>
        <v>Batch 258</v>
      </c>
      <c r="B4517" s="9" t="str">
        <f>IFERROR(__xludf.DUMMYFUNCTION("""COMPUTED_VALUE"""),"SanjayC58")</f>
        <v>SanjayC58</v>
      </c>
      <c r="C4517" s="8">
        <f>IFERROR(__xludf.DUMMYFUNCTION("""COMPUTED_VALUE"""),0.0)</f>
        <v>0</v>
      </c>
      <c r="D4517" s="8"/>
    </row>
    <row r="4518">
      <c r="A4518" s="9" t="str">
        <f>IFERROR(__xludf.DUMMYFUNCTION("""COMPUTED_VALUE"""),"Batch 258")</f>
        <v>Batch 258</v>
      </c>
      <c r="B4518" s="9" t="str">
        <f>IFERROR(__xludf.DUMMYFUNCTION("""COMPUTED_VALUE"""),"ShreeyanshC58")</f>
        <v>ShreeyanshC58</v>
      </c>
      <c r="C4518" s="8">
        <f>IFERROR(__xludf.DUMMYFUNCTION("""COMPUTED_VALUE"""),0.0)</f>
        <v>0</v>
      </c>
      <c r="D4518" s="8"/>
    </row>
    <row r="4519">
      <c r="A4519" s="9" t="str">
        <f>IFERROR(__xludf.DUMMYFUNCTION("""COMPUTED_VALUE"""),"Batch 258")</f>
        <v>Batch 258</v>
      </c>
      <c r="B4519" s="9" t="str">
        <f>IFERROR(__xludf.DUMMYFUNCTION("""COMPUTED_VALUE"""),"BaraniC58")</f>
        <v>BaraniC58</v>
      </c>
      <c r="C4519" s="8">
        <f>IFERROR(__xludf.DUMMYFUNCTION("""COMPUTED_VALUE"""),0.0)</f>
        <v>0</v>
      </c>
      <c r="D4519" s="8"/>
    </row>
    <row r="4520">
      <c r="A4520" s="9" t="str">
        <f>IFERROR(__xludf.DUMMYFUNCTION("""COMPUTED_VALUE"""),"Batch 258")</f>
        <v>Batch 258</v>
      </c>
      <c r="B4520" s="9" t="str">
        <f>IFERROR(__xludf.DUMMYFUNCTION("""COMPUTED_VALUE"""),"JaswanthC58")</f>
        <v>JaswanthC58</v>
      </c>
      <c r="C4520" s="8">
        <f>IFERROR(__xludf.DUMMYFUNCTION("""COMPUTED_VALUE"""),0.0)</f>
        <v>0</v>
      </c>
      <c r="D4520" s="8"/>
    </row>
    <row r="4521">
      <c r="A4521" s="9" t="str">
        <f>IFERROR(__xludf.DUMMYFUNCTION("""COMPUTED_VALUE"""),"Batch 258")</f>
        <v>Batch 258</v>
      </c>
      <c r="B4521" s="9" t="str">
        <f>IFERROR(__xludf.DUMMYFUNCTION("""COMPUTED_VALUE"""),"AnkitC58")</f>
        <v>AnkitC58</v>
      </c>
      <c r="C4521" s="8">
        <f>IFERROR(__xludf.DUMMYFUNCTION("""COMPUTED_VALUE"""),0.0)</f>
        <v>0</v>
      </c>
      <c r="D4521" s="8"/>
    </row>
    <row r="4522">
      <c r="A4522" s="9" t="str">
        <f>IFERROR(__xludf.DUMMYFUNCTION("""COMPUTED_VALUE"""),"Batch 258")</f>
        <v>Batch 258</v>
      </c>
      <c r="B4522" s="9" t="str">
        <f>IFERROR(__xludf.DUMMYFUNCTION("""COMPUTED_VALUE"""),"SoundaryaC58")</f>
        <v>SoundaryaC58</v>
      </c>
      <c r="C4522" s="8">
        <f>IFERROR(__xludf.DUMMYFUNCTION("""COMPUTED_VALUE"""),0.0)</f>
        <v>0</v>
      </c>
      <c r="D4522" s="8"/>
    </row>
    <row r="4523">
      <c r="A4523" s="9" t="str">
        <f>IFERROR(__xludf.DUMMYFUNCTION("""COMPUTED_VALUE"""),"Batch 258")</f>
        <v>Batch 258</v>
      </c>
      <c r="B4523" s="9" t="str">
        <f>IFERROR(__xludf.DUMMYFUNCTION("""COMPUTED_VALUE"""),"MohammedC58")</f>
        <v>MohammedC58</v>
      </c>
      <c r="C4523" s="8">
        <f>IFERROR(__xludf.DUMMYFUNCTION("""COMPUTED_VALUE"""),1.0)</f>
        <v>1</v>
      </c>
      <c r="D4523" s="8"/>
    </row>
    <row r="4524">
      <c r="A4524" s="9" t="str">
        <f>IFERROR(__xludf.DUMMYFUNCTION("""COMPUTED_VALUE"""),"Batch 258")</f>
        <v>Batch 258</v>
      </c>
      <c r="B4524" s="9" t="str">
        <f>IFERROR(__xludf.DUMMYFUNCTION("""COMPUTED_VALUE"""),"SoundaryaC58")</f>
        <v>SoundaryaC58</v>
      </c>
      <c r="C4524" s="8">
        <f>IFERROR(__xludf.DUMMYFUNCTION("""COMPUTED_VALUE"""),0.0)</f>
        <v>0</v>
      </c>
      <c r="D4524" s="8"/>
    </row>
    <row r="4525">
      <c r="A4525" s="9" t="str">
        <f>IFERROR(__xludf.DUMMYFUNCTION("""COMPUTED_VALUE"""),"Batch 258")</f>
        <v>Batch 258</v>
      </c>
      <c r="B4525" s="9" t="str">
        <f>IFERROR(__xludf.DUMMYFUNCTION("""COMPUTED_VALUE"""),"AanyaC58")</f>
        <v>AanyaC58</v>
      </c>
      <c r="C4525" s="8">
        <f>IFERROR(__xludf.DUMMYFUNCTION("""COMPUTED_VALUE"""),0.0)</f>
        <v>0</v>
      </c>
      <c r="D4525" s="8"/>
    </row>
    <row r="4526">
      <c r="A4526" s="9" t="str">
        <f>IFERROR(__xludf.DUMMYFUNCTION("""COMPUTED_VALUE"""),"Batch 258")</f>
        <v>Batch 258</v>
      </c>
      <c r="B4526" s="9" t="str">
        <f>IFERROR(__xludf.DUMMYFUNCTION("""COMPUTED_VALUE"""),"Nikhil.MC58")</f>
        <v>Nikhil.MC58</v>
      </c>
      <c r="C4526" s="8">
        <f>IFERROR(__xludf.DUMMYFUNCTION("""COMPUTED_VALUE"""),0.0)</f>
        <v>0</v>
      </c>
      <c r="D4526" s="8">
        <f>IFERROR(__xludf.DUMMYFUNCTION("""COMPUTED_VALUE"""),1.0)</f>
        <v>1</v>
      </c>
    </row>
    <row r="4527">
      <c r="A4527" s="9" t="str">
        <f>IFERROR(__xludf.DUMMYFUNCTION("""COMPUTED_VALUE"""),"Batch 258")</f>
        <v>Batch 258</v>
      </c>
      <c r="B4527" s="9" t="str">
        <f>IFERROR(__xludf.DUMMYFUNCTION("""COMPUTED_VALUE"""),"DevenderC58")</f>
        <v>DevenderC58</v>
      </c>
      <c r="C4527" s="8">
        <f>IFERROR(__xludf.DUMMYFUNCTION("""COMPUTED_VALUE"""),0.0)</f>
        <v>0</v>
      </c>
      <c r="D4527" s="8"/>
    </row>
    <row r="4528">
      <c r="A4528" s="9" t="str">
        <f>IFERROR(__xludf.DUMMYFUNCTION("""COMPUTED_VALUE"""),"Batch 258")</f>
        <v>Batch 258</v>
      </c>
      <c r="B4528" s="9" t="str">
        <f>IFERROR(__xludf.DUMMYFUNCTION("""COMPUTED_VALUE"""),"DhanashreeC58")</f>
        <v>DhanashreeC58</v>
      </c>
      <c r="C4528" s="8">
        <f>IFERROR(__xludf.DUMMYFUNCTION("""COMPUTED_VALUE"""),0.0)</f>
        <v>0</v>
      </c>
      <c r="D4528" s="8"/>
    </row>
    <row r="4529">
      <c r="A4529" s="9" t="str">
        <f>IFERROR(__xludf.DUMMYFUNCTION("""COMPUTED_VALUE"""),"Batch 258")</f>
        <v>Batch 258</v>
      </c>
      <c r="B4529" s="9" t="str">
        <f>IFERROR(__xludf.DUMMYFUNCTION("""COMPUTED_VALUE"""),"RehanC58")</f>
        <v>RehanC58</v>
      </c>
      <c r="C4529" s="8">
        <f>IFERROR(__xludf.DUMMYFUNCTION("""COMPUTED_VALUE"""),0.0)</f>
        <v>0</v>
      </c>
      <c r="D4529" s="8"/>
    </row>
    <row r="4530">
      <c r="A4530" s="9" t="str">
        <f>IFERROR(__xludf.DUMMYFUNCTION("""COMPUTED_VALUE"""),"Batch 258")</f>
        <v>Batch 258</v>
      </c>
      <c r="B4530" s="9" t="str">
        <f>IFERROR(__xludf.DUMMYFUNCTION("""COMPUTED_VALUE"""),"SumukhhaC58")</f>
        <v>SumukhhaC58</v>
      </c>
      <c r="C4530" s="8">
        <f>IFERROR(__xludf.DUMMYFUNCTION("""COMPUTED_VALUE"""),0.0)</f>
        <v>0</v>
      </c>
      <c r="D4530" s="8"/>
    </row>
    <row r="4531">
      <c r="A4531" s="9" t="str">
        <f>IFERROR(__xludf.DUMMYFUNCTION("""COMPUTED_VALUE"""),"Batch 258")</f>
        <v>Batch 258</v>
      </c>
      <c r="B4531" s="9" t="str">
        <f>IFERROR(__xludf.DUMMYFUNCTION("""COMPUTED_VALUE"""),"NikhilgoudaC58")</f>
        <v>NikhilgoudaC58</v>
      </c>
      <c r="C4531" s="8">
        <f>IFERROR(__xludf.DUMMYFUNCTION("""COMPUTED_VALUE"""),1.0)</f>
        <v>1</v>
      </c>
      <c r="D4531" s="8"/>
    </row>
    <row r="4532">
      <c r="A4532" s="9" t="str">
        <f>IFERROR(__xludf.DUMMYFUNCTION("""COMPUTED_VALUE"""),"Batch 258")</f>
        <v>Batch 258</v>
      </c>
      <c r="B4532" s="9" t="str">
        <f>IFERROR(__xludf.DUMMYFUNCTION("""COMPUTED_VALUE"""),"UdayC58")</f>
        <v>UdayC58</v>
      </c>
      <c r="C4532" s="8">
        <f>IFERROR(__xludf.DUMMYFUNCTION("""COMPUTED_VALUE"""),0.0)</f>
        <v>0</v>
      </c>
      <c r="D4532" s="8"/>
    </row>
    <row r="4533">
      <c r="A4533" s="9" t="str">
        <f>IFERROR(__xludf.DUMMYFUNCTION("""COMPUTED_VALUE"""),"Batch 258")</f>
        <v>Batch 258</v>
      </c>
      <c r="B4533" s="9" t="str">
        <f>IFERROR(__xludf.DUMMYFUNCTION("""COMPUTED_VALUE"""),"AksharaC58")</f>
        <v>AksharaC58</v>
      </c>
      <c r="C4533" s="8">
        <f>IFERROR(__xludf.DUMMYFUNCTION("""COMPUTED_VALUE"""),0.0)</f>
        <v>0</v>
      </c>
      <c r="D4533" s="8"/>
    </row>
    <row r="4534">
      <c r="A4534" s="9" t="str">
        <f>IFERROR(__xludf.DUMMYFUNCTION("""COMPUTED_VALUE"""),"Batch 258")</f>
        <v>Batch 258</v>
      </c>
      <c r="B4534" s="9" t="str">
        <f>IFERROR(__xludf.DUMMYFUNCTION("""COMPUTED_VALUE"""),"AanyaC58")</f>
        <v>AanyaC58</v>
      </c>
      <c r="C4534" s="8">
        <f>IFERROR(__xludf.DUMMYFUNCTION("""COMPUTED_VALUE"""),0.0)</f>
        <v>0</v>
      </c>
      <c r="D4534" s="8"/>
    </row>
    <row r="4535">
      <c r="A4535" s="9" t="str">
        <f>IFERROR(__xludf.DUMMYFUNCTION("""COMPUTED_VALUE"""),"Batch 258")</f>
        <v>Batch 258</v>
      </c>
      <c r="B4535" s="9" t="str">
        <f>IFERROR(__xludf.DUMMYFUNCTION("""COMPUTED_VALUE"""),"AkhilC58")</f>
        <v>AkhilC58</v>
      </c>
      <c r="C4535" s="8">
        <f>IFERROR(__xludf.DUMMYFUNCTION("""COMPUTED_VALUE"""),0.0)</f>
        <v>0</v>
      </c>
      <c r="D4535" s="8"/>
    </row>
    <row r="4536">
      <c r="A4536" s="9" t="str">
        <f>IFERROR(__xludf.DUMMYFUNCTION("""COMPUTED_VALUE"""),"Batch 258")</f>
        <v>Batch 258</v>
      </c>
      <c r="B4536" s="9" t="str">
        <f>IFERROR(__xludf.DUMMYFUNCTION("""COMPUTED_VALUE"""),"RushikeshC58")</f>
        <v>RushikeshC58</v>
      </c>
      <c r="C4536" s="8">
        <f>IFERROR(__xludf.DUMMYFUNCTION("""COMPUTED_VALUE"""),0.0)</f>
        <v>0</v>
      </c>
      <c r="D4536" s="8"/>
    </row>
    <row r="4537">
      <c r="A4537" s="9" t="str">
        <f>IFERROR(__xludf.DUMMYFUNCTION("""COMPUTED_VALUE"""),"Batch 258")</f>
        <v>Batch 258</v>
      </c>
      <c r="B4537" s="9" t="str">
        <f>IFERROR(__xludf.DUMMYFUNCTION("""COMPUTED_VALUE"""),"SushantC58")</f>
        <v>SushantC58</v>
      </c>
      <c r="C4537" s="8">
        <f>IFERROR(__xludf.DUMMYFUNCTION("""COMPUTED_VALUE"""),1.0)</f>
        <v>1</v>
      </c>
      <c r="D4537" s="8"/>
    </row>
    <row r="4538">
      <c r="A4538" s="9" t="str">
        <f>IFERROR(__xludf.DUMMYFUNCTION("""COMPUTED_VALUE"""),"Batch 258")</f>
        <v>Batch 258</v>
      </c>
      <c r="B4538" s="9" t="str">
        <f>IFERROR(__xludf.DUMMYFUNCTION("""COMPUTED_VALUE"""),"AshishC58")</f>
        <v>AshishC58</v>
      </c>
      <c r="C4538" s="8">
        <f>IFERROR(__xludf.DUMMYFUNCTION("""COMPUTED_VALUE"""),0.0)</f>
        <v>0</v>
      </c>
      <c r="D4538" s="8"/>
    </row>
    <row r="4539">
      <c r="A4539" s="9" t="str">
        <f>IFERROR(__xludf.DUMMYFUNCTION("""COMPUTED_VALUE"""),"Batch 258")</f>
        <v>Batch 258</v>
      </c>
      <c r="B4539" s="9" t="str">
        <f>IFERROR(__xludf.DUMMYFUNCTION("""COMPUTED_VALUE"""),"RuchakumariC58")</f>
        <v>RuchakumariC58</v>
      </c>
      <c r="C4539" s="8">
        <f>IFERROR(__xludf.DUMMYFUNCTION("""COMPUTED_VALUE"""),0.0)</f>
        <v>0</v>
      </c>
      <c r="D4539" s="8"/>
    </row>
    <row r="4540">
      <c r="A4540" s="9" t="str">
        <f>IFERROR(__xludf.DUMMYFUNCTION("""COMPUTED_VALUE"""),"Batch 258")</f>
        <v>Batch 258</v>
      </c>
      <c r="B4540" s="9" t="str">
        <f>IFERROR(__xludf.DUMMYFUNCTION("""COMPUTED_VALUE"""),"OmkarC58")</f>
        <v>OmkarC58</v>
      </c>
      <c r="C4540" s="8">
        <f>IFERROR(__xludf.DUMMYFUNCTION("""COMPUTED_VALUE"""),0.0)</f>
        <v>0</v>
      </c>
      <c r="D4540" s="8"/>
    </row>
    <row r="4541">
      <c r="A4541" s="9" t="str">
        <f>IFERROR(__xludf.DUMMYFUNCTION("""COMPUTED_VALUE"""),"Batch 258")</f>
        <v>Batch 258</v>
      </c>
      <c r="B4541" s="9" t="str">
        <f>IFERROR(__xludf.DUMMYFUNCTION("""COMPUTED_VALUE"""),"ManishC58")</f>
        <v>ManishC58</v>
      </c>
      <c r="C4541" s="8">
        <f>IFERROR(__xludf.DUMMYFUNCTION("""COMPUTED_VALUE"""),0.0)</f>
        <v>0</v>
      </c>
      <c r="D4541" s="8"/>
    </row>
    <row r="4542">
      <c r="A4542" s="9" t="str">
        <f>IFERROR(__xludf.DUMMYFUNCTION("""COMPUTED_VALUE"""),"Batch 258")</f>
        <v>Batch 258</v>
      </c>
      <c r="B4542" s="9" t="str">
        <f>IFERROR(__xludf.DUMMYFUNCTION("""COMPUTED_VALUE"""),"S.AravindC58")</f>
        <v>S.AravindC58</v>
      </c>
      <c r="C4542" s="8">
        <f>IFERROR(__xludf.DUMMYFUNCTION("""COMPUTED_VALUE"""),0.0)</f>
        <v>0</v>
      </c>
      <c r="D4542" s="8"/>
    </row>
    <row r="4543">
      <c r="A4543" s="9" t="str">
        <f>IFERROR(__xludf.DUMMYFUNCTION("""COMPUTED_VALUE"""),"Batch 258")</f>
        <v>Batch 258</v>
      </c>
      <c r="B4543" s="9" t="str">
        <f>IFERROR(__xludf.DUMMYFUNCTION("""COMPUTED_VALUE"""),"DishaC58")</f>
        <v>DishaC58</v>
      </c>
      <c r="C4543" s="8">
        <f>IFERROR(__xludf.DUMMYFUNCTION("""COMPUTED_VALUE"""),1.0)</f>
        <v>1</v>
      </c>
      <c r="D4543" s="8"/>
    </row>
    <row r="4544">
      <c r="A4544" s="9"/>
      <c r="B4544" s="9"/>
      <c r="C4544" s="8">
        <f>IFERROR(__xludf.DUMMYFUNCTION("""COMPUTED_VALUE"""),0.0)</f>
        <v>0</v>
      </c>
      <c r="D4544" s="8"/>
    </row>
    <row r="4545">
      <c r="A4545" s="9" t="str">
        <f>IFERROR(__xludf.DUMMYFUNCTION("""COMPUTED_VALUE"""),"Batch 259")</f>
        <v>Batch 259</v>
      </c>
      <c r="B4545" s="9" t="str">
        <f>IFERROR(__xludf.DUMMYFUNCTION("""COMPUTED_VALUE"""),"JessicaC59")</f>
        <v>JessicaC59</v>
      </c>
      <c r="C4545" s="8">
        <f>IFERROR(__xludf.DUMMYFUNCTION("""COMPUTED_VALUE"""),0.0)</f>
        <v>0</v>
      </c>
      <c r="D4545" s="8"/>
    </row>
    <row r="4546">
      <c r="A4546" s="9" t="str">
        <f>IFERROR(__xludf.DUMMYFUNCTION("""COMPUTED_VALUE"""),"Batch 259")</f>
        <v>Batch 259</v>
      </c>
      <c r="B4546" s="9" t="str">
        <f>IFERROR(__xludf.DUMMYFUNCTION("""COMPUTED_VALUE"""),"SomiyaC59")</f>
        <v>SomiyaC59</v>
      </c>
      <c r="C4546" s="8">
        <f>IFERROR(__xludf.DUMMYFUNCTION("""COMPUTED_VALUE"""),0.0)</f>
        <v>0</v>
      </c>
      <c r="D4546" s="8"/>
    </row>
    <row r="4547">
      <c r="A4547" s="9" t="str">
        <f>IFERROR(__xludf.DUMMYFUNCTION("""COMPUTED_VALUE"""),"Batch 259")</f>
        <v>Batch 259</v>
      </c>
      <c r="B4547" s="9" t="str">
        <f>IFERROR(__xludf.DUMMYFUNCTION("""COMPUTED_VALUE"""),"DeepakC59")</f>
        <v>DeepakC59</v>
      </c>
      <c r="C4547" s="8">
        <f>IFERROR(__xludf.DUMMYFUNCTION("""COMPUTED_VALUE"""),0.0)</f>
        <v>0</v>
      </c>
      <c r="D4547" s="8"/>
    </row>
    <row r="4548">
      <c r="A4548" s="9" t="str">
        <f>IFERROR(__xludf.DUMMYFUNCTION("""COMPUTED_VALUE"""),"Batch 259")</f>
        <v>Batch 259</v>
      </c>
      <c r="B4548" s="9" t="str">
        <f>IFERROR(__xludf.DUMMYFUNCTION("""COMPUTED_VALUE"""),"AryaC59")</f>
        <v>AryaC59</v>
      </c>
      <c r="C4548" s="8">
        <f>IFERROR(__xludf.DUMMYFUNCTION("""COMPUTED_VALUE"""),0.0)</f>
        <v>0</v>
      </c>
      <c r="D4548" s="8"/>
    </row>
    <row r="4549">
      <c r="A4549" s="9" t="str">
        <f>IFERROR(__xludf.DUMMYFUNCTION("""COMPUTED_VALUE"""),"Batch 259")</f>
        <v>Batch 259</v>
      </c>
      <c r="B4549" s="9" t="str">
        <f>IFERROR(__xludf.DUMMYFUNCTION("""COMPUTED_VALUE"""),"JheelC59")</f>
        <v>JheelC59</v>
      </c>
      <c r="C4549" s="8">
        <f>IFERROR(__xludf.DUMMYFUNCTION("""COMPUTED_VALUE"""),0.0)</f>
        <v>0</v>
      </c>
      <c r="D4549" s="8"/>
    </row>
    <row r="4550">
      <c r="A4550" s="9" t="str">
        <f>IFERROR(__xludf.DUMMYFUNCTION("""COMPUTED_VALUE"""),"Batch 259")</f>
        <v>Batch 259</v>
      </c>
      <c r="B4550" s="9" t="str">
        <f>IFERROR(__xludf.DUMMYFUNCTION("""COMPUTED_VALUE"""),"SaloniC59")</f>
        <v>SaloniC59</v>
      </c>
      <c r="C4550" s="8">
        <f>IFERROR(__xludf.DUMMYFUNCTION("""COMPUTED_VALUE"""),1.0)</f>
        <v>1</v>
      </c>
      <c r="D4550" s="8"/>
    </row>
    <row r="4551">
      <c r="A4551" s="9" t="str">
        <f>IFERROR(__xludf.DUMMYFUNCTION("""COMPUTED_VALUE"""),"Batch 259")</f>
        <v>Batch 259</v>
      </c>
      <c r="B4551" s="9" t="str">
        <f>IFERROR(__xludf.DUMMYFUNCTION("""COMPUTED_VALUE"""),"MangeshC59")</f>
        <v>MangeshC59</v>
      </c>
      <c r="C4551" s="8">
        <f>IFERROR(__xludf.DUMMYFUNCTION("""COMPUTED_VALUE"""),0.0)</f>
        <v>0</v>
      </c>
      <c r="D4551" s="8"/>
    </row>
    <row r="4552">
      <c r="A4552" s="9" t="str">
        <f>IFERROR(__xludf.DUMMYFUNCTION("""COMPUTED_VALUE"""),"Batch 259")</f>
        <v>Batch 259</v>
      </c>
      <c r="B4552" s="9" t="str">
        <f>IFERROR(__xludf.DUMMYFUNCTION("""COMPUTED_VALUE"""),"GarimaC59")</f>
        <v>GarimaC59</v>
      </c>
      <c r="C4552" s="8">
        <f>IFERROR(__xludf.DUMMYFUNCTION("""COMPUTED_VALUE"""),0.0)</f>
        <v>0</v>
      </c>
      <c r="D4552" s="8"/>
    </row>
    <row r="4553">
      <c r="A4553" s="9" t="str">
        <f>IFERROR(__xludf.DUMMYFUNCTION("""COMPUTED_VALUE"""),"Batch 259")</f>
        <v>Batch 259</v>
      </c>
      <c r="B4553" s="9" t="str">
        <f>IFERROR(__xludf.DUMMYFUNCTION("""COMPUTED_VALUE"""),"DebolinaC59")</f>
        <v>DebolinaC59</v>
      </c>
      <c r="C4553" s="8">
        <f>IFERROR(__xludf.DUMMYFUNCTION("""COMPUTED_VALUE"""),11.0)</f>
        <v>11</v>
      </c>
      <c r="D4553" s="8"/>
    </row>
    <row r="4554">
      <c r="A4554" s="9" t="str">
        <f>IFERROR(__xludf.DUMMYFUNCTION("""COMPUTED_VALUE"""),"Batch 259")</f>
        <v>Batch 259</v>
      </c>
      <c r="B4554" s="9" t="str">
        <f>IFERROR(__xludf.DUMMYFUNCTION("""COMPUTED_VALUE"""),"PranayC59")</f>
        <v>PranayC59</v>
      </c>
      <c r="C4554" s="8">
        <f>IFERROR(__xludf.DUMMYFUNCTION("""COMPUTED_VALUE"""),0.0)</f>
        <v>0</v>
      </c>
      <c r="D4554" s="8"/>
    </row>
    <row r="4555">
      <c r="A4555" s="9" t="str">
        <f>IFERROR(__xludf.DUMMYFUNCTION("""COMPUTED_VALUE"""),"Batch 259")</f>
        <v>Batch 259</v>
      </c>
      <c r="B4555" s="9" t="str">
        <f>IFERROR(__xludf.DUMMYFUNCTION("""COMPUTED_VALUE"""),"GabrielC59")</f>
        <v>GabrielC59</v>
      </c>
      <c r="C4555" s="8">
        <f>IFERROR(__xludf.DUMMYFUNCTION("""COMPUTED_VALUE"""),0.0)</f>
        <v>0</v>
      </c>
      <c r="D4555" s="8"/>
    </row>
    <row r="4556">
      <c r="A4556" s="9" t="str">
        <f>IFERROR(__xludf.DUMMYFUNCTION("""COMPUTED_VALUE"""),"Batch 259")</f>
        <v>Batch 259</v>
      </c>
      <c r="B4556" s="9" t="str">
        <f>IFERROR(__xludf.DUMMYFUNCTION("""COMPUTED_VALUE"""),"GaganC59")</f>
        <v>GaganC59</v>
      </c>
      <c r="C4556" s="8">
        <f>IFERROR(__xludf.DUMMYFUNCTION("""COMPUTED_VALUE"""),0.0)</f>
        <v>0</v>
      </c>
      <c r="D4556" s="8"/>
    </row>
    <row r="4557">
      <c r="A4557" s="9" t="str">
        <f>IFERROR(__xludf.DUMMYFUNCTION("""COMPUTED_VALUE"""),"Batch 259")</f>
        <v>Batch 259</v>
      </c>
      <c r="B4557" s="9" t="str">
        <f>IFERROR(__xludf.DUMMYFUNCTION("""COMPUTED_VALUE"""),"PrathamC59")</f>
        <v>PrathamC59</v>
      </c>
      <c r="C4557" s="8">
        <f>IFERROR(__xludf.DUMMYFUNCTION("""COMPUTED_VALUE"""),0.0)</f>
        <v>0</v>
      </c>
      <c r="D4557" s="8"/>
    </row>
    <row r="4558">
      <c r="A4558" s="9" t="str">
        <f>IFERROR(__xludf.DUMMYFUNCTION("""COMPUTED_VALUE"""),"Batch 259")</f>
        <v>Batch 259</v>
      </c>
      <c r="B4558" s="9" t="str">
        <f>IFERROR(__xludf.DUMMYFUNCTION("""COMPUTED_VALUE"""),"AkashC59")</f>
        <v>AkashC59</v>
      </c>
      <c r="C4558" s="8">
        <f>IFERROR(__xludf.DUMMYFUNCTION("""COMPUTED_VALUE"""),0.0)</f>
        <v>0</v>
      </c>
      <c r="D4558" s="8"/>
    </row>
    <row r="4559">
      <c r="A4559" s="9" t="str">
        <f>IFERROR(__xludf.DUMMYFUNCTION("""COMPUTED_VALUE"""),"Batch 259")</f>
        <v>Batch 259</v>
      </c>
      <c r="B4559" s="9" t="str">
        <f>IFERROR(__xludf.DUMMYFUNCTION("""COMPUTED_VALUE"""),"MohammadC59")</f>
        <v>MohammadC59</v>
      </c>
      <c r="C4559" s="8">
        <f>IFERROR(__xludf.DUMMYFUNCTION("""COMPUTED_VALUE"""),0.0)</f>
        <v>0</v>
      </c>
      <c r="D4559" s="8"/>
    </row>
    <row r="4560">
      <c r="A4560" s="9" t="str">
        <f>IFERROR(__xludf.DUMMYFUNCTION("""COMPUTED_VALUE"""),"Batch 259")</f>
        <v>Batch 259</v>
      </c>
      <c r="B4560" s="9" t="str">
        <f>IFERROR(__xludf.DUMMYFUNCTION("""COMPUTED_VALUE"""),"SakinalaC59")</f>
        <v>SakinalaC59</v>
      </c>
      <c r="C4560" s="8">
        <f>IFERROR(__xludf.DUMMYFUNCTION("""COMPUTED_VALUE"""),0.0)</f>
        <v>0</v>
      </c>
      <c r="D4560" s="8"/>
    </row>
    <row r="4561">
      <c r="A4561" s="9" t="str">
        <f>IFERROR(__xludf.DUMMYFUNCTION("""COMPUTED_VALUE"""),"Batch 259")</f>
        <v>Batch 259</v>
      </c>
      <c r="B4561" s="9" t="str">
        <f>IFERROR(__xludf.DUMMYFUNCTION("""COMPUTED_VALUE"""),"AnushkaC59")</f>
        <v>AnushkaC59</v>
      </c>
      <c r="C4561" s="8">
        <f>IFERROR(__xludf.DUMMYFUNCTION("""COMPUTED_VALUE"""),0.0)</f>
        <v>0</v>
      </c>
      <c r="D4561" s="8"/>
    </row>
    <row r="4562">
      <c r="A4562" s="9" t="str">
        <f>IFERROR(__xludf.DUMMYFUNCTION("""COMPUTED_VALUE"""),"Batch 259")</f>
        <v>Batch 259</v>
      </c>
      <c r="B4562" s="9" t="str">
        <f>IFERROR(__xludf.DUMMYFUNCTION("""COMPUTED_VALUE"""),"VatsalpanchmatiaC59")</f>
        <v>VatsalpanchmatiaC59</v>
      </c>
      <c r="C4562" s="8">
        <f>IFERROR(__xludf.DUMMYFUNCTION("""COMPUTED_VALUE"""),5.0)</f>
        <v>5</v>
      </c>
      <c r="D4562" s="8"/>
    </row>
    <row r="4563">
      <c r="A4563" s="9" t="str">
        <f>IFERROR(__xludf.DUMMYFUNCTION("""COMPUTED_VALUE"""),"Batch 259")</f>
        <v>Batch 259</v>
      </c>
      <c r="B4563" s="9" t="str">
        <f>IFERROR(__xludf.DUMMYFUNCTION("""COMPUTED_VALUE"""),"WasimC59")</f>
        <v>WasimC59</v>
      </c>
      <c r="C4563" s="8">
        <f>IFERROR(__xludf.DUMMYFUNCTION("""COMPUTED_VALUE"""),0.0)</f>
        <v>0</v>
      </c>
      <c r="D4563" s="8"/>
    </row>
    <row r="4564">
      <c r="A4564" s="9" t="str">
        <f>IFERROR(__xludf.DUMMYFUNCTION("""COMPUTED_VALUE"""),"Batch 259")</f>
        <v>Batch 259</v>
      </c>
      <c r="B4564" s="9" t="str">
        <f>IFERROR(__xludf.DUMMYFUNCTION("""COMPUTED_VALUE"""),"KandalaC59")</f>
        <v>KandalaC59</v>
      </c>
      <c r="C4564" s="8">
        <f>IFERROR(__xludf.DUMMYFUNCTION("""COMPUTED_VALUE"""),0.0)</f>
        <v>0</v>
      </c>
      <c r="D4564" s="8"/>
    </row>
    <row r="4565">
      <c r="A4565" s="9" t="str">
        <f>IFERROR(__xludf.DUMMYFUNCTION("""COMPUTED_VALUE"""),"Batch 259")</f>
        <v>Batch 259</v>
      </c>
      <c r="B4565" s="9" t="str">
        <f>IFERROR(__xludf.DUMMYFUNCTION("""COMPUTED_VALUE"""),"PruthvirajC59")</f>
        <v>PruthvirajC59</v>
      </c>
      <c r="C4565" s="8">
        <f>IFERROR(__xludf.DUMMYFUNCTION("""COMPUTED_VALUE"""),0.0)</f>
        <v>0</v>
      </c>
      <c r="D4565" s="8"/>
    </row>
    <row r="4566">
      <c r="A4566" s="9" t="str">
        <f>IFERROR(__xludf.DUMMYFUNCTION("""COMPUTED_VALUE"""),"Batch 259")</f>
        <v>Batch 259</v>
      </c>
      <c r="B4566" s="9" t="str">
        <f>IFERROR(__xludf.DUMMYFUNCTION("""COMPUTED_VALUE"""),"TC59")</f>
        <v>TC59</v>
      </c>
      <c r="C4566" s="8">
        <f>IFERROR(__xludf.DUMMYFUNCTION("""COMPUTED_VALUE"""),0.0)</f>
        <v>0</v>
      </c>
      <c r="D4566" s="8"/>
    </row>
    <row r="4567">
      <c r="A4567" s="9" t="str">
        <f>IFERROR(__xludf.DUMMYFUNCTION("""COMPUTED_VALUE"""),"Batch 259")</f>
        <v>Batch 259</v>
      </c>
      <c r="B4567" s="9" t="str">
        <f>IFERROR(__xludf.DUMMYFUNCTION("""COMPUTED_VALUE"""),"ChakrishC59")</f>
        <v>ChakrishC59</v>
      </c>
      <c r="C4567" s="8">
        <f>IFERROR(__xludf.DUMMYFUNCTION("""COMPUTED_VALUE"""),0.0)</f>
        <v>0</v>
      </c>
      <c r="D4567" s="8"/>
    </row>
    <row r="4568">
      <c r="A4568" s="9" t="str">
        <f>IFERROR(__xludf.DUMMYFUNCTION("""COMPUTED_VALUE"""),"Batch 259")</f>
        <v>Batch 259</v>
      </c>
      <c r="B4568" s="9" t="str">
        <f>IFERROR(__xludf.DUMMYFUNCTION("""COMPUTED_VALUE"""),"RidhimaC59")</f>
        <v>RidhimaC59</v>
      </c>
      <c r="C4568" s="8">
        <f>IFERROR(__xludf.DUMMYFUNCTION("""COMPUTED_VALUE"""),0.0)</f>
        <v>0</v>
      </c>
      <c r="D4568" s="8"/>
    </row>
    <row r="4569">
      <c r="A4569" s="9" t="str">
        <f>IFERROR(__xludf.DUMMYFUNCTION("""COMPUTED_VALUE"""),"Batch 259")</f>
        <v>Batch 259</v>
      </c>
      <c r="B4569" s="9" t="str">
        <f>IFERROR(__xludf.DUMMYFUNCTION("""COMPUTED_VALUE"""),"raghavC59")</f>
        <v>raghavC59</v>
      </c>
      <c r="C4569" s="8">
        <f>IFERROR(__xludf.DUMMYFUNCTION("""COMPUTED_VALUE"""),0.0)</f>
        <v>0</v>
      </c>
      <c r="D4569" s="8"/>
    </row>
    <row r="4570">
      <c r="A4570" s="9" t="str">
        <f>IFERROR(__xludf.DUMMYFUNCTION("""COMPUTED_VALUE"""),"Batch 259")</f>
        <v>Batch 259</v>
      </c>
      <c r="B4570" s="9" t="str">
        <f>IFERROR(__xludf.DUMMYFUNCTION("""COMPUTED_VALUE"""),"PitamC59")</f>
        <v>PitamC59</v>
      </c>
      <c r="C4570" s="8">
        <f>IFERROR(__xludf.DUMMYFUNCTION("""COMPUTED_VALUE"""),0.0)</f>
        <v>0</v>
      </c>
      <c r="D4570" s="8"/>
    </row>
    <row r="4571">
      <c r="A4571" s="9" t="str">
        <f>IFERROR(__xludf.DUMMYFUNCTION("""COMPUTED_VALUE"""),"Batch 259")</f>
        <v>Batch 259</v>
      </c>
      <c r="B4571" s="9" t="str">
        <f>IFERROR(__xludf.DUMMYFUNCTION("""COMPUTED_VALUE"""),"DheerajC59")</f>
        <v>DheerajC59</v>
      </c>
      <c r="C4571" s="8">
        <f>IFERROR(__xludf.DUMMYFUNCTION("""COMPUTED_VALUE"""),0.0)</f>
        <v>0</v>
      </c>
      <c r="D4571" s="8"/>
    </row>
    <row r="4572">
      <c r="A4572" s="9" t="str">
        <f>IFERROR(__xludf.DUMMYFUNCTION("""COMPUTED_VALUE"""),"Batch 259")</f>
        <v>Batch 259</v>
      </c>
      <c r="B4572" s="9" t="str">
        <f>IFERROR(__xludf.DUMMYFUNCTION("""COMPUTED_VALUE"""),"AyushC59")</f>
        <v>AyushC59</v>
      </c>
      <c r="C4572" s="8">
        <f>IFERROR(__xludf.DUMMYFUNCTION("""COMPUTED_VALUE"""),0.0)</f>
        <v>0</v>
      </c>
      <c r="D4572" s="8"/>
    </row>
    <row r="4573">
      <c r="A4573" s="9" t="str">
        <f>IFERROR(__xludf.DUMMYFUNCTION("""COMPUTED_VALUE"""),"Batch 259")</f>
        <v>Batch 259</v>
      </c>
      <c r="B4573" s="9" t="str">
        <f>IFERROR(__xludf.DUMMYFUNCTION("""COMPUTED_VALUE"""),"ManojC59")</f>
        <v>ManojC59</v>
      </c>
      <c r="C4573" s="8">
        <f>IFERROR(__xludf.DUMMYFUNCTION("""COMPUTED_VALUE"""),0.0)</f>
        <v>0</v>
      </c>
      <c r="D4573" s="8"/>
    </row>
    <row r="4574">
      <c r="A4574" s="9" t="str">
        <f>IFERROR(__xludf.DUMMYFUNCTION("""COMPUTED_VALUE"""),"Batch 259")</f>
        <v>Batch 259</v>
      </c>
      <c r="B4574" s="9" t="str">
        <f>IFERROR(__xludf.DUMMYFUNCTION("""COMPUTED_VALUE"""),"kaushikiC59")</f>
        <v>kaushikiC59</v>
      </c>
      <c r="C4574" s="8">
        <f>IFERROR(__xludf.DUMMYFUNCTION("""COMPUTED_VALUE"""),0.0)</f>
        <v>0</v>
      </c>
      <c r="D4574" s="8"/>
    </row>
    <row r="4575">
      <c r="A4575" s="9" t="str">
        <f>IFERROR(__xludf.DUMMYFUNCTION("""COMPUTED_VALUE"""),"Batch 259")</f>
        <v>Batch 259</v>
      </c>
      <c r="B4575" s="9" t="str">
        <f>IFERROR(__xludf.DUMMYFUNCTION("""COMPUTED_VALUE"""),"ArleenC59")</f>
        <v>ArleenC59</v>
      </c>
      <c r="C4575" s="8">
        <f>IFERROR(__xludf.DUMMYFUNCTION("""COMPUTED_VALUE"""),0.0)</f>
        <v>0</v>
      </c>
      <c r="D4575" s="8"/>
    </row>
    <row r="4576">
      <c r="A4576" s="9" t="str">
        <f>IFERROR(__xludf.DUMMYFUNCTION("""COMPUTED_VALUE"""),"Batch 259")</f>
        <v>Batch 259</v>
      </c>
      <c r="B4576" s="9" t="str">
        <f>IFERROR(__xludf.DUMMYFUNCTION("""COMPUTED_VALUE"""),"JaiminC59")</f>
        <v>JaiminC59</v>
      </c>
      <c r="C4576" s="8">
        <f>IFERROR(__xludf.DUMMYFUNCTION("""COMPUTED_VALUE"""),2.0)</f>
        <v>2</v>
      </c>
      <c r="D4576" s="8"/>
    </row>
    <row r="4577">
      <c r="A4577" s="9" t="str">
        <f>IFERROR(__xludf.DUMMYFUNCTION("""COMPUTED_VALUE"""),"Batch 259")</f>
        <v>Batch 259</v>
      </c>
      <c r="B4577" s="9" t="str">
        <f>IFERROR(__xludf.DUMMYFUNCTION("""COMPUTED_VALUE"""),"TanishkC59")</f>
        <v>TanishkC59</v>
      </c>
      <c r="C4577" s="8">
        <f>IFERROR(__xludf.DUMMYFUNCTION("""COMPUTED_VALUE"""),0.0)</f>
        <v>0</v>
      </c>
      <c r="D4577" s="8"/>
    </row>
    <row r="4578">
      <c r="A4578" s="9" t="str">
        <f>IFERROR(__xludf.DUMMYFUNCTION("""COMPUTED_VALUE"""),"Batch 259")</f>
        <v>Batch 259</v>
      </c>
      <c r="B4578" s="9" t="str">
        <f>IFERROR(__xludf.DUMMYFUNCTION("""COMPUTED_VALUE"""),"BurhanaC59")</f>
        <v>BurhanaC59</v>
      </c>
      <c r="C4578" s="8">
        <f>IFERROR(__xludf.DUMMYFUNCTION("""COMPUTED_VALUE"""),0.0)</f>
        <v>0</v>
      </c>
      <c r="D4578" s="8"/>
    </row>
    <row r="4579">
      <c r="A4579" s="9" t="str">
        <f>IFERROR(__xludf.DUMMYFUNCTION("""COMPUTED_VALUE"""),"Batch 259")</f>
        <v>Batch 259</v>
      </c>
      <c r="B4579" s="9" t="str">
        <f>IFERROR(__xludf.DUMMYFUNCTION("""COMPUTED_VALUE"""),"SakshiC59")</f>
        <v>SakshiC59</v>
      </c>
      <c r="C4579" s="8">
        <f>IFERROR(__xludf.DUMMYFUNCTION("""COMPUTED_VALUE"""),0.0)</f>
        <v>0</v>
      </c>
      <c r="D4579" s="8"/>
    </row>
    <row r="4580">
      <c r="A4580" s="9" t="str">
        <f>IFERROR(__xludf.DUMMYFUNCTION("""COMPUTED_VALUE"""),"Batch 259")</f>
        <v>Batch 259</v>
      </c>
      <c r="B4580" s="9" t="str">
        <f>IFERROR(__xludf.DUMMYFUNCTION("""COMPUTED_VALUE"""),"DeepanshuC59")</f>
        <v>DeepanshuC59</v>
      </c>
      <c r="C4580" s="8">
        <f>IFERROR(__xludf.DUMMYFUNCTION("""COMPUTED_VALUE"""),0.0)</f>
        <v>0</v>
      </c>
      <c r="D4580" s="8"/>
    </row>
    <row r="4581">
      <c r="A4581" s="9" t="str">
        <f>IFERROR(__xludf.DUMMYFUNCTION("""COMPUTED_VALUE"""),"Batch 259")</f>
        <v>Batch 259</v>
      </c>
      <c r="B4581" s="9" t="str">
        <f>IFERROR(__xludf.DUMMYFUNCTION("""COMPUTED_VALUE"""),"PrateekC59")</f>
        <v>PrateekC59</v>
      </c>
      <c r="C4581" s="8">
        <f>IFERROR(__xludf.DUMMYFUNCTION("""COMPUTED_VALUE"""),0.0)</f>
        <v>0</v>
      </c>
      <c r="D4581" s="8"/>
    </row>
    <row r="4582">
      <c r="A4582" s="9" t="str">
        <f>IFERROR(__xludf.DUMMYFUNCTION("""COMPUTED_VALUE"""),"Batch 259")</f>
        <v>Batch 259</v>
      </c>
      <c r="B4582" s="9" t="str">
        <f>IFERROR(__xludf.DUMMYFUNCTION("""COMPUTED_VALUE"""),"RahulC59")</f>
        <v>RahulC59</v>
      </c>
      <c r="C4582" s="8">
        <f>IFERROR(__xludf.DUMMYFUNCTION("""COMPUTED_VALUE"""),0.0)</f>
        <v>0</v>
      </c>
      <c r="D4582" s="8"/>
    </row>
    <row r="4583">
      <c r="A4583" s="9" t="str">
        <f>IFERROR(__xludf.DUMMYFUNCTION("""COMPUTED_VALUE"""),"Batch 259")</f>
        <v>Batch 259</v>
      </c>
      <c r="B4583" s="9" t="str">
        <f>IFERROR(__xludf.DUMMYFUNCTION("""COMPUTED_VALUE"""),"LaxmiC59")</f>
        <v>LaxmiC59</v>
      </c>
      <c r="C4583" s="8">
        <f>IFERROR(__xludf.DUMMYFUNCTION("""COMPUTED_VALUE"""),0.0)</f>
        <v>0</v>
      </c>
      <c r="D4583" s="8"/>
    </row>
    <row r="4584">
      <c r="A4584" s="9" t="str">
        <f>IFERROR(__xludf.DUMMYFUNCTION("""COMPUTED_VALUE"""),"Batch 259")</f>
        <v>Batch 259</v>
      </c>
      <c r="B4584" s="9" t="str">
        <f>IFERROR(__xludf.DUMMYFUNCTION("""COMPUTED_VALUE"""),"RiyaC59")</f>
        <v>RiyaC59</v>
      </c>
      <c r="C4584" s="8">
        <f>IFERROR(__xludf.DUMMYFUNCTION("""COMPUTED_VALUE"""),0.0)</f>
        <v>0</v>
      </c>
      <c r="D4584" s="8"/>
    </row>
    <row r="4585">
      <c r="A4585" s="9" t="str">
        <f>IFERROR(__xludf.DUMMYFUNCTION("""COMPUTED_VALUE"""),"Batch 259")</f>
        <v>Batch 259</v>
      </c>
      <c r="B4585" s="9" t="str">
        <f>IFERROR(__xludf.DUMMYFUNCTION("""COMPUTED_VALUE"""),"LavanyaC59")</f>
        <v>LavanyaC59</v>
      </c>
      <c r="C4585" s="8">
        <f>IFERROR(__xludf.DUMMYFUNCTION("""COMPUTED_VALUE"""),0.0)</f>
        <v>0</v>
      </c>
      <c r="D4585" s="8"/>
    </row>
    <row r="4586">
      <c r="A4586" s="9" t="str">
        <f>IFERROR(__xludf.DUMMYFUNCTION("""COMPUTED_VALUE"""),"Batch 259")</f>
        <v>Batch 259</v>
      </c>
      <c r="B4586" s="9" t="str">
        <f>IFERROR(__xludf.DUMMYFUNCTION("""COMPUTED_VALUE"""),"ABHINANDANC59")</f>
        <v>ABHINANDANC59</v>
      </c>
      <c r="C4586" s="8">
        <f>IFERROR(__xludf.DUMMYFUNCTION("""COMPUTED_VALUE"""),0.0)</f>
        <v>0</v>
      </c>
      <c r="D4586" s="8"/>
    </row>
    <row r="4587">
      <c r="A4587" s="9" t="str">
        <f>IFERROR(__xludf.DUMMYFUNCTION("""COMPUTED_VALUE"""),"Batch 259")</f>
        <v>Batch 259</v>
      </c>
      <c r="B4587" s="9" t="str">
        <f>IFERROR(__xludf.DUMMYFUNCTION("""COMPUTED_VALUE"""),"AryanC59")</f>
        <v>AryanC59</v>
      </c>
      <c r="C4587" s="8">
        <f>IFERROR(__xludf.DUMMYFUNCTION("""COMPUTED_VALUE"""),0.0)</f>
        <v>0</v>
      </c>
      <c r="D4587" s="8"/>
    </row>
    <row r="4588">
      <c r="A4588" s="9" t="str">
        <f>IFERROR(__xludf.DUMMYFUNCTION("""COMPUTED_VALUE"""),"Batch 259")</f>
        <v>Batch 259</v>
      </c>
      <c r="B4588" s="9" t="str">
        <f>IFERROR(__xludf.DUMMYFUNCTION("""COMPUTED_VALUE"""),"KevinC59")</f>
        <v>KevinC59</v>
      </c>
      <c r="C4588" s="8">
        <f>IFERROR(__xludf.DUMMYFUNCTION("""COMPUTED_VALUE"""),0.0)</f>
        <v>0</v>
      </c>
      <c r="D4588" s="8"/>
    </row>
    <row r="4589">
      <c r="A4589" s="9" t="str">
        <f>IFERROR(__xludf.DUMMYFUNCTION("""COMPUTED_VALUE"""),"Batch 259")</f>
        <v>Batch 259</v>
      </c>
      <c r="B4589" s="9" t="str">
        <f>IFERROR(__xludf.DUMMYFUNCTION("""COMPUTED_VALUE"""),"RainyC59")</f>
        <v>RainyC59</v>
      </c>
      <c r="C4589" s="8">
        <f>IFERROR(__xludf.DUMMYFUNCTION("""COMPUTED_VALUE"""),0.0)</f>
        <v>0</v>
      </c>
      <c r="D4589" s="8"/>
    </row>
    <row r="4590">
      <c r="A4590" s="9" t="str">
        <f>IFERROR(__xludf.DUMMYFUNCTION("""COMPUTED_VALUE"""),"Batch 259")</f>
        <v>Batch 259</v>
      </c>
      <c r="B4590" s="9" t="str">
        <f>IFERROR(__xludf.DUMMYFUNCTION("""COMPUTED_VALUE"""),"MahirC59")</f>
        <v>MahirC59</v>
      </c>
      <c r="C4590" s="8">
        <f>IFERROR(__xludf.DUMMYFUNCTION("""COMPUTED_VALUE"""),0.0)</f>
        <v>0</v>
      </c>
      <c r="D4590" s="8"/>
    </row>
    <row r="4591">
      <c r="A4591" s="9" t="str">
        <f>IFERROR(__xludf.DUMMYFUNCTION("""COMPUTED_VALUE"""),"Batch 259")</f>
        <v>Batch 259</v>
      </c>
      <c r="B4591" s="9" t="str">
        <f>IFERROR(__xludf.DUMMYFUNCTION("""COMPUTED_VALUE"""),"PRINCEC59")</f>
        <v>PRINCEC59</v>
      </c>
      <c r="C4591" s="8">
        <f>IFERROR(__xludf.DUMMYFUNCTION("""COMPUTED_VALUE"""),0.0)</f>
        <v>0</v>
      </c>
      <c r="D4591" s="8"/>
    </row>
    <row r="4592">
      <c r="A4592" s="9" t="str">
        <f>IFERROR(__xludf.DUMMYFUNCTION("""COMPUTED_VALUE"""),"Batch 259")</f>
        <v>Batch 259</v>
      </c>
      <c r="B4592" s="9" t="str">
        <f>IFERROR(__xludf.DUMMYFUNCTION("""COMPUTED_VALUE"""),"DevanshC59")</f>
        <v>DevanshC59</v>
      </c>
      <c r="C4592" s="8">
        <f>IFERROR(__xludf.DUMMYFUNCTION("""COMPUTED_VALUE"""),0.0)</f>
        <v>0</v>
      </c>
      <c r="D4592" s="8"/>
    </row>
    <row r="4593">
      <c r="A4593" s="9" t="str">
        <f>IFERROR(__xludf.DUMMYFUNCTION("""COMPUTED_VALUE"""),"Batch 259")</f>
        <v>Batch 259</v>
      </c>
      <c r="B4593" s="9" t="str">
        <f>IFERROR(__xludf.DUMMYFUNCTION("""COMPUTED_VALUE"""),"vanshC59")</f>
        <v>vanshC59</v>
      </c>
      <c r="C4593" s="8">
        <f>IFERROR(__xludf.DUMMYFUNCTION("""COMPUTED_VALUE"""),0.0)</f>
        <v>0</v>
      </c>
      <c r="D4593" s="8"/>
    </row>
    <row r="4594">
      <c r="A4594" s="9" t="str">
        <f>IFERROR(__xludf.DUMMYFUNCTION("""COMPUTED_VALUE"""),"Batch 259")</f>
        <v>Batch 259</v>
      </c>
      <c r="B4594" s="9" t="str">
        <f>IFERROR(__xludf.DUMMYFUNCTION("""COMPUTED_VALUE"""),"MahiC59")</f>
        <v>MahiC59</v>
      </c>
      <c r="C4594" s="8">
        <f>IFERROR(__xludf.DUMMYFUNCTION("""COMPUTED_VALUE"""),0.0)</f>
        <v>0</v>
      </c>
      <c r="D4594" s="8"/>
    </row>
    <row r="4595">
      <c r="A4595" s="9" t="str">
        <f>IFERROR(__xludf.DUMMYFUNCTION("""COMPUTED_VALUE"""),"Batch 259")</f>
        <v>Batch 259</v>
      </c>
      <c r="B4595" s="9" t="str">
        <f>IFERROR(__xludf.DUMMYFUNCTION("""COMPUTED_VALUE"""),"RudraC59")</f>
        <v>RudraC59</v>
      </c>
      <c r="C4595" s="8">
        <f>IFERROR(__xludf.DUMMYFUNCTION("""COMPUTED_VALUE"""),0.0)</f>
        <v>0</v>
      </c>
      <c r="D4595" s="8"/>
    </row>
    <row r="4596">
      <c r="A4596" s="9" t="str">
        <f>IFERROR(__xludf.DUMMYFUNCTION("""COMPUTED_VALUE"""),"Batch 259")</f>
        <v>Batch 259</v>
      </c>
      <c r="B4596" s="9" t="str">
        <f>IFERROR(__xludf.DUMMYFUNCTION("""COMPUTED_VALUE"""),"KaushalC59")</f>
        <v>KaushalC59</v>
      </c>
      <c r="C4596" s="8">
        <f>IFERROR(__xludf.DUMMYFUNCTION("""COMPUTED_VALUE"""),0.0)</f>
        <v>0</v>
      </c>
      <c r="D4596" s="8"/>
    </row>
    <row r="4597">
      <c r="A4597" s="9" t="str">
        <f>IFERROR(__xludf.DUMMYFUNCTION("""COMPUTED_VALUE"""),"Batch 259")</f>
        <v>Batch 259</v>
      </c>
      <c r="B4597" s="9" t="str">
        <f>IFERROR(__xludf.DUMMYFUNCTION("""COMPUTED_VALUE"""),"GauravC59")</f>
        <v>GauravC59</v>
      </c>
      <c r="C4597" s="8">
        <f>IFERROR(__xludf.DUMMYFUNCTION("""COMPUTED_VALUE"""),0.0)</f>
        <v>0</v>
      </c>
      <c r="D4597" s="8"/>
    </row>
    <row r="4598">
      <c r="A4598" s="9" t="str">
        <f>IFERROR(__xludf.DUMMYFUNCTION("""COMPUTED_VALUE"""),"Batch 259")</f>
        <v>Batch 259</v>
      </c>
      <c r="B4598" s="9" t="str">
        <f>IFERROR(__xludf.DUMMYFUNCTION("""COMPUTED_VALUE"""),"AishwaryaC59")</f>
        <v>AishwaryaC59</v>
      </c>
      <c r="C4598" s="8">
        <f>IFERROR(__xludf.DUMMYFUNCTION("""COMPUTED_VALUE"""),1.0)</f>
        <v>1</v>
      </c>
      <c r="D4598" s="8"/>
    </row>
    <row r="4599">
      <c r="A4599" s="9" t="str">
        <f>IFERROR(__xludf.DUMMYFUNCTION("""COMPUTED_VALUE"""),"Batch 259")</f>
        <v>Batch 259</v>
      </c>
      <c r="B4599" s="9" t="str">
        <f>IFERROR(__xludf.DUMMYFUNCTION("""COMPUTED_VALUE"""),"RohanC59")</f>
        <v>RohanC59</v>
      </c>
      <c r="C4599" s="8">
        <f>IFERROR(__xludf.DUMMYFUNCTION("""COMPUTED_VALUE"""),0.0)</f>
        <v>0</v>
      </c>
      <c r="D4599" s="8"/>
    </row>
    <row r="4600">
      <c r="A4600" s="9" t="str">
        <f>IFERROR(__xludf.DUMMYFUNCTION("""COMPUTED_VALUE"""),"Batch 259")</f>
        <v>Batch 259</v>
      </c>
      <c r="B4600" s="9" t="str">
        <f>IFERROR(__xludf.DUMMYFUNCTION("""COMPUTED_VALUE"""),"ParthC59")</f>
        <v>ParthC59</v>
      </c>
      <c r="C4600" s="8">
        <f>IFERROR(__xludf.DUMMYFUNCTION("""COMPUTED_VALUE"""),0.0)</f>
        <v>0</v>
      </c>
      <c r="D4600" s="8"/>
    </row>
    <row r="4601">
      <c r="A4601" s="9" t="str">
        <f>IFERROR(__xludf.DUMMYFUNCTION("""COMPUTED_VALUE"""),"Batch 259")</f>
        <v>Batch 259</v>
      </c>
      <c r="B4601" s="9" t="str">
        <f>IFERROR(__xludf.DUMMYFUNCTION("""COMPUTED_VALUE"""),"AkashC59")</f>
        <v>AkashC59</v>
      </c>
      <c r="C4601" s="8">
        <f>IFERROR(__xludf.DUMMYFUNCTION("""COMPUTED_VALUE"""),0.0)</f>
        <v>0</v>
      </c>
      <c r="D4601" s="8"/>
    </row>
    <row r="4602">
      <c r="A4602" s="9" t="str">
        <f>IFERROR(__xludf.DUMMYFUNCTION("""COMPUTED_VALUE"""),"Batch 259")</f>
        <v>Batch 259</v>
      </c>
      <c r="B4602" s="9" t="str">
        <f>IFERROR(__xludf.DUMMYFUNCTION("""COMPUTED_VALUE"""),"HridyaC59")</f>
        <v>HridyaC59</v>
      </c>
      <c r="C4602" s="8">
        <f>IFERROR(__xludf.DUMMYFUNCTION("""COMPUTED_VALUE"""),0.0)</f>
        <v>0</v>
      </c>
      <c r="D4602" s="8"/>
    </row>
    <row r="4603">
      <c r="A4603" s="9" t="str">
        <f>IFERROR(__xludf.DUMMYFUNCTION("""COMPUTED_VALUE"""),"Batch 259")</f>
        <v>Batch 259</v>
      </c>
      <c r="B4603" s="9" t="str">
        <f>IFERROR(__xludf.DUMMYFUNCTION("""COMPUTED_VALUE"""),"GouravC59")</f>
        <v>GouravC59</v>
      </c>
      <c r="C4603" s="8">
        <f>IFERROR(__xludf.DUMMYFUNCTION("""COMPUTED_VALUE"""),0.0)</f>
        <v>0</v>
      </c>
      <c r="D4603" s="8"/>
    </row>
    <row r="4604">
      <c r="A4604" s="9" t="str">
        <f>IFERROR(__xludf.DUMMYFUNCTION("""COMPUTED_VALUE"""),"Batch 259")</f>
        <v>Batch 259</v>
      </c>
      <c r="B4604" s="9" t="str">
        <f>IFERROR(__xludf.DUMMYFUNCTION("""COMPUTED_VALUE"""),"VarshaC59")</f>
        <v>VarshaC59</v>
      </c>
      <c r="C4604" s="8">
        <f>IFERROR(__xludf.DUMMYFUNCTION("""COMPUTED_VALUE"""),0.0)</f>
        <v>0</v>
      </c>
      <c r="D4604" s="8"/>
    </row>
    <row r="4605">
      <c r="A4605" s="9" t="str">
        <f>IFERROR(__xludf.DUMMYFUNCTION("""COMPUTED_VALUE"""),"Batch 259")</f>
        <v>Batch 259</v>
      </c>
      <c r="B4605" s="9" t="str">
        <f>IFERROR(__xludf.DUMMYFUNCTION("""COMPUTED_VALUE"""),"AdityaC59")</f>
        <v>AdityaC59</v>
      </c>
      <c r="C4605" s="8">
        <f>IFERROR(__xludf.DUMMYFUNCTION("""COMPUTED_VALUE"""),0.0)</f>
        <v>0</v>
      </c>
      <c r="D4605" s="8"/>
    </row>
    <row r="4606">
      <c r="A4606" s="9" t="str">
        <f>IFERROR(__xludf.DUMMYFUNCTION("""COMPUTED_VALUE"""),"Batch 259")</f>
        <v>Batch 259</v>
      </c>
      <c r="B4606" s="9" t="str">
        <f>IFERROR(__xludf.DUMMYFUNCTION("""COMPUTED_VALUE"""),"BhargavC59")</f>
        <v>BhargavC59</v>
      </c>
      <c r="C4606" s="8">
        <f>IFERROR(__xludf.DUMMYFUNCTION("""COMPUTED_VALUE"""),0.0)</f>
        <v>0</v>
      </c>
      <c r="D4606" s="8"/>
    </row>
    <row r="4607">
      <c r="A4607" s="9"/>
      <c r="B4607" s="9"/>
      <c r="C4607" s="8">
        <f>IFERROR(__xludf.DUMMYFUNCTION("""COMPUTED_VALUE"""),0.0)</f>
        <v>0</v>
      </c>
      <c r="D4607" s="8"/>
    </row>
    <row r="4608">
      <c r="A4608" s="9" t="str">
        <f>IFERROR(__xludf.DUMMYFUNCTION("""COMPUTED_VALUE"""),"Batch 260")</f>
        <v>Batch 260</v>
      </c>
      <c r="B4608" s="9" t="str">
        <f>IFERROR(__xludf.DUMMYFUNCTION("""COMPUTED_VALUE"""),"AdityaC60")</f>
        <v>AdityaC60</v>
      </c>
      <c r="C4608" s="8">
        <f>IFERROR(__xludf.DUMMYFUNCTION("""COMPUTED_VALUE"""),0.0)</f>
        <v>0</v>
      </c>
      <c r="D4608" s="8"/>
    </row>
    <row r="4609">
      <c r="A4609" s="9" t="str">
        <f>IFERROR(__xludf.DUMMYFUNCTION("""COMPUTED_VALUE"""),"Batch 260")</f>
        <v>Batch 260</v>
      </c>
      <c r="B4609" s="9" t="str">
        <f>IFERROR(__xludf.DUMMYFUNCTION("""COMPUTED_VALUE"""),"GanyaC60")</f>
        <v>GanyaC60</v>
      </c>
      <c r="C4609" s="8">
        <f>IFERROR(__xludf.DUMMYFUNCTION("""COMPUTED_VALUE"""),0.0)</f>
        <v>0</v>
      </c>
      <c r="D4609" s="8"/>
    </row>
    <row r="4610">
      <c r="A4610" s="9" t="str">
        <f>IFERROR(__xludf.DUMMYFUNCTION("""COMPUTED_VALUE"""),"Batch 260")</f>
        <v>Batch 260</v>
      </c>
      <c r="B4610" s="9" t="str">
        <f>IFERROR(__xludf.DUMMYFUNCTION("""COMPUTED_VALUE"""),"MythriC60")</f>
        <v>MythriC60</v>
      </c>
      <c r="C4610" s="8">
        <f>IFERROR(__xludf.DUMMYFUNCTION("""COMPUTED_VALUE"""),0.0)</f>
        <v>0</v>
      </c>
      <c r="D4610" s="8"/>
    </row>
    <row r="4611">
      <c r="A4611" s="9" t="str">
        <f>IFERROR(__xludf.DUMMYFUNCTION("""COMPUTED_VALUE"""),"Batch 260")</f>
        <v>Batch 260</v>
      </c>
      <c r="B4611" s="9" t="str">
        <f>IFERROR(__xludf.DUMMYFUNCTION("""COMPUTED_VALUE"""),"PrinceC60")</f>
        <v>PrinceC60</v>
      </c>
      <c r="C4611" s="8">
        <f>IFERROR(__xludf.DUMMYFUNCTION("""COMPUTED_VALUE"""),0.0)</f>
        <v>0</v>
      </c>
      <c r="D4611" s="8"/>
    </row>
    <row r="4612">
      <c r="A4612" s="9" t="str">
        <f>IFERROR(__xludf.DUMMYFUNCTION("""COMPUTED_VALUE"""),"Batch 260")</f>
        <v>Batch 260</v>
      </c>
      <c r="B4612" s="9" t="str">
        <f>IFERROR(__xludf.DUMMYFUNCTION("""COMPUTED_VALUE"""),"NazeefC60")</f>
        <v>NazeefC60</v>
      </c>
      <c r="C4612" s="8">
        <f>IFERROR(__xludf.DUMMYFUNCTION("""COMPUTED_VALUE"""),0.0)</f>
        <v>0</v>
      </c>
      <c r="D4612" s="8"/>
    </row>
    <row r="4613">
      <c r="A4613" s="9" t="str">
        <f>IFERROR(__xludf.DUMMYFUNCTION("""COMPUTED_VALUE"""),"Batch 260")</f>
        <v>Batch 260</v>
      </c>
      <c r="B4613" s="9" t="str">
        <f>IFERROR(__xludf.DUMMYFUNCTION("""COMPUTED_VALUE"""),"MamtaC60")</f>
        <v>MamtaC60</v>
      </c>
      <c r="C4613" s="8">
        <f>IFERROR(__xludf.DUMMYFUNCTION("""COMPUTED_VALUE"""),0.0)</f>
        <v>0</v>
      </c>
      <c r="D4613" s="8"/>
    </row>
    <row r="4614">
      <c r="A4614" s="9" t="str">
        <f>IFERROR(__xludf.DUMMYFUNCTION("""COMPUTED_VALUE"""),"Batch 260")</f>
        <v>Batch 260</v>
      </c>
      <c r="B4614" s="9" t="str">
        <f>IFERROR(__xludf.DUMMYFUNCTION("""COMPUTED_VALUE"""),"ShreyaC60")</f>
        <v>ShreyaC60</v>
      </c>
      <c r="C4614" s="8">
        <f>IFERROR(__xludf.DUMMYFUNCTION("""COMPUTED_VALUE"""),1.0)</f>
        <v>1</v>
      </c>
      <c r="D4614" s="8"/>
    </row>
    <row r="4615">
      <c r="A4615" s="9" t="str">
        <f>IFERROR(__xludf.DUMMYFUNCTION("""COMPUTED_VALUE"""),"Batch 260")</f>
        <v>Batch 260</v>
      </c>
      <c r="B4615" s="9" t="str">
        <f>IFERROR(__xludf.DUMMYFUNCTION("""COMPUTED_VALUE"""),"DeepanshuC60")</f>
        <v>DeepanshuC60</v>
      </c>
      <c r="C4615" s="8">
        <f>IFERROR(__xludf.DUMMYFUNCTION("""COMPUTED_VALUE"""),0.0)</f>
        <v>0</v>
      </c>
      <c r="D4615" s="8"/>
    </row>
    <row r="4616">
      <c r="A4616" s="9" t="str">
        <f>IFERROR(__xludf.DUMMYFUNCTION("""COMPUTED_VALUE"""),"Batch 260")</f>
        <v>Batch 260</v>
      </c>
      <c r="B4616" s="9" t="str">
        <f>IFERROR(__xludf.DUMMYFUNCTION("""COMPUTED_VALUE"""),"AryanC60")</f>
        <v>AryanC60</v>
      </c>
      <c r="C4616" s="8">
        <f>IFERROR(__xludf.DUMMYFUNCTION("""COMPUTED_VALUE"""),0.0)</f>
        <v>0</v>
      </c>
      <c r="D4616" s="8"/>
    </row>
    <row r="4617">
      <c r="A4617" s="9" t="str">
        <f>IFERROR(__xludf.DUMMYFUNCTION("""COMPUTED_VALUE"""),"Batch 260")</f>
        <v>Batch 260</v>
      </c>
      <c r="B4617" s="9" t="str">
        <f>IFERROR(__xludf.DUMMYFUNCTION("""COMPUTED_VALUE"""),"SafiaC60")</f>
        <v>SafiaC60</v>
      </c>
      <c r="C4617" s="8">
        <f>IFERROR(__xludf.DUMMYFUNCTION("""COMPUTED_VALUE"""),0.0)</f>
        <v>0</v>
      </c>
      <c r="D4617" s="8"/>
    </row>
    <row r="4618">
      <c r="A4618" s="9" t="str">
        <f>IFERROR(__xludf.DUMMYFUNCTION("""COMPUTED_VALUE"""),"Batch 260")</f>
        <v>Batch 260</v>
      </c>
      <c r="B4618" s="9" t="str">
        <f>IFERROR(__xludf.DUMMYFUNCTION("""COMPUTED_VALUE"""),"PriyaC60")</f>
        <v>PriyaC60</v>
      </c>
      <c r="C4618" s="8">
        <f>IFERROR(__xludf.DUMMYFUNCTION("""COMPUTED_VALUE"""),0.0)</f>
        <v>0</v>
      </c>
      <c r="D4618" s="8"/>
    </row>
    <row r="4619">
      <c r="A4619" s="9" t="str">
        <f>IFERROR(__xludf.DUMMYFUNCTION("""COMPUTED_VALUE"""),"Batch 260")</f>
        <v>Batch 260</v>
      </c>
      <c r="B4619" s="9" t="str">
        <f>IFERROR(__xludf.DUMMYFUNCTION("""COMPUTED_VALUE"""),"AkshitaC60")</f>
        <v>AkshitaC60</v>
      </c>
      <c r="C4619" s="8">
        <f>IFERROR(__xludf.DUMMYFUNCTION("""COMPUTED_VALUE"""),0.0)</f>
        <v>0</v>
      </c>
      <c r="D4619" s="8"/>
    </row>
    <row r="4620">
      <c r="A4620" s="9" t="str">
        <f>IFERROR(__xludf.DUMMYFUNCTION("""COMPUTED_VALUE"""),"Batch 260")</f>
        <v>Batch 260</v>
      </c>
      <c r="B4620" s="9" t="str">
        <f>IFERROR(__xludf.DUMMYFUNCTION("""COMPUTED_VALUE"""),"MadalaC60")</f>
        <v>MadalaC60</v>
      </c>
      <c r="C4620" s="8">
        <f>IFERROR(__xludf.DUMMYFUNCTION("""COMPUTED_VALUE"""),0.0)</f>
        <v>0</v>
      </c>
      <c r="D4620" s="8"/>
    </row>
    <row r="4621">
      <c r="A4621" s="9" t="str">
        <f>IFERROR(__xludf.DUMMYFUNCTION("""COMPUTED_VALUE"""),"Batch 260")</f>
        <v>Batch 260</v>
      </c>
      <c r="B4621" s="9" t="str">
        <f>IFERROR(__xludf.DUMMYFUNCTION("""COMPUTED_VALUE"""),"ShriC60")</f>
        <v>ShriC60</v>
      </c>
      <c r="C4621" s="8">
        <f>IFERROR(__xludf.DUMMYFUNCTION("""COMPUTED_VALUE"""),0.0)</f>
        <v>0</v>
      </c>
      <c r="D4621" s="8"/>
    </row>
    <row r="4622">
      <c r="A4622" s="9" t="str">
        <f>IFERROR(__xludf.DUMMYFUNCTION("""COMPUTED_VALUE"""),"Batch 260")</f>
        <v>Batch 260</v>
      </c>
      <c r="B4622" s="9" t="str">
        <f>IFERROR(__xludf.DUMMYFUNCTION("""COMPUTED_VALUE"""),"PrabhatC60")</f>
        <v>PrabhatC60</v>
      </c>
      <c r="C4622" s="8">
        <f>IFERROR(__xludf.DUMMYFUNCTION("""COMPUTED_VALUE"""),0.0)</f>
        <v>0</v>
      </c>
      <c r="D4622" s="8"/>
    </row>
    <row r="4623">
      <c r="A4623" s="9" t="str">
        <f>IFERROR(__xludf.DUMMYFUNCTION("""COMPUTED_VALUE"""),"Batch 260")</f>
        <v>Batch 260</v>
      </c>
      <c r="B4623" s="9" t="str">
        <f>IFERROR(__xludf.DUMMYFUNCTION("""COMPUTED_VALUE"""),"HarenderC60")</f>
        <v>HarenderC60</v>
      </c>
      <c r="C4623" s="8">
        <f>IFERROR(__xludf.DUMMYFUNCTION("""COMPUTED_VALUE"""),0.0)</f>
        <v>0</v>
      </c>
      <c r="D4623" s="8"/>
    </row>
    <row r="4624">
      <c r="A4624" s="9"/>
      <c r="B4624" s="9"/>
      <c r="C4624" s="8">
        <f>IFERROR(__xludf.DUMMYFUNCTION("""COMPUTED_VALUE"""),0.0)</f>
        <v>0</v>
      </c>
      <c r="D4624" s="8"/>
    </row>
    <row r="4625">
      <c r="A4625" s="9" t="str">
        <f>IFERROR(__xludf.DUMMYFUNCTION("""COMPUTED_VALUE"""),"Batch 261")</f>
        <v>Batch 261</v>
      </c>
      <c r="B4625" s="9" t="str">
        <f>IFERROR(__xludf.DUMMYFUNCTION("""COMPUTED_VALUE"""),"HarshC61")</f>
        <v>HarshC61</v>
      </c>
      <c r="C4625" s="8">
        <f>IFERROR(__xludf.DUMMYFUNCTION("""COMPUTED_VALUE"""),0.0)</f>
        <v>0</v>
      </c>
      <c r="D4625" s="8"/>
    </row>
    <row r="4626">
      <c r="A4626" s="9" t="str">
        <f>IFERROR(__xludf.DUMMYFUNCTION("""COMPUTED_VALUE"""),"Batch 261")</f>
        <v>Batch 261</v>
      </c>
      <c r="B4626" s="9" t="str">
        <f>IFERROR(__xludf.DUMMYFUNCTION("""COMPUTED_VALUE"""),"ShainaC61")</f>
        <v>ShainaC61</v>
      </c>
      <c r="C4626" s="8">
        <f>IFERROR(__xludf.DUMMYFUNCTION("""COMPUTED_VALUE"""),0.0)</f>
        <v>0</v>
      </c>
      <c r="D4626" s="8"/>
    </row>
    <row r="4627">
      <c r="A4627" s="9" t="str">
        <f>IFERROR(__xludf.DUMMYFUNCTION("""COMPUTED_VALUE"""),"Batch 261")</f>
        <v>Batch 261</v>
      </c>
      <c r="B4627" s="9" t="str">
        <f>IFERROR(__xludf.DUMMYFUNCTION("""COMPUTED_VALUE"""),"JhanviC61")</f>
        <v>JhanviC61</v>
      </c>
      <c r="C4627" s="8">
        <f>IFERROR(__xludf.DUMMYFUNCTION("""COMPUTED_VALUE"""),0.0)</f>
        <v>0</v>
      </c>
      <c r="D4627" s="8"/>
    </row>
    <row r="4628">
      <c r="A4628" s="9" t="str">
        <f>IFERROR(__xludf.DUMMYFUNCTION("""COMPUTED_VALUE"""),"Batch 261")</f>
        <v>Batch 261</v>
      </c>
      <c r="B4628" s="9" t="str">
        <f>IFERROR(__xludf.DUMMYFUNCTION("""COMPUTED_VALUE"""),"BhavyaC61")</f>
        <v>BhavyaC61</v>
      </c>
      <c r="C4628" s="8">
        <f>IFERROR(__xludf.DUMMYFUNCTION("""COMPUTED_VALUE"""),26.0)</f>
        <v>26</v>
      </c>
      <c r="D4628" s="8"/>
    </row>
    <row r="4629">
      <c r="A4629" s="9" t="str">
        <f>IFERROR(__xludf.DUMMYFUNCTION("""COMPUTED_VALUE"""),"Batch 261")</f>
        <v>Batch 261</v>
      </c>
      <c r="B4629" s="9" t="str">
        <f>IFERROR(__xludf.DUMMYFUNCTION("""COMPUTED_VALUE"""),"RitikaC61")</f>
        <v>RitikaC61</v>
      </c>
      <c r="C4629" s="8">
        <f>IFERROR(__xludf.DUMMYFUNCTION("""COMPUTED_VALUE"""),0.0)</f>
        <v>0</v>
      </c>
      <c r="D4629" s="8"/>
    </row>
    <row r="4630">
      <c r="A4630" s="9" t="str">
        <f>IFERROR(__xludf.DUMMYFUNCTION("""COMPUTED_VALUE"""),"Batch 261")</f>
        <v>Batch 261</v>
      </c>
      <c r="B4630" s="9" t="str">
        <f>IFERROR(__xludf.DUMMYFUNCTION("""COMPUTED_VALUE"""),"SairishC61")</f>
        <v>SairishC61</v>
      </c>
      <c r="C4630" s="8">
        <f>IFERROR(__xludf.DUMMYFUNCTION("""COMPUTED_VALUE"""),0.0)</f>
        <v>0</v>
      </c>
      <c r="D4630" s="8"/>
    </row>
    <row r="4631">
      <c r="A4631" s="9" t="str">
        <f>IFERROR(__xludf.DUMMYFUNCTION("""COMPUTED_VALUE"""),"Batch 261")</f>
        <v>Batch 261</v>
      </c>
      <c r="B4631" s="9" t="str">
        <f>IFERROR(__xludf.DUMMYFUNCTION("""COMPUTED_VALUE"""),"RohitC61")</f>
        <v>RohitC61</v>
      </c>
      <c r="C4631" s="8">
        <f>IFERROR(__xludf.DUMMYFUNCTION("""COMPUTED_VALUE"""),0.0)</f>
        <v>0</v>
      </c>
      <c r="D4631" s="8"/>
    </row>
    <row r="4632">
      <c r="A4632" s="9" t="str">
        <f>IFERROR(__xludf.DUMMYFUNCTION("""COMPUTED_VALUE"""),"Batch 261")</f>
        <v>Batch 261</v>
      </c>
      <c r="B4632" s="9" t="str">
        <f>IFERROR(__xludf.DUMMYFUNCTION("""COMPUTED_VALUE"""),"shaikC61")</f>
        <v>shaikC61</v>
      </c>
      <c r="C4632" s="8">
        <f>IFERROR(__xludf.DUMMYFUNCTION("""COMPUTED_VALUE"""),0.0)</f>
        <v>0</v>
      </c>
      <c r="D4632" s="8"/>
    </row>
    <row r="4633">
      <c r="A4633" s="9" t="str">
        <f>IFERROR(__xludf.DUMMYFUNCTION("""COMPUTED_VALUE"""),"Batch 261")</f>
        <v>Batch 261</v>
      </c>
      <c r="B4633" s="9" t="str">
        <f>IFERROR(__xludf.DUMMYFUNCTION("""COMPUTED_VALUE"""),"NishthaC61")</f>
        <v>NishthaC61</v>
      </c>
      <c r="C4633" s="8">
        <f>IFERROR(__xludf.DUMMYFUNCTION("""COMPUTED_VALUE"""),0.0)</f>
        <v>0</v>
      </c>
      <c r="D4633" s="8"/>
    </row>
    <row r="4634">
      <c r="A4634" s="9" t="str">
        <f>IFERROR(__xludf.DUMMYFUNCTION("""COMPUTED_VALUE"""),"Batch 261")</f>
        <v>Batch 261</v>
      </c>
      <c r="B4634" s="9" t="str">
        <f>IFERROR(__xludf.DUMMYFUNCTION("""COMPUTED_VALUE"""),"PrikshitaC61")</f>
        <v>PrikshitaC61</v>
      </c>
      <c r="C4634" s="8">
        <f>IFERROR(__xludf.DUMMYFUNCTION("""COMPUTED_VALUE"""),0.0)</f>
        <v>0</v>
      </c>
      <c r="D4634" s="8"/>
    </row>
    <row r="4635">
      <c r="A4635" s="9" t="str">
        <f>IFERROR(__xludf.DUMMYFUNCTION("""COMPUTED_VALUE"""),"Batch 261")</f>
        <v>Batch 261</v>
      </c>
      <c r="B4635" s="9" t="str">
        <f>IFERROR(__xludf.DUMMYFUNCTION("""COMPUTED_VALUE"""),"AksharaC61")</f>
        <v>AksharaC61</v>
      </c>
      <c r="C4635" s="8">
        <f>IFERROR(__xludf.DUMMYFUNCTION("""COMPUTED_VALUE"""),2.0)</f>
        <v>2</v>
      </c>
      <c r="D4635" s="8"/>
    </row>
    <row r="4636">
      <c r="A4636" s="9" t="str">
        <f>IFERROR(__xludf.DUMMYFUNCTION("""COMPUTED_VALUE"""),"Batch 261")</f>
        <v>Batch 261</v>
      </c>
      <c r="B4636" s="9" t="str">
        <f>IFERROR(__xludf.DUMMYFUNCTION("""COMPUTED_VALUE"""),"AshishC61")</f>
        <v>AshishC61</v>
      </c>
      <c r="C4636" s="8">
        <f>IFERROR(__xludf.DUMMYFUNCTION("""COMPUTED_VALUE"""),0.0)</f>
        <v>0</v>
      </c>
      <c r="D4636" s="8"/>
    </row>
    <row r="4637">
      <c r="A4637" s="9" t="str">
        <f>IFERROR(__xludf.DUMMYFUNCTION("""COMPUTED_VALUE"""),"Batch 261")</f>
        <v>Batch 261</v>
      </c>
      <c r="B4637" s="9" t="str">
        <f>IFERROR(__xludf.DUMMYFUNCTION("""COMPUTED_VALUE"""),"NarsinghC61")</f>
        <v>NarsinghC61</v>
      </c>
      <c r="C4637" s="8">
        <f>IFERROR(__xludf.DUMMYFUNCTION("""COMPUTED_VALUE"""),0.0)</f>
        <v>0</v>
      </c>
      <c r="D4637" s="8"/>
    </row>
    <row r="4638">
      <c r="A4638" s="9" t="str">
        <f>IFERROR(__xludf.DUMMYFUNCTION("""COMPUTED_VALUE"""),"Batch 261")</f>
        <v>Batch 261</v>
      </c>
      <c r="B4638" s="9" t="str">
        <f>IFERROR(__xludf.DUMMYFUNCTION("""COMPUTED_VALUE"""),"SambhavC61")</f>
        <v>SambhavC61</v>
      </c>
      <c r="C4638" s="8">
        <f>IFERROR(__xludf.DUMMYFUNCTION("""COMPUTED_VALUE"""),3.0)</f>
        <v>3</v>
      </c>
      <c r="D4638" s="8"/>
    </row>
    <row r="4639">
      <c r="A4639" s="9" t="str">
        <f>IFERROR(__xludf.DUMMYFUNCTION("""COMPUTED_VALUE"""),"Batch 261")</f>
        <v>Batch 261</v>
      </c>
      <c r="B4639" s="9" t="str">
        <f>IFERROR(__xludf.DUMMYFUNCTION("""COMPUTED_VALUE"""),"VrushtiC61")</f>
        <v>VrushtiC61</v>
      </c>
      <c r="C4639" s="8">
        <f>IFERROR(__xludf.DUMMYFUNCTION("""COMPUTED_VALUE"""),0.0)</f>
        <v>0</v>
      </c>
      <c r="D4639" s="8"/>
    </row>
    <row r="4640">
      <c r="A4640" s="9" t="str">
        <f>IFERROR(__xludf.DUMMYFUNCTION("""COMPUTED_VALUE"""),"Batch 261")</f>
        <v>Batch 261</v>
      </c>
      <c r="B4640" s="9" t="str">
        <f>IFERROR(__xludf.DUMMYFUNCTION("""COMPUTED_VALUE"""),"NidharshanaC61")</f>
        <v>NidharshanaC61</v>
      </c>
      <c r="C4640" s="8">
        <f>IFERROR(__xludf.DUMMYFUNCTION("""COMPUTED_VALUE"""),0.0)</f>
        <v>0</v>
      </c>
      <c r="D4640" s="8"/>
    </row>
    <row r="4641">
      <c r="A4641" s="9" t="str">
        <f>IFERROR(__xludf.DUMMYFUNCTION("""COMPUTED_VALUE"""),"Batch 261")</f>
        <v>Batch 261</v>
      </c>
      <c r="B4641" s="9" t="str">
        <f>IFERROR(__xludf.DUMMYFUNCTION("""COMPUTED_VALUE"""),"PayalC61")</f>
        <v>PayalC61</v>
      </c>
      <c r="C4641" s="8">
        <f>IFERROR(__xludf.DUMMYFUNCTION("""COMPUTED_VALUE"""),0.0)</f>
        <v>0</v>
      </c>
      <c r="D4641" s="8"/>
    </row>
    <row r="4642">
      <c r="A4642" s="9" t="str">
        <f>IFERROR(__xludf.DUMMYFUNCTION("""COMPUTED_VALUE"""),"Batch 261")</f>
        <v>Batch 261</v>
      </c>
      <c r="B4642" s="9" t="str">
        <f>IFERROR(__xludf.DUMMYFUNCTION("""COMPUTED_VALUE"""),"KomalC61")</f>
        <v>KomalC61</v>
      </c>
      <c r="C4642" s="8">
        <f>IFERROR(__xludf.DUMMYFUNCTION("""COMPUTED_VALUE"""),0.0)</f>
        <v>0</v>
      </c>
      <c r="D4642" s="8"/>
    </row>
    <row r="4643">
      <c r="A4643" s="9" t="str">
        <f>IFERROR(__xludf.DUMMYFUNCTION("""COMPUTED_VALUE"""),"Batch 261")</f>
        <v>Batch 261</v>
      </c>
      <c r="B4643" s="9" t="str">
        <f>IFERROR(__xludf.DUMMYFUNCTION("""COMPUTED_VALUE"""),"MdC61")</f>
        <v>MdC61</v>
      </c>
      <c r="C4643" s="8">
        <f>IFERROR(__xludf.DUMMYFUNCTION("""COMPUTED_VALUE"""),0.0)</f>
        <v>0</v>
      </c>
      <c r="D4643" s="8"/>
    </row>
    <row r="4644">
      <c r="A4644" s="9" t="str">
        <f>IFERROR(__xludf.DUMMYFUNCTION("""COMPUTED_VALUE"""),"Batch 261")</f>
        <v>Batch 261</v>
      </c>
      <c r="B4644" s="9" t="str">
        <f>IFERROR(__xludf.DUMMYFUNCTION("""COMPUTED_VALUE"""),"PranaveC61")</f>
        <v>PranaveC61</v>
      </c>
      <c r="C4644" s="8">
        <f>IFERROR(__xludf.DUMMYFUNCTION("""COMPUTED_VALUE"""),0.0)</f>
        <v>0</v>
      </c>
      <c r="D4644" s="8"/>
    </row>
    <row r="4645">
      <c r="A4645" s="9" t="str">
        <f>IFERROR(__xludf.DUMMYFUNCTION("""COMPUTED_VALUE"""),"Batch 261")</f>
        <v>Batch 261</v>
      </c>
      <c r="B4645" s="9" t="str">
        <f>IFERROR(__xludf.DUMMYFUNCTION("""COMPUTED_VALUE"""),"DevanshuC61")</f>
        <v>DevanshuC61</v>
      </c>
      <c r="C4645" s="8">
        <f>IFERROR(__xludf.DUMMYFUNCTION("""COMPUTED_VALUE"""),3.0)</f>
        <v>3</v>
      </c>
      <c r="D4645" s="8"/>
    </row>
    <row r="4646">
      <c r="A4646" s="9" t="str">
        <f>IFERROR(__xludf.DUMMYFUNCTION("""COMPUTED_VALUE"""),"Batch 261")</f>
        <v>Batch 261</v>
      </c>
      <c r="B4646" s="9" t="str">
        <f>IFERROR(__xludf.DUMMYFUNCTION("""COMPUTED_VALUE"""),"AdeebaC61")</f>
        <v>AdeebaC61</v>
      </c>
      <c r="C4646" s="8">
        <f>IFERROR(__xludf.DUMMYFUNCTION("""COMPUTED_VALUE"""),0.0)</f>
        <v>0</v>
      </c>
      <c r="D4646" s="8"/>
    </row>
    <row r="4647">
      <c r="A4647" s="9" t="str">
        <f>IFERROR(__xludf.DUMMYFUNCTION("""COMPUTED_VALUE"""),"Batch 261")</f>
        <v>Batch 261</v>
      </c>
      <c r="B4647" s="9" t="str">
        <f>IFERROR(__xludf.DUMMYFUNCTION("""COMPUTED_VALUE"""),"RiyaC61")</f>
        <v>RiyaC61</v>
      </c>
      <c r="C4647" s="8">
        <f>IFERROR(__xludf.DUMMYFUNCTION("""COMPUTED_VALUE"""),0.0)</f>
        <v>0</v>
      </c>
      <c r="D4647" s="8"/>
    </row>
    <row r="4648">
      <c r="A4648" s="9" t="str">
        <f>IFERROR(__xludf.DUMMYFUNCTION("""COMPUTED_VALUE"""),"Batch 261")</f>
        <v>Batch 261</v>
      </c>
      <c r="B4648" s="9" t="str">
        <f>IFERROR(__xludf.DUMMYFUNCTION("""COMPUTED_VALUE"""),"RashiC61")</f>
        <v>RashiC61</v>
      </c>
      <c r="C4648" s="8">
        <f>IFERROR(__xludf.DUMMYFUNCTION("""COMPUTED_VALUE"""),0.0)</f>
        <v>0</v>
      </c>
      <c r="D4648" s="8"/>
    </row>
    <row r="4649">
      <c r="A4649" s="9" t="str">
        <f>IFERROR(__xludf.DUMMYFUNCTION("""COMPUTED_VALUE"""),"Batch 261")</f>
        <v>Batch 261</v>
      </c>
      <c r="B4649" s="9" t="str">
        <f>IFERROR(__xludf.DUMMYFUNCTION("""COMPUTED_VALUE"""),"VishwanathC61")</f>
        <v>VishwanathC61</v>
      </c>
      <c r="C4649" s="8">
        <f>IFERROR(__xludf.DUMMYFUNCTION("""COMPUTED_VALUE"""),0.0)</f>
        <v>0</v>
      </c>
      <c r="D4649" s="8"/>
    </row>
    <row r="4650">
      <c r="A4650" s="9" t="str">
        <f>IFERROR(__xludf.DUMMYFUNCTION("""COMPUTED_VALUE"""),"Batch 261")</f>
        <v>Batch 261</v>
      </c>
      <c r="B4650" s="9" t="str">
        <f>IFERROR(__xludf.DUMMYFUNCTION("""COMPUTED_VALUE"""),"AayushC61")</f>
        <v>AayushC61</v>
      </c>
      <c r="C4650" s="8">
        <f>IFERROR(__xludf.DUMMYFUNCTION("""COMPUTED_VALUE"""),0.0)</f>
        <v>0</v>
      </c>
      <c r="D4650" s="8"/>
    </row>
    <row r="4651">
      <c r="A4651" s="9" t="str">
        <f>IFERROR(__xludf.DUMMYFUNCTION("""COMPUTED_VALUE"""),"Batch 261")</f>
        <v>Batch 261</v>
      </c>
      <c r="B4651" s="9" t="str">
        <f>IFERROR(__xludf.DUMMYFUNCTION("""COMPUTED_VALUE"""),"PrasuniC61")</f>
        <v>PrasuniC61</v>
      </c>
      <c r="C4651" s="8">
        <f>IFERROR(__xludf.DUMMYFUNCTION("""COMPUTED_VALUE"""),0.0)</f>
        <v>0</v>
      </c>
      <c r="D4651" s="8"/>
    </row>
    <row r="4652">
      <c r="A4652" s="9" t="str">
        <f>IFERROR(__xludf.DUMMYFUNCTION("""COMPUTED_VALUE"""),"Batch 261")</f>
        <v>Batch 261</v>
      </c>
      <c r="B4652" s="9" t="str">
        <f>IFERROR(__xludf.DUMMYFUNCTION("""COMPUTED_VALUE"""),"ShubhiC61")</f>
        <v>ShubhiC61</v>
      </c>
      <c r="C4652" s="8">
        <f>IFERROR(__xludf.DUMMYFUNCTION("""COMPUTED_VALUE"""),0.0)</f>
        <v>0</v>
      </c>
      <c r="D4652" s="8"/>
    </row>
    <row r="4653">
      <c r="A4653" s="9" t="str">
        <f>IFERROR(__xludf.DUMMYFUNCTION("""COMPUTED_VALUE"""),"Batch 261")</f>
        <v>Batch 261</v>
      </c>
      <c r="B4653" s="9" t="str">
        <f>IFERROR(__xludf.DUMMYFUNCTION("""COMPUTED_VALUE"""),"J.RASAGNAC61")</f>
        <v>J.RASAGNAC61</v>
      </c>
      <c r="C4653" s="8">
        <f>IFERROR(__xludf.DUMMYFUNCTION("""COMPUTED_VALUE"""),0.0)</f>
        <v>0</v>
      </c>
      <c r="D4653" s="8"/>
    </row>
    <row r="4654">
      <c r="A4654" s="9" t="str">
        <f>IFERROR(__xludf.DUMMYFUNCTION("""COMPUTED_VALUE"""),"Batch 261")</f>
        <v>Batch 261</v>
      </c>
      <c r="B4654" s="9" t="str">
        <f>IFERROR(__xludf.DUMMYFUNCTION("""COMPUTED_VALUE"""),"SanjanaC61")</f>
        <v>SanjanaC61</v>
      </c>
      <c r="C4654" s="8">
        <f>IFERROR(__xludf.DUMMYFUNCTION("""COMPUTED_VALUE"""),0.0)</f>
        <v>0</v>
      </c>
      <c r="D4654" s="8"/>
    </row>
    <row r="4655">
      <c r="A4655" s="9" t="str">
        <f>IFERROR(__xludf.DUMMYFUNCTION("""COMPUTED_VALUE"""),"Batch 261")</f>
        <v>Batch 261</v>
      </c>
      <c r="B4655" s="9" t="str">
        <f>IFERROR(__xludf.DUMMYFUNCTION("""COMPUTED_VALUE"""),"SaumyaC61")</f>
        <v>SaumyaC61</v>
      </c>
      <c r="C4655" s="8">
        <f>IFERROR(__xludf.DUMMYFUNCTION("""COMPUTED_VALUE"""),0.0)</f>
        <v>0</v>
      </c>
      <c r="D4655" s="8"/>
    </row>
    <row r="4656">
      <c r="A4656" s="9" t="str">
        <f>IFERROR(__xludf.DUMMYFUNCTION("""COMPUTED_VALUE"""),"Batch 261")</f>
        <v>Batch 261</v>
      </c>
      <c r="B4656" s="9" t="str">
        <f>IFERROR(__xludf.DUMMYFUNCTION("""COMPUTED_VALUE"""),"AbirC61")</f>
        <v>AbirC61</v>
      </c>
      <c r="C4656" s="8">
        <f>IFERROR(__xludf.DUMMYFUNCTION("""COMPUTED_VALUE"""),0.0)</f>
        <v>0</v>
      </c>
      <c r="D4656" s="8"/>
    </row>
    <row r="4657">
      <c r="A4657" s="9" t="str">
        <f>IFERROR(__xludf.DUMMYFUNCTION("""COMPUTED_VALUE"""),"Batch 261")</f>
        <v>Batch 261</v>
      </c>
      <c r="B4657" s="9" t="str">
        <f>IFERROR(__xludf.DUMMYFUNCTION("""COMPUTED_VALUE"""),"JeetC61")</f>
        <v>JeetC61</v>
      </c>
      <c r="C4657" s="8">
        <f>IFERROR(__xludf.DUMMYFUNCTION("""COMPUTED_VALUE"""),0.0)</f>
        <v>0</v>
      </c>
      <c r="D4657" s="8"/>
    </row>
    <row r="4658">
      <c r="A4658" s="9" t="str">
        <f>IFERROR(__xludf.DUMMYFUNCTION("""COMPUTED_VALUE"""),"Batch 261")</f>
        <v>Batch 261</v>
      </c>
      <c r="B4658" s="9" t="str">
        <f>IFERROR(__xludf.DUMMYFUNCTION("""COMPUTED_VALUE"""),"YashC61")</f>
        <v>YashC61</v>
      </c>
      <c r="C4658" s="8">
        <f>IFERROR(__xludf.DUMMYFUNCTION("""COMPUTED_VALUE"""),0.0)</f>
        <v>0</v>
      </c>
      <c r="D4658" s="8"/>
    </row>
    <row r="4659">
      <c r="A4659" s="9" t="str">
        <f>IFERROR(__xludf.DUMMYFUNCTION("""COMPUTED_VALUE"""),"Batch 261")</f>
        <v>Batch 261</v>
      </c>
      <c r="B4659" s="9" t="str">
        <f>IFERROR(__xludf.DUMMYFUNCTION("""COMPUTED_VALUE"""),"AlokC61")</f>
        <v>AlokC61</v>
      </c>
      <c r="C4659" s="8">
        <f>IFERROR(__xludf.DUMMYFUNCTION("""COMPUTED_VALUE"""),0.0)</f>
        <v>0</v>
      </c>
      <c r="D4659" s="8"/>
    </row>
    <row r="4660">
      <c r="A4660" s="9" t="str">
        <f>IFERROR(__xludf.DUMMYFUNCTION("""COMPUTED_VALUE"""),"Batch 261")</f>
        <v>Batch 261</v>
      </c>
      <c r="B4660" s="9" t="str">
        <f>IFERROR(__xludf.DUMMYFUNCTION("""COMPUTED_VALUE"""),"AkankshaC61")</f>
        <v>AkankshaC61</v>
      </c>
      <c r="C4660" s="8">
        <f>IFERROR(__xludf.DUMMYFUNCTION("""COMPUTED_VALUE"""),8.0)</f>
        <v>8</v>
      </c>
      <c r="D4660" s="8"/>
    </row>
    <row r="4661">
      <c r="A4661" s="9" t="str">
        <f>IFERROR(__xludf.DUMMYFUNCTION("""COMPUTED_VALUE"""),"Batch 261")</f>
        <v>Batch 261</v>
      </c>
      <c r="B4661" s="9" t="str">
        <f>IFERROR(__xludf.DUMMYFUNCTION("""COMPUTED_VALUE"""),"VriddhiC61")</f>
        <v>VriddhiC61</v>
      </c>
      <c r="C4661" s="8">
        <f>IFERROR(__xludf.DUMMYFUNCTION("""COMPUTED_VALUE"""),0.0)</f>
        <v>0</v>
      </c>
      <c r="D4661" s="8"/>
    </row>
    <row r="4662">
      <c r="A4662" s="9" t="str">
        <f>IFERROR(__xludf.DUMMYFUNCTION("""COMPUTED_VALUE"""),"Batch 261")</f>
        <v>Batch 261</v>
      </c>
      <c r="B4662" s="9" t="str">
        <f>IFERROR(__xludf.DUMMYFUNCTION("""COMPUTED_VALUE"""),"AyushC61")</f>
        <v>AyushC61</v>
      </c>
      <c r="C4662" s="8">
        <f>IFERROR(__xludf.DUMMYFUNCTION("""COMPUTED_VALUE"""),0.0)</f>
        <v>0</v>
      </c>
      <c r="D4662" s="8"/>
    </row>
    <row r="4663">
      <c r="A4663" s="9" t="str">
        <f>IFERROR(__xludf.DUMMYFUNCTION("""COMPUTED_VALUE"""),"Batch 261")</f>
        <v>Batch 261</v>
      </c>
      <c r="B4663" s="9" t="str">
        <f>IFERROR(__xludf.DUMMYFUNCTION("""COMPUTED_VALUE"""),"AyanC61")</f>
        <v>AyanC61</v>
      </c>
      <c r="C4663" s="8">
        <f>IFERROR(__xludf.DUMMYFUNCTION("""COMPUTED_VALUE"""),0.0)</f>
        <v>0</v>
      </c>
      <c r="D4663" s="8"/>
    </row>
    <row r="4664">
      <c r="A4664" s="9" t="str">
        <f>IFERROR(__xludf.DUMMYFUNCTION("""COMPUTED_VALUE"""),"Batch 261")</f>
        <v>Batch 261</v>
      </c>
      <c r="B4664" s="9" t="str">
        <f>IFERROR(__xludf.DUMMYFUNCTION("""COMPUTED_VALUE"""),"ShrikantC61")</f>
        <v>ShrikantC61</v>
      </c>
      <c r="C4664" s="8">
        <f>IFERROR(__xludf.DUMMYFUNCTION("""COMPUTED_VALUE"""),0.0)</f>
        <v>0</v>
      </c>
      <c r="D4664" s="8"/>
    </row>
    <row r="4665">
      <c r="A4665" s="9" t="str">
        <f>IFERROR(__xludf.DUMMYFUNCTION("""COMPUTED_VALUE"""),"Batch 261")</f>
        <v>Batch 261</v>
      </c>
      <c r="B4665" s="9" t="str">
        <f>IFERROR(__xludf.DUMMYFUNCTION("""COMPUTED_VALUE"""),"AmarC61")</f>
        <v>AmarC61</v>
      </c>
      <c r="C4665" s="8">
        <f>IFERROR(__xludf.DUMMYFUNCTION("""COMPUTED_VALUE"""),0.0)</f>
        <v>0</v>
      </c>
      <c r="D4665" s="8"/>
    </row>
    <row r="4666">
      <c r="A4666" s="9" t="str">
        <f>IFERROR(__xludf.DUMMYFUNCTION("""COMPUTED_VALUE"""),"Batch 261")</f>
        <v>Batch 261</v>
      </c>
      <c r="B4666" s="9" t="str">
        <f>IFERROR(__xludf.DUMMYFUNCTION("""COMPUTED_VALUE"""),"AakritiC61")</f>
        <v>AakritiC61</v>
      </c>
      <c r="C4666" s="8">
        <f>IFERROR(__xludf.DUMMYFUNCTION("""COMPUTED_VALUE"""),27.0)</f>
        <v>27</v>
      </c>
      <c r="D4666" s="8"/>
    </row>
    <row r="4667">
      <c r="A4667" s="9" t="str">
        <f>IFERROR(__xludf.DUMMYFUNCTION("""COMPUTED_VALUE"""),"Batch 261")</f>
        <v>Batch 261</v>
      </c>
      <c r="B4667" s="9" t="str">
        <f>IFERROR(__xludf.DUMMYFUNCTION("""COMPUTED_VALUE"""),"MadihaC61")</f>
        <v>MadihaC61</v>
      </c>
      <c r="C4667" s="8">
        <f>IFERROR(__xludf.DUMMYFUNCTION("""COMPUTED_VALUE"""),0.0)</f>
        <v>0</v>
      </c>
      <c r="D4667" s="8"/>
    </row>
    <row r="4668">
      <c r="A4668" s="9" t="str">
        <f>IFERROR(__xludf.DUMMYFUNCTION("""COMPUTED_VALUE"""),"Batch 261")</f>
        <v>Batch 261</v>
      </c>
      <c r="B4668" s="9" t="str">
        <f>IFERROR(__xludf.DUMMYFUNCTION("""COMPUTED_VALUE"""),"PrathamC61")</f>
        <v>PrathamC61</v>
      </c>
      <c r="C4668" s="8">
        <f>IFERROR(__xludf.DUMMYFUNCTION("""COMPUTED_VALUE"""),0.0)</f>
        <v>0</v>
      </c>
      <c r="D4668" s="8"/>
    </row>
    <row r="4669">
      <c r="A4669" s="9" t="str">
        <f>IFERROR(__xludf.DUMMYFUNCTION("""COMPUTED_VALUE"""),"Batch 261")</f>
        <v>Batch 261</v>
      </c>
      <c r="B4669" s="9" t="str">
        <f>IFERROR(__xludf.DUMMYFUNCTION("""COMPUTED_VALUE"""),"NayanC61")</f>
        <v>NayanC61</v>
      </c>
      <c r="C4669" s="8">
        <f>IFERROR(__xludf.DUMMYFUNCTION("""COMPUTED_VALUE"""),0.0)</f>
        <v>0</v>
      </c>
      <c r="D4669" s="8"/>
    </row>
    <row r="4670">
      <c r="A4670" s="9" t="str">
        <f>IFERROR(__xludf.DUMMYFUNCTION("""COMPUTED_VALUE"""),"Batch 261")</f>
        <v>Batch 261</v>
      </c>
      <c r="B4670" s="9" t="str">
        <f>IFERROR(__xludf.DUMMYFUNCTION("""COMPUTED_VALUE"""),"SwatiC61")</f>
        <v>SwatiC61</v>
      </c>
      <c r="C4670" s="8">
        <f>IFERROR(__xludf.DUMMYFUNCTION("""COMPUTED_VALUE"""),0.0)</f>
        <v>0</v>
      </c>
      <c r="D4670" s="8"/>
    </row>
    <row r="4671">
      <c r="A4671" s="9" t="str">
        <f>IFERROR(__xludf.DUMMYFUNCTION("""COMPUTED_VALUE"""),"Batch 261")</f>
        <v>Batch 261</v>
      </c>
      <c r="B4671" s="9" t="str">
        <f>IFERROR(__xludf.DUMMYFUNCTION("""COMPUTED_VALUE"""),"BhavyaKC61")</f>
        <v>BhavyaKC61</v>
      </c>
      <c r="C4671" s="8">
        <f>IFERROR(__xludf.DUMMYFUNCTION("""COMPUTED_VALUE"""),0.0)</f>
        <v>0</v>
      </c>
      <c r="D4671" s="8"/>
    </row>
    <row r="4672">
      <c r="A4672" s="9" t="str">
        <f>IFERROR(__xludf.DUMMYFUNCTION("""COMPUTED_VALUE"""),"Batch 261")</f>
        <v>Batch 261</v>
      </c>
      <c r="B4672" s="9" t="str">
        <f>IFERROR(__xludf.DUMMYFUNCTION("""COMPUTED_VALUE"""),"AmritC61")</f>
        <v>AmritC61</v>
      </c>
      <c r="C4672" s="8">
        <f>IFERROR(__xludf.DUMMYFUNCTION("""COMPUTED_VALUE"""),0.0)</f>
        <v>0</v>
      </c>
      <c r="D4672" s="8"/>
    </row>
    <row r="4673">
      <c r="A4673" s="9" t="str">
        <f>IFERROR(__xludf.DUMMYFUNCTION("""COMPUTED_VALUE"""),"Batch 261")</f>
        <v>Batch 261</v>
      </c>
      <c r="B4673" s="9" t="str">
        <f>IFERROR(__xludf.DUMMYFUNCTION("""COMPUTED_VALUE"""),"KusumitaC61")</f>
        <v>KusumitaC61</v>
      </c>
      <c r="C4673" s="8">
        <f>IFERROR(__xludf.DUMMYFUNCTION("""COMPUTED_VALUE"""),0.0)</f>
        <v>0</v>
      </c>
      <c r="D4673" s="8"/>
    </row>
    <row r="4674">
      <c r="A4674" s="9" t="str">
        <f>IFERROR(__xludf.DUMMYFUNCTION("""COMPUTED_VALUE"""),"Batch 261")</f>
        <v>Batch 261</v>
      </c>
      <c r="B4674" s="9" t="str">
        <f>IFERROR(__xludf.DUMMYFUNCTION("""COMPUTED_VALUE"""),"NivedanC61")</f>
        <v>NivedanC61</v>
      </c>
      <c r="C4674" s="8">
        <f>IFERROR(__xludf.DUMMYFUNCTION("""COMPUTED_VALUE"""),0.0)</f>
        <v>0</v>
      </c>
      <c r="D4674" s="8"/>
    </row>
    <row r="4675">
      <c r="A4675" s="9" t="str">
        <f>IFERROR(__xludf.DUMMYFUNCTION("""COMPUTED_VALUE"""),"Batch 261")</f>
        <v>Batch 261</v>
      </c>
      <c r="B4675" s="9" t="str">
        <f>IFERROR(__xludf.DUMMYFUNCTION("""COMPUTED_VALUE"""),"KushagraC61")</f>
        <v>KushagraC61</v>
      </c>
      <c r="C4675" s="8">
        <f>IFERROR(__xludf.DUMMYFUNCTION("""COMPUTED_VALUE"""),0.0)</f>
        <v>0</v>
      </c>
      <c r="D4675" s="8"/>
    </row>
    <row r="4676">
      <c r="A4676" s="9" t="str">
        <f>IFERROR(__xludf.DUMMYFUNCTION("""COMPUTED_VALUE"""),"Batch 261")</f>
        <v>Batch 261</v>
      </c>
      <c r="B4676" s="9" t="str">
        <f>IFERROR(__xludf.DUMMYFUNCTION("""COMPUTED_VALUE"""),"RinkyC61")</f>
        <v>RinkyC61</v>
      </c>
      <c r="C4676" s="8">
        <f>IFERROR(__xludf.DUMMYFUNCTION("""COMPUTED_VALUE"""),0.0)</f>
        <v>0</v>
      </c>
      <c r="D4676" s="8"/>
    </row>
    <row r="4677">
      <c r="A4677" s="9" t="str">
        <f>IFERROR(__xludf.DUMMYFUNCTION("""COMPUTED_VALUE"""),"Batch 261")</f>
        <v>Batch 261</v>
      </c>
      <c r="B4677" s="9" t="str">
        <f>IFERROR(__xludf.DUMMYFUNCTION("""COMPUTED_VALUE"""),"YashC61")</f>
        <v>YashC61</v>
      </c>
      <c r="C4677" s="8">
        <f>IFERROR(__xludf.DUMMYFUNCTION("""COMPUTED_VALUE"""),0.0)</f>
        <v>0</v>
      </c>
      <c r="D4677" s="8"/>
    </row>
    <row r="4678">
      <c r="A4678" s="9" t="str">
        <f>IFERROR(__xludf.DUMMYFUNCTION("""COMPUTED_VALUE"""),"Batch 261")</f>
        <v>Batch 261</v>
      </c>
      <c r="B4678" s="9" t="str">
        <f>IFERROR(__xludf.DUMMYFUNCTION("""COMPUTED_VALUE"""),"AbhishekC61")</f>
        <v>AbhishekC61</v>
      </c>
      <c r="C4678" s="8">
        <f>IFERROR(__xludf.DUMMYFUNCTION("""COMPUTED_VALUE"""),0.0)</f>
        <v>0</v>
      </c>
      <c r="D4678" s="8"/>
    </row>
    <row r="4679">
      <c r="A4679" s="9" t="str">
        <f>IFERROR(__xludf.DUMMYFUNCTION("""COMPUTED_VALUE"""),"Batch 261")</f>
        <v>Batch 261</v>
      </c>
      <c r="B4679" s="9" t="str">
        <f>IFERROR(__xludf.DUMMYFUNCTION("""COMPUTED_VALUE"""),"DiyaC61")</f>
        <v>DiyaC61</v>
      </c>
      <c r="C4679" s="8">
        <f>IFERROR(__xludf.DUMMYFUNCTION("""COMPUTED_VALUE"""),0.0)</f>
        <v>0</v>
      </c>
      <c r="D4679" s="8"/>
    </row>
    <row r="4680">
      <c r="A4680" s="9" t="str">
        <f>IFERROR(__xludf.DUMMYFUNCTION("""COMPUTED_VALUE"""),"Batch 261")</f>
        <v>Batch 261</v>
      </c>
      <c r="B4680" s="9" t="str">
        <f>IFERROR(__xludf.DUMMYFUNCTION("""COMPUTED_VALUE"""),"AsifC61")</f>
        <v>AsifC61</v>
      </c>
      <c r="C4680" s="8">
        <f>IFERROR(__xludf.DUMMYFUNCTION("""COMPUTED_VALUE"""),0.0)</f>
        <v>0</v>
      </c>
      <c r="D4680" s="8"/>
    </row>
    <row r="4681">
      <c r="A4681" s="9" t="str">
        <f>IFERROR(__xludf.DUMMYFUNCTION("""COMPUTED_VALUE"""),"Batch 261")</f>
        <v>Batch 261</v>
      </c>
      <c r="B4681" s="9" t="str">
        <f>IFERROR(__xludf.DUMMYFUNCTION("""COMPUTED_VALUE"""),"MouliC61")</f>
        <v>MouliC61</v>
      </c>
      <c r="C4681" s="8">
        <f>IFERROR(__xludf.DUMMYFUNCTION("""COMPUTED_VALUE"""),0.0)</f>
        <v>0</v>
      </c>
      <c r="D4681" s="8"/>
    </row>
    <row r="4682">
      <c r="A4682" s="9" t="str">
        <f>IFERROR(__xludf.DUMMYFUNCTION("""COMPUTED_VALUE"""),"Batch 261")</f>
        <v>Batch 261</v>
      </c>
      <c r="B4682" s="9" t="str">
        <f>IFERROR(__xludf.DUMMYFUNCTION("""COMPUTED_VALUE"""),"MeethileshC61")</f>
        <v>MeethileshC61</v>
      </c>
      <c r="C4682" s="8">
        <f>IFERROR(__xludf.DUMMYFUNCTION("""COMPUTED_VALUE"""),0.0)</f>
        <v>0</v>
      </c>
      <c r="D4682" s="8"/>
    </row>
    <row r="4683">
      <c r="A4683" s="9" t="str">
        <f>IFERROR(__xludf.DUMMYFUNCTION("""COMPUTED_VALUE"""),"Batch 261")</f>
        <v>Batch 261</v>
      </c>
      <c r="B4683" s="9" t="str">
        <f>IFERROR(__xludf.DUMMYFUNCTION("""COMPUTED_VALUE"""),"RiddhiC61")</f>
        <v>RiddhiC61</v>
      </c>
      <c r="C4683" s="8">
        <f>IFERROR(__xludf.DUMMYFUNCTION("""COMPUTED_VALUE"""),0.0)</f>
        <v>0</v>
      </c>
      <c r="D4683" s="8"/>
    </row>
    <row r="4684">
      <c r="A4684" s="9" t="str">
        <f>IFERROR(__xludf.DUMMYFUNCTION("""COMPUTED_VALUE"""),"Batch 261")</f>
        <v>Batch 261</v>
      </c>
      <c r="B4684" s="9" t="str">
        <f>IFERROR(__xludf.DUMMYFUNCTION("""COMPUTED_VALUE"""),"AbhinavC61")</f>
        <v>AbhinavC61</v>
      </c>
      <c r="C4684" s="8">
        <f>IFERROR(__xludf.DUMMYFUNCTION("""COMPUTED_VALUE"""),0.0)</f>
        <v>0</v>
      </c>
      <c r="D4684" s="8"/>
    </row>
    <row r="4685">
      <c r="A4685" s="9" t="str">
        <f>IFERROR(__xludf.DUMMYFUNCTION("""COMPUTED_VALUE"""),"Batch 261")</f>
        <v>Batch 261</v>
      </c>
      <c r="B4685" s="9" t="str">
        <f>IFERROR(__xludf.DUMMYFUNCTION("""COMPUTED_VALUE"""),"JasmeharC61")</f>
        <v>JasmeharC61</v>
      </c>
      <c r="C4685" s="8">
        <f>IFERROR(__xludf.DUMMYFUNCTION("""COMPUTED_VALUE"""),0.0)</f>
        <v>0</v>
      </c>
      <c r="D4685" s="8"/>
    </row>
    <row r="4686">
      <c r="A4686" s="9" t="str">
        <f>IFERROR(__xludf.DUMMYFUNCTION("""COMPUTED_VALUE"""),"Batch 261")</f>
        <v>Batch 261</v>
      </c>
      <c r="B4686" s="9" t="str">
        <f>IFERROR(__xludf.DUMMYFUNCTION("""COMPUTED_VALUE"""),"KhushiC61")</f>
        <v>KhushiC61</v>
      </c>
      <c r="C4686" s="8">
        <f>IFERROR(__xludf.DUMMYFUNCTION("""COMPUTED_VALUE"""),0.0)</f>
        <v>0</v>
      </c>
      <c r="D4686" s="8"/>
    </row>
    <row r="4687">
      <c r="A4687" s="9" t="str">
        <f>IFERROR(__xludf.DUMMYFUNCTION("""COMPUTED_VALUE"""),"Batch 261")</f>
        <v>Batch 261</v>
      </c>
      <c r="B4687" s="9" t="str">
        <f>IFERROR(__xludf.DUMMYFUNCTION("""COMPUTED_VALUE"""),"LovanaC61")</f>
        <v>LovanaC61</v>
      </c>
      <c r="C4687" s="8">
        <f>IFERROR(__xludf.DUMMYFUNCTION("""COMPUTED_VALUE"""),0.0)</f>
        <v>0</v>
      </c>
      <c r="D4687" s="8"/>
    </row>
    <row r="4688">
      <c r="A4688" s="9" t="str">
        <f>IFERROR(__xludf.DUMMYFUNCTION("""COMPUTED_VALUE"""),"Batch 261")</f>
        <v>Batch 261</v>
      </c>
      <c r="B4688" s="9" t="str">
        <f>IFERROR(__xludf.DUMMYFUNCTION("""COMPUTED_VALUE"""),"DenikaC61")</f>
        <v>DenikaC61</v>
      </c>
      <c r="C4688" s="8">
        <f>IFERROR(__xludf.DUMMYFUNCTION("""COMPUTED_VALUE"""),0.0)</f>
        <v>0</v>
      </c>
      <c r="D4688" s="8"/>
    </row>
    <row r="4689">
      <c r="A4689" s="9" t="str">
        <f>IFERROR(__xludf.DUMMYFUNCTION("""COMPUTED_VALUE"""),"Batch 261")</f>
        <v>Batch 261</v>
      </c>
      <c r="B4689" s="9" t="str">
        <f>IFERROR(__xludf.DUMMYFUNCTION("""COMPUTED_VALUE"""),"AnjaliC61")</f>
        <v>AnjaliC61</v>
      </c>
      <c r="C4689" s="8">
        <f>IFERROR(__xludf.DUMMYFUNCTION("""COMPUTED_VALUE"""),0.0)</f>
        <v>0</v>
      </c>
      <c r="D4689" s="8"/>
    </row>
    <row r="4690">
      <c r="A4690" s="9" t="str">
        <f>IFERROR(__xludf.DUMMYFUNCTION("""COMPUTED_VALUE"""),"Batch 261")</f>
        <v>Batch 261</v>
      </c>
      <c r="B4690" s="9" t="str">
        <f>IFERROR(__xludf.DUMMYFUNCTION("""COMPUTED_VALUE"""),"NageshC61")</f>
        <v>NageshC61</v>
      </c>
      <c r="C4690" s="8">
        <f>IFERROR(__xludf.DUMMYFUNCTION("""COMPUTED_VALUE"""),0.0)</f>
        <v>0</v>
      </c>
      <c r="D4690" s="8"/>
    </row>
    <row r="4691">
      <c r="A4691" s="9" t="str">
        <f>IFERROR(__xludf.DUMMYFUNCTION("""COMPUTED_VALUE"""),"Batch 261")</f>
        <v>Batch 261</v>
      </c>
      <c r="B4691" s="9" t="str">
        <f>IFERROR(__xludf.DUMMYFUNCTION("""COMPUTED_VALUE"""),"YashC61")</f>
        <v>YashC61</v>
      </c>
      <c r="C4691" s="8">
        <f>IFERROR(__xludf.DUMMYFUNCTION("""COMPUTED_VALUE"""),0.0)</f>
        <v>0</v>
      </c>
      <c r="D4691" s="8"/>
    </row>
    <row r="4692">
      <c r="A4692" s="9" t="str">
        <f>IFERROR(__xludf.DUMMYFUNCTION("""COMPUTED_VALUE"""),"Batch 261")</f>
        <v>Batch 261</v>
      </c>
      <c r="B4692" s="9" t="str">
        <f>IFERROR(__xludf.DUMMYFUNCTION("""COMPUTED_VALUE"""),"ShivgaurikC61")</f>
        <v>ShivgaurikC61</v>
      </c>
      <c r="C4692" s="8">
        <f>IFERROR(__xludf.DUMMYFUNCTION("""COMPUTED_VALUE"""),0.0)</f>
        <v>0</v>
      </c>
      <c r="D4692" s="8"/>
    </row>
    <row r="4693">
      <c r="A4693" s="9" t="str">
        <f>IFERROR(__xludf.DUMMYFUNCTION("""COMPUTED_VALUE"""),"Batch 261")</f>
        <v>Batch 261</v>
      </c>
      <c r="B4693" s="9" t="str">
        <f>IFERROR(__xludf.DUMMYFUNCTION("""COMPUTED_VALUE"""),"PratikC61")</f>
        <v>PratikC61</v>
      </c>
      <c r="C4693" s="8">
        <f>IFERROR(__xludf.DUMMYFUNCTION("""COMPUTED_VALUE"""),0.0)</f>
        <v>0</v>
      </c>
      <c r="D4693" s="8"/>
    </row>
    <row r="4694">
      <c r="A4694" s="9" t="str">
        <f>IFERROR(__xludf.DUMMYFUNCTION("""COMPUTED_VALUE"""),"Batch 261")</f>
        <v>Batch 261</v>
      </c>
      <c r="B4694" s="9" t="str">
        <f>IFERROR(__xludf.DUMMYFUNCTION("""COMPUTED_VALUE"""),"AbhaysinghfzdC61")</f>
        <v>AbhaysinghfzdC61</v>
      </c>
      <c r="C4694" s="8">
        <f>IFERROR(__xludf.DUMMYFUNCTION("""COMPUTED_VALUE"""),0.0)</f>
        <v>0</v>
      </c>
      <c r="D4694" s="8"/>
    </row>
    <row r="4695">
      <c r="A4695" s="9" t="str">
        <f>IFERROR(__xludf.DUMMYFUNCTION("""COMPUTED_VALUE"""),"Batch 261")</f>
        <v>Batch 261</v>
      </c>
      <c r="B4695" s="9" t="str">
        <f>IFERROR(__xludf.DUMMYFUNCTION("""COMPUTED_VALUE"""),"TanishaC61")</f>
        <v>TanishaC61</v>
      </c>
      <c r="C4695" s="8">
        <f>IFERROR(__xludf.DUMMYFUNCTION("""COMPUTED_VALUE"""),0.0)</f>
        <v>0</v>
      </c>
      <c r="D4695" s="8"/>
    </row>
    <row r="4696">
      <c r="A4696" s="9" t="str">
        <f>IFERROR(__xludf.DUMMYFUNCTION("""COMPUTED_VALUE"""),"Batch 261")</f>
        <v>Batch 261</v>
      </c>
      <c r="B4696" s="9" t="str">
        <f>IFERROR(__xludf.DUMMYFUNCTION("""COMPUTED_VALUE"""),"NikhilC61")</f>
        <v>NikhilC61</v>
      </c>
      <c r="C4696" s="8">
        <f>IFERROR(__xludf.DUMMYFUNCTION("""COMPUTED_VALUE"""),0.0)</f>
        <v>0</v>
      </c>
      <c r="D4696" s="8"/>
    </row>
    <row r="4697">
      <c r="A4697" s="9" t="str">
        <f>IFERROR(__xludf.DUMMYFUNCTION("""COMPUTED_VALUE"""),"Batch 261")</f>
        <v>Batch 261</v>
      </c>
      <c r="B4697" s="9" t="str">
        <f>IFERROR(__xludf.DUMMYFUNCTION("""COMPUTED_VALUE"""),"BhavayC61")</f>
        <v>BhavayC61</v>
      </c>
      <c r="C4697" s="8">
        <f>IFERROR(__xludf.DUMMYFUNCTION("""COMPUTED_VALUE"""),0.0)</f>
        <v>0</v>
      </c>
      <c r="D4697" s="8"/>
    </row>
    <row r="4698">
      <c r="A4698" s="9" t="str">
        <f>IFERROR(__xludf.DUMMYFUNCTION("""COMPUTED_VALUE"""),"Batch 261")</f>
        <v>Batch 261</v>
      </c>
      <c r="B4698" s="9" t="str">
        <f>IFERROR(__xludf.DUMMYFUNCTION("""COMPUTED_VALUE"""),"BaindlaC61")</f>
        <v>BaindlaC61</v>
      </c>
      <c r="C4698" s="8">
        <f>IFERROR(__xludf.DUMMYFUNCTION("""COMPUTED_VALUE"""),0.0)</f>
        <v>0</v>
      </c>
      <c r="D4698" s="8"/>
    </row>
    <row r="4699">
      <c r="A4699" s="9" t="str">
        <f>IFERROR(__xludf.DUMMYFUNCTION("""COMPUTED_VALUE"""),"Batch 261")</f>
        <v>Batch 261</v>
      </c>
      <c r="B4699" s="9" t="str">
        <f>IFERROR(__xludf.DUMMYFUNCTION("""COMPUTED_VALUE"""),"NOONEC61")</f>
        <v>NOONEC61</v>
      </c>
      <c r="C4699" s="8">
        <f>IFERROR(__xludf.DUMMYFUNCTION("""COMPUTED_VALUE"""),0.0)</f>
        <v>0</v>
      </c>
      <c r="D4699" s="8"/>
    </row>
    <row r="4700">
      <c r="A4700" s="9" t="str">
        <f>IFERROR(__xludf.DUMMYFUNCTION("""COMPUTED_VALUE"""),"Batch 261")</f>
        <v>Batch 261</v>
      </c>
      <c r="B4700" s="9" t="str">
        <f>IFERROR(__xludf.DUMMYFUNCTION("""COMPUTED_VALUE"""),"PranavC61")</f>
        <v>PranavC61</v>
      </c>
      <c r="C4700" s="8">
        <f>IFERROR(__xludf.DUMMYFUNCTION("""COMPUTED_VALUE"""),0.0)</f>
        <v>0</v>
      </c>
      <c r="D4700" s="8"/>
    </row>
    <row r="4701">
      <c r="A4701" s="9" t="str">
        <f>IFERROR(__xludf.DUMMYFUNCTION("""COMPUTED_VALUE"""),"Batch 261")</f>
        <v>Batch 261</v>
      </c>
      <c r="B4701" s="9" t="str">
        <f>IFERROR(__xludf.DUMMYFUNCTION("""COMPUTED_VALUE"""),"SachiC61")</f>
        <v>SachiC61</v>
      </c>
      <c r="C4701" s="8">
        <f>IFERROR(__xludf.DUMMYFUNCTION("""COMPUTED_VALUE"""),21.0)</f>
        <v>21</v>
      </c>
      <c r="D4701" s="8">
        <f>IFERROR(__xludf.DUMMYFUNCTION("""COMPUTED_VALUE"""),2.0)</f>
        <v>2</v>
      </c>
    </row>
    <row r="4702">
      <c r="A4702" s="9" t="str">
        <f>IFERROR(__xludf.DUMMYFUNCTION("""COMPUTED_VALUE"""),"Batch 261")</f>
        <v>Batch 261</v>
      </c>
      <c r="B4702" s="9" t="str">
        <f>IFERROR(__xludf.DUMMYFUNCTION("""COMPUTED_VALUE"""),"RishiC61")</f>
        <v>RishiC61</v>
      </c>
      <c r="C4702" s="8">
        <f>IFERROR(__xludf.DUMMYFUNCTION("""COMPUTED_VALUE"""),6.0)</f>
        <v>6</v>
      </c>
      <c r="D4702" s="8"/>
    </row>
    <row r="4703">
      <c r="A4703" s="9" t="str">
        <f>IFERROR(__xludf.DUMMYFUNCTION("""COMPUTED_VALUE"""),"Batch 261")</f>
        <v>Batch 261</v>
      </c>
      <c r="B4703" s="9" t="str">
        <f>IFERROR(__xludf.DUMMYFUNCTION("""COMPUTED_VALUE"""),"PrabhatC61")</f>
        <v>PrabhatC61</v>
      </c>
      <c r="C4703" s="8">
        <f>IFERROR(__xludf.DUMMYFUNCTION("""COMPUTED_VALUE"""),8.0)</f>
        <v>8</v>
      </c>
      <c r="D4703" s="8">
        <f>IFERROR(__xludf.DUMMYFUNCTION("""COMPUTED_VALUE"""),2.0)</f>
        <v>2</v>
      </c>
    </row>
    <row r="4704">
      <c r="A4704" s="9" t="str">
        <f>IFERROR(__xludf.DUMMYFUNCTION("""COMPUTED_VALUE"""),"Batch 261")</f>
        <v>Batch 261</v>
      </c>
      <c r="B4704" s="9" t="str">
        <f>IFERROR(__xludf.DUMMYFUNCTION("""COMPUTED_VALUE"""),"ParthSC61")</f>
        <v>ParthSC61</v>
      </c>
      <c r="C4704" s="8">
        <f>IFERROR(__xludf.DUMMYFUNCTION("""COMPUTED_VALUE"""),0.0)</f>
        <v>0</v>
      </c>
      <c r="D4704" s="8"/>
    </row>
    <row r="4705">
      <c r="A4705" s="9" t="str">
        <f>IFERROR(__xludf.DUMMYFUNCTION("""COMPUTED_VALUE"""),"Batch 261")</f>
        <v>Batch 261</v>
      </c>
      <c r="B4705" s="9" t="str">
        <f>IFERROR(__xludf.DUMMYFUNCTION("""COMPUTED_VALUE"""),"VivekC61")</f>
        <v>VivekC61</v>
      </c>
      <c r="C4705" s="8">
        <f>IFERROR(__xludf.DUMMYFUNCTION("""COMPUTED_VALUE"""),0.0)</f>
        <v>0</v>
      </c>
      <c r="D4705" s="8"/>
    </row>
    <row r="4706">
      <c r="A4706" s="9"/>
      <c r="B4706" s="9"/>
      <c r="C4706" s="8"/>
      <c r="D4706" s="8"/>
    </row>
    <row r="4707">
      <c r="A4707" s="9" t="str">
        <f>IFERROR(__xludf.DUMMYFUNCTION("""COMPUTED_VALUE"""),"Batch 262")</f>
        <v>Batch 262</v>
      </c>
      <c r="B4707" s="9" t="str">
        <f>IFERROR(__xludf.DUMMYFUNCTION("""COMPUTED_VALUE"""),"UjjwalC62")</f>
        <v>UjjwalC62</v>
      </c>
      <c r="C4707" s="8">
        <f>IFERROR(__xludf.DUMMYFUNCTION("""COMPUTED_VALUE"""),6.0)</f>
        <v>6</v>
      </c>
      <c r="D4707" s="8">
        <f>IFERROR(__xludf.DUMMYFUNCTION("""COMPUTED_VALUE"""),2.0)</f>
        <v>2</v>
      </c>
    </row>
    <row r="4708">
      <c r="A4708" s="9" t="str">
        <f>IFERROR(__xludf.DUMMYFUNCTION("""COMPUTED_VALUE"""),"Batch 262")</f>
        <v>Batch 262</v>
      </c>
      <c r="B4708" s="9" t="str">
        <f>IFERROR(__xludf.DUMMYFUNCTION("""COMPUTED_VALUE"""),"OmC62")</f>
        <v>OmC62</v>
      </c>
      <c r="C4708" s="8">
        <f>IFERROR(__xludf.DUMMYFUNCTION("""COMPUTED_VALUE"""),0.0)</f>
        <v>0</v>
      </c>
      <c r="D4708" s="8"/>
    </row>
    <row r="4709">
      <c r="A4709" s="9" t="str">
        <f>IFERROR(__xludf.DUMMYFUNCTION("""COMPUTED_VALUE"""),"Batch 262")</f>
        <v>Batch 262</v>
      </c>
      <c r="B4709" s="9" t="str">
        <f>IFERROR(__xludf.DUMMYFUNCTION("""COMPUTED_VALUE"""),"HarshaC62")</f>
        <v>HarshaC62</v>
      </c>
      <c r="C4709" s="8">
        <f>IFERROR(__xludf.DUMMYFUNCTION("""COMPUTED_VALUE"""),8.0)</f>
        <v>8</v>
      </c>
      <c r="D4709" s="8"/>
    </row>
    <row r="4710">
      <c r="A4710" s="9" t="str">
        <f>IFERROR(__xludf.DUMMYFUNCTION("""COMPUTED_VALUE"""),"Batch 262")</f>
        <v>Batch 262</v>
      </c>
      <c r="B4710" s="9" t="str">
        <f>IFERROR(__xludf.DUMMYFUNCTION("""COMPUTED_VALUE"""),"ShindeC62")</f>
        <v>ShindeC62</v>
      </c>
      <c r="C4710" s="8">
        <f>IFERROR(__xludf.DUMMYFUNCTION("""COMPUTED_VALUE"""),0.0)</f>
        <v>0</v>
      </c>
      <c r="D4710" s="8"/>
    </row>
    <row r="4711">
      <c r="A4711" s="9" t="str">
        <f>IFERROR(__xludf.DUMMYFUNCTION("""COMPUTED_VALUE"""),"Batch 262")</f>
        <v>Batch 262</v>
      </c>
      <c r="B4711" s="9" t="str">
        <f>IFERROR(__xludf.DUMMYFUNCTION("""COMPUTED_VALUE"""),"MuskanC62")</f>
        <v>MuskanC62</v>
      </c>
      <c r="C4711" s="8">
        <f>IFERROR(__xludf.DUMMYFUNCTION("""COMPUTED_VALUE"""),0.0)</f>
        <v>0</v>
      </c>
      <c r="D4711" s="8"/>
    </row>
    <row r="4712">
      <c r="A4712" s="9" t="str">
        <f>IFERROR(__xludf.DUMMYFUNCTION("""COMPUTED_VALUE"""),"Batch 262")</f>
        <v>Batch 262</v>
      </c>
      <c r="B4712" s="9" t="str">
        <f>IFERROR(__xludf.DUMMYFUNCTION("""COMPUTED_VALUE"""),"RitambharaC62")</f>
        <v>RitambharaC62</v>
      </c>
      <c r="C4712" s="8">
        <f>IFERROR(__xludf.DUMMYFUNCTION("""COMPUTED_VALUE"""),6.0)</f>
        <v>6</v>
      </c>
      <c r="D4712" s="8"/>
    </row>
    <row r="4713">
      <c r="A4713" s="9" t="str">
        <f>IFERROR(__xludf.DUMMYFUNCTION("""COMPUTED_VALUE"""),"Batch 262")</f>
        <v>Batch 262</v>
      </c>
      <c r="B4713" s="9" t="str">
        <f>IFERROR(__xludf.DUMMYFUNCTION("""COMPUTED_VALUE"""),"ManishC62")</f>
        <v>ManishC62</v>
      </c>
      <c r="C4713" s="8">
        <f>IFERROR(__xludf.DUMMYFUNCTION("""COMPUTED_VALUE"""),0.0)</f>
        <v>0</v>
      </c>
      <c r="D4713" s="8"/>
    </row>
    <row r="4714">
      <c r="A4714" s="9" t="str">
        <f>IFERROR(__xludf.DUMMYFUNCTION("""COMPUTED_VALUE"""),"Batch 262")</f>
        <v>Batch 262</v>
      </c>
      <c r="B4714" s="9" t="str">
        <f>IFERROR(__xludf.DUMMYFUNCTION("""COMPUTED_VALUE"""),"ShailjaC62")</f>
        <v>ShailjaC62</v>
      </c>
      <c r="C4714" s="8">
        <f>IFERROR(__xludf.DUMMYFUNCTION("""COMPUTED_VALUE"""),0.0)</f>
        <v>0</v>
      </c>
      <c r="D4714" s="8"/>
    </row>
    <row r="4715">
      <c r="A4715" s="9" t="str">
        <f>IFERROR(__xludf.DUMMYFUNCTION("""COMPUTED_VALUE"""),"Batch 262")</f>
        <v>Batch 262</v>
      </c>
      <c r="B4715" s="9" t="str">
        <f>IFERROR(__xludf.DUMMYFUNCTION("""COMPUTED_VALUE"""),"SaliniC62")</f>
        <v>SaliniC62</v>
      </c>
      <c r="C4715" s="8">
        <f>IFERROR(__xludf.DUMMYFUNCTION("""COMPUTED_VALUE"""),0.0)</f>
        <v>0</v>
      </c>
      <c r="D4715" s="8"/>
    </row>
    <row r="4716">
      <c r="A4716" s="9" t="str">
        <f>IFERROR(__xludf.DUMMYFUNCTION("""COMPUTED_VALUE"""),"Batch 262")</f>
        <v>Batch 262</v>
      </c>
      <c r="B4716" s="9" t="str">
        <f>IFERROR(__xludf.DUMMYFUNCTION("""COMPUTED_VALUE"""),"AbuC62")</f>
        <v>AbuC62</v>
      </c>
      <c r="C4716" s="8">
        <f>IFERROR(__xludf.DUMMYFUNCTION("""COMPUTED_VALUE"""),0.0)</f>
        <v>0</v>
      </c>
      <c r="D4716" s="8"/>
    </row>
    <row r="4717">
      <c r="A4717" s="9" t="str">
        <f>IFERROR(__xludf.DUMMYFUNCTION("""COMPUTED_VALUE"""),"Batch 262")</f>
        <v>Batch 262</v>
      </c>
      <c r="B4717" s="9" t="str">
        <f>IFERROR(__xludf.DUMMYFUNCTION("""COMPUTED_VALUE"""),"KartikC62")</f>
        <v>KartikC62</v>
      </c>
      <c r="C4717" s="8">
        <f>IFERROR(__xludf.DUMMYFUNCTION("""COMPUTED_VALUE"""),0.0)</f>
        <v>0</v>
      </c>
      <c r="D4717" s="8"/>
    </row>
    <row r="4718">
      <c r="A4718" s="9" t="str">
        <f>IFERROR(__xludf.DUMMYFUNCTION("""COMPUTED_VALUE"""),"Batch 262")</f>
        <v>Batch 262</v>
      </c>
      <c r="B4718" s="9" t="str">
        <f>IFERROR(__xludf.DUMMYFUNCTION("""COMPUTED_VALUE"""),"MamonaC62")</f>
        <v>MamonaC62</v>
      </c>
      <c r="C4718" s="8">
        <f>IFERROR(__xludf.DUMMYFUNCTION("""COMPUTED_VALUE"""),0.0)</f>
        <v>0</v>
      </c>
      <c r="D4718" s="8"/>
    </row>
    <row r="4719">
      <c r="A4719" s="9" t="str">
        <f>IFERROR(__xludf.DUMMYFUNCTION("""COMPUTED_VALUE"""),"Batch 262")</f>
        <v>Batch 262</v>
      </c>
      <c r="B4719" s="9" t="str">
        <f>IFERROR(__xludf.DUMMYFUNCTION("""COMPUTED_VALUE"""),"HimanshuC62")</f>
        <v>HimanshuC62</v>
      </c>
      <c r="C4719" s="8">
        <f>IFERROR(__xludf.DUMMYFUNCTION("""COMPUTED_VALUE"""),0.0)</f>
        <v>0</v>
      </c>
      <c r="D4719" s="8"/>
    </row>
    <row r="4720">
      <c r="A4720" s="9" t="str">
        <f>IFERROR(__xludf.DUMMYFUNCTION("""COMPUTED_VALUE"""),"Batch 262")</f>
        <v>Batch 262</v>
      </c>
      <c r="B4720" s="9" t="str">
        <f>IFERROR(__xludf.DUMMYFUNCTION("""COMPUTED_VALUE"""),"RiteshC62")</f>
        <v>RiteshC62</v>
      </c>
      <c r="C4720" s="8">
        <f>IFERROR(__xludf.DUMMYFUNCTION("""COMPUTED_VALUE"""),0.0)</f>
        <v>0</v>
      </c>
      <c r="D4720" s="8"/>
    </row>
    <row r="4721">
      <c r="A4721" s="9" t="str">
        <f>IFERROR(__xludf.DUMMYFUNCTION("""COMPUTED_VALUE"""),"Batch 262")</f>
        <v>Batch 262</v>
      </c>
      <c r="B4721" s="9" t="str">
        <f>IFERROR(__xludf.DUMMYFUNCTION("""COMPUTED_VALUE"""),"NECHUVALAC62")</f>
        <v>NECHUVALAC62</v>
      </c>
      <c r="C4721" s="8">
        <f>IFERROR(__xludf.DUMMYFUNCTION("""COMPUTED_VALUE"""),58.0)</f>
        <v>58</v>
      </c>
      <c r="D4721" s="8"/>
    </row>
    <row r="4722">
      <c r="A4722" s="9" t="str">
        <f>IFERROR(__xludf.DUMMYFUNCTION("""COMPUTED_VALUE"""),"Batch 262")</f>
        <v>Batch 262</v>
      </c>
      <c r="B4722" s="9" t="str">
        <f>IFERROR(__xludf.DUMMYFUNCTION("""COMPUTED_VALUE"""),"PriyankaC62")</f>
        <v>PriyankaC62</v>
      </c>
      <c r="C4722" s="8">
        <f>IFERROR(__xludf.DUMMYFUNCTION("""COMPUTED_VALUE"""),0.0)</f>
        <v>0</v>
      </c>
      <c r="D4722" s="8"/>
    </row>
    <row r="4723">
      <c r="A4723" s="9" t="str">
        <f>IFERROR(__xludf.DUMMYFUNCTION("""COMPUTED_VALUE"""),"Batch 262")</f>
        <v>Batch 262</v>
      </c>
      <c r="B4723" s="9" t="str">
        <f>IFERROR(__xludf.DUMMYFUNCTION("""COMPUTED_VALUE"""),"BRAJESHC62")</f>
        <v>BRAJESHC62</v>
      </c>
      <c r="C4723" s="8">
        <f>IFERROR(__xludf.DUMMYFUNCTION("""COMPUTED_VALUE"""),0.0)</f>
        <v>0</v>
      </c>
      <c r="D4723" s="8"/>
    </row>
    <row r="4724">
      <c r="A4724" s="9" t="str">
        <f>IFERROR(__xludf.DUMMYFUNCTION("""COMPUTED_VALUE"""),"Batch 262")</f>
        <v>Batch 262</v>
      </c>
      <c r="B4724" s="9" t="str">
        <f>IFERROR(__xludf.DUMMYFUNCTION("""COMPUTED_VALUE"""),"PayalC62")</f>
        <v>PayalC62</v>
      </c>
      <c r="C4724" s="8">
        <f>IFERROR(__xludf.DUMMYFUNCTION("""COMPUTED_VALUE"""),0.0)</f>
        <v>0</v>
      </c>
      <c r="D4724" s="8"/>
    </row>
    <row r="4725">
      <c r="A4725" s="9" t="str">
        <f>IFERROR(__xludf.DUMMYFUNCTION("""COMPUTED_VALUE"""),"Batch 262")</f>
        <v>Batch 262</v>
      </c>
      <c r="B4725" s="9" t="str">
        <f>IFERROR(__xludf.DUMMYFUNCTION("""COMPUTED_VALUE"""),"MragankC62")</f>
        <v>MragankC62</v>
      </c>
      <c r="C4725" s="8">
        <f>IFERROR(__xludf.DUMMYFUNCTION("""COMPUTED_VALUE"""),1.0)</f>
        <v>1</v>
      </c>
      <c r="D4725" s="8"/>
    </row>
    <row r="4726">
      <c r="A4726" s="9" t="str">
        <f>IFERROR(__xludf.DUMMYFUNCTION("""COMPUTED_VALUE"""),"Batch 262")</f>
        <v>Batch 262</v>
      </c>
      <c r="B4726" s="9" t="str">
        <f>IFERROR(__xludf.DUMMYFUNCTION("""COMPUTED_VALUE"""),"AbhayC62")</f>
        <v>AbhayC62</v>
      </c>
      <c r="C4726" s="8">
        <f>IFERROR(__xludf.DUMMYFUNCTION("""COMPUTED_VALUE"""),0.0)</f>
        <v>0</v>
      </c>
      <c r="D4726" s="8"/>
    </row>
    <row r="4727">
      <c r="A4727" s="9" t="str">
        <f>IFERROR(__xludf.DUMMYFUNCTION("""COMPUTED_VALUE"""),"Batch 262")</f>
        <v>Batch 262</v>
      </c>
      <c r="B4727" s="9" t="str">
        <f>IFERROR(__xludf.DUMMYFUNCTION("""COMPUTED_VALUE"""),"RC62")</f>
        <v>RC62</v>
      </c>
      <c r="C4727" s="8">
        <f>IFERROR(__xludf.DUMMYFUNCTION("""COMPUTED_VALUE"""),0.0)</f>
        <v>0</v>
      </c>
      <c r="D4727" s="8"/>
    </row>
    <row r="4728">
      <c r="A4728" s="9" t="str">
        <f>IFERROR(__xludf.DUMMYFUNCTION("""COMPUTED_VALUE"""),"Batch 262")</f>
        <v>Batch 262</v>
      </c>
      <c r="B4728" s="9" t="str">
        <f>IFERROR(__xludf.DUMMYFUNCTION("""COMPUTED_VALUE"""),"BhoomikaC62")</f>
        <v>BhoomikaC62</v>
      </c>
      <c r="C4728" s="8">
        <f>IFERROR(__xludf.DUMMYFUNCTION("""COMPUTED_VALUE"""),2.0)</f>
        <v>2</v>
      </c>
      <c r="D4728" s="8"/>
    </row>
    <row r="4729">
      <c r="A4729" s="9" t="str">
        <f>IFERROR(__xludf.DUMMYFUNCTION("""COMPUTED_VALUE"""),"Batch 262")</f>
        <v>Batch 262</v>
      </c>
      <c r="B4729" s="9" t="str">
        <f>IFERROR(__xludf.DUMMYFUNCTION("""COMPUTED_VALUE"""),"KashishC62")</f>
        <v>KashishC62</v>
      </c>
      <c r="C4729" s="8">
        <f>IFERROR(__xludf.DUMMYFUNCTION("""COMPUTED_VALUE"""),0.0)</f>
        <v>0</v>
      </c>
      <c r="D4729" s="8">
        <f>IFERROR(__xludf.DUMMYFUNCTION("""COMPUTED_VALUE"""),3.0)</f>
        <v>3</v>
      </c>
    </row>
    <row r="4730">
      <c r="A4730" s="9" t="str">
        <f>IFERROR(__xludf.DUMMYFUNCTION("""COMPUTED_VALUE"""),"Batch 262")</f>
        <v>Batch 262</v>
      </c>
      <c r="B4730" s="9" t="str">
        <f>IFERROR(__xludf.DUMMYFUNCTION("""COMPUTED_VALUE"""),"HarshC62")</f>
        <v>HarshC62</v>
      </c>
      <c r="C4730" s="8">
        <f>IFERROR(__xludf.DUMMYFUNCTION("""COMPUTED_VALUE"""),0.0)</f>
        <v>0</v>
      </c>
      <c r="D4730" s="8"/>
    </row>
    <row r="4731">
      <c r="A4731" s="9" t="str">
        <f>IFERROR(__xludf.DUMMYFUNCTION("""COMPUTED_VALUE"""),"Batch 262")</f>
        <v>Batch 262</v>
      </c>
      <c r="B4731" s="9" t="str">
        <f>IFERROR(__xludf.DUMMYFUNCTION("""COMPUTED_VALUE"""),"NavyanshC62")</f>
        <v>NavyanshC62</v>
      </c>
      <c r="C4731" s="8">
        <f>IFERROR(__xludf.DUMMYFUNCTION("""COMPUTED_VALUE"""),0.0)</f>
        <v>0</v>
      </c>
      <c r="D4731" s="8"/>
    </row>
    <row r="4732">
      <c r="A4732" s="9" t="str">
        <f>IFERROR(__xludf.DUMMYFUNCTION("""COMPUTED_VALUE"""),"Batch 262")</f>
        <v>Batch 262</v>
      </c>
      <c r="B4732" s="9" t="str">
        <f>IFERROR(__xludf.DUMMYFUNCTION("""COMPUTED_VALUE"""),"SayaliC62")</f>
        <v>SayaliC62</v>
      </c>
      <c r="C4732" s="8">
        <f>IFERROR(__xludf.DUMMYFUNCTION("""COMPUTED_VALUE"""),0.0)</f>
        <v>0</v>
      </c>
      <c r="D4732" s="8"/>
    </row>
    <row r="4733">
      <c r="A4733" s="9" t="str">
        <f>IFERROR(__xludf.DUMMYFUNCTION("""COMPUTED_VALUE"""),"Batch 262")</f>
        <v>Batch 262</v>
      </c>
      <c r="B4733" s="9" t="str">
        <f>IFERROR(__xludf.DUMMYFUNCTION("""COMPUTED_VALUE"""),"BhavikC62")</f>
        <v>BhavikC62</v>
      </c>
      <c r="C4733" s="8">
        <f>IFERROR(__xludf.DUMMYFUNCTION("""COMPUTED_VALUE"""),0.0)</f>
        <v>0</v>
      </c>
      <c r="D4733" s="8"/>
    </row>
    <row r="4734">
      <c r="A4734" s="9" t="str">
        <f>IFERROR(__xludf.DUMMYFUNCTION("""COMPUTED_VALUE"""),"Batch 262")</f>
        <v>Batch 262</v>
      </c>
      <c r="B4734" s="9" t="str">
        <f>IFERROR(__xludf.DUMMYFUNCTION("""COMPUTED_VALUE"""),"ChinmayC62")</f>
        <v>ChinmayC62</v>
      </c>
      <c r="C4734" s="8">
        <f>IFERROR(__xludf.DUMMYFUNCTION("""COMPUTED_VALUE"""),0.0)</f>
        <v>0</v>
      </c>
      <c r="D4734" s="8"/>
    </row>
    <row r="4735">
      <c r="A4735" s="9" t="str">
        <f>IFERROR(__xludf.DUMMYFUNCTION("""COMPUTED_VALUE"""),"Batch 262")</f>
        <v>Batch 262</v>
      </c>
      <c r="B4735" s="9" t="str">
        <f>IFERROR(__xludf.DUMMYFUNCTION("""COMPUTED_VALUE"""),"ShivamC62")</f>
        <v>ShivamC62</v>
      </c>
      <c r="C4735" s="8">
        <f>IFERROR(__xludf.DUMMYFUNCTION("""COMPUTED_VALUE"""),0.0)</f>
        <v>0</v>
      </c>
      <c r="D4735" s="8"/>
    </row>
    <row r="4736">
      <c r="A4736" s="9" t="str">
        <f>IFERROR(__xludf.DUMMYFUNCTION("""COMPUTED_VALUE"""),"Batch 262")</f>
        <v>Batch 262</v>
      </c>
      <c r="B4736" s="9" t="str">
        <f>IFERROR(__xludf.DUMMYFUNCTION("""COMPUTED_VALUE"""),"GunjanC62")</f>
        <v>GunjanC62</v>
      </c>
      <c r="C4736" s="8">
        <f>IFERROR(__xludf.DUMMYFUNCTION("""COMPUTED_VALUE"""),1.0)</f>
        <v>1</v>
      </c>
      <c r="D4736" s="8"/>
    </row>
    <row r="4737">
      <c r="A4737" s="9" t="str">
        <f>IFERROR(__xludf.DUMMYFUNCTION("""COMPUTED_VALUE"""),"Batch 262")</f>
        <v>Batch 262</v>
      </c>
      <c r="B4737" s="9" t="str">
        <f>IFERROR(__xludf.DUMMYFUNCTION("""COMPUTED_VALUE"""),"DeveshC62")</f>
        <v>DeveshC62</v>
      </c>
      <c r="C4737" s="8">
        <f>IFERROR(__xludf.DUMMYFUNCTION("""COMPUTED_VALUE"""),0.0)</f>
        <v>0</v>
      </c>
      <c r="D4737" s="8"/>
    </row>
    <row r="4738">
      <c r="A4738" s="9" t="str">
        <f>IFERROR(__xludf.DUMMYFUNCTION("""COMPUTED_VALUE"""),"Batch 262")</f>
        <v>Batch 262</v>
      </c>
      <c r="B4738" s="9" t="str">
        <f>IFERROR(__xludf.DUMMYFUNCTION("""COMPUTED_VALUE"""),"AarushiC62")</f>
        <v>AarushiC62</v>
      </c>
      <c r="C4738" s="8">
        <f>IFERROR(__xludf.DUMMYFUNCTION("""COMPUTED_VALUE"""),1.0)</f>
        <v>1</v>
      </c>
      <c r="D4738" s="8"/>
    </row>
    <row r="4739">
      <c r="A4739" s="9" t="str">
        <f>IFERROR(__xludf.DUMMYFUNCTION("""COMPUTED_VALUE"""),"Batch 262")</f>
        <v>Batch 262</v>
      </c>
      <c r="B4739" s="9" t="str">
        <f>IFERROR(__xludf.DUMMYFUNCTION("""COMPUTED_VALUE"""),"AyantikaC62")</f>
        <v>AyantikaC62</v>
      </c>
      <c r="C4739" s="8">
        <f>IFERROR(__xludf.DUMMYFUNCTION("""COMPUTED_VALUE"""),0.0)</f>
        <v>0</v>
      </c>
      <c r="D4739" s="8"/>
    </row>
    <row r="4740">
      <c r="A4740" s="9" t="str">
        <f>IFERROR(__xludf.DUMMYFUNCTION("""COMPUTED_VALUE"""),"Batch 262")</f>
        <v>Batch 262</v>
      </c>
      <c r="B4740" s="9" t="str">
        <f>IFERROR(__xludf.DUMMYFUNCTION("""COMPUTED_VALUE"""),"KunalC62")</f>
        <v>KunalC62</v>
      </c>
      <c r="C4740" s="8">
        <f>IFERROR(__xludf.DUMMYFUNCTION("""COMPUTED_VALUE"""),0.0)</f>
        <v>0</v>
      </c>
      <c r="D4740" s="8"/>
    </row>
    <row r="4741">
      <c r="A4741" s="9" t="str">
        <f>IFERROR(__xludf.DUMMYFUNCTION("""COMPUTED_VALUE"""),"Batch 262")</f>
        <v>Batch 262</v>
      </c>
      <c r="B4741" s="9" t="str">
        <f>IFERROR(__xludf.DUMMYFUNCTION("""COMPUTED_VALUE"""),"MdC62")</f>
        <v>MdC62</v>
      </c>
      <c r="C4741" s="8">
        <f>IFERROR(__xludf.DUMMYFUNCTION("""COMPUTED_VALUE"""),0.0)</f>
        <v>0</v>
      </c>
      <c r="D4741" s="8"/>
    </row>
    <row r="4742">
      <c r="A4742" s="9" t="str">
        <f>IFERROR(__xludf.DUMMYFUNCTION("""COMPUTED_VALUE"""),"Batch 262")</f>
        <v>Batch 262</v>
      </c>
      <c r="B4742" s="9" t="str">
        <f>IFERROR(__xludf.DUMMYFUNCTION("""COMPUTED_VALUE"""),"NikithaC62")</f>
        <v>NikithaC62</v>
      </c>
      <c r="C4742" s="8">
        <f>IFERROR(__xludf.DUMMYFUNCTION("""COMPUTED_VALUE"""),0.0)</f>
        <v>0</v>
      </c>
      <c r="D4742" s="8"/>
    </row>
    <row r="4743">
      <c r="A4743" s="9"/>
      <c r="B4743" s="9"/>
      <c r="C4743" s="8">
        <f>IFERROR(__xludf.DUMMYFUNCTION("""COMPUTED_VALUE"""),0.0)</f>
        <v>0</v>
      </c>
      <c r="D4743" s="8"/>
    </row>
    <row r="4744">
      <c r="A4744" s="9" t="str">
        <f>IFERROR(__xludf.DUMMYFUNCTION("""COMPUTED_VALUE"""),"Batch 263")</f>
        <v>Batch 263</v>
      </c>
      <c r="B4744" s="9" t="str">
        <f>IFERROR(__xludf.DUMMYFUNCTION("""COMPUTED_VALUE"""),"RitambharaC63")</f>
        <v>RitambharaC63</v>
      </c>
      <c r="C4744" s="8">
        <f>IFERROR(__xludf.DUMMYFUNCTION("""COMPUTED_VALUE"""),0.0)</f>
        <v>0</v>
      </c>
      <c r="D4744" s="8"/>
    </row>
    <row r="4745">
      <c r="A4745" s="9" t="str">
        <f>IFERROR(__xludf.DUMMYFUNCTION("""COMPUTED_VALUE"""),"Batch 263")</f>
        <v>Batch 263</v>
      </c>
      <c r="B4745" s="9" t="str">
        <f>IFERROR(__xludf.DUMMYFUNCTION("""COMPUTED_VALUE"""),"ManishC63")</f>
        <v>ManishC63</v>
      </c>
      <c r="C4745" s="8">
        <f>IFERROR(__xludf.DUMMYFUNCTION("""COMPUTED_VALUE"""),0.0)</f>
        <v>0</v>
      </c>
      <c r="D4745" s="8"/>
    </row>
    <row r="4746">
      <c r="A4746" s="9" t="str">
        <f>IFERROR(__xludf.DUMMYFUNCTION("""COMPUTED_VALUE"""),"Batch 263")</f>
        <v>Batch 263</v>
      </c>
      <c r="B4746" s="9" t="str">
        <f>IFERROR(__xludf.DUMMYFUNCTION("""COMPUTED_VALUE"""),"JangaC63")</f>
        <v>JangaC63</v>
      </c>
      <c r="C4746" s="8">
        <f>IFERROR(__xludf.DUMMYFUNCTION("""COMPUTED_VALUE"""),0.0)</f>
        <v>0</v>
      </c>
      <c r="D4746" s="8"/>
    </row>
    <row r="4747">
      <c r="A4747" s="9" t="str">
        <f>IFERROR(__xludf.DUMMYFUNCTION("""COMPUTED_VALUE"""),"Batch 263")</f>
        <v>Batch 263</v>
      </c>
      <c r="B4747" s="9" t="str">
        <f>IFERROR(__xludf.DUMMYFUNCTION("""COMPUTED_VALUE"""),"SrishaC63")</f>
        <v>SrishaC63</v>
      </c>
      <c r="C4747" s="8">
        <f>IFERROR(__xludf.DUMMYFUNCTION("""COMPUTED_VALUE"""),0.0)</f>
        <v>0</v>
      </c>
      <c r="D4747" s="8"/>
    </row>
    <row r="4748">
      <c r="A4748" s="9" t="str">
        <f>IFERROR(__xludf.DUMMYFUNCTION("""COMPUTED_VALUE"""),"Batch 263")</f>
        <v>Batch 263</v>
      </c>
      <c r="B4748" s="9" t="str">
        <f>IFERROR(__xludf.DUMMYFUNCTION("""COMPUTED_VALUE"""),"mithilC63")</f>
        <v>mithilC63</v>
      </c>
      <c r="C4748" s="8">
        <f>IFERROR(__xludf.DUMMYFUNCTION("""COMPUTED_VALUE"""),0.0)</f>
        <v>0</v>
      </c>
      <c r="D4748" s="8"/>
    </row>
    <row r="4749">
      <c r="A4749" s="9" t="str">
        <f>IFERROR(__xludf.DUMMYFUNCTION("""COMPUTED_VALUE"""),"Batch 263")</f>
        <v>Batch 263</v>
      </c>
      <c r="B4749" s="9" t="str">
        <f>IFERROR(__xludf.DUMMYFUNCTION("""COMPUTED_VALUE"""),"ArpitC63")</f>
        <v>ArpitC63</v>
      </c>
      <c r="C4749" s="8">
        <f>IFERROR(__xludf.DUMMYFUNCTION("""COMPUTED_VALUE"""),0.0)</f>
        <v>0</v>
      </c>
      <c r="D4749" s="8"/>
    </row>
    <row r="4750">
      <c r="A4750" s="9" t="str">
        <f>IFERROR(__xludf.DUMMYFUNCTION("""COMPUTED_VALUE"""),"Batch 263")</f>
        <v>Batch 263</v>
      </c>
      <c r="B4750" s="9" t="str">
        <f>IFERROR(__xludf.DUMMYFUNCTION("""COMPUTED_VALUE"""),"JineshC63")</f>
        <v>JineshC63</v>
      </c>
      <c r="C4750" s="8">
        <f>IFERROR(__xludf.DUMMYFUNCTION("""COMPUTED_VALUE"""),0.0)</f>
        <v>0</v>
      </c>
      <c r="D4750" s="8"/>
    </row>
    <row r="4751">
      <c r="A4751" s="9" t="str">
        <f>IFERROR(__xludf.DUMMYFUNCTION("""COMPUTED_VALUE"""),"Batch 263")</f>
        <v>Batch 263</v>
      </c>
      <c r="B4751" s="9" t="str">
        <f>IFERROR(__xludf.DUMMYFUNCTION("""COMPUTED_VALUE"""),"UtkarshC63")</f>
        <v>UtkarshC63</v>
      </c>
      <c r="C4751" s="8">
        <f>IFERROR(__xludf.DUMMYFUNCTION("""COMPUTED_VALUE"""),0.0)</f>
        <v>0</v>
      </c>
      <c r="D4751" s="8"/>
    </row>
    <row r="4752">
      <c r="A4752" s="9" t="str">
        <f>IFERROR(__xludf.DUMMYFUNCTION("""COMPUTED_VALUE"""),"Batch 263")</f>
        <v>Batch 263</v>
      </c>
      <c r="B4752" s="9" t="str">
        <f>IFERROR(__xludf.DUMMYFUNCTION("""COMPUTED_VALUE"""),"ReteshC63")</f>
        <v>ReteshC63</v>
      </c>
      <c r="C4752" s="8">
        <f>IFERROR(__xludf.DUMMYFUNCTION("""COMPUTED_VALUE"""),0.0)</f>
        <v>0</v>
      </c>
      <c r="D4752" s="8"/>
    </row>
    <row r="4753">
      <c r="A4753" s="9" t="str">
        <f>IFERROR(__xludf.DUMMYFUNCTION("""COMPUTED_VALUE"""),"Batch 263")</f>
        <v>Batch 263</v>
      </c>
      <c r="B4753" s="9" t="str">
        <f>IFERROR(__xludf.DUMMYFUNCTION("""COMPUTED_VALUE"""),"MamonaC63")</f>
        <v>MamonaC63</v>
      </c>
      <c r="C4753" s="8">
        <f>IFERROR(__xludf.DUMMYFUNCTION("""COMPUTED_VALUE"""),0.0)</f>
        <v>0</v>
      </c>
      <c r="D4753" s="8"/>
    </row>
    <row r="4754">
      <c r="A4754" s="9" t="str">
        <f>IFERROR(__xludf.DUMMYFUNCTION("""COMPUTED_VALUE"""),"Batch 263")</f>
        <v>Batch 263</v>
      </c>
      <c r="B4754" s="9" t="str">
        <f>IFERROR(__xludf.DUMMYFUNCTION("""COMPUTED_VALUE"""),"HimanshuC63")</f>
        <v>HimanshuC63</v>
      </c>
      <c r="C4754" s="8">
        <f>IFERROR(__xludf.DUMMYFUNCTION("""COMPUTED_VALUE"""),0.0)</f>
        <v>0</v>
      </c>
      <c r="D4754" s="8"/>
    </row>
    <row r="4755">
      <c r="A4755" s="9" t="str">
        <f>IFERROR(__xludf.DUMMYFUNCTION("""COMPUTED_VALUE"""),"Batch 263")</f>
        <v>Batch 263</v>
      </c>
      <c r="B4755" s="9" t="str">
        <f>IFERROR(__xludf.DUMMYFUNCTION("""COMPUTED_VALUE"""),"RiteshC63")</f>
        <v>RiteshC63</v>
      </c>
      <c r="C4755" s="8">
        <f>IFERROR(__xludf.DUMMYFUNCTION("""COMPUTED_VALUE"""),0.0)</f>
        <v>0</v>
      </c>
      <c r="D4755" s="8"/>
    </row>
    <row r="4756">
      <c r="A4756" s="9" t="str">
        <f>IFERROR(__xludf.DUMMYFUNCTION("""COMPUTED_VALUE"""),"Batch 263")</f>
        <v>Batch 263</v>
      </c>
      <c r="B4756" s="9" t="str">
        <f>IFERROR(__xludf.DUMMYFUNCTION("""COMPUTED_VALUE"""),"KausalyaC63")</f>
        <v>KausalyaC63</v>
      </c>
      <c r="C4756" s="8">
        <f>IFERROR(__xludf.DUMMYFUNCTION("""COMPUTED_VALUE"""),0.0)</f>
        <v>0</v>
      </c>
      <c r="D4756" s="8"/>
    </row>
    <row r="4757">
      <c r="A4757" s="9" t="str">
        <f>IFERROR(__xludf.DUMMYFUNCTION("""COMPUTED_VALUE"""),"Batch 263")</f>
        <v>Batch 263</v>
      </c>
      <c r="B4757" s="9" t="str">
        <f>IFERROR(__xludf.DUMMYFUNCTION("""COMPUTED_VALUE"""),"ANIMEHAC63")</f>
        <v>ANIMEHAC63</v>
      </c>
      <c r="C4757" s="8">
        <f>IFERROR(__xludf.DUMMYFUNCTION("""COMPUTED_VALUE"""),0.0)</f>
        <v>0</v>
      </c>
      <c r="D4757" s="8"/>
    </row>
    <row r="4758">
      <c r="A4758" s="9" t="str">
        <f>IFERROR(__xludf.DUMMYFUNCTION("""COMPUTED_VALUE"""),"Batch 263")</f>
        <v>Batch 263</v>
      </c>
      <c r="B4758" s="9" t="str">
        <f>IFERROR(__xludf.DUMMYFUNCTION("""COMPUTED_VALUE"""),"SaksheeC63")</f>
        <v>SaksheeC63</v>
      </c>
      <c r="C4758" s="8">
        <f>IFERROR(__xludf.DUMMYFUNCTION("""COMPUTED_VALUE"""),0.0)</f>
        <v>0</v>
      </c>
      <c r="D4758" s="8"/>
    </row>
    <row r="4759">
      <c r="A4759" s="9" t="str">
        <f>IFERROR(__xludf.DUMMYFUNCTION("""COMPUTED_VALUE"""),"Batch 263")</f>
        <v>Batch 263</v>
      </c>
      <c r="B4759" s="9" t="str">
        <f>IFERROR(__xludf.DUMMYFUNCTION("""COMPUTED_VALUE"""),"ManmathC63")</f>
        <v>ManmathC63</v>
      </c>
      <c r="C4759" s="8">
        <f>IFERROR(__xludf.DUMMYFUNCTION("""COMPUTED_VALUE"""),0.0)</f>
        <v>0</v>
      </c>
      <c r="D4759" s="8"/>
    </row>
    <row r="4760">
      <c r="A4760" s="9" t="str">
        <f>IFERROR(__xludf.DUMMYFUNCTION("""COMPUTED_VALUE"""),"Batch 263")</f>
        <v>Batch 263</v>
      </c>
      <c r="B4760" s="9" t="str">
        <f>IFERROR(__xludf.DUMMYFUNCTION("""COMPUTED_VALUE"""),"SandipC63")</f>
        <v>SandipC63</v>
      </c>
      <c r="C4760" s="8">
        <f>IFERROR(__xludf.DUMMYFUNCTION("""COMPUTED_VALUE"""),0.0)</f>
        <v>0</v>
      </c>
      <c r="D4760" s="8"/>
    </row>
    <row r="4761">
      <c r="A4761" s="9" t="str">
        <f>IFERROR(__xludf.DUMMYFUNCTION("""COMPUTED_VALUE"""),"Batch 263")</f>
        <v>Batch 263</v>
      </c>
      <c r="B4761" s="9" t="str">
        <f>IFERROR(__xludf.DUMMYFUNCTION("""COMPUTED_VALUE"""),"MDC63")</f>
        <v>MDC63</v>
      </c>
      <c r="C4761" s="8">
        <f>IFERROR(__xludf.DUMMYFUNCTION("""COMPUTED_VALUE"""),0.0)</f>
        <v>0</v>
      </c>
      <c r="D4761" s="8"/>
    </row>
    <row r="4762">
      <c r="A4762" s="9" t="str">
        <f>IFERROR(__xludf.DUMMYFUNCTION("""COMPUTED_VALUE"""),"Batch 263")</f>
        <v>Batch 263</v>
      </c>
      <c r="B4762" s="9" t="str">
        <f>IFERROR(__xludf.DUMMYFUNCTION("""COMPUTED_VALUE"""),"ShashankC63")</f>
        <v>ShashankC63</v>
      </c>
      <c r="C4762" s="8">
        <f>IFERROR(__xludf.DUMMYFUNCTION("""COMPUTED_VALUE"""),0.0)</f>
        <v>0</v>
      </c>
      <c r="D4762" s="8"/>
    </row>
    <row r="4763">
      <c r="A4763" s="9" t="str">
        <f>IFERROR(__xludf.DUMMYFUNCTION("""COMPUTED_VALUE"""),"Batch 263")</f>
        <v>Batch 263</v>
      </c>
      <c r="B4763" s="9" t="str">
        <f>IFERROR(__xludf.DUMMYFUNCTION("""COMPUTED_VALUE"""),"Varsha.C63")</f>
        <v>Varsha.C63</v>
      </c>
      <c r="C4763" s="8">
        <f>IFERROR(__xludf.DUMMYFUNCTION("""COMPUTED_VALUE"""),0.0)</f>
        <v>0</v>
      </c>
      <c r="D4763" s="8"/>
    </row>
    <row r="4764">
      <c r="A4764" s="9" t="str">
        <f>IFERROR(__xludf.DUMMYFUNCTION("""COMPUTED_VALUE"""),"Batch 263")</f>
        <v>Batch 263</v>
      </c>
      <c r="B4764" s="9" t="str">
        <f>IFERROR(__xludf.DUMMYFUNCTION("""COMPUTED_VALUE"""),"LakshitaC63")</f>
        <v>LakshitaC63</v>
      </c>
      <c r="C4764" s="8">
        <f>IFERROR(__xludf.DUMMYFUNCTION("""COMPUTED_VALUE"""),0.0)</f>
        <v>0</v>
      </c>
      <c r="D4764" s="8"/>
    </row>
    <row r="4765">
      <c r="A4765" s="9" t="str">
        <f>IFERROR(__xludf.DUMMYFUNCTION("""COMPUTED_VALUE"""),"Batch 263")</f>
        <v>Batch 263</v>
      </c>
      <c r="B4765" s="9" t="str">
        <f>IFERROR(__xludf.DUMMYFUNCTION("""COMPUTED_VALUE"""),"YashC63")</f>
        <v>YashC63</v>
      </c>
      <c r="C4765" s="8">
        <f>IFERROR(__xludf.DUMMYFUNCTION("""COMPUTED_VALUE"""),0.0)</f>
        <v>0</v>
      </c>
      <c r="D4765" s="8"/>
    </row>
    <row r="4766">
      <c r="A4766" s="9" t="str">
        <f>IFERROR(__xludf.DUMMYFUNCTION("""COMPUTED_VALUE"""),"Batch 263")</f>
        <v>Batch 263</v>
      </c>
      <c r="B4766" s="9" t="str">
        <f>IFERROR(__xludf.DUMMYFUNCTION("""COMPUTED_VALUE"""),"AbhinavC63")</f>
        <v>AbhinavC63</v>
      </c>
      <c r="C4766" s="8">
        <f>IFERROR(__xludf.DUMMYFUNCTION("""COMPUTED_VALUE"""),0.0)</f>
        <v>0</v>
      </c>
      <c r="D4766" s="8"/>
    </row>
    <row r="4767">
      <c r="A4767" s="9" t="str">
        <f>IFERROR(__xludf.DUMMYFUNCTION("""COMPUTED_VALUE"""),"Batch 263")</f>
        <v>Batch 263</v>
      </c>
      <c r="B4767" s="9" t="str">
        <f>IFERROR(__xludf.DUMMYFUNCTION("""COMPUTED_VALUE"""),"TanviC63")</f>
        <v>TanviC63</v>
      </c>
      <c r="C4767" s="8">
        <f>IFERROR(__xludf.DUMMYFUNCTION("""COMPUTED_VALUE"""),0.0)</f>
        <v>0</v>
      </c>
      <c r="D4767" s="8"/>
    </row>
    <row r="4768">
      <c r="A4768" s="9" t="str">
        <f>IFERROR(__xludf.DUMMYFUNCTION("""COMPUTED_VALUE"""),"Batch 263")</f>
        <v>Batch 263</v>
      </c>
      <c r="B4768" s="9" t="str">
        <f>IFERROR(__xludf.DUMMYFUNCTION("""COMPUTED_VALUE"""),"NarsinghC63")</f>
        <v>NarsinghC63</v>
      </c>
      <c r="C4768" s="8">
        <f>IFERROR(__xludf.DUMMYFUNCTION("""COMPUTED_VALUE"""),0.0)</f>
        <v>0</v>
      </c>
      <c r="D4768" s="8"/>
    </row>
    <row r="4769">
      <c r="A4769" s="9" t="str">
        <f>IFERROR(__xludf.DUMMYFUNCTION("""COMPUTED_VALUE"""),"Batch 263")</f>
        <v>Batch 263</v>
      </c>
      <c r="B4769" s="9" t="str">
        <f>IFERROR(__xludf.DUMMYFUNCTION("""COMPUTED_VALUE"""),"ShreyaC63")</f>
        <v>ShreyaC63</v>
      </c>
      <c r="C4769" s="8">
        <f>IFERROR(__xludf.DUMMYFUNCTION("""COMPUTED_VALUE"""),0.0)</f>
        <v>0</v>
      </c>
      <c r="D4769" s="8"/>
    </row>
    <row r="4770">
      <c r="A4770" s="9" t="str">
        <f>IFERROR(__xludf.DUMMYFUNCTION("""COMPUTED_VALUE"""),"Batch 263")</f>
        <v>Batch 263</v>
      </c>
      <c r="B4770" s="9" t="str">
        <f>IFERROR(__xludf.DUMMYFUNCTION("""COMPUTED_VALUE"""),"AsthaC63")</f>
        <v>AsthaC63</v>
      </c>
      <c r="C4770" s="8">
        <f>IFERROR(__xludf.DUMMYFUNCTION("""COMPUTED_VALUE"""),0.0)</f>
        <v>0</v>
      </c>
      <c r="D4770" s="8"/>
    </row>
    <row r="4771">
      <c r="A4771" s="9" t="str">
        <f>IFERROR(__xludf.DUMMYFUNCTION("""COMPUTED_VALUE"""),"Batch 263")</f>
        <v>Batch 263</v>
      </c>
      <c r="B4771" s="9" t="str">
        <f>IFERROR(__xludf.DUMMYFUNCTION("""COMPUTED_VALUE"""),"HimaniC63")</f>
        <v>HimaniC63</v>
      </c>
      <c r="C4771" s="8">
        <f>IFERROR(__xludf.DUMMYFUNCTION("""COMPUTED_VALUE"""),0.0)</f>
        <v>0</v>
      </c>
      <c r="D4771" s="8"/>
    </row>
    <row r="4772">
      <c r="A4772" s="9" t="str">
        <f>IFERROR(__xludf.DUMMYFUNCTION("""COMPUTED_VALUE"""),"Batch 263")</f>
        <v>Batch 263</v>
      </c>
      <c r="B4772" s="9" t="str">
        <f>IFERROR(__xludf.DUMMYFUNCTION("""COMPUTED_VALUE"""),"KushalC63")</f>
        <v>KushalC63</v>
      </c>
      <c r="C4772" s="8">
        <f>IFERROR(__xludf.DUMMYFUNCTION("""COMPUTED_VALUE"""),0.0)</f>
        <v>0</v>
      </c>
      <c r="D4772" s="8"/>
    </row>
    <row r="4773">
      <c r="A4773" s="9" t="str">
        <f>IFERROR(__xludf.DUMMYFUNCTION("""COMPUTED_VALUE"""),"Batch 263")</f>
        <v>Batch 263</v>
      </c>
      <c r="B4773" s="9" t="str">
        <f>IFERROR(__xludf.DUMMYFUNCTION("""COMPUTED_VALUE"""),"AshmitC63")</f>
        <v>AshmitC63</v>
      </c>
      <c r="C4773" s="8">
        <f>IFERROR(__xludf.DUMMYFUNCTION("""COMPUTED_VALUE"""),22.0)</f>
        <v>22</v>
      </c>
      <c r="D4773" s="8">
        <f>IFERROR(__xludf.DUMMYFUNCTION("""COMPUTED_VALUE"""),19.0)</f>
        <v>19</v>
      </c>
    </row>
    <row r="4774">
      <c r="A4774" s="9" t="str">
        <f>IFERROR(__xludf.DUMMYFUNCTION("""COMPUTED_VALUE"""),"Batch 263")</f>
        <v>Batch 263</v>
      </c>
      <c r="B4774" s="9" t="str">
        <f>IFERROR(__xludf.DUMMYFUNCTION("""COMPUTED_VALUE"""),"KevinC63")</f>
        <v>KevinC63</v>
      </c>
      <c r="C4774" s="8">
        <f>IFERROR(__xludf.DUMMYFUNCTION("""COMPUTED_VALUE"""),1.0)</f>
        <v>1</v>
      </c>
      <c r="D4774" s="8"/>
    </row>
    <row r="4775">
      <c r="A4775" s="9"/>
      <c r="B4775" s="9"/>
      <c r="C4775" s="8">
        <f>IFERROR(__xludf.DUMMYFUNCTION("""COMPUTED_VALUE"""),0.0)</f>
        <v>0</v>
      </c>
      <c r="D4775" s="8"/>
    </row>
    <row r="4776">
      <c r="A4776" s="9" t="str">
        <f>IFERROR(__xludf.DUMMYFUNCTION("""COMPUTED_VALUE"""),"Batch 264")</f>
        <v>Batch 264</v>
      </c>
      <c r="B4776" s="9" t="str">
        <f>IFERROR(__xludf.DUMMYFUNCTION("""COMPUTED_VALUE"""),"VIzaC64")</f>
        <v>VIzaC64</v>
      </c>
      <c r="C4776" s="8">
        <f>IFERROR(__xludf.DUMMYFUNCTION("""COMPUTED_VALUE"""),0.0)</f>
        <v>0</v>
      </c>
      <c r="D4776" s="8"/>
    </row>
    <row r="4777">
      <c r="A4777" s="9" t="str">
        <f>IFERROR(__xludf.DUMMYFUNCTION("""COMPUTED_VALUE"""),"Batch 264")</f>
        <v>Batch 264</v>
      </c>
      <c r="B4777" s="9" t="str">
        <f>IFERROR(__xludf.DUMMYFUNCTION("""COMPUTED_VALUE"""),"SamikshaC64")</f>
        <v>SamikshaC64</v>
      </c>
      <c r="C4777" s="8">
        <f>IFERROR(__xludf.DUMMYFUNCTION("""COMPUTED_VALUE"""),0.0)</f>
        <v>0</v>
      </c>
      <c r="D4777" s="8"/>
    </row>
    <row r="4778">
      <c r="A4778" s="9" t="str">
        <f>IFERROR(__xludf.DUMMYFUNCTION("""COMPUTED_VALUE"""),"Batch 264")</f>
        <v>Batch 264</v>
      </c>
      <c r="B4778" s="9" t="str">
        <f>IFERROR(__xludf.DUMMYFUNCTION("""COMPUTED_VALUE"""),"AshutoshC64")</f>
        <v>AshutoshC64</v>
      </c>
      <c r="C4778" s="8">
        <f>IFERROR(__xludf.DUMMYFUNCTION("""COMPUTED_VALUE"""),0.0)</f>
        <v>0</v>
      </c>
      <c r="D4778" s="8"/>
    </row>
    <row r="4779">
      <c r="A4779" s="9" t="str">
        <f>IFERROR(__xludf.DUMMYFUNCTION("""COMPUTED_VALUE"""),"Batch 264")</f>
        <v>Batch 264</v>
      </c>
      <c r="B4779" s="9" t="str">
        <f>IFERROR(__xludf.DUMMYFUNCTION("""COMPUTED_VALUE"""),"ShikhaC64")</f>
        <v>ShikhaC64</v>
      </c>
      <c r="C4779" s="8">
        <f>IFERROR(__xludf.DUMMYFUNCTION("""COMPUTED_VALUE"""),3.0)</f>
        <v>3</v>
      </c>
      <c r="D4779" s="8"/>
    </row>
    <row r="4780">
      <c r="A4780" s="9" t="str">
        <f>IFERROR(__xludf.DUMMYFUNCTION("""COMPUTED_VALUE"""),"Batch 264")</f>
        <v>Batch 264</v>
      </c>
      <c r="B4780" s="9" t="str">
        <f>IFERROR(__xludf.DUMMYFUNCTION("""COMPUTED_VALUE"""),"SattwikC64")</f>
        <v>SattwikC64</v>
      </c>
      <c r="C4780" s="8">
        <f>IFERROR(__xludf.DUMMYFUNCTION("""COMPUTED_VALUE"""),60.0)</f>
        <v>60</v>
      </c>
      <c r="D4780" s="8">
        <f>IFERROR(__xludf.DUMMYFUNCTION("""COMPUTED_VALUE"""),2.0)</f>
        <v>2</v>
      </c>
    </row>
    <row r="4781">
      <c r="A4781" s="9" t="str">
        <f>IFERROR(__xludf.DUMMYFUNCTION("""COMPUTED_VALUE"""),"Batch 264")</f>
        <v>Batch 264</v>
      </c>
      <c r="B4781" s="9" t="str">
        <f>IFERROR(__xludf.DUMMYFUNCTION("""COMPUTED_VALUE"""),"KumariC64")</f>
        <v>KumariC64</v>
      </c>
      <c r="C4781" s="8">
        <f>IFERROR(__xludf.DUMMYFUNCTION("""COMPUTED_VALUE"""),1.0)</f>
        <v>1</v>
      </c>
      <c r="D4781" s="8">
        <f>IFERROR(__xludf.DUMMYFUNCTION("""COMPUTED_VALUE"""),5.0)</f>
        <v>5</v>
      </c>
    </row>
    <row r="4782">
      <c r="A4782" s="9" t="str">
        <f>IFERROR(__xludf.DUMMYFUNCTION("""COMPUTED_VALUE"""),"Batch 264")</f>
        <v>Batch 264</v>
      </c>
      <c r="B4782" s="9" t="str">
        <f>IFERROR(__xludf.DUMMYFUNCTION("""COMPUTED_VALUE"""),"SyedC64")</f>
        <v>SyedC64</v>
      </c>
      <c r="C4782" s="8">
        <f>IFERROR(__xludf.DUMMYFUNCTION("""COMPUTED_VALUE"""),0.0)</f>
        <v>0</v>
      </c>
      <c r="D4782" s="8"/>
    </row>
    <row r="4783">
      <c r="A4783" s="9" t="str">
        <f>IFERROR(__xludf.DUMMYFUNCTION("""COMPUTED_VALUE"""),"Batch 264")</f>
        <v>Batch 264</v>
      </c>
      <c r="B4783" s="9" t="str">
        <f>IFERROR(__xludf.DUMMYFUNCTION("""COMPUTED_VALUE"""),"BhaktiC64")</f>
        <v>BhaktiC64</v>
      </c>
      <c r="C4783" s="8">
        <f>IFERROR(__xludf.DUMMYFUNCTION("""COMPUTED_VALUE"""),0.0)</f>
        <v>0</v>
      </c>
      <c r="D4783" s="8"/>
    </row>
    <row r="4784">
      <c r="A4784" s="9" t="str">
        <f>IFERROR(__xludf.DUMMYFUNCTION("""COMPUTED_VALUE"""),"Batch 264")</f>
        <v>Batch 264</v>
      </c>
      <c r="B4784" s="9" t="str">
        <f>IFERROR(__xludf.DUMMYFUNCTION("""COMPUTED_VALUE"""),"KinnariC64")</f>
        <v>KinnariC64</v>
      </c>
      <c r="C4784" s="8">
        <f>IFERROR(__xludf.DUMMYFUNCTION("""COMPUTED_VALUE"""),1.0)</f>
        <v>1</v>
      </c>
      <c r="D4784" s="8"/>
    </row>
    <row r="4785">
      <c r="A4785" s="9" t="str">
        <f>IFERROR(__xludf.DUMMYFUNCTION("""COMPUTED_VALUE"""),"Batch 264")</f>
        <v>Batch 264</v>
      </c>
      <c r="B4785" s="9" t="str">
        <f>IFERROR(__xludf.DUMMYFUNCTION("""COMPUTED_VALUE"""),"DeepC64")</f>
        <v>DeepC64</v>
      </c>
      <c r="C4785" s="8">
        <f>IFERROR(__xludf.DUMMYFUNCTION("""COMPUTED_VALUE"""),0.0)</f>
        <v>0</v>
      </c>
      <c r="D4785" s="8"/>
    </row>
    <row r="4786">
      <c r="A4786" s="9" t="str">
        <f>IFERROR(__xludf.DUMMYFUNCTION("""COMPUTED_VALUE"""),"Batch 264")</f>
        <v>Batch 264</v>
      </c>
      <c r="B4786" s="9" t="str">
        <f>IFERROR(__xludf.DUMMYFUNCTION("""COMPUTED_VALUE"""),"SnehaC64")</f>
        <v>SnehaC64</v>
      </c>
      <c r="C4786" s="8">
        <f>IFERROR(__xludf.DUMMYFUNCTION("""COMPUTED_VALUE"""),0.0)</f>
        <v>0</v>
      </c>
      <c r="D4786" s="8"/>
    </row>
    <row r="4787">
      <c r="A4787" s="9" t="str">
        <f>IFERROR(__xludf.DUMMYFUNCTION("""COMPUTED_VALUE"""),"Batch 264")</f>
        <v>Batch 264</v>
      </c>
      <c r="B4787" s="9" t="str">
        <f>IFERROR(__xludf.DUMMYFUNCTION("""COMPUTED_VALUE"""),"hritiC64")</f>
        <v>hritiC64</v>
      </c>
      <c r="C4787" s="8">
        <f>IFERROR(__xludf.DUMMYFUNCTION("""COMPUTED_VALUE"""),0.0)</f>
        <v>0</v>
      </c>
      <c r="D4787" s="8"/>
    </row>
    <row r="4788">
      <c r="A4788" s="9" t="str">
        <f>IFERROR(__xludf.DUMMYFUNCTION("""COMPUTED_VALUE"""),"Batch 264")</f>
        <v>Batch 264</v>
      </c>
      <c r="B4788" s="9" t="str">
        <f>IFERROR(__xludf.DUMMYFUNCTION("""COMPUTED_VALUE"""),"JaiC64")</f>
        <v>JaiC64</v>
      </c>
      <c r="C4788" s="8">
        <f>IFERROR(__xludf.DUMMYFUNCTION("""COMPUTED_VALUE"""),2.0)</f>
        <v>2</v>
      </c>
      <c r="D4788" s="8">
        <f>IFERROR(__xludf.DUMMYFUNCTION("""COMPUTED_VALUE"""),1.0)</f>
        <v>1</v>
      </c>
    </row>
    <row r="4789">
      <c r="A4789" s="9" t="str">
        <f>IFERROR(__xludf.DUMMYFUNCTION("""COMPUTED_VALUE"""),"Batch 264")</f>
        <v>Batch 264</v>
      </c>
      <c r="B4789" s="9" t="str">
        <f>IFERROR(__xludf.DUMMYFUNCTION("""COMPUTED_VALUE"""),"RamuC64")</f>
        <v>RamuC64</v>
      </c>
      <c r="C4789" s="8">
        <f>IFERROR(__xludf.DUMMYFUNCTION("""COMPUTED_VALUE"""),0.0)</f>
        <v>0</v>
      </c>
      <c r="D4789" s="8"/>
    </row>
    <row r="4790">
      <c r="A4790" s="9" t="str">
        <f>IFERROR(__xludf.DUMMYFUNCTION("""COMPUTED_VALUE"""),"Batch 264")</f>
        <v>Batch 264</v>
      </c>
      <c r="B4790" s="9" t="str">
        <f>IFERROR(__xludf.DUMMYFUNCTION("""COMPUTED_VALUE"""),"MithileshkhalokarC64")</f>
        <v>MithileshkhalokarC64</v>
      </c>
      <c r="C4790" s="8">
        <f>IFERROR(__xludf.DUMMYFUNCTION("""COMPUTED_VALUE"""),0.0)</f>
        <v>0</v>
      </c>
      <c r="D4790" s="8"/>
    </row>
    <row r="4791">
      <c r="A4791" s="9" t="str">
        <f>IFERROR(__xludf.DUMMYFUNCTION("""COMPUTED_VALUE"""),"Batch 264")</f>
        <v>Batch 264</v>
      </c>
      <c r="B4791" s="9" t="str">
        <f>IFERROR(__xludf.DUMMYFUNCTION("""COMPUTED_VALUE"""),"ViniC64")</f>
        <v>ViniC64</v>
      </c>
      <c r="C4791" s="8">
        <f>IFERROR(__xludf.DUMMYFUNCTION("""COMPUTED_VALUE"""),0.0)</f>
        <v>0</v>
      </c>
      <c r="D4791" s="8"/>
    </row>
    <row r="4792">
      <c r="A4792" s="9" t="str">
        <f>IFERROR(__xludf.DUMMYFUNCTION("""COMPUTED_VALUE"""),"Batch 264")</f>
        <v>Batch 264</v>
      </c>
      <c r="B4792" s="9" t="str">
        <f>IFERROR(__xludf.DUMMYFUNCTION("""COMPUTED_VALUE"""),"KethavathC64")</f>
        <v>KethavathC64</v>
      </c>
      <c r="C4792" s="8">
        <f>IFERROR(__xludf.DUMMYFUNCTION("""COMPUTED_VALUE"""),2.0)</f>
        <v>2</v>
      </c>
      <c r="D4792" s="8"/>
    </row>
    <row r="4793">
      <c r="A4793" s="9" t="str">
        <f>IFERROR(__xludf.DUMMYFUNCTION("""COMPUTED_VALUE"""),"Batch 264")</f>
        <v>Batch 264</v>
      </c>
      <c r="B4793" s="9" t="str">
        <f>IFERROR(__xludf.DUMMYFUNCTION("""COMPUTED_VALUE"""),"TANISHAC64")</f>
        <v>TANISHAC64</v>
      </c>
      <c r="C4793" s="8">
        <f>IFERROR(__xludf.DUMMYFUNCTION("""COMPUTED_VALUE"""),0.0)</f>
        <v>0</v>
      </c>
      <c r="D4793" s="8"/>
    </row>
    <row r="4794">
      <c r="A4794" s="9" t="str">
        <f>IFERROR(__xludf.DUMMYFUNCTION("""COMPUTED_VALUE"""),"Batch 264")</f>
        <v>Batch 264</v>
      </c>
      <c r="B4794" s="9" t="str">
        <f>IFERROR(__xludf.DUMMYFUNCTION("""COMPUTED_VALUE"""),"PrabhaC64")</f>
        <v>PrabhaC64</v>
      </c>
      <c r="C4794" s="8">
        <f>IFERROR(__xludf.DUMMYFUNCTION("""COMPUTED_VALUE"""),4.0)</f>
        <v>4</v>
      </c>
      <c r="D4794" s="8"/>
    </row>
    <row r="4795">
      <c r="A4795" s="9" t="str">
        <f>IFERROR(__xludf.DUMMYFUNCTION("""COMPUTED_VALUE"""),"Batch 264")</f>
        <v>Batch 264</v>
      </c>
      <c r="B4795" s="9" t="str">
        <f>IFERROR(__xludf.DUMMYFUNCTION("""COMPUTED_VALUE"""),"DivyanshiC64")</f>
        <v>DivyanshiC64</v>
      </c>
      <c r="C4795" s="8">
        <f>IFERROR(__xludf.DUMMYFUNCTION("""COMPUTED_VALUE"""),0.0)</f>
        <v>0</v>
      </c>
      <c r="D4795" s="8"/>
    </row>
    <row r="4796">
      <c r="A4796" s="9" t="str">
        <f>IFERROR(__xludf.DUMMYFUNCTION("""COMPUTED_VALUE"""),"Batch 264")</f>
        <v>Batch 264</v>
      </c>
      <c r="B4796" s="9" t="str">
        <f>IFERROR(__xludf.DUMMYFUNCTION("""COMPUTED_VALUE"""),"TriptiC64")</f>
        <v>TriptiC64</v>
      </c>
      <c r="C4796" s="8">
        <f>IFERROR(__xludf.DUMMYFUNCTION("""COMPUTED_VALUE"""),0.0)</f>
        <v>0</v>
      </c>
      <c r="D4796" s="8"/>
    </row>
    <row r="4797">
      <c r="A4797" s="9"/>
      <c r="B4797" s="9"/>
      <c r="C4797" s="8">
        <f>IFERROR(__xludf.DUMMYFUNCTION("""COMPUTED_VALUE"""),0.0)</f>
        <v>0</v>
      </c>
      <c r="D4797" s="8"/>
    </row>
    <row r="4798">
      <c r="A4798" s="9" t="str">
        <f>IFERROR(__xludf.DUMMYFUNCTION("""COMPUTED_VALUE"""),"Batch 265")</f>
        <v>Batch 265</v>
      </c>
      <c r="B4798" s="9" t="str">
        <f>IFERROR(__xludf.DUMMYFUNCTION("""COMPUTED_VALUE"""),"HarshC65")</f>
        <v>HarshC65</v>
      </c>
      <c r="C4798" s="8">
        <f>IFERROR(__xludf.DUMMYFUNCTION("""COMPUTED_VALUE"""),1.0)</f>
        <v>1</v>
      </c>
      <c r="D4798" s="8"/>
    </row>
    <row r="4799">
      <c r="A4799" s="9" t="str">
        <f>IFERROR(__xludf.DUMMYFUNCTION("""COMPUTED_VALUE"""),"Batch 265")</f>
        <v>Batch 265</v>
      </c>
      <c r="B4799" s="9" t="str">
        <f>IFERROR(__xludf.DUMMYFUNCTION("""COMPUTED_VALUE"""),"NidhiC65")</f>
        <v>NidhiC65</v>
      </c>
      <c r="C4799" s="8">
        <f>IFERROR(__xludf.DUMMYFUNCTION("""COMPUTED_VALUE"""),1.0)</f>
        <v>1</v>
      </c>
      <c r="D4799" s="8"/>
    </row>
    <row r="4800">
      <c r="A4800" s="9" t="str">
        <f>IFERROR(__xludf.DUMMYFUNCTION("""COMPUTED_VALUE"""),"Batch 265")</f>
        <v>Batch 265</v>
      </c>
      <c r="B4800" s="9" t="str">
        <f>IFERROR(__xludf.DUMMYFUNCTION("""COMPUTED_VALUE"""),"IshikaC65")</f>
        <v>IshikaC65</v>
      </c>
      <c r="C4800" s="8">
        <f>IFERROR(__xludf.DUMMYFUNCTION("""COMPUTED_VALUE"""),0.0)</f>
        <v>0</v>
      </c>
      <c r="D4800" s="8"/>
    </row>
    <row r="4801">
      <c r="A4801" s="9" t="str">
        <f>IFERROR(__xludf.DUMMYFUNCTION("""COMPUTED_VALUE"""),"Batch 265")</f>
        <v>Batch 265</v>
      </c>
      <c r="B4801" s="9" t="str">
        <f>IFERROR(__xludf.DUMMYFUNCTION("""COMPUTED_VALUE"""),"HarshitaC65")</f>
        <v>HarshitaC65</v>
      </c>
      <c r="C4801" s="8">
        <f>IFERROR(__xludf.DUMMYFUNCTION("""COMPUTED_VALUE"""),0.0)</f>
        <v>0</v>
      </c>
      <c r="D4801" s="8"/>
    </row>
    <row r="4802">
      <c r="A4802" s="9" t="str">
        <f>IFERROR(__xludf.DUMMYFUNCTION("""COMPUTED_VALUE"""),"Batch 265")</f>
        <v>Batch 265</v>
      </c>
      <c r="B4802" s="9" t="str">
        <f>IFERROR(__xludf.DUMMYFUNCTION("""COMPUTED_VALUE"""),"HanoC65")</f>
        <v>HanoC65</v>
      </c>
      <c r="C4802" s="8">
        <f>IFERROR(__xludf.DUMMYFUNCTION("""COMPUTED_VALUE"""),0.0)</f>
        <v>0</v>
      </c>
      <c r="D4802" s="8"/>
    </row>
    <row r="4803">
      <c r="A4803" s="9" t="str">
        <f>IFERROR(__xludf.DUMMYFUNCTION("""COMPUTED_VALUE"""),"Batch 265")</f>
        <v>Batch 265</v>
      </c>
      <c r="B4803" s="9" t="str">
        <f>IFERROR(__xludf.DUMMYFUNCTION("""COMPUTED_VALUE"""),"PULAKC65")</f>
        <v>PULAKC65</v>
      </c>
      <c r="C4803" s="8">
        <f>IFERROR(__xludf.DUMMYFUNCTION("""COMPUTED_VALUE"""),11.0)</f>
        <v>11</v>
      </c>
      <c r="D4803" s="8"/>
    </row>
    <row r="4804">
      <c r="A4804" s="9" t="str">
        <f>IFERROR(__xludf.DUMMYFUNCTION("""COMPUTED_VALUE"""),"Batch 265")</f>
        <v>Batch 265</v>
      </c>
      <c r="B4804" s="9" t="str">
        <f>IFERROR(__xludf.DUMMYFUNCTION("""COMPUTED_VALUE"""),"FarazC65")</f>
        <v>FarazC65</v>
      </c>
      <c r="C4804" s="8">
        <f>IFERROR(__xludf.DUMMYFUNCTION("""COMPUTED_VALUE"""),0.0)</f>
        <v>0</v>
      </c>
      <c r="D4804" s="8"/>
    </row>
    <row r="4805">
      <c r="A4805" s="9" t="str">
        <f>IFERROR(__xludf.DUMMYFUNCTION("""COMPUTED_VALUE"""),"Batch 265")</f>
        <v>Batch 265</v>
      </c>
      <c r="B4805" s="9" t="str">
        <f>IFERROR(__xludf.DUMMYFUNCTION("""COMPUTED_VALUE"""),"AarizC65")</f>
        <v>AarizC65</v>
      </c>
      <c r="C4805" s="8">
        <f>IFERROR(__xludf.DUMMYFUNCTION("""COMPUTED_VALUE"""),0.0)</f>
        <v>0</v>
      </c>
      <c r="D4805" s="8"/>
    </row>
    <row r="4806">
      <c r="A4806" s="9" t="str">
        <f>IFERROR(__xludf.DUMMYFUNCTION("""COMPUTED_VALUE"""),"Batch 265")</f>
        <v>Batch 265</v>
      </c>
      <c r="B4806" s="9" t="str">
        <f>IFERROR(__xludf.DUMMYFUNCTION("""COMPUTED_VALUE"""),"KrishaC65")</f>
        <v>KrishaC65</v>
      </c>
      <c r="C4806" s="8">
        <f>IFERROR(__xludf.DUMMYFUNCTION("""COMPUTED_VALUE"""),0.0)</f>
        <v>0</v>
      </c>
      <c r="D4806" s="8"/>
    </row>
    <row r="4807">
      <c r="A4807" s="9" t="str">
        <f>IFERROR(__xludf.DUMMYFUNCTION("""COMPUTED_VALUE"""),"Batch 265")</f>
        <v>Batch 265</v>
      </c>
      <c r="B4807" s="9" t="str">
        <f>IFERROR(__xludf.DUMMYFUNCTION("""COMPUTED_VALUE"""),"AayushC65")</f>
        <v>AayushC65</v>
      </c>
      <c r="C4807" s="8">
        <f>IFERROR(__xludf.DUMMYFUNCTION("""COMPUTED_VALUE"""),0.0)</f>
        <v>0</v>
      </c>
      <c r="D4807" s="8"/>
    </row>
    <row r="4808">
      <c r="A4808" s="9" t="str">
        <f>IFERROR(__xludf.DUMMYFUNCTION("""COMPUTED_VALUE"""),"Batch 265")</f>
        <v>Batch 265</v>
      </c>
      <c r="B4808" s="9" t="str">
        <f>IFERROR(__xludf.DUMMYFUNCTION("""COMPUTED_VALUE"""),"SreeC65")</f>
        <v>SreeC65</v>
      </c>
      <c r="C4808" s="8">
        <f>IFERROR(__xludf.DUMMYFUNCTION("""COMPUTED_VALUE"""),0.0)</f>
        <v>0</v>
      </c>
      <c r="D4808" s="8"/>
    </row>
    <row r="4809">
      <c r="A4809" s="9" t="str">
        <f>IFERROR(__xludf.DUMMYFUNCTION("""COMPUTED_VALUE"""),"Batch 265")</f>
        <v>Batch 265</v>
      </c>
      <c r="B4809" s="9" t="str">
        <f>IFERROR(__xludf.DUMMYFUNCTION("""COMPUTED_VALUE"""),"DhairyaC65")</f>
        <v>DhairyaC65</v>
      </c>
      <c r="C4809" s="8">
        <f>IFERROR(__xludf.DUMMYFUNCTION("""COMPUTED_VALUE"""),2.0)</f>
        <v>2</v>
      </c>
      <c r="D4809" s="8"/>
    </row>
    <row r="4810">
      <c r="A4810" s="9" t="str">
        <f>IFERROR(__xludf.DUMMYFUNCTION("""COMPUTED_VALUE"""),"Batch 265")</f>
        <v>Batch 265</v>
      </c>
      <c r="B4810" s="9" t="str">
        <f>IFERROR(__xludf.DUMMYFUNCTION("""COMPUTED_VALUE"""),"RaparthiC65")</f>
        <v>RaparthiC65</v>
      </c>
      <c r="C4810" s="8">
        <f>IFERROR(__xludf.DUMMYFUNCTION("""COMPUTED_VALUE"""),0.0)</f>
        <v>0</v>
      </c>
      <c r="D4810" s="8"/>
    </row>
    <row r="4811">
      <c r="A4811" s="9" t="str">
        <f>IFERROR(__xludf.DUMMYFUNCTION("""COMPUTED_VALUE"""),"Batch 265")</f>
        <v>Batch 265</v>
      </c>
      <c r="B4811" s="9" t="str">
        <f>IFERROR(__xludf.DUMMYFUNCTION("""COMPUTED_VALUE"""),"AbhinandanC65")</f>
        <v>AbhinandanC65</v>
      </c>
      <c r="C4811" s="8">
        <f>IFERROR(__xludf.DUMMYFUNCTION("""COMPUTED_VALUE"""),0.0)</f>
        <v>0</v>
      </c>
      <c r="D4811" s="8"/>
    </row>
    <row r="4812">
      <c r="A4812" s="9" t="str">
        <f>IFERROR(__xludf.DUMMYFUNCTION("""COMPUTED_VALUE"""),"Batch 265")</f>
        <v>Batch 265</v>
      </c>
      <c r="B4812" s="9" t="str">
        <f>IFERROR(__xludf.DUMMYFUNCTION("""COMPUTED_VALUE"""),"VidhiC65")</f>
        <v>VidhiC65</v>
      </c>
      <c r="C4812" s="8">
        <f>IFERROR(__xludf.DUMMYFUNCTION("""COMPUTED_VALUE"""),0.0)</f>
        <v>0</v>
      </c>
      <c r="D4812" s="8"/>
    </row>
    <row r="4813">
      <c r="A4813" s="9" t="str">
        <f>IFERROR(__xludf.DUMMYFUNCTION("""COMPUTED_VALUE"""),"Batch 265")</f>
        <v>Batch 265</v>
      </c>
      <c r="B4813" s="9" t="str">
        <f>IFERROR(__xludf.DUMMYFUNCTION("""COMPUTED_VALUE"""),"SomyaC65")</f>
        <v>SomyaC65</v>
      </c>
      <c r="C4813" s="8">
        <f>IFERROR(__xludf.DUMMYFUNCTION("""COMPUTED_VALUE"""),0.0)</f>
        <v>0</v>
      </c>
      <c r="D4813" s="8"/>
    </row>
    <row r="4814">
      <c r="A4814" s="9" t="str">
        <f>IFERROR(__xludf.DUMMYFUNCTION("""COMPUTED_VALUE"""),"Batch 265")</f>
        <v>Batch 265</v>
      </c>
      <c r="B4814" s="9" t="str">
        <f>IFERROR(__xludf.DUMMYFUNCTION("""COMPUTED_VALUE"""),"BharatC65")</f>
        <v>BharatC65</v>
      </c>
      <c r="C4814" s="8">
        <f>IFERROR(__xludf.DUMMYFUNCTION("""COMPUTED_VALUE"""),0.0)</f>
        <v>0</v>
      </c>
      <c r="D4814" s="8"/>
    </row>
    <row r="4815">
      <c r="A4815" s="9" t="str">
        <f>IFERROR(__xludf.DUMMYFUNCTION("""COMPUTED_VALUE"""),"Batch 265")</f>
        <v>Batch 265</v>
      </c>
      <c r="B4815" s="9" t="str">
        <f>IFERROR(__xludf.DUMMYFUNCTION("""COMPUTED_VALUE"""),"SurajC65")</f>
        <v>SurajC65</v>
      </c>
      <c r="C4815" s="8">
        <f>IFERROR(__xludf.DUMMYFUNCTION("""COMPUTED_VALUE"""),0.0)</f>
        <v>0</v>
      </c>
      <c r="D4815" s="8"/>
    </row>
    <row r="4816">
      <c r="A4816" s="9" t="str">
        <f>IFERROR(__xludf.DUMMYFUNCTION("""COMPUTED_VALUE"""),"Batch 265")</f>
        <v>Batch 265</v>
      </c>
      <c r="B4816" s="9" t="str">
        <f>IFERROR(__xludf.DUMMYFUNCTION("""COMPUTED_VALUE"""),"KC65")</f>
        <v>KC65</v>
      </c>
      <c r="C4816" s="8">
        <f>IFERROR(__xludf.DUMMYFUNCTION("""COMPUTED_VALUE"""),0.0)</f>
        <v>0</v>
      </c>
      <c r="D4816" s="8"/>
    </row>
    <row r="4817">
      <c r="A4817" s="9" t="str">
        <f>IFERROR(__xludf.DUMMYFUNCTION("""COMPUTED_VALUE"""),"Batch 265")</f>
        <v>Batch 265</v>
      </c>
      <c r="B4817" s="9" t="str">
        <f>IFERROR(__xludf.DUMMYFUNCTION("""COMPUTED_VALUE"""),"JaiC65")</f>
        <v>JaiC65</v>
      </c>
      <c r="C4817" s="8">
        <f>IFERROR(__xludf.DUMMYFUNCTION("""COMPUTED_VALUE"""),0.0)</f>
        <v>0</v>
      </c>
      <c r="D4817" s="8"/>
    </row>
    <row r="4818">
      <c r="A4818" s="9" t="str">
        <f>IFERROR(__xludf.DUMMYFUNCTION("""COMPUTED_VALUE"""),"Batch 265")</f>
        <v>Batch 265</v>
      </c>
      <c r="B4818" s="9" t="str">
        <f>IFERROR(__xludf.DUMMYFUNCTION("""COMPUTED_VALUE"""),"GauravC65")</f>
        <v>GauravC65</v>
      </c>
      <c r="C4818" s="8">
        <f>IFERROR(__xludf.DUMMYFUNCTION("""COMPUTED_VALUE"""),0.0)</f>
        <v>0</v>
      </c>
      <c r="D4818" s="8"/>
    </row>
    <row r="4819">
      <c r="A4819" s="9" t="str">
        <f>IFERROR(__xludf.DUMMYFUNCTION("""COMPUTED_VALUE"""),"Batch 265")</f>
        <v>Batch 265</v>
      </c>
      <c r="B4819" s="9" t="str">
        <f>IFERROR(__xludf.DUMMYFUNCTION("""COMPUTED_VALUE"""),"RitikaC65")</f>
        <v>RitikaC65</v>
      </c>
      <c r="C4819" s="8">
        <f>IFERROR(__xludf.DUMMYFUNCTION("""COMPUTED_VALUE"""),0.0)</f>
        <v>0</v>
      </c>
      <c r="D4819" s="8"/>
    </row>
    <row r="4820">
      <c r="A4820" s="9" t="str">
        <f>IFERROR(__xludf.DUMMYFUNCTION("""COMPUTED_VALUE"""),"Batch 265")</f>
        <v>Batch 265</v>
      </c>
      <c r="B4820" s="9" t="str">
        <f>IFERROR(__xludf.DUMMYFUNCTION("""COMPUTED_VALUE"""),"PrasuniC65")</f>
        <v>PrasuniC65</v>
      </c>
      <c r="C4820" s="8">
        <f>IFERROR(__xludf.DUMMYFUNCTION("""COMPUTED_VALUE"""),0.0)</f>
        <v>0</v>
      </c>
      <c r="D4820" s="8"/>
    </row>
    <row r="4821">
      <c r="A4821" s="9" t="str">
        <f>IFERROR(__xludf.DUMMYFUNCTION("""COMPUTED_VALUE"""),"Batch 265")</f>
        <v>Batch 265</v>
      </c>
      <c r="B4821" s="9" t="str">
        <f>IFERROR(__xludf.DUMMYFUNCTION("""COMPUTED_VALUE"""),"JeetC65")</f>
        <v>JeetC65</v>
      </c>
      <c r="C4821" s="8">
        <f>IFERROR(__xludf.DUMMYFUNCTION("""COMPUTED_VALUE"""),0.0)</f>
        <v>0</v>
      </c>
      <c r="D4821" s="8"/>
    </row>
    <row r="4822">
      <c r="A4822" s="9" t="str">
        <f>IFERROR(__xludf.DUMMYFUNCTION("""COMPUTED_VALUE"""),"Batch 265")</f>
        <v>Batch 265</v>
      </c>
      <c r="B4822" s="9" t="str">
        <f>IFERROR(__xludf.DUMMYFUNCTION("""COMPUTED_VALUE"""),"YashC65")</f>
        <v>YashC65</v>
      </c>
      <c r="C4822" s="8">
        <f>IFERROR(__xludf.DUMMYFUNCTION("""COMPUTED_VALUE"""),0.0)</f>
        <v>0</v>
      </c>
      <c r="D4822" s="8"/>
    </row>
    <row r="4823">
      <c r="A4823" s="9"/>
      <c r="B4823" s="9"/>
      <c r="C4823" s="8">
        <f>IFERROR(__xludf.DUMMYFUNCTION("""COMPUTED_VALUE"""),0.0)</f>
        <v>0</v>
      </c>
      <c r="D4823" s="8"/>
    </row>
    <row r="4824">
      <c r="A4824" s="9" t="str">
        <f>IFERROR(__xludf.DUMMYFUNCTION("""COMPUTED_VALUE"""),"Batch 266")</f>
        <v>Batch 266</v>
      </c>
      <c r="B4824" s="9" t="str">
        <f>IFERROR(__xludf.DUMMYFUNCTION("""COMPUTED_VALUE"""),"MeethileshC66")</f>
        <v>MeethileshC66</v>
      </c>
      <c r="C4824" s="8">
        <f>IFERROR(__xludf.DUMMYFUNCTION("""COMPUTED_VALUE"""),0.0)</f>
        <v>0</v>
      </c>
      <c r="D4824" s="8"/>
    </row>
    <row r="4825">
      <c r="A4825" s="9" t="str">
        <f>IFERROR(__xludf.DUMMYFUNCTION("""COMPUTED_VALUE"""),"Batch 266")</f>
        <v>Batch 266</v>
      </c>
      <c r="B4825" s="9" t="str">
        <f>IFERROR(__xludf.DUMMYFUNCTION("""COMPUTED_VALUE"""),"AsthaC66")</f>
        <v>AsthaC66</v>
      </c>
      <c r="C4825" s="8">
        <f>IFERROR(__xludf.DUMMYFUNCTION("""COMPUTED_VALUE"""),0.0)</f>
        <v>0</v>
      </c>
      <c r="D4825" s="8"/>
    </row>
    <row r="4826">
      <c r="A4826" s="9" t="str">
        <f>IFERROR(__xludf.DUMMYFUNCTION("""COMPUTED_VALUE"""),"Batch 266")</f>
        <v>Batch 266</v>
      </c>
      <c r="B4826" s="9" t="str">
        <f>IFERROR(__xludf.DUMMYFUNCTION("""COMPUTED_VALUE"""),"DebjaniC66")</f>
        <v>DebjaniC66</v>
      </c>
      <c r="C4826" s="8">
        <f>IFERROR(__xludf.DUMMYFUNCTION("""COMPUTED_VALUE"""),0.0)</f>
        <v>0</v>
      </c>
      <c r="D4826" s="8"/>
    </row>
    <row r="4827">
      <c r="A4827" s="9" t="str">
        <f>IFERROR(__xludf.DUMMYFUNCTION("""COMPUTED_VALUE"""),"Batch 266")</f>
        <v>Batch 266</v>
      </c>
      <c r="B4827" s="9" t="str">
        <f>IFERROR(__xludf.DUMMYFUNCTION("""COMPUTED_VALUE"""),"VaibhavC66")</f>
        <v>VaibhavC66</v>
      </c>
      <c r="C4827" s="8">
        <f>IFERROR(__xludf.DUMMYFUNCTION("""COMPUTED_VALUE"""),0.0)</f>
        <v>0</v>
      </c>
      <c r="D4827" s="8"/>
    </row>
    <row r="4828">
      <c r="A4828" s="9" t="str">
        <f>IFERROR(__xludf.DUMMYFUNCTION("""COMPUTED_VALUE"""),"Batch 266")</f>
        <v>Batch 266</v>
      </c>
      <c r="B4828" s="9" t="str">
        <f>IFERROR(__xludf.DUMMYFUNCTION("""COMPUTED_VALUE"""),"SudeepC66")</f>
        <v>SudeepC66</v>
      </c>
      <c r="C4828" s="8">
        <f>IFERROR(__xludf.DUMMYFUNCTION("""COMPUTED_VALUE"""),0.0)</f>
        <v>0</v>
      </c>
      <c r="D4828" s="8"/>
    </row>
    <row r="4829">
      <c r="A4829" s="9" t="str">
        <f>IFERROR(__xludf.DUMMYFUNCTION("""COMPUTED_VALUE"""),"Batch 266")</f>
        <v>Batch 266</v>
      </c>
      <c r="B4829" s="9" t="str">
        <f>IFERROR(__xludf.DUMMYFUNCTION("""COMPUTED_VALUE"""),"sagarC66")</f>
        <v>sagarC66</v>
      </c>
      <c r="C4829" s="8">
        <f>IFERROR(__xludf.DUMMYFUNCTION("""COMPUTED_VALUE"""),0.0)</f>
        <v>0</v>
      </c>
      <c r="D4829" s="8"/>
    </row>
    <row r="4830">
      <c r="A4830" s="9" t="str">
        <f>IFERROR(__xludf.DUMMYFUNCTION("""COMPUTED_VALUE"""),"Batch 266")</f>
        <v>Batch 266</v>
      </c>
      <c r="B4830" s="9" t="str">
        <f>IFERROR(__xludf.DUMMYFUNCTION("""COMPUTED_VALUE"""),"YuvrajC66")</f>
        <v>YuvrajC66</v>
      </c>
      <c r="C4830" s="8">
        <f>IFERROR(__xludf.DUMMYFUNCTION("""COMPUTED_VALUE"""),0.0)</f>
        <v>0</v>
      </c>
      <c r="D4830" s="8"/>
    </row>
    <row r="4831">
      <c r="A4831" s="9" t="str">
        <f>IFERROR(__xludf.DUMMYFUNCTION("""COMPUTED_VALUE"""),"Batch 266")</f>
        <v>Batch 266</v>
      </c>
      <c r="B4831" s="9" t="str">
        <f>IFERROR(__xludf.DUMMYFUNCTION("""COMPUTED_VALUE"""),"KirtiC66")</f>
        <v>KirtiC66</v>
      </c>
      <c r="C4831" s="8">
        <f>IFERROR(__xludf.DUMMYFUNCTION("""COMPUTED_VALUE"""),32.0)</f>
        <v>32</v>
      </c>
      <c r="D4831" s="8">
        <f>IFERROR(__xludf.DUMMYFUNCTION("""COMPUTED_VALUE"""),5.0)</f>
        <v>5</v>
      </c>
    </row>
    <row r="4832">
      <c r="A4832" s="9" t="str">
        <f>IFERROR(__xludf.DUMMYFUNCTION("""COMPUTED_VALUE"""),"Batch 266")</f>
        <v>Batch 266</v>
      </c>
      <c r="B4832" s="9" t="str">
        <f>IFERROR(__xludf.DUMMYFUNCTION("""COMPUTED_VALUE"""),"MohammedC66")</f>
        <v>MohammedC66</v>
      </c>
      <c r="C4832" s="8">
        <f>IFERROR(__xludf.DUMMYFUNCTION("""COMPUTED_VALUE"""),0.0)</f>
        <v>0</v>
      </c>
      <c r="D4832" s="8"/>
    </row>
    <row r="4833">
      <c r="A4833" s="9" t="str">
        <f>IFERROR(__xludf.DUMMYFUNCTION("""COMPUTED_VALUE"""),"Batch 266")</f>
        <v>Batch 266</v>
      </c>
      <c r="B4833" s="9" t="str">
        <f>IFERROR(__xludf.DUMMYFUNCTION("""COMPUTED_VALUE"""),"DipanshiC66")</f>
        <v>DipanshiC66</v>
      </c>
      <c r="C4833" s="8">
        <f>IFERROR(__xludf.DUMMYFUNCTION("""COMPUTED_VALUE"""),0.0)</f>
        <v>0</v>
      </c>
      <c r="D4833" s="8"/>
    </row>
    <row r="4834">
      <c r="A4834" s="9" t="str">
        <f>IFERROR(__xludf.DUMMYFUNCTION("""COMPUTED_VALUE"""),"Batch 266")</f>
        <v>Batch 266</v>
      </c>
      <c r="B4834" s="9" t="str">
        <f>IFERROR(__xludf.DUMMYFUNCTION("""COMPUTED_VALUE"""),"MuradiC66")</f>
        <v>MuradiC66</v>
      </c>
      <c r="C4834" s="8">
        <f>IFERROR(__xludf.DUMMYFUNCTION("""COMPUTED_VALUE"""),0.0)</f>
        <v>0</v>
      </c>
      <c r="D4834" s="8"/>
    </row>
    <row r="4835">
      <c r="A4835" s="9" t="str">
        <f>IFERROR(__xludf.DUMMYFUNCTION("""COMPUTED_VALUE"""),"Batch 266")</f>
        <v>Batch 266</v>
      </c>
      <c r="B4835" s="9" t="str">
        <f>IFERROR(__xludf.DUMMYFUNCTION("""COMPUTED_VALUE"""),"SamridhiC66")</f>
        <v>SamridhiC66</v>
      </c>
      <c r="C4835" s="8">
        <f>IFERROR(__xludf.DUMMYFUNCTION("""COMPUTED_VALUE"""),2.0)</f>
        <v>2</v>
      </c>
      <c r="D4835" s="8">
        <f>IFERROR(__xludf.DUMMYFUNCTION("""COMPUTED_VALUE"""),1.0)</f>
        <v>1</v>
      </c>
    </row>
    <row r="4836">
      <c r="A4836" s="9" t="str">
        <f>IFERROR(__xludf.DUMMYFUNCTION("""COMPUTED_VALUE"""),"Batch 266")</f>
        <v>Batch 266</v>
      </c>
      <c r="B4836" s="9" t="str">
        <f>IFERROR(__xludf.DUMMYFUNCTION("""COMPUTED_VALUE"""),"Naresh.SC66")</f>
        <v>Naresh.SC66</v>
      </c>
      <c r="C4836" s="8">
        <f>IFERROR(__xludf.DUMMYFUNCTION("""COMPUTED_VALUE"""),0.0)</f>
        <v>0</v>
      </c>
      <c r="D4836" s="8"/>
    </row>
    <row r="4837">
      <c r="A4837" s="9" t="str">
        <f>IFERROR(__xludf.DUMMYFUNCTION("""COMPUTED_VALUE"""),"Batch 266")</f>
        <v>Batch 266</v>
      </c>
      <c r="B4837" s="9" t="str">
        <f>IFERROR(__xludf.DUMMYFUNCTION("""COMPUTED_VALUE"""),"AkhilaC66")</f>
        <v>AkhilaC66</v>
      </c>
      <c r="C4837" s="8">
        <f>IFERROR(__xludf.DUMMYFUNCTION("""COMPUTED_VALUE"""),0.0)</f>
        <v>0</v>
      </c>
      <c r="D4837" s="8"/>
    </row>
    <row r="4838">
      <c r="A4838" s="9" t="str">
        <f>IFERROR(__xludf.DUMMYFUNCTION("""COMPUTED_VALUE"""),"Batch 266")</f>
        <v>Batch 266</v>
      </c>
      <c r="B4838" s="9" t="str">
        <f>IFERROR(__xludf.DUMMYFUNCTION("""COMPUTED_VALUE"""),"MohitC66")</f>
        <v>MohitC66</v>
      </c>
      <c r="C4838" s="8">
        <f>IFERROR(__xludf.DUMMYFUNCTION("""COMPUTED_VALUE"""),0.0)</f>
        <v>0</v>
      </c>
      <c r="D4838" s="8"/>
    </row>
    <row r="4839">
      <c r="A4839" s="9" t="str">
        <f>IFERROR(__xludf.DUMMYFUNCTION("""COMPUTED_VALUE"""),"Batch 266")</f>
        <v>Batch 266</v>
      </c>
      <c r="B4839" s="9" t="str">
        <f>IFERROR(__xludf.DUMMYFUNCTION("""COMPUTED_VALUE"""),"VidhiC66")</f>
        <v>VidhiC66</v>
      </c>
      <c r="C4839" s="8">
        <f>IFERROR(__xludf.DUMMYFUNCTION("""COMPUTED_VALUE"""),0.0)</f>
        <v>0</v>
      </c>
      <c r="D4839" s="8"/>
    </row>
    <row r="4840">
      <c r="A4840" s="9" t="str">
        <f>IFERROR(__xludf.DUMMYFUNCTION("""COMPUTED_VALUE"""),"Batch 266")</f>
        <v>Batch 266</v>
      </c>
      <c r="B4840" s="9" t="str">
        <f>IFERROR(__xludf.DUMMYFUNCTION("""COMPUTED_VALUE"""),"TriptiC66")</f>
        <v>TriptiC66</v>
      </c>
      <c r="C4840" s="8">
        <f>IFERROR(__xludf.DUMMYFUNCTION("""COMPUTED_VALUE"""),0.0)</f>
        <v>0</v>
      </c>
      <c r="D4840" s="8"/>
    </row>
    <row r="4841">
      <c r="A4841" s="9" t="str">
        <f>IFERROR(__xludf.DUMMYFUNCTION("""COMPUTED_VALUE"""),"Batch 266")</f>
        <v>Batch 266</v>
      </c>
      <c r="B4841" s="9" t="str">
        <f>IFERROR(__xludf.DUMMYFUNCTION("""COMPUTED_VALUE"""),"JineshC66")</f>
        <v>JineshC66</v>
      </c>
      <c r="C4841" s="8">
        <f>IFERROR(__xludf.DUMMYFUNCTION("""COMPUTED_VALUE"""),0.0)</f>
        <v>0</v>
      </c>
      <c r="D4841" s="8"/>
    </row>
    <row r="4842">
      <c r="A4842" s="9" t="str">
        <f>IFERROR(__xludf.DUMMYFUNCTION("""COMPUTED_VALUE"""),"Batch 266")</f>
        <v>Batch 266</v>
      </c>
      <c r="B4842" s="9" t="str">
        <f>IFERROR(__xludf.DUMMYFUNCTION("""COMPUTED_VALUE"""),"RiteshC66")</f>
        <v>RiteshC66</v>
      </c>
      <c r="C4842" s="8">
        <f>IFERROR(__xludf.DUMMYFUNCTION("""COMPUTED_VALUE"""),0.0)</f>
        <v>0</v>
      </c>
      <c r="D4842" s="8"/>
    </row>
    <row r="4843">
      <c r="A4843" s="9" t="str">
        <f>IFERROR(__xludf.DUMMYFUNCTION("""COMPUTED_VALUE"""),"Batch 266")</f>
        <v>Batch 266</v>
      </c>
      <c r="B4843" s="9" t="str">
        <f>IFERROR(__xludf.DUMMYFUNCTION("""COMPUTED_VALUE"""),"LaxmiC66")</f>
        <v>LaxmiC66</v>
      </c>
      <c r="C4843" s="8">
        <f>IFERROR(__xludf.DUMMYFUNCTION("""COMPUTED_VALUE"""),0.0)</f>
        <v>0</v>
      </c>
      <c r="D4843" s="8"/>
    </row>
    <row r="4844">
      <c r="A4844" s="9" t="str">
        <f>IFERROR(__xludf.DUMMYFUNCTION("""COMPUTED_VALUE"""),"Batch 266")</f>
        <v>Batch 266</v>
      </c>
      <c r="B4844" s="9" t="str">
        <f>IFERROR(__xludf.DUMMYFUNCTION("""COMPUTED_VALUE"""),"AyushC66")</f>
        <v>AyushC66</v>
      </c>
      <c r="C4844" s="8">
        <f>IFERROR(__xludf.DUMMYFUNCTION("""COMPUTED_VALUE"""),0.0)</f>
        <v>0</v>
      </c>
      <c r="D4844" s="8"/>
    </row>
    <row r="4845">
      <c r="A4845" s="9" t="str">
        <f>IFERROR(__xludf.DUMMYFUNCTION("""COMPUTED_VALUE"""),"Batch 266")</f>
        <v>Batch 266</v>
      </c>
      <c r="B4845" s="9" t="str">
        <f>IFERROR(__xludf.DUMMYFUNCTION("""COMPUTED_VALUE"""),"AanyaC66")</f>
        <v>AanyaC66</v>
      </c>
      <c r="C4845" s="8">
        <f>IFERROR(__xludf.DUMMYFUNCTION("""COMPUTED_VALUE"""),0.0)</f>
        <v>0</v>
      </c>
      <c r="D4845" s="8"/>
    </row>
    <row r="4846">
      <c r="A4846" s="9" t="str">
        <f>IFERROR(__xludf.DUMMYFUNCTION("""COMPUTED_VALUE"""),"Batch 266")</f>
        <v>Batch 266</v>
      </c>
      <c r="B4846" s="9" t="str">
        <f>IFERROR(__xludf.DUMMYFUNCTION("""COMPUTED_VALUE"""),"PeehuC66")</f>
        <v>PeehuC66</v>
      </c>
      <c r="C4846" s="8">
        <f>IFERROR(__xludf.DUMMYFUNCTION("""COMPUTED_VALUE"""),0.0)</f>
        <v>0</v>
      </c>
      <c r="D4846" s="8"/>
    </row>
    <row r="4847">
      <c r="A4847" s="9"/>
      <c r="B4847" s="9"/>
      <c r="C4847" s="8">
        <f>IFERROR(__xludf.DUMMYFUNCTION("""COMPUTED_VALUE"""),0.0)</f>
        <v>0</v>
      </c>
      <c r="D4847" s="8"/>
    </row>
    <row r="4848">
      <c r="A4848" s="9" t="str">
        <f>IFERROR(__xludf.DUMMYFUNCTION("""COMPUTED_VALUE"""),"Batch 267")</f>
        <v>Batch 267</v>
      </c>
      <c r="B4848" s="9" t="str">
        <f>IFERROR(__xludf.DUMMYFUNCTION("""COMPUTED_VALUE"""),"SurajC67")</f>
        <v>SurajC67</v>
      </c>
      <c r="C4848" s="8">
        <f>IFERROR(__xludf.DUMMYFUNCTION("""COMPUTED_VALUE"""),0.0)</f>
        <v>0</v>
      </c>
      <c r="D4848" s="8"/>
    </row>
    <row r="4849">
      <c r="A4849" s="9" t="str">
        <f>IFERROR(__xludf.DUMMYFUNCTION("""COMPUTED_VALUE"""),"Batch 267")</f>
        <v>Batch 267</v>
      </c>
      <c r="B4849" s="9" t="str">
        <f>IFERROR(__xludf.DUMMYFUNCTION("""COMPUTED_VALUE"""),"WassefC67")</f>
        <v>WassefC67</v>
      </c>
      <c r="C4849" s="8">
        <f>IFERROR(__xludf.DUMMYFUNCTION("""COMPUTED_VALUE"""),0.0)</f>
        <v>0</v>
      </c>
      <c r="D4849" s="8"/>
    </row>
    <row r="4850">
      <c r="A4850" s="9" t="str">
        <f>IFERROR(__xludf.DUMMYFUNCTION("""COMPUTED_VALUE"""),"Batch 267")</f>
        <v>Batch 267</v>
      </c>
      <c r="B4850" s="9" t="str">
        <f>IFERROR(__xludf.DUMMYFUNCTION("""COMPUTED_VALUE"""),"GurleenC67")</f>
        <v>GurleenC67</v>
      </c>
      <c r="C4850" s="8">
        <f>IFERROR(__xludf.DUMMYFUNCTION("""COMPUTED_VALUE"""),10.0)</f>
        <v>10</v>
      </c>
      <c r="D4850" s="8">
        <f>IFERROR(__xludf.DUMMYFUNCTION("""COMPUTED_VALUE"""),1.0)</f>
        <v>1</v>
      </c>
    </row>
    <row r="4851">
      <c r="A4851" s="9" t="str">
        <f>IFERROR(__xludf.DUMMYFUNCTION("""COMPUTED_VALUE"""),"Batch 267")</f>
        <v>Batch 267</v>
      </c>
      <c r="B4851" s="9" t="str">
        <f>IFERROR(__xludf.DUMMYFUNCTION("""COMPUTED_VALUE"""),"LovishC67")</f>
        <v>LovishC67</v>
      </c>
      <c r="C4851" s="8">
        <f>IFERROR(__xludf.DUMMYFUNCTION("""COMPUTED_VALUE"""),0.0)</f>
        <v>0</v>
      </c>
      <c r="D4851" s="8"/>
    </row>
    <row r="4852">
      <c r="A4852" s="9" t="str">
        <f>IFERROR(__xludf.DUMMYFUNCTION("""COMPUTED_VALUE"""),"Batch 267")</f>
        <v>Batch 267</v>
      </c>
      <c r="B4852" s="9" t="str">
        <f>IFERROR(__xludf.DUMMYFUNCTION("""COMPUTED_VALUE"""),"ShivomC67")</f>
        <v>ShivomC67</v>
      </c>
      <c r="C4852" s="8">
        <f>IFERROR(__xludf.DUMMYFUNCTION("""COMPUTED_VALUE"""),3.0)</f>
        <v>3</v>
      </c>
      <c r="D4852" s="8"/>
    </row>
    <row r="4853">
      <c r="A4853" s="9" t="str">
        <f>IFERROR(__xludf.DUMMYFUNCTION("""COMPUTED_VALUE"""),"Batch 267")</f>
        <v>Batch 267</v>
      </c>
      <c r="B4853" s="9" t="str">
        <f>IFERROR(__xludf.DUMMYFUNCTION("""COMPUTED_VALUE"""),"LANKALAPALLIC67")</f>
        <v>LANKALAPALLIC67</v>
      </c>
      <c r="C4853" s="8">
        <f>IFERROR(__xludf.DUMMYFUNCTION("""COMPUTED_VALUE"""),0.0)</f>
        <v>0</v>
      </c>
      <c r="D4853" s="8"/>
    </row>
    <row r="4854">
      <c r="A4854" s="9" t="str">
        <f>IFERROR(__xludf.DUMMYFUNCTION("""COMPUTED_VALUE"""),"Batch 267")</f>
        <v>Batch 267</v>
      </c>
      <c r="B4854" s="9" t="str">
        <f>IFERROR(__xludf.DUMMYFUNCTION("""COMPUTED_VALUE"""),"ManishaC67")</f>
        <v>ManishaC67</v>
      </c>
      <c r="C4854" s="8">
        <f>IFERROR(__xludf.DUMMYFUNCTION("""COMPUTED_VALUE"""),0.0)</f>
        <v>0</v>
      </c>
      <c r="D4854" s="8"/>
    </row>
    <row r="4855">
      <c r="A4855" s="9" t="str">
        <f>IFERROR(__xludf.DUMMYFUNCTION("""COMPUTED_VALUE"""),"Batch 267")</f>
        <v>Batch 267</v>
      </c>
      <c r="B4855" s="9" t="str">
        <f>IFERROR(__xludf.DUMMYFUNCTION("""COMPUTED_VALUE"""),"AnshuC67")</f>
        <v>AnshuC67</v>
      </c>
      <c r="C4855" s="8">
        <f>IFERROR(__xludf.DUMMYFUNCTION("""COMPUTED_VALUE"""),0.0)</f>
        <v>0</v>
      </c>
      <c r="D4855" s="8"/>
    </row>
    <row r="4856">
      <c r="A4856" s="9" t="str">
        <f>IFERROR(__xludf.DUMMYFUNCTION("""COMPUTED_VALUE"""),"Batch 267")</f>
        <v>Batch 267</v>
      </c>
      <c r="B4856" s="9" t="str">
        <f>IFERROR(__xludf.DUMMYFUNCTION("""COMPUTED_VALUE"""),"DiyaC67")</f>
        <v>DiyaC67</v>
      </c>
      <c r="C4856" s="8">
        <f>IFERROR(__xludf.DUMMYFUNCTION("""COMPUTED_VALUE"""),0.0)</f>
        <v>0</v>
      </c>
      <c r="D4856" s="8"/>
    </row>
    <row r="4857">
      <c r="A4857" s="9" t="str">
        <f>IFERROR(__xludf.DUMMYFUNCTION("""COMPUTED_VALUE"""),"Batch 267")</f>
        <v>Batch 267</v>
      </c>
      <c r="B4857" s="9" t="str">
        <f>IFERROR(__xludf.DUMMYFUNCTION("""COMPUTED_VALUE"""),"Darsh.k.sidhaniC67")</f>
        <v>Darsh.k.sidhaniC67</v>
      </c>
      <c r="C4857" s="8">
        <f>IFERROR(__xludf.DUMMYFUNCTION("""COMPUTED_VALUE"""),0.0)</f>
        <v>0</v>
      </c>
      <c r="D4857" s="8"/>
    </row>
    <row r="4858">
      <c r="A4858" s="9" t="str">
        <f>IFERROR(__xludf.DUMMYFUNCTION("""COMPUTED_VALUE"""),"Batch 267")</f>
        <v>Batch 267</v>
      </c>
      <c r="B4858" s="9" t="str">
        <f>IFERROR(__xludf.DUMMYFUNCTION("""COMPUTED_VALUE"""),"HimadriC67")</f>
        <v>HimadriC67</v>
      </c>
      <c r="C4858" s="8">
        <f>IFERROR(__xludf.DUMMYFUNCTION("""COMPUTED_VALUE"""),0.0)</f>
        <v>0</v>
      </c>
      <c r="D4858" s="8"/>
    </row>
    <row r="4859">
      <c r="A4859" s="9" t="str">
        <f>IFERROR(__xludf.DUMMYFUNCTION("""COMPUTED_VALUE"""),"Batch 267")</f>
        <v>Batch 267</v>
      </c>
      <c r="B4859" s="9" t="str">
        <f>IFERROR(__xludf.DUMMYFUNCTION("""COMPUTED_VALUE"""),"MohsinC67")</f>
        <v>MohsinC67</v>
      </c>
      <c r="C4859" s="8">
        <f>IFERROR(__xludf.DUMMYFUNCTION("""COMPUTED_VALUE"""),0.0)</f>
        <v>0</v>
      </c>
      <c r="D4859" s="8"/>
    </row>
    <row r="4860">
      <c r="A4860" s="9" t="str">
        <f>IFERROR(__xludf.DUMMYFUNCTION("""COMPUTED_VALUE"""),"Batch 267")</f>
        <v>Batch 267</v>
      </c>
      <c r="B4860" s="9" t="str">
        <f>IFERROR(__xludf.DUMMYFUNCTION("""COMPUTED_VALUE"""),"PihooC67")</f>
        <v>PihooC67</v>
      </c>
      <c r="C4860" s="8">
        <f>IFERROR(__xludf.DUMMYFUNCTION("""COMPUTED_VALUE"""),2.0)</f>
        <v>2</v>
      </c>
      <c r="D4860" s="8"/>
    </row>
    <row r="4861">
      <c r="A4861" s="9" t="str">
        <f>IFERROR(__xludf.DUMMYFUNCTION("""COMPUTED_VALUE"""),"Batch 267")</f>
        <v>Batch 267</v>
      </c>
      <c r="B4861" s="9" t="str">
        <f>IFERROR(__xludf.DUMMYFUNCTION("""COMPUTED_VALUE"""),"ArpanC67")</f>
        <v>ArpanC67</v>
      </c>
      <c r="C4861" s="8">
        <f>IFERROR(__xludf.DUMMYFUNCTION("""COMPUTED_VALUE"""),0.0)</f>
        <v>0</v>
      </c>
      <c r="D4861" s="8"/>
    </row>
    <row r="4862">
      <c r="A4862" s="9" t="str">
        <f>IFERROR(__xludf.DUMMYFUNCTION("""COMPUTED_VALUE"""),"Batch 267")</f>
        <v>Batch 267</v>
      </c>
      <c r="B4862" s="9" t="str">
        <f>IFERROR(__xludf.DUMMYFUNCTION("""COMPUTED_VALUE"""),"ManviC67")</f>
        <v>ManviC67</v>
      </c>
      <c r="C4862" s="8">
        <f>IFERROR(__xludf.DUMMYFUNCTION("""COMPUTED_VALUE"""),0.0)</f>
        <v>0</v>
      </c>
      <c r="D4862" s="8"/>
    </row>
    <row r="4863">
      <c r="A4863" s="9" t="str">
        <f>IFERROR(__xludf.DUMMYFUNCTION("""COMPUTED_VALUE"""),"Batch 267")</f>
        <v>Batch 267</v>
      </c>
      <c r="B4863" s="9" t="str">
        <f>IFERROR(__xludf.DUMMYFUNCTION("""COMPUTED_VALUE"""),"SattakshiC67")</f>
        <v>SattakshiC67</v>
      </c>
      <c r="C4863" s="8">
        <f>IFERROR(__xludf.DUMMYFUNCTION("""COMPUTED_VALUE"""),2.0)</f>
        <v>2</v>
      </c>
      <c r="D4863" s="8"/>
    </row>
    <row r="4864">
      <c r="A4864" s="9" t="str">
        <f>IFERROR(__xludf.DUMMYFUNCTION("""COMPUTED_VALUE"""),"Batch 267")</f>
        <v>Batch 267</v>
      </c>
      <c r="B4864" s="9" t="str">
        <f>IFERROR(__xludf.DUMMYFUNCTION("""COMPUTED_VALUE"""),"ShrutiC67")</f>
        <v>ShrutiC67</v>
      </c>
      <c r="C4864" s="8">
        <f>IFERROR(__xludf.DUMMYFUNCTION("""COMPUTED_VALUE"""),0.0)</f>
        <v>0</v>
      </c>
      <c r="D4864" s="8"/>
    </row>
    <row r="4865">
      <c r="A4865" s="9" t="str">
        <f>IFERROR(__xludf.DUMMYFUNCTION("""COMPUTED_VALUE"""),"Batch 267")</f>
        <v>Batch 267</v>
      </c>
      <c r="B4865" s="9" t="str">
        <f>IFERROR(__xludf.DUMMYFUNCTION("""COMPUTED_VALUE"""),"ManavC67")</f>
        <v>ManavC67</v>
      </c>
      <c r="C4865" s="8">
        <f>IFERROR(__xludf.DUMMYFUNCTION("""COMPUTED_VALUE"""),0.0)</f>
        <v>0</v>
      </c>
      <c r="D4865" s="8"/>
    </row>
    <row r="4866">
      <c r="A4866" s="9" t="str">
        <f>IFERROR(__xludf.DUMMYFUNCTION("""COMPUTED_VALUE"""),"Batch 267")</f>
        <v>Batch 267</v>
      </c>
      <c r="B4866" s="9" t="str">
        <f>IFERROR(__xludf.DUMMYFUNCTION("""COMPUTED_VALUE"""),"VijayC67")</f>
        <v>VijayC67</v>
      </c>
      <c r="C4866" s="8">
        <f>IFERROR(__xludf.DUMMYFUNCTION("""COMPUTED_VALUE"""),0.0)</f>
        <v>0</v>
      </c>
      <c r="D4866" s="8"/>
    </row>
    <row r="4867">
      <c r="A4867" s="9" t="str">
        <f>IFERROR(__xludf.DUMMYFUNCTION("""COMPUTED_VALUE"""),"Batch 267")</f>
        <v>Batch 267</v>
      </c>
      <c r="B4867" s="9" t="str">
        <f>IFERROR(__xludf.DUMMYFUNCTION("""COMPUTED_VALUE"""),"NabihaC67")</f>
        <v>NabihaC67</v>
      </c>
      <c r="C4867" s="8">
        <f>IFERROR(__xludf.DUMMYFUNCTION("""COMPUTED_VALUE"""),0.0)</f>
        <v>0</v>
      </c>
      <c r="D4867" s="8"/>
    </row>
    <row r="4868">
      <c r="A4868" s="9" t="str">
        <f>IFERROR(__xludf.DUMMYFUNCTION("""COMPUTED_VALUE"""),"Batch 267")</f>
        <v>Batch 267</v>
      </c>
      <c r="B4868" s="9" t="str">
        <f>IFERROR(__xludf.DUMMYFUNCTION("""COMPUTED_VALUE"""),"SatyamC67")</f>
        <v>SatyamC67</v>
      </c>
      <c r="C4868" s="8">
        <f>IFERROR(__xludf.DUMMYFUNCTION("""COMPUTED_VALUE"""),0.0)</f>
        <v>0</v>
      </c>
      <c r="D4868" s="8"/>
    </row>
    <row r="4869">
      <c r="A4869" s="9" t="str">
        <f>IFERROR(__xludf.DUMMYFUNCTION("""COMPUTED_VALUE"""),"Batch 267")</f>
        <v>Batch 267</v>
      </c>
      <c r="B4869" s="9" t="str">
        <f>IFERROR(__xludf.DUMMYFUNCTION("""COMPUTED_VALUE"""),"NandiniC67")</f>
        <v>NandiniC67</v>
      </c>
      <c r="C4869" s="8">
        <f>IFERROR(__xludf.DUMMYFUNCTION("""COMPUTED_VALUE"""),4.0)</f>
        <v>4</v>
      </c>
      <c r="D4869" s="8"/>
    </row>
    <row r="4870">
      <c r="A4870" s="9" t="str">
        <f>IFERROR(__xludf.DUMMYFUNCTION("""COMPUTED_VALUE"""),"Batch 267")</f>
        <v>Batch 267</v>
      </c>
      <c r="B4870" s="9" t="str">
        <f>IFERROR(__xludf.DUMMYFUNCTION("""COMPUTED_VALUE"""),"PragnaC67")</f>
        <v>PragnaC67</v>
      </c>
      <c r="C4870" s="8">
        <f>IFERROR(__xludf.DUMMYFUNCTION("""COMPUTED_VALUE"""),0.0)</f>
        <v>0</v>
      </c>
      <c r="D4870" s="8"/>
    </row>
    <row r="4871">
      <c r="A4871" s="9" t="str">
        <f>IFERROR(__xludf.DUMMYFUNCTION("""COMPUTED_VALUE"""),"Batch 267")</f>
        <v>Batch 267</v>
      </c>
      <c r="B4871" s="9" t="str">
        <f>IFERROR(__xludf.DUMMYFUNCTION("""COMPUTED_VALUE"""),"NibeshC67")</f>
        <v>NibeshC67</v>
      </c>
      <c r="C4871" s="8">
        <f>IFERROR(__xludf.DUMMYFUNCTION("""COMPUTED_VALUE"""),5.0)</f>
        <v>5</v>
      </c>
      <c r="D4871" s="8"/>
    </row>
    <row r="4872">
      <c r="A4872" s="9" t="str">
        <f>IFERROR(__xludf.DUMMYFUNCTION("""COMPUTED_VALUE"""),"Batch 267")</f>
        <v>Batch 267</v>
      </c>
      <c r="B4872" s="9" t="str">
        <f>IFERROR(__xludf.DUMMYFUNCTION("""COMPUTED_VALUE"""),"KaushikC67")</f>
        <v>KaushikC67</v>
      </c>
      <c r="C4872" s="8">
        <f>IFERROR(__xludf.DUMMYFUNCTION("""COMPUTED_VALUE"""),0.0)</f>
        <v>0</v>
      </c>
      <c r="D4872" s="8"/>
    </row>
    <row r="4873">
      <c r="A4873" s="9" t="str">
        <f>IFERROR(__xludf.DUMMYFUNCTION("""COMPUTED_VALUE"""),"Batch 267")</f>
        <v>Batch 267</v>
      </c>
      <c r="B4873" s="9" t="str">
        <f>IFERROR(__xludf.DUMMYFUNCTION("""COMPUTED_VALUE"""),"K.SuryaC67")</f>
        <v>K.SuryaC67</v>
      </c>
      <c r="C4873" s="8">
        <f>IFERROR(__xludf.DUMMYFUNCTION("""COMPUTED_VALUE"""),5.0)</f>
        <v>5</v>
      </c>
      <c r="D4873" s="8"/>
    </row>
    <row r="4874">
      <c r="A4874" s="9" t="str">
        <f>IFERROR(__xludf.DUMMYFUNCTION("""COMPUTED_VALUE"""),"Batch 267")</f>
        <v>Batch 267</v>
      </c>
      <c r="B4874" s="9" t="str">
        <f>IFERROR(__xludf.DUMMYFUNCTION("""COMPUTED_VALUE"""),"VedantC67")</f>
        <v>VedantC67</v>
      </c>
      <c r="C4874" s="8">
        <f>IFERROR(__xludf.DUMMYFUNCTION("""COMPUTED_VALUE"""),0.0)</f>
        <v>0</v>
      </c>
      <c r="D4874" s="8"/>
    </row>
    <row r="4875">
      <c r="A4875" s="9" t="str">
        <f>IFERROR(__xludf.DUMMYFUNCTION("""COMPUTED_VALUE"""),"Batch 267")</f>
        <v>Batch 267</v>
      </c>
      <c r="B4875" s="9" t="str">
        <f>IFERROR(__xludf.DUMMYFUNCTION("""COMPUTED_VALUE"""),"KartikeyaC67")</f>
        <v>KartikeyaC67</v>
      </c>
      <c r="C4875" s="8">
        <f>IFERROR(__xludf.DUMMYFUNCTION("""COMPUTED_VALUE"""),1.0)</f>
        <v>1</v>
      </c>
      <c r="D4875" s="8"/>
    </row>
    <row r="4876">
      <c r="A4876" s="9" t="str">
        <f>IFERROR(__xludf.DUMMYFUNCTION("""COMPUTED_VALUE"""),"Batch 267")</f>
        <v>Batch 267</v>
      </c>
      <c r="B4876" s="9" t="str">
        <f>IFERROR(__xludf.DUMMYFUNCTION("""COMPUTED_VALUE"""),"AnkitC67")</f>
        <v>AnkitC67</v>
      </c>
      <c r="C4876" s="8">
        <f>IFERROR(__xludf.DUMMYFUNCTION("""COMPUTED_VALUE"""),0.0)</f>
        <v>0</v>
      </c>
      <c r="D4876" s="8"/>
    </row>
    <row r="4877">
      <c r="A4877" s="9" t="str">
        <f>IFERROR(__xludf.DUMMYFUNCTION("""COMPUTED_VALUE"""),"Batch 267")</f>
        <v>Batch 267</v>
      </c>
      <c r="B4877" s="9" t="str">
        <f>IFERROR(__xludf.DUMMYFUNCTION("""COMPUTED_VALUE"""),"NidhiC67")</f>
        <v>NidhiC67</v>
      </c>
      <c r="C4877" s="8">
        <f>IFERROR(__xludf.DUMMYFUNCTION("""COMPUTED_VALUE"""),0.0)</f>
        <v>0</v>
      </c>
      <c r="D4877" s="8">
        <f>IFERROR(__xludf.DUMMYFUNCTION("""COMPUTED_VALUE"""),3.0)</f>
        <v>3</v>
      </c>
    </row>
    <row r="4878">
      <c r="A4878" s="9" t="str">
        <f>IFERROR(__xludf.DUMMYFUNCTION("""COMPUTED_VALUE"""),"Batch 267")</f>
        <v>Batch 267</v>
      </c>
      <c r="B4878" s="9" t="str">
        <f>IFERROR(__xludf.DUMMYFUNCTION("""COMPUTED_VALUE"""),"AnushkaC67")</f>
        <v>AnushkaC67</v>
      </c>
      <c r="C4878" s="8">
        <f>IFERROR(__xludf.DUMMYFUNCTION("""COMPUTED_VALUE"""),0.0)</f>
        <v>0</v>
      </c>
      <c r="D4878" s="8"/>
    </row>
    <row r="4879">
      <c r="A4879" s="9" t="str">
        <f>IFERROR(__xludf.DUMMYFUNCTION("""COMPUTED_VALUE"""),"Batch 267")</f>
        <v>Batch 267</v>
      </c>
      <c r="B4879" s="9" t="str">
        <f>IFERROR(__xludf.DUMMYFUNCTION("""COMPUTED_VALUE"""),"AkshanshC67")</f>
        <v>AkshanshC67</v>
      </c>
      <c r="C4879" s="8">
        <f>IFERROR(__xludf.DUMMYFUNCTION("""COMPUTED_VALUE"""),0.0)</f>
        <v>0</v>
      </c>
      <c r="D4879" s="8"/>
    </row>
    <row r="4880">
      <c r="A4880" s="9" t="str">
        <f>IFERROR(__xludf.DUMMYFUNCTION("""COMPUTED_VALUE"""),"Batch 267")</f>
        <v>Batch 267</v>
      </c>
      <c r="B4880" s="9" t="str">
        <f>IFERROR(__xludf.DUMMYFUNCTION("""COMPUTED_VALUE"""),"HariniC67")</f>
        <v>HariniC67</v>
      </c>
      <c r="C4880" s="8">
        <f>IFERROR(__xludf.DUMMYFUNCTION("""COMPUTED_VALUE"""),0.0)</f>
        <v>0</v>
      </c>
      <c r="D4880" s="8"/>
    </row>
    <row r="4881">
      <c r="A4881" s="9" t="str">
        <f>IFERROR(__xludf.DUMMYFUNCTION("""COMPUTED_VALUE"""),"Batch 267")</f>
        <v>Batch 267</v>
      </c>
      <c r="B4881" s="9" t="str">
        <f>IFERROR(__xludf.DUMMYFUNCTION("""COMPUTED_VALUE"""),"RahulC67")</f>
        <v>RahulC67</v>
      </c>
      <c r="C4881" s="8">
        <f>IFERROR(__xludf.DUMMYFUNCTION("""COMPUTED_VALUE"""),0.0)</f>
        <v>0</v>
      </c>
      <c r="D4881" s="8"/>
    </row>
    <row r="4882">
      <c r="A4882" s="9" t="str">
        <f>IFERROR(__xludf.DUMMYFUNCTION("""COMPUTED_VALUE"""),"Batch 267")</f>
        <v>Batch 267</v>
      </c>
      <c r="B4882" s="9" t="str">
        <f>IFERROR(__xludf.DUMMYFUNCTION("""COMPUTED_VALUE"""),"KratikaC67")</f>
        <v>KratikaC67</v>
      </c>
      <c r="C4882" s="8">
        <f>IFERROR(__xludf.DUMMYFUNCTION("""COMPUTED_VALUE"""),2.0)</f>
        <v>2</v>
      </c>
      <c r="D4882" s="8">
        <f>IFERROR(__xludf.DUMMYFUNCTION("""COMPUTED_VALUE"""),1.0)</f>
        <v>1</v>
      </c>
    </row>
    <row r="4883">
      <c r="A4883" s="9" t="str">
        <f>IFERROR(__xludf.DUMMYFUNCTION("""COMPUTED_VALUE"""),"Batch 267")</f>
        <v>Batch 267</v>
      </c>
      <c r="B4883" s="9" t="str">
        <f>IFERROR(__xludf.DUMMYFUNCTION("""COMPUTED_VALUE"""),"AasthaC67")</f>
        <v>AasthaC67</v>
      </c>
      <c r="C4883" s="8">
        <f>IFERROR(__xludf.DUMMYFUNCTION("""COMPUTED_VALUE"""),1.0)</f>
        <v>1</v>
      </c>
      <c r="D4883" s="8"/>
    </row>
    <row r="4884">
      <c r="A4884" s="9" t="str">
        <f>IFERROR(__xludf.DUMMYFUNCTION("""COMPUTED_VALUE"""),"Batch 267")</f>
        <v>Batch 267</v>
      </c>
      <c r="B4884" s="9" t="str">
        <f>IFERROR(__xludf.DUMMYFUNCTION("""COMPUTED_VALUE"""),"ShyamC67")</f>
        <v>ShyamC67</v>
      </c>
      <c r="C4884" s="8">
        <f>IFERROR(__xludf.DUMMYFUNCTION("""COMPUTED_VALUE"""),3.0)</f>
        <v>3</v>
      </c>
      <c r="D4884" s="8"/>
    </row>
    <row r="4885">
      <c r="A4885" s="9" t="str">
        <f>IFERROR(__xludf.DUMMYFUNCTION("""COMPUTED_VALUE"""),"Batch 267")</f>
        <v>Batch 267</v>
      </c>
      <c r="B4885" s="9" t="str">
        <f>IFERROR(__xludf.DUMMYFUNCTION("""COMPUTED_VALUE"""),"LakshmiC67")</f>
        <v>LakshmiC67</v>
      </c>
      <c r="C4885" s="8">
        <f>IFERROR(__xludf.DUMMYFUNCTION("""COMPUTED_VALUE"""),0.0)</f>
        <v>0</v>
      </c>
      <c r="D4885" s="8">
        <f>IFERROR(__xludf.DUMMYFUNCTION("""COMPUTED_VALUE"""),5.0)</f>
        <v>5</v>
      </c>
    </row>
    <row r="4886">
      <c r="A4886" s="9" t="str">
        <f>IFERROR(__xludf.DUMMYFUNCTION("""COMPUTED_VALUE"""),"Batch 267")</f>
        <v>Batch 267</v>
      </c>
      <c r="B4886" s="9" t="str">
        <f>IFERROR(__xludf.DUMMYFUNCTION("""COMPUTED_VALUE"""),"PravinC67")</f>
        <v>PravinC67</v>
      </c>
      <c r="C4886" s="8">
        <f>IFERROR(__xludf.DUMMYFUNCTION("""COMPUTED_VALUE"""),0.0)</f>
        <v>0</v>
      </c>
      <c r="D4886" s="8"/>
    </row>
    <row r="4887">
      <c r="A4887" s="9" t="str">
        <f>IFERROR(__xludf.DUMMYFUNCTION("""COMPUTED_VALUE"""),"Batch 267")</f>
        <v>Batch 267</v>
      </c>
      <c r="B4887" s="9" t="str">
        <f>IFERROR(__xludf.DUMMYFUNCTION("""COMPUTED_VALUE"""),"AdityaC67")</f>
        <v>AdityaC67</v>
      </c>
      <c r="C4887" s="8">
        <f>IFERROR(__xludf.DUMMYFUNCTION("""COMPUTED_VALUE"""),0.0)</f>
        <v>0</v>
      </c>
      <c r="D4887" s="8"/>
    </row>
    <row r="4888">
      <c r="A4888" s="9" t="str">
        <f>IFERROR(__xludf.DUMMYFUNCTION("""COMPUTED_VALUE"""),"Batch 267")</f>
        <v>Batch 267</v>
      </c>
      <c r="B4888" s="9" t="str">
        <f>IFERROR(__xludf.DUMMYFUNCTION("""COMPUTED_VALUE"""),"MeghaC67")</f>
        <v>MeghaC67</v>
      </c>
      <c r="C4888" s="8">
        <f>IFERROR(__xludf.DUMMYFUNCTION("""COMPUTED_VALUE"""),0.0)</f>
        <v>0</v>
      </c>
      <c r="D4888" s="8"/>
    </row>
    <row r="4889">
      <c r="A4889" s="9" t="str">
        <f>IFERROR(__xludf.DUMMYFUNCTION("""COMPUTED_VALUE"""),"Batch 267")</f>
        <v>Batch 267</v>
      </c>
      <c r="B4889" s="9" t="str">
        <f>IFERROR(__xludf.DUMMYFUNCTION("""COMPUTED_VALUE"""),"AbhishekC67")</f>
        <v>AbhishekC67</v>
      </c>
      <c r="C4889" s="8">
        <f>IFERROR(__xludf.DUMMYFUNCTION("""COMPUTED_VALUE"""),0.0)</f>
        <v>0</v>
      </c>
      <c r="D4889" s="8"/>
    </row>
    <row r="4890">
      <c r="A4890" s="9" t="str">
        <f>IFERROR(__xludf.DUMMYFUNCTION("""COMPUTED_VALUE"""),"Batch 267")</f>
        <v>Batch 267</v>
      </c>
      <c r="B4890" s="9" t="str">
        <f>IFERROR(__xludf.DUMMYFUNCTION("""COMPUTED_VALUE"""),"NitinC67")</f>
        <v>NitinC67</v>
      </c>
      <c r="C4890" s="8">
        <f>IFERROR(__xludf.DUMMYFUNCTION("""COMPUTED_VALUE"""),0.0)</f>
        <v>0</v>
      </c>
      <c r="D4890" s="8"/>
    </row>
    <row r="4891">
      <c r="A4891" s="9" t="str">
        <f>IFERROR(__xludf.DUMMYFUNCTION("""COMPUTED_VALUE"""),"Batch 267")</f>
        <v>Batch 267</v>
      </c>
      <c r="B4891" s="9" t="str">
        <f>IFERROR(__xludf.DUMMYFUNCTION("""COMPUTED_VALUE"""),"NoorC67")</f>
        <v>NoorC67</v>
      </c>
      <c r="C4891" s="8">
        <f>IFERROR(__xludf.DUMMYFUNCTION("""COMPUTED_VALUE"""),0.0)</f>
        <v>0</v>
      </c>
      <c r="D4891" s="8"/>
    </row>
    <row r="4892">
      <c r="A4892" s="9" t="str">
        <f>IFERROR(__xludf.DUMMYFUNCTION("""COMPUTED_VALUE"""),"Batch 267")</f>
        <v>Batch 267</v>
      </c>
      <c r="B4892" s="9" t="str">
        <f>IFERROR(__xludf.DUMMYFUNCTION("""COMPUTED_VALUE"""),"MudavathC67")</f>
        <v>MudavathC67</v>
      </c>
      <c r="C4892" s="8">
        <f>IFERROR(__xludf.DUMMYFUNCTION("""COMPUTED_VALUE"""),0.0)</f>
        <v>0</v>
      </c>
      <c r="D4892" s="8"/>
    </row>
    <row r="4893">
      <c r="A4893" s="9" t="str">
        <f>IFERROR(__xludf.DUMMYFUNCTION("""COMPUTED_VALUE"""),"Batch 267")</f>
        <v>Batch 267</v>
      </c>
      <c r="B4893" s="9" t="str">
        <f>IFERROR(__xludf.DUMMYFUNCTION("""COMPUTED_VALUE"""),"ReshmaC67")</f>
        <v>ReshmaC67</v>
      </c>
      <c r="C4893" s="8">
        <f>IFERROR(__xludf.DUMMYFUNCTION("""COMPUTED_VALUE"""),0.0)</f>
        <v>0</v>
      </c>
      <c r="D4893" s="8"/>
    </row>
    <row r="4894">
      <c r="A4894" s="9" t="str">
        <f>IFERROR(__xludf.DUMMYFUNCTION("""COMPUTED_VALUE"""),"Batch 267")</f>
        <v>Batch 267</v>
      </c>
      <c r="B4894" s="9" t="str">
        <f>IFERROR(__xludf.DUMMYFUNCTION("""COMPUTED_VALUE"""),"AishwaryaC67")</f>
        <v>AishwaryaC67</v>
      </c>
      <c r="C4894" s="8">
        <f>IFERROR(__xludf.DUMMYFUNCTION("""COMPUTED_VALUE"""),2.0)</f>
        <v>2</v>
      </c>
      <c r="D4894" s="8"/>
    </row>
    <row r="4895">
      <c r="A4895" s="9" t="str">
        <f>IFERROR(__xludf.DUMMYFUNCTION("""COMPUTED_VALUE"""),"Batch 267")</f>
        <v>Batch 267</v>
      </c>
      <c r="B4895" s="9" t="str">
        <f>IFERROR(__xludf.DUMMYFUNCTION("""COMPUTED_VALUE"""),"ShivanshiC67")</f>
        <v>ShivanshiC67</v>
      </c>
      <c r="C4895" s="8">
        <f>IFERROR(__xludf.DUMMYFUNCTION("""COMPUTED_VALUE"""),0.0)</f>
        <v>0</v>
      </c>
      <c r="D4895" s="8"/>
    </row>
    <row r="4896">
      <c r="A4896" s="9" t="str">
        <f>IFERROR(__xludf.DUMMYFUNCTION("""COMPUTED_VALUE"""),"Batch 267")</f>
        <v>Batch 267</v>
      </c>
      <c r="B4896" s="9" t="str">
        <f>IFERROR(__xludf.DUMMYFUNCTION("""COMPUTED_VALUE"""),"AnkitPC67")</f>
        <v>AnkitPC67</v>
      </c>
      <c r="C4896" s="8">
        <f>IFERROR(__xludf.DUMMYFUNCTION("""COMPUTED_VALUE"""),0.0)</f>
        <v>0</v>
      </c>
      <c r="D4896" s="8"/>
    </row>
    <row r="4897">
      <c r="A4897" s="9" t="str">
        <f>IFERROR(__xludf.DUMMYFUNCTION("""COMPUTED_VALUE"""),"Batch 267")</f>
        <v>Batch 267</v>
      </c>
      <c r="B4897" s="9" t="str">
        <f>IFERROR(__xludf.DUMMYFUNCTION("""COMPUTED_VALUE"""),"KaithaC67")</f>
        <v>KaithaC67</v>
      </c>
      <c r="C4897" s="8">
        <f>IFERROR(__xludf.DUMMYFUNCTION("""COMPUTED_VALUE"""),0.0)</f>
        <v>0</v>
      </c>
      <c r="D4897" s="8"/>
    </row>
    <row r="4898">
      <c r="A4898" s="9" t="str">
        <f>IFERROR(__xludf.DUMMYFUNCTION("""COMPUTED_VALUE"""),"Batch 267")</f>
        <v>Batch 267</v>
      </c>
      <c r="B4898" s="9" t="str">
        <f>IFERROR(__xludf.DUMMYFUNCTION("""COMPUTED_VALUE"""),"RahulKC67")</f>
        <v>RahulKC67</v>
      </c>
      <c r="C4898" s="8">
        <f>IFERROR(__xludf.DUMMYFUNCTION("""COMPUTED_VALUE"""),6.0)</f>
        <v>6</v>
      </c>
      <c r="D4898" s="8">
        <f>IFERROR(__xludf.DUMMYFUNCTION("""COMPUTED_VALUE"""),4.0)</f>
        <v>4</v>
      </c>
    </row>
    <row r="4899">
      <c r="A4899" s="9" t="str">
        <f>IFERROR(__xludf.DUMMYFUNCTION("""COMPUTED_VALUE"""),"Batch 267")</f>
        <v>Batch 267</v>
      </c>
      <c r="B4899" s="9" t="str">
        <f>IFERROR(__xludf.DUMMYFUNCTION("""COMPUTED_VALUE"""),"MridulC67")</f>
        <v>MridulC67</v>
      </c>
      <c r="C4899" s="8">
        <f>IFERROR(__xludf.DUMMYFUNCTION("""COMPUTED_VALUE"""),0.0)</f>
        <v>0</v>
      </c>
      <c r="D4899" s="8"/>
    </row>
    <row r="4900">
      <c r="A4900" s="9" t="str">
        <f>IFERROR(__xludf.DUMMYFUNCTION("""COMPUTED_VALUE"""),"Batch 267")</f>
        <v>Batch 267</v>
      </c>
      <c r="B4900" s="9" t="str">
        <f>IFERROR(__xludf.DUMMYFUNCTION("""COMPUTED_VALUE"""),"ADRISHC67")</f>
        <v>ADRISHC67</v>
      </c>
      <c r="C4900" s="8">
        <f>IFERROR(__xludf.DUMMYFUNCTION("""COMPUTED_VALUE"""),12.0)</f>
        <v>12</v>
      </c>
      <c r="D4900" s="8">
        <f>IFERROR(__xludf.DUMMYFUNCTION("""COMPUTED_VALUE"""),7.0)</f>
        <v>7</v>
      </c>
    </row>
    <row r="4901">
      <c r="A4901" s="9" t="str">
        <f>IFERROR(__xludf.DUMMYFUNCTION("""COMPUTED_VALUE"""),"Batch 267")</f>
        <v>Batch 267</v>
      </c>
      <c r="B4901" s="9" t="str">
        <f>IFERROR(__xludf.DUMMYFUNCTION("""COMPUTED_VALUE"""),"SumitC67")</f>
        <v>SumitC67</v>
      </c>
      <c r="C4901" s="8">
        <f>IFERROR(__xludf.DUMMYFUNCTION("""COMPUTED_VALUE"""),0.0)</f>
        <v>0</v>
      </c>
      <c r="D4901" s="8"/>
    </row>
    <row r="4902">
      <c r="A4902" s="9" t="str">
        <f>IFERROR(__xludf.DUMMYFUNCTION("""COMPUTED_VALUE"""),"Batch 267")</f>
        <v>Batch 267</v>
      </c>
      <c r="B4902" s="9" t="str">
        <f>IFERROR(__xludf.DUMMYFUNCTION("""COMPUTED_VALUE"""),"IkraC67")</f>
        <v>IkraC67</v>
      </c>
      <c r="C4902" s="8">
        <f>IFERROR(__xludf.DUMMYFUNCTION("""COMPUTED_VALUE"""),5.0)</f>
        <v>5</v>
      </c>
      <c r="D4902" s="8"/>
    </row>
    <row r="4903">
      <c r="A4903" s="9" t="str">
        <f>IFERROR(__xludf.DUMMYFUNCTION("""COMPUTED_VALUE"""),"Batch 267")</f>
        <v>Batch 267</v>
      </c>
      <c r="B4903" s="9" t="str">
        <f>IFERROR(__xludf.DUMMYFUNCTION("""COMPUTED_VALUE"""),"AkashC67")</f>
        <v>AkashC67</v>
      </c>
      <c r="C4903" s="8">
        <f>IFERROR(__xludf.DUMMYFUNCTION("""COMPUTED_VALUE"""),0.0)</f>
        <v>0</v>
      </c>
      <c r="D4903" s="8"/>
    </row>
    <row r="4904">
      <c r="A4904" s="9" t="str">
        <f>IFERROR(__xludf.DUMMYFUNCTION("""COMPUTED_VALUE"""),"Batch 267")</f>
        <v>Batch 267</v>
      </c>
      <c r="B4904" s="9" t="str">
        <f>IFERROR(__xludf.DUMMYFUNCTION("""COMPUTED_VALUE"""),"HiraC67")</f>
        <v>HiraC67</v>
      </c>
      <c r="C4904" s="8">
        <f>IFERROR(__xludf.DUMMYFUNCTION("""COMPUTED_VALUE"""),0.0)</f>
        <v>0</v>
      </c>
      <c r="D4904" s="8"/>
    </row>
    <row r="4905">
      <c r="A4905" s="9" t="str">
        <f>IFERROR(__xludf.DUMMYFUNCTION("""COMPUTED_VALUE"""),"Batch 267")</f>
        <v>Batch 267</v>
      </c>
      <c r="B4905" s="9" t="str">
        <f>IFERROR(__xludf.DUMMYFUNCTION("""COMPUTED_VALUE"""),"AnanyaC67")</f>
        <v>AnanyaC67</v>
      </c>
      <c r="C4905" s="8">
        <f>IFERROR(__xludf.DUMMYFUNCTION("""COMPUTED_VALUE"""),0.0)</f>
        <v>0</v>
      </c>
      <c r="D4905" s="8"/>
    </row>
    <row r="4906">
      <c r="A4906" s="9" t="str">
        <f>IFERROR(__xludf.DUMMYFUNCTION("""COMPUTED_VALUE"""),"Batch 267")</f>
        <v>Batch 267</v>
      </c>
      <c r="B4906" s="9" t="str">
        <f>IFERROR(__xludf.DUMMYFUNCTION("""COMPUTED_VALUE"""),"AnantrajC67")</f>
        <v>AnantrajC67</v>
      </c>
      <c r="C4906" s="8">
        <f>IFERROR(__xludf.DUMMYFUNCTION("""COMPUTED_VALUE"""),0.0)</f>
        <v>0</v>
      </c>
      <c r="D4906" s="8"/>
    </row>
    <row r="4907">
      <c r="A4907" s="9" t="str">
        <f>IFERROR(__xludf.DUMMYFUNCTION("""COMPUTED_VALUE"""),"Batch 267")</f>
        <v>Batch 267</v>
      </c>
      <c r="B4907" s="9" t="str">
        <f>IFERROR(__xludf.DUMMYFUNCTION("""COMPUTED_VALUE"""),"RadhikaC67")</f>
        <v>RadhikaC67</v>
      </c>
      <c r="C4907" s="8">
        <f>IFERROR(__xludf.DUMMYFUNCTION("""COMPUTED_VALUE"""),0.0)</f>
        <v>0</v>
      </c>
      <c r="D4907" s="8"/>
    </row>
    <row r="4908">
      <c r="A4908" s="9" t="str">
        <f>IFERROR(__xludf.DUMMYFUNCTION("""COMPUTED_VALUE"""),"Batch 267")</f>
        <v>Batch 267</v>
      </c>
      <c r="B4908" s="9" t="str">
        <f>IFERROR(__xludf.DUMMYFUNCTION("""COMPUTED_VALUE"""),"KandarpC67")</f>
        <v>KandarpC67</v>
      </c>
      <c r="C4908" s="8">
        <f>IFERROR(__xludf.DUMMYFUNCTION("""COMPUTED_VALUE"""),0.0)</f>
        <v>0</v>
      </c>
      <c r="D4908" s="8"/>
    </row>
    <row r="4909">
      <c r="A4909" s="9" t="str">
        <f>IFERROR(__xludf.DUMMYFUNCTION("""COMPUTED_VALUE"""),"Batch 267")</f>
        <v>Batch 267</v>
      </c>
      <c r="B4909" s="9" t="str">
        <f>IFERROR(__xludf.DUMMYFUNCTION("""COMPUTED_VALUE"""),"MadhurC67")</f>
        <v>MadhurC67</v>
      </c>
      <c r="C4909" s="8">
        <f>IFERROR(__xludf.DUMMYFUNCTION("""COMPUTED_VALUE"""),0.0)</f>
        <v>0</v>
      </c>
      <c r="D4909" s="8"/>
    </row>
    <row r="4910">
      <c r="A4910" s="9" t="str">
        <f>IFERROR(__xludf.DUMMYFUNCTION("""COMPUTED_VALUE"""),"Batch 267")</f>
        <v>Batch 267</v>
      </c>
      <c r="B4910" s="9" t="str">
        <f>IFERROR(__xludf.DUMMYFUNCTION("""COMPUTED_VALUE"""),"LavanyaC67")</f>
        <v>LavanyaC67</v>
      </c>
      <c r="C4910" s="8">
        <f>IFERROR(__xludf.DUMMYFUNCTION("""COMPUTED_VALUE"""),0.0)</f>
        <v>0</v>
      </c>
      <c r="D4910" s="8"/>
    </row>
    <row r="4911">
      <c r="A4911" s="9" t="str">
        <f>IFERROR(__xludf.DUMMYFUNCTION("""COMPUTED_VALUE"""),"Batch 267")</f>
        <v>Batch 267</v>
      </c>
      <c r="B4911" s="9" t="str">
        <f>IFERROR(__xludf.DUMMYFUNCTION("""COMPUTED_VALUE"""),"SuswaraC67")</f>
        <v>SuswaraC67</v>
      </c>
      <c r="C4911" s="8">
        <f>IFERROR(__xludf.DUMMYFUNCTION("""COMPUTED_VALUE"""),0.0)</f>
        <v>0</v>
      </c>
      <c r="D4911" s="8"/>
    </row>
    <row r="4912">
      <c r="A4912" s="9" t="str">
        <f>IFERROR(__xludf.DUMMYFUNCTION("""COMPUTED_VALUE"""),"Batch 267")</f>
        <v>Batch 267</v>
      </c>
      <c r="B4912" s="9" t="str">
        <f>IFERROR(__xludf.DUMMYFUNCTION("""COMPUTED_VALUE"""),"AnkitTC67")</f>
        <v>AnkitTC67</v>
      </c>
      <c r="C4912" s="8">
        <f>IFERROR(__xludf.DUMMYFUNCTION("""COMPUTED_VALUE"""),0.0)</f>
        <v>0</v>
      </c>
      <c r="D4912" s="8"/>
    </row>
    <row r="4913">
      <c r="A4913" s="9" t="str">
        <f>IFERROR(__xludf.DUMMYFUNCTION("""COMPUTED_VALUE"""),"Batch 267")</f>
        <v>Batch 267</v>
      </c>
      <c r="B4913" s="9" t="str">
        <f>IFERROR(__xludf.DUMMYFUNCTION("""COMPUTED_VALUE"""),"SaloniC67")</f>
        <v>SaloniC67</v>
      </c>
      <c r="C4913" s="8">
        <f>IFERROR(__xludf.DUMMYFUNCTION("""COMPUTED_VALUE"""),0.0)</f>
        <v>0</v>
      </c>
      <c r="D4913" s="8"/>
    </row>
    <row r="4914">
      <c r="A4914" s="9" t="str">
        <f>IFERROR(__xludf.DUMMYFUNCTION("""COMPUTED_VALUE"""),"Batch 267")</f>
        <v>Batch 267</v>
      </c>
      <c r="B4914" s="9" t="str">
        <f>IFERROR(__xludf.DUMMYFUNCTION("""COMPUTED_VALUE"""),"ShivamC67")</f>
        <v>ShivamC67</v>
      </c>
      <c r="C4914" s="8">
        <f>IFERROR(__xludf.DUMMYFUNCTION("""COMPUTED_VALUE"""),0.0)</f>
        <v>0</v>
      </c>
      <c r="D4914" s="8"/>
    </row>
    <row r="4915">
      <c r="A4915" s="9" t="str">
        <f>IFERROR(__xludf.DUMMYFUNCTION("""COMPUTED_VALUE"""),"Batch 267")</f>
        <v>Batch 267</v>
      </c>
      <c r="B4915" s="9" t="str">
        <f>IFERROR(__xludf.DUMMYFUNCTION("""COMPUTED_VALUE"""),"SagarC67")</f>
        <v>SagarC67</v>
      </c>
      <c r="C4915" s="8">
        <f>IFERROR(__xludf.DUMMYFUNCTION("""COMPUTED_VALUE"""),2.0)</f>
        <v>2</v>
      </c>
      <c r="D4915" s="8"/>
    </row>
    <row r="4916">
      <c r="A4916" s="9" t="str">
        <f>IFERROR(__xludf.DUMMYFUNCTION("""COMPUTED_VALUE"""),"Batch 267")</f>
        <v>Batch 267</v>
      </c>
      <c r="B4916" s="9" t="str">
        <f>IFERROR(__xludf.DUMMYFUNCTION("""COMPUTED_VALUE"""),"SANYAMC67")</f>
        <v>SANYAMC67</v>
      </c>
      <c r="C4916" s="8">
        <f>IFERROR(__xludf.DUMMYFUNCTION("""COMPUTED_VALUE"""),0.0)</f>
        <v>0</v>
      </c>
      <c r="D4916" s="8"/>
    </row>
    <row r="4917">
      <c r="A4917" s="9" t="str">
        <f>IFERROR(__xludf.DUMMYFUNCTION("""COMPUTED_VALUE"""),"Batch 267")</f>
        <v>Batch 267</v>
      </c>
      <c r="B4917" s="9" t="str">
        <f>IFERROR(__xludf.DUMMYFUNCTION("""COMPUTED_VALUE"""),"AbhishekC67")</f>
        <v>AbhishekC67</v>
      </c>
      <c r="C4917" s="8">
        <f>IFERROR(__xludf.DUMMYFUNCTION("""COMPUTED_VALUE"""),0.0)</f>
        <v>0</v>
      </c>
      <c r="D4917" s="8"/>
    </row>
    <row r="4918">
      <c r="A4918" s="9" t="str">
        <f>IFERROR(__xludf.DUMMYFUNCTION("""COMPUTED_VALUE"""),"Batch 267")</f>
        <v>Batch 267</v>
      </c>
      <c r="B4918" s="9" t="str">
        <f>IFERROR(__xludf.DUMMYFUNCTION("""COMPUTED_VALUE"""),"JanviC67")</f>
        <v>JanviC67</v>
      </c>
      <c r="C4918" s="8">
        <f>IFERROR(__xludf.DUMMYFUNCTION("""COMPUTED_VALUE"""),0.0)</f>
        <v>0</v>
      </c>
      <c r="D4918" s="8"/>
    </row>
    <row r="4919">
      <c r="A4919" s="9" t="str">
        <f>IFERROR(__xludf.DUMMYFUNCTION("""COMPUTED_VALUE"""),"Batch 267")</f>
        <v>Batch 267</v>
      </c>
      <c r="B4919" s="9" t="str">
        <f>IFERROR(__xludf.DUMMYFUNCTION("""COMPUTED_VALUE"""),"SivaC67")</f>
        <v>SivaC67</v>
      </c>
      <c r="C4919" s="8">
        <f>IFERROR(__xludf.DUMMYFUNCTION("""COMPUTED_VALUE"""),0.0)</f>
        <v>0</v>
      </c>
      <c r="D4919" s="8"/>
    </row>
    <row r="4920">
      <c r="A4920" s="9" t="str">
        <f>IFERROR(__xludf.DUMMYFUNCTION("""COMPUTED_VALUE"""),"Batch 267")</f>
        <v>Batch 267</v>
      </c>
      <c r="B4920" s="9" t="str">
        <f>IFERROR(__xludf.DUMMYFUNCTION("""COMPUTED_VALUE"""),"parikaC67")</f>
        <v>parikaC67</v>
      </c>
      <c r="C4920" s="8">
        <f>IFERROR(__xludf.DUMMYFUNCTION("""COMPUTED_VALUE"""),0.0)</f>
        <v>0</v>
      </c>
      <c r="D4920" s="8"/>
    </row>
    <row r="4921">
      <c r="A4921" s="9" t="str">
        <f>IFERROR(__xludf.DUMMYFUNCTION("""COMPUTED_VALUE"""),"Batch 267")</f>
        <v>Batch 267</v>
      </c>
      <c r="B4921" s="9" t="str">
        <f>IFERROR(__xludf.DUMMYFUNCTION("""COMPUTED_VALUE"""),"VishalC67")</f>
        <v>VishalC67</v>
      </c>
      <c r="C4921" s="8">
        <f>IFERROR(__xludf.DUMMYFUNCTION("""COMPUTED_VALUE"""),0.0)</f>
        <v>0</v>
      </c>
      <c r="D4921" s="8"/>
    </row>
    <row r="4922">
      <c r="A4922" s="9" t="str">
        <f>IFERROR(__xludf.DUMMYFUNCTION("""COMPUTED_VALUE"""),"Batch 267")</f>
        <v>Batch 267</v>
      </c>
      <c r="B4922" s="9" t="str">
        <f>IFERROR(__xludf.DUMMYFUNCTION("""COMPUTED_VALUE"""),"ShreejaC67")</f>
        <v>ShreejaC67</v>
      </c>
      <c r="C4922" s="8">
        <f>IFERROR(__xludf.DUMMYFUNCTION("""COMPUTED_VALUE"""),0.0)</f>
        <v>0</v>
      </c>
      <c r="D4922" s="8"/>
    </row>
    <row r="4923">
      <c r="A4923" s="9" t="str">
        <f>IFERROR(__xludf.DUMMYFUNCTION("""COMPUTED_VALUE"""),"Batch 267")</f>
        <v>Batch 267</v>
      </c>
      <c r="B4923" s="9" t="str">
        <f>IFERROR(__xludf.DUMMYFUNCTION("""COMPUTED_VALUE"""),"ManishC67")</f>
        <v>ManishC67</v>
      </c>
      <c r="C4923" s="8">
        <f>IFERROR(__xludf.DUMMYFUNCTION("""COMPUTED_VALUE"""),14.0)</f>
        <v>14</v>
      </c>
      <c r="D4923" s="8">
        <f>IFERROR(__xludf.DUMMYFUNCTION("""COMPUTED_VALUE"""),6.0)</f>
        <v>6</v>
      </c>
    </row>
    <row r="4924">
      <c r="A4924" s="9" t="str">
        <f>IFERROR(__xludf.DUMMYFUNCTION("""COMPUTED_VALUE"""),"Batch 267")</f>
        <v>Batch 267</v>
      </c>
      <c r="B4924" s="9" t="str">
        <f>IFERROR(__xludf.DUMMYFUNCTION("""COMPUTED_VALUE"""),"RishabhC67")</f>
        <v>RishabhC67</v>
      </c>
      <c r="C4924" s="8">
        <f>IFERROR(__xludf.DUMMYFUNCTION("""COMPUTED_VALUE"""),1.0)</f>
        <v>1</v>
      </c>
      <c r="D4924" s="8"/>
    </row>
    <row r="4925">
      <c r="A4925" s="9" t="str">
        <f>IFERROR(__xludf.DUMMYFUNCTION("""COMPUTED_VALUE"""),"Batch 267")</f>
        <v>Batch 267</v>
      </c>
      <c r="B4925" s="9" t="str">
        <f>IFERROR(__xludf.DUMMYFUNCTION("""COMPUTED_VALUE"""),"TusharC67")</f>
        <v>TusharC67</v>
      </c>
      <c r="C4925" s="8">
        <f>IFERROR(__xludf.DUMMYFUNCTION("""COMPUTED_VALUE"""),15.0)</f>
        <v>15</v>
      </c>
      <c r="D4925" s="8">
        <f>IFERROR(__xludf.DUMMYFUNCTION("""COMPUTED_VALUE"""),4.0)</f>
        <v>4</v>
      </c>
    </row>
    <row r="4926">
      <c r="A4926" s="9" t="str">
        <f>IFERROR(__xludf.DUMMYFUNCTION("""COMPUTED_VALUE"""),"Batch 267")</f>
        <v>Batch 267</v>
      </c>
      <c r="B4926" s="9" t="str">
        <f>IFERROR(__xludf.DUMMYFUNCTION("""COMPUTED_VALUE"""),"FahmeedaC67")</f>
        <v>FahmeedaC67</v>
      </c>
      <c r="C4926" s="8">
        <f>IFERROR(__xludf.DUMMYFUNCTION("""COMPUTED_VALUE"""),4.0)</f>
        <v>4</v>
      </c>
      <c r="D4926" s="8">
        <f>IFERROR(__xludf.DUMMYFUNCTION("""COMPUTED_VALUE"""),1.0)</f>
        <v>1</v>
      </c>
    </row>
    <row r="4927">
      <c r="A4927" s="9" t="str">
        <f>IFERROR(__xludf.DUMMYFUNCTION("""COMPUTED_VALUE"""),"Batch 267")</f>
        <v>Batch 267</v>
      </c>
      <c r="B4927" s="9" t="str">
        <f>IFERROR(__xludf.DUMMYFUNCTION("""COMPUTED_VALUE"""),"ShrutiC67")</f>
        <v>ShrutiC67</v>
      </c>
      <c r="C4927" s="8">
        <f>IFERROR(__xludf.DUMMYFUNCTION("""COMPUTED_VALUE"""),0.0)</f>
        <v>0</v>
      </c>
      <c r="D4927" s="8"/>
    </row>
    <row r="4928">
      <c r="A4928" s="9"/>
      <c r="B4928" s="9"/>
      <c r="C4928" s="8">
        <f>IFERROR(__xludf.DUMMYFUNCTION("""COMPUTED_VALUE"""),0.0)</f>
        <v>0</v>
      </c>
      <c r="D4928" s="8"/>
    </row>
    <row r="4929">
      <c r="A4929" s="9" t="str">
        <f>IFERROR(__xludf.DUMMYFUNCTION("""COMPUTED_VALUE"""),"Batch 268")</f>
        <v>Batch 268</v>
      </c>
      <c r="B4929" s="9" t="str">
        <f>IFERROR(__xludf.DUMMYFUNCTION("""COMPUTED_VALUE"""),"PoojaC68")</f>
        <v>PoojaC68</v>
      </c>
      <c r="C4929" s="8">
        <f>IFERROR(__xludf.DUMMYFUNCTION("""COMPUTED_VALUE"""),0.0)</f>
        <v>0</v>
      </c>
      <c r="D4929" s="8"/>
    </row>
    <row r="4930">
      <c r="A4930" s="9" t="str">
        <f>IFERROR(__xludf.DUMMYFUNCTION("""COMPUTED_VALUE"""),"Batch 268")</f>
        <v>Batch 268</v>
      </c>
      <c r="B4930" s="9" t="str">
        <f>IFERROR(__xludf.DUMMYFUNCTION("""COMPUTED_VALUE"""),"Naresh.SC68")</f>
        <v>Naresh.SC68</v>
      </c>
      <c r="C4930" s="8">
        <f>IFERROR(__xludf.DUMMYFUNCTION("""COMPUTED_VALUE"""),3.0)</f>
        <v>3</v>
      </c>
      <c r="D4930" s="8">
        <f>IFERROR(__xludf.DUMMYFUNCTION("""COMPUTED_VALUE"""),8.0)</f>
        <v>8</v>
      </c>
    </row>
    <row r="4931">
      <c r="A4931" s="9" t="str">
        <f>IFERROR(__xludf.DUMMYFUNCTION("""COMPUTED_VALUE"""),"Batch 268")</f>
        <v>Batch 268</v>
      </c>
      <c r="B4931" s="9" t="str">
        <f>IFERROR(__xludf.DUMMYFUNCTION("""COMPUTED_VALUE"""),"ShrutiC68")</f>
        <v>ShrutiC68</v>
      </c>
      <c r="C4931" s="8">
        <f>IFERROR(__xludf.DUMMYFUNCTION("""COMPUTED_VALUE"""),0.0)</f>
        <v>0</v>
      </c>
      <c r="D4931" s="8"/>
    </row>
    <row r="4932">
      <c r="A4932" s="9" t="str">
        <f>IFERROR(__xludf.DUMMYFUNCTION("""COMPUTED_VALUE"""),"Batch 268")</f>
        <v>Batch 268</v>
      </c>
      <c r="B4932" s="9" t="str">
        <f>IFERROR(__xludf.DUMMYFUNCTION("""COMPUTED_VALUE"""),"AdarshC68")</f>
        <v>AdarshC68</v>
      </c>
      <c r="C4932" s="8">
        <f>IFERROR(__xludf.DUMMYFUNCTION("""COMPUTED_VALUE"""),0.0)</f>
        <v>0</v>
      </c>
      <c r="D4932" s="8"/>
    </row>
    <row r="4933">
      <c r="A4933" s="9" t="str">
        <f>IFERROR(__xludf.DUMMYFUNCTION("""COMPUTED_VALUE"""),"Batch 268")</f>
        <v>Batch 268</v>
      </c>
      <c r="B4933" s="9" t="str">
        <f>IFERROR(__xludf.DUMMYFUNCTION("""COMPUTED_VALUE"""),"ShibaniC68")</f>
        <v>ShibaniC68</v>
      </c>
      <c r="C4933" s="8">
        <f>IFERROR(__xludf.DUMMYFUNCTION("""COMPUTED_VALUE"""),0.0)</f>
        <v>0</v>
      </c>
      <c r="D4933" s="8"/>
    </row>
    <row r="4934">
      <c r="A4934" s="9" t="str">
        <f>IFERROR(__xludf.DUMMYFUNCTION("""COMPUTED_VALUE"""),"Batch 268")</f>
        <v>Batch 268</v>
      </c>
      <c r="B4934" s="9" t="str">
        <f>IFERROR(__xludf.DUMMYFUNCTION("""COMPUTED_VALUE"""),"MoleeC68")</f>
        <v>MoleeC68</v>
      </c>
      <c r="C4934" s="8">
        <f>IFERROR(__xludf.DUMMYFUNCTION("""COMPUTED_VALUE"""),0.0)</f>
        <v>0</v>
      </c>
      <c r="D4934" s="8"/>
    </row>
    <row r="4935">
      <c r="A4935" s="9" t="str">
        <f>IFERROR(__xludf.DUMMYFUNCTION("""COMPUTED_VALUE"""),"Batch 268")</f>
        <v>Batch 268</v>
      </c>
      <c r="B4935" s="9" t="str">
        <f>IFERROR(__xludf.DUMMYFUNCTION("""COMPUTED_VALUE"""),"AvinashC68")</f>
        <v>AvinashC68</v>
      </c>
      <c r="C4935" s="8">
        <f>IFERROR(__xludf.DUMMYFUNCTION("""COMPUTED_VALUE"""),0.0)</f>
        <v>0</v>
      </c>
      <c r="D4935" s="8"/>
    </row>
    <row r="4936">
      <c r="A4936" s="9" t="str">
        <f>IFERROR(__xludf.DUMMYFUNCTION("""COMPUTED_VALUE"""),"Batch 268")</f>
        <v>Batch 268</v>
      </c>
      <c r="B4936" s="9" t="str">
        <f>IFERROR(__xludf.DUMMYFUNCTION("""COMPUTED_VALUE"""),"KhushiC68")</f>
        <v>KhushiC68</v>
      </c>
      <c r="C4936" s="8">
        <f>IFERROR(__xludf.DUMMYFUNCTION("""COMPUTED_VALUE"""),0.0)</f>
        <v>0</v>
      </c>
      <c r="D4936" s="8"/>
    </row>
    <row r="4937">
      <c r="A4937" s="9" t="str">
        <f>IFERROR(__xludf.DUMMYFUNCTION("""COMPUTED_VALUE"""),"Batch 268")</f>
        <v>Batch 268</v>
      </c>
      <c r="B4937" s="9" t="str">
        <f>IFERROR(__xludf.DUMMYFUNCTION("""COMPUTED_VALUE"""),"JitendraC68")</f>
        <v>JitendraC68</v>
      </c>
      <c r="C4937" s="8">
        <f>IFERROR(__xludf.DUMMYFUNCTION("""COMPUTED_VALUE"""),0.0)</f>
        <v>0</v>
      </c>
      <c r="D4937" s="8"/>
    </row>
    <row r="4938">
      <c r="A4938" s="9" t="str">
        <f>IFERROR(__xludf.DUMMYFUNCTION("""COMPUTED_VALUE"""),"Batch 268")</f>
        <v>Batch 268</v>
      </c>
      <c r="B4938" s="9" t="str">
        <f>IFERROR(__xludf.DUMMYFUNCTION("""COMPUTED_VALUE"""),"MuskanC68")</f>
        <v>MuskanC68</v>
      </c>
      <c r="C4938" s="8">
        <f>IFERROR(__xludf.DUMMYFUNCTION("""COMPUTED_VALUE"""),0.0)</f>
        <v>0</v>
      </c>
      <c r="D4938" s="8"/>
    </row>
    <row r="4939">
      <c r="A4939" s="9" t="str">
        <f>IFERROR(__xludf.DUMMYFUNCTION("""COMPUTED_VALUE"""),"Batch 268")</f>
        <v>Batch 268</v>
      </c>
      <c r="B4939" s="9" t="str">
        <f>IFERROR(__xludf.DUMMYFUNCTION("""COMPUTED_VALUE"""),"ishaanC68")</f>
        <v>ishaanC68</v>
      </c>
      <c r="C4939" s="8">
        <f>IFERROR(__xludf.DUMMYFUNCTION("""COMPUTED_VALUE"""),0.0)</f>
        <v>0</v>
      </c>
      <c r="D4939" s="8"/>
    </row>
    <row r="4940">
      <c r="A4940" s="9" t="str">
        <f>IFERROR(__xludf.DUMMYFUNCTION("""COMPUTED_VALUE"""),"Batch 268")</f>
        <v>Batch 268</v>
      </c>
      <c r="B4940" s="9" t="str">
        <f>IFERROR(__xludf.DUMMYFUNCTION("""COMPUTED_VALUE"""),"ShubhamC68")</f>
        <v>ShubhamC68</v>
      </c>
      <c r="C4940" s="8">
        <f>IFERROR(__xludf.DUMMYFUNCTION("""COMPUTED_VALUE"""),0.0)</f>
        <v>0</v>
      </c>
      <c r="D4940" s="8"/>
    </row>
    <row r="4941">
      <c r="A4941" s="9" t="str">
        <f>IFERROR(__xludf.DUMMYFUNCTION("""COMPUTED_VALUE"""),"Batch 268")</f>
        <v>Batch 268</v>
      </c>
      <c r="B4941" s="9" t="str">
        <f>IFERROR(__xludf.DUMMYFUNCTION("""COMPUTED_VALUE"""),"ArchiC68")</f>
        <v>ArchiC68</v>
      </c>
      <c r="C4941" s="8">
        <f>IFERROR(__xludf.DUMMYFUNCTION("""COMPUTED_VALUE"""),0.0)</f>
        <v>0</v>
      </c>
      <c r="D4941" s="8"/>
    </row>
    <row r="4942">
      <c r="A4942" s="9" t="str">
        <f>IFERROR(__xludf.DUMMYFUNCTION("""COMPUTED_VALUE"""),"Batch 268")</f>
        <v>Batch 268</v>
      </c>
      <c r="B4942" s="9" t="str">
        <f>IFERROR(__xludf.DUMMYFUNCTION("""COMPUTED_VALUE"""),"GeetikaC68")</f>
        <v>GeetikaC68</v>
      </c>
      <c r="C4942" s="8">
        <f>IFERROR(__xludf.DUMMYFUNCTION("""COMPUTED_VALUE"""),0.0)</f>
        <v>0</v>
      </c>
      <c r="D4942" s="8"/>
    </row>
    <row r="4943">
      <c r="A4943" s="9" t="str">
        <f>IFERROR(__xludf.DUMMYFUNCTION("""COMPUTED_VALUE"""),"Batch 268")</f>
        <v>Batch 268</v>
      </c>
      <c r="B4943" s="9" t="str">
        <f>IFERROR(__xludf.DUMMYFUNCTION("""COMPUTED_VALUE"""),"DeepanshuC68")</f>
        <v>DeepanshuC68</v>
      </c>
      <c r="C4943" s="8">
        <f>IFERROR(__xludf.DUMMYFUNCTION("""COMPUTED_VALUE"""),0.0)</f>
        <v>0</v>
      </c>
      <c r="D4943" s="8"/>
    </row>
    <row r="4944">
      <c r="A4944" s="9" t="str">
        <f>IFERROR(__xludf.DUMMYFUNCTION("""COMPUTED_VALUE"""),"Batch 268")</f>
        <v>Batch 268</v>
      </c>
      <c r="B4944" s="9" t="str">
        <f>IFERROR(__xludf.DUMMYFUNCTION("""COMPUTED_VALUE"""),"BadalC68")</f>
        <v>BadalC68</v>
      </c>
      <c r="C4944" s="8">
        <f>IFERROR(__xludf.DUMMYFUNCTION("""COMPUTED_VALUE"""),1.0)</f>
        <v>1</v>
      </c>
      <c r="D4944" s="8"/>
    </row>
    <row r="4945">
      <c r="A4945" s="9" t="str">
        <f>IFERROR(__xludf.DUMMYFUNCTION("""COMPUTED_VALUE"""),"Batch 268")</f>
        <v>Batch 268</v>
      </c>
      <c r="B4945" s="9" t="str">
        <f>IFERROR(__xludf.DUMMYFUNCTION("""COMPUTED_VALUE"""),"HimanshuC68")</f>
        <v>HimanshuC68</v>
      </c>
      <c r="C4945" s="8">
        <f>IFERROR(__xludf.DUMMYFUNCTION("""COMPUTED_VALUE"""),0.0)</f>
        <v>0</v>
      </c>
      <c r="D4945" s="8"/>
    </row>
    <row r="4946">
      <c r="A4946" s="9" t="str">
        <f>IFERROR(__xludf.DUMMYFUNCTION("""COMPUTED_VALUE"""),"Batch 268")</f>
        <v>Batch 268</v>
      </c>
      <c r="B4946" s="9" t="str">
        <f>IFERROR(__xludf.DUMMYFUNCTION("""COMPUTED_VALUE"""),"AkshatC68")</f>
        <v>AkshatC68</v>
      </c>
      <c r="C4946" s="8">
        <f>IFERROR(__xludf.DUMMYFUNCTION("""COMPUTED_VALUE"""),0.0)</f>
        <v>0</v>
      </c>
      <c r="D4946" s="8"/>
    </row>
    <row r="4947">
      <c r="A4947" s="9" t="str">
        <f>IFERROR(__xludf.DUMMYFUNCTION("""COMPUTED_VALUE"""),"Batch 268")</f>
        <v>Batch 268</v>
      </c>
      <c r="B4947" s="9" t="str">
        <f>IFERROR(__xludf.DUMMYFUNCTION("""COMPUTED_VALUE"""),"NisthaC68")</f>
        <v>NisthaC68</v>
      </c>
      <c r="C4947" s="8">
        <f>IFERROR(__xludf.DUMMYFUNCTION("""COMPUTED_VALUE"""),0.0)</f>
        <v>0</v>
      </c>
      <c r="D4947" s="8"/>
    </row>
    <row r="4948">
      <c r="A4948" s="9" t="str">
        <f>IFERROR(__xludf.DUMMYFUNCTION("""COMPUTED_VALUE"""),"Batch 268")</f>
        <v>Batch 268</v>
      </c>
      <c r="B4948" s="9" t="str">
        <f>IFERROR(__xludf.DUMMYFUNCTION("""COMPUTED_VALUE"""),"MehakC68")</f>
        <v>MehakC68</v>
      </c>
      <c r="C4948" s="8">
        <f>IFERROR(__xludf.DUMMYFUNCTION("""COMPUTED_VALUE"""),0.0)</f>
        <v>0</v>
      </c>
      <c r="D4948" s="8"/>
    </row>
    <row r="4949">
      <c r="A4949" s="9" t="str">
        <f>IFERROR(__xludf.DUMMYFUNCTION("""COMPUTED_VALUE"""),"Batch 268")</f>
        <v>Batch 268</v>
      </c>
      <c r="B4949" s="9" t="str">
        <f>IFERROR(__xludf.DUMMYFUNCTION("""COMPUTED_VALUE"""),"PriyanshuC68")</f>
        <v>PriyanshuC68</v>
      </c>
      <c r="C4949" s="8">
        <f>IFERROR(__xludf.DUMMYFUNCTION("""COMPUTED_VALUE"""),0.0)</f>
        <v>0</v>
      </c>
      <c r="D4949" s="8"/>
    </row>
    <row r="4950">
      <c r="A4950" s="9" t="str">
        <f>IFERROR(__xludf.DUMMYFUNCTION("""COMPUTED_VALUE"""),"Batch 268")</f>
        <v>Batch 268</v>
      </c>
      <c r="B4950" s="9" t="str">
        <f>IFERROR(__xludf.DUMMYFUNCTION("""COMPUTED_VALUE"""),"PratishthaC68")</f>
        <v>PratishthaC68</v>
      </c>
      <c r="C4950" s="8">
        <f>IFERROR(__xludf.DUMMYFUNCTION("""COMPUTED_VALUE"""),0.0)</f>
        <v>0</v>
      </c>
      <c r="D4950" s="8"/>
    </row>
    <row r="4951">
      <c r="A4951" s="9" t="str">
        <f>IFERROR(__xludf.DUMMYFUNCTION("""COMPUTED_VALUE"""),"Batch 268")</f>
        <v>Batch 268</v>
      </c>
      <c r="B4951" s="9" t="str">
        <f>IFERROR(__xludf.DUMMYFUNCTION("""COMPUTED_VALUE"""),"HarshC68")</f>
        <v>HarshC68</v>
      </c>
      <c r="C4951" s="8">
        <f>IFERROR(__xludf.DUMMYFUNCTION("""COMPUTED_VALUE"""),0.0)</f>
        <v>0</v>
      </c>
      <c r="D4951" s="8"/>
    </row>
    <row r="4952">
      <c r="A4952" s="9" t="str">
        <f>IFERROR(__xludf.DUMMYFUNCTION("""COMPUTED_VALUE"""),"Batch 268")</f>
        <v>Batch 268</v>
      </c>
      <c r="B4952" s="9" t="str">
        <f>IFERROR(__xludf.DUMMYFUNCTION("""COMPUTED_VALUE"""),"JyoshnaC68")</f>
        <v>JyoshnaC68</v>
      </c>
      <c r="C4952" s="8">
        <f>IFERROR(__xludf.DUMMYFUNCTION("""COMPUTED_VALUE"""),0.0)</f>
        <v>0</v>
      </c>
      <c r="D4952" s="8"/>
    </row>
    <row r="4953">
      <c r="A4953" s="9" t="str">
        <f>IFERROR(__xludf.DUMMYFUNCTION("""COMPUTED_VALUE"""),"Batch 268")</f>
        <v>Batch 268</v>
      </c>
      <c r="B4953" s="9" t="str">
        <f>IFERROR(__xludf.DUMMYFUNCTION("""COMPUTED_VALUE"""),"SiddharthC68")</f>
        <v>SiddharthC68</v>
      </c>
      <c r="C4953" s="8">
        <f>IFERROR(__xludf.DUMMYFUNCTION("""COMPUTED_VALUE"""),0.0)</f>
        <v>0</v>
      </c>
      <c r="D4953" s="8"/>
    </row>
    <row r="4954">
      <c r="A4954" s="9" t="str">
        <f>IFERROR(__xludf.DUMMYFUNCTION("""COMPUTED_VALUE"""),"Batch 268")</f>
        <v>Batch 268</v>
      </c>
      <c r="B4954" s="9" t="str">
        <f>IFERROR(__xludf.DUMMYFUNCTION("""COMPUTED_VALUE"""),"SwetankanC68")</f>
        <v>SwetankanC68</v>
      </c>
      <c r="C4954" s="8">
        <f>IFERROR(__xludf.DUMMYFUNCTION("""COMPUTED_VALUE"""),0.0)</f>
        <v>0</v>
      </c>
      <c r="D4954" s="8"/>
    </row>
    <row r="4955">
      <c r="A4955" s="9" t="str">
        <f>IFERROR(__xludf.DUMMYFUNCTION("""COMPUTED_VALUE"""),"Batch 268")</f>
        <v>Batch 268</v>
      </c>
      <c r="B4955" s="9" t="str">
        <f>IFERROR(__xludf.DUMMYFUNCTION("""COMPUTED_VALUE"""),"AnshikaC68")</f>
        <v>AnshikaC68</v>
      </c>
      <c r="C4955" s="8">
        <f>IFERROR(__xludf.DUMMYFUNCTION("""COMPUTED_VALUE"""),0.0)</f>
        <v>0</v>
      </c>
      <c r="D4955" s="8"/>
    </row>
    <row r="4956">
      <c r="A4956" s="9" t="str">
        <f>IFERROR(__xludf.DUMMYFUNCTION("""COMPUTED_VALUE"""),"Batch 268")</f>
        <v>Batch 268</v>
      </c>
      <c r="B4956" s="9" t="str">
        <f>IFERROR(__xludf.DUMMYFUNCTION("""COMPUTED_VALUE"""),"SnehaC68")</f>
        <v>SnehaC68</v>
      </c>
      <c r="C4956" s="8">
        <f>IFERROR(__xludf.DUMMYFUNCTION("""COMPUTED_VALUE"""),10.0)</f>
        <v>10</v>
      </c>
      <c r="D4956" s="8">
        <f>IFERROR(__xludf.DUMMYFUNCTION("""COMPUTED_VALUE"""),6.0)</f>
        <v>6</v>
      </c>
    </row>
    <row r="4957">
      <c r="A4957" s="9" t="str">
        <f>IFERROR(__xludf.DUMMYFUNCTION("""COMPUTED_VALUE"""),"Batch 268")</f>
        <v>Batch 268</v>
      </c>
      <c r="B4957" s="9" t="str">
        <f>IFERROR(__xludf.DUMMYFUNCTION("""COMPUTED_VALUE"""),"AtharvaC68")</f>
        <v>AtharvaC68</v>
      </c>
      <c r="C4957" s="8">
        <f>IFERROR(__xludf.DUMMYFUNCTION("""COMPUTED_VALUE"""),0.0)</f>
        <v>0</v>
      </c>
      <c r="D4957" s="8"/>
    </row>
    <row r="4958">
      <c r="A4958" s="9" t="str">
        <f>IFERROR(__xludf.DUMMYFUNCTION("""COMPUTED_VALUE"""),"Batch 268")</f>
        <v>Batch 268</v>
      </c>
      <c r="B4958" s="9" t="str">
        <f>IFERROR(__xludf.DUMMYFUNCTION("""COMPUTED_VALUE"""),"LakshayC68")</f>
        <v>LakshayC68</v>
      </c>
      <c r="C4958" s="8">
        <f>IFERROR(__xludf.DUMMYFUNCTION("""COMPUTED_VALUE"""),0.0)</f>
        <v>0</v>
      </c>
      <c r="D4958" s="8"/>
    </row>
    <row r="4959">
      <c r="A4959" s="9" t="str">
        <f>IFERROR(__xludf.DUMMYFUNCTION("""COMPUTED_VALUE"""),"Batch 268")</f>
        <v>Batch 268</v>
      </c>
      <c r="B4959" s="9" t="str">
        <f>IFERROR(__xludf.DUMMYFUNCTION("""COMPUTED_VALUE"""),"MudiliC68")</f>
        <v>MudiliC68</v>
      </c>
      <c r="C4959" s="8">
        <f>IFERROR(__xludf.DUMMYFUNCTION("""COMPUTED_VALUE"""),0.0)</f>
        <v>0</v>
      </c>
      <c r="D4959" s="8"/>
    </row>
    <row r="4960">
      <c r="A4960" s="9" t="str">
        <f>IFERROR(__xludf.DUMMYFUNCTION("""COMPUTED_VALUE"""),"Batch 268")</f>
        <v>Batch 268</v>
      </c>
      <c r="B4960" s="9" t="str">
        <f>IFERROR(__xludf.DUMMYFUNCTION("""COMPUTED_VALUE"""),"MayankC68")</f>
        <v>MayankC68</v>
      </c>
      <c r="C4960" s="8">
        <f>IFERROR(__xludf.DUMMYFUNCTION("""COMPUTED_VALUE"""),0.0)</f>
        <v>0</v>
      </c>
      <c r="D4960" s="8"/>
    </row>
    <row r="4961">
      <c r="A4961" s="9" t="str">
        <f>IFERROR(__xludf.DUMMYFUNCTION("""COMPUTED_VALUE"""),"Batch 268")</f>
        <v>Batch 268</v>
      </c>
      <c r="B4961" s="9" t="str">
        <f>IFERROR(__xludf.DUMMYFUNCTION("""COMPUTED_VALUE"""),"AshiC68")</f>
        <v>AshiC68</v>
      </c>
      <c r="C4961" s="8">
        <f>IFERROR(__xludf.DUMMYFUNCTION("""COMPUTED_VALUE"""),0.0)</f>
        <v>0</v>
      </c>
      <c r="D4961" s="8"/>
    </row>
    <row r="4962">
      <c r="A4962" s="9"/>
      <c r="B4962" s="9"/>
      <c r="C4962" s="8">
        <f>IFERROR(__xludf.DUMMYFUNCTION("""COMPUTED_VALUE"""),0.0)</f>
        <v>0</v>
      </c>
      <c r="D4962" s="8"/>
    </row>
    <row r="4963">
      <c r="A4963" s="9" t="str">
        <f>IFERROR(__xludf.DUMMYFUNCTION("""COMPUTED_VALUE"""),"Batch 269")</f>
        <v>Batch 269</v>
      </c>
      <c r="B4963" s="9" t="str">
        <f>IFERROR(__xludf.DUMMYFUNCTION("""COMPUTED_VALUE"""),"PriyankaC69")</f>
        <v>PriyankaC69</v>
      </c>
      <c r="C4963" s="8">
        <f>IFERROR(__xludf.DUMMYFUNCTION("""COMPUTED_VALUE"""),0.0)</f>
        <v>0</v>
      </c>
      <c r="D4963" s="8"/>
    </row>
    <row r="4964">
      <c r="A4964" s="9" t="str">
        <f>IFERROR(__xludf.DUMMYFUNCTION("""COMPUTED_VALUE"""),"Batch 269")</f>
        <v>Batch 269</v>
      </c>
      <c r="B4964" s="9" t="str">
        <f>IFERROR(__xludf.DUMMYFUNCTION("""COMPUTED_VALUE"""),"ArchiC69")</f>
        <v>ArchiC69</v>
      </c>
      <c r="C4964" s="8">
        <f>IFERROR(__xludf.DUMMYFUNCTION("""COMPUTED_VALUE"""),0.0)</f>
        <v>0</v>
      </c>
      <c r="D4964" s="8"/>
    </row>
    <row r="4965">
      <c r="A4965" s="9" t="str">
        <f>IFERROR(__xludf.DUMMYFUNCTION("""COMPUTED_VALUE"""),"Batch 269")</f>
        <v>Batch 269</v>
      </c>
      <c r="B4965" s="9" t="str">
        <f>IFERROR(__xludf.DUMMYFUNCTION("""COMPUTED_VALUE"""),"InshaC69")</f>
        <v>InshaC69</v>
      </c>
      <c r="C4965" s="8">
        <f>IFERROR(__xludf.DUMMYFUNCTION("""COMPUTED_VALUE"""),2.0)</f>
        <v>2</v>
      </c>
      <c r="D4965" s="8">
        <f>IFERROR(__xludf.DUMMYFUNCTION("""COMPUTED_VALUE"""),1.0)</f>
        <v>1</v>
      </c>
    </row>
    <row r="4966">
      <c r="A4966" s="9" t="str">
        <f>IFERROR(__xludf.DUMMYFUNCTION("""COMPUTED_VALUE"""),"Batch 269")</f>
        <v>Batch 269</v>
      </c>
      <c r="B4966" s="9" t="str">
        <f>IFERROR(__xludf.DUMMYFUNCTION("""COMPUTED_VALUE"""),"VidhiC69")</f>
        <v>VidhiC69</v>
      </c>
      <c r="C4966" s="8">
        <f>IFERROR(__xludf.DUMMYFUNCTION("""COMPUTED_VALUE"""),0.0)</f>
        <v>0</v>
      </c>
      <c r="D4966" s="8"/>
    </row>
    <row r="4967">
      <c r="A4967" s="9" t="str">
        <f>IFERROR(__xludf.DUMMYFUNCTION("""COMPUTED_VALUE"""),"Batch 269")</f>
        <v>Batch 269</v>
      </c>
      <c r="B4967" s="9" t="str">
        <f>IFERROR(__xludf.DUMMYFUNCTION("""COMPUTED_VALUE"""),"DebdeepC69")</f>
        <v>DebdeepC69</v>
      </c>
      <c r="C4967" s="8">
        <f>IFERROR(__xludf.DUMMYFUNCTION("""COMPUTED_VALUE"""),4.0)</f>
        <v>4</v>
      </c>
      <c r="D4967" s="8"/>
    </row>
    <row r="4968">
      <c r="A4968" s="9" t="str">
        <f>IFERROR(__xludf.DUMMYFUNCTION("""COMPUTED_VALUE"""),"Batch 269")</f>
        <v>Batch 269</v>
      </c>
      <c r="B4968" s="9" t="str">
        <f>IFERROR(__xludf.DUMMYFUNCTION("""COMPUTED_VALUE"""),"AkarshitaC69")</f>
        <v>AkarshitaC69</v>
      </c>
      <c r="C4968" s="8">
        <f>IFERROR(__xludf.DUMMYFUNCTION("""COMPUTED_VALUE"""),0.0)</f>
        <v>0</v>
      </c>
      <c r="D4968" s="8"/>
    </row>
    <row r="4969">
      <c r="A4969" s="9" t="str">
        <f>IFERROR(__xludf.DUMMYFUNCTION("""COMPUTED_VALUE"""),"Batch 269")</f>
        <v>Batch 269</v>
      </c>
      <c r="B4969" s="9" t="str">
        <f>IFERROR(__xludf.DUMMYFUNCTION("""COMPUTED_VALUE"""),"ShivaniC69")</f>
        <v>ShivaniC69</v>
      </c>
      <c r="C4969" s="8">
        <f>IFERROR(__xludf.DUMMYFUNCTION("""COMPUTED_VALUE"""),0.0)</f>
        <v>0</v>
      </c>
      <c r="D4969" s="8"/>
    </row>
    <row r="4970">
      <c r="A4970" s="9" t="str">
        <f>IFERROR(__xludf.DUMMYFUNCTION("""COMPUTED_VALUE"""),"Batch 269")</f>
        <v>Batch 269</v>
      </c>
      <c r="B4970" s="9" t="str">
        <f>IFERROR(__xludf.DUMMYFUNCTION("""COMPUTED_VALUE"""),"PRAFULC69")</f>
        <v>PRAFULC69</v>
      </c>
      <c r="C4970" s="8">
        <f>IFERROR(__xludf.DUMMYFUNCTION("""COMPUTED_VALUE"""),0.0)</f>
        <v>0</v>
      </c>
      <c r="D4970" s="8"/>
    </row>
    <row r="4971">
      <c r="A4971" s="9" t="str">
        <f>IFERROR(__xludf.DUMMYFUNCTION("""COMPUTED_VALUE"""),"Batch 269")</f>
        <v>Batch 269</v>
      </c>
      <c r="B4971" s="9" t="str">
        <f>IFERROR(__xludf.DUMMYFUNCTION("""COMPUTED_VALUE"""),"SARANC69")</f>
        <v>SARANC69</v>
      </c>
      <c r="C4971" s="8">
        <f>IFERROR(__xludf.DUMMYFUNCTION("""COMPUTED_VALUE"""),0.0)</f>
        <v>0</v>
      </c>
      <c r="D4971" s="8"/>
    </row>
    <row r="4972">
      <c r="A4972" s="9" t="str">
        <f>IFERROR(__xludf.DUMMYFUNCTION("""COMPUTED_VALUE"""),"Batch 269")</f>
        <v>Batch 269</v>
      </c>
      <c r="B4972" s="9" t="str">
        <f>IFERROR(__xludf.DUMMYFUNCTION("""COMPUTED_VALUE"""),"SuhaniC69")</f>
        <v>SuhaniC69</v>
      </c>
      <c r="C4972" s="8">
        <f>IFERROR(__xludf.DUMMYFUNCTION("""COMPUTED_VALUE"""),0.0)</f>
        <v>0</v>
      </c>
      <c r="D4972" s="8"/>
    </row>
    <row r="4973">
      <c r="A4973" s="9" t="str">
        <f>IFERROR(__xludf.DUMMYFUNCTION("""COMPUTED_VALUE"""),"Batch 269")</f>
        <v>Batch 269</v>
      </c>
      <c r="B4973" s="9" t="str">
        <f>IFERROR(__xludf.DUMMYFUNCTION("""COMPUTED_VALUE"""),"AtharvaC69")</f>
        <v>AtharvaC69</v>
      </c>
      <c r="C4973" s="8">
        <f>IFERROR(__xludf.DUMMYFUNCTION("""COMPUTED_VALUE"""),0.0)</f>
        <v>0</v>
      </c>
      <c r="D4973" s="8"/>
    </row>
    <row r="4974">
      <c r="A4974" s="9" t="str">
        <f>IFERROR(__xludf.DUMMYFUNCTION("""COMPUTED_VALUE"""),"Batch 269")</f>
        <v>Batch 269</v>
      </c>
      <c r="B4974" s="9" t="str">
        <f>IFERROR(__xludf.DUMMYFUNCTION("""COMPUTED_VALUE"""),"AditiC69")</f>
        <v>AditiC69</v>
      </c>
      <c r="C4974" s="8">
        <f>IFERROR(__xludf.DUMMYFUNCTION("""COMPUTED_VALUE"""),3.0)</f>
        <v>3</v>
      </c>
      <c r="D4974" s="8"/>
    </row>
    <row r="4975">
      <c r="A4975" s="9" t="str">
        <f>IFERROR(__xludf.DUMMYFUNCTION("""COMPUTED_VALUE"""),"Batch 269")</f>
        <v>Batch 269</v>
      </c>
      <c r="B4975" s="9" t="str">
        <f>IFERROR(__xludf.DUMMYFUNCTION("""COMPUTED_VALUE"""),"AishwaryaC69")</f>
        <v>AishwaryaC69</v>
      </c>
      <c r="C4975" s="8">
        <f>IFERROR(__xludf.DUMMYFUNCTION("""COMPUTED_VALUE"""),0.0)</f>
        <v>0</v>
      </c>
      <c r="D4975" s="8"/>
    </row>
    <row r="4976">
      <c r="A4976" s="9" t="str">
        <f>IFERROR(__xludf.DUMMYFUNCTION("""COMPUTED_VALUE"""),"Batch 269")</f>
        <v>Batch 269</v>
      </c>
      <c r="B4976" s="9" t="str">
        <f>IFERROR(__xludf.DUMMYFUNCTION("""COMPUTED_VALUE"""),"ShrutiC69")</f>
        <v>ShrutiC69</v>
      </c>
      <c r="C4976" s="8">
        <f>IFERROR(__xludf.DUMMYFUNCTION("""COMPUTED_VALUE"""),0.0)</f>
        <v>0</v>
      </c>
      <c r="D4976" s="8"/>
    </row>
    <row r="4977">
      <c r="A4977" s="9" t="str">
        <f>IFERROR(__xludf.DUMMYFUNCTION("""COMPUTED_VALUE"""),"Batch 269")</f>
        <v>Batch 269</v>
      </c>
      <c r="B4977" s="9" t="str">
        <f>IFERROR(__xludf.DUMMYFUNCTION("""COMPUTED_VALUE"""),"ShaliniC69")</f>
        <v>ShaliniC69</v>
      </c>
      <c r="C4977" s="8">
        <f>IFERROR(__xludf.DUMMYFUNCTION("""COMPUTED_VALUE"""),0.0)</f>
        <v>0</v>
      </c>
      <c r="D4977" s="8"/>
    </row>
    <row r="4978">
      <c r="A4978" s="9" t="str">
        <f>IFERROR(__xludf.DUMMYFUNCTION("""COMPUTED_VALUE"""),"Batch 269")</f>
        <v>Batch 269</v>
      </c>
      <c r="B4978" s="9" t="str">
        <f>IFERROR(__xludf.DUMMYFUNCTION("""COMPUTED_VALUE"""),"TanmayC69")</f>
        <v>TanmayC69</v>
      </c>
      <c r="C4978" s="8">
        <f>IFERROR(__xludf.DUMMYFUNCTION("""COMPUTED_VALUE"""),0.0)</f>
        <v>0</v>
      </c>
      <c r="D4978" s="8"/>
    </row>
    <row r="4979">
      <c r="A4979" s="9" t="str">
        <f>IFERROR(__xludf.DUMMYFUNCTION("""COMPUTED_VALUE"""),"Batch 269")</f>
        <v>Batch 269</v>
      </c>
      <c r="B4979" s="9" t="str">
        <f>IFERROR(__xludf.DUMMYFUNCTION("""COMPUTED_VALUE"""),"SanidhyaC69")</f>
        <v>SanidhyaC69</v>
      </c>
      <c r="C4979" s="8">
        <f>IFERROR(__xludf.DUMMYFUNCTION("""COMPUTED_VALUE"""),3.0)</f>
        <v>3</v>
      </c>
      <c r="D4979" s="8"/>
    </row>
    <row r="4980">
      <c r="A4980" s="9" t="str">
        <f>IFERROR(__xludf.DUMMYFUNCTION("""COMPUTED_VALUE"""),"Batch 269")</f>
        <v>Batch 269</v>
      </c>
      <c r="B4980" s="9" t="str">
        <f>IFERROR(__xludf.DUMMYFUNCTION("""COMPUTED_VALUE"""),"AyushC69")</f>
        <v>AyushC69</v>
      </c>
      <c r="C4980" s="8">
        <f>IFERROR(__xludf.DUMMYFUNCTION("""COMPUTED_VALUE"""),0.0)</f>
        <v>0</v>
      </c>
      <c r="D4980" s="8"/>
    </row>
    <row r="4981">
      <c r="A4981" s="9" t="str">
        <f>IFERROR(__xludf.DUMMYFUNCTION("""COMPUTED_VALUE"""),"Batch 269")</f>
        <v>Batch 269</v>
      </c>
      <c r="B4981" s="9" t="str">
        <f>IFERROR(__xludf.DUMMYFUNCTION("""COMPUTED_VALUE"""),"AshutoshC69")</f>
        <v>AshutoshC69</v>
      </c>
      <c r="C4981" s="8">
        <f>IFERROR(__xludf.DUMMYFUNCTION("""COMPUTED_VALUE"""),0.0)</f>
        <v>0</v>
      </c>
      <c r="D4981" s="8"/>
    </row>
    <row r="4982">
      <c r="A4982" s="9" t="str">
        <f>IFERROR(__xludf.DUMMYFUNCTION("""COMPUTED_VALUE"""),"Batch 269")</f>
        <v>Batch 269</v>
      </c>
      <c r="B4982" s="9" t="str">
        <f>IFERROR(__xludf.DUMMYFUNCTION("""COMPUTED_VALUE"""),"TishaC69")</f>
        <v>TishaC69</v>
      </c>
      <c r="C4982" s="8">
        <f>IFERROR(__xludf.DUMMYFUNCTION("""COMPUTED_VALUE"""),0.0)</f>
        <v>0</v>
      </c>
      <c r="D4982" s="8"/>
    </row>
    <row r="4983">
      <c r="A4983" s="9" t="str">
        <f>IFERROR(__xludf.DUMMYFUNCTION("""COMPUTED_VALUE"""),"Batch 269")</f>
        <v>Batch 269</v>
      </c>
      <c r="B4983" s="9" t="str">
        <f>IFERROR(__xludf.DUMMYFUNCTION("""COMPUTED_VALUE"""),"LakshyaC69")</f>
        <v>LakshyaC69</v>
      </c>
      <c r="C4983" s="8">
        <f>IFERROR(__xludf.DUMMYFUNCTION("""COMPUTED_VALUE"""),0.0)</f>
        <v>0</v>
      </c>
      <c r="D4983" s="8"/>
    </row>
    <row r="4984">
      <c r="A4984" s="9" t="str">
        <f>IFERROR(__xludf.DUMMYFUNCTION("""COMPUTED_VALUE"""),"Batch 269")</f>
        <v>Batch 269</v>
      </c>
      <c r="B4984" s="9" t="str">
        <f>IFERROR(__xludf.DUMMYFUNCTION("""COMPUTED_VALUE"""),"PratikC69")</f>
        <v>PratikC69</v>
      </c>
      <c r="C4984" s="8">
        <f>IFERROR(__xludf.DUMMYFUNCTION("""COMPUTED_VALUE"""),1.0)</f>
        <v>1</v>
      </c>
      <c r="D4984" s="8"/>
    </row>
    <row r="4985">
      <c r="A4985" s="9" t="str">
        <f>IFERROR(__xludf.DUMMYFUNCTION("""COMPUTED_VALUE"""),"Batch 269")</f>
        <v>Batch 269</v>
      </c>
      <c r="B4985" s="9" t="str">
        <f>IFERROR(__xludf.DUMMYFUNCTION("""COMPUTED_VALUE"""),"SachinC69")</f>
        <v>SachinC69</v>
      </c>
      <c r="C4985" s="8">
        <f>IFERROR(__xludf.DUMMYFUNCTION("""COMPUTED_VALUE"""),0.0)</f>
        <v>0</v>
      </c>
      <c r="D4985" s="8">
        <f>IFERROR(__xludf.DUMMYFUNCTION("""COMPUTED_VALUE"""),3.0)</f>
        <v>3</v>
      </c>
    </row>
    <row r="4986">
      <c r="A4986" s="9" t="str">
        <f>IFERROR(__xludf.DUMMYFUNCTION("""COMPUTED_VALUE"""),"Batch 269")</f>
        <v>Batch 269</v>
      </c>
      <c r="B4986" s="9" t="str">
        <f>IFERROR(__xludf.DUMMYFUNCTION("""COMPUTED_VALUE"""),"YashC69")</f>
        <v>YashC69</v>
      </c>
      <c r="C4986" s="8">
        <f>IFERROR(__xludf.DUMMYFUNCTION("""COMPUTED_VALUE"""),0.0)</f>
        <v>0</v>
      </c>
      <c r="D4986" s="8"/>
    </row>
    <row r="4987">
      <c r="A4987" s="9" t="str">
        <f>IFERROR(__xludf.DUMMYFUNCTION("""COMPUTED_VALUE"""),"Batch 269")</f>
        <v>Batch 269</v>
      </c>
      <c r="B4987" s="9" t="str">
        <f>IFERROR(__xludf.DUMMYFUNCTION("""COMPUTED_VALUE"""),"BarkhaC69")</f>
        <v>BarkhaC69</v>
      </c>
      <c r="C4987" s="8">
        <f>IFERROR(__xludf.DUMMYFUNCTION("""COMPUTED_VALUE"""),0.0)</f>
        <v>0</v>
      </c>
      <c r="D4987" s="8"/>
    </row>
    <row r="4988">
      <c r="A4988" s="9" t="str">
        <f>IFERROR(__xludf.DUMMYFUNCTION("""COMPUTED_VALUE"""),"Batch 269")</f>
        <v>Batch 269</v>
      </c>
      <c r="B4988" s="9" t="str">
        <f>IFERROR(__xludf.DUMMYFUNCTION("""COMPUTED_VALUE"""),"VanshikaC69")</f>
        <v>VanshikaC69</v>
      </c>
      <c r="C4988" s="8">
        <f>IFERROR(__xludf.DUMMYFUNCTION("""COMPUTED_VALUE"""),0.0)</f>
        <v>0</v>
      </c>
      <c r="D4988" s="8"/>
    </row>
    <row r="4989">
      <c r="A4989" s="9"/>
      <c r="B4989" s="9"/>
      <c r="C4989" s="8">
        <f>IFERROR(__xludf.DUMMYFUNCTION("""COMPUTED_VALUE"""),0.0)</f>
        <v>0</v>
      </c>
      <c r="D4989" s="8"/>
    </row>
    <row r="4990">
      <c r="A4990" s="9" t="str">
        <f>IFERROR(__xludf.DUMMYFUNCTION("""COMPUTED_VALUE"""),"Batch 270")</f>
        <v>Batch 270</v>
      </c>
      <c r="B4990" s="9" t="str">
        <f>IFERROR(__xludf.DUMMYFUNCTION("""COMPUTED_VALUE"""),"AishwaryaC70")</f>
        <v>AishwaryaC70</v>
      </c>
      <c r="C4990" s="8">
        <f>IFERROR(__xludf.DUMMYFUNCTION("""COMPUTED_VALUE"""),0.0)</f>
        <v>0</v>
      </c>
      <c r="D4990" s="8"/>
    </row>
    <row r="4991">
      <c r="A4991" s="9" t="str">
        <f>IFERROR(__xludf.DUMMYFUNCTION("""COMPUTED_VALUE"""),"Batch 270")</f>
        <v>Batch 270</v>
      </c>
      <c r="B4991" s="9" t="str">
        <f>IFERROR(__xludf.DUMMYFUNCTION("""COMPUTED_VALUE"""),"T.lalithaC70")</f>
        <v>T.lalithaC70</v>
      </c>
      <c r="C4991" s="8">
        <f>IFERROR(__xludf.DUMMYFUNCTION("""COMPUTED_VALUE"""),0.0)</f>
        <v>0</v>
      </c>
      <c r="D4991" s="8"/>
    </row>
    <row r="4992">
      <c r="A4992" s="9" t="str">
        <f>IFERROR(__xludf.DUMMYFUNCTION("""COMPUTED_VALUE"""),"Batch 270")</f>
        <v>Batch 270</v>
      </c>
      <c r="B4992" s="9" t="str">
        <f>IFERROR(__xludf.DUMMYFUNCTION("""COMPUTED_VALUE"""),"ELLANDULAC70")</f>
        <v>ELLANDULAC70</v>
      </c>
      <c r="C4992" s="8">
        <f>IFERROR(__xludf.DUMMYFUNCTION("""COMPUTED_VALUE"""),0.0)</f>
        <v>0</v>
      </c>
      <c r="D4992" s="8"/>
    </row>
    <row r="4993">
      <c r="A4993" s="9" t="str">
        <f>IFERROR(__xludf.DUMMYFUNCTION("""COMPUTED_VALUE"""),"Batch 270")</f>
        <v>Batch 270</v>
      </c>
      <c r="B4993" s="9" t="str">
        <f>IFERROR(__xludf.DUMMYFUNCTION("""COMPUTED_VALUE"""),"RitikC70")</f>
        <v>RitikC70</v>
      </c>
      <c r="C4993" s="8">
        <f>IFERROR(__xludf.DUMMYFUNCTION("""COMPUTED_VALUE"""),3.0)</f>
        <v>3</v>
      </c>
      <c r="D4993" s="8"/>
    </row>
    <row r="4994">
      <c r="A4994" s="9" t="str">
        <f>IFERROR(__xludf.DUMMYFUNCTION("""COMPUTED_VALUE"""),"Batch 270")</f>
        <v>Batch 270</v>
      </c>
      <c r="B4994" s="9" t="str">
        <f>IFERROR(__xludf.DUMMYFUNCTION("""COMPUTED_VALUE"""),"GunalanC70")</f>
        <v>GunalanC70</v>
      </c>
      <c r="C4994" s="8">
        <f>IFERROR(__xludf.DUMMYFUNCTION("""COMPUTED_VALUE"""),1.0)</f>
        <v>1</v>
      </c>
      <c r="D4994" s="8"/>
    </row>
    <row r="4995">
      <c r="A4995" s="9" t="str">
        <f>IFERROR(__xludf.DUMMYFUNCTION("""COMPUTED_VALUE"""),"Batch 270")</f>
        <v>Batch 270</v>
      </c>
      <c r="B4995" s="9" t="str">
        <f>IFERROR(__xludf.DUMMYFUNCTION("""COMPUTED_VALUE"""),"REMAC70")</f>
        <v>REMAC70</v>
      </c>
      <c r="C4995" s="8">
        <f>IFERROR(__xludf.DUMMYFUNCTION("""COMPUTED_VALUE"""),0.0)</f>
        <v>0</v>
      </c>
      <c r="D4995" s="8"/>
    </row>
    <row r="4996">
      <c r="A4996" s="9" t="str">
        <f>IFERROR(__xludf.DUMMYFUNCTION("""COMPUTED_VALUE"""),"Batch 270")</f>
        <v>Batch 270</v>
      </c>
      <c r="B4996" s="9" t="str">
        <f>IFERROR(__xludf.DUMMYFUNCTION("""COMPUTED_VALUE"""),"SuruthiC70")</f>
        <v>SuruthiC70</v>
      </c>
      <c r="C4996" s="8">
        <f>IFERROR(__xludf.DUMMYFUNCTION("""COMPUTED_VALUE"""),0.0)</f>
        <v>0</v>
      </c>
      <c r="D4996" s="8"/>
    </row>
    <row r="4997">
      <c r="A4997" s="9" t="str">
        <f>IFERROR(__xludf.DUMMYFUNCTION("""COMPUTED_VALUE"""),"Batch 270")</f>
        <v>Batch 270</v>
      </c>
      <c r="B4997" s="9" t="str">
        <f>IFERROR(__xludf.DUMMYFUNCTION("""COMPUTED_VALUE"""),"PranathiC70")</f>
        <v>PranathiC70</v>
      </c>
      <c r="C4997" s="8">
        <f>IFERROR(__xludf.DUMMYFUNCTION("""COMPUTED_VALUE"""),0.0)</f>
        <v>0</v>
      </c>
      <c r="D4997" s="8"/>
    </row>
    <row r="4998">
      <c r="A4998" s="9" t="str">
        <f>IFERROR(__xludf.DUMMYFUNCTION("""COMPUTED_VALUE"""),"Batch 270")</f>
        <v>Batch 270</v>
      </c>
      <c r="B4998" s="9" t="str">
        <f>IFERROR(__xludf.DUMMYFUNCTION("""COMPUTED_VALUE"""),"VINAYC70")</f>
        <v>VINAYC70</v>
      </c>
      <c r="C4998" s="8">
        <f>IFERROR(__xludf.DUMMYFUNCTION("""COMPUTED_VALUE"""),0.0)</f>
        <v>0</v>
      </c>
      <c r="D4998" s="8"/>
    </row>
    <row r="4999">
      <c r="A4999" s="9" t="str">
        <f>IFERROR(__xludf.DUMMYFUNCTION("""COMPUTED_VALUE"""),"Batch 270")</f>
        <v>Batch 270</v>
      </c>
      <c r="B4999" s="9" t="str">
        <f>IFERROR(__xludf.DUMMYFUNCTION("""COMPUTED_VALUE"""),"SujalC70")</f>
        <v>SujalC70</v>
      </c>
      <c r="C4999" s="8">
        <f>IFERROR(__xludf.DUMMYFUNCTION("""COMPUTED_VALUE"""),0.0)</f>
        <v>0</v>
      </c>
      <c r="D4999" s="8"/>
    </row>
    <row r="5000">
      <c r="A5000" s="9" t="str">
        <f>IFERROR(__xludf.DUMMYFUNCTION("""COMPUTED_VALUE"""),"Batch 270")</f>
        <v>Batch 270</v>
      </c>
      <c r="B5000" s="9" t="str">
        <f>IFERROR(__xludf.DUMMYFUNCTION("""COMPUTED_VALUE"""),"RichyC70")</f>
        <v>RichyC70</v>
      </c>
      <c r="C5000" s="8">
        <f>IFERROR(__xludf.DUMMYFUNCTION("""COMPUTED_VALUE"""),0.0)</f>
        <v>0</v>
      </c>
      <c r="D5000" s="8"/>
    </row>
    <row r="5001">
      <c r="A5001" s="9" t="str">
        <f>IFERROR(__xludf.DUMMYFUNCTION("""COMPUTED_VALUE"""),"Batch 270")</f>
        <v>Batch 270</v>
      </c>
      <c r="B5001" s="9" t="str">
        <f>IFERROR(__xludf.DUMMYFUNCTION("""COMPUTED_VALUE"""),"JhanviC70")</f>
        <v>JhanviC70</v>
      </c>
      <c r="C5001" s="8">
        <f>IFERROR(__xludf.DUMMYFUNCTION("""COMPUTED_VALUE"""),0.0)</f>
        <v>0</v>
      </c>
      <c r="D5001" s="8"/>
    </row>
    <row r="5002">
      <c r="A5002" s="9" t="str">
        <f>IFERROR(__xludf.DUMMYFUNCTION("""COMPUTED_VALUE"""),"Batch 270")</f>
        <v>Batch 270</v>
      </c>
      <c r="B5002" s="9" t="str">
        <f>IFERROR(__xludf.DUMMYFUNCTION("""COMPUTED_VALUE"""),"PiyushC70")</f>
        <v>PiyushC70</v>
      </c>
      <c r="C5002" s="8">
        <f>IFERROR(__xludf.DUMMYFUNCTION("""COMPUTED_VALUE"""),0.0)</f>
        <v>0</v>
      </c>
      <c r="D5002" s="8"/>
    </row>
    <row r="5003">
      <c r="A5003" s="9" t="str">
        <f>IFERROR(__xludf.DUMMYFUNCTION("""COMPUTED_VALUE"""),"Batch 270")</f>
        <v>Batch 270</v>
      </c>
      <c r="B5003" s="9" t="str">
        <f>IFERROR(__xludf.DUMMYFUNCTION("""COMPUTED_VALUE"""),"NikhilC70")</f>
        <v>NikhilC70</v>
      </c>
      <c r="C5003" s="8">
        <f>IFERROR(__xludf.DUMMYFUNCTION("""COMPUTED_VALUE"""),0.0)</f>
        <v>0</v>
      </c>
      <c r="D5003" s="8"/>
    </row>
    <row r="5004">
      <c r="A5004" s="9" t="str">
        <f>IFERROR(__xludf.DUMMYFUNCTION("""COMPUTED_VALUE"""),"Batch 270")</f>
        <v>Batch 270</v>
      </c>
      <c r="B5004" s="9" t="str">
        <f>IFERROR(__xludf.DUMMYFUNCTION("""COMPUTED_VALUE"""),"KhushiC70")</f>
        <v>KhushiC70</v>
      </c>
      <c r="C5004" s="8">
        <f>IFERROR(__xludf.DUMMYFUNCTION("""COMPUTED_VALUE"""),0.0)</f>
        <v>0</v>
      </c>
      <c r="D5004" s="8"/>
    </row>
    <row r="5005">
      <c r="A5005" s="9" t="str">
        <f>IFERROR(__xludf.DUMMYFUNCTION("""COMPUTED_VALUE"""),"Batch 270")</f>
        <v>Batch 270</v>
      </c>
      <c r="B5005" s="9" t="str">
        <f>IFERROR(__xludf.DUMMYFUNCTION("""COMPUTED_VALUE"""),"SonamC70")</f>
        <v>SonamC70</v>
      </c>
      <c r="C5005" s="8">
        <f>IFERROR(__xludf.DUMMYFUNCTION("""COMPUTED_VALUE"""),0.0)</f>
        <v>0</v>
      </c>
      <c r="D5005" s="8"/>
    </row>
    <row r="5006">
      <c r="A5006" s="9" t="str">
        <f>IFERROR(__xludf.DUMMYFUNCTION("""COMPUTED_VALUE"""),"Batch 270")</f>
        <v>Batch 270</v>
      </c>
      <c r="B5006" s="9" t="str">
        <f>IFERROR(__xludf.DUMMYFUNCTION("""COMPUTED_VALUE"""),"WassefC70")</f>
        <v>WassefC70</v>
      </c>
      <c r="C5006" s="8">
        <f>IFERROR(__xludf.DUMMYFUNCTION("""COMPUTED_VALUE"""),0.0)</f>
        <v>0</v>
      </c>
      <c r="D5006" s="8"/>
    </row>
    <row r="5007">
      <c r="A5007" s="9" t="str">
        <f>IFERROR(__xludf.DUMMYFUNCTION("""COMPUTED_VALUE"""),"Batch 270")</f>
        <v>Batch 270</v>
      </c>
      <c r="B5007" s="9" t="str">
        <f>IFERROR(__xludf.DUMMYFUNCTION("""COMPUTED_VALUE"""),"TanayC70")</f>
        <v>TanayC70</v>
      </c>
      <c r="C5007" s="8">
        <f>IFERROR(__xludf.DUMMYFUNCTION("""COMPUTED_VALUE"""),0.0)</f>
        <v>0</v>
      </c>
      <c r="D5007" s="8"/>
    </row>
    <row r="5008">
      <c r="A5008" s="9" t="str">
        <f>IFERROR(__xludf.DUMMYFUNCTION("""COMPUTED_VALUE"""),"Batch 270")</f>
        <v>Batch 270</v>
      </c>
      <c r="B5008" s="9" t="str">
        <f>IFERROR(__xludf.DUMMYFUNCTION("""COMPUTED_VALUE"""),"JyotiC70")</f>
        <v>JyotiC70</v>
      </c>
      <c r="C5008" s="8">
        <f>IFERROR(__xludf.DUMMYFUNCTION("""COMPUTED_VALUE"""),0.0)</f>
        <v>0</v>
      </c>
      <c r="D5008" s="8"/>
    </row>
    <row r="5009">
      <c r="A5009" s="9" t="str">
        <f>IFERROR(__xludf.DUMMYFUNCTION("""COMPUTED_VALUE"""),"Batch 270")</f>
        <v>Batch 270</v>
      </c>
      <c r="B5009" s="9" t="str">
        <f>IFERROR(__xludf.DUMMYFUNCTION("""COMPUTED_VALUE"""),"SiddharthC70")</f>
        <v>SiddharthC70</v>
      </c>
      <c r="C5009" s="8">
        <f>IFERROR(__xludf.DUMMYFUNCTION("""COMPUTED_VALUE"""),0.0)</f>
        <v>0</v>
      </c>
      <c r="D5009" s="8"/>
    </row>
    <row r="5010">
      <c r="A5010" s="9" t="str">
        <f>IFERROR(__xludf.DUMMYFUNCTION("""COMPUTED_VALUE"""),"Batch 270")</f>
        <v>Batch 270</v>
      </c>
      <c r="B5010" s="9" t="str">
        <f>IFERROR(__xludf.DUMMYFUNCTION("""COMPUTED_VALUE"""),"MadhavC70")</f>
        <v>MadhavC70</v>
      </c>
      <c r="C5010" s="8">
        <f>IFERROR(__xludf.DUMMYFUNCTION("""COMPUTED_VALUE"""),0.0)</f>
        <v>0</v>
      </c>
      <c r="D5010" s="8"/>
    </row>
    <row r="5011">
      <c r="A5011" s="9" t="str">
        <f>IFERROR(__xludf.DUMMYFUNCTION("""COMPUTED_VALUE"""),"Batch 270")</f>
        <v>Batch 270</v>
      </c>
      <c r="B5011" s="9" t="str">
        <f>IFERROR(__xludf.DUMMYFUNCTION("""COMPUTED_VALUE"""),"SanapalaC70")</f>
        <v>SanapalaC70</v>
      </c>
      <c r="C5011" s="8">
        <f>IFERROR(__xludf.DUMMYFUNCTION("""COMPUTED_VALUE"""),0.0)</f>
        <v>0</v>
      </c>
      <c r="D5011" s="8"/>
    </row>
    <row r="5012">
      <c r="A5012" s="9" t="str">
        <f>IFERROR(__xludf.DUMMYFUNCTION("""COMPUTED_VALUE"""),"Batch 270")</f>
        <v>Batch 270</v>
      </c>
      <c r="B5012" s="9" t="str">
        <f>IFERROR(__xludf.DUMMYFUNCTION("""COMPUTED_VALUE"""),"IndranilC70")</f>
        <v>IndranilC70</v>
      </c>
      <c r="C5012" s="8">
        <f>IFERROR(__xludf.DUMMYFUNCTION("""COMPUTED_VALUE"""),0.0)</f>
        <v>0</v>
      </c>
      <c r="D5012" s="8"/>
    </row>
    <row r="5013">
      <c r="A5013" s="9" t="str">
        <f>IFERROR(__xludf.DUMMYFUNCTION("""COMPUTED_VALUE"""),"Batch 270")</f>
        <v>Batch 270</v>
      </c>
      <c r="B5013" s="9" t="str">
        <f>IFERROR(__xludf.DUMMYFUNCTION("""COMPUTED_VALUE"""),"AryanC70")</f>
        <v>AryanC70</v>
      </c>
      <c r="C5013" s="8">
        <f>IFERROR(__xludf.DUMMYFUNCTION("""COMPUTED_VALUE"""),0.0)</f>
        <v>0</v>
      </c>
      <c r="D5013" s="8"/>
    </row>
    <row r="5014">
      <c r="A5014" s="9" t="str">
        <f>IFERROR(__xludf.DUMMYFUNCTION("""COMPUTED_VALUE"""),"Batch 270")</f>
        <v>Batch 270</v>
      </c>
      <c r="B5014" s="9" t="str">
        <f>IFERROR(__xludf.DUMMYFUNCTION("""COMPUTED_VALUE"""),"MuskanC70")</f>
        <v>MuskanC70</v>
      </c>
      <c r="C5014" s="8">
        <f>IFERROR(__xludf.DUMMYFUNCTION("""COMPUTED_VALUE"""),0.0)</f>
        <v>0</v>
      </c>
      <c r="D5014" s="8"/>
    </row>
    <row r="5015">
      <c r="A5015" s="9" t="str">
        <f>IFERROR(__xludf.DUMMYFUNCTION("""COMPUTED_VALUE"""),"Batch 270")</f>
        <v>Batch 270</v>
      </c>
      <c r="B5015" s="9" t="str">
        <f>IFERROR(__xludf.DUMMYFUNCTION("""COMPUTED_VALUE"""),"RenukaC70")</f>
        <v>RenukaC70</v>
      </c>
      <c r="C5015" s="8">
        <f>IFERROR(__xludf.DUMMYFUNCTION("""COMPUTED_VALUE"""),0.0)</f>
        <v>0</v>
      </c>
      <c r="D5015" s="8"/>
    </row>
    <row r="5016">
      <c r="A5016" s="9" t="str">
        <f>IFERROR(__xludf.DUMMYFUNCTION("""COMPUTED_VALUE"""),"Batch 270")</f>
        <v>Batch 270</v>
      </c>
      <c r="B5016" s="9" t="str">
        <f>IFERROR(__xludf.DUMMYFUNCTION("""COMPUTED_VALUE"""),"THULASIDHARANC70")</f>
        <v>THULASIDHARANC70</v>
      </c>
      <c r="C5016" s="8">
        <f>IFERROR(__xludf.DUMMYFUNCTION("""COMPUTED_VALUE"""),0.0)</f>
        <v>0</v>
      </c>
      <c r="D5016" s="8"/>
    </row>
    <row r="5017">
      <c r="A5017" s="9"/>
      <c r="B5017" s="9"/>
      <c r="C5017" s="8">
        <f>IFERROR(__xludf.DUMMYFUNCTION("""COMPUTED_VALUE"""),0.0)</f>
        <v>0</v>
      </c>
      <c r="D5017" s="8"/>
    </row>
    <row r="5018">
      <c r="A5018" s="9" t="str">
        <f>IFERROR(__xludf.DUMMYFUNCTION("""COMPUTED_VALUE"""),"Batch 271")</f>
        <v>Batch 271</v>
      </c>
      <c r="B5018" s="9" t="str">
        <f>IFERROR(__xludf.DUMMYFUNCTION("""COMPUTED_VALUE"""),"RahulC71")</f>
        <v>RahulC71</v>
      </c>
      <c r="C5018" s="8">
        <f>IFERROR(__xludf.DUMMYFUNCTION("""COMPUTED_VALUE"""),0.0)</f>
        <v>0</v>
      </c>
      <c r="D5018" s="8"/>
    </row>
    <row r="5019">
      <c r="A5019" s="9" t="str">
        <f>IFERROR(__xludf.DUMMYFUNCTION("""COMPUTED_VALUE"""),"Batch 271")</f>
        <v>Batch 271</v>
      </c>
      <c r="B5019" s="9" t="str">
        <f>IFERROR(__xludf.DUMMYFUNCTION("""COMPUTED_VALUE"""),"MohdC71")</f>
        <v>MohdC71</v>
      </c>
      <c r="C5019" s="8">
        <f>IFERROR(__xludf.DUMMYFUNCTION("""COMPUTED_VALUE"""),0.0)</f>
        <v>0</v>
      </c>
      <c r="D5019" s="8"/>
    </row>
    <row r="5020">
      <c r="A5020" s="9" t="str">
        <f>IFERROR(__xludf.DUMMYFUNCTION("""COMPUTED_VALUE"""),"Batch 271")</f>
        <v>Batch 271</v>
      </c>
      <c r="B5020" s="9" t="str">
        <f>IFERROR(__xludf.DUMMYFUNCTION("""COMPUTED_VALUE"""),"KashishC71")</f>
        <v>KashishC71</v>
      </c>
      <c r="C5020" s="8">
        <f>IFERROR(__xludf.DUMMYFUNCTION("""COMPUTED_VALUE"""),0.0)</f>
        <v>0</v>
      </c>
      <c r="D5020" s="8"/>
    </row>
    <row r="5021">
      <c r="A5021" s="9" t="str">
        <f>IFERROR(__xludf.DUMMYFUNCTION("""COMPUTED_VALUE"""),"Batch 271")</f>
        <v>Batch 271</v>
      </c>
      <c r="B5021" s="9" t="str">
        <f>IFERROR(__xludf.DUMMYFUNCTION("""COMPUTED_VALUE"""),"KhushbuC71")</f>
        <v>KhushbuC71</v>
      </c>
      <c r="C5021" s="8">
        <f>IFERROR(__xludf.DUMMYFUNCTION("""COMPUTED_VALUE"""),14.0)</f>
        <v>14</v>
      </c>
      <c r="D5021" s="8">
        <f>IFERROR(__xludf.DUMMYFUNCTION("""COMPUTED_VALUE"""),1.0)</f>
        <v>1</v>
      </c>
    </row>
    <row r="5022">
      <c r="A5022" s="9" t="str">
        <f>IFERROR(__xludf.DUMMYFUNCTION("""COMPUTED_VALUE"""),"Batch 271")</f>
        <v>Batch 271</v>
      </c>
      <c r="B5022" s="9" t="str">
        <f>IFERROR(__xludf.DUMMYFUNCTION("""COMPUTED_VALUE"""),"AsthaC71")</f>
        <v>AsthaC71</v>
      </c>
      <c r="C5022" s="8">
        <f>IFERROR(__xludf.DUMMYFUNCTION("""COMPUTED_VALUE"""),0.0)</f>
        <v>0</v>
      </c>
      <c r="D5022" s="8">
        <f>IFERROR(__xludf.DUMMYFUNCTION("""COMPUTED_VALUE"""),5.0)</f>
        <v>5</v>
      </c>
    </row>
    <row r="5023">
      <c r="A5023" s="9" t="str">
        <f>IFERROR(__xludf.DUMMYFUNCTION("""COMPUTED_VALUE"""),"Batch 271")</f>
        <v>Batch 271</v>
      </c>
      <c r="B5023" s="9" t="str">
        <f>IFERROR(__xludf.DUMMYFUNCTION("""COMPUTED_VALUE"""),"AdityaC71")</f>
        <v>AdityaC71</v>
      </c>
      <c r="C5023" s="8">
        <f>IFERROR(__xludf.DUMMYFUNCTION("""COMPUTED_VALUE"""),1.0)</f>
        <v>1</v>
      </c>
      <c r="D5023" s="8"/>
    </row>
    <row r="5024">
      <c r="A5024" s="9" t="str">
        <f>IFERROR(__xludf.DUMMYFUNCTION("""COMPUTED_VALUE"""),"Batch 271")</f>
        <v>Batch 271</v>
      </c>
      <c r="B5024" s="9" t="str">
        <f>IFERROR(__xludf.DUMMYFUNCTION("""COMPUTED_VALUE"""),"sreekuttyC71")</f>
        <v>sreekuttyC71</v>
      </c>
      <c r="C5024" s="8">
        <f>IFERROR(__xludf.DUMMYFUNCTION("""COMPUTED_VALUE"""),0.0)</f>
        <v>0</v>
      </c>
      <c r="D5024" s="8"/>
    </row>
    <row r="5025">
      <c r="A5025" s="9" t="str">
        <f>IFERROR(__xludf.DUMMYFUNCTION("""COMPUTED_VALUE"""),"Batch 271")</f>
        <v>Batch 271</v>
      </c>
      <c r="B5025" s="9" t="str">
        <f>IFERROR(__xludf.DUMMYFUNCTION("""COMPUTED_VALUE"""),"BhumikaC71")</f>
        <v>BhumikaC71</v>
      </c>
      <c r="C5025" s="8">
        <f>IFERROR(__xludf.DUMMYFUNCTION("""COMPUTED_VALUE"""),0.0)</f>
        <v>0</v>
      </c>
      <c r="D5025" s="8"/>
    </row>
    <row r="5026">
      <c r="A5026" s="9" t="str">
        <f>IFERROR(__xludf.DUMMYFUNCTION("""COMPUTED_VALUE"""),"Batch 271")</f>
        <v>Batch 271</v>
      </c>
      <c r="B5026" s="9" t="str">
        <f>IFERROR(__xludf.DUMMYFUNCTION("""COMPUTED_VALUE"""),"AnjeshC71")</f>
        <v>AnjeshC71</v>
      </c>
      <c r="C5026" s="8">
        <f>IFERROR(__xludf.DUMMYFUNCTION("""COMPUTED_VALUE"""),0.0)</f>
        <v>0</v>
      </c>
      <c r="D5026" s="8"/>
    </row>
    <row r="5027">
      <c r="A5027" s="9" t="str">
        <f>IFERROR(__xludf.DUMMYFUNCTION("""COMPUTED_VALUE"""),"Batch 271")</f>
        <v>Batch 271</v>
      </c>
      <c r="B5027" s="9" t="str">
        <f>IFERROR(__xludf.DUMMYFUNCTION("""COMPUTED_VALUE"""),"DhavaleswarapuC71")</f>
        <v>DhavaleswarapuC71</v>
      </c>
      <c r="C5027" s="8">
        <f>IFERROR(__xludf.DUMMYFUNCTION("""COMPUTED_VALUE"""),1.0)</f>
        <v>1</v>
      </c>
      <c r="D5027" s="8"/>
    </row>
    <row r="5028">
      <c r="A5028" s="9" t="str">
        <f>IFERROR(__xludf.DUMMYFUNCTION("""COMPUTED_VALUE"""),"Batch 271")</f>
        <v>Batch 271</v>
      </c>
      <c r="B5028" s="9" t="str">
        <f>IFERROR(__xludf.DUMMYFUNCTION("""COMPUTED_VALUE"""),"SachinC71")</f>
        <v>SachinC71</v>
      </c>
      <c r="C5028" s="8">
        <f>IFERROR(__xludf.DUMMYFUNCTION("""COMPUTED_VALUE"""),0.0)</f>
        <v>0</v>
      </c>
      <c r="D5028" s="8"/>
    </row>
    <row r="5029">
      <c r="A5029" s="9" t="str">
        <f>IFERROR(__xludf.DUMMYFUNCTION("""COMPUTED_VALUE"""),"Batch 271")</f>
        <v>Batch 271</v>
      </c>
      <c r="B5029" s="9" t="str">
        <f>IFERROR(__xludf.DUMMYFUNCTION("""COMPUTED_VALUE"""),"MohitC71")</f>
        <v>MohitC71</v>
      </c>
      <c r="C5029" s="8">
        <f>IFERROR(__xludf.DUMMYFUNCTION("""COMPUTED_VALUE"""),0.0)</f>
        <v>0</v>
      </c>
      <c r="D5029" s="8"/>
    </row>
    <row r="5030">
      <c r="A5030" s="9" t="str">
        <f>IFERROR(__xludf.DUMMYFUNCTION("""COMPUTED_VALUE"""),"Batch 271")</f>
        <v>Batch 271</v>
      </c>
      <c r="B5030" s="9" t="str">
        <f>IFERROR(__xludf.DUMMYFUNCTION("""COMPUTED_VALUE"""),"NaveenC71")</f>
        <v>NaveenC71</v>
      </c>
      <c r="C5030" s="8">
        <f>IFERROR(__xludf.DUMMYFUNCTION("""COMPUTED_VALUE"""),0.0)</f>
        <v>0</v>
      </c>
      <c r="D5030" s="8"/>
    </row>
    <row r="5031">
      <c r="A5031" s="9" t="str">
        <f>IFERROR(__xludf.DUMMYFUNCTION("""COMPUTED_VALUE"""),"Batch 271")</f>
        <v>Batch 271</v>
      </c>
      <c r="B5031" s="9" t="str">
        <f>IFERROR(__xludf.DUMMYFUNCTION("""COMPUTED_VALUE"""),"SujataC71")</f>
        <v>SujataC71</v>
      </c>
      <c r="C5031" s="8">
        <f>IFERROR(__xludf.DUMMYFUNCTION("""COMPUTED_VALUE"""),0.0)</f>
        <v>0</v>
      </c>
      <c r="D5031" s="8"/>
    </row>
    <row r="5032">
      <c r="A5032" s="9" t="str">
        <f>IFERROR(__xludf.DUMMYFUNCTION("""COMPUTED_VALUE"""),"Batch 271")</f>
        <v>Batch 271</v>
      </c>
      <c r="B5032" s="9" t="str">
        <f>IFERROR(__xludf.DUMMYFUNCTION("""COMPUTED_VALUE"""),"KaranC71")</f>
        <v>KaranC71</v>
      </c>
      <c r="C5032" s="8">
        <f>IFERROR(__xludf.DUMMYFUNCTION("""COMPUTED_VALUE"""),0.0)</f>
        <v>0</v>
      </c>
      <c r="D5032" s="8"/>
    </row>
    <row r="5033">
      <c r="A5033" s="9" t="str">
        <f>IFERROR(__xludf.DUMMYFUNCTION("""COMPUTED_VALUE"""),"Batch 271")</f>
        <v>Batch 271</v>
      </c>
      <c r="B5033" s="9" t="str">
        <f>IFERROR(__xludf.DUMMYFUNCTION("""COMPUTED_VALUE"""),"RishabhC71")</f>
        <v>RishabhC71</v>
      </c>
      <c r="C5033" s="8">
        <f>IFERROR(__xludf.DUMMYFUNCTION("""COMPUTED_VALUE"""),31.0)</f>
        <v>31</v>
      </c>
      <c r="D5033" s="8">
        <f>IFERROR(__xludf.DUMMYFUNCTION("""COMPUTED_VALUE"""),47.0)</f>
        <v>47</v>
      </c>
    </row>
    <row r="5034">
      <c r="A5034" s="9" t="str">
        <f>IFERROR(__xludf.DUMMYFUNCTION("""COMPUTED_VALUE"""),"Batch 271")</f>
        <v>Batch 271</v>
      </c>
      <c r="B5034" s="9" t="str">
        <f>IFERROR(__xludf.DUMMYFUNCTION("""COMPUTED_VALUE"""),"MohammedC71")</f>
        <v>MohammedC71</v>
      </c>
      <c r="C5034" s="8">
        <f>IFERROR(__xludf.DUMMYFUNCTION("""COMPUTED_VALUE"""),0.0)</f>
        <v>0</v>
      </c>
      <c r="D5034" s="8"/>
    </row>
    <row r="5035">
      <c r="A5035" s="9" t="str">
        <f>IFERROR(__xludf.DUMMYFUNCTION("""COMPUTED_VALUE"""),"Batch 271")</f>
        <v>Batch 271</v>
      </c>
      <c r="B5035" s="9" t="str">
        <f>IFERROR(__xludf.DUMMYFUNCTION("""COMPUTED_VALUE"""),"MeenaaC71")</f>
        <v>MeenaaC71</v>
      </c>
      <c r="C5035" s="8">
        <f>IFERROR(__xludf.DUMMYFUNCTION("""COMPUTED_VALUE"""),0.0)</f>
        <v>0</v>
      </c>
      <c r="D5035" s="8"/>
    </row>
    <row r="5036">
      <c r="A5036" s="9" t="str">
        <f>IFERROR(__xludf.DUMMYFUNCTION("""COMPUTED_VALUE"""),"Batch 271")</f>
        <v>Batch 271</v>
      </c>
      <c r="B5036" s="9" t="str">
        <f>IFERROR(__xludf.DUMMYFUNCTION("""COMPUTED_VALUE"""),"SankalpC71")</f>
        <v>SankalpC71</v>
      </c>
      <c r="C5036" s="8">
        <f>IFERROR(__xludf.DUMMYFUNCTION("""COMPUTED_VALUE"""),0.0)</f>
        <v>0</v>
      </c>
      <c r="D5036" s="8"/>
    </row>
    <row r="5037">
      <c r="A5037" s="9" t="str">
        <f>IFERROR(__xludf.DUMMYFUNCTION("""COMPUTED_VALUE"""),"Batch 271")</f>
        <v>Batch 271</v>
      </c>
      <c r="B5037" s="9" t="str">
        <f>IFERROR(__xludf.DUMMYFUNCTION("""COMPUTED_VALUE"""),"IshitaC71")</f>
        <v>IshitaC71</v>
      </c>
      <c r="C5037" s="8">
        <f>IFERROR(__xludf.DUMMYFUNCTION("""COMPUTED_VALUE"""),0.0)</f>
        <v>0</v>
      </c>
      <c r="D5037" s="8"/>
    </row>
    <row r="5038">
      <c r="A5038" s="9" t="str">
        <f>IFERROR(__xludf.DUMMYFUNCTION("""COMPUTED_VALUE"""),"Batch 271")</f>
        <v>Batch 271</v>
      </c>
      <c r="B5038" s="9" t="str">
        <f>IFERROR(__xludf.DUMMYFUNCTION("""COMPUTED_VALUE"""),"EraC71")</f>
        <v>EraC71</v>
      </c>
      <c r="C5038" s="8">
        <f>IFERROR(__xludf.DUMMYFUNCTION("""COMPUTED_VALUE"""),0.0)</f>
        <v>0</v>
      </c>
      <c r="D5038" s="8"/>
    </row>
    <row r="5039">
      <c r="A5039" s="9" t="str">
        <f>IFERROR(__xludf.DUMMYFUNCTION("""COMPUTED_VALUE"""),"Batch 271")</f>
        <v>Batch 271</v>
      </c>
      <c r="B5039" s="9" t="str">
        <f>IFERROR(__xludf.DUMMYFUNCTION("""COMPUTED_VALUE"""),"SharathC71")</f>
        <v>SharathC71</v>
      </c>
      <c r="C5039" s="8">
        <f>IFERROR(__xludf.DUMMYFUNCTION("""COMPUTED_VALUE"""),20.0)</f>
        <v>20</v>
      </c>
      <c r="D5039" s="8"/>
    </row>
    <row r="5040">
      <c r="A5040" s="9" t="str">
        <f>IFERROR(__xludf.DUMMYFUNCTION("""COMPUTED_VALUE"""),"Batch 271")</f>
        <v>Batch 271</v>
      </c>
      <c r="B5040" s="9" t="str">
        <f>IFERROR(__xludf.DUMMYFUNCTION("""COMPUTED_VALUE"""),"ShreyaC71")</f>
        <v>ShreyaC71</v>
      </c>
      <c r="C5040" s="8">
        <f>IFERROR(__xludf.DUMMYFUNCTION("""COMPUTED_VALUE"""),0.0)</f>
        <v>0</v>
      </c>
      <c r="D5040" s="8"/>
    </row>
    <row r="5041">
      <c r="A5041" s="9" t="str">
        <f>IFERROR(__xludf.DUMMYFUNCTION("""COMPUTED_VALUE"""),"Batch 271")</f>
        <v>Batch 271</v>
      </c>
      <c r="B5041" s="9" t="str">
        <f>IFERROR(__xludf.DUMMYFUNCTION("""COMPUTED_VALUE"""),"SanjayC71")</f>
        <v>SanjayC71</v>
      </c>
      <c r="C5041" s="8">
        <f>IFERROR(__xludf.DUMMYFUNCTION("""COMPUTED_VALUE"""),0.0)</f>
        <v>0</v>
      </c>
      <c r="D5041" s="8"/>
    </row>
    <row r="5042">
      <c r="A5042" s="9" t="str">
        <f>IFERROR(__xludf.DUMMYFUNCTION("""COMPUTED_VALUE"""),"Batch 271")</f>
        <v>Batch 271</v>
      </c>
      <c r="B5042" s="9" t="str">
        <f>IFERROR(__xludf.DUMMYFUNCTION("""COMPUTED_VALUE"""),"BojerC71")</f>
        <v>BojerC71</v>
      </c>
      <c r="C5042" s="8">
        <f>IFERROR(__xludf.DUMMYFUNCTION("""COMPUTED_VALUE"""),0.0)</f>
        <v>0</v>
      </c>
      <c r="D5042" s="8"/>
    </row>
    <row r="5043">
      <c r="A5043" s="9" t="str">
        <f>IFERROR(__xludf.DUMMYFUNCTION("""COMPUTED_VALUE"""),"Batch 271")</f>
        <v>Batch 271</v>
      </c>
      <c r="B5043" s="9" t="str">
        <f>IFERROR(__xludf.DUMMYFUNCTION("""COMPUTED_VALUE"""),"AiswariyaC71")</f>
        <v>AiswariyaC71</v>
      </c>
      <c r="C5043" s="8">
        <f>IFERROR(__xludf.DUMMYFUNCTION("""COMPUTED_VALUE"""),0.0)</f>
        <v>0</v>
      </c>
      <c r="D5043" s="8"/>
    </row>
    <row r="5044">
      <c r="A5044" s="9" t="str">
        <f>IFERROR(__xludf.DUMMYFUNCTION("""COMPUTED_VALUE"""),"Batch 271")</f>
        <v>Batch 271</v>
      </c>
      <c r="B5044" s="9" t="str">
        <f>IFERROR(__xludf.DUMMYFUNCTION("""COMPUTED_VALUE"""),"RayappaC71")</f>
        <v>RayappaC71</v>
      </c>
      <c r="C5044" s="8">
        <f>IFERROR(__xludf.DUMMYFUNCTION("""COMPUTED_VALUE"""),0.0)</f>
        <v>0</v>
      </c>
      <c r="D5044" s="8"/>
    </row>
    <row r="5045">
      <c r="A5045" s="9" t="str">
        <f>IFERROR(__xludf.DUMMYFUNCTION("""COMPUTED_VALUE"""),"Batch 271")</f>
        <v>Batch 271</v>
      </c>
      <c r="B5045" s="9" t="str">
        <f>IFERROR(__xludf.DUMMYFUNCTION("""COMPUTED_VALUE"""),"ManyaC71")</f>
        <v>ManyaC71</v>
      </c>
      <c r="C5045" s="8">
        <f>IFERROR(__xludf.DUMMYFUNCTION("""COMPUTED_VALUE"""),0.0)</f>
        <v>0</v>
      </c>
      <c r="D5045" s="8"/>
    </row>
    <row r="5046">
      <c r="A5046" s="9" t="str">
        <f>IFERROR(__xludf.DUMMYFUNCTION("""COMPUTED_VALUE"""),"Batch 271")</f>
        <v>Batch 271</v>
      </c>
      <c r="B5046" s="9" t="str">
        <f>IFERROR(__xludf.DUMMYFUNCTION("""COMPUTED_VALUE"""),"EDAMADAKAC71")</f>
        <v>EDAMADAKAC71</v>
      </c>
      <c r="C5046" s="8">
        <f>IFERROR(__xludf.DUMMYFUNCTION("""COMPUTED_VALUE"""),0.0)</f>
        <v>0</v>
      </c>
      <c r="D5046" s="8"/>
    </row>
    <row r="5047">
      <c r="A5047" s="9"/>
      <c r="B5047" s="9"/>
      <c r="C5047" s="8">
        <f>IFERROR(__xludf.DUMMYFUNCTION("""COMPUTED_VALUE"""),0.0)</f>
        <v>0</v>
      </c>
      <c r="D5047" s="8"/>
    </row>
    <row r="5048">
      <c r="A5048" s="9" t="str">
        <f>IFERROR(__xludf.DUMMYFUNCTION("""COMPUTED_VALUE"""),"Batch 272")</f>
        <v>Batch 272</v>
      </c>
      <c r="B5048" s="9" t="str">
        <f>IFERROR(__xludf.DUMMYFUNCTION("""COMPUTED_VALUE"""),"SujalC72")</f>
        <v>SujalC72</v>
      </c>
      <c r="C5048" s="8">
        <f>IFERROR(__xludf.DUMMYFUNCTION("""COMPUTED_VALUE"""),0.0)</f>
        <v>0</v>
      </c>
      <c r="D5048" s="8"/>
    </row>
    <row r="5049">
      <c r="A5049" s="9" t="str">
        <f>IFERROR(__xludf.DUMMYFUNCTION("""COMPUTED_VALUE"""),"Batch 272")</f>
        <v>Batch 272</v>
      </c>
      <c r="B5049" s="9" t="str">
        <f>IFERROR(__xludf.DUMMYFUNCTION("""COMPUTED_VALUE"""),"AnumulaC72")</f>
        <v>AnumulaC72</v>
      </c>
      <c r="C5049" s="8">
        <f>IFERROR(__xludf.DUMMYFUNCTION("""COMPUTED_VALUE"""),2.0)</f>
        <v>2</v>
      </c>
      <c r="D5049" s="8">
        <f>IFERROR(__xludf.DUMMYFUNCTION("""COMPUTED_VALUE"""),1.0)</f>
        <v>1</v>
      </c>
    </row>
    <row r="5050">
      <c r="A5050" s="9" t="str">
        <f>IFERROR(__xludf.DUMMYFUNCTION("""COMPUTED_VALUE"""),"Batch 272")</f>
        <v>Batch 272</v>
      </c>
      <c r="B5050" s="9" t="str">
        <f>IFERROR(__xludf.DUMMYFUNCTION("""COMPUTED_VALUE"""),"MedisettiC72")</f>
        <v>MedisettiC72</v>
      </c>
      <c r="C5050" s="8">
        <f>IFERROR(__xludf.DUMMYFUNCTION("""COMPUTED_VALUE"""),0.0)</f>
        <v>0</v>
      </c>
      <c r="D5050" s="8"/>
    </row>
    <row r="5051">
      <c r="A5051" s="9" t="str">
        <f>IFERROR(__xludf.DUMMYFUNCTION("""COMPUTED_VALUE"""),"Batch 272")</f>
        <v>Batch 272</v>
      </c>
      <c r="B5051" s="9" t="str">
        <f>IFERROR(__xludf.DUMMYFUNCTION("""COMPUTED_VALUE"""),"ManashviC72")</f>
        <v>ManashviC72</v>
      </c>
      <c r="C5051" s="8">
        <f>IFERROR(__xludf.DUMMYFUNCTION("""COMPUTED_VALUE"""),0.0)</f>
        <v>0</v>
      </c>
      <c r="D5051" s="8"/>
    </row>
    <row r="5052">
      <c r="A5052" s="9" t="str">
        <f>IFERROR(__xludf.DUMMYFUNCTION("""COMPUTED_VALUE"""),"Batch 272")</f>
        <v>Batch 272</v>
      </c>
      <c r="B5052" s="9" t="str">
        <f>IFERROR(__xludf.DUMMYFUNCTION("""COMPUTED_VALUE"""),"ShikshaC72")</f>
        <v>ShikshaC72</v>
      </c>
      <c r="C5052" s="8">
        <f>IFERROR(__xludf.DUMMYFUNCTION("""COMPUTED_VALUE"""),0.0)</f>
        <v>0</v>
      </c>
      <c r="D5052" s="8"/>
    </row>
    <row r="5053">
      <c r="A5053" s="9" t="str">
        <f>IFERROR(__xludf.DUMMYFUNCTION("""COMPUTED_VALUE"""),"Batch 272")</f>
        <v>Batch 272</v>
      </c>
      <c r="B5053" s="9" t="str">
        <f>IFERROR(__xludf.DUMMYFUNCTION("""COMPUTED_VALUE"""),"AkshayC72")</f>
        <v>AkshayC72</v>
      </c>
      <c r="C5053" s="8">
        <f>IFERROR(__xludf.DUMMYFUNCTION("""COMPUTED_VALUE"""),0.0)</f>
        <v>0</v>
      </c>
      <c r="D5053" s="8"/>
    </row>
    <row r="5054">
      <c r="A5054" s="9" t="str">
        <f>IFERROR(__xludf.DUMMYFUNCTION("""COMPUTED_VALUE"""),"Batch 272")</f>
        <v>Batch 272</v>
      </c>
      <c r="B5054" s="9" t="str">
        <f>IFERROR(__xludf.DUMMYFUNCTION("""COMPUTED_VALUE"""),"IshanviC72")</f>
        <v>IshanviC72</v>
      </c>
      <c r="C5054" s="8">
        <f>IFERROR(__xludf.DUMMYFUNCTION("""COMPUTED_VALUE"""),0.0)</f>
        <v>0</v>
      </c>
      <c r="D5054" s="8"/>
    </row>
    <row r="5055">
      <c r="A5055" s="9" t="str">
        <f>IFERROR(__xludf.DUMMYFUNCTION("""COMPUTED_VALUE"""),"Batch 272")</f>
        <v>Batch 272</v>
      </c>
      <c r="B5055" s="9" t="str">
        <f>IFERROR(__xludf.DUMMYFUNCTION("""COMPUTED_VALUE"""),"PriyanshiC72")</f>
        <v>PriyanshiC72</v>
      </c>
      <c r="C5055" s="8">
        <f>IFERROR(__xludf.DUMMYFUNCTION("""COMPUTED_VALUE"""),0.0)</f>
        <v>0</v>
      </c>
      <c r="D5055" s="8"/>
    </row>
    <row r="5056">
      <c r="A5056" s="9" t="str">
        <f>IFERROR(__xludf.DUMMYFUNCTION("""COMPUTED_VALUE"""),"Batch 272")</f>
        <v>Batch 272</v>
      </c>
      <c r="B5056" s="9" t="str">
        <f>IFERROR(__xludf.DUMMYFUNCTION("""COMPUTED_VALUE"""),"TanishaC72")</f>
        <v>TanishaC72</v>
      </c>
      <c r="C5056" s="8">
        <f>IFERROR(__xludf.DUMMYFUNCTION("""COMPUTED_VALUE"""),0.0)</f>
        <v>0</v>
      </c>
      <c r="D5056" s="8"/>
    </row>
    <row r="5057">
      <c r="A5057" s="9" t="str">
        <f>IFERROR(__xludf.DUMMYFUNCTION("""COMPUTED_VALUE"""),"Batch 272")</f>
        <v>Batch 272</v>
      </c>
      <c r="B5057" s="9" t="str">
        <f>IFERROR(__xludf.DUMMYFUNCTION("""COMPUTED_VALUE"""),"VirajC72")</f>
        <v>VirajC72</v>
      </c>
      <c r="C5057" s="8">
        <f>IFERROR(__xludf.DUMMYFUNCTION("""COMPUTED_VALUE"""),0.0)</f>
        <v>0</v>
      </c>
      <c r="D5057" s="8"/>
    </row>
    <row r="5058">
      <c r="A5058" s="9" t="str">
        <f>IFERROR(__xludf.DUMMYFUNCTION("""COMPUTED_VALUE"""),"Batch 272")</f>
        <v>Batch 272</v>
      </c>
      <c r="B5058" s="9" t="str">
        <f>IFERROR(__xludf.DUMMYFUNCTION("""COMPUTED_VALUE"""),"SanskarC72")</f>
        <v>SanskarC72</v>
      </c>
      <c r="C5058" s="8">
        <f>IFERROR(__xludf.DUMMYFUNCTION("""COMPUTED_VALUE"""),0.0)</f>
        <v>0</v>
      </c>
      <c r="D5058" s="8"/>
    </row>
    <row r="5059">
      <c r="A5059" s="9" t="str">
        <f>IFERROR(__xludf.DUMMYFUNCTION("""COMPUTED_VALUE"""),"Batch 272")</f>
        <v>Batch 272</v>
      </c>
      <c r="B5059" s="9" t="str">
        <f>IFERROR(__xludf.DUMMYFUNCTION("""COMPUTED_VALUE"""),"SnehaC72")</f>
        <v>SnehaC72</v>
      </c>
      <c r="C5059" s="8">
        <f>IFERROR(__xludf.DUMMYFUNCTION("""COMPUTED_VALUE"""),3.0)</f>
        <v>3</v>
      </c>
      <c r="D5059" s="8"/>
    </row>
    <row r="5060">
      <c r="A5060" s="9" t="str">
        <f>IFERROR(__xludf.DUMMYFUNCTION("""COMPUTED_VALUE"""),"Batch 272")</f>
        <v>Batch 272</v>
      </c>
      <c r="B5060" s="9" t="str">
        <f>IFERROR(__xludf.DUMMYFUNCTION("""COMPUTED_VALUE"""),"KirtiC72")</f>
        <v>KirtiC72</v>
      </c>
      <c r="C5060" s="8">
        <f>IFERROR(__xludf.DUMMYFUNCTION("""COMPUTED_VALUE"""),1.0)</f>
        <v>1</v>
      </c>
      <c r="D5060" s="8"/>
    </row>
    <row r="5061">
      <c r="A5061" s="9" t="str">
        <f>IFERROR(__xludf.DUMMYFUNCTION("""COMPUTED_VALUE"""),"Batch 272")</f>
        <v>Batch 272</v>
      </c>
      <c r="B5061" s="9" t="str">
        <f>IFERROR(__xludf.DUMMYFUNCTION("""COMPUTED_VALUE"""),"mrugadniC72")</f>
        <v>mrugadniC72</v>
      </c>
      <c r="C5061" s="8">
        <f>IFERROR(__xludf.DUMMYFUNCTION("""COMPUTED_VALUE"""),0.0)</f>
        <v>0</v>
      </c>
      <c r="D5061" s="8"/>
    </row>
    <row r="5062">
      <c r="A5062" s="9" t="str">
        <f>IFERROR(__xludf.DUMMYFUNCTION("""COMPUTED_VALUE"""),"Batch 272")</f>
        <v>Batch 272</v>
      </c>
      <c r="B5062" s="9" t="str">
        <f>IFERROR(__xludf.DUMMYFUNCTION("""COMPUTED_VALUE"""),"DwijC72")</f>
        <v>DwijC72</v>
      </c>
      <c r="C5062" s="8">
        <f>IFERROR(__xludf.DUMMYFUNCTION("""COMPUTED_VALUE"""),0.0)</f>
        <v>0</v>
      </c>
      <c r="D5062" s="8"/>
    </row>
    <row r="5063">
      <c r="A5063" s="9" t="str">
        <f>IFERROR(__xludf.DUMMYFUNCTION("""COMPUTED_VALUE"""),"Batch 272")</f>
        <v>Batch 272</v>
      </c>
      <c r="B5063" s="9" t="str">
        <f>IFERROR(__xludf.DUMMYFUNCTION("""COMPUTED_VALUE"""),"AvradeepC72")</f>
        <v>AvradeepC72</v>
      </c>
      <c r="C5063" s="8">
        <f>IFERROR(__xludf.DUMMYFUNCTION("""COMPUTED_VALUE"""),0.0)</f>
        <v>0</v>
      </c>
      <c r="D5063" s="8"/>
    </row>
    <row r="5064">
      <c r="A5064" s="9" t="str">
        <f>IFERROR(__xludf.DUMMYFUNCTION("""COMPUTED_VALUE"""),"Batch 272")</f>
        <v>Batch 272</v>
      </c>
      <c r="B5064" s="9" t="str">
        <f>IFERROR(__xludf.DUMMYFUNCTION("""COMPUTED_VALUE"""),"DeekshaC72")</f>
        <v>DeekshaC72</v>
      </c>
      <c r="C5064" s="8">
        <f>IFERROR(__xludf.DUMMYFUNCTION("""COMPUTED_VALUE"""),0.0)</f>
        <v>0</v>
      </c>
      <c r="D5064" s="8"/>
    </row>
    <row r="5065">
      <c r="A5065" s="9" t="str">
        <f>IFERROR(__xludf.DUMMYFUNCTION("""COMPUTED_VALUE"""),"Batch 272")</f>
        <v>Batch 272</v>
      </c>
      <c r="B5065" s="9" t="str">
        <f>IFERROR(__xludf.DUMMYFUNCTION("""COMPUTED_VALUE"""),"HarshvardhanC72")</f>
        <v>HarshvardhanC72</v>
      </c>
      <c r="C5065" s="8">
        <f>IFERROR(__xludf.DUMMYFUNCTION("""COMPUTED_VALUE"""),0.0)</f>
        <v>0</v>
      </c>
      <c r="D5065" s="8"/>
    </row>
    <row r="5066">
      <c r="A5066" s="9" t="str">
        <f>IFERROR(__xludf.DUMMYFUNCTION("""COMPUTED_VALUE"""),"Batch 272")</f>
        <v>Batch 272</v>
      </c>
      <c r="B5066" s="9" t="str">
        <f>IFERROR(__xludf.DUMMYFUNCTION("""COMPUTED_VALUE"""),"ShrashtiC72")</f>
        <v>ShrashtiC72</v>
      </c>
      <c r="C5066" s="8">
        <f>IFERROR(__xludf.DUMMYFUNCTION("""COMPUTED_VALUE"""),0.0)</f>
        <v>0</v>
      </c>
      <c r="D5066" s="8"/>
    </row>
    <row r="5067">
      <c r="A5067" s="9" t="str">
        <f>IFERROR(__xludf.DUMMYFUNCTION("""COMPUTED_VALUE"""),"Batch 272")</f>
        <v>Batch 272</v>
      </c>
      <c r="B5067" s="9" t="str">
        <f>IFERROR(__xludf.DUMMYFUNCTION("""COMPUTED_VALUE"""),"AditiC72")</f>
        <v>AditiC72</v>
      </c>
      <c r="C5067" s="8">
        <f>IFERROR(__xludf.DUMMYFUNCTION("""COMPUTED_VALUE"""),0.0)</f>
        <v>0</v>
      </c>
      <c r="D5067" s="8"/>
    </row>
    <row r="5068">
      <c r="A5068" s="9" t="str">
        <f>IFERROR(__xludf.DUMMYFUNCTION("""COMPUTED_VALUE"""),"Batch 272")</f>
        <v>Batch 272</v>
      </c>
      <c r="B5068" s="9" t="str">
        <f>IFERROR(__xludf.DUMMYFUNCTION("""COMPUTED_VALUE"""),"SuruthiC72")</f>
        <v>SuruthiC72</v>
      </c>
      <c r="C5068" s="8">
        <f>IFERROR(__xludf.DUMMYFUNCTION("""COMPUTED_VALUE"""),0.0)</f>
        <v>0</v>
      </c>
      <c r="D5068" s="8"/>
    </row>
    <row r="5069">
      <c r="A5069" s="9" t="str">
        <f>IFERROR(__xludf.DUMMYFUNCTION("""COMPUTED_VALUE"""),"Batch 272")</f>
        <v>Batch 272</v>
      </c>
      <c r="B5069" s="9" t="str">
        <f>IFERROR(__xludf.DUMMYFUNCTION("""COMPUTED_VALUE"""),"LekhaC72")</f>
        <v>LekhaC72</v>
      </c>
      <c r="C5069" s="8">
        <f>IFERROR(__xludf.DUMMYFUNCTION("""COMPUTED_VALUE"""),30.0)</f>
        <v>30</v>
      </c>
      <c r="D5069" s="8">
        <f>IFERROR(__xludf.DUMMYFUNCTION("""COMPUTED_VALUE"""),9.0)</f>
        <v>9</v>
      </c>
    </row>
    <row r="5070">
      <c r="A5070" s="9" t="str">
        <f>IFERROR(__xludf.DUMMYFUNCTION("""COMPUTED_VALUE"""),"Batch 272")</f>
        <v>Batch 272</v>
      </c>
      <c r="B5070" s="9" t="str">
        <f>IFERROR(__xludf.DUMMYFUNCTION("""COMPUTED_VALUE"""),"ManishC72")</f>
        <v>ManishC72</v>
      </c>
      <c r="C5070" s="8">
        <f>IFERROR(__xludf.DUMMYFUNCTION("""COMPUTED_VALUE"""),0.0)</f>
        <v>0</v>
      </c>
      <c r="D5070" s="8"/>
    </row>
    <row r="5071">
      <c r="A5071" s="9" t="str">
        <f>IFERROR(__xludf.DUMMYFUNCTION("""COMPUTED_VALUE"""),"Batch 272")</f>
        <v>Batch 272</v>
      </c>
      <c r="B5071" s="9" t="str">
        <f>IFERROR(__xludf.DUMMYFUNCTION("""COMPUTED_VALUE"""),"ShivanshuC72")</f>
        <v>ShivanshuC72</v>
      </c>
      <c r="C5071" s="8">
        <f>IFERROR(__xludf.DUMMYFUNCTION("""COMPUTED_VALUE"""),0.0)</f>
        <v>0</v>
      </c>
      <c r="D5071" s="8"/>
    </row>
    <row r="5072">
      <c r="A5072" s="9" t="str">
        <f>IFERROR(__xludf.DUMMYFUNCTION("""COMPUTED_VALUE"""),"Batch 272")</f>
        <v>Batch 272</v>
      </c>
      <c r="B5072" s="9" t="str">
        <f>IFERROR(__xludf.DUMMYFUNCTION("""COMPUTED_VALUE"""),"SanaC72")</f>
        <v>SanaC72</v>
      </c>
      <c r="C5072" s="8">
        <f>IFERROR(__xludf.DUMMYFUNCTION("""COMPUTED_VALUE"""),0.0)</f>
        <v>0</v>
      </c>
      <c r="D5072" s="8"/>
    </row>
    <row r="5073">
      <c r="A5073" s="9" t="str">
        <f>IFERROR(__xludf.DUMMYFUNCTION("""COMPUTED_VALUE"""),"Batch 272")</f>
        <v>Batch 272</v>
      </c>
      <c r="B5073" s="9" t="str">
        <f>IFERROR(__xludf.DUMMYFUNCTION("""COMPUTED_VALUE"""),"AnuragC72")</f>
        <v>AnuragC72</v>
      </c>
      <c r="C5073" s="8">
        <f>IFERROR(__xludf.DUMMYFUNCTION("""COMPUTED_VALUE"""),0.0)</f>
        <v>0</v>
      </c>
      <c r="D5073" s="8"/>
    </row>
    <row r="5074">
      <c r="A5074" s="9" t="str">
        <f>IFERROR(__xludf.DUMMYFUNCTION("""COMPUTED_VALUE"""),"Batch 272")</f>
        <v>Batch 272</v>
      </c>
      <c r="B5074" s="9" t="str">
        <f>IFERROR(__xludf.DUMMYFUNCTION("""COMPUTED_VALUE"""),"JaiC72")</f>
        <v>JaiC72</v>
      </c>
      <c r="C5074" s="8">
        <f>IFERROR(__xludf.DUMMYFUNCTION("""COMPUTED_VALUE"""),0.0)</f>
        <v>0</v>
      </c>
      <c r="D5074" s="8"/>
    </row>
    <row r="5075">
      <c r="A5075" s="9" t="str">
        <f>IFERROR(__xludf.DUMMYFUNCTION("""COMPUTED_VALUE"""),"Batch 272")</f>
        <v>Batch 272</v>
      </c>
      <c r="B5075" s="9" t="str">
        <f>IFERROR(__xludf.DUMMYFUNCTION("""COMPUTED_VALUE"""),"AbhiramiC72")</f>
        <v>AbhiramiC72</v>
      </c>
      <c r="C5075" s="8">
        <f>IFERROR(__xludf.DUMMYFUNCTION("""COMPUTED_VALUE"""),0.0)</f>
        <v>0</v>
      </c>
      <c r="D5075" s="8"/>
    </row>
    <row r="5076">
      <c r="A5076" s="9" t="str">
        <f>IFERROR(__xludf.DUMMYFUNCTION("""COMPUTED_VALUE"""),"Batch 272")</f>
        <v>Batch 272</v>
      </c>
      <c r="B5076" s="9" t="str">
        <f>IFERROR(__xludf.DUMMYFUNCTION("""COMPUTED_VALUE"""),"AvineshC72")</f>
        <v>AvineshC72</v>
      </c>
      <c r="C5076" s="8">
        <f>IFERROR(__xludf.DUMMYFUNCTION("""COMPUTED_VALUE"""),0.0)</f>
        <v>0</v>
      </c>
      <c r="D5076" s="8"/>
    </row>
    <row r="5077">
      <c r="A5077" s="9" t="str">
        <f>IFERROR(__xludf.DUMMYFUNCTION("""COMPUTED_VALUE"""),"Batch 272")</f>
        <v>Batch 272</v>
      </c>
      <c r="B5077" s="9" t="str">
        <f>IFERROR(__xludf.DUMMYFUNCTION("""COMPUTED_VALUE"""),"RadhikaC72")</f>
        <v>RadhikaC72</v>
      </c>
      <c r="C5077" s="8">
        <f>IFERROR(__xludf.DUMMYFUNCTION("""COMPUTED_VALUE"""),0.0)</f>
        <v>0</v>
      </c>
      <c r="D5077" s="8"/>
    </row>
    <row r="5078">
      <c r="A5078" s="9" t="str">
        <f>IFERROR(__xludf.DUMMYFUNCTION("""COMPUTED_VALUE"""),"Batch 272")</f>
        <v>Batch 272</v>
      </c>
      <c r="B5078" s="9" t="str">
        <f>IFERROR(__xludf.DUMMYFUNCTION("""COMPUTED_VALUE"""),"SujataC72")</f>
        <v>SujataC72</v>
      </c>
      <c r="C5078" s="8">
        <f>IFERROR(__xludf.DUMMYFUNCTION("""COMPUTED_VALUE"""),0.0)</f>
        <v>0</v>
      </c>
      <c r="D5078" s="8"/>
    </row>
    <row r="5079">
      <c r="A5079" s="9"/>
      <c r="B5079" s="9"/>
      <c r="C5079" s="8">
        <f>IFERROR(__xludf.DUMMYFUNCTION("""COMPUTED_VALUE"""),0.0)</f>
        <v>0</v>
      </c>
      <c r="D5079" s="8"/>
    </row>
    <row r="5080">
      <c r="A5080" s="9" t="str">
        <f>IFERROR(__xludf.DUMMYFUNCTION("""COMPUTED_VALUE"""),"Batch 273")</f>
        <v>Batch 273</v>
      </c>
      <c r="B5080" s="9" t="str">
        <f>IFERROR(__xludf.DUMMYFUNCTION("""COMPUTED_VALUE"""),"AdityaC73")</f>
        <v>AdityaC73</v>
      </c>
      <c r="C5080" s="8">
        <f>IFERROR(__xludf.DUMMYFUNCTION("""COMPUTED_VALUE"""),0.0)</f>
        <v>0</v>
      </c>
      <c r="D5080" s="8"/>
    </row>
    <row r="5081">
      <c r="A5081" s="9" t="str">
        <f>IFERROR(__xludf.DUMMYFUNCTION("""COMPUTED_VALUE"""),"Batch 273")</f>
        <v>Batch 273</v>
      </c>
      <c r="B5081" s="9" t="str">
        <f>IFERROR(__xludf.DUMMYFUNCTION("""COMPUTED_VALUE"""),"RohitC73")</f>
        <v>RohitC73</v>
      </c>
      <c r="C5081" s="8">
        <f>IFERROR(__xludf.DUMMYFUNCTION("""COMPUTED_VALUE"""),2.0)</f>
        <v>2</v>
      </c>
      <c r="D5081" s="8"/>
    </row>
    <row r="5082">
      <c r="A5082" s="9" t="str">
        <f>IFERROR(__xludf.DUMMYFUNCTION("""COMPUTED_VALUE"""),"Batch 273")</f>
        <v>Batch 273</v>
      </c>
      <c r="B5082" s="9" t="str">
        <f>IFERROR(__xludf.DUMMYFUNCTION("""COMPUTED_VALUE"""),"PreetamC73")</f>
        <v>PreetamC73</v>
      </c>
      <c r="C5082" s="8">
        <f>IFERROR(__xludf.DUMMYFUNCTION("""COMPUTED_VALUE"""),0.0)</f>
        <v>0</v>
      </c>
      <c r="D5082" s="8"/>
    </row>
    <row r="5083">
      <c r="A5083" s="9" t="str">
        <f>IFERROR(__xludf.DUMMYFUNCTION("""COMPUTED_VALUE"""),"Batch 273")</f>
        <v>Batch 273</v>
      </c>
      <c r="B5083" s="9" t="str">
        <f>IFERROR(__xludf.DUMMYFUNCTION("""COMPUTED_VALUE"""),"KARTIKC73")</f>
        <v>KARTIKC73</v>
      </c>
      <c r="C5083" s="8">
        <f>IFERROR(__xludf.DUMMYFUNCTION("""COMPUTED_VALUE"""),0.0)</f>
        <v>0</v>
      </c>
      <c r="D5083" s="8"/>
    </row>
    <row r="5084">
      <c r="A5084" s="9" t="str">
        <f>IFERROR(__xludf.DUMMYFUNCTION("""COMPUTED_VALUE"""),"Batch 273")</f>
        <v>Batch 273</v>
      </c>
      <c r="B5084" s="9" t="str">
        <f>IFERROR(__xludf.DUMMYFUNCTION("""COMPUTED_VALUE"""),"GurpreetC73")</f>
        <v>GurpreetC73</v>
      </c>
      <c r="C5084" s="8">
        <f>IFERROR(__xludf.DUMMYFUNCTION("""COMPUTED_VALUE"""),0.0)</f>
        <v>0</v>
      </c>
      <c r="D5084" s="8"/>
    </row>
    <row r="5085">
      <c r="A5085" s="9" t="str">
        <f>IFERROR(__xludf.DUMMYFUNCTION("""COMPUTED_VALUE"""),"Batch 273")</f>
        <v>Batch 273</v>
      </c>
      <c r="B5085" s="9" t="str">
        <f>IFERROR(__xludf.DUMMYFUNCTION("""COMPUTED_VALUE"""),"NitikaC73")</f>
        <v>NitikaC73</v>
      </c>
      <c r="C5085" s="8">
        <f>IFERROR(__xludf.DUMMYFUNCTION("""COMPUTED_VALUE"""),0.0)</f>
        <v>0</v>
      </c>
      <c r="D5085" s="8"/>
    </row>
    <row r="5086">
      <c r="A5086" s="9" t="str">
        <f>IFERROR(__xludf.DUMMYFUNCTION("""COMPUTED_VALUE"""),"Batch 273")</f>
        <v>Batch 273</v>
      </c>
      <c r="B5086" s="9" t="str">
        <f>IFERROR(__xludf.DUMMYFUNCTION("""COMPUTED_VALUE"""),"PriyamjitC73")</f>
        <v>PriyamjitC73</v>
      </c>
      <c r="C5086" s="8">
        <f>IFERROR(__xludf.DUMMYFUNCTION("""COMPUTED_VALUE"""),0.0)</f>
        <v>0</v>
      </c>
      <c r="D5086" s="8"/>
    </row>
    <row r="5087">
      <c r="A5087" s="9" t="str">
        <f>IFERROR(__xludf.DUMMYFUNCTION("""COMPUTED_VALUE"""),"Batch 273")</f>
        <v>Batch 273</v>
      </c>
      <c r="B5087" s="9" t="str">
        <f>IFERROR(__xludf.DUMMYFUNCTION("""COMPUTED_VALUE"""),"ChandanC73")</f>
        <v>ChandanC73</v>
      </c>
      <c r="C5087" s="8">
        <f>IFERROR(__xludf.DUMMYFUNCTION("""COMPUTED_VALUE"""),0.0)</f>
        <v>0</v>
      </c>
      <c r="D5087" s="8"/>
    </row>
    <row r="5088">
      <c r="A5088" s="9" t="str">
        <f>IFERROR(__xludf.DUMMYFUNCTION("""COMPUTED_VALUE"""),"Batch 273")</f>
        <v>Batch 273</v>
      </c>
      <c r="B5088" s="9" t="str">
        <f>IFERROR(__xludf.DUMMYFUNCTION("""COMPUTED_VALUE"""),"SounakC73")</f>
        <v>SounakC73</v>
      </c>
      <c r="C5088" s="8">
        <f>IFERROR(__xludf.DUMMYFUNCTION("""COMPUTED_VALUE"""),0.0)</f>
        <v>0</v>
      </c>
      <c r="D5088" s="8"/>
    </row>
    <row r="5089">
      <c r="A5089" s="9" t="str">
        <f>IFERROR(__xludf.DUMMYFUNCTION("""COMPUTED_VALUE"""),"Batch 273")</f>
        <v>Batch 273</v>
      </c>
      <c r="B5089" s="9" t="str">
        <f>IFERROR(__xludf.DUMMYFUNCTION("""COMPUTED_VALUE"""),"KhushiC73")</f>
        <v>KhushiC73</v>
      </c>
      <c r="C5089" s="8">
        <f>IFERROR(__xludf.DUMMYFUNCTION("""COMPUTED_VALUE"""),0.0)</f>
        <v>0</v>
      </c>
      <c r="D5089" s="8"/>
    </row>
    <row r="5090">
      <c r="A5090" s="9" t="str">
        <f>IFERROR(__xludf.DUMMYFUNCTION("""COMPUTED_VALUE"""),"Batch 273")</f>
        <v>Batch 273</v>
      </c>
      <c r="B5090" s="9" t="str">
        <f>IFERROR(__xludf.DUMMYFUNCTION("""COMPUTED_VALUE"""),"SarthakC73")</f>
        <v>SarthakC73</v>
      </c>
      <c r="C5090" s="8">
        <f>IFERROR(__xludf.DUMMYFUNCTION("""COMPUTED_VALUE"""),0.0)</f>
        <v>0</v>
      </c>
      <c r="D5090" s="8"/>
    </row>
    <row r="5091">
      <c r="A5091" s="9" t="str">
        <f>IFERROR(__xludf.DUMMYFUNCTION("""COMPUTED_VALUE"""),"Batch 273")</f>
        <v>Batch 273</v>
      </c>
      <c r="B5091" s="9" t="str">
        <f>IFERROR(__xludf.DUMMYFUNCTION("""COMPUTED_VALUE"""),"PrabhjotC73")</f>
        <v>PrabhjotC73</v>
      </c>
      <c r="C5091" s="8">
        <f>IFERROR(__xludf.DUMMYFUNCTION("""COMPUTED_VALUE"""),0.0)</f>
        <v>0</v>
      </c>
      <c r="D5091" s="8"/>
    </row>
    <row r="5092">
      <c r="A5092" s="9" t="str">
        <f>IFERROR(__xludf.DUMMYFUNCTION("""COMPUTED_VALUE"""),"Batch 273")</f>
        <v>Batch 273</v>
      </c>
      <c r="B5092" s="9" t="str">
        <f>IFERROR(__xludf.DUMMYFUNCTION("""COMPUTED_VALUE"""),"HarshaliC73")</f>
        <v>HarshaliC73</v>
      </c>
      <c r="C5092" s="8">
        <f>IFERROR(__xludf.DUMMYFUNCTION("""COMPUTED_VALUE"""),0.0)</f>
        <v>0</v>
      </c>
      <c r="D5092" s="8"/>
    </row>
    <row r="5093">
      <c r="A5093" s="9" t="str">
        <f>IFERROR(__xludf.DUMMYFUNCTION("""COMPUTED_VALUE"""),"Batch 273")</f>
        <v>Batch 273</v>
      </c>
      <c r="B5093" s="9" t="str">
        <f>IFERROR(__xludf.DUMMYFUNCTION("""COMPUTED_VALUE"""),"JyosnaC73")</f>
        <v>JyosnaC73</v>
      </c>
      <c r="C5093" s="8">
        <f>IFERROR(__xludf.DUMMYFUNCTION("""COMPUTED_VALUE"""),1.0)</f>
        <v>1</v>
      </c>
      <c r="D5093" s="8"/>
    </row>
    <row r="5094">
      <c r="A5094" s="9" t="str">
        <f>IFERROR(__xludf.DUMMYFUNCTION("""COMPUTED_VALUE"""),"Batch 273")</f>
        <v>Batch 273</v>
      </c>
      <c r="B5094" s="9" t="str">
        <f>IFERROR(__xludf.DUMMYFUNCTION("""COMPUTED_VALUE"""),"ShreyaC73")</f>
        <v>ShreyaC73</v>
      </c>
      <c r="C5094" s="8">
        <f>IFERROR(__xludf.DUMMYFUNCTION("""COMPUTED_VALUE"""),0.0)</f>
        <v>0</v>
      </c>
      <c r="D5094" s="8"/>
    </row>
    <row r="5095">
      <c r="A5095" s="9" t="str">
        <f>IFERROR(__xludf.DUMMYFUNCTION("""COMPUTED_VALUE"""),"Batch 273")</f>
        <v>Batch 273</v>
      </c>
      <c r="B5095" s="9" t="str">
        <f>IFERROR(__xludf.DUMMYFUNCTION("""COMPUTED_VALUE"""),"PranavC73")</f>
        <v>PranavC73</v>
      </c>
      <c r="C5095" s="8">
        <f>IFERROR(__xludf.DUMMYFUNCTION("""COMPUTED_VALUE"""),0.0)</f>
        <v>0</v>
      </c>
      <c r="D5095" s="8"/>
    </row>
    <row r="5096">
      <c r="A5096" s="9" t="str">
        <f>IFERROR(__xludf.DUMMYFUNCTION("""COMPUTED_VALUE"""),"Batch 273")</f>
        <v>Batch 273</v>
      </c>
      <c r="B5096" s="9" t="str">
        <f>IFERROR(__xludf.DUMMYFUNCTION("""COMPUTED_VALUE"""),"PavanC73")</f>
        <v>PavanC73</v>
      </c>
      <c r="C5096" s="8">
        <f>IFERROR(__xludf.DUMMYFUNCTION("""COMPUTED_VALUE"""),0.0)</f>
        <v>0</v>
      </c>
      <c r="D5096" s="8"/>
    </row>
    <row r="5097">
      <c r="A5097" s="9" t="str">
        <f>IFERROR(__xludf.DUMMYFUNCTION("""COMPUTED_VALUE"""),"Batch 273")</f>
        <v>Batch 273</v>
      </c>
      <c r="B5097" s="9" t="str">
        <f>IFERROR(__xludf.DUMMYFUNCTION("""COMPUTED_VALUE"""),"PriyamC73")</f>
        <v>PriyamC73</v>
      </c>
      <c r="C5097" s="8">
        <f>IFERROR(__xludf.DUMMYFUNCTION("""COMPUTED_VALUE"""),0.0)</f>
        <v>0</v>
      </c>
      <c r="D5097" s="8"/>
    </row>
    <row r="5098">
      <c r="A5098" s="9" t="str">
        <f>IFERROR(__xludf.DUMMYFUNCTION("""COMPUTED_VALUE"""),"Batch 273")</f>
        <v>Batch 273</v>
      </c>
      <c r="B5098" s="9" t="str">
        <f>IFERROR(__xludf.DUMMYFUNCTION("""COMPUTED_VALUE"""),"ShivamC73")</f>
        <v>ShivamC73</v>
      </c>
      <c r="C5098" s="8">
        <f>IFERROR(__xludf.DUMMYFUNCTION("""COMPUTED_VALUE"""),0.0)</f>
        <v>0</v>
      </c>
      <c r="D5098" s="8"/>
    </row>
    <row r="5099">
      <c r="A5099" s="9" t="str">
        <f>IFERROR(__xludf.DUMMYFUNCTION("""COMPUTED_VALUE"""),"Batch 273")</f>
        <v>Batch 273</v>
      </c>
      <c r="B5099" s="9" t="str">
        <f>IFERROR(__xludf.DUMMYFUNCTION("""COMPUTED_VALUE"""),"JiyaC73")</f>
        <v>JiyaC73</v>
      </c>
      <c r="C5099" s="8">
        <f>IFERROR(__xludf.DUMMYFUNCTION("""COMPUTED_VALUE"""),2.0)</f>
        <v>2</v>
      </c>
      <c r="D5099" s="8">
        <f>IFERROR(__xludf.DUMMYFUNCTION("""COMPUTED_VALUE"""),1.0)</f>
        <v>1</v>
      </c>
    </row>
    <row r="5100">
      <c r="A5100" s="9" t="str">
        <f>IFERROR(__xludf.DUMMYFUNCTION("""COMPUTED_VALUE"""),"Batch 273")</f>
        <v>Batch 273</v>
      </c>
      <c r="B5100" s="9" t="str">
        <f>IFERROR(__xludf.DUMMYFUNCTION("""COMPUTED_VALUE"""),"MananC73")</f>
        <v>MananC73</v>
      </c>
      <c r="C5100" s="8">
        <f>IFERROR(__xludf.DUMMYFUNCTION("""COMPUTED_VALUE"""),0.0)</f>
        <v>0</v>
      </c>
      <c r="D5100" s="8"/>
    </row>
    <row r="5101">
      <c r="A5101" s="9" t="str">
        <f>IFERROR(__xludf.DUMMYFUNCTION("""COMPUTED_VALUE"""),"Batch 273")</f>
        <v>Batch 273</v>
      </c>
      <c r="B5101" s="9" t="str">
        <f>IFERROR(__xludf.DUMMYFUNCTION("""COMPUTED_VALUE"""),"R.C73")</f>
        <v>R.C73</v>
      </c>
      <c r="C5101" s="8">
        <f>IFERROR(__xludf.DUMMYFUNCTION("""COMPUTED_VALUE"""),0.0)</f>
        <v>0</v>
      </c>
      <c r="D5101" s="8"/>
    </row>
    <row r="5102">
      <c r="A5102" s="9" t="str">
        <f>IFERROR(__xludf.DUMMYFUNCTION("""COMPUTED_VALUE"""),"Batch 273")</f>
        <v>Batch 273</v>
      </c>
      <c r="B5102" s="9" t="str">
        <f>IFERROR(__xludf.DUMMYFUNCTION("""COMPUTED_VALUE"""),"TC73")</f>
        <v>TC73</v>
      </c>
      <c r="C5102" s="8">
        <f>IFERROR(__xludf.DUMMYFUNCTION("""COMPUTED_VALUE"""),8.0)</f>
        <v>8</v>
      </c>
      <c r="D5102" s="8"/>
    </row>
    <row r="5103">
      <c r="A5103" s="9" t="str">
        <f>IFERROR(__xludf.DUMMYFUNCTION("""COMPUTED_VALUE"""),"Batch 273")</f>
        <v>Batch 273</v>
      </c>
      <c r="B5103" s="9" t="str">
        <f>IFERROR(__xludf.DUMMYFUNCTION("""COMPUTED_VALUE"""),"AmanpreetC73")</f>
        <v>AmanpreetC73</v>
      </c>
      <c r="C5103" s="8">
        <f>IFERROR(__xludf.DUMMYFUNCTION("""COMPUTED_VALUE"""),0.0)</f>
        <v>0</v>
      </c>
      <c r="D5103" s="8"/>
    </row>
    <row r="5104">
      <c r="A5104" s="9" t="str">
        <f>IFERROR(__xludf.DUMMYFUNCTION("""COMPUTED_VALUE"""),"Batch 273")</f>
        <v>Batch 273</v>
      </c>
      <c r="B5104" s="9" t="str">
        <f>IFERROR(__xludf.DUMMYFUNCTION("""COMPUTED_VALUE"""),"ChandanaC73")</f>
        <v>ChandanaC73</v>
      </c>
      <c r="C5104" s="8">
        <f>IFERROR(__xludf.DUMMYFUNCTION("""COMPUTED_VALUE"""),0.0)</f>
        <v>0</v>
      </c>
      <c r="D5104" s="8"/>
    </row>
    <row r="5105">
      <c r="A5105" s="9" t="str">
        <f>IFERROR(__xludf.DUMMYFUNCTION("""COMPUTED_VALUE"""),"Batch 273")</f>
        <v>Batch 273</v>
      </c>
      <c r="B5105" s="9" t="str">
        <f>IFERROR(__xludf.DUMMYFUNCTION("""COMPUTED_VALUE"""),"IpshaC73")</f>
        <v>IpshaC73</v>
      </c>
      <c r="C5105" s="8">
        <f>IFERROR(__xludf.DUMMYFUNCTION("""COMPUTED_VALUE"""),0.0)</f>
        <v>0</v>
      </c>
      <c r="D5105" s="8"/>
    </row>
    <row r="5106">
      <c r="A5106" s="9"/>
      <c r="B5106" s="9"/>
      <c r="C5106" s="8">
        <f>IFERROR(__xludf.DUMMYFUNCTION("""COMPUTED_VALUE"""),0.0)</f>
        <v>0</v>
      </c>
      <c r="D5106" s="8"/>
    </row>
    <row r="5107">
      <c r="A5107" s="9" t="str">
        <f>IFERROR(__xludf.DUMMYFUNCTION("""COMPUTED_VALUE"""),"Batch 274")</f>
        <v>Batch 274</v>
      </c>
      <c r="B5107" s="9" t="str">
        <f>IFERROR(__xludf.DUMMYFUNCTION("""COMPUTED_VALUE"""),"GudipatiC74")</f>
        <v>GudipatiC74</v>
      </c>
      <c r="C5107" s="8">
        <f>IFERROR(__xludf.DUMMYFUNCTION("""COMPUTED_VALUE"""),0.0)</f>
        <v>0</v>
      </c>
      <c r="D5107" s="8"/>
    </row>
    <row r="5108">
      <c r="A5108" s="9" t="str">
        <f>IFERROR(__xludf.DUMMYFUNCTION("""COMPUTED_VALUE"""),"Batch 274")</f>
        <v>Batch 274</v>
      </c>
      <c r="B5108" s="9" t="str">
        <f>IFERROR(__xludf.DUMMYFUNCTION("""COMPUTED_VALUE"""),"AnsariC74")</f>
        <v>AnsariC74</v>
      </c>
      <c r="C5108" s="8">
        <f>IFERROR(__xludf.DUMMYFUNCTION("""COMPUTED_VALUE"""),0.0)</f>
        <v>0</v>
      </c>
      <c r="D5108" s="8"/>
    </row>
    <row r="5109">
      <c r="A5109" s="9" t="str">
        <f>IFERROR(__xludf.DUMMYFUNCTION("""COMPUTED_VALUE"""),"Batch 274")</f>
        <v>Batch 274</v>
      </c>
      <c r="B5109" s="9" t="str">
        <f>IFERROR(__xludf.DUMMYFUNCTION("""COMPUTED_VALUE"""),"HarshC74")</f>
        <v>HarshC74</v>
      </c>
      <c r="C5109" s="8">
        <f>IFERROR(__xludf.DUMMYFUNCTION("""COMPUTED_VALUE"""),0.0)</f>
        <v>0</v>
      </c>
      <c r="D5109" s="8"/>
    </row>
    <row r="5110">
      <c r="A5110" s="9" t="str">
        <f>IFERROR(__xludf.DUMMYFUNCTION("""COMPUTED_VALUE"""),"Batch 274")</f>
        <v>Batch 274</v>
      </c>
      <c r="B5110" s="9" t="str">
        <f>IFERROR(__xludf.DUMMYFUNCTION("""COMPUTED_VALUE"""),"soumikC74")</f>
        <v>soumikC74</v>
      </c>
      <c r="C5110" s="8">
        <f>IFERROR(__xludf.DUMMYFUNCTION("""COMPUTED_VALUE"""),0.0)</f>
        <v>0</v>
      </c>
      <c r="D5110" s="8"/>
    </row>
    <row r="5111">
      <c r="A5111" s="9" t="str">
        <f>IFERROR(__xludf.DUMMYFUNCTION("""COMPUTED_VALUE"""),"Batch 274")</f>
        <v>Batch 274</v>
      </c>
      <c r="B5111" s="9" t="str">
        <f>IFERROR(__xludf.DUMMYFUNCTION("""COMPUTED_VALUE"""),"K.C74")</f>
        <v>K.C74</v>
      </c>
      <c r="C5111" s="8">
        <f>IFERROR(__xludf.DUMMYFUNCTION("""COMPUTED_VALUE"""),1.0)</f>
        <v>1</v>
      </c>
      <c r="D5111" s="8"/>
    </row>
    <row r="5112">
      <c r="A5112" s="9" t="str">
        <f>IFERROR(__xludf.DUMMYFUNCTION("""COMPUTED_VALUE"""),"Batch 274")</f>
        <v>Batch 274</v>
      </c>
      <c r="B5112" s="9" t="str">
        <f>IFERROR(__xludf.DUMMYFUNCTION("""COMPUTED_VALUE"""),"SerenaC74")</f>
        <v>SerenaC74</v>
      </c>
      <c r="C5112" s="8">
        <f>IFERROR(__xludf.DUMMYFUNCTION("""COMPUTED_VALUE"""),0.0)</f>
        <v>0</v>
      </c>
      <c r="D5112" s="8"/>
    </row>
    <row r="5113">
      <c r="A5113" s="9" t="str">
        <f>IFERROR(__xludf.DUMMYFUNCTION("""COMPUTED_VALUE"""),"Batch 274")</f>
        <v>Batch 274</v>
      </c>
      <c r="B5113" s="9" t="str">
        <f>IFERROR(__xludf.DUMMYFUNCTION("""COMPUTED_VALUE"""),"SandhyaC74")</f>
        <v>SandhyaC74</v>
      </c>
      <c r="C5113" s="8">
        <f>IFERROR(__xludf.DUMMYFUNCTION("""COMPUTED_VALUE"""),0.0)</f>
        <v>0</v>
      </c>
      <c r="D5113" s="8"/>
    </row>
    <row r="5114">
      <c r="A5114" s="9" t="str">
        <f>IFERROR(__xludf.DUMMYFUNCTION("""COMPUTED_VALUE"""),"Batch 274")</f>
        <v>Batch 274</v>
      </c>
      <c r="B5114" s="9" t="str">
        <f>IFERROR(__xludf.DUMMYFUNCTION("""COMPUTED_VALUE"""),"SHAIKC74")</f>
        <v>SHAIKC74</v>
      </c>
      <c r="C5114" s="8">
        <f>IFERROR(__xludf.DUMMYFUNCTION("""COMPUTED_VALUE"""),0.0)</f>
        <v>0</v>
      </c>
      <c r="D5114" s="8"/>
    </row>
    <row r="5115">
      <c r="A5115" s="9" t="str">
        <f>IFERROR(__xludf.DUMMYFUNCTION("""COMPUTED_VALUE"""),"Batch 274")</f>
        <v>Batch 274</v>
      </c>
      <c r="B5115" s="9" t="str">
        <f>IFERROR(__xludf.DUMMYFUNCTION("""COMPUTED_VALUE"""),"DupatiC74")</f>
        <v>DupatiC74</v>
      </c>
      <c r="C5115" s="8">
        <f>IFERROR(__xludf.DUMMYFUNCTION("""COMPUTED_VALUE"""),5.0)</f>
        <v>5</v>
      </c>
      <c r="D5115" s="8"/>
    </row>
    <row r="5116">
      <c r="A5116" s="9" t="str">
        <f>IFERROR(__xludf.DUMMYFUNCTION("""COMPUTED_VALUE"""),"Batch 274")</f>
        <v>Batch 274</v>
      </c>
      <c r="B5116" s="9" t="str">
        <f>IFERROR(__xludf.DUMMYFUNCTION("""COMPUTED_VALUE"""),"DineshC74")</f>
        <v>DineshC74</v>
      </c>
      <c r="C5116" s="8">
        <f>IFERROR(__xludf.DUMMYFUNCTION("""COMPUTED_VALUE"""),0.0)</f>
        <v>0</v>
      </c>
      <c r="D5116" s="8">
        <f>IFERROR(__xludf.DUMMYFUNCTION("""COMPUTED_VALUE"""),1.0)</f>
        <v>1</v>
      </c>
    </row>
    <row r="5117">
      <c r="A5117" s="9" t="str">
        <f>IFERROR(__xludf.DUMMYFUNCTION("""COMPUTED_VALUE"""),"Batch 274")</f>
        <v>Batch 274</v>
      </c>
      <c r="B5117" s="9" t="str">
        <f>IFERROR(__xludf.DUMMYFUNCTION("""COMPUTED_VALUE"""),"SrinidhiC74")</f>
        <v>SrinidhiC74</v>
      </c>
      <c r="C5117" s="8">
        <f>IFERROR(__xludf.DUMMYFUNCTION("""COMPUTED_VALUE"""),0.0)</f>
        <v>0</v>
      </c>
      <c r="D5117" s="8"/>
    </row>
    <row r="5118">
      <c r="A5118" s="9" t="str">
        <f>IFERROR(__xludf.DUMMYFUNCTION("""COMPUTED_VALUE"""),"Batch 274")</f>
        <v>Batch 274</v>
      </c>
      <c r="B5118" s="9" t="str">
        <f>IFERROR(__xludf.DUMMYFUNCTION("""COMPUTED_VALUE"""),"ManavC74")</f>
        <v>ManavC74</v>
      </c>
      <c r="C5118" s="8">
        <f>IFERROR(__xludf.DUMMYFUNCTION("""COMPUTED_VALUE"""),0.0)</f>
        <v>0</v>
      </c>
      <c r="D5118" s="8"/>
    </row>
    <row r="5119">
      <c r="A5119" s="9" t="str">
        <f>IFERROR(__xludf.DUMMYFUNCTION("""COMPUTED_VALUE"""),"Batch 274")</f>
        <v>Batch 274</v>
      </c>
      <c r="B5119" s="9" t="str">
        <f>IFERROR(__xludf.DUMMYFUNCTION("""COMPUTED_VALUE"""),"LinithaC74")</f>
        <v>LinithaC74</v>
      </c>
      <c r="C5119" s="8">
        <f>IFERROR(__xludf.DUMMYFUNCTION("""COMPUTED_VALUE"""),0.0)</f>
        <v>0</v>
      </c>
      <c r="D5119" s="8"/>
    </row>
    <row r="5120">
      <c r="A5120" s="9" t="str">
        <f>IFERROR(__xludf.DUMMYFUNCTION("""COMPUTED_VALUE"""),"Batch 274")</f>
        <v>Batch 274</v>
      </c>
      <c r="B5120" s="9" t="str">
        <f>IFERROR(__xludf.DUMMYFUNCTION("""COMPUTED_VALUE"""),"PC74")</f>
        <v>PC74</v>
      </c>
      <c r="C5120" s="8">
        <f>IFERROR(__xludf.DUMMYFUNCTION("""COMPUTED_VALUE"""),0.0)</f>
        <v>0</v>
      </c>
      <c r="D5120" s="8"/>
    </row>
    <row r="5121">
      <c r="A5121" s="9" t="str">
        <f>IFERROR(__xludf.DUMMYFUNCTION("""COMPUTED_VALUE"""),"Batch 274")</f>
        <v>Batch 274</v>
      </c>
      <c r="B5121" s="9" t="str">
        <f>IFERROR(__xludf.DUMMYFUNCTION("""COMPUTED_VALUE"""),"AnushaC74")</f>
        <v>AnushaC74</v>
      </c>
      <c r="C5121" s="8">
        <f>IFERROR(__xludf.DUMMYFUNCTION("""COMPUTED_VALUE"""),0.0)</f>
        <v>0</v>
      </c>
      <c r="D5121" s="8"/>
    </row>
    <row r="5122">
      <c r="A5122" s="9" t="str">
        <f>IFERROR(__xludf.DUMMYFUNCTION("""COMPUTED_VALUE"""),"Batch 274")</f>
        <v>Batch 274</v>
      </c>
      <c r="B5122" s="9" t="str">
        <f>IFERROR(__xludf.DUMMYFUNCTION("""COMPUTED_VALUE"""),"HrishitaC74")</f>
        <v>HrishitaC74</v>
      </c>
      <c r="C5122" s="8">
        <f>IFERROR(__xludf.DUMMYFUNCTION("""COMPUTED_VALUE"""),5.0)</f>
        <v>5</v>
      </c>
      <c r="D5122" s="8"/>
    </row>
    <row r="5123">
      <c r="A5123" s="9" t="str">
        <f>IFERROR(__xludf.DUMMYFUNCTION("""COMPUTED_VALUE"""),"Batch 274")</f>
        <v>Batch 274</v>
      </c>
      <c r="B5123" s="9" t="str">
        <f>IFERROR(__xludf.DUMMYFUNCTION("""COMPUTED_VALUE"""),"NainaC74")</f>
        <v>NainaC74</v>
      </c>
      <c r="C5123" s="8">
        <f>IFERROR(__xludf.DUMMYFUNCTION("""COMPUTED_VALUE"""),0.0)</f>
        <v>0</v>
      </c>
      <c r="D5123" s="8"/>
    </row>
    <row r="5124">
      <c r="A5124" s="9" t="str">
        <f>IFERROR(__xludf.DUMMYFUNCTION("""COMPUTED_VALUE"""),"Batch 274")</f>
        <v>Batch 274</v>
      </c>
      <c r="B5124" s="9" t="str">
        <f>IFERROR(__xludf.DUMMYFUNCTION("""COMPUTED_VALUE"""),"AryamanC74")</f>
        <v>AryamanC74</v>
      </c>
      <c r="C5124" s="8">
        <f>IFERROR(__xludf.DUMMYFUNCTION("""COMPUTED_VALUE"""),0.0)</f>
        <v>0</v>
      </c>
      <c r="D5124" s="8"/>
    </row>
    <row r="5125">
      <c r="A5125" s="9" t="str">
        <f>IFERROR(__xludf.DUMMYFUNCTION("""COMPUTED_VALUE"""),"Batch 274")</f>
        <v>Batch 274</v>
      </c>
      <c r="B5125" s="9" t="str">
        <f>IFERROR(__xludf.DUMMYFUNCTION("""COMPUTED_VALUE"""),"AasthaC74")</f>
        <v>AasthaC74</v>
      </c>
      <c r="C5125" s="8">
        <f>IFERROR(__xludf.DUMMYFUNCTION("""COMPUTED_VALUE"""),1.0)</f>
        <v>1</v>
      </c>
      <c r="D5125" s="8"/>
    </row>
    <row r="5126">
      <c r="A5126" s="9" t="str">
        <f>IFERROR(__xludf.DUMMYFUNCTION("""COMPUTED_VALUE"""),"Batch 274")</f>
        <v>Batch 274</v>
      </c>
      <c r="B5126" s="9" t="str">
        <f>IFERROR(__xludf.DUMMYFUNCTION("""COMPUTED_VALUE"""),"KanishkaC74")</f>
        <v>KanishkaC74</v>
      </c>
      <c r="C5126" s="8">
        <f>IFERROR(__xludf.DUMMYFUNCTION("""COMPUTED_VALUE"""),0.0)</f>
        <v>0</v>
      </c>
      <c r="D5126" s="8"/>
    </row>
    <row r="5127">
      <c r="A5127" s="9" t="str">
        <f>IFERROR(__xludf.DUMMYFUNCTION("""COMPUTED_VALUE"""),"Batch 274")</f>
        <v>Batch 274</v>
      </c>
      <c r="B5127" s="9" t="str">
        <f>IFERROR(__xludf.DUMMYFUNCTION("""COMPUTED_VALUE"""),"UdhayavarshiniC74")</f>
        <v>UdhayavarshiniC74</v>
      </c>
      <c r="C5127" s="8">
        <f>IFERROR(__xludf.DUMMYFUNCTION("""COMPUTED_VALUE"""),0.0)</f>
        <v>0</v>
      </c>
      <c r="D5127" s="8"/>
    </row>
    <row r="5128">
      <c r="A5128" s="9" t="str">
        <f>IFERROR(__xludf.DUMMYFUNCTION("""COMPUTED_VALUE"""),"Batch 274")</f>
        <v>Batch 274</v>
      </c>
      <c r="B5128" s="9" t="str">
        <f>IFERROR(__xludf.DUMMYFUNCTION("""COMPUTED_VALUE"""),"AkshatC74")</f>
        <v>AkshatC74</v>
      </c>
      <c r="C5128" s="8">
        <f>IFERROR(__xludf.DUMMYFUNCTION("""COMPUTED_VALUE"""),0.0)</f>
        <v>0</v>
      </c>
      <c r="D5128" s="8"/>
    </row>
    <row r="5129">
      <c r="A5129" s="9"/>
      <c r="B5129" s="9"/>
      <c r="C5129" s="8">
        <f>IFERROR(__xludf.DUMMYFUNCTION("""COMPUTED_VALUE"""),0.0)</f>
        <v>0</v>
      </c>
      <c r="D5129" s="8"/>
    </row>
    <row r="5130">
      <c r="A5130" s="9" t="str">
        <f>IFERROR(__xludf.DUMMYFUNCTION("""COMPUTED_VALUE"""),"Batch 275")</f>
        <v>Batch 275</v>
      </c>
      <c r="B5130" s="9" t="str">
        <f>IFERROR(__xludf.DUMMYFUNCTION("""COMPUTED_VALUE"""),"TrishaC75")</f>
        <v>TrishaC75</v>
      </c>
      <c r="C5130" s="8">
        <f>IFERROR(__xludf.DUMMYFUNCTION("""COMPUTED_VALUE"""),0.0)</f>
        <v>0</v>
      </c>
      <c r="D5130" s="8"/>
    </row>
    <row r="5131">
      <c r="A5131" s="9" t="str">
        <f>IFERROR(__xludf.DUMMYFUNCTION("""COMPUTED_VALUE"""),"Batch 275")</f>
        <v>Batch 275</v>
      </c>
      <c r="B5131" s="9" t="str">
        <f>IFERROR(__xludf.DUMMYFUNCTION("""COMPUTED_VALUE"""),"GangarapuC75")</f>
        <v>GangarapuC75</v>
      </c>
      <c r="C5131" s="8">
        <f>IFERROR(__xludf.DUMMYFUNCTION("""COMPUTED_VALUE"""),2.0)</f>
        <v>2</v>
      </c>
      <c r="D5131" s="8"/>
    </row>
    <row r="5132">
      <c r="A5132" s="9" t="str">
        <f>IFERROR(__xludf.DUMMYFUNCTION("""COMPUTED_VALUE"""),"Batch 275")</f>
        <v>Batch 275</v>
      </c>
      <c r="B5132" s="9" t="str">
        <f>IFERROR(__xludf.DUMMYFUNCTION("""COMPUTED_VALUE"""),"BhoomikaC75")</f>
        <v>BhoomikaC75</v>
      </c>
      <c r="C5132" s="8">
        <f>IFERROR(__xludf.DUMMYFUNCTION("""COMPUTED_VALUE"""),0.0)</f>
        <v>0</v>
      </c>
      <c r="D5132" s="8"/>
    </row>
    <row r="5133">
      <c r="A5133" s="9" t="str">
        <f>IFERROR(__xludf.DUMMYFUNCTION("""COMPUTED_VALUE"""),"Batch 275")</f>
        <v>Batch 275</v>
      </c>
      <c r="B5133" s="9" t="str">
        <f>IFERROR(__xludf.DUMMYFUNCTION("""COMPUTED_VALUE"""),"YashC75")</f>
        <v>YashC75</v>
      </c>
      <c r="C5133" s="8">
        <f>IFERROR(__xludf.DUMMYFUNCTION("""COMPUTED_VALUE"""),0.0)</f>
        <v>0</v>
      </c>
      <c r="D5133" s="8"/>
    </row>
    <row r="5134">
      <c r="A5134" s="9" t="str">
        <f>IFERROR(__xludf.DUMMYFUNCTION("""COMPUTED_VALUE"""),"Batch 275")</f>
        <v>Batch 275</v>
      </c>
      <c r="B5134" s="9" t="str">
        <f>IFERROR(__xludf.DUMMYFUNCTION("""COMPUTED_VALUE"""),"AbhirajC75")</f>
        <v>AbhirajC75</v>
      </c>
      <c r="C5134" s="8">
        <f>IFERROR(__xludf.DUMMYFUNCTION("""COMPUTED_VALUE"""),0.0)</f>
        <v>0</v>
      </c>
      <c r="D5134" s="8"/>
    </row>
    <row r="5135">
      <c r="A5135" s="9" t="str">
        <f>IFERROR(__xludf.DUMMYFUNCTION("""COMPUTED_VALUE"""),"Batch 275")</f>
        <v>Batch 275</v>
      </c>
      <c r="B5135" s="9" t="str">
        <f>IFERROR(__xludf.DUMMYFUNCTION("""COMPUTED_VALUE"""),"SahilC75")</f>
        <v>SahilC75</v>
      </c>
      <c r="C5135" s="8">
        <f>IFERROR(__xludf.DUMMYFUNCTION("""COMPUTED_VALUE"""),0.0)</f>
        <v>0</v>
      </c>
      <c r="D5135" s="8"/>
    </row>
    <row r="5136">
      <c r="A5136" s="9" t="str">
        <f>IFERROR(__xludf.DUMMYFUNCTION("""COMPUTED_VALUE"""),"Batch 275")</f>
        <v>Batch 275</v>
      </c>
      <c r="B5136" s="9" t="str">
        <f>IFERROR(__xludf.DUMMYFUNCTION("""COMPUTED_VALUE"""),"HarshC75")</f>
        <v>HarshC75</v>
      </c>
      <c r="C5136" s="8">
        <f>IFERROR(__xludf.DUMMYFUNCTION("""COMPUTED_VALUE"""),3.0)</f>
        <v>3</v>
      </c>
      <c r="D5136" s="8"/>
    </row>
    <row r="5137">
      <c r="A5137" s="9" t="str">
        <f>IFERROR(__xludf.DUMMYFUNCTION("""COMPUTED_VALUE"""),"Batch 275")</f>
        <v>Batch 275</v>
      </c>
      <c r="B5137" s="9" t="str">
        <f>IFERROR(__xludf.DUMMYFUNCTION("""COMPUTED_VALUE"""),"BALAMURUGANC75")</f>
        <v>BALAMURUGANC75</v>
      </c>
      <c r="C5137" s="8">
        <f>IFERROR(__xludf.DUMMYFUNCTION("""COMPUTED_VALUE"""),0.0)</f>
        <v>0</v>
      </c>
      <c r="D5137" s="8"/>
    </row>
    <row r="5138">
      <c r="A5138" s="9" t="str">
        <f>IFERROR(__xludf.DUMMYFUNCTION("""COMPUTED_VALUE"""),"Batch 275")</f>
        <v>Batch 275</v>
      </c>
      <c r="B5138" s="9" t="str">
        <f>IFERROR(__xludf.DUMMYFUNCTION("""COMPUTED_VALUE"""),"Harish.GC75")</f>
        <v>Harish.GC75</v>
      </c>
      <c r="C5138" s="8">
        <f>IFERROR(__xludf.DUMMYFUNCTION("""COMPUTED_VALUE"""),0.0)</f>
        <v>0</v>
      </c>
      <c r="D5138" s="8"/>
    </row>
    <row r="5139">
      <c r="A5139" s="9" t="str">
        <f>IFERROR(__xludf.DUMMYFUNCTION("""COMPUTED_VALUE"""),"Batch 275")</f>
        <v>Batch 275</v>
      </c>
      <c r="B5139" s="9" t="str">
        <f>IFERROR(__xludf.DUMMYFUNCTION("""COMPUTED_VALUE"""),"RutikaC75")</f>
        <v>RutikaC75</v>
      </c>
      <c r="C5139" s="8">
        <f>IFERROR(__xludf.DUMMYFUNCTION("""COMPUTED_VALUE"""),0.0)</f>
        <v>0</v>
      </c>
      <c r="D5139" s="8"/>
    </row>
    <row r="5140">
      <c r="A5140" s="9" t="str">
        <f>IFERROR(__xludf.DUMMYFUNCTION("""COMPUTED_VALUE"""),"Batch 275")</f>
        <v>Batch 275</v>
      </c>
      <c r="B5140" s="9" t="str">
        <f>IFERROR(__xludf.DUMMYFUNCTION("""COMPUTED_VALUE"""),"ShaikC75")</f>
        <v>ShaikC75</v>
      </c>
      <c r="C5140" s="8">
        <f>IFERROR(__xludf.DUMMYFUNCTION("""COMPUTED_VALUE"""),0.0)</f>
        <v>0</v>
      </c>
      <c r="D5140" s="8"/>
    </row>
    <row r="5141">
      <c r="A5141" s="9" t="str">
        <f>IFERROR(__xludf.DUMMYFUNCTION("""COMPUTED_VALUE"""),"Batch 275")</f>
        <v>Batch 275</v>
      </c>
      <c r="B5141" s="9" t="str">
        <f>IFERROR(__xludf.DUMMYFUNCTION("""COMPUTED_VALUE"""),"namithaC75")</f>
        <v>namithaC75</v>
      </c>
      <c r="C5141" s="8">
        <f>IFERROR(__xludf.DUMMYFUNCTION("""COMPUTED_VALUE"""),0.0)</f>
        <v>0</v>
      </c>
      <c r="D5141" s="8"/>
    </row>
    <row r="5142">
      <c r="A5142" s="9" t="str">
        <f>IFERROR(__xludf.DUMMYFUNCTION("""COMPUTED_VALUE"""),"Batch 275")</f>
        <v>Batch 275</v>
      </c>
      <c r="B5142" s="9" t="str">
        <f>IFERROR(__xludf.DUMMYFUNCTION("""COMPUTED_VALUE"""),"DeepeshC75")</f>
        <v>DeepeshC75</v>
      </c>
      <c r="C5142" s="8">
        <f>IFERROR(__xludf.DUMMYFUNCTION("""COMPUTED_VALUE"""),0.0)</f>
        <v>0</v>
      </c>
      <c r="D5142" s="8"/>
    </row>
    <row r="5143">
      <c r="A5143" s="9" t="str">
        <f>IFERROR(__xludf.DUMMYFUNCTION("""COMPUTED_VALUE"""),"Batch 275")</f>
        <v>Batch 275</v>
      </c>
      <c r="B5143" s="9" t="str">
        <f>IFERROR(__xludf.DUMMYFUNCTION("""COMPUTED_VALUE"""),"NandiniC75")</f>
        <v>NandiniC75</v>
      </c>
      <c r="C5143" s="8">
        <f>IFERROR(__xludf.DUMMYFUNCTION("""COMPUTED_VALUE"""),0.0)</f>
        <v>0</v>
      </c>
      <c r="D5143" s="8"/>
    </row>
    <row r="5144">
      <c r="A5144" s="9" t="str">
        <f>IFERROR(__xludf.DUMMYFUNCTION("""COMPUTED_VALUE"""),"Batch 275")</f>
        <v>Batch 275</v>
      </c>
      <c r="B5144" s="9" t="str">
        <f>IFERROR(__xludf.DUMMYFUNCTION("""COMPUTED_VALUE"""),"SakshamC75")</f>
        <v>SakshamC75</v>
      </c>
      <c r="C5144" s="8">
        <f>IFERROR(__xludf.DUMMYFUNCTION("""COMPUTED_VALUE"""),0.0)</f>
        <v>0</v>
      </c>
      <c r="D5144" s="8"/>
    </row>
    <row r="5145">
      <c r="A5145" s="9" t="str">
        <f>IFERROR(__xludf.DUMMYFUNCTION("""COMPUTED_VALUE"""),"Batch 275")</f>
        <v>Batch 275</v>
      </c>
      <c r="B5145" s="9" t="str">
        <f>IFERROR(__xludf.DUMMYFUNCTION("""COMPUTED_VALUE"""),"SuhaniC75")</f>
        <v>SuhaniC75</v>
      </c>
      <c r="C5145" s="8">
        <f>IFERROR(__xludf.DUMMYFUNCTION("""COMPUTED_VALUE"""),0.0)</f>
        <v>0</v>
      </c>
      <c r="D5145" s="8"/>
    </row>
    <row r="5146">
      <c r="A5146" s="9" t="str">
        <f>IFERROR(__xludf.DUMMYFUNCTION("""COMPUTED_VALUE"""),"Batch 275")</f>
        <v>Batch 275</v>
      </c>
      <c r="B5146" s="9" t="str">
        <f>IFERROR(__xludf.DUMMYFUNCTION("""COMPUTED_VALUE"""),"TirthaC75")</f>
        <v>TirthaC75</v>
      </c>
      <c r="C5146" s="8">
        <f>IFERROR(__xludf.DUMMYFUNCTION("""COMPUTED_VALUE"""),0.0)</f>
        <v>0</v>
      </c>
      <c r="D5146" s="8"/>
    </row>
    <row r="5147">
      <c r="A5147" s="9" t="str">
        <f>IFERROR(__xludf.DUMMYFUNCTION("""COMPUTED_VALUE"""),"Batch 275")</f>
        <v>Batch 275</v>
      </c>
      <c r="B5147" s="9" t="str">
        <f>IFERROR(__xludf.DUMMYFUNCTION("""COMPUTED_VALUE"""),"DivyanshuC75")</f>
        <v>DivyanshuC75</v>
      </c>
      <c r="C5147" s="8">
        <f>IFERROR(__xludf.DUMMYFUNCTION("""COMPUTED_VALUE"""),0.0)</f>
        <v>0</v>
      </c>
      <c r="D5147" s="8"/>
    </row>
    <row r="5148">
      <c r="A5148" s="9" t="str">
        <f>IFERROR(__xludf.DUMMYFUNCTION("""COMPUTED_VALUE"""),"Batch 275")</f>
        <v>Batch 275</v>
      </c>
      <c r="B5148" s="9" t="str">
        <f>IFERROR(__xludf.DUMMYFUNCTION("""COMPUTED_VALUE"""),"AksharaC75")</f>
        <v>AksharaC75</v>
      </c>
      <c r="C5148" s="8">
        <f>IFERROR(__xludf.DUMMYFUNCTION("""COMPUTED_VALUE"""),0.0)</f>
        <v>0</v>
      </c>
      <c r="D5148" s="8"/>
    </row>
    <row r="5149">
      <c r="A5149" s="9" t="str">
        <f>IFERROR(__xludf.DUMMYFUNCTION("""COMPUTED_VALUE"""),"Batch 275")</f>
        <v>Batch 275</v>
      </c>
      <c r="B5149" s="9" t="str">
        <f>IFERROR(__xludf.DUMMYFUNCTION("""COMPUTED_VALUE"""),"PlasidaC75")</f>
        <v>PlasidaC75</v>
      </c>
      <c r="C5149" s="8">
        <f>IFERROR(__xludf.DUMMYFUNCTION("""COMPUTED_VALUE"""),0.0)</f>
        <v>0</v>
      </c>
      <c r="D5149" s="8"/>
    </row>
    <row r="5150">
      <c r="A5150" s="9" t="str">
        <f>IFERROR(__xludf.DUMMYFUNCTION("""COMPUTED_VALUE"""),"Batch 275")</f>
        <v>Batch 275</v>
      </c>
      <c r="B5150" s="9" t="str">
        <f>IFERROR(__xludf.DUMMYFUNCTION("""COMPUTED_VALUE"""),"YaishnikaC75")</f>
        <v>YaishnikaC75</v>
      </c>
      <c r="C5150" s="8">
        <f>IFERROR(__xludf.DUMMYFUNCTION("""COMPUTED_VALUE"""),0.0)</f>
        <v>0</v>
      </c>
      <c r="D5150" s="8"/>
    </row>
    <row r="5151">
      <c r="A5151" s="9" t="str">
        <f>IFERROR(__xludf.DUMMYFUNCTION("""COMPUTED_VALUE"""),"Batch 275")</f>
        <v>Batch 275</v>
      </c>
      <c r="B5151" s="9" t="str">
        <f>IFERROR(__xludf.DUMMYFUNCTION("""COMPUTED_VALUE"""),"DiyaC75")</f>
        <v>DiyaC75</v>
      </c>
      <c r="C5151" s="8">
        <f>IFERROR(__xludf.DUMMYFUNCTION("""COMPUTED_VALUE"""),0.0)</f>
        <v>0</v>
      </c>
      <c r="D5151" s="8"/>
    </row>
    <row r="5152">
      <c r="A5152" s="9"/>
      <c r="B5152" s="9"/>
      <c r="C5152" s="8">
        <f>IFERROR(__xludf.DUMMYFUNCTION("""COMPUTED_VALUE"""),0.0)</f>
        <v>0</v>
      </c>
      <c r="D5152" s="8"/>
    </row>
    <row r="5153">
      <c r="A5153" s="9" t="str">
        <f>IFERROR(__xludf.DUMMYFUNCTION("""COMPUTED_VALUE"""),"Batch 276")</f>
        <v>Batch 276</v>
      </c>
      <c r="B5153" s="9" t="str">
        <f>IFERROR(__xludf.DUMMYFUNCTION("""COMPUTED_VALUE"""),"RutujaC76")</f>
        <v>RutujaC76</v>
      </c>
      <c r="C5153" s="8">
        <f>IFERROR(__xludf.DUMMYFUNCTION("""COMPUTED_VALUE"""),3.0)</f>
        <v>3</v>
      </c>
      <c r="D5153" s="8"/>
    </row>
    <row r="5154">
      <c r="A5154" s="9" t="str">
        <f>IFERROR(__xludf.DUMMYFUNCTION("""COMPUTED_VALUE"""),"Batch 276")</f>
        <v>Batch 276</v>
      </c>
      <c r="B5154" s="9" t="str">
        <f>IFERROR(__xludf.DUMMYFUNCTION("""COMPUTED_VALUE"""),"MananC76")</f>
        <v>MananC76</v>
      </c>
      <c r="C5154" s="8">
        <f>IFERROR(__xludf.DUMMYFUNCTION("""COMPUTED_VALUE"""),0.0)</f>
        <v>0</v>
      </c>
      <c r="D5154" s="8"/>
    </row>
    <row r="5155">
      <c r="A5155" s="9" t="str">
        <f>IFERROR(__xludf.DUMMYFUNCTION("""COMPUTED_VALUE"""),"Batch 276")</f>
        <v>Batch 276</v>
      </c>
      <c r="B5155" s="9" t="str">
        <f>IFERROR(__xludf.DUMMYFUNCTION("""COMPUTED_VALUE"""),"princeC76")</f>
        <v>princeC76</v>
      </c>
      <c r="C5155" s="8">
        <f>IFERROR(__xludf.DUMMYFUNCTION("""COMPUTED_VALUE"""),0.0)</f>
        <v>0</v>
      </c>
      <c r="D5155" s="8"/>
    </row>
    <row r="5156">
      <c r="A5156" s="9" t="str">
        <f>IFERROR(__xludf.DUMMYFUNCTION("""COMPUTED_VALUE"""),"Batch 276")</f>
        <v>Batch 276</v>
      </c>
      <c r="B5156" s="9" t="str">
        <f>IFERROR(__xludf.DUMMYFUNCTION("""COMPUTED_VALUE"""),"ShreyaC76")</f>
        <v>ShreyaC76</v>
      </c>
      <c r="C5156" s="8">
        <f>IFERROR(__xludf.DUMMYFUNCTION("""COMPUTED_VALUE"""),12.0)</f>
        <v>12</v>
      </c>
      <c r="D5156" s="8">
        <f>IFERROR(__xludf.DUMMYFUNCTION("""COMPUTED_VALUE"""),16.0)</f>
        <v>16</v>
      </c>
    </row>
    <row r="5157">
      <c r="A5157" s="9" t="str">
        <f>IFERROR(__xludf.DUMMYFUNCTION("""COMPUTED_VALUE"""),"Batch 276")</f>
        <v>Batch 276</v>
      </c>
      <c r="B5157" s="9" t="str">
        <f>IFERROR(__xludf.DUMMYFUNCTION("""COMPUTED_VALUE"""),"AsifC76")</f>
        <v>AsifC76</v>
      </c>
      <c r="C5157" s="8">
        <f>IFERROR(__xludf.DUMMYFUNCTION("""COMPUTED_VALUE"""),0.0)</f>
        <v>0</v>
      </c>
      <c r="D5157" s="8"/>
    </row>
    <row r="5158">
      <c r="A5158" s="9" t="str">
        <f>IFERROR(__xludf.DUMMYFUNCTION("""COMPUTED_VALUE"""),"Batch 276")</f>
        <v>Batch 276</v>
      </c>
      <c r="B5158" s="9" t="str">
        <f>IFERROR(__xludf.DUMMYFUNCTION("""COMPUTED_VALUE"""),"ANUSHKAC76")</f>
        <v>ANUSHKAC76</v>
      </c>
      <c r="C5158" s="8">
        <f>IFERROR(__xludf.DUMMYFUNCTION("""COMPUTED_VALUE"""),0.0)</f>
        <v>0</v>
      </c>
      <c r="D5158" s="8"/>
    </row>
    <row r="5159">
      <c r="A5159" s="9" t="str">
        <f>IFERROR(__xludf.DUMMYFUNCTION("""COMPUTED_VALUE"""),"Batch 276")</f>
        <v>Batch 276</v>
      </c>
      <c r="B5159" s="9" t="str">
        <f>IFERROR(__xludf.DUMMYFUNCTION("""COMPUTED_VALUE"""),"KrishC76")</f>
        <v>KrishC76</v>
      </c>
      <c r="C5159" s="8">
        <f>IFERROR(__xludf.DUMMYFUNCTION("""COMPUTED_VALUE"""),9.0)</f>
        <v>9</v>
      </c>
      <c r="D5159" s="8"/>
    </row>
    <row r="5160">
      <c r="A5160" s="9" t="str">
        <f>IFERROR(__xludf.DUMMYFUNCTION("""COMPUTED_VALUE"""),"Batch 276")</f>
        <v>Batch 276</v>
      </c>
      <c r="B5160" s="9" t="str">
        <f>IFERROR(__xludf.DUMMYFUNCTION("""COMPUTED_VALUE"""),"SOUHINIC76")</f>
        <v>SOUHINIC76</v>
      </c>
      <c r="C5160" s="8">
        <f>IFERROR(__xludf.DUMMYFUNCTION("""COMPUTED_VALUE"""),0.0)</f>
        <v>0</v>
      </c>
      <c r="D5160" s="8"/>
    </row>
    <row r="5161">
      <c r="A5161" s="9" t="str">
        <f>IFERROR(__xludf.DUMMYFUNCTION("""COMPUTED_VALUE"""),"Batch 276")</f>
        <v>Batch 276</v>
      </c>
      <c r="B5161" s="9" t="str">
        <f>IFERROR(__xludf.DUMMYFUNCTION("""COMPUTED_VALUE"""),"alishbaC76")</f>
        <v>alishbaC76</v>
      </c>
      <c r="C5161" s="8">
        <f>IFERROR(__xludf.DUMMYFUNCTION("""COMPUTED_VALUE"""),0.0)</f>
        <v>0</v>
      </c>
      <c r="D5161" s="8"/>
    </row>
    <row r="5162">
      <c r="A5162" s="9" t="str">
        <f>IFERROR(__xludf.DUMMYFUNCTION("""COMPUTED_VALUE"""),"Batch 276")</f>
        <v>Batch 276</v>
      </c>
      <c r="B5162" s="9" t="str">
        <f>IFERROR(__xludf.DUMMYFUNCTION("""COMPUTED_VALUE"""),"FaisalC76")</f>
        <v>FaisalC76</v>
      </c>
      <c r="C5162" s="8">
        <f>IFERROR(__xludf.DUMMYFUNCTION("""COMPUTED_VALUE"""),0.0)</f>
        <v>0</v>
      </c>
      <c r="D5162" s="8"/>
    </row>
    <row r="5163">
      <c r="A5163" s="9" t="str">
        <f>IFERROR(__xludf.DUMMYFUNCTION("""COMPUTED_VALUE"""),"Batch 276")</f>
        <v>Batch 276</v>
      </c>
      <c r="B5163" s="9" t="str">
        <f>IFERROR(__xludf.DUMMYFUNCTION("""COMPUTED_VALUE"""),"AdityaC76")</f>
        <v>AdityaC76</v>
      </c>
      <c r="C5163" s="8">
        <f>IFERROR(__xludf.DUMMYFUNCTION("""COMPUTED_VALUE"""),0.0)</f>
        <v>0</v>
      </c>
      <c r="D5163" s="8"/>
    </row>
    <row r="5164">
      <c r="A5164" s="9" t="str">
        <f>IFERROR(__xludf.DUMMYFUNCTION("""COMPUTED_VALUE"""),"Batch 276")</f>
        <v>Batch 276</v>
      </c>
      <c r="B5164" s="9" t="str">
        <f>IFERROR(__xludf.DUMMYFUNCTION("""COMPUTED_VALUE"""),"ArjanC76")</f>
        <v>ArjanC76</v>
      </c>
      <c r="C5164" s="8">
        <f>IFERROR(__xludf.DUMMYFUNCTION("""COMPUTED_VALUE"""),0.0)</f>
        <v>0</v>
      </c>
      <c r="D5164" s="8"/>
    </row>
    <row r="5165">
      <c r="A5165" s="9" t="str">
        <f>IFERROR(__xludf.DUMMYFUNCTION("""COMPUTED_VALUE"""),"Batch 276")</f>
        <v>Batch 276</v>
      </c>
      <c r="B5165" s="9" t="str">
        <f>IFERROR(__xludf.DUMMYFUNCTION("""COMPUTED_VALUE"""),"RudraC76")</f>
        <v>RudraC76</v>
      </c>
      <c r="C5165" s="8">
        <f>IFERROR(__xludf.DUMMYFUNCTION("""COMPUTED_VALUE"""),4.0)</f>
        <v>4</v>
      </c>
      <c r="D5165" s="8"/>
    </row>
    <row r="5166">
      <c r="A5166" s="9" t="str">
        <f>IFERROR(__xludf.DUMMYFUNCTION("""COMPUTED_VALUE"""),"Batch 276")</f>
        <v>Batch 276</v>
      </c>
      <c r="B5166" s="9" t="str">
        <f>IFERROR(__xludf.DUMMYFUNCTION("""COMPUTED_VALUE"""),"RinkiC76")</f>
        <v>RinkiC76</v>
      </c>
      <c r="C5166" s="8">
        <f>IFERROR(__xludf.DUMMYFUNCTION("""COMPUTED_VALUE"""),0.0)</f>
        <v>0</v>
      </c>
      <c r="D5166" s="8"/>
    </row>
    <row r="5167">
      <c r="A5167" s="9" t="str">
        <f>IFERROR(__xludf.DUMMYFUNCTION("""COMPUTED_VALUE"""),"Batch 276")</f>
        <v>Batch 276</v>
      </c>
      <c r="B5167" s="9" t="str">
        <f>IFERROR(__xludf.DUMMYFUNCTION("""COMPUTED_VALUE"""),"RaghavC76")</f>
        <v>RaghavC76</v>
      </c>
      <c r="C5167" s="8">
        <f>IFERROR(__xludf.DUMMYFUNCTION("""COMPUTED_VALUE"""),3.0)</f>
        <v>3</v>
      </c>
      <c r="D5167" s="8"/>
    </row>
    <row r="5168">
      <c r="A5168" s="9" t="str">
        <f>IFERROR(__xludf.DUMMYFUNCTION("""COMPUTED_VALUE"""),"Batch 276")</f>
        <v>Batch 276</v>
      </c>
      <c r="B5168" s="9" t="str">
        <f>IFERROR(__xludf.DUMMYFUNCTION("""COMPUTED_VALUE"""),"RishiC76")</f>
        <v>RishiC76</v>
      </c>
      <c r="C5168" s="8">
        <f>IFERROR(__xludf.DUMMYFUNCTION("""COMPUTED_VALUE"""),0.0)</f>
        <v>0</v>
      </c>
      <c r="D5168" s="8"/>
    </row>
    <row r="5169">
      <c r="A5169" s="9" t="str">
        <f>IFERROR(__xludf.DUMMYFUNCTION("""COMPUTED_VALUE"""),"Batch 276")</f>
        <v>Batch 276</v>
      </c>
      <c r="B5169" s="9" t="str">
        <f>IFERROR(__xludf.DUMMYFUNCTION("""COMPUTED_VALUE"""),"GadipallyC76")</f>
        <v>GadipallyC76</v>
      </c>
      <c r="C5169" s="8">
        <f>IFERROR(__xludf.DUMMYFUNCTION("""COMPUTED_VALUE"""),8.0)</f>
        <v>8</v>
      </c>
      <c r="D5169" s="8"/>
    </row>
    <row r="5170">
      <c r="A5170" s="9" t="str">
        <f>IFERROR(__xludf.DUMMYFUNCTION("""COMPUTED_VALUE"""),"Batch 276")</f>
        <v>Batch 276</v>
      </c>
      <c r="B5170" s="9" t="str">
        <f>IFERROR(__xludf.DUMMYFUNCTION("""COMPUTED_VALUE"""),"divyanshiC76")</f>
        <v>divyanshiC76</v>
      </c>
      <c r="C5170" s="8">
        <f>IFERROR(__xludf.DUMMYFUNCTION("""COMPUTED_VALUE"""),1.0)</f>
        <v>1</v>
      </c>
      <c r="D5170" s="8"/>
    </row>
    <row r="5171">
      <c r="A5171" s="9" t="str">
        <f>IFERROR(__xludf.DUMMYFUNCTION("""COMPUTED_VALUE"""),"Batch 276")</f>
        <v>Batch 276</v>
      </c>
      <c r="B5171" s="9" t="str">
        <f>IFERROR(__xludf.DUMMYFUNCTION("""COMPUTED_VALUE"""),"AseemC76")</f>
        <v>AseemC76</v>
      </c>
      <c r="C5171" s="8">
        <f>IFERROR(__xludf.DUMMYFUNCTION("""COMPUTED_VALUE"""),5.0)</f>
        <v>5</v>
      </c>
      <c r="D5171" s="8"/>
    </row>
    <row r="5172">
      <c r="A5172" s="9" t="str">
        <f>IFERROR(__xludf.DUMMYFUNCTION("""COMPUTED_VALUE"""),"Batch 276")</f>
        <v>Batch 276</v>
      </c>
      <c r="B5172" s="9" t="str">
        <f>IFERROR(__xludf.DUMMYFUNCTION("""COMPUTED_VALUE"""),"DeepeshC76")</f>
        <v>DeepeshC76</v>
      </c>
      <c r="C5172" s="8">
        <f>IFERROR(__xludf.DUMMYFUNCTION("""COMPUTED_VALUE"""),0.0)</f>
        <v>0</v>
      </c>
      <c r="D5172" s="8"/>
    </row>
    <row r="5173">
      <c r="A5173" s="9" t="str">
        <f>IFERROR(__xludf.DUMMYFUNCTION("""COMPUTED_VALUE"""),"Batch 276")</f>
        <v>Batch 276</v>
      </c>
      <c r="B5173" s="9" t="str">
        <f>IFERROR(__xludf.DUMMYFUNCTION("""COMPUTED_VALUE"""),"SanskarC76")</f>
        <v>SanskarC76</v>
      </c>
      <c r="C5173" s="8">
        <f>IFERROR(__xludf.DUMMYFUNCTION("""COMPUTED_VALUE"""),0.0)</f>
        <v>0</v>
      </c>
      <c r="D5173" s="8"/>
    </row>
    <row r="5174">
      <c r="A5174" s="9" t="str">
        <f>IFERROR(__xludf.DUMMYFUNCTION("""COMPUTED_VALUE"""),"Batch 276")</f>
        <v>Batch 276</v>
      </c>
      <c r="B5174" s="9" t="str">
        <f>IFERROR(__xludf.DUMMYFUNCTION("""COMPUTED_VALUE"""),"HarshvardhanC76")</f>
        <v>HarshvardhanC76</v>
      </c>
      <c r="C5174" s="8">
        <f>IFERROR(__xludf.DUMMYFUNCTION("""COMPUTED_VALUE"""),0.0)</f>
        <v>0</v>
      </c>
      <c r="D5174" s="8"/>
    </row>
    <row r="5175">
      <c r="A5175" s="9"/>
      <c r="B5175" s="9"/>
      <c r="C5175" s="8">
        <f>IFERROR(__xludf.DUMMYFUNCTION("""COMPUTED_VALUE"""),0.0)</f>
        <v>0</v>
      </c>
      <c r="D5175" s="8"/>
    </row>
    <row r="5176">
      <c r="A5176" s="9" t="str">
        <f>IFERROR(__xludf.DUMMYFUNCTION("""COMPUTED_VALUE"""),"Batch 277")</f>
        <v>Batch 277</v>
      </c>
      <c r="B5176" s="9" t="str">
        <f>IFERROR(__xludf.DUMMYFUNCTION("""COMPUTED_VALUE"""),"SaraC77")</f>
        <v>SaraC77</v>
      </c>
      <c r="C5176" s="8">
        <f>IFERROR(__xludf.DUMMYFUNCTION("""COMPUTED_VALUE"""),0.0)</f>
        <v>0</v>
      </c>
      <c r="D5176" s="8"/>
    </row>
    <row r="5177">
      <c r="A5177" s="9" t="str">
        <f>IFERROR(__xludf.DUMMYFUNCTION("""COMPUTED_VALUE"""),"Batch 277")</f>
        <v>Batch 277</v>
      </c>
      <c r="B5177" s="9" t="str">
        <f>IFERROR(__xludf.DUMMYFUNCTION("""COMPUTED_VALUE"""),"YogeshC77")</f>
        <v>YogeshC77</v>
      </c>
      <c r="C5177" s="8">
        <f>IFERROR(__xludf.DUMMYFUNCTION("""COMPUTED_VALUE"""),0.0)</f>
        <v>0</v>
      </c>
      <c r="D5177" s="8"/>
    </row>
    <row r="5178">
      <c r="A5178" s="9" t="str">
        <f>IFERROR(__xludf.DUMMYFUNCTION("""COMPUTED_VALUE"""),"Batch 277")</f>
        <v>Batch 277</v>
      </c>
      <c r="B5178" s="9" t="str">
        <f>IFERROR(__xludf.DUMMYFUNCTION("""COMPUTED_VALUE"""),"PrekshaC77")</f>
        <v>PrekshaC77</v>
      </c>
      <c r="C5178" s="8">
        <f>IFERROR(__xludf.DUMMYFUNCTION("""COMPUTED_VALUE"""),0.0)</f>
        <v>0</v>
      </c>
      <c r="D5178" s="8"/>
    </row>
    <row r="5179">
      <c r="A5179" s="9" t="str">
        <f>IFERROR(__xludf.DUMMYFUNCTION("""COMPUTED_VALUE"""),"Batch 277")</f>
        <v>Batch 277</v>
      </c>
      <c r="B5179" s="9" t="str">
        <f>IFERROR(__xludf.DUMMYFUNCTION("""COMPUTED_VALUE"""),"DhritiC77")</f>
        <v>DhritiC77</v>
      </c>
      <c r="C5179" s="8">
        <f>IFERROR(__xludf.DUMMYFUNCTION("""COMPUTED_VALUE"""),0.0)</f>
        <v>0</v>
      </c>
      <c r="D5179" s="8"/>
    </row>
    <row r="5180">
      <c r="A5180" s="9" t="str">
        <f>IFERROR(__xludf.DUMMYFUNCTION("""COMPUTED_VALUE"""),"Batch 277")</f>
        <v>Batch 277</v>
      </c>
      <c r="B5180" s="9" t="str">
        <f>IFERROR(__xludf.DUMMYFUNCTION("""COMPUTED_VALUE"""),"YuvrajC77")</f>
        <v>YuvrajC77</v>
      </c>
      <c r="C5180" s="8">
        <f>IFERROR(__xludf.DUMMYFUNCTION("""COMPUTED_VALUE"""),0.0)</f>
        <v>0</v>
      </c>
      <c r="D5180" s="8"/>
    </row>
    <row r="5181">
      <c r="A5181" s="9" t="str">
        <f>IFERROR(__xludf.DUMMYFUNCTION("""COMPUTED_VALUE"""),"Batch 277")</f>
        <v>Batch 277</v>
      </c>
      <c r="B5181" s="9" t="str">
        <f>IFERROR(__xludf.DUMMYFUNCTION("""COMPUTED_VALUE"""),"SuprajaC77")</f>
        <v>SuprajaC77</v>
      </c>
      <c r="C5181" s="8">
        <f>IFERROR(__xludf.DUMMYFUNCTION("""COMPUTED_VALUE"""),0.0)</f>
        <v>0</v>
      </c>
      <c r="D5181" s="8"/>
    </row>
    <row r="5182">
      <c r="A5182" s="9" t="str">
        <f>IFERROR(__xludf.DUMMYFUNCTION("""COMPUTED_VALUE"""),"Batch 277")</f>
        <v>Batch 277</v>
      </c>
      <c r="B5182" s="9" t="str">
        <f>IFERROR(__xludf.DUMMYFUNCTION("""COMPUTED_VALUE"""),"AnujC77")</f>
        <v>AnujC77</v>
      </c>
      <c r="C5182" s="8">
        <f>IFERROR(__xludf.DUMMYFUNCTION("""COMPUTED_VALUE"""),0.0)</f>
        <v>0</v>
      </c>
      <c r="D5182" s="8"/>
    </row>
    <row r="5183">
      <c r="A5183" s="9" t="str">
        <f>IFERROR(__xludf.DUMMYFUNCTION("""COMPUTED_VALUE"""),"Batch 277")</f>
        <v>Batch 277</v>
      </c>
      <c r="B5183" s="9" t="str">
        <f>IFERROR(__xludf.DUMMYFUNCTION("""COMPUTED_VALUE"""),"ManasdiptaC77")</f>
        <v>ManasdiptaC77</v>
      </c>
      <c r="C5183" s="8">
        <f>IFERROR(__xludf.DUMMYFUNCTION("""COMPUTED_VALUE"""),0.0)</f>
        <v>0</v>
      </c>
      <c r="D5183" s="8"/>
    </row>
    <row r="5184">
      <c r="A5184" s="9" t="str">
        <f>IFERROR(__xludf.DUMMYFUNCTION("""COMPUTED_VALUE"""),"Batch 277")</f>
        <v>Batch 277</v>
      </c>
      <c r="B5184" s="9" t="str">
        <f>IFERROR(__xludf.DUMMYFUNCTION("""COMPUTED_VALUE"""),"AnushkaC77")</f>
        <v>AnushkaC77</v>
      </c>
      <c r="C5184" s="8">
        <f>IFERROR(__xludf.DUMMYFUNCTION("""COMPUTED_VALUE"""),2.0)</f>
        <v>2</v>
      </c>
      <c r="D5184" s="8">
        <f>IFERROR(__xludf.DUMMYFUNCTION("""COMPUTED_VALUE"""),1.0)</f>
        <v>1</v>
      </c>
    </row>
    <row r="5185">
      <c r="A5185" s="9" t="str">
        <f>IFERROR(__xludf.DUMMYFUNCTION("""COMPUTED_VALUE"""),"Batch 277")</f>
        <v>Batch 277</v>
      </c>
      <c r="B5185" s="9" t="str">
        <f>IFERROR(__xludf.DUMMYFUNCTION("""COMPUTED_VALUE"""),"AnjaliC77")</f>
        <v>AnjaliC77</v>
      </c>
      <c r="C5185" s="8">
        <f>IFERROR(__xludf.DUMMYFUNCTION("""COMPUTED_VALUE"""),0.0)</f>
        <v>0</v>
      </c>
      <c r="D5185" s="8"/>
    </row>
    <row r="5186">
      <c r="A5186" s="9" t="str">
        <f>IFERROR(__xludf.DUMMYFUNCTION("""COMPUTED_VALUE"""),"Batch 277")</f>
        <v>Batch 277</v>
      </c>
      <c r="B5186" s="9" t="str">
        <f>IFERROR(__xludf.DUMMYFUNCTION("""COMPUTED_VALUE"""),"RamuC77")</f>
        <v>RamuC77</v>
      </c>
      <c r="C5186" s="8">
        <f>IFERROR(__xludf.DUMMYFUNCTION("""COMPUTED_VALUE"""),0.0)</f>
        <v>0</v>
      </c>
      <c r="D5186" s="8"/>
    </row>
    <row r="5187">
      <c r="A5187" s="9" t="str">
        <f>IFERROR(__xludf.DUMMYFUNCTION("""COMPUTED_VALUE"""),"Batch 277")</f>
        <v>Batch 277</v>
      </c>
      <c r="B5187" s="9" t="str">
        <f>IFERROR(__xludf.DUMMYFUNCTION("""COMPUTED_VALUE"""),"SabaC77")</f>
        <v>SabaC77</v>
      </c>
      <c r="C5187" s="8">
        <f>IFERROR(__xludf.DUMMYFUNCTION("""COMPUTED_VALUE"""),0.0)</f>
        <v>0</v>
      </c>
      <c r="D5187" s="8"/>
    </row>
    <row r="5188">
      <c r="A5188" s="9" t="str">
        <f>IFERROR(__xludf.DUMMYFUNCTION("""COMPUTED_VALUE"""),"Batch 277")</f>
        <v>Batch 277</v>
      </c>
      <c r="B5188" s="9" t="str">
        <f>IFERROR(__xludf.DUMMYFUNCTION("""COMPUTED_VALUE"""),"ShashankC77")</f>
        <v>ShashankC77</v>
      </c>
      <c r="C5188" s="8">
        <f>IFERROR(__xludf.DUMMYFUNCTION("""COMPUTED_VALUE"""),0.0)</f>
        <v>0</v>
      </c>
      <c r="D5188" s="8"/>
    </row>
    <row r="5189">
      <c r="A5189" s="9" t="str">
        <f>IFERROR(__xludf.DUMMYFUNCTION("""COMPUTED_VALUE"""),"Batch 277")</f>
        <v>Batch 277</v>
      </c>
      <c r="B5189" s="9" t="str">
        <f>IFERROR(__xludf.DUMMYFUNCTION("""COMPUTED_VALUE"""),"ArchitaC77")</f>
        <v>ArchitaC77</v>
      </c>
      <c r="C5189" s="8">
        <f>IFERROR(__xludf.DUMMYFUNCTION("""COMPUTED_VALUE"""),0.0)</f>
        <v>0</v>
      </c>
      <c r="D5189" s="8"/>
    </row>
    <row r="5190">
      <c r="A5190" s="9" t="str">
        <f>IFERROR(__xludf.DUMMYFUNCTION("""COMPUTED_VALUE"""),"Batch 277")</f>
        <v>Batch 277</v>
      </c>
      <c r="B5190" s="9" t="str">
        <f>IFERROR(__xludf.DUMMYFUNCTION("""COMPUTED_VALUE"""),"PariC77")</f>
        <v>PariC77</v>
      </c>
      <c r="C5190" s="8">
        <f>IFERROR(__xludf.DUMMYFUNCTION("""COMPUTED_VALUE"""),0.0)</f>
        <v>0</v>
      </c>
      <c r="D5190" s="8"/>
    </row>
    <row r="5191">
      <c r="A5191" s="9" t="str">
        <f>IFERROR(__xludf.DUMMYFUNCTION("""COMPUTED_VALUE"""),"Batch 277")</f>
        <v>Batch 277</v>
      </c>
      <c r="B5191" s="9" t="str">
        <f>IFERROR(__xludf.DUMMYFUNCTION("""COMPUTED_VALUE"""),"ShrustiC77")</f>
        <v>ShrustiC77</v>
      </c>
      <c r="C5191" s="8">
        <f>IFERROR(__xludf.DUMMYFUNCTION("""COMPUTED_VALUE"""),0.0)</f>
        <v>0</v>
      </c>
      <c r="D5191" s="8"/>
    </row>
    <row r="5192">
      <c r="A5192" s="9" t="str">
        <f>IFERROR(__xludf.DUMMYFUNCTION("""COMPUTED_VALUE"""),"Batch 277")</f>
        <v>Batch 277</v>
      </c>
      <c r="B5192" s="9" t="str">
        <f>IFERROR(__xludf.DUMMYFUNCTION("""COMPUTED_VALUE"""),"RutujaC77")</f>
        <v>RutujaC77</v>
      </c>
      <c r="C5192" s="8">
        <f>IFERROR(__xludf.DUMMYFUNCTION("""COMPUTED_VALUE"""),0.0)</f>
        <v>0</v>
      </c>
      <c r="D5192" s="8"/>
    </row>
    <row r="5193">
      <c r="A5193" s="9" t="str">
        <f>IFERROR(__xludf.DUMMYFUNCTION("""COMPUTED_VALUE"""),"Batch 277")</f>
        <v>Batch 277</v>
      </c>
      <c r="B5193" s="9" t="str">
        <f>IFERROR(__xludf.DUMMYFUNCTION("""COMPUTED_VALUE"""),"VarnikhasriC77")</f>
        <v>VarnikhasriC77</v>
      </c>
      <c r="C5193" s="8">
        <f>IFERROR(__xludf.DUMMYFUNCTION("""COMPUTED_VALUE"""),0.0)</f>
        <v>0</v>
      </c>
      <c r="D5193" s="8"/>
    </row>
    <row r="5194">
      <c r="A5194" s="9" t="str">
        <f>IFERROR(__xludf.DUMMYFUNCTION("""COMPUTED_VALUE"""),"Batch 277")</f>
        <v>Batch 277</v>
      </c>
      <c r="B5194" s="9" t="str">
        <f>IFERROR(__xludf.DUMMYFUNCTION("""COMPUTED_VALUE"""),"AnkurC77")</f>
        <v>AnkurC77</v>
      </c>
      <c r="C5194" s="8">
        <f>IFERROR(__xludf.DUMMYFUNCTION("""COMPUTED_VALUE"""),0.0)</f>
        <v>0</v>
      </c>
      <c r="D5194" s="8"/>
    </row>
    <row r="5195">
      <c r="A5195" s="9" t="str">
        <f>IFERROR(__xludf.DUMMYFUNCTION("""COMPUTED_VALUE"""),"Batch 277")</f>
        <v>Batch 277</v>
      </c>
      <c r="B5195" s="9" t="str">
        <f>IFERROR(__xludf.DUMMYFUNCTION("""COMPUTED_VALUE"""),"GohelC77")</f>
        <v>GohelC77</v>
      </c>
      <c r="C5195" s="8">
        <f>IFERROR(__xludf.DUMMYFUNCTION("""COMPUTED_VALUE"""),0.0)</f>
        <v>0</v>
      </c>
      <c r="D5195" s="8"/>
    </row>
    <row r="5196">
      <c r="A5196" s="9" t="str">
        <f>IFERROR(__xludf.DUMMYFUNCTION("""COMPUTED_VALUE"""),"Batch 277")</f>
        <v>Batch 277</v>
      </c>
      <c r="B5196" s="9" t="str">
        <f>IFERROR(__xludf.DUMMYFUNCTION("""COMPUTED_VALUE"""),"SadwikaC77")</f>
        <v>SadwikaC77</v>
      </c>
      <c r="C5196" s="8">
        <f>IFERROR(__xludf.DUMMYFUNCTION("""COMPUTED_VALUE"""),0.0)</f>
        <v>0</v>
      </c>
      <c r="D5196" s="8"/>
    </row>
    <row r="5197">
      <c r="A5197" s="9" t="str">
        <f>IFERROR(__xludf.DUMMYFUNCTION("""COMPUTED_VALUE"""),"Batch 277")</f>
        <v>Batch 277</v>
      </c>
      <c r="B5197" s="9" t="str">
        <f>IFERROR(__xludf.DUMMYFUNCTION("""COMPUTED_VALUE"""),"ShivamC77")</f>
        <v>ShivamC77</v>
      </c>
      <c r="C5197" s="8">
        <f>IFERROR(__xludf.DUMMYFUNCTION("""COMPUTED_VALUE"""),0.0)</f>
        <v>0</v>
      </c>
      <c r="D5197" s="8"/>
    </row>
    <row r="5198">
      <c r="A5198" s="9" t="str">
        <f>IFERROR(__xludf.DUMMYFUNCTION("""COMPUTED_VALUE"""),"Batch 277")</f>
        <v>Batch 277</v>
      </c>
      <c r="B5198" s="9" t="str">
        <f>IFERROR(__xludf.DUMMYFUNCTION("""COMPUTED_VALUE"""),"VenkateshC77")</f>
        <v>VenkateshC77</v>
      </c>
      <c r="C5198" s="8">
        <f>IFERROR(__xludf.DUMMYFUNCTION("""COMPUTED_VALUE"""),1.0)</f>
        <v>1</v>
      </c>
      <c r="D5198" s="8"/>
    </row>
    <row r="5199">
      <c r="A5199" s="9" t="str">
        <f>IFERROR(__xludf.DUMMYFUNCTION("""COMPUTED_VALUE"""),"Batch 277")</f>
        <v>Batch 277</v>
      </c>
      <c r="B5199" s="9" t="str">
        <f>IFERROR(__xludf.DUMMYFUNCTION("""COMPUTED_VALUE"""),"AmanC77")</f>
        <v>AmanC77</v>
      </c>
      <c r="C5199" s="8">
        <f>IFERROR(__xludf.DUMMYFUNCTION("""COMPUTED_VALUE"""),0.0)</f>
        <v>0</v>
      </c>
      <c r="D5199" s="8"/>
    </row>
    <row r="5200">
      <c r="A5200" s="9" t="str">
        <f>IFERROR(__xludf.DUMMYFUNCTION("""COMPUTED_VALUE"""),"Batch 277")</f>
        <v>Batch 277</v>
      </c>
      <c r="B5200" s="9" t="str">
        <f>IFERROR(__xludf.DUMMYFUNCTION("""COMPUTED_VALUE"""),"UtkarshC77")</f>
        <v>UtkarshC77</v>
      </c>
      <c r="C5200" s="8">
        <f>IFERROR(__xludf.DUMMYFUNCTION("""COMPUTED_VALUE"""),0.0)</f>
        <v>0</v>
      </c>
      <c r="D5200" s="8"/>
    </row>
    <row r="5201">
      <c r="A5201" s="9" t="str">
        <f>IFERROR(__xludf.DUMMYFUNCTION("""COMPUTED_VALUE"""),"Batch 277")</f>
        <v>Batch 277</v>
      </c>
      <c r="B5201" s="9" t="str">
        <f>IFERROR(__xludf.DUMMYFUNCTION("""COMPUTED_VALUE"""),"V.KushwanthC77")</f>
        <v>V.KushwanthC77</v>
      </c>
      <c r="C5201" s="8">
        <f>IFERROR(__xludf.DUMMYFUNCTION("""COMPUTED_VALUE"""),2.0)</f>
        <v>2</v>
      </c>
      <c r="D5201" s="8">
        <f>IFERROR(__xludf.DUMMYFUNCTION("""COMPUTED_VALUE"""),1.0)</f>
        <v>1</v>
      </c>
    </row>
    <row r="5202">
      <c r="A5202" s="9" t="str">
        <f>IFERROR(__xludf.DUMMYFUNCTION("""COMPUTED_VALUE"""),"Batch 277")</f>
        <v>Batch 277</v>
      </c>
      <c r="B5202" s="9" t="str">
        <f>IFERROR(__xludf.DUMMYFUNCTION("""COMPUTED_VALUE"""),"UdayaC77")</f>
        <v>UdayaC77</v>
      </c>
      <c r="C5202" s="8">
        <f>IFERROR(__xludf.DUMMYFUNCTION("""COMPUTED_VALUE"""),25.0)</f>
        <v>25</v>
      </c>
      <c r="D5202" s="8">
        <f>IFERROR(__xludf.DUMMYFUNCTION("""COMPUTED_VALUE"""),3.0)</f>
        <v>3</v>
      </c>
    </row>
    <row r="5203">
      <c r="A5203" s="9" t="str">
        <f>IFERROR(__xludf.DUMMYFUNCTION("""COMPUTED_VALUE"""),"Batch 277")</f>
        <v>Batch 277</v>
      </c>
      <c r="B5203" s="9" t="str">
        <f>IFERROR(__xludf.DUMMYFUNCTION("""COMPUTED_VALUE"""),"ShubhC77")</f>
        <v>ShubhC77</v>
      </c>
      <c r="C5203" s="8">
        <f>IFERROR(__xludf.DUMMYFUNCTION("""COMPUTED_VALUE"""),0.0)</f>
        <v>0</v>
      </c>
      <c r="D5203" s="8"/>
    </row>
    <row r="5204">
      <c r="A5204" s="9" t="str">
        <f>IFERROR(__xludf.DUMMYFUNCTION("""COMPUTED_VALUE"""),"Batch 277")</f>
        <v>Batch 277</v>
      </c>
      <c r="B5204" s="9" t="str">
        <f>IFERROR(__xludf.DUMMYFUNCTION("""COMPUTED_VALUE"""),"SaiC77")</f>
        <v>SaiC77</v>
      </c>
      <c r="C5204" s="8">
        <f>IFERROR(__xludf.DUMMYFUNCTION("""COMPUTED_VALUE"""),0.0)</f>
        <v>0</v>
      </c>
      <c r="D5204" s="8"/>
    </row>
    <row r="5205">
      <c r="A5205" s="9" t="str">
        <f>IFERROR(__xludf.DUMMYFUNCTION("""COMPUTED_VALUE"""),"Batch 277")</f>
        <v>Batch 277</v>
      </c>
      <c r="B5205" s="9" t="str">
        <f>IFERROR(__xludf.DUMMYFUNCTION("""COMPUTED_VALUE"""),"SubhashiniC77")</f>
        <v>SubhashiniC77</v>
      </c>
      <c r="C5205" s="8">
        <f>IFERROR(__xludf.DUMMYFUNCTION("""COMPUTED_VALUE"""),1.0)</f>
        <v>1</v>
      </c>
      <c r="D5205" s="8">
        <f>IFERROR(__xludf.DUMMYFUNCTION("""COMPUTED_VALUE"""),3.0)</f>
        <v>3</v>
      </c>
    </row>
    <row r="5206">
      <c r="A5206" s="9" t="str">
        <f>IFERROR(__xludf.DUMMYFUNCTION("""COMPUTED_VALUE"""),"Batch 277")</f>
        <v>Batch 277</v>
      </c>
      <c r="B5206" s="9" t="str">
        <f>IFERROR(__xludf.DUMMYFUNCTION("""COMPUTED_VALUE"""),"ShubhangiC77")</f>
        <v>ShubhangiC77</v>
      </c>
      <c r="C5206" s="8">
        <f>IFERROR(__xludf.DUMMYFUNCTION("""COMPUTED_VALUE"""),13.0)</f>
        <v>13</v>
      </c>
      <c r="D5206" s="8">
        <f>IFERROR(__xludf.DUMMYFUNCTION("""COMPUTED_VALUE"""),11.0)</f>
        <v>11</v>
      </c>
    </row>
    <row r="5207">
      <c r="A5207" s="9" t="str">
        <f>IFERROR(__xludf.DUMMYFUNCTION("""COMPUTED_VALUE"""),"Batch 277")</f>
        <v>Batch 277</v>
      </c>
      <c r="B5207" s="9" t="str">
        <f>IFERROR(__xludf.DUMMYFUNCTION("""COMPUTED_VALUE"""),"RAPARTHIC77")</f>
        <v>RAPARTHIC77</v>
      </c>
      <c r="C5207" s="8">
        <f>IFERROR(__xludf.DUMMYFUNCTION("""COMPUTED_VALUE"""),0.0)</f>
        <v>0</v>
      </c>
      <c r="D5207" s="8"/>
    </row>
    <row r="5208">
      <c r="A5208" s="9" t="str">
        <f>IFERROR(__xludf.DUMMYFUNCTION("""COMPUTED_VALUE"""),"Batch 277")</f>
        <v>Batch 277</v>
      </c>
      <c r="B5208" s="9" t="str">
        <f>IFERROR(__xludf.DUMMYFUNCTION("""COMPUTED_VALUE"""),"SaniaC77")</f>
        <v>SaniaC77</v>
      </c>
      <c r="C5208" s="8">
        <f>IFERROR(__xludf.DUMMYFUNCTION("""COMPUTED_VALUE"""),0.0)</f>
        <v>0</v>
      </c>
      <c r="D5208" s="8"/>
    </row>
    <row r="5209">
      <c r="A5209" s="9" t="str">
        <f>IFERROR(__xludf.DUMMYFUNCTION("""COMPUTED_VALUE"""),"Batch 277")</f>
        <v>Batch 277</v>
      </c>
      <c r="B5209" s="9" t="str">
        <f>IFERROR(__xludf.DUMMYFUNCTION("""COMPUTED_VALUE"""),"RishikaC77")</f>
        <v>RishikaC77</v>
      </c>
      <c r="C5209" s="8">
        <f>IFERROR(__xludf.DUMMYFUNCTION("""COMPUTED_VALUE"""),0.0)</f>
        <v>0</v>
      </c>
      <c r="D5209" s="8"/>
    </row>
    <row r="5210">
      <c r="A5210" s="9" t="str">
        <f>IFERROR(__xludf.DUMMYFUNCTION("""COMPUTED_VALUE"""),"Batch 277")</f>
        <v>Batch 277</v>
      </c>
      <c r="B5210" s="9" t="str">
        <f>IFERROR(__xludf.DUMMYFUNCTION("""COMPUTED_VALUE"""),"KUNALC77")</f>
        <v>KUNALC77</v>
      </c>
      <c r="C5210" s="8">
        <f>IFERROR(__xludf.DUMMYFUNCTION("""COMPUTED_VALUE"""),0.0)</f>
        <v>0</v>
      </c>
      <c r="D5210" s="8"/>
    </row>
    <row r="5211">
      <c r="A5211" s="9" t="str">
        <f>IFERROR(__xludf.DUMMYFUNCTION("""COMPUTED_VALUE"""),"Batch 277")</f>
        <v>Batch 277</v>
      </c>
      <c r="B5211" s="9" t="str">
        <f>IFERROR(__xludf.DUMMYFUNCTION("""COMPUTED_VALUE"""),"Ch.BlesseyC77")</f>
        <v>Ch.BlesseyC77</v>
      </c>
      <c r="C5211" s="8">
        <f>IFERROR(__xludf.DUMMYFUNCTION("""COMPUTED_VALUE"""),0.0)</f>
        <v>0</v>
      </c>
      <c r="D5211" s="8"/>
    </row>
    <row r="5212">
      <c r="A5212" s="9" t="str">
        <f>IFERROR(__xludf.DUMMYFUNCTION("""COMPUTED_VALUE"""),"Batch 277")</f>
        <v>Batch 277</v>
      </c>
      <c r="B5212" s="9" t="str">
        <f>IFERROR(__xludf.DUMMYFUNCTION("""COMPUTED_VALUE"""),"PrathamC77")</f>
        <v>PrathamC77</v>
      </c>
      <c r="C5212" s="8">
        <f>IFERROR(__xludf.DUMMYFUNCTION("""COMPUTED_VALUE"""),0.0)</f>
        <v>0</v>
      </c>
      <c r="D5212" s="8"/>
    </row>
    <row r="5213">
      <c r="A5213" s="9" t="str">
        <f>IFERROR(__xludf.DUMMYFUNCTION("""COMPUTED_VALUE"""),"Batch 277")</f>
        <v>Batch 277</v>
      </c>
      <c r="B5213" s="9" t="str">
        <f>IFERROR(__xludf.DUMMYFUNCTION("""COMPUTED_VALUE"""),"riyaC77")</f>
        <v>riyaC77</v>
      </c>
      <c r="C5213" s="8">
        <f>IFERROR(__xludf.DUMMYFUNCTION("""COMPUTED_VALUE"""),0.0)</f>
        <v>0</v>
      </c>
      <c r="D5213" s="8"/>
    </row>
    <row r="5214">
      <c r="A5214" s="9" t="str">
        <f>IFERROR(__xludf.DUMMYFUNCTION("""COMPUTED_VALUE"""),"Batch 277")</f>
        <v>Batch 277</v>
      </c>
      <c r="B5214" s="9" t="str">
        <f>IFERROR(__xludf.DUMMYFUNCTION("""COMPUTED_VALUE"""),"MohdC77")</f>
        <v>MohdC77</v>
      </c>
      <c r="C5214" s="8">
        <f>IFERROR(__xludf.DUMMYFUNCTION("""COMPUTED_VALUE"""),0.0)</f>
        <v>0</v>
      </c>
      <c r="D5214" s="8"/>
    </row>
    <row r="5215">
      <c r="A5215" s="9" t="str">
        <f>IFERROR(__xludf.DUMMYFUNCTION("""COMPUTED_VALUE"""),"Batch 277")</f>
        <v>Batch 277</v>
      </c>
      <c r="B5215" s="9" t="str">
        <f>IFERROR(__xludf.DUMMYFUNCTION("""COMPUTED_VALUE"""),"HemaC77")</f>
        <v>HemaC77</v>
      </c>
      <c r="C5215" s="8">
        <f>IFERROR(__xludf.DUMMYFUNCTION("""COMPUTED_VALUE"""),0.0)</f>
        <v>0</v>
      </c>
      <c r="D5215" s="8"/>
    </row>
    <row r="5216">
      <c r="A5216" s="9" t="str">
        <f>IFERROR(__xludf.DUMMYFUNCTION("""COMPUTED_VALUE"""),"Batch 277")</f>
        <v>Batch 277</v>
      </c>
      <c r="B5216" s="9" t="str">
        <f>IFERROR(__xludf.DUMMYFUNCTION("""COMPUTED_VALUE"""),"A.C77")</f>
        <v>A.C77</v>
      </c>
      <c r="C5216" s="8">
        <f>IFERROR(__xludf.DUMMYFUNCTION("""COMPUTED_VALUE"""),1.0)</f>
        <v>1</v>
      </c>
      <c r="D5216" s="8"/>
    </row>
    <row r="5217">
      <c r="A5217" s="9" t="str">
        <f>IFERROR(__xludf.DUMMYFUNCTION("""COMPUTED_VALUE"""),"Batch 277")</f>
        <v>Batch 277</v>
      </c>
      <c r="B5217" s="9" t="str">
        <f>IFERROR(__xludf.DUMMYFUNCTION("""COMPUTED_VALUE"""),"HardikC77")</f>
        <v>HardikC77</v>
      </c>
      <c r="C5217" s="8">
        <f>IFERROR(__xludf.DUMMYFUNCTION("""COMPUTED_VALUE"""),0.0)</f>
        <v>0</v>
      </c>
      <c r="D5217" s="8"/>
    </row>
    <row r="5218">
      <c r="A5218" s="9" t="str">
        <f>IFERROR(__xludf.DUMMYFUNCTION("""COMPUTED_VALUE"""),"Batch 277")</f>
        <v>Batch 277</v>
      </c>
      <c r="B5218" s="9" t="str">
        <f>IFERROR(__xludf.DUMMYFUNCTION("""COMPUTED_VALUE"""),"ManashC77")</f>
        <v>ManashC77</v>
      </c>
      <c r="C5218" s="8">
        <f>IFERROR(__xludf.DUMMYFUNCTION("""COMPUTED_VALUE"""),0.0)</f>
        <v>0</v>
      </c>
      <c r="D5218" s="8"/>
    </row>
    <row r="5219">
      <c r="A5219" s="9" t="str">
        <f>IFERROR(__xludf.DUMMYFUNCTION("""COMPUTED_VALUE"""),"Batch 277")</f>
        <v>Batch 277</v>
      </c>
      <c r="B5219" s="9" t="str">
        <f>IFERROR(__xludf.DUMMYFUNCTION("""COMPUTED_VALUE"""),"ShashwatC77")</f>
        <v>ShashwatC77</v>
      </c>
      <c r="C5219" s="8">
        <f>IFERROR(__xludf.DUMMYFUNCTION("""COMPUTED_VALUE"""),0.0)</f>
        <v>0</v>
      </c>
      <c r="D5219" s="8"/>
    </row>
    <row r="5220">
      <c r="A5220" s="9" t="str">
        <f>IFERROR(__xludf.DUMMYFUNCTION("""COMPUTED_VALUE"""),"Batch 277")</f>
        <v>Batch 277</v>
      </c>
      <c r="B5220" s="9" t="str">
        <f>IFERROR(__xludf.DUMMYFUNCTION("""COMPUTED_VALUE"""),"JorkaC77")</f>
        <v>JorkaC77</v>
      </c>
      <c r="C5220" s="8">
        <f>IFERROR(__xludf.DUMMYFUNCTION("""COMPUTED_VALUE"""),0.0)</f>
        <v>0</v>
      </c>
      <c r="D5220" s="8"/>
    </row>
    <row r="5221">
      <c r="A5221" s="9" t="str">
        <f>IFERROR(__xludf.DUMMYFUNCTION("""COMPUTED_VALUE"""),"Batch 277")</f>
        <v>Batch 277</v>
      </c>
      <c r="B5221" s="9" t="str">
        <f>IFERROR(__xludf.DUMMYFUNCTION("""COMPUTED_VALUE"""),"AnshulC77")</f>
        <v>AnshulC77</v>
      </c>
      <c r="C5221" s="8">
        <f>IFERROR(__xludf.DUMMYFUNCTION("""COMPUTED_VALUE"""),0.0)</f>
        <v>0</v>
      </c>
      <c r="D5221" s="8"/>
    </row>
    <row r="5222">
      <c r="A5222" s="9" t="str">
        <f>IFERROR(__xludf.DUMMYFUNCTION("""COMPUTED_VALUE"""),"Batch 277")</f>
        <v>Batch 277</v>
      </c>
      <c r="B5222" s="9" t="str">
        <f>IFERROR(__xludf.DUMMYFUNCTION("""COMPUTED_VALUE"""),"VarunC77")</f>
        <v>VarunC77</v>
      </c>
      <c r="C5222" s="8">
        <f>IFERROR(__xludf.DUMMYFUNCTION("""COMPUTED_VALUE"""),0.0)</f>
        <v>0</v>
      </c>
      <c r="D5222" s="8"/>
    </row>
    <row r="5223">
      <c r="A5223" s="9" t="str">
        <f>IFERROR(__xludf.DUMMYFUNCTION("""COMPUTED_VALUE"""),"Batch 277")</f>
        <v>Batch 277</v>
      </c>
      <c r="B5223" s="9" t="str">
        <f>IFERROR(__xludf.DUMMYFUNCTION("""COMPUTED_VALUE"""),"ApurvaC77")</f>
        <v>ApurvaC77</v>
      </c>
      <c r="C5223" s="8">
        <f>IFERROR(__xludf.DUMMYFUNCTION("""COMPUTED_VALUE"""),0.0)</f>
        <v>0</v>
      </c>
      <c r="D5223" s="8"/>
    </row>
    <row r="5224">
      <c r="A5224" s="9" t="str">
        <f>IFERROR(__xludf.DUMMYFUNCTION("""COMPUTED_VALUE"""),"Batch 277")</f>
        <v>Batch 277</v>
      </c>
      <c r="B5224" s="9" t="str">
        <f>IFERROR(__xludf.DUMMYFUNCTION("""COMPUTED_VALUE"""),"MdC77")</f>
        <v>MdC77</v>
      </c>
      <c r="C5224" s="8">
        <f>IFERROR(__xludf.DUMMYFUNCTION("""COMPUTED_VALUE"""),0.0)</f>
        <v>0</v>
      </c>
      <c r="D5224" s="8"/>
    </row>
    <row r="5225">
      <c r="A5225" s="9" t="str">
        <f>IFERROR(__xludf.DUMMYFUNCTION("""COMPUTED_VALUE"""),"Batch 277")</f>
        <v>Batch 277</v>
      </c>
      <c r="B5225" s="9" t="str">
        <f>IFERROR(__xludf.DUMMYFUNCTION("""COMPUTED_VALUE"""),"TrishaC77")</f>
        <v>TrishaC77</v>
      </c>
      <c r="C5225" s="8">
        <f>IFERROR(__xludf.DUMMYFUNCTION("""COMPUTED_VALUE"""),0.0)</f>
        <v>0</v>
      </c>
      <c r="D5225" s="8"/>
    </row>
    <row r="5226">
      <c r="A5226" s="9" t="str">
        <f>IFERROR(__xludf.DUMMYFUNCTION("""COMPUTED_VALUE"""),"Batch 277")</f>
        <v>Batch 277</v>
      </c>
      <c r="B5226" s="9" t="str">
        <f>IFERROR(__xludf.DUMMYFUNCTION("""COMPUTED_VALUE"""),"RichaC77")</f>
        <v>RichaC77</v>
      </c>
      <c r="C5226" s="8">
        <f>IFERROR(__xludf.DUMMYFUNCTION("""COMPUTED_VALUE"""),0.0)</f>
        <v>0</v>
      </c>
      <c r="D5226" s="8"/>
    </row>
    <row r="5227">
      <c r="A5227" s="9" t="str">
        <f>IFERROR(__xludf.DUMMYFUNCTION("""COMPUTED_VALUE"""),"Batch 277")</f>
        <v>Batch 277</v>
      </c>
      <c r="B5227" s="9" t="str">
        <f>IFERROR(__xludf.DUMMYFUNCTION("""COMPUTED_VALUE"""),"KavyaC77")</f>
        <v>KavyaC77</v>
      </c>
      <c r="C5227" s="8">
        <f>IFERROR(__xludf.DUMMYFUNCTION("""COMPUTED_VALUE"""),0.0)</f>
        <v>0</v>
      </c>
      <c r="D5227" s="8"/>
    </row>
    <row r="5228">
      <c r="A5228" s="9" t="str">
        <f>IFERROR(__xludf.DUMMYFUNCTION("""COMPUTED_VALUE"""),"Batch 277")</f>
        <v>Batch 277</v>
      </c>
      <c r="B5228" s="9" t="str">
        <f>IFERROR(__xludf.DUMMYFUNCTION("""COMPUTED_VALUE"""),"DollyC77")</f>
        <v>DollyC77</v>
      </c>
      <c r="C5228" s="8">
        <f>IFERROR(__xludf.DUMMYFUNCTION("""COMPUTED_VALUE"""),0.0)</f>
        <v>0</v>
      </c>
      <c r="D5228" s="8"/>
    </row>
    <row r="5229">
      <c r="A5229" s="9" t="str">
        <f>IFERROR(__xludf.DUMMYFUNCTION("""COMPUTED_VALUE"""),"Batch 277")</f>
        <v>Batch 277</v>
      </c>
      <c r="B5229" s="9" t="str">
        <f>IFERROR(__xludf.DUMMYFUNCTION("""COMPUTED_VALUE"""),"ParthC77")</f>
        <v>ParthC77</v>
      </c>
      <c r="C5229" s="8">
        <f>IFERROR(__xludf.DUMMYFUNCTION("""COMPUTED_VALUE"""),0.0)</f>
        <v>0</v>
      </c>
      <c r="D5229" s="8"/>
    </row>
    <row r="5230">
      <c r="A5230" s="9" t="str">
        <f>IFERROR(__xludf.DUMMYFUNCTION("""COMPUTED_VALUE"""),"Batch 277")</f>
        <v>Batch 277</v>
      </c>
      <c r="B5230" s="9" t="str">
        <f>IFERROR(__xludf.DUMMYFUNCTION("""COMPUTED_VALUE"""),"RishitC77")</f>
        <v>RishitC77</v>
      </c>
      <c r="C5230" s="8">
        <f>IFERROR(__xludf.DUMMYFUNCTION("""COMPUTED_VALUE"""),5.0)</f>
        <v>5</v>
      </c>
      <c r="D5230" s="8"/>
    </row>
    <row r="5231">
      <c r="A5231" s="9" t="str">
        <f>IFERROR(__xludf.DUMMYFUNCTION("""COMPUTED_VALUE"""),"Batch 277")</f>
        <v>Batch 277</v>
      </c>
      <c r="B5231" s="9" t="str">
        <f>IFERROR(__xludf.DUMMYFUNCTION("""COMPUTED_VALUE"""),"EaimanjotC77")</f>
        <v>EaimanjotC77</v>
      </c>
      <c r="C5231" s="8">
        <f>IFERROR(__xludf.DUMMYFUNCTION("""COMPUTED_VALUE"""),0.0)</f>
        <v>0</v>
      </c>
      <c r="D5231" s="8"/>
    </row>
    <row r="5232">
      <c r="A5232" s="9" t="str">
        <f>IFERROR(__xludf.DUMMYFUNCTION("""COMPUTED_VALUE"""),"Batch 277")</f>
        <v>Batch 277</v>
      </c>
      <c r="B5232" s="9" t="str">
        <f>IFERROR(__xludf.DUMMYFUNCTION("""COMPUTED_VALUE"""),"HarshC77")</f>
        <v>HarshC77</v>
      </c>
      <c r="C5232" s="8">
        <f>IFERROR(__xludf.DUMMYFUNCTION("""COMPUTED_VALUE"""),0.0)</f>
        <v>0</v>
      </c>
      <c r="D5232" s="8"/>
    </row>
    <row r="5233">
      <c r="A5233" s="9"/>
      <c r="B5233" s="9"/>
      <c r="C5233" s="8">
        <f>IFERROR(__xludf.DUMMYFUNCTION("""COMPUTED_VALUE"""),0.0)</f>
        <v>0</v>
      </c>
      <c r="D5233" s="8"/>
    </row>
    <row r="5234">
      <c r="A5234" s="9" t="str">
        <f>IFERROR(__xludf.DUMMYFUNCTION("""COMPUTED_VALUE"""),"Batch 278")</f>
        <v>Batch 278</v>
      </c>
      <c r="B5234" s="9" t="str">
        <f>IFERROR(__xludf.DUMMYFUNCTION("""COMPUTED_VALUE"""),"PreetamC78")</f>
        <v>PreetamC78</v>
      </c>
      <c r="C5234" s="8">
        <f>IFERROR(__xludf.DUMMYFUNCTION("""COMPUTED_VALUE"""),0.0)</f>
        <v>0</v>
      </c>
      <c r="D5234" s="8"/>
    </row>
    <row r="5235">
      <c r="A5235" s="9" t="str">
        <f>IFERROR(__xludf.DUMMYFUNCTION("""COMPUTED_VALUE"""),"Batch 278")</f>
        <v>Batch 278</v>
      </c>
      <c r="B5235" s="9" t="str">
        <f>IFERROR(__xludf.DUMMYFUNCTION("""COMPUTED_VALUE"""),"SarthakC78")</f>
        <v>SarthakC78</v>
      </c>
      <c r="C5235" s="8">
        <f>IFERROR(__xludf.DUMMYFUNCTION("""COMPUTED_VALUE"""),0.0)</f>
        <v>0</v>
      </c>
      <c r="D5235" s="8"/>
    </row>
    <row r="5236">
      <c r="A5236" s="9" t="str">
        <f>IFERROR(__xludf.DUMMYFUNCTION("""COMPUTED_VALUE"""),"Batch 278")</f>
        <v>Batch 278</v>
      </c>
      <c r="B5236" s="9" t="str">
        <f>IFERROR(__xludf.DUMMYFUNCTION("""COMPUTED_VALUE"""),"PriyamC78")</f>
        <v>PriyamC78</v>
      </c>
      <c r="C5236" s="8">
        <f>IFERROR(__xludf.DUMMYFUNCTION("""COMPUTED_VALUE"""),30.0)</f>
        <v>30</v>
      </c>
      <c r="D5236" s="8">
        <f>IFERROR(__xludf.DUMMYFUNCTION("""COMPUTED_VALUE"""),11.0)</f>
        <v>11</v>
      </c>
    </row>
    <row r="5237">
      <c r="A5237" s="9" t="str">
        <f>IFERROR(__xludf.DUMMYFUNCTION("""COMPUTED_VALUE"""),"Batch 278")</f>
        <v>Batch 278</v>
      </c>
      <c r="B5237" s="9" t="str">
        <f>IFERROR(__xludf.DUMMYFUNCTION("""COMPUTED_VALUE"""),"PiyushC78")</f>
        <v>PiyushC78</v>
      </c>
      <c r="C5237" s="8">
        <f>IFERROR(__xludf.DUMMYFUNCTION("""COMPUTED_VALUE"""),0.0)</f>
        <v>0</v>
      </c>
      <c r="D5237" s="8"/>
    </row>
    <row r="5238">
      <c r="A5238" s="9" t="str">
        <f>IFERROR(__xludf.DUMMYFUNCTION("""COMPUTED_VALUE"""),"Batch 278")</f>
        <v>Batch 278</v>
      </c>
      <c r="B5238" s="9" t="str">
        <f>IFERROR(__xludf.DUMMYFUNCTION("""COMPUTED_VALUE"""),"SuryaC78")</f>
        <v>SuryaC78</v>
      </c>
      <c r="C5238" s="8">
        <f>IFERROR(__xludf.DUMMYFUNCTION("""COMPUTED_VALUE"""),0.0)</f>
        <v>0</v>
      </c>
      <c r="D5238" s="8"/>
    </row>
    <row r="5239">
      <c r="A5239" s="9" t="str">
        <f>IFERROR(__xludf.DUMMYFUNCTION("""COMPUTED_VALUE"""),"Batch 278")</f>
        <v>Batch 278</v>
      </c>
      <c r="B5239" s="9" t="str">
        <f>IFERROR(__xludf.DUMMYFUNCTION("""COMPUTED_VALUE"""),"AlinaC78")</f>
        <v>AlinaC78</v>
      </c>
      <c r="C5239" s="8">
        <f>IFERROR(__xludf.DUMMYFUNCTION("""COMPUTED_VALUE"""),0.0)</f>
        <v>0</v>
      </c>
      <c r="D5239" s="8"/>
    </row>
    <row r="5240">
      <c r="A5240" s="9" t="str">
        <f>IFERROR(__xludf.DUMMYFUNCTION("""COMPUTED_VALUE"""),"Batch 278")</f>
        <v>Batch 278</v>
      </c>
      <c r="B5240" s="9" t="str">
        <f>IFERROR(__xludf.DUMMYFUNCTION("""COMPUTED_VALUE"""),"AchintC78")</f>
        <v>AchintC78</v>
      </c>
      <c r="C5240" s="8">
        <f>IFERROR(__xludf.DUMMYFUNCTION("""COMPUTED_VALUE"""),0.0)</f>
        <v>0</v>
      </c>
      <c r="D5240" s="8"/>
    </row>
    <row r="5241">
      <c r="A5241" s="9" t="str">
        <f>IFERROR(__xludf.DUMMYFUNCTION("""COMPUTED_VALUE"""),"Batch 278")</f>
        <v>Batch 278</v>
      </c>
      <c r="B5241" s="9" t="str">
        <f>IFERROR(__xludf.DUMMYFUNCTION("""COMPUTED_VALUE"""),"AryanC78")</f>
        <v>AryanC78</v>
      </c>
      <c r="C5241" s="8">
        <f>IFERROR(__xludf.DUMMYFUNCTION("""COMPUTED_VALUE"""),0.0)</f>
        <v>0</v>
      </c>
      <c r="D5241" s="8"/>
    </row>
    <row r="5242">
      <c r="A5242" s="9" t="str">
        <f>IFERROR(__xludf.DUMMYFUNCTION("""COMPUTED_VALUE"""),"Batch 278")</f>
        <v>Batch 278</v>
      </c>
      <c r="B5242" s="9" t="str">
        <f>IFERROR(__xludf.DUMMYFUNCTION("""COMPUTED_VALUE"""),"JanhaviC78")</f>
        <v>JanhaviC78</v>
      </c>
      <c r="C5242" s="8">
        <f>IFERROR(__xludf.DUMMYFUNCTION("""COMPUTED_VALUE"""),0.0)</f>
        <v>0</v>
      </c>
      <c r="D5242" s="8"/>
    </row>
    <row r="5243">
      <c r="A5243" s="9" t="str">
        <f>IFERROR(__xludf.DUMMYFUNCTION("""COMPUTED_VALUE"""),"Batch 278")</f>
        <v>Batch 278</v>
      </c>
      <c r="B5243" s="9" t="str">
        <f>IFERROR(__xludf.DUMMYFUNCTION("""COMPUTED_VALUE"""),"PriyaC78")</f>
        <v>PriyaC78</v>
      </c>
      <c r="C5243" s="8">
        <f>IFERROR(__xludf.DUMMYFUNCTION("""COMPUTED_VALUE"""),0.0)</f>
        <v>0</v>
      </c>
      <c r="D5243" s="8"/>
    </row>
    <row r="5244">
      <c r="A5244" s="9" t="str">
        <f>IFERROR(__xludf.DUMMYFUNCTION("""COMPUTED_VALUE"""),"Batch 278")</f>
        <v>Batch 278</v>
      </c>
      <c r="B5244" s="9" t="str">
        <f>IFERROR(__xludf.DUMMYFUNCTION("""COMPUTED_VALUE"""),"KharkarC78")</f>
        <v>KharkarC78</v>
      </c>
      <c r="C5244" s="8">
        <f>IFERROR(__xludf.DUMMYFUNCTION("""COMPUTED_VALUE"""),0.0)</f>
        <v>0</v>
      </c>
      <c r="D5244" s="8"/>
    </row>
    <row r="5245">
      <c r="A5245" s="9" t="str">
        <f>IFERROR(__xludf.DUMMYFUNCTION("""COMPUTED_VALUE"""),"Batch 278")</f>
        <v>Batch 278</v>
      </c>
      <c r="B5245" s="9" t="str">
        <f>IFERROR(__xludf.DUMMYFUNCTION("""COMPUTED_VALUE"""),"AsmaC78")</f>
        <v>AsmaC78</v>
      </c>
      <c r="C5245" s="8">
        <f>IFERROR(__xludf.DUMMYFUNCTION("""COMPUTED_VALUE"""),16.0)</f>
        <v>16</v>
      </c>
      <c r="D5245" s="8">
        <f>IFERROR(__xludf.DUMMYFUNCTION("""COMPUTED_VALUE"""),3.0)</f>
        <v>3</v>
      </c>
    </row>
    <row r="5246">
      <c r="A5246" s="9" t="str">
        <f>IFERROR(__xludf.DUMMYFUNCTION("""COMPUTED_VALUE"""),"Batch 278")</f>
        <v>Batch 278</v>
      </c>
      <c r="B5246" s="9" t="str">
        <f>IFERROR(__xludf.DUMMYFUNCTION("""COMPUTED_VALUE"""),"AtharvC78")</f>
        <v>AtharvC78</v>
      </c>
      <c r="C5246" s="8">
        <f>IFERROR(__xludf.DUMMYFUNCTION("""COMPUTED_VALUE"""),0.0)</f>
        <v>0</v>
      </c>
      <c r="D5246" s="8"/>
    </row>
    <row r="5247">
      <c r="A5247" s="9" t="str">
        <f>IFERROR(__xludf.DUMMYFUNCTION("""COMPUTED_VALUE"""),"Batch 278")</f>
        <v>Batch 278</v>
      </c>
      <c r="B5247" s="9" t="str">
        <f>IFERROR(__xludf.DUMMYFUNCTION("""COMPUTED_VALUE"""),"KiruthikaC78")</f>
        <v>KiruthikaC78</v>
      </c>
      <c r="C5247" s="8">
        <f>IFERROR(__xludf.DUMMYFUNCTION("""COMPUTED_VALUE"""),0.0)</f>
        <v>0</v>
      </c>
      <c r="D5247" s="8"/>
    </row>
    <row r="5248">
      <c r="A5248" s="9" t="str">
        <f>IFERROR(__xludf.DUMMYFUNCTION("""COMPUTED_VALUE"""),"Batch 278")</f>
        <v>Batch 278</v>
      </c>
      <c r="B5248" s="9" t="str">
        <f>IFERROR(__xludf.DUMMYFUNCTION("""COMPUTED_VALUE"""),"RidhiC78")</f>
        <v>RidhiC78</v>
      </c>
      <c r="C5248" s="8">
        <f>IFERROR(__xludf.DUMMYFUNCTION("""COMPUTED_VALUE"""),0.0)</f>
        <v>0</v>
      </c>
      <c r="D5248" s="8"/>
    </row>
    <row r="5249">
      <c r="A5249" s="9" t="str">
        <f>IFERROR(__xludf.DUMMYFUNCTION("""COMPUTED_VALUE"""),"Batch 278")</f>
        <v>Batch 278</v>
      </c>
      <c r="B5249" s="9" t="str">
        <f>IFERROR(__xludf.DUMMYFUNCTION("""COMPUTED_VALUE"""),"AritraC78")</f>
        <v>AritraC78</v>
      </c>
      <c r="C5249" s="8">
        <f>IFERROR(__xludf.DUMMYFUNCTION("""COMPUTED_VALUE"""),2.0)</f>
        <v>2</v>
      </c>
      <c r="D5249" s="8"/>
    </row>
    <row r="5250">
      <c r="A5250" s="9" t="str">
        <f>IFERROR(__xludf.DUMMYFUNCTION("""COMPUTED_VALUE"""),"Batch 278")</f>
        <v>Batch 278</v>
      </c>
      <c r="B5250" s="9" t="str">
        <f>IFERROR(__xludf.DUMMYFUNCTION("""COMPUTED_VALUE"""),"TejaswinC78")</f>
        <v>TejaswinC78</v>
      </c>
      <c r="C5250" s="8">
        <f>IFERROR(__xludf.DUMMYFUNCTION("""COMPUTED_VALUE"""),0.0)</f>
        <v>0</v>
      </c>
      <c r="D5250" s="8"/>
    </row>
    <row r="5251">
      <c r="A5251" s="9" t="str">
        <f>IFERROR(__xludf.DUMMYFUNCTION("""COMPUTED_VALUE"""),"Batch 278")</f>
        <v>Batch 278</v>
      </c>
      <c r="B5251" s="9" t="str">
        <f>IFERROR(__xludf.DUMMYFUNCTION("""COMPUTED_VALUE"""),"HarshaC78")</f>
        <v>HarshaC78</v>
      </c>
      <c r="C5251" s="8">
        <f>IFERROR(__xludf.DUMMYFUNCTION("""COMPUTED_VALUE"""),0.0)</f>
        <v>0</v>
      </c>
      <c r="D5251" s="8"/>
    </row>
    <row r="5252">
      <c r="A5252" s="9" t="str">
        <f>IFERROR(__xludf.DUMMYFUNCTION("""COMPUTED_VALUE"""),"Batch 278")</f>
        <v>Batch 278</v>
      </c>
      <c r="B5252" s="9" t="str">
        <f>IFERROR(__xludf.DUMMYFUNCTION("""COMPUTED_VALUE"""),"khalisC78")</f>
        <v>khalisC78</v>
      </c>
      <c r="C5252" s="8">
        <f>IFERROR(__xludf.DUMMYFUNCTION("""COMPUTED_VALUE"""),0.0)</f>
        <v>0</v>
      </c>
      <c r="D5252" s="8">
        <f>IFERROR(__xludf.DUMMYFUNCTION("""COMPUTED_VALUE"""),3.0)</f>
        <v>3</v>
      </c>
    </row>
    <row r="5253">
      <c r="A5253" s="9" t="str">
        <f>IFERROR(__xludf.DUMMYFUNCTION("""COMPUTED_VALUE"""),"Batch 278")</f>
        <v>Batch 278</v>
      </c>
      <c r="B5253" s="9" t="str">
        <f>IFERROR(__xludf.DUMMYFUNCTION("""COMPUTED_VALUE"""),"SparshC78")</f>
        <v>SparshC78</v>
      </c>
      <c r="C5253" s="8">
        <f>IFERROR(__xludf.DUMMYFUNCTION("""COMPUTED_VALUE"""),0.0)</f>
        <v>0</v>
      </c>
      <c r="D5253" s="8"/>
    </row>
    <row r="5254">
      <c r="A5254" s="9" t="str">
        <f>IFERROR(__xludf.DUMMYFUNCTION("""COMPUTED_VALUE"""),"Batch 278")</f>
        <v>Batch 278</v>
      </c>
      <c r="B5254" s="9" t="str">
        <f>IFERROR(__xludf.DUMMYFUNCTION("""COMPUTED_VALUE"""),"Srimathi.KC78")</f>
        <v>Srimathi.KC78</v>
      </c>
      <c r="C5254" s="8">
        <f>IFERROR(__xludf.DUMMYFUNCTION("""COMPUTED_VALUE"""),0.0)</f>
        <v>0</v>
      </c>
      <c r="D5254" s="8"/>
    </row>
    <row r="5255">
      <c r="A5255" s="9" t="str">
        <f>IFERROR(__xludf.DUMMYFUNCTION("""COMPUTED_VALUE"""),"Batch 278")</f>
        <v>Batch 278</v>
      </c>
      <c r="B5255" s="9" t="str">
        <f>IFERROR(__xludf.DUMMYFUNCTION("""COMPUTED_VALUE"""),"VaibhavC78")</f>
        <v>VaibhavC78</v>
      </c>
      <c r="C5255" s="8">
        <f>IFERROR(__xludf.DUMMYFUNCTION("""COMPUTED_VALUE"""),0.0)</f>
        <v>0</v>
      </c>
      <c r="D5255" s="8"/>
    </row>
    <row r="5256">
      <c r="A5256" s="9" t="str">
        <f>IFERROR(__xludf.DUMMYFUNCTION("""COMPUTED_VALUE"""),"Batch 278")</f>
        <v>Batch 278</v>
      </c>
      <c r="B5256" s="9" t="str">
        <f>IFERROR(__xludf.DUMMYFUNCTION("""COMPUTED_VALUE"""),"SmithC78")</f>
        <v>SmithC78</v>
      </c>
      <c r="C5256" s="8">
        <f>IFERROR(__xludf.DUMMYFUNCTION("""COMPUTED_VALUE"""),0.0)</f>
        <v>0</v>
      </c>
      <c r="D5256" s="8"/>
    </row>
    <row r="5257">
      <c r="A5257" s="9" t="str">
        <f>IFERROR(__xludf.DUMMYFUNCTION("""COMPUTED_VALUE"""),"Batch 278")</f>
        <v>Batch 278</v>
      </c>
      <c r="B5257" s="9" t="str">
        <f>IFERROR(__xludf.DUMMYFUNCTION("""COMPUTED_VALUE"""),"SRIC78")</f>
        <v>SRIC78</v>
      </c>
      <c r="C5257" s="8">
        <f>IFERROR(__xludf.DUMMYFUNCTION("""COMPUTED_VALUE"""),0.0)</f>
        <v>0</v>
      </c>
      <c r="D5257" s="8"/>
    </row>
    <row r="5258">
      <c r="A5258" s="9" t="str">
        <f>IFERROR(__xludf.DUMMYFUNCTION("""COMPUTED_VALUE"""),"Batch 278")</f>
        <v>Batch 278</v>
      </c>
      <c r="B5258" s="9" t="str">
        <f>IFERROR(__xludf.DUMMYFUNCTION("""COMPUTED_VALUE"""),"AshaC78")</f>
        <v>AshaC78</v>
      </c>
      <c r="C5258" s="8">
        <f>IFERROR(__xludf.DUMMYFUNCTION("""COMPUTED_VALUE"""),3.0)</f>
        <v>3</v>
      </c>
      <c r="D5258" s="8"/>
    </row>
    <row r="5259">
      <c r="A5259" s="9" t="str">
        <f>IFERROR(__xludf.DUMMYFUNCTION("""COMPUTED_VALUE"""),"Batch 278")</f>
        <v>Batch 278</v>
      </c>
      <c r="B5259" s="9" t="str">
        <f>IFERROR(__xludf.DUMMYFUNCTION("""COMPUTED_VALUE"""),"PalliC78")</f>
        <v>PalliC78</v>
      </c>
      <c r="C5259" s="8">
        <f>IFERROR(__xludf.DUMMYFUNCTION("""COMPUTED_VALUE"""),0.0)</f>
        <v>0</v>
      </c>
      <c r="D5259" s="8"/>
    </row>
    <row r="5260">
      <c r="A5260" s="9" t="str">
        <f>IFERROR(__xludf.DUMMYFUNCTION("""COMPUTED_VALUE"""),"Batch 278")</f>
        <v>Batch 278</v>
      </c>
      <c r="B5260" s="9" t="str">
        <f>IFERROR(__xludf.DUMMYFUNCTION("""COMPUTED_VALUE"""),"RoshniC78")</f>
        <v>RoshniC78</v>
      </c>
      <c r="C5260" s="8">
        <f>IFERROR(__xludf.DUMMYFUNCTION("""COMPUTED_VALUE"""),0.0)</f>
        <v>0</v>
      </c>
      <c r="D5260" s="8"/>
    </row>
    <row r="5261">
      <c r="A5261" s="9" t="str">
        <f>IFERROR(__xludf.DUMMYFUNCTION("""COMPUTED_VALUE"""),"Batch 278")</f>
        <v>Batch 278</v>
      </c>
      <c r="B5261" s="9" t="str">
        <f>IFERROR(__xludf.DUMMYFUNCTION("""COMPUTED_VALUE"""),"MohammadC78")</f>
        <v>MohammadC78</v>
      </c>
      <c r="C5261" s="8">
        <f>IFERROR(__xludf.DUMMYFUNCTION("""COMPUTED_VALUE"""),0.0)</f>
        <v>0</v>
      </c>
      <c r="D5261" s="8"/>
    </row>
    <row r="5262">
      <c r="A5262" s="9" t="str">
        <f>IFERROR(__xludf.DUMMYFUNCTION("""COMPUTED_VALUE"""),"Batch 278")</f>
        <v>Batch 278</v>
      </c>
      <c r="B5262" s="9" t="str">
        <f>IFERROR(__xludf.DUMMYFUNCTION("""COMPUTED_VALUE"""),"GobalakrishnanC78")</f>
        <v>GobalakrishnanC78</v>
      </c>
      <c r="C5262" s="8">
        <f>IFERROR(__xludf.DUMMYFUNCTION("""COMPUTED_VALUE"""),1.0)</f>
        <v>1</v>
      </c>
      <c r="D5262" s="8"/>
    </row>
    <row r="5263">
      <c r="A5263" s="9" t="str">
        <f>IFERROR(__xludf.DUMMYFUNCTION("""COMPUTED_VALUE"""),"Batch 278")</f>
        <v>Batch 278</v>
      </c>
      <c r="B5263" s="9" t="str">
        <f>IFERROR(__xludf.DUMMYFUNCTION("""COMPUTED_VALUE"""),"HarshitC78")</f>
        <v>HarshitC78</v>
      </c>
      <c r="C5263" s="8">
        <f>IFERROR(__xludf.DUMMYFUNCTION("""COMPUTED_VALUE"""),0.0)</f>
        <v>0</v>
      </c>
      <c r="D5263" s="8"/>
    </row>
    <row r="5264">
      <c r="A5264" s="9" t="str">
        <f>IFERROR(__xludf.DUMMYFUNCTION("""COMPUTED_VALUE"""),"Batch 278")</f>
        <v>Batch 278</v>
      </c>
      <c r="B5264" s="9" t="str">
        <f>IFERROR(__xludf.DUMMYFUNCTION("""COMPUTED_VALUE"""),"ShanmukhaC78")</f>
        <v>ShanmukhaC78</v>
      </c>
      <c r="C5264" s="8">
        <f>IFERROR(__xludf.DUMMYFUNCTION("""COMPUTED_VALUE"""),0.0)</f>
        <v>0</v>
      </c>
      <c r="D5264" s="8"/>
    </row>
    <row r="5265">
      <c r="A5265" s="9" t="str">
        <f>IFERROR(__xludf.DUMMYFUNCTION("""COMPUTED_VALUE"""),"Batch 278")</f>
        <v>Batch 278</v>
      </c>
      <c r="B5265" s="9" t="str">
        <f>IFERROR(__xludf.DUMMYFUNCTION("""COMPUTED_VALUE"""),"Ch.ArjaveniC78")</f>
        <v>Ch.ArjaveniC78</v>
      </c>
      <c r="C5265" s="8">
        <f>IFERROR(__xludf.DUMMYFUNCTION("""COMPUTED_VALUE"""),0.0)</f>
        <v>0</v>
      </c>
      <c r="D5265" s="8"/>
    </row>
    <row r="5266">
      <c r="A5266" s="9" t="str">
        <f>IFERROR(__xludf.DUMMYFUNCTION("""COMPUTED_VALUE"""),"Batch 278")</f>
        <v>Batch 278</v>
      </c>
      <c r="B5266" s="9" t="str">
        <f>IFERROR(__xludf.DUMMYFUNCTION("""COMPUTED_VALUE"""),"PriyalC78")</f>
        <v>PriyalC78</v>
      </c>
      <c r="C5266" s="8">
        <f>IFERROR(__xludf.DUMMYFUNCTION("""COMPUTED_VALUE"""),1.0)</f>
        <v>1</v>
      </c>
      <c r="D5266" s="8"/>
    </row>
    <row r="5267">
      <c r="A5267" s="9" t="str">
        <f>IFERROR(__xludf.DUMMYFUNCTION("""COMPUTED_VALUE"""),"Batch 278")</f>
        <v>Batch 278</v>
      </c>
      <c r="B5267" s="9" t="str">
        <f>IFERROR(__xludf.DUMMYFUNCTION("""COMPUTED_VALUE"""),"NikhilC78")</f>
        <v>NikhilC78</v>
      </c>
      <c r="C5267" s="8">
        <f>IFERROR(__xludf.DUMMYFUNCTION("""COMPUTED_VALUE"""),0.0)</f>
        <v>0</v>
      </c>
      <c r="D5267" s="8"/>
    </row>
    <row r="5268">
      <c r="A5268" s="9" t="str">
        <f>IFERROR(__xludf.DUMMYFUNCTION("""COMPUTED_VALUE"""),"Batch 278")</f>
        <v>Batch 278</v>
      </c>
      <c r="B5268" s="9" t="str">
        <f>IFERROR(__xludf.DUMMYFUNCTION("""COMPUTED_VALUE"""),"IshaC78")</f>
        <v>IshaC78</v>
      </c>
      <c r="C5268" s="8">
        <f>IFERROR(__xludf.DUMMYFUNCTION("""COMPUTED_VALUE"""),7.0)</f>
        <v>7</v>
      </c>
      <c r="D5268" s="8"/>
    </row>
    <row r="5269">
      <c r="A5269" s="9" t="str">
        <f>IFERROR(__xludf.DUMMYFUNCTION("""COMPUTED_VALUE"""),"Batch 278")</f>
        <v>Batch 278</v>
      </c>
      <c r="B5269" s="9" t="str">
        <f>IFERROR(__xludf.DUMMYFUNCTION("""COMPUTED_VALUE"""),"ZainabC78")</f>
        <v>ZainabC78</v>
      </c>
      <c r="C5269" s="8">
        <f>IFERROR(__xludf.DUMMYFUNCTION("""COMPUTED_VALUE"""),0.0)</f>
        <v>0</v>
      </c>
      <c r="D5269" s="8"/>
    </row>
    <row r="5270">
      <c r="A5270" s="9" t="str">
        <f>IFERROR(__xludf.DUMMYFUNCTION("""COMPUTED_VALUE"""),"Batch 278")</f>
        <v>Batch 278</v>
      </c>
      <c r="B5270" s="9" t="str">
        <f>IFERROR(__xludf.DUMMYFUNCTION("""COMPUTED_VALUE"""),"ShreyaC78")</f>
        <v>ShreyaC78</v>
      </c>
      <c r="C5270" s="8">
        <f>IFERROR(__xludf.DUMMYFUNCTION("""COMPUTED_VALUE"""),0.0)</f>
        <v>0</v>
      </c>
      <c r="D5270" s="8"/>
    </row>
    <row r="5271">
      <c r="A5271" s="9" t="str">
        <f>IFERROR(__xludf.DUMMYFUNCTION("""COMPUTED_VALUE"""),"Batch 278")</f>
        <v>Batch 278</v>
      </c>
      <c r="B5271" s="9" t="str">
        <f>IFERROR(__xludf.DUMMYFUNCTION("""COMPUTED_VALUE"""),"AkchatC78")</f>
        <v>AkchatC78</v>
      </c>
      <c r="C5271" s="8">
        <f>IFERROR(__xludf.DUMMYFUNCTION("""COMPUTED_VALUE"""),0.0)</f>
        <v>0</v>
      </c>
      <c r="D5271" s="8"/>
    </row>
    <row r="5272">
      <c r="A5272" s="9" t="str">
        <f>IFERROR(__xludf.DUMMYFUNCTION("""COMPUTED_VALUE"""),"Batch 278")</f>
        <v>Batch 278</v>
      </c>
      <c r="B5272" s="9" t="str">
        <f>IFERROR(__xludf.DUMMYFUNCTION("""COMPUTED_VALUE"""),"SoumikC78")</f>
        <v>SoumikC78</v>
      </c>
      <c r="C5272" s="8">
        <f>IFERROR(__xludf.DUMMYFUNCTION("""COMPUTED_VALUE"""),7.0)</f>
        <v>7</v>
      </c>
      <c r="D5272" s="8"/>
    </row>
    <row r="5273">
      <c r="A5273" s="9" t="str">
        <f>IFERROR(__xludf.DUMMYFUNCTION("""COMPUTED_VALUE"""),"Batch 278")</f>
        <v>Batch 278</v>
      </c>
      <c r="B5273" s="9" t="str">
        <f>IFERROR(__xludf.DUMMYFUNCTION("""COMPUTED_VALUE"""),"SHIVC78")</f>
        <v>SHIVC78</v>
      </c>
      <c r="C5273" s="8">
        <f>IFERROR(__xludf.DUMMYFUNCTION("""COMPUTED_VALUE"""),0.0)</f>
        <v>0</v>
      </c>
      <c r="D5273" s="8"/>
    </row>
    <row r="5274">
      <c r="A5274" s="9" t="str">
        <f>IFERROR(__xludf.DUMMYFUNCTION("""COMPUTED_VALUE"""),"Batch 278")</f>
        <v>Batch 278</v>
      </c>
      <c r="B5274" s="9" t="str">
        <f>IFERROR(__xludf.DUMMYFUNCTION("""COMPUTED_VALUE"""),"AryaC78")</f>
        <v>AryaC78</v>
      </c>
      <c r="C5274" s="8">
        <f>IFERROR(__xludf.DUMMYFUNCTION("""COMPUTED_VALUE"""),0.0)</f>
        <v>0</v>
      </c>
      <c r="D5274" s="8"/>
    </row>
    <row r="5275">
      <c r="A5275" s="9" t="str">
        <f>IFERROR(__xludf.DUMMYFUNCTION("""COMPUTED_VALUE"""),"Batch 278")</f>
        <v>Batch 278</v>
      </c>
      <c r="B5275" s="9" t="str">
        <f>IFERROR(__xludf.DUMMYFUNCTION("""COMPUTED_VALUE"""),"AyshaC78")</f>
        <v>AyshaC78</v>
      </c>
      <c r="C5275" s="8">
        <f>IFERROR(__xludf.DUMMYFUNCTION("""COMPUTED_VALUE"""),0.0)</f>
        <v>0</v>
      </c>
      <c r="D5275" s="8"/>
    </row>
    <row r="5276">
      <c r="A5276" s="9" t="str">
        <f>IFERROR(__xludf.DUMMYFUNCTION("""COMPUTED_VALUE"""),"Batch 278")</f>
        <v>Batch 278</v>
      </c>
      <c r="B5276" s="9" t="str">
        <f>IFERROR(__xludf.DUMMYFUNCTION("""COMPUTED_VALUE"""),"AditiC78")</f>
        <v>AditiC78</v>
      </c>
      <c r="C5276" s="8">
        <f>IFERROR(__xludf.DUMMYFUNCTION("""COMPUTED_VALUE"""),0.0)</f>
        <v>0</v>
      </c>
      <c r="D5276" s="8"/>
    </row>
    <row r="5277">
      <c r="A5277" s="9" t="str">
        <f>IFERROR(__xludf.DUMMYFUNCTION("""COMPUTED_VALUE"""),"Batch 278")</f>
        <v>Batch 278</v>
      </c>
      <c r="B5277" s="9" t="str">
        <f>IFERROR(__xludf.DUMMYFUNCTION("""COMPUTED_VALUE"""),"AkshitC78")</f>
        <v>AkshitC78</v>
      </c>
      <c r="C5277" s="8">
        <f>IFERROR(__xludf.DUMMYFUNCTION("""COMPUTED_VALUE"""),0.0)</f>
        <v>0</v>
      </c>
      <c r="D5277" s="8"/>
    </row>
    <row r="5278">
      <c r="A5278" s="9" t="str">
        <f>IFERROR(__xludf.DUMMYFUNCTION("""COMPUTED_VALUE"""),"Batch 278")</f>
        <v>Batch 278</v>
      </c>
      <c r="B5278" s="9" t="str">
        <f>IFERROR(__xludf.DUMMYFUNCTION("""COMPUTED_VALUE"""),"TanyaC78")</f>
        <v>TanyaC78</v>
      </c>
      <c r="C5278" s="8">
        <f>IFERROR(__xludf.DUMMYFUNCTION("""COMPUTED_VALUE"""),0.0)</f>
        <v>0</v>
      </c>
      <c r="D5278" s="8"/>
    </row>
    <row r="5279">
      <c r="A5279" s="9" t="str">
        <f>IFERROR(__xludf.DUMMYFUNCTION("""COMPUTED_VALUE"""),"Batch 278")</f>
        <v>Batch 278</v>
      </c>
      <c r="B5279" s="9" t="str">
        <f>IFERROR(__xludf.DUMMYFUNCTION("""COMPUTED_VALUE"""),"VivekC78")</f>
        <v>VivekC78</v>
      </c>
      <c r="C5279" s="8">
        <f>IFERROR(__xludf.DUMMYFUNCTION("""COMPUTED_VALUE"""),0.0)</f>
        <v>0</v>
      </c>
      <c r="D5279" s="8"/>
    </row>
    <row r="5280">
      <c r="A5280" s="9" t="str">
        <f>IFERROR(__xludf.DUMMYFUNCTION("""COMPUTED_VALUE"""),"Batch 278")</f>
        <v>Batch 278</v>
      </c>
      <c r="B5280" s="9" t="str">
        <f>IFERROR(__xludf.DUMMYFUNCTION("""COMPUTED_VALUE"""),"KhushiC78")</f>
        <v>KhushiC78</v>
      </c>
      <c r="C5280" s="8">
        <f>IFERROR(__xludf.DUMMYFUNCTION("""COMPUTED_VALUE"""),1.0)</f>
        <v>1</v>
      </c>
      <c r="D5280" s="8"/>
    </row>
    <row r="5281">
      <c r="A5281" s="9" t="str">
        <f>IFERROR(__xludf.DUMMYFUNCTION("""COMPUTED_VALUE"""),"Batch 278")</f>
        <v>Batch 278</v>
      </c>
      <c r="B5281" s="9" t="str">
        <f>IFERROR(__xludf.DUMMYFUNCTION("""COMPUTED_VALUE"""),"SakshamC78")</f>
        <v>SakshamC78</v>
      </c>
      <c r="C5281" s="8">
        <f>IFERROR(__xludf.DUMMYFUNCTION("""COMPUTED_VALUE"""),0.0)</f>
        <v>0</v>
      </c>
      <c r="D5281" s="8"/>
    </row>
    <row r="5282">
      <c r="A5282" s="9"/>
      <c r="B5282" s="9"/>
      <c r="C5282" s="8">
        <f>IFERROR(__xludf.DUMMYFUNCTION("""COMPUTED_VALUE"""),0.0)</f>
        <v>0</v>
      </c>
      <c r="D5282" s="8"/>
    </row>
    <row r="5283">
      <c r="A5283" s="9" t="str">
        <f>IFERROR(__xludf.DUMMYFUNCTION("""COMPUTED_VALUE"""),"Batch 279")</f>
        <v>Batch 279</v>
      </c>
      <c r="B5283" s="9" t="str">
        <f>IFERROR(__xludf.DUMMYFUNCTION("""COMPUTED_VALUE"""),"NupurC79")</f>
        <v>NupurC79</v>
      </c>
      <c r="C5283" s="8">
        <f>IFERROR(__xludf.DUMMYFUNCTION("""COMPUTED_VALUE"""),0.0)</f>
        <v>0</v>
      </c>
      <c r="D5283" s="8"/>
    </row>
    <row r="5284">
      <c r="A5284" s="9" t="str">
        <f>IFERROR(__xludf.DUMMYFUNCTION("""COMPUTED_VALUE"""),"Batch 279")</f>
        <v>Batch 279</v>
      </c>
      <c r="B5284" s="9" t="str">
        <f>IFERROR(__xludf.DUMMYFUNCTION("""COMPUTED_VALUE"""),"AnveshaC79")</f>
        <v>AnveshaC79</v>
      </c>
      <c r="C5284" s="8">
        <f>IFERROR(__xludf.DUMMYFUNCTION("""COMPUTED_VALUE"""),13.0)</f>
        <v>13</v>
      </c>
      <c r="D5284" s="8">
        <f>IFERROR(__xludf.DUMMYFUNCTION("""COMPUTED_VALUE"""),2.0)</f>
        <v>2</v>
      </c>
    </row>
    <row r="5285">
      <c r="A5285" s="9" t="str">
        <f>IFERROR(__xludf.DUMMYFUNCTION("""COMPUTED_VALUE"""),"Batch 279")</f>
        <v>Batch 279</v>
      </c>
      <c r="B5285" s="9" t="str">
        <f>IFERROR(__xludf.DUMMYFUNCTION("""COMPUTED_VALUE"""),"ABHAYC79")</f>
        <v>ABHAYC79</v>
      </c>
      <c r="C5285" s="8">
        <f>IFERROR(__xludf.DUMMYFUNCTION("""COMPUTED_VALUE"""),0.0)</f>
        <v>0</v>
      </c>
      <c r="D5285" s="8"/>
    </row>
    <row r="5286">
      <c r="A5286" s="9" t="str">
        <f>IFERROR(__xludf.DUMMYFUNCTION("""COMPUTED_VALUE"""),"Batch 279")</f>
        <v>Batch 279</v>
      </c>
      <c r="B5286" s="9" t="str">
        <f>IFERROR(__xludf.DUMMYFUNCTION("""COMPUTED_VALUE"""),"NatashaC79")</f>
        <v>NatashaC79</v>
      </c>
      <c r="C5286" s="8">
        <f>IFERROR(__xludf.DUMMYFUNCTION("""COMPUTED_VALUE"""),0.0)</f>
        <v>0</v>
      </c>
      <c r="D5286" s="8"/>
    </row>
    <row r="5287">
      <c r="A5287" s="9" t="str">
        <f>IFERROR(__xludf.DUMMYFUNCTION("""COMPUTED_VALUE"""),"Batch 279")</f>
        <v>Batch 279</v>
      </c>
      <c r="B5287" s="9" t="str">
        <f>IFERROR(__xludf.DUMMYFUNCTION("""COMPUTED_VALUE"""),"NidhiC79")</f>
        <v>NidhiC79</v>
      </c>
      <c r="C5287" s="8">
        <f>IFERROR(__xludf.DUMMYFUNCTION("""COMPUTED_VALUE"""),0.0)</f>
        <v>0</v>
      </c>
      <c r="D5287" s="8"/>
    </row>
    <row r="5288">
      <c r="A5288" s="9" t="str">
        <f>IFERROR(__xludf.DUMMYFUNCTION("""COMPUTED_VALUE"""),"Batch 279")</f>
        <v>Batch 279</v>
      </c>
      <c r="B5288" s="9" t="str">
        <f>IFERROR(__xludf.DUMMYFUNCTION("""COMPUTED_VALUE"""),"AbhishekC79")</f>
        <v>AbhishekC79</v>
      </c>
      <c r="C5288" s="8">
        <f>IFERROR(__xludf.DUMMYFUNCTION("""COMPUTED_VALUE"""),0.0)</f>
        <v>0</v>
      </c>
      <c r="D5288" s="8"/>
    </row>
    <row r="5289">
      <c r="A5289" s="9" t="str">
        <f>IFERROR(__xludf.DUMMYFUNCTION("""COMPUTED_VALUE"""),"Batch 279")</f>
        <v>Batch 279</v>
      </c>
      <c r="B5289" s="9" t="str">
        <f>IFERROR(__xludf.DUMMYFUNCTION("""COMPUTED_VALUE"""),"SONALC79")</f>
        <v>SONALC79</v>
      </c>
      <c r="C5289" s="8">
        <f>IFERROR(__xludf.DUMMYFUNCTION("""COMPUTED_VALUE"""),36.0)</f>
        <v>36</v>
      </c>
      <c r="D5289" s="8">
        <f>IFERROR(__xludf.DUMMYFUNCTION("""COMPUTED_VALUE"""),19.0)</f>
        <v>19</v>
      </c>
    </row>
    <row r="5290">
      <c r="A5290" s="9" t="str">
        <f>IFERROR(__xludf.DUMMYFUNCTION("""COMPUTED_VALUE"""),"Batch 279")</f>
        <v>Batch 279</v>
      </c>
      <c r="B5290" s="9" t="str">
        <f>IFERROR(__xludf.DUMMYFUNCTION("""COMPUTED_VALUE"""),"SandraC79")</f>
        <v>SandraC79</v>
      </c>
      <c r="C5290" s="8">
        <f>IFERROR(__xludf.DUMMYFUNCTION("""COMPUTED_VALUE"""),0.0)</f>
        <v>0</v>
      </c>
      <c r="D5290" s="8"/>
    </row>
    <row r="5291">
      <c r="A5291" s="9" t="str">
        <f>IFERROR(__xludf.DUMMYFUNCTION("""COMPUTED_VALUE"""),"Batch 279")</f>
        <v>Batch 279</v>
      </c>
      <c r="B5291" s="9" t="str">
        <f>IFERROR(__xludf.DUMMYFUNCTION("""COMPUTED_VALUE"""),"ShriyaC79")</f>
        <v>ShriyaC79</v>
      </c>
      <c r="C5291" s="8">
        <f>IFERROR(__xludf.DUMMYFUNCTION("""COMPUTED_VALUE"""),0.0)</f>
        <v>0</v>
      </c>
      <c r="D5291" s="8"/>
    </row>
    <row r="5292">
      <c r="A5292" s="9" t="str">
        <f>IFERROR(__xludf.DUMMYFUNCTION("""COMPUTED_VALUE"""),"Batch 279")</f>
        <v>Batch 279</v>
      </c>
      <c r="B5292" s="9" t="str">
        <f>IFERROR(__xludf.DUMMYFUNCTION("""COMPUTED_VALUE"""),"DikshaC79")</f>
        <v>DikshaC79</v>
      </c>
      <c r="C5292" s="8">
        <f>IFERROR(__xludf.DUMMYFUNCTION("""COMPUTED_VALUE"""),0.0)</f>
        <v>0</v>
      </c>
      <c r="D5292" s="8"/>
    </row>
    <row r="5293">
      <c r="A5293" s="9" t="str">
        <f>IFERROR(__xludf.DUMMYFUNCTION("""COMPUTED_VALUE"""),"Batch 279")</f>
        <v>Batch 279</v>
      </c>
      <c r="B5293" s="9" t="str">
        <f>IFERROR(__xludf.DUMMYFUNCTION("""COMPUTED_VALUE"""),"SujalC79")</f>
        <v>SujalC79</v>
      </c>
      <c r="C5293" s="8">
        <f>IFERROR(__xludf.DUMMYFUNCTION("""COMPUTED_VALUE"""),8.0)</f>
        <v>8</v>
      </c>
      <c r="D5293" s="8">
        <f>IFERROR(__xludf.DUMMYFUNCTION("""COMPUTED_VALUE"""),1.0)</f>
        <v>1</v>
      </c>
    </row>
    <row r="5294">
      <c r="A5294" s="9" t="str">
        <f>IFERROR(__xludf.DUMMYFUNCTION("""COMPUTED_VALUE"""),"Batch 279")</f>
        <v>Batch 279</v>
      </c>
      <c r="B5294" s="9" t="str">
        <f>IFERROR(__xludf.DUMMYFUNCTION("""COMPUTED_VALUE"""),"ZohaC79")</f>
        <v>ZohaC79</v>
      </c>
      <c r="C5294" s="8">
        <f>IFERROR(__xludf.DUMMYFUNCTION("""COMPUTED_VALUE"""),0.0)</f>
        <v>0</v>
      </c>
      <c r="D5294" s="8"/>
    </row>
    <row r="5295">
      <c r="A5295" s="9" t="str">
        <f>IFERROR(__xludf.DUMMYFUNCTION("""COMPUTED_VALUE"""),"Batch 279")</f>
        <v>Batch 279</v>
      </c>
      <c r="B5295" s="9" t="str">
        <f>IFERROR(__xludf.DUMMYFUNCTION("""COMPUTED_VALUE"""),"NilavalakanC79")</f>
        <v>NilavalakanC79</v>
      </c>
      <c r="C5295" s="8">
        <f>IFERROR(__xludf.DUMMYFUNCTION("""COMPUTED_VALUE"""),0.0)</f>
        <v>0</v>
      </c>
      <c r="D5295" s="8"/>
    </row>
    <row r="5296">
      <c r="A5296" s="9" t="str">
        <f>IFERROR(__xludf.DUMMYFUNCTION("""COMPUTED_VALUE"""),"Batch 279")</f>
        <v>Batch 279</v>
      </c>
      <c r="B5296" s="9" t="str">
        <f>IFERROR(__xludf.DUMMYFUNCTION("""COMPUTED_VALUE"""),"PattiC79")</f>
        <v>PattiC79</v>
      </c>
      <c r="C5296" s="8">
        <f>IFERROR(__xludf.DUMMYFUNCTION("""COMPUTED_VALUE"""),0.0)</f>
        <v>0</v>
      </c>
      <c r="D5296" s="8"/>
    </row>
    <row r="5297">
      <c r="A5297" s="9" t="str">
        <f>IFERROR(__xludf.DUMMYFUNCTION("""COMPUTED_VALUE"""),"Batch 279")</f>
        <v>Batch 279</v>
      </c>
      <c r="B5297" s="9" t="str">
        <f>IFERROR(__xludf.DUMMYFUNCTION("""COMPUTED_VALUE"""),"SreejaC79")</f>
        <v>SreejaC79</v>
      </c>
      <c r="C5297" s="8">
        <f>IFERROR(__xludf.DUMMYFUNCTION("""COMPUTED_VALUE"""),10.0)</f>
        <v>10</v>
      </c>
      <c r="D5297" s="8">
        <f>IFERROR(__xludf.DUMMYFUNCTION("""COMPUTED_VALUE"""),1.0)</f>
        <v>1</v>
      </c>
    </row>
    <row r="5298">
      <c r="A5298" s="9" t="str">
        <f>IFERROR(__xludf.DUMMYFUNCTION("""COMPUTED_VALUE"""),"Batch 279")</f>
        <v>Batch 279</v>
      </c>
      <c r="B5298" s="9" t="str">
        <f>IFERROR(__xludf.DUMMYFUNCTION("""COMPUTED_VALUE"""),"TamannaC79")</f>
        <v>TamannaC79</v>
      </c>
      <c r="C5298" s="8">
        <f>IFERROR(__xludf.DUMMYFUNCTION("""COMPUTED_VALUE"""),1.0)</f>
        <v>1</v>
      </c>
      <c r="D5298" s="8"/>
    </row>
    <row r="5299">
      <c r="A5299" s="9" t="str">
        <f>IFERROR(__xludf.DUMMYFUNCTION("""COMPUTED_VALUE"""),"Batch 279")</f>
        <v>Batch 279</v>
      </c>
      <c r="B5299" s="9" t="str">
        <f>IFERROR(__xludf.DUMMYFUNCTION("""COMPUTED_VALUE"""),"AtiquzzamanC79")</f>
        <v>AtiquzzamanC79</v>
      </c>
      <c r="C5299" s="8">
        <f>IFERROR(__xludf.DUMMYFUNCTION("""COMPUTED_VALUE"""),0.0)</f>
        <v>0</v>
      </c>
      <c r="D5299" s="8"/>
    </row>
    <row r="5300">
      <c r="A5300" s="9" t="str">
        <f>IFERROR(__xludf.DUMMYFUNCTION("""COMPUTED_VALUE"""),"Batch 279")</f>
        <v>Batch 279</v>
      </c>
      <c r="B5300" s="9" t="str">
        <f>IFERROR(__xludf.DUMMYFUNCTION("""COMPUTED_VALUE"""),"AashishC79")</f>
        <v>AashishC79</v>
      </c>
      <c r="C5300" s="8">
        <f>IFERROR(__xludf.DUMMYFUNCTION("""COMPUTED_VALUE"""),0.0)</f>
        <v>0</v>
      </c>
      <c r="D5300" s="8"/>
    </row>
    <row r="5301">
      <c r="A5301" s="9" t="str">
        <f>IFERROR(__xludf.DUMMYFUNCTION("""COMPUTED_VALUE"""),"Batch 279")</f>
        <v>Batch 279</v>
      </c>
      <c r="B5301" s="9" t="str">
        <f>IFERROR(__xludf.DUMMYFUNCTION("""COMPUTED_VALUE"""),"TamannaSC79")</f>
        <v>TamannaSC79</v>
      </c>
      <c r="C5301" s="8">
        <f>IFERROR(__xludf.DUMMYFUNCTION("""COMPUTED_VALUE"""),40.0)</f>
        <v>40</v>
      </c>
      <c r="D5301" s="8">
        <f>IFERROR(__xludf.DUMMYFUNCTION("""COMPUTED_VALUE"""),28.0)</f>
        <v>28</v>
      </c>
    </row>
    <row r="5302">
      <c r="A5302" s="9" t="str">
        <f>IFERROR(__xludf.DUMMYFUNCTION("""COMPUTED_VALUE"""),"Batch 279")</f>
        <v>Batch 279</v>
      </c>
      <c r="B5302" s="9" t="str">
        <f>IFERROR(__xludf.DUMMYFUNCTION("""COMPUTED_VALUE"""),"HarshC79")</f>
        <v>HarshC79</v>
      </c>
      <c r="C5302" s="8">
        <f>IFERROR(__xludf.DUMMYFUNCTION("""COMPUTED_VALUE"""),0.0)</f>
        <v>0</v>
      </c>
      <c r="D5302" s="8"/>
    </row>
    <row r="5303">
      <c r="A5303" s="9" t="str">
        <f>IFERROR(__xludf.DUMMYFUNCTION("""COMPUTED_VALUE"""),"Batch 279")</f>
        <v>Batch 279</v>
      </c>
      <c r="B5303" s="9" t="str">
        <f>IFERROR(__xludf.DUMMYFUNCTION("""COMPUTED_VALUE"""),"AnujC79")</f>
        <v>AnujC79</v>
      </c>
      <c r="C5303" s="8">
        <f>IFERROR(__xludf.DUMMYFUNCTION("""COMPUTED_VALUE"""),0.0)</f>
        <v>0</v>
      </c>
      <c r="D5303" s="8"/>
    </row>
    <row r="5304">
      <c r="A5304" s="9" t="str">
        <f>IFERROR(__xludf.DUMMYFUNCTION("""COMPUTED_VALUE"""),"Batch 279")</f>
        <v>Batch 279</v>
      </c>
      <c r="B5304" s="9" t="str">
        <f>IFERROR(__xludf.DUMMYFUNCTION("""COMPUTED_VALUE"""),"AnjaliC79")</f>
        <v>AnjaliC79</v>
      </c>
      <c r="C5304" s="8">
        <f>IFERROR(__xludf.DUMMYFUNCTION("""COMPUTED_VALUE"""),0.0)</f>
        <v>0</v>
      </c>
      <c r="D5304" s="8"/>
    </row>
    <row r="5305">
      <c r="A5305" s="9" t="str">
        <f>IFERROR(__xludf.DUMMYFUNCTION("""COMPUTED_VALUE"""),"Batch 279")</f>
        <v>Batch 279</v>
      </c>
      <c r="B5305" s="9" t="str">
        <f>IFERROR(__xludf.DUMMYFUNCTION("""COMPUTED_VALUE"""),"SnehaC79")</f>
        <v>SnehaC79</v>
      </c>
      <c r="C5305" s="8">
        <f>IFERROR(__xludf.DUMMYFUNCTION("""COMPUTED_VALUE"""),0.0)</f>
        <v>0</v>
      </c>
      <c r="D5305" s="8">
        <f>IFERROR(__xludf.DUMMYFUNCTION("""COMPUTED_VALUE"""),25.0)</f>
        <v>25</v>
      </c>
    </row>
    <row r="5306">
      <c r="A5306" s="9" t="str">
        <f>IFERROR(__xludf.DUMMYFUNCTION("""COMPUTED_VALUE"""),"Batch 279")</f>
        <v>Batch 279</v>
      </c>
      <c r="B5306" s="9" t="str">
        <f>IFERROR(__xludf.DUMMYFUNCTION("""COMPUTED_VALUE"""),"BheshC79")</f>
        <v>BheshC79</v>
      </c>
      <c r="C5306" s="8">
        <f>IFERROR(__xludf.DUMMYFUNCTION("""COMPUTED_VALUE"""),0.0)</f>
        <v>0</v>
      </c>
      <c r="D5306" s="8"/>
    </row>
    <row r="5307">
      <c r="A5307" s="9" t="str">
        <f>IFERROR(__xludf.DUMMYFUNCTION("""COMPUTED_VALUE"""),"Batch 279")</f>
        <v>Batch 279</v>
      </c>
      <c r="B5307" s="9" t="str">
        <f>IFERROR(__xludf.DUMMYFUNCTION("""COMPUTED_VALUE"""),"Nakka.Pydi.MeghashyamC79")</f>
        <v>Nakka.Pydi.MeghashyamC79</v>
      </c>
      <c r="C5307" s="8">
        <f>IFERROR(__xludf.DUMMYFUNCTION("""COMPUTED_VALUE"""),0.0)</f>
        <v>0</v>
      </c>
      <c r="D5307" s="8"/>
    </row>
    <row r="5308">
      <c r="A5308" s="9" t="str">
        <f>IFERROR(__xludf.DUMMYFUNCTION("""COMPUTED_VALUE"""),"Batch 279")</f>
        <v>Batch 279</v>
      </c>
      <c r="B5308" s="9" t="str">
        <f>IFERROR(__xludf.DUMMYFUNCTION("""COMPUTED_VALUE"""),"RohitC79")</f>
        <v>RohitC79</v>
      </c>
      <c r="C5308" s="8">
        <f>IFERROR(__xludf.DUMMYFUNCTION("""COMPUTED_VALUE"""),0.0)</f>
        <v>0</v>
      </c>
      <c r="D5308" s="8"/>
    </row>
    <row r="5309">
      <c r="A5309" s="9" t="str">
        <f>IFERROR(__xludf.DUMMYFUNCTION("""COMPUTED_VALUE"""),"Batch 279")</f>
        <v>Batch 279</v>
      </c>
      <c r="B5309" s="9" t="str">
        <f>IFERROR(__xludf.DUMMYFUNCTION("""COMPUTED_VALUE"""),"MadhukarC79")</f>
        <v>MadhukarC79</v>
      </c>
      <c r="C5309" s="8">
        <f>IFERROR(__xludf.DUMMYFUNCTION("""COMPUTED_VALUE"""),1.0)</f>
        <v>1</v>
      </c>
      <c r="D5309" s="8">
        <f>IFERROR(__xludf.DUMMYFUNCTION("""COMPUTED_VALUE"""),1.0)</f>
        <v>1</v>
      </c>
    </row>
    <row r="5310">
      <c r="A5310" s="9" t="str">
        <f>IFERROR(__xludf.DUMMYFUNCTION("""COMPUTED_VALUE"""),"Batch 279")</f>
        <v>Batch 279</v>
      </c>
      <c r="B5310" s="9" t="str">
        <f>IFERROR(__xludf.DUMMYFUNCTION("""COMPUTED_VALUE"""),"NehaC79")</f>
        <v>NehaC79</v>
      </c>
      <c r="C5310" s="8">
        <f>IFERROR(__xludf.DUMMYFUNCTION("""COMPUTED_VALUE"""),1.0)</f>
        <v>1</v>
      </c>
      <c r="D5310" s="8"/>
    </row>
    <row r="5311">
      <c r="A5311" s="9" t="str">
        <f>IFERROR(__xludf.DUMMYFUNCTION("""COMPUTED_VALUE"""),"Batch 279")</f>
        <v>Batch 279</v>
      </c>
      <c r="B5311" s="9" t="str">
        <f>IFERROR(__xludf.DUMMYFUNCTION("""COMPUTED_VALUE"""),"DevC79")</f>
        <v>DevC79</v>
      </c>
      <c r="C5311" s="8">
        <f>IFERROR(__xludf.DUMMYFUNCTION("""COMPUTED_VALUE"""),0.0)</f>
        <v>0</v>
      </c>
      <c r="D5311" s="8"/>
    </row>
    <row r="5312">
      <c r="A5312" s="9" t="str">
        <f>IFERROR(__xludf.DUMMYFUNCTION("""COMPUTED_VALUE"""),"Batch 279")</f>
        <v>Batch 279</v>
      </c>
      <c r="B5312" s="9" t="str">
        <f>IFERROR(__xludf.DUMMYFUNCTION("""COMPUTED_VALUE"""),"VC79")</f>
        <v>VC79</v>
      </c>
      <c r="C5312" s="8">
        <f>IFERROR(__xludf.DUMMYFUNCTION("""COMPUTED_VALUE"""),0.0)</f>
        <v>0</v>
      </c>
      <c r="D5312" s="8"/>
    </row>
    <row r="5313">
      <c r="A5313" s="9" t="str">
        <f>IFERROR(__xludf.DUMMYFUNCTION("""COMPUTED_VALUE"""),"Batch 279")</f>
        <v>Batch 279</v>
      </c>
      <c r="B5313" s="9" t="str">
        <f>IFERROR(__xludf.DUMMYFUNCTION("""COMPUTED_VALUE"""),"SanskarC79")</f>
        <v>SanskarC79</v>
      </c>
      <c r="C5313" s="8">
        <f>IFERROR(__xludf.DUMMYFUNCTION("""COMPUTED_VALUE"""),0.0)</f>
        <v>0</v>
      </c>
      <c r="D5313" s="8"/>
    </row>
    <row r="5314">
      <c r="A5314" s="9" t="str">
        <f>IFERROR(__xludf.DUMMYFUNCTION("""COMPUTED_VALUE"""),"Batch 279")</f>
        <v>Batch 279</v>
      </c>
      <c r="B5314" s="9" t="str">
        <f>IFERROR(__xludf.DUMMYFUNCTION("""COMPUTED_VALUE"""),"SudeepthiC79")</f>
        <v>SudeepthiC79</v>
      </c>
      <c r="C5314" s="8">
        <f>IFERROR(__xludf.DUMMYFUNCTION("""COMPUTED_VALUE"""),0.0)</f>
        <v>0</v>
      </c>
      <c r="D5314" s="8"/>
    </row>
    <row r="5315">
      <c r="A5315" s="9" t="str">
        <f>IFERROR(__xludf.DUMMYFUNCTION("""COMPUTED_VALUE"""),"Batch 279")</f>
        <v>Batch 279</v>
      </c>
      <c r="B5315" s="9" t="str">
        <f>IFERROR(__xludf.DUMMYFUNCTION("""COMPUTED_VALUE"""),"shreyaC79")</f>
        <v>shreyaC79</v>
      </c>
      <c r="C5315" s="8">
        <f>IFERROR(__xludf.DUMMYFUNCTION("""COMPUTED_VALUE"""),0.0)</f>
        <v>0</v>
      </c>
      <c r="D5315" s="8"/>
    </row>
    <row r="5316">
      <c r="A5316" s="9" t="str">
        <f>IFERROR(__xludf.DUMMYFUNCTION("""COMPUTED_VALUE"""),"Batch 279")</f>
        <v>Batch 279</v>
      </c>
      <c r="B5316" s="9" t="str">
        <f>IFERROR(__xludf.DUMMYFUNCTION("""COMPUTED_VALUE"""),"ChiragC79")</f>
        <v>ChiragC79</v>
      </c>
      <c r="C5316" s="8">
        <f>IFERROR(__xludf.DUMMYFUNCTION("""COMPUTED_VALUE"""),0.0)</f>
        <v>0</v>
      </c>
      <c r="D5316" s="8"/>
    </row>
    <row r="5317">
      <c r="A5317" s="9" t="str">
        <f>IFERROR(__xludf.DUMMYFUNCTION("""COMPUTED_VALUE"""),"Batch 279")</f>
        <v>Batch 279</v>
      </c>
      <c r="B5317" s="9" t="str">
        <f>IFERROR(__xludf.DUMMYFUNCTION("""COMPUTED_VALUE"""),"GOPISETTYC79")</f>
        <v>GOPISETTYC79</v>
      </c>
      <c r="C5317" s="8">
        <f>IFERROR(__xludf.DUMMYFUNCTION("""COMPUTED_VALUE"""),0.0)</f>
        <v>0</v>
      </c>
      <c r="D5317" s="8"/>
    </row>
    <row r="5318">
      <c r="A5318" s="9" t="str">
        <f>IFERROR(__xludf.DUMMYFUNCTION("""COMPUTED_VALUE"""),"Batch 279")</f>
        <v>Batch 279</v>
      </c>
      <c r="B5318" s="9" t="str">
        <f>IFERROR(__xludf.DUMMYFUNCTION("""COMPUTED_VALUE"""),"SamirC79")</f>
        <v>SamirC79</v>
      </c>
      <c r="C5318" s="8">
        <f>IFERROR(__xludf.DUMMYFUNCTION("""COMPUTED_VALUE"""),0.0)</f>
        <v>0</v>
      </c>
      <c r="D5318" s="8"/>
    </row>
    <row r="5319">
      <c r="A5319" s="9" t="str">
        <f>IFERROR(__xludf.DUMMYFUNCTION("""COMPUTED_VALUE"""),"Batch 279")</f>
        <v>Batch 279</v>
      </c>
      <c r="B5319" s="9" t="str">
        <f>IFERROR(__xludf.DUMMYFUNCTION("""COMPUTED_VALUE"""),"AnchalC79")</f>
        <v>AnchalC79</v>
      </c>
      <c r="C5319" s="8">
        <f>IFERROR(__xludf.DUMMYFUNCTION("""COMPUTED_VALUE"""),0.0)</f>
        <v>0</v>
      </c>
      <c r="D5319" s="8"/>
    </row>
    <row r="5320">
      <c r="A5320" s="9" t="str">
        <f>IFERROR(__xludf.DUMMYFUNCTION("""COMPUTED_VALUE"""),"Batch 279")</f>
        <v>Batch 279</v>
      </c>
      <c r="B5320" s="9" t="str">
        <f>IFERROR(__xludf.DUMMYFUNCTION("""COMPUTED_VALUE"""),"AshwiniC79")</f>
        <v>AshwiniC79</v>
      </c>
      <c r="C5320" s="8">
        <f>IFERROR(__xludf.DUMMYFUNCTION("""COMPUTED_VALUE"""),0.0)</f>
        <v>0</v>
      </c>
      <c r="D5320" s="8"/>
    </row>
    <row r="5321">
      <c r="A5321" s="9" t="str">
        <f>IFERROR(__xludf.DUMMYFUNCTION("""COMPUTED_VALUE"""),"Batch 279")</f>
        <v>Batch 279</v>
      </c>
      <c r="B5321" s="9" t="str">
        <f>IFERROR(__xludf.DUMMYFUNCTION("""COMPUTED_VALUE"""),"KalluriC79")</f>
        <v>KalluriC79</v>
      </c>
      <c r="C5321" s="8">
        <f>IFERROR(__xludf.DUMMYFUNCTION("""COMPUTED_VALUE"""),0.0)</f>
        <v>0</v>
      </c>
      <c r="D5321" s="8"/>
    </row>
    <row r="5322">
      <c r="A5322" s="9" t="str">
        <f>IFERROR(__xludf.DUMMYFUNCTION("""COMPUTED_VALUE"""),"Batch 279")</f>
        <v>Batch 279</v>
      </c>
      <c r="B5322" s="9" t="str">
        <f>IFERROR(__xludf.DUMMYFUNCTION("""COMPUTED_VALUE"""),"ReddyC79")</f>
        <v>ReddyC79</v>
      </c>
      <c r="C5322" s="8">
        <f>IFERROR(__xludf.DUMMYFUNCTION("""COMPUTED_VALUE"""),0.0)</f>
        <v>0</v>
      </c>
      <c r="D5322" s="8"/>
    </row>
    <row r="5323">
      <c r="A5323" s="9" t="str">
        <f>IFERROR(__xludf.DUMMYFUNCTION("""COMPUTED_VALUE"""),"Batch 279")</f>
        <v>Batch 279</v>
      </c>
      <c r="B5323" s="9" t="str">
        <f>IFERROR(__xludf.DUMMYFUNCTION("""COMPUTED_VALUE"""),"ChabungbamC79")</f>
        <v>ChabungbamC79</v>
      </c>
      <c r="C5323" s="8">
        <f>IFERROR(__xludf.DUMMYFUNCTION("""COMPUTED_VALUE"""),0.0)</f>
        <v>0</v>
      </c>
      <c r="D5323" s="8"/>
    </row>
    <row r="5324">
      <c r="A5324" s="9"/>
      <c r="B5324" s="9"/>
      <c r="C5324" s="8">
        <f>IFERROR(__xludf.DUMMYFUNCTION("""COMPUTED_VALUE"""),0.0)</f>
        <v>0</v>
      </c>
      <c r="D5324" s="8"/>
    </row>
    <row r="5325">
      <c r="A5325" s="9" t="str">
        <f>IFERROR(__xludf.DUMMYFUNCTION("""COMPUTED_VALUE"""),"Batch 280")</f>
        <v>Batch 280</v>
      </c>
      <c r="B5325" s="9" t="str">
        <f>IFERROR(__xludf.DUMMYFUNCTION("""COMPUTED_VALUE"""),"AnshumanC80")</f>
        <v>AnshumanC80</v>
      </c>
      <c r="C5325" s="8">
        <f>IFERROR(__xludf.DUMMYFUNCTION("""COMPUTED_VALUE"""),3.0)</f>
        <v>3</v>
      </c>
      <c r="D5325" s="8"/>
    </row>
    <row r="5326">
      <c r="A5326" s="9" t="str">
        <f>IFERROR(__xludf.DUMMYFUNCTION("""COMPUTED_VALUE"""),"Batch 280")</f>
        <v>Batch 280</v>
      </c>
      <c r="B5326" s="9" t="str">
        <f>IFERROR(__xludf.DUMMYFUNCTION("""COMPUTED_VALUE"""),"IshaC80")</f>
        <v>IshaC80</v>
      </c>
      <c r="C5326" s="8">
        <f>IFERROR(__xludf.DUMMYFUNCTION("""COMPUTED_VALUE"""),0.0)</f>
        <v>0</v>
      </c>
      <c r="D5326" s="8"/>
    </row>
    <row r="5327">
      <c r="A5327" s="9" t="str">
        <f>IFERROR(__xludf.DUMMYFUNCTION("""COMPUTED_VALUE"""),"Batch 280")</f>
        <v>Batch 280</v>
      </c>
      <c r="B5327" s="9" t="str">
        <f>IFERROR(__xludf.DUMMYFUNCTION("""COMPUTED_VALUE"""),"KumarC80")</f>
        <v>KumarC80</v>
      </c>
      <c r="C5327" s="8">
        <f>IFERROR(__xludf.DUMMYFUNCTION("""COMPUTED_VALUE"""),0.0)</f>
        <v>0</v>
      </c>
      <c r="D5327" s="8"/>
    </row>
    <row r="5328">
      <c r="A5328" s="9" t="str">
        <f>IFERROR(__xludf.DUMMYFUNCTION("""COMPUTED_VALUE"""),"Batch 280")</f>
        <v>Batch 280</v>
      </c>
      <c r="B5328" s="9" t="str">
        <f>IFERROR(__xludf.DUMMYFUNCTION("""COMPUTED_VALUE"""),"RaunakC80")</f>
        <v>RaunakC80</v>
      </c>
      <c r="C5328" s="8">
        <f>IFERROR(__xludf.DUMMYFUNCTION("""COMPUTED_VALUE"""),0.0)</f>
        <v>0</v>
      </c>
      <c r="D5328" s="8"/>
    </row>
    <row r="5329">
      <c r="A5329" s="9" t="str">
        <f>IFERROR(__xludf.DUMMYFUNCTION("""COMPUTED_VALUE"""),"Batch 280")</f>
        <v>Batch 280</v>
      </c>
      <c r="B5329" s="9" t="str">
        <f>IFERROR(__xludf.DUMMYFUNCTION("""COMPUTED_VALUE"""),"ShashankC80")</f>
        <v>ShashankC80</v>
      </c>
      <c r="C5329" s="8">
        <f>IFERROR(__xludf.DUMMYFUNCTION("""COMPUTED_VALUE"""),0.0)</f>
        <v>0</v>
      </c>
      <c r="D5329" s="8"/>
    </row>
    <row r="5330">
      <c r="A5330" s="9" t="str">
        <f>IFERROR(__xludf.DUMMYFUNCTION("""COMPUTED_VALUE"""),"Batch 280")</f>
        <v>Batch 280</v>
      </c>
      <c r="B5330" s="9" t="str">
        <f>IFERROR(__xludf.DUMMYFUNCTION("""COMPUTED_VALUE"""),"MohammadC80")</f>
        <v>MohammadC80</v>
      </c>
      <c r="C5330" s="8">
        <f>IFERROR(__xludf.DUMMYFUNCTION("""COMPUTED_VALUE"""),0.0)</f>
        <v>0</v>
      </c>
      <c r="D5330" s="8"/>
    </row>
    <row r="5331">
      <c r="A5331" s="9" t="str">
        <f>IFERROR(__xludf.DUMMYFUNCTION("""COMPUTED_VALUE"""),"Batch 280")</f>
        <v>Batch 280</v>
      </c>
      <c r="B5331" s="9" t="str">
        <f>IFERROR(__xludf.DUMMYFUNCTION("""COMPUTED_VALUE"""),"AKSHAYC80")</f>
        <v>AKSHAYC80</v>
      </c>
      <c r="C5331" s="8">
        <f>IFERROR(__xludf.DUMMYFUNCTION("""COMPUTED_VALUE"""),0.0)</f>
        <v>0</v>
      </c>
      <c r="D5331" s="8"/>
    </row>
    <row r="5332">
      <c r="A5332" s="9" t="str">
        <f>IFERROR(__xludf.DUMMYFUNCTION("""COMPUTED_VALUE"""),"Batch 280")</f>
        <v>Batch 280</v>
      </c>
      <c r="B5332" s="9" t="str">
        <f>IFERROR(__xludf.DUMMYFUNCTION("""COMPUTED_VALUE"""),"DeborahC80")</f>
        <v>DeborahC80</v>
      </c>
      <c r="C5332" s="8">
        <f>IFERROR(__xludf.DUMMYFUNCTION("""COMPUTED_VALUE"""),30.0)</f>
        <v>30</v>
      </c>
      <c r="D5332" s="8">
        <f>IFERROR(__xludf.DUMMYFUNCTION("""COMPUTED_VALUE"""),19.0)</f>
        <v>19</v>
      </c>
    </row>
    <row r="5333">
      <c r="A5333" s="9" t="str">
        <f>IFERROR(__xludf.DUMMYFUNCTION("""COMPUTED_VALUE"""),"Batch 280")</f>
        <v>Batch 280</v>
      </c>
      <c r="B5333" s="9" t="str">
        <f>IFERROR(__xludf.DUMMYFUNCTION("""COMPUTED_VALUE"""),"RiyaC80")</f>
        <v>RiyaC80</v>
      </c>
      <c r="C5333" s="8">
        <f>IFERROR(__xludf.DUMMYFUNCTION("""COMPUTED_VALUE"""),0.0)</f>
        <v>0</v>
      </c>
      <c r="D5333" s="8"/>
    </row>
    <row r="5334">
      <c r="A5334" s="9" t="str">
        <f>IFERROR(__xludf.DUMMYFUNCTION("""COMPUTED_VALUE"""),"Batch 280")</f>
        <v>Batch 280</v>
      </c>
      <c r="B5334" s="9" t="str">
        <f>IFERROR(__xludf.DUMMYFUNCTION("""COMPUTED_VALUE"""),"MadhviC80")</f>
        <v>MadhviC80</v>
      </c>
      <c r="C5334" s="8">
        <f>IFERROR(__xludf.DUMMYFUNCTION("""COMPUTED_VALUE"""),0.0)</f>
        <v>0</v>
      </c>
      <c r="D5334" s="8"/>
    </row>
    <row r="5335">
      <c r="A5335" s="9" t="str">
        <f>IFERROR(__xludf.DUMMYFUNCTION("""COMPUTED_VALUE"""),"Batch 280")</f>
        <v>Batch 280</v>
      </c>
      <c r="B5335" s="9" t="str">
        <f>IFERROR(__xludf.DUMMYFUNCTION("""COMPUTED_VALUE"""),"JOSHVAC80")</f>
        <v>JOSHVAC80</v>
      </c>
      <c r="C5335" s="8">
        <f>IFERROR(__xludf.DUMMYFUNCTION("""COMPUTED_VALUE"""),0.0)</f>
        <v>0</v>
      </c>
      <c r="D5335" s="8"/>
    </row>
    <row r="5336">
      <c r="A5336" s="9" t="str">
        <f>IFERROR(__xludf.DUMMYFUNCTION("""COMPUTED_VALUE"""),"Batch 280")</f>
        <v>Batch 280</v>
      </c>
      <c r="B5336" s="9" t="str">
        <f>IFERROR(__xludf.DUMMYFUNCTION("""COMPUTED_VALUE"""),"VidwathC80")</f>
        <v>VidwathC80</v>
      </c>
      <c r="C5336" s="8">
        <f>IFERROR(__xludf.DUMMYFUNCTION("""COMPUTED_VALUE"""),5.0)</f>
        <v>5</v>
      </c>
      <c r="D5336" s="8"/>
    </row>
    <row r="5337">
      <c r="A5337" s="9" t="str">
        <f>IFERROR(__xludf.DUMMYFUNCTION("""COMPUTED_VALUE"""),"Batch 280")</f>
        <v>Batch 280</v>
      </c>
      <c r="B5337" s="9" t="str">
        <f>IFERROR(__xludf.DUMMYFUNCTION("""COMPUTED_VALUE"""),"UdayanC80")</f>
        <v>UdayanC80</v>
      </c>
      <c r="C5337" s="8">
        <f>IFERROR(__xludf.DUMMYFUNCTION("""COMPUTED_VALUE"""),0.0)</f>
        <v>0</v>
      </c>
      <c r="D5337" s="8"/>
    </row>
    <row r="5338">
      <c r="A5338" s="9" t="str">
        <f>IFERROR(__xludf.DUMMYFUNCTION("""COMPUTED_VALUE"""),"Batch 280")</f>
        <v>Batch 280</v>
      </c>
      <c r="B5338" s="9" t="str">
        <f>IFERROR(__xludf.DUMMYFUNCTION("""COMPUTED_VALUE"""),"JanhaviC80")</f>
        <v>JanhaviC80</v>
      </c>
      <c r="C5338" s="8">
        <f>IFERROR(__xludf.DUMMYFUNCTION("""COMPUTED_VALUE"""),0.0)</f>
        <v>0</v>
      </c>
      <c r="D5338" s="8"/>
    </row>
    <row r="5339">
      <c r="A5339" s="9" t="str">
        <f>IFERROR(__xludf.DUMMYFUNCTION("""COMPUTED_VALUE"""),"Batch 280")</f>
        <v>Batch 280</v>
      </c>
      <c r="B5339" s="9" t="str">
        <f>IFERROR(__xludf.DUMMYFUNCTION("""COMPUTED_VALUE"""),"SumitC80")</f>
        <v>SumitC80</v>
      </c>
      <c r="C5339" s="8">
        <f>IFERROR(__xludf.DUMMYFUNCTION("""COMPUTED_VALUE"""),0.0)</f>
        <v>0</v>
      </c>
      <c r="D5339" s="8"/>
    </row>
    <row r="5340">
      <c r="A5340" s="9" t="str">
        <f>IFERROR(__xludf.DUMMYFUNCTION("""COMPUTED_VALUE"""),"Batch 280")</f>
        <v>Batch 280</v>
      </c>
      <c r="B5340" s="9" t="str">
        <f>IFERROR(__xludf.DUMMYFUNCTION("""COMPUTED_VALUE"""),"AnchalC80")</f>
        <v>AnchalC80</v>
      </c>
      <c r="C5340" s="8">
        <f>IFERROR(__xludf.DUMMYFUNCTION("""COMPUTED_VALUE"""),0.0)</f>
        <v>0</v>
      </c>
      <c r="D5340" s="8"/>
    </row>
    <row r="5341">
      <c r="A5341" s="9" t="str">
        <f>IFERROR(__xludf.DUMMYFUNCTION("""COMPUTED_VALUE"""),"Batch 280")</f>
        <v>Batch 280</v>
      </c>
      <c r="B5341" s="9" t="str">
        <f>IFERROR(__xludf.DUMMYFUNCTION("""COMPUTED_VALUE"""),"KalluriC80")</f>
        <v>KalluriC80</v>
      </c>
      <c r="C5341" s="8">
        <f>IFERROR(__xludf.DUMMYFUNCTION("""COMPUTED_VALUE"""),0.0)</f>
        <v>0</v>
      </c>
      <c r="D5341" s="8"/>
    </row>
    <row r="5342">
      <c r="A5342" s="9" t="str">
        <f>IFERROR(__xludf.DUMMYFUNCTION("""COMPUTED_VALUE"""),"Batch 280")</f>
        <v>Batch 280</v>
      </c>
      <c r="B5342" s="9" t="str">
        <f>IFERROR(__xludf.DUMMYFUNCTION("""COMPUTED_VALUE"""),"ReddyC80")</f>
        <v>ReddyC80</v>
      </c>
      <c r="C5342" s="8">
        <f>IFERROR(__xludf.DUMMYFUNCTION("""COMPUTED_VALUE"""),0.0)</f>
        <v>0</v>
      </c>
      <c r="D5342" s="8"/>
    </row>
    <row r="5343">
      <c r="A5343" s="9"/>
      <c r="B5343" s="9"/>
      <c r="C5343" s="8">
        <f>IFERROR(__xludf.DUMMYFUNCTION("""COMPUTED_VALUE"""),0.0)</f>
        <v>0</v>
      </c>
      <c r="D5343" s="8"/>
    </row>
    <row r="5344">
      <c r="A5344" s="9" t="str">
        <f>IFERROR(__xludf.DUMMYFUNCTION("""COMPUTED_VALUE"""),"Batch 281")</f>
        <v>Batch 281</v>
      </c>
      <c r="B5344" s="9" t="str">
        <f>IFERROR(__xludf.DUMMYFUNCTION("""COMPUTED_VALUE"""),"NamrataC81")</f>
        <v>NamrataC81</v>
      </c>
      <c r="C5344" s="8">
        <f>IFERROR(__xludf.DUMMYFUNCTION("""COMPUTED_VALUE"""),0.0)</f>
        <v>0</v>
      </c>
      <c r="D5344" s="8"/>
    </row>
    <row r="5345">
      <c r="A5345" s="9" t="str">
        <f>IFERROR(__xludf.DUMMYFUNCTION("""COMPUTED_VALUE"""),"Batch 281")</f>
        <v>Batch 281</v>
      </c>
      <c r="B5345" s="9" t="str">
        <f>IFERROR(__xludf.DUMMYFUNCTION("""COMPUTED_VALUE"""),"SamruddhiC81")</f>
        <v>SamruddhiC81</v>
      </c>
      <c r="C5345" s="8">
        <f>IFERROR(__xludf.DUMMYFUNCTION("""COMPUTED_VALUE"""),0.0)</f>
        <v>0</v>
      </c>
      <c r="D5345" s="8"/>
    </row>
    <row r="5346">
      <c r="A5346" s="9" t="str">
        <f>IFERROR(__xludf.DUMMYFUNCTION("""COMPUTED_VALUE"""),"Batch 281")</f>
        <v>Batch 281</v>
      </c>
      <c r="B5346" s="9" t="str">
        <f>IFERROR(__xludf.DUMMYFUNCTION("""COMPUTED_VALUE"""),"UjjawalC81")</f>
        <v>UjjawalC81</v>
      </c>
      <c r="C5346" s="8">
        <f>IFERROR(__xludf.DUMMYFUNCTION("""COMPUTED_VALUE"""),0.0)</f>
        <v>0</v>
      </c>
      <c r="D5346" s="8"/>
    </row>
    <row r="5347">
      <c r="A5347" s="9" t="str">
        <f>IFERROR(__xludf.DUMMYFUNCTION("""COMPUTED_VALUE"""),"Batch 281")</f>
        <v>Batch 281</v>
      </c>
      <c r="B5347" s="9" t="str">
        <f>IFERROR(__xludf.DUMMYFUNCTION("""COMPUTED_VALUE"""),"TaniyaC81")</f>
        <v>TaniyaC81</v>
      </c>
      <c r="C5347" s="8">
        <f>IFERROR(__xludf.DUMMYFUNCTION("""COMPUTED_VALUE"""),0.0)</f>
        <v>0</v>
      </c>
      <c r="D5347" s="8"/>
    </row>
    <row r="5348">
      <c r="A5348" s="9" t="str">
        <f>IFERROR(__xludf.DUMMYFUNCTION("""COMPUTED_VALUE"""),"Batch 281")</f>
        <v>Batch 281</v>
      </c>
      <c r="B5348" s="9" t="str">
        <f>IFERROR(__xludf.DUMMYFUNCTION("""COMPUTED_VALUE"""),"RakshitC81")</f>
        <v>RakshitC81</v>
      </c>
      <c r="C5348" s="8">
        <f>IFERROR(__xludf.DUMMYFUNCTION("""COMPUTED_VALUE"""),0.0)</f>
        <v>0</v>
      </c>
      <c r="D5348" s="8"/>
    </row>
    <row r="5349">
      <c r="A5349" s="9" t="str">
        <f>IFERROR(__xludf.DUMMYFUNCTION("""COMPUTED_VALUE"""),"Batch 281")</f>
        <v>Batch 281</v>
      </c>
      <c r="B5349" s="9" t="str">
        <f>IFERROR(__xludf.DUMMYFUNCTION("""COMPUTED_VALUE"""),"SumitC81")</f>
        <v>SumitC81</v>
      </c>
      <c r="C5349" s="8">
        <f>IFERROR(__xludf.DUMMYFUNCTION("""COMPUTED_VALUE"""),0.0)</f>
        <v>0</v>
      </c>
      <c r="D5349" s="8"/>
    </row>
    <row r="5350">
      <c r="A5350" s="9" t="str">
        <f>IFERROR(__xludf.DUMMYFUNCTION("""COMPUTED_VALUE"""),"Batch 281")</f>
        <v>Batch 281</v>
      </c>
      <c r="B5350" s="9" t="str">
        <f>IFERROR(__xludf.DUMMYFUNCTION("""COMPUTED_VALUE"""),"TamannaC81")</f>
        <v>TamannaC81</v>
      </c>
      <c r="C5350" s="8">
        <f>IFERROR(__xludf.DUMMYFUNCTION("""COMPUTED_VALUE"""),0.0)</f>
        <v>0</v>
      </c>
      <c r="D5350" s="8"/>
    </row>
    <row r="5351">
      <c r="A5351" s="9" t="str">
        <f>IFERROR(__xludf.DUMMYFUNCTION("""COMPUTED_VALUE"""),"Batch 281")</f>
        <v>Batch 281</v>
      </c>
      <c r="B5351" s="9" t="str">
        <f>IFERROR(__xludf.DUMMYFUNCTION("""COMPUTED_VALUE"""),"BhaveshC81")</f>
        <v>BhaveshC81</v>
      </c>
      <c r="C5351" s="8">
        <f>IFERROR(__xludf.DUMMYFUNCTION("""COMPUTED_VALUE"""),0.0)</f>
        <v>0</v>
      </c>
      <c r="D5351" s="8"/>
    </row>
    <row r="5352">
      <c r="A5352" s="9" t="str">
        <f>IFERROR(__xludf.DUMMYFUNCTION("""COMPUTED_VALUE"""),"Batch 281")</f>
        <v>Batch 281</v>
      </c>
      <c r="B5352" s="9" t="str">
        <f>IFERROR(__xludf.DUMMYFUNCTION("""COMPUTED_VALUE"""),"VineyC81")</f>
        <v>VineyC81</v>
      </c>
      <c r="C5352" s="8">
        <f>IFERROR(__xludf.DUMMYFUNCTION("""COMPUTED_VALUE"""),0.0)</f>
        <v>0</v>
      </c>
      <c r="D5352" s="8"/>
    </row>
    <row r="5353">
      <c r="A5353" s="9" t="str">
        <f>IFERROR(__xludf.DUMMYFUNCTION("""COMPUTED_VALUE"""),"Batch 281")</f>
        <v>Batch 281</v>
      </c>
      <c r="B5353" s="9" t="str">
        <f>IFERROR(__xludf.DUMMYFUNCTION("""COMPUTED_VALUE"""),"SatvikC81")</f>
        <v>SatvikC81</v>
      </c>
      <c r="C5353" s="8">
        <f>IFERROR(__xludf.DUMMYFUNCTION("""COMPUTED_VALUE"""),0.0)</f>
        <v>0</v>
      </c>
      <c r="D5353" s="8"/>
    </row>
    <row r="5354">
      <c r="A5354" s="9" t="str">
        <f>IFERROR(__xludf.DUMMYFUNCTION("""COMPUTED_VALUE"""),"Batch 281")</f>
        <v>Batch 281</v>
      </c>
      <c r="B5354" s="9" t="str">
        <f>IFERROR(__xludf.DUMMYFUNCTION("""COMPUTED_VALUE"""),"ShaunC81")</f>
        <v>ShaunC81</v>
      </c>
      <c r="C5354" s="8">
        <f>IFERROR(__xludf.DUMMYFUNCTION("""COMPUTED_VALUE"""),0.0)</f>
        <v>0</v>
      </c>
      <c r="D5354" s="8"/>
    </row>
    <row r="5355">
      <c r="A5355" s="9" t="str">
        <f>IFERROR(__xludf.DUMMYFUNCTION("""COMPUTED_VALUE"""),"Batch 281")</f>
        <v>Batch 281</v>
      </c>
      <c r="B5355" s="9" t="str">
        <f>IFERROR(__xludf.DUMMYFUNCTION("""COMPUTED_VALUE"""),"TarinC81")</f>
        <v>TarinC81</v>
      </c>
      <c r="C5355" s="8">
        <f>IFERROR(__xludf.DUMMYFUNCTION("""COMPUTED_VALUE"""),0.0)</f>
        <v>0</v>
      </c>
      <c r="D5355" s="8"/>
    </row>
    <row r="5356">
      <c r="A5356" s="9" t="str">
        <f>IFERROR(__xludf.DUMMYFUNCTION("""COMPUTED_VALUE"""),"Batch 281")</f>
        <v>Batch 281</v>
      </c>
      <c r="B5356" s="9" t="str">
        <f>IFERROR(__xludf.DUMMYFUNCTION("""COMPUTED_VALUE"""),"SivaprakashC81")</f>
        <v>SivaprakashC81</v>
      </c>
      <c r="C5356" s="8">
        <f>IFERROR(__xludf.DUMMYFUNCTION("""COMPUTED_VALUE"""),0.0)</f>
        <v>0</v>
      </c>
      <c r="D5356" s="8"/>
    </row>
    <row r="5357">
      <c r="A5357" s="9" t="str">
        <f>IFERROR(__xludf.DUMMYFUNCTION("""COMPUTED_VALUE"""),"Batch 281")</f>
        <v>Batch 281</v>
      </c>
      <c r="B5357" s="9" t="str">
        <f>IFERROR(__xludf.DUMMYFUNCTION("""COMPUTED_VALUE"""),"KrishC81")</f>
        <v>KrishC81</v>
      </c>
      <c r="C5357" s="8">
        <f>IFERROR(__xludf.DUMMYFUNCTION("""COMPUTED_VALUE"""),0.0)</f>
        <v>0</v>
      </c>
      <c r="D5357" s="8"/>
    </row>
    <row r="5358">
      <c r="A5358" s="9"/>
      <c r="B5358" s="9"/>
      <c r="C5358" s="8">
        <f>IFERROR(__xludf.DUMMYFUNCTION("""COMPUTED_VALUE"""),0.0)</f>
        <v>0</v>
      </c>
      <c r="D5358" s="8"/>
    </row>
    <row r="5359">
      <c r="A5359" s="9" t="str">
        <f>IFERROR(__xludf.DUMMYFUNCTION("""COMPUTED_VALUE"""),"Batch 282")</f>
        <v>Batch 282</v>
      </c>
      <c r="B5359" s="9" t="str">
        <f>IFERROR(__xludf.DUMMYFUNCTION("""COMPUTED_VALUE"""),"AbhinandanC82")</f>
        <v>AbhinandanC82</v>
      </c>
      <c r="C5359" s="8">
        <f>IFERROR(__xludf.DUMMYFUNCTION("""COMPUTED_VALUE"""),0.0)</f>
        <v>0</v>
      </c>
      <c r="D5359" s="8"/>
    </row>
    <row r="5360">
      <c r="A5360" s="9" t="str">
        <f>IFERROR(__xludf.DUMMYFUNCTION("""COMPUTED_VALUE"""),"Batch 282")</f>
        <v>Batch 282</v>
      </c>
      <c r="B5360" s="9" t="str">
        <f>IFERROR(__xludf.DUMMYFUNCTION("""COMPUTED_VALUE"""),"DhruvC82")</f>
        <v>DhruvC82</v>
      </c>
      <c r="C5360" s="8">
        <f>IFERROR(__xludf.DUMMYFUNCTION("""COMPUTED_VALUE"""),0.0)</f>
        <v>0</v>
      </c>
      <c r="D5360" s="8"/>
    </row>
    <row r="5361">
      <c r="A5361" s="9" t="str">
        <f>IFERROR(__xludf.DUMMYFUNCTION("""COMPUTED_VALUE"""),"Batch 282")</f>
        <v>Batch 282</v>
      </c>
      <c r="B5361" s="9" t="str">
        <f>IFERROR(__xludf.DUMMYFUNCTION("""COMPUTED_VALUE"""),"DiyaC82")</f>
        <v>DiyaC82</v>
      </c>
      <c r="C5361" s="8">
        <f>IFERROR(__xludf.DUMMYFUNCTION("""COMPUTED_VALUE"""),0.0)</f>
        <v>0</v>
      </c>
      <c r="D5361" s="8"/>
    </row>
    <row r="5362">
      <c r="A5362" s="9" t="str">
        <f>IFERROR(__xludf.DUMMYFUNCTION("""COMPUTED_VALUE"""),"Batch 282")</f>
        <v>Batch 282</v>
      </c>
      <c r="B5362" s="9" t="str">
        <f>IFERROR(__xludf.DUMMYFUNCTION("""COMPUTED_VALUE"""),"PardumanC82")</f>
        <v>PardumanC82</v>
      </c>
      <c r="C5362" s="8">
        <f>IFERROR(__xludf.DUMMYFUNCTION("""COMPUTED_VALUE"""),0.0)</f>
        <v>0</v>
      </c>
      <c r="D5362" s="8"/>
    </row>
    <row r="5363">
      <c r="A5363" s="9" t="str">
        <f>IFERROR(__xludf.DUMMYFUNCTION("""COMPUTED_VALUE"""),"Batch 282")</f>
        <v>Batch 282</v>
      </c>
      <c r="B5363" s="9" t="str">
        <f>IFERROR(__xludf.DUMMYFUNCTION("""COMPUTED_VALUE"""),"PriyankanC82")</f>
        <v>PriyankanC82</v>
      </c>
      <c r="C5363" s="8">
        <f>IFERROR(__xludf.DUMMYFUNCTION("""COMPUTED_VALUE"""),0.0)</f>
        <v>0</v>
      </c>
      <c r="D5363" s="8"/>
    </row>
    <row r="5364">
      <c r="A5364" s="9" t="str">
        <f>IFERROR(__xludf.DUMMYFUNCTION("""COMPUTED_VALUE"""),"Batch 282")</f>
        <v>Batch 282</v>
      </c>
      <c r="B5364" s="9" t="str">
        <f>IFERROR(__xludf.DUMMYFUNCTION("""COMPUTED_VALUE"""),"MrunalC82")</f>
        <v>MrunalC82</v>
      </c>
      <c r="C5364" s="8">
        <f>IFERROR(__xludf.DUMMYFUNCTION("""COMPUTED_VALUE"""),3.0)</f>
        <v>3</v>
      </c>
      <c r="D5364" s="8">
        <f>IFERROR(__xludf.DUMMYFUNCTION("""COMPUTED_VALUE"""),1.0)</f>
        <v>1</v>
      </c>
    </row>
    <row r="5365">
      <c r="A5365" s="9" t="str">
        <f>IFERROR(__xludf.DUMMYFUNCTION("""COMPUTED_VALUE"""),"Batch 282")</f>
        <v>Batch 282</v>
      </c>
      <c r="B5365" s="9" t="str">
        <f>IFERROR(__xludf.DUMMYFUNCTION("""COMPUTED_VALUE"""),"RanjanaC82")</f>
        <v>RanjanaC82</v>
      </c>
      <c r="C5365" s="8">
        <f>IFERROR(__xludf.DUMMYFUNCTION("""COMPUTED_VALUE"""),2.0)</f>
        <v>2</v>
      </c>
      <c r="D5365" s="8"/>
    </row>
    <row r="5366">
      <c r="A5366" s="9" t="str">
        <f>IFERROR(__xludf.DUMMYFUNCTION("""COMPUTED_VALUE"""),"Batch 282")</f>
        <v>Batch 282</v>
      </c>
      <c r="B5366" s="9" t="str">
        <f>IFERROR(__xludf.DUMMYFUNCTION("""COMPUTED_VALUE"""),"EshaC82")</f>
        <v>EshaC82</v>
      </c>
      <c r="C5366" s="8">
        <f>IFERROR(__xludf.DUMMYFUNCTION("""COMPUTED_VALUE"""),2.0)</f>
        <v>2</v>
      </c>
      <c r="D5366" s="8"/>
    </row>
    <row r="5367">
      <c r="A5367" s="9" t="str">
        <f>IFERROR(__xludf.DUMMYFUNCTION("""COMPUTED_VALUE"""),"Batch 282")</f>
        <v>Batch 282</v>
      </c>
      <c r="B5367" s="9" t="str">
        <f>IFERROR(__xludf.DUMMYFUNCTION("""COMPUTED_VALUE"""),"RahulC82")</f>
        <v>RahulC82</v>
      </c>
      <c r="C5367" s="8">
        <f>IFERROR(__xludf.DUMMYFUNCTION("""COMPUTED_VALUE"""),0.0)</f>
        <v>0</v>
      </c>
      <c r="D5367" s="8"/>
    </row>
    <row r="5368">
      <c r="A5368" s="9" t="str">
        <f>IFERROR(__xludf.DUMMYFUNCTION("""COMPUTED_VALUE"""),"Batch 282")</f>
        <v>Batch 282</v>
      </c>
      <c r="B5368" s="9" t="str">
        <f>IFERROR(__xludf.DUMMYFUNCTION("""COMPUTED_VALUE"""),"SHADIYAC82")</f>
        <v>SHADIYAC82</v>
      </c>
      <c r="C5368" s="8">
        <f>IFERROR(__xludf.DUMMYFUNCTION("""COMPUTED_VALUE"""),2.0)</f>
        <v>2</v>
      </c>
      <c r="D5368" s="8"/>
    </row>
    <row r="5369">
      <c r="A5369" s="9" t="str">
        <f>IFERROR(__xludf.DUMMYFUNCTION("""COMPUTED_VALUE"""),"Batch 282")</f>
        <v>Batch 282</v>
      </c>
      <c r="B5369" s="9" t="str">
        <f>IFERROR(__xludf.DUMMYFUNCTION("""COMPUTED_VALUE"""),"KartikC82")</f>
        <v>KartikC82</v>
      </c>
      <c r="C5369" s="8">
        <f>IFERROR(__xludf.DUMMYFUNCTION("""COMPUTED_VALUE"""),0.0)</f>
        <v>0</v>
      </c>
      <c r="D5369" s="8"/>
    </row>
    <row r="5370">
      <c r="A5370" s="9" t="str">
        <f>IFERROR(__xludf.DUMMYFUNCTION("""COMPUTED_VALUE"""),"Batch 282")</f>
        <v>Batch 282</v>
      </c>
      <c r="B5370" s="9" t="str">
        <f>IFERROR(__xludf.DUMMYFUNCTION("""COMPUTED_VALUE"""),"PriyanshuC82")</f>
        <v>PriyanshuC82</v>
      </c>
      <c r="C5370" s="8">
        <f>IFERROR(__xludf.DUMMYFUNCTION("""COMPUTED_VALUE"""),0.0)</f>
        <v>0</v>
      </c>
      <c r="D5370" s="8"/>
    </row>
    <row r="5371">
      <c r="A5371" s="9" t="str">
        <f>IFERROR(__xludf.DUMMYFUNCTION("""COMPUTED_VALUE"""),"Batch 282")</f>
        <v>Batch 282</v>
      </c>
      <c r="B5371" s="9" t="str">
        <f>IFERROR(__xludf.DUMMYFUNCTION("""COMPUTED_VALUE"""),"Anbarasan.KC82")</f>
        <v>Anbarasan.KC82</v>
      </c>
      <c r="C5371" s="8">
        <f>IFERROR(__xludf.DUMMYFUNCTION("""COMPUTED_VALUE"""),0.0)</f>
        <v>0</v>
      </c>
      <c r="D5371" s="8"/>
    </row>
    <row r="5372">
      <c r="A5372" s="9" t="str">
        <f>IFERROR(__xludf.DUMMYFUNCTION("""COMPUTED_VALUE"""),"Batch 282")</f>
        <v>Batch 282</v>
      </c>
      <c r="B5372" s="9" t="str">
        <f>IFERROR(__xludf.DUMMYFUNCTION("""COMPUTED_VALUE"""),"AmanC82")</f>
        <v>AmanC82</v>
      </c>
      <c r="C5372" s="8">
        <f>IFERROR(__xludf.DUMMYFUNCTION("""COMPUTED_VALUE"""),0.0)</f>
        <v>0</v>
      </c>
      <c r="D5372" s="8"/>
    </row>
    <row r="5373">
      <c r="A5373" s="9" t="str">
        <f>IFERROR(__xludf.DUMMYFUNCTION("""COMPUTED_VALUE"""),"Batch 282")</f>
        <v>Batch 282</v>
      </c>
      <c r="B5373" s="9" t="str">
        <f>IFERROR(__xludf.DUMMYFUNCTION("""COMPUTED_VALUE"""),"SooumyaC82")</f>
        <v>SooumyaC82</v>
      </c>
      <c r="C5373" s="8">
        <f>IFERROR(__xludf.DUMMYFUNCTION("""COMPUTED_VALUE"""),0.0)</f>
        <v>0</v>
      </c>
      <c r="D5373" s="8"/>
    </row>
    <row r="5374">
      <c r="A5374" s="9" t="str">
        <f>IFERROR(__xludf.DUMMYFUNCTION("""COMPUTED_VALUE"""),"Batch 282")</f>
        <v>Batch 282</v>
      </c>
      <c r="B5374" s="9" t="str">
        <f>IFERROR(__xludf.DUMMYFUNCTION("""COMPUTED_VALUE"""),"FaiqC82")</f>
        <v>FaiqC82</v>
      </c>
      <c r="C5374" s="8">
        <f>IFERROR(__xludf.DUMMYFUNCTION("""COMPUTED_VALUE"""),0.0)</f>
        <v>0</v>
      </c>
      <c r="D5374" s="8"/>
    </row>
    <row r="5375">
      <c r="A5375" s="9" t="str">
        <f>IFERROR(__xludf.DUMMYFUNCTION("""COMPUTED_VALUE"""),"Batch 282")</f>
        <v>Batch 282</v>
      </c>
      <c r="B5375" s="9" t="str">
        <f>IFERROR(__xludf.DUMMYFUNCTION("""COMPUTED_VALUE"""),"KrushnaC82")</f>
        <v>KrushnaC82</v>
      </c>
      <c r="C5375" s="8">
        <f>IFERROR(__xludf.DUMMYFUNCTION("""COMPUTED_VALUE"""),0.0)</f>
        <v>0</v>
      </c>
      <c r="D5375" s="8"/>
    </row>
    <row r="5376">
      <c r="A5376" s="9" t="str">
        <f>IFERROR(__xludf.DUMMYFUNCTION("""COMPUTED_VALUE"""),"Batch 282")</f>
        <v>Batch 282</v>
      </c>
      <c r="B5376" s="9" t="str">
        <f>IFERROR(__xludf.DUMMYFUNCTION("""COMPUTED_VALUE"""),"KasturiC82")</f>
        <v>KasturiC82</v>
      </c>
      <c r="C5376" s="8">
        <f>IFERROR(__xludf.DUMMYFUNCTION("""COMPUTED_VALUE"""),0.0)</f>
        <v>0</v>
      </c>
      <c r="D5376" s="8"/>
    </row>
    <row r="5377">
      <c r="A5377" s="9" t="str">
        <f>IFERROR(__xludf.DUMMYFUNCTION("""COMPUTED_VALUE"""),"Batch 282")</f>
        <v>Batch 282</v>
      </c>
      <c r="B5377" s="9" t="str">
        <f>IFERROR(__xludf.DUMMYFUNCTION("""COMPUTED_VALUE"""),"YashC82")</f>
        <v>YashC82</v>
      </c>
      <c r="C5377" s="8">
        <f>IFERROR(__xludf.DUMMYFUNCTION("""COMPUTED_VALUE"""),0.0)</f>
        <v>0</v>
      </c>
      <c r="D5377" s="8"/>
    </row>
    <row r="5378">
      <c r="A5378" s="9" t="str">
        <f>IFERROR(__xludf.DUMMYFUNCTION("""COMPUTED_VALUE"""),"Batch 282")</f>
        <v>Batch 282</v>
      </c>
      <c r="B5378" s="9" t="str">
        <f>IFERROR(__xludf.DUMMYFUNCTION("""COMPUTED_VALUE"""),"SunnyC82")</f>
        <v>SunnyC82</v>
      </c>
      <c r="C5378" s="8">
        <f>IFERROR(__xludf.DUMMYFUNCTION("""COMPUTED_VALUE"""),0.0)</f>
        <v>0</v>
      </c>
      <c r="D5378" s="8"/>
    </row>
    <row r="5379">
      <c r="A5379" s="9" t="str">
        <f>IFERROR(__xludf.DUMMYFUNCTION("""COMPUTED_VALUE"""),"Batch 282")</f>
        <v>Batch 282</v>
      </c>
      <c r="B5379" s="9" t="str">
        <f>IFERROR(__xludf.DUMMYFUNCTION("""COMPUTED_VALUE"""),"AlinakhanC82")</f>
        <v>AlinakhanC82</v>
      </c>
      <c r="C5379" s="8">
        <f>IFERROR(__xludf.DUMMYFUNCTION("""COMPUTED_VALUE"""),1.0)</f>
        <v>1</v>
      </c>
      <c r="D5379" s="8"/>
    </row>
    <row r="5380">
      <c r="A5380" s="9" t="str">
        <f>IFERROR(__xludf.DUMMYFUNCTION("""COMPUTED_VALUE"""),"Batch 282")</f>
        <v>Batch 282</v>
      </c>
      <c r="B5380" s="9" t="str">
        <f>IFERROR(__xludf.DUMMYFUNCTION("""COMPUTED_VALUE"""),"DeepikaC82")</f>
        <v>DeepikaC82</v>
      </c>
      <c r="C5380" s="8">
        <f>IFERROR(__xludf.DUMMYFUNCTION("""COMPUTED_VALUE"""),0.0)</f>
        <v>0</v>
      </c>
      <c r="D5380" s="8"/>
    </row>
    <row r="5381">
      <c r="A5381" s="9" t="str">
        <f>IFERROR(__xludf.DUMMYFUNCTION("""COMPUTED_VALUE"""),"Batch 282")</f>
        <v>Batch 282</v>
      </c>
      <c r="B5381" s="9" t="str">
        <f>IFERROR(__xludf.DUMMYFUNCTION("""COMPUTED_VALUE"""),"snehaC82")</f>
        <v>snehaC82</v>
      </c>
      <c r="C5381" s="8">
        <f>IFERROR(__xludf.DUMMYFUNCTION("""COMPUTED_VALUE"""),0.0)</f>
        <v>0</v>
      </c>
      <c r="D5381" s="8"/>
    </row>
    <row r="5382">
      <c r="A5382" s="9" t="str">
        <f>IFERROR(__xludf.DUMMYFUNCTION("""COMPUTED_VALUE"""),"Batch 282")</f>
        <v>Batch 282</v>
      </c>
      <c r="B5382" s="9" t="str">
        <f>IFERROR(__xludf.DUMMYFUNCTION("""COMPUTED_VALUE"""),"VanshikaC82")</f>
        <v>VanshikaC82</v>
      </c>
      <c r="C5382" s="8">
        <f>IFERROR(__xludf.DUMMYFUNCTION("""COMPUTED_VALUE"""),0.0)</f>
        <v>0</v>
      </c>
      <c r="D5382" s="8"/>
    </row>
    <row r="5383">
      <c r="A5383" s="9" t="str">
        <f>IFERROR(__xludf.DUMMYFUNCTION("""COMPUTED_VALUE"""),"Batch 282")</f>
        <v>Batch 282</v>
      </c>
      <c r="B5383" s="9" t="str">
        <f>IFERROR(__xludf.DUMMYFUNCTION("""COMPUTED_VALUE"""),"HimanshuC82")</f>
        <v>HimanshuC82</v>
      </c>
      <c r="C5383" s="8">
        <f>IFERROR(__xludf.DUMMYFUNCTION("""COMPUTED_VALUE"""),0.0)</f>
        <v>0</v>
      </c>
      <c r="D5383" s="8"/>
    </row>
    <row r="5384">
      <c r="A5384" s="9" t="str">
        <f>IFERROR(__xludf.DUMMYFUNCTION("""COMPUTED_VALUE"""),"Batch 282")</f>
        <v>Batch 282</v>
      </c>
      <c r="B5384" s="9" t="str">
        <f>IFERROR(__xludf.DUMMYFUNCTION("""COMPUTED_VALUE"""),"UjalaC82")</f>
        <v>UjalaC82</v>
      </c>
      <c r="C5384" s="8">
        <f>IFERROR(__xludf.DUMMYFUNCTION("""COMPUTED_VALUE"""),0.0)</f>
        <v>0</v>
      </c>
      <c r="D5384" s="8"/>
    </row>
    <row r="5385">
      <c r="A5385" s="9" t="str">
        <f>IFERROR(__xludf.DUMMYFUNCTION("""COMPUTED_VALUE"""),"Batch 282")</f>
        <v>Batch 282</v>
      </c>
      <c r="B5385" s="9" t="str">
        <f>IFERROR(__xludf.DUMMYFUNCTION("""COMPUTED_VALUE"""),"TusharC82")</f>
        <v>TusharC82</v>
      </c>
      <c r="C5385" s="8">
        <f>IFERROR(__xludf.DUMMYFUNCTION("""COMPUTED_VALUE"""),1.0)</f>
        <v>1</v>
      </c>
      <c r="D5385" s="8"/>
    </row>
    <row r="5386">
      <c r="A5386" s="9" t="str">
        <f>IFERROR(__xludf.DUMMYFUNCTION("""COMPUTED_VALUE"""),"Batch 282")</f>
        <v>Batch 282</v>
      </c>
      <c r="B5386" s="9" t="str">
        <f>IFERROR(__xludf.DUMMYFUNCTION("""COMPUTED_VALUE"""),"AanyaC82")</f>
        <v>AanyaC82</v>
      </c>
      <c r="C5386" s="8">
        <f>IFERROR(__xludf.DUMMYFUNCTION("""COMPUTED_VALUE"""),0.0)</f>
        <v>0</v>
      </c>
      <c r="D5386" s="8"/>
    </row>
    <row r="5387">
      <c r="A5387" s="9" t="str">
        <f>IFERROR(__xludf.DUMMYFUNCTION("""COMPUTED_VALUE"""),"Batch 282")</f>
        <v>Batch 282</v>
      </c>
      <c r="B5387" s="9" t="str">
        <f>IFERROR(__xludf.DUMMYFUNCTION("""COMPUTED_VALUE"""),"VinishaC82")</f>
        <v>VinishaC82</v>
      </c>
      <c r="C5387" s="8">
        <f>IFERROR(__xludf.DUMMYFUNCTION("""COMPUTED_VALUE"""),0.0)</f>
        <v>0</v>
      </c>
      <c r="D5387" s="8"/>
    </row>
    <row r="5388">
      <c r="A5388" s="9" t="str">
        <f>IFERROR(__xludf.DUMMYFUNCTION("""COMPUTED_VALUE"""),"Batch 282")</f>
        <v>Batch 282</v>
      </c>
      <c r="B5388" s="9" t="str">
        <f>IFERROR(__xludf.DUMMYFUNCTION("""COMPUTED_VALUE"""),"BhavanaC82")</f>
        <v>BhavanaC82</v>
      </c>
      <c r="C5388" s="8">
        <f>IFERROR(__xludf.DUMMYFUNCTION("""COMPUTED_VALUE"""),7.0)</f>
        <v>7</v>
      </c>
      <c r="D5388" s="8">
        <f>IFERROR(__xludf.DUMMYFUNCTION("""COMPUTED_VALUE"""),27.0)</f>
        <v>27</v>
      </c>
    </row>
    <row r="5389">
      <c r="A5389" s="9" t="str">
        <f>IFERROR(__xludf.DUMMYFUNCTION("""COMPUTED_VALUE"""),"Batch 282")</f>
        <v>Batch 282</v>
      </c>
      <c r="B5389" s="9" t="str">
        <f>IFERROR(__xludf.DUMMYFUNCTION("""COMPUTED_VALUE"""),"SIVAKUMARANC82")</f>
        <v>SIVAKUMARANC82</v>
      </c>
      <c r="C5389" s="8">
        <f>IFERROR(__xludf.DUMMYFUNCTION("""COMPUTED_VALUE"""),0.0)</f>
        <v>0</v>
      </c>
      <c r="D5389" s="8"/>
    </row>
    <row r="5390">
      <c r="A5390" s="9" t="str">
        <f>IFERROR(__xludf.DUMMYFUNCTION("""COMPUTED_VALUE"""),"Batch 282")</f>
        <v>Batch 282</v>
      </c>
      <c r="B5390" s="9" t="str">
        <f>IFERROR(__xludf.DUMMYFUNCTION("""COMPUTED_VALUE"""),"KALYANC82")</f>
        <v>KALYANC82</v>
      </c>
      <c r="C5390" s="8">
        <f>IFERROR(__xludf.DUMMYFUNCTION("""COMPUTED_VALUE"""),7.0)</f>
        <v>7</v>
      </c>
      <c r="D5390" s="8"/>
    </row>
    <row r="5391">
      <c r="A5391" s="9" t="str">
        <f>IFERROR(__xludf.DUMMYFUNCTION("""COMPUTED_VALUE"""),"Batch 282")</f>
        <v>Batch 282</v>
      </c>
      <c r="B5391" s="9" t="str">
        <f>IFERROR(__xludf.DUMMYFUNCTION("""COMPUTED_VALUE"""),"AmarnathC82")</f>
        <v>AmarnathC82</v>
      </c>
      <c r="C5391" s="8">
        <f>IFERROR(__xludf.DUMMYFUNCTION("""COMPUTED_VALUE"""),0.0)</f>
        <v>0</v>
      </c>
      <c r="D5391" s="8"/>
    </row>
    <row r="5392">
      <c r="A5392" s="9" t="str">
        <f>IFERROR(__xludf.DUMMYFUNCTION("""COMPUTED_VALUE"""),"Batch 282")</f>
        <v>Batch 282</v>
      </c>
      <c r="B5392" s="9" t="str">
        <f>IFERROR(__xludf.DUMMYFUNCTION("""COMPUTED_VALUE"""),"AvinashC82")</f>
        <v>AvinashC82</v>
      </c>
      <c r="C5392" s="8">
        <f>IFERROR(__xludf.DUMMYFUNCTION("""COMPUTED_VALUE"""),1.0)</f>
        <v>1</v>
      </c>
      <c r="D5392" s="8"/>
    </row>
    <row r="5393">
      <c r="A5393" s="9" t="str">
        <f>IFERROR(__xludf.DUMMYFUNCTION("""COMPUTED_VALUE"""),"Batch 282")</f>
        <v>Batch 282</v>
      </c>
      <c r="B5393" s="9" t="str">
        <f>IFERROR(__xludf.DUMMYFUNCTION("""COMPUTED_VALUE"""),"SaniyaC82")</f>
        <v>SaniyaC82</v>
      </c>
      <c r="C5393" s="8">
        <f>IFERROR(__xludf.DUMMYFUNCTION("""COMPUTED_VALUE"""),0.0)</f>
        <v>0</v>
      </c>
      <c r="D5393" s="8"/>
    </row>
    <row r="5394">
      <c r="A5394" s="9" t="str">
        <f>IFERROR(__xludf.DUMMYFUNCTION("""COMPUTED_VALUE"""),"Batch 282")</f>
        <v>Batch 282</v>
      </c>
      <c r="B5394" s="9" t="str">
        <f>IFERROR(__xludf.DUMMYFUNCTION("""COMPUTED_VALUE"""),"SumirC82")</f>
        <v>SumirC82</v>
      </c>
      <c r="C5394" s="8">
        <f>IFERROR(__xludf.DUMMYFUNCTION("""COMPUTED_VALUE"""),0.0)</f>
        <v>0</v>
      </c>
      <c r="D5394" s="8"/>
    </row>
    <row r="5395">
      <c r="A5395" s="9" t="str">
        <f>IFERROR(__xludf.DUMMYFUNCTION("""COMPUTED_VALUE"""),"Batch 282")</f>
        <v>Batch 282</v>
      </c>
      <c r="B5395" s="9" t="str">
        <f>IFERROR(__xludf.DUMMYFUNCTION("""COMPUTED_VALUE"""),"SiddharthC82")</f>
        <v>SiddharthC82</v>
      </c>
      <c r="C5395" s="8">
        <f>IFERROR(__xludf.DUMMYFUNCTION("""COMPUTED_VALUE"""),7.0)</f>
        <v>7</v>
      </c>
      <c r="D5395" s="8">
        <f>IFERROR(__xludf.DUMMYFUNCTION("""COMPUTED_VALUE"""),8.0)</f>
        <v>8</v>
      </c>
    </row>
    <row r="5396">
      <c r="A5396" s="9" t="str">
        <f>IFERROR(__xludf.DUMMYFUNCTION("""COMPUTED_VALUE"""),"Batch 282")</f>
        <v>Batch 282</v>
      </c>
      <c r="B5396" s="9" t="str">
        <f>IFERROR(__xludf.DUMMYFUNCTION("""COMPUTED_VALUE"""),"HaripriyaC82")</f>
        <v>HaripriyaC82</v>
      </c>
      <c r="C5396" s="8">
        <f>IFERROR(__xludf.DUMMYFUNCTION("""COMPUTED_VALUE"""),0.0)</f>
        <v>0</v>
      </c>
      <c r="D5396" s="8"/>
    </row>
    <row r="5397">
      <c r="A5397" s="9" t="str">
        <f>IFERROR(__xludf.DUMMYFUNCTION("""COMPUTED_VALUE"""),"Batch 282")</f>
        <v>Batch 282</v>
      </c>
      <c r="B5397" s="9" t="str">
        <f>IFERROR(__xludf.DUMMYFUNCTION("""COMPUTED_VALUE"""),"AbhishekC82")</f>
        <v>AbhishekC82</v>
      </c>
      <c r="C5397" s="8">
        <f>IFERROR(__xludf.DUMMYFUNCTION("""COMPUTED_VALUE"""),0.0)</f>
        <v>0</v>
      </c>
      <c r="D5397" s="8"/>
    </row>
    <row r="5398">
      <c r="A5398" s="9" t="str">
        <f>IFERROR(__xludf.DUMMYFUNCTION("""COMPUTED_VALUE"""),"Batch 282")</f>
        <v>Batch 282</v>
      </c>
      <c r="B5398" s="9" t="str">
        <f>IFERROR(__xludf.DUMMYFUNCTION("""COMPUTED_VALUE"""),"AdityaC82")</f>
        <v>AdityaC82</v>
      </c>
      <c r="C5398" s="8">
        <f>IFERROR(__xludf.DUMMYFUNCTION("""COMPUTED_VALUE"""),0.0)</f>
        <v>0</v>
      </c>
      <c r="D5398" s="8"/>
    </row>
    <row r="5399">
      <c r="A5399" s="9" t="str">
        <f>IFERROR(__xludf.DUMMYFUNCTION("""COMPUTED_VALUE"""),"Batch 282")</f>
        <v>Batch 282</v>
      </c>
      <c r="B5399" s="9" t="str">
        <f>IFERROR(__xludf.DUMMYFUNCTION("""COMPUTED_VALUE"""),"DhavalC82")</f>
        <v>DhavalC82</v>
      </c>
      <c r="C5399" s="8">
        <f>IFERROR(__xludf.DUMMYFUNCTION("""COMPUTED_VALUE"""),0.0)</f>
        <v>0</v>
      </c>
      <c r="D5399" s="8"/>
    </row>
    <row r="5400">
      <c r="A5400" s="9" t="str">
        <f>IFERROR(__xludf.DUMMYFUNCTION("""COMPUTED_VALUE"""),"Batch 282")</f>
        <v>Batch 282</v>
      </c>
      <c r="B5400" s="9" t="str">
        <f>IFERROR(__xludf.DUMMYFUNCTION("""COMPUTED_VALUE"""),"LavkushC82")</f>
        <v>LavkushC82</v>
      </c>
      <c r="C5400" s="8">
        <f>IFERROR(__xludf.DUMMYFUNCTION("""COMPUTED_VALUE"""),0.0)</f>
        <v>0</v>
      </c>
      <c r="D5400" s="8"/>
    </row>
    <row r="5401">
      <c r="A5401" s="9" t="str">
        <f>IFERROR(__xludf.DUMMYFUNCTION("""COMPUTED_VALUE"""),"Batch 282")</f>
        <v>Batch 282</v>
      </c>
      <c r="B5401" s="9" t="str">
        <f>IFERROR(__xludf.DUMMYFUNCTION("""COMPUTED_VALUE"""),"YC82")</f>
        <v>YC82</v>
      </c>
      <c r="C5401" s="8">
        <f>IFERROR(__xludf.DUMMYFUNCTION("""COMPUTED_VALUE"""),25.0)</f>
        <v>25</v>
      </c>
      <c r="D5401" s="8">
        <f>IFERROR(__xludf.DUMMYFUNCTION("""COMPUTED_VALUE"""),11.0)</f>
        <v>11</v>
      </c>
    </row>
    <row r="5402">
      <c r="A5402" s="9" t="str">
        <f>IFERROR(__xludf.DUMMYFUNCTION("""COMPUTED_VALUE"""),"Batch 282")</f>
        <v>Batch 282</v>
      </c>
      <c r="B5402" s="9" t="str">
        <f>IFERROR(__xludf.DUMMYFUNCTION("""COMPUTED_VALUE"""),"SiddhiC82")</f>
        <v>SiddhiC82</v>
      </c>
      <c r="C5402" s="8">
        <f>IFERROR(__xludf.DUMMYFUNCTION("""COMPUTED_VALUE"""),0.0)</f>
        <v>0</v>
      </c>
      <c r="D5402" s="8"/>
    </row>
    <row r="5403">
      <c r="A5403" s="9" t="str">
        <f>IFERROR(__xludf.DUMMYFUNCTION("""COMPUTED_VALUE"""),"Batch 282")</f>
        <v>Batch 282</v>
      </c>
      <c r="B5403" s="9" t="str">
        <f>IFERROR(__xludf.DUMMYFUNCTION("""COMPUTED_VALUE"""),"IshitaC82")</f>
        <v>IshitaC82</v>
      </c>
      <c r="C5403" s="8">
        <f>IFERROR(__xludf.DUMMYFUNCTION("""COMPUTED_VALUE"""),0.0)</f>
        <v>0</v>
      </c>
      <c r="D5403" s="8"/>
    </row>
    <row r="5404">
      <c r="A5404" s="9" t="str">
        <f>IFERROR(__xludf.DUMMYFUNCTION("""COMPUTED_VALUE"""),"Batch 282")</f>
        <v>Batch 282</v>
      </c>
      <c r="B5404" s="9" t="str">
        <f>IFERROR(__xludf.DUMMYFUNCTION("""COMPUTED_VALUE"""),"BhumiC82")</f>
        <v>BhumiC82</v>
      </c>
      <c r="C5404" s="8">
        <f>IFERROR(__xludf.DUMMYFUNCTION("""COMPUTED_VALUE"""),0.0)</f>
        <v>0</v>
      </c>
      <c r="D5404" s="8"/>
    </row>
    <row r="5405">
      <c r="A5405" s="9" t="str">
        <f>IFERROR(__xludf.DUMMYFUNCTION("""COMPUTED_VALUE"""),"Batch 282")</f>
        <v>Batch 282</v>
      </c>
      <c r="B5405" s="9" t="str">
        <f>IFERROR(__xludf.DUMMYFUNCTION("""COMPUTED_VALUE"""),"CharuC82")</f>
        <v>CharuC82</v>
      </c>
      <c r="C5405" s="8">
        <f>IFERROR(__xludf.DUMMYFUNCTION("""COMPUTED_VALUE"""),0.0)</f>
        <v>0</v>
      </c>
      <c r="D5405" s="8"/>
    </row>
    <row r="5406">
      <c r="A5406" s="9" t="str">
        <f>IFERROR(__xludf.DUMMYFUNCTION("""COMPUTED_VALUE"""),"Batch 282")</f>
        <v>Batch 282</v>
      </c>
      <c r="B5406" s="9" t="str">
        <f>IFERROR(__xludf.DUMMYFUNCTION("""COMPUTED_VALUE"""),"InjamulC82")</f>
        <v>InjamulC82</v>
      </c>
      <c r="C5406" s="8">
        <f>IFERROR(__xludf.DUMMYFUNCTION("""COMPUTED_VALUE"""),0.0)</f>
        <v>0</v>
      </c>
      <c r="D5406" s="8">
        <f>IFERROR(__xludf.DUMMYFUNCTION("""COMPUTED_VALUE"""),1.0)</f>
        <v>1</v>
      </c>
    </row>
    <row r="5407">
      <c r="A5407" s="9" t="str">
        <f>IFERROR(__xludf.DUMMYFUNCTION("""COMPUTED_VALUE"""),"Batch 282")</f>
        <v>Batch 282</v>
      </c>
      <c r="B5407" s="9" t="str">
        <f>IFERROR(__xludf.DUMMYFUNCTION("""COMPUTED_VALUE"""),"NiveditaC82")</f>
        <v>NiveditaC82</v>
      </c>
      <c r="C5407" s="8">
        <f>IFERROR(__xludf.DUMMYFUNCTION("""COMPUTED_VALUE"""),0.0)</f>
        <v>0</v>
      </c>
      <c r="D5407" s="8"/>
    </row>
    <row r="5408">
      <c r="A5408" s="9"/>
      <c r="B5408" s="9"/>
      <c r="C5408" s="8">
        <f>IFERROR(__xludf.DUMMYFUNCTION("""COMPUTED_VALUE"""),0.0)</f>
        <v>0</v>
      </c>
      <c r="D5408" s="8"/>
    </row>
    <row r="5409">
      <c r="A5409" s="9" t="str">
        <f>IFERROR(__xludf.DUMMYFUNCTION("""COMPUTED_VALUE"""),"Batch 283")</f>
        <v>Batch 283</v>
      </c>
      <c r="B5409" s="9" t="str">
        <f>IFERROR(__xludf.DUMMYFUNCTION("""COMPUTED_VALUE"""),"UajjwalC83")</f>
        <v>UajjwalC83</v>
      </c>
      <c r="C5409" s="8">
        <f>IFERROR(__xludf.DUMMYFUNCTION("""COMPUTED_VALUE"""),0.0)</f>
        <v>0</v>
      </c>
      <c r="D5409" s="8"/>
    </row>
    <row r="5410">
      <c r="A5410" s="9" t="str">
        <f>IFERROR(__xludf.DUMMYFUNCTION("""COMPUTED_VALUE"""),"Batch 283")</f>
        <v>Batch 283</v>
      </c>
      <c r="B5410" s="9" t="str">
        <f>IFERROR(__xludf.DUMMYFUNCTION("""COMPUTED_VALUE"""),"RiyaC83")</f>
        <v>RiyaC83</v>
      </c>
      <c r="C5410" s="8">
        <f>IFERROR(__xludf.DUMMYFUNCTION("""COMPUTED_VALUE"""),9.0)</f>
        <v>9</v>
      </c>
      <c r="D5410" s="8"/>
    </row>
    <row r="5411">
      <c r="A5411" s="9" t="str">
        <f>IFERROR(__xludf.DUMMYFUNCTION("""COMPUTED_VALUE"""),"Batch 283")</f>
        <v>Batch 283</v>
      </c>
      <c r="B5411" s="9" t="str">
        <f>IFERROR(__xludf.DUMMYFUNCTION("""COMPUTED_VALUE"""),"AkshitaC83")</f>
        <v>AkshitaC83</v>
      </c>
      <c r="C5411" s="8">
        <f>IFERROR(__xludf.DUMMYFUNCTION("""COMPUTED_VALUE"""),1.0)</f>
        <v>1</v>
      </c>
      <c r="D5411" s="8"/>
    </row>
    <row r="5412">
      <c r="A5412" s="9" t="str">
        <f>IFERROR(__xludf.DUMMYFUNCTION("""COMPUTED_VALUE"""),"Batch 283")</f>
        <v>Batch 283</v>
      </c>
      <c r="B5412" s="9" t="str">
        <f>IFERROR(__xludf.DUMMYFUNCTION("""COMPUTED_VALUE"""),"FIDHAC83")</f>
        <v>FIDHAC83</v>
      </c>
      <c r="C5412" s="8">
        <f>IFERROR(__xludf.DUMMYFUNCTION("""COMPUTED_VALUE"""),0.0)</f>
        <v>0</v>
      </c>
      <c r="D5412" s="8"/>
    </row>
    <row r="5413">
      <c r="A5413" s="9" t="str">
        <f>IFERROR(__xludf.DUMMYFUNCTION("""COMPUTED_VALUE"""),"Batch 283")</f>
        <v>Batch 283</v>
      </c>
      <c r="B5413" s="9" t="str">
        <f>IFERROR(__xludf.DUMMYFUNCTION("""COMPUTED_VALUE"""),"VardhiniC83")</f>
        <v>VardhiniC83</v>
      </c>
      <c r="C5413" s="8">
        <f>IFERROR(__xludf.DUMMYFUNCTION("""COMPUTED_VALUE"""),11.0)</f>
        <v>11</v>
      </c>
      <c r="D5413" s="8">
        <f>IFERROR(__xludf.DUMMYFUNCTION("""COMPUTED_VALUE"""),2.0)</f>
        <v>2</v>
      </c>
    </row>
    <row r="5414">
      <c r="A5414" s="9" t="str">
        <f>IFERROR(__xludf.DUMMYFUNCTION("""COMPUTED_VALUE"""),"Batch 283")</f>
        <v>Batch 283</v>
      </c>
      <c r="B5414" s="9" t="str">
        <f>IFERROR(__xludf.DUMMYFUNCTION("""COMPUTED_VALUE"""),"KariemaC83")</f>
        <v>KariemaC83</v>
      </c>
      <c r="C5414" s="8">
        <f>IFERROR(__xludf.DUMMYFUNCTION("""COMPUTED_VALUE"""),0.0)</f>
        <v>0</v>
      </c>
      <c r="D5414" s="8"/>
    </row>
    <row r="5415">
      <c r="A5415" s="9" t="str">
        <f>IFERROR(__xludf.DUMMYFUNCTION("""COMPUTED_VALUE"""),"Batch 283")</f>
        <v>Batch 283</v>
      </c>
      <c r="B5415" s="9" t="str">
        <f>IFERROR(__xludf.DUMMYFUNCTION("""COMPUTED_VALUE"""),"RishimaC83")</f>
        <v>RishimaC83</v>
      </c>
      <c r="C5415" s="8">
        <f>IFERROR(__xludf.DUMMYFUNCTION("""COMPUTED_VALUE"""),7.0)</f>
        <v>7</v>
      </c>
      <c r="D5415" s="8">
        <f>IFERROR(__xludf.DUMMYFUNCTION("""COMPUTED_VALUE"""),1.0)</f>
        <v>1</v>
      </c>
    </row>
    <row r="5416">
      <c r="A5416" s="9" t="str">
        <f>IFERROR(__xludf.DUMMYFUNCTION("""COMPUTED_VALUE"""),"Batch 283")</f>
        <v>Batch 283</v>
      </c>
      <c r="B5416" s="9" t="str">
        <f>IFERROR(__xludf.DUMMYFUNCTION("""COMPUTED_VALUE"""),"YashC83")</f>
        <v>YashC83</v>
      </c>
      <c r="C5416" s="8">
        <f>IFERROR(__xludf.DUMMYFUNCTION("""COMPUTED_VALUE"""),2.0)</f>
        <v>2</v>
      </c>
      <c r="D5416" s="8"/>
    </row>
    <row r="5417">
      <c r="A5417" s="9" t="str">
        <f>IFERROR(__xludf.DUMMYFUNCTION("""COMPUTED_VALUE"""),"Batch 283")</f>
        <v>Batch 283</v>
      </c>
      <c r="B5417" s="9" t="str">
        <f>IFERROR(__xludf.DUMMYFUNCTION("""COMPUTED_VALUE"""),"PushkarC83")</f>
        <v>PushkarC83</v>
      </c>
      <c r="C5417" s="8">
        <f>IFERROR(__xludf.DUMMYFUNCTION("""COMPUTED_VALUE"""),0.0)</f>
        <v>0</v>
      </c>
      <c r="D5417" s="8"/>
    </row>
    <row r="5418">
      <c r="A5418" s="9" t="str">
        <f>IFERROR(__xludf.DUMMYFUNCTION("""COMPUTED_VALUE"""),"Batch 283")</f>
        <v>Batch 283</v>
      </c>
      <c r="B5418" s="9" t="str">
        <f>IFERROR(__xludf.DUMMYFUNCTION("""COMPUTED_VALUE"""),"ParasC83")</f>
        <v>ParasC83</v>
      </c>
      <c r="C5418" s="8">
        <f>IFERROR(__xludf.DUMMYFUNCTION("""COMPUTED_VALUE"""),0.0)</f>
        <v>0</v>
      </c>
      <c r="D5418" s="8"/>
    </row>
    <row r="5419">
      <c r="A5419" s="9" t="str">
        <f>IFERROR(__xludf.DUMMYFUNCTION("""COMPUTED_VALUE"""),"Batch 283")</f>
        <v>Batch 283</v>
      </c>
      <c r="B5419" s="9" t="str">
        <f>IFERROR(__xludf.DUMMYFUNCTION("""COMPUTED_VALUE"""),"SmritiC83")</f>
        <v>SmritiC83</v>
      </c>
      <c r="C5419" s="8">
        <f>IFERROR(__xludf.DUMMYFUNCTION("""COMPUTED_VALUE"""),0.0)</f>
        <v>0</v>
      </c>
      <c r="D5419" s="8"/>
    </row>
    <row r="5420">
      <c r="A5420" s="9" t="str">
        <f>IFERROR(__xludf.DUMMYFUNCTION("""COMPUTED_VALUE"""),"Batch 283")</f>
        <v>Batch 283</v>
      </c>
      <c r="B5420" s="9" t="str">
        <f>IFERROR(__xludf.DUMMYFUNCTION("""COMPUTED_VALUE"""),"AvneeshC83")</f>
        <v>AvneeshC83</v>
      </c>
      <c r="C5420" s="8">
        <f>IFERROR(__xludf.DUMMYFUNCTION("""COMPUTED_VALUE"""),0.0)</f>
        <v>0</v>
      </c>
      <c r="D5420" s="8"/>
    </row>
    <row r="5421">
      <c r="A5421" s="9" t="str">
        <f>IFERROR(__xludf.DUMMYFUNCTION("""COMPUTED_VALUE"""),"Batch 283")</f>
        <v>Batch 283</v>
      </c>
      <c r="B5421" s="9" t="str">
        <f>IFERROR(__xludf.DUMMYFUNCTION("""COMPUTED_VALUE"""),"MadheshwaranC83")</f>
        <v>MadheshwaranC83</v>
      </c>
      <c r="C5421" s="8">
        <f>IFERROR(__xludf.DUMMYFUNCTION("""COMPUTED_VALUE"""),0.0)</f>
        <v>0</v>
      </c>
      <c r="D5421" s="8"/>
    </row>
    <row r="5422">
      <c r="A5422" s="9" t="str">
        <f>IFERROR(__xludf.DUMMYFUNCTION("""COMPUTED_VALUE"""),"Batch 283")</f>
        <v>Batch 283</v>
      </c>
      <c r="B5422" s="9" t="str">
        <f>IFERROR(__xludf.DUMMYFUNCTION("""COMPUTED_VALUE"""),"SrijanC83")</f>
        <v>SrijanC83</v>
      </c>
      <c r="C5422" s="8">
        <f>IFERROR(__xludf.DUMMYFUNCTION("""COMPUTED_VALUE"""),0.0)</f>
        <v>0</v>
      </c>
      <c r="D5422" s="8"/>
    </row>
    <row r="5423">
      <c r="A5423" s="9" t="str">
        <f>IFERROR(__xludf.DUMMYFUNCTION("""COMPUTED_VALUE"""),"Batch 283")</f>
        <v>Batch 283</v>
      </c>
      <c r="B5423" s="9" t="str">
        <f>IFERROR(__xludf.DUMMYFUNCTION("""COMPUTED_VALUE"""),"BHUMIKAC83")</f>
        <v>BHUMIKAC83</v>
      </c>
      <c r="C5423" s="8">
        <f>IFERROR(__xludf.DUMMYFUNCTION("""COMPUTED_VALUE"""),1.0)</f>
        <v>1</v>
      </c>
      <c r="D5423" s="8"/>
    </row>
    <row r="5424">
      <c r="A5424" s="9" t="str">
        <f>IFERROR(__xludf.DUMMYFUNCTION("""COMPUTED_VALUE"""),"Batch 283")</f>
        <v>Batch 283</v>
      </c>
      <c r="B5424" s="9" t="str">
        <f>IFERROR(__xludf.DUMMYFUNCTION("""COMPUTED_VALUE"""),"C.C83")</f>
        <v>C.C83</v>
      </c>
      <c r="C5424" s="8">
        <f>IFERROR(__xludf.DUMMYFUNCTION("""COMPUTED_VALUE"""),2.0)</f>
        <v>2</v>
      </c>
      <c r="D5424" s="8"/>
    </row>
    <row r="5425">
      <c r="A5425" s="9" t="str">
        <f>IFERROR(__xludf.DUMMYFUNCTION("""COMPUTED_VALUE"""),"Batch 283")</f>
        <v>Batch 283</v>
      </c>
      <c r="B5425" s="9" t="str">
        <f>IFERROR(__xludf.DUMMYFUNCTION("""COMPUTED_VALUE"""),"TashuC83")</f>
        <v>TashuC83</v>
      </c>
      <c r="C5425" s="8">
        <f>IFERROR(__xludf.DUMMYFUNCTION("""COMPUTED_VALUE"""),0.0)</f>
        <v>0</v>
      </c>
      <c r="D5425" s="8"/>
    </row>
    <row r="5426">
      <c r="A5426" s="9" t="str">
        <f>IFERROR(__xludf.DUMMYFUNCTION("""COMPUTED_VALUE"""),"Batch 283")</f>
        <v>Batch 283</v>
      </c>
      <c r="B5426" s="9" t="str">
        <f>IFERROR(__xludf.DUMMYFUNCTION("""COMPUTED_VALUE"""),"NavyaC83")</f>
        <v>NavyaC83</v>
      </c>
      <c r="C5426" s="8">
        <f>IFERROR(__xludf.DUMMYFUNCTION("""COMPUTED_VALUE"""),0.0)</f>
        <v>0</v>
      </c>
      <c r="D5426" s="8"/>
    </row>
    <row r="5427">
      <c r="A5427" s="9" t="str">
        <f>IFERROR(__xludf.DUMMYFUNCTION("""COMPUTED_VALUE"""),"Batch 283")</f>
        <v>Batch 283</v>
      </c>
      <c r="B5427" s="9" t="str">
        <f>IFERROR(__xludf.DUMMYFUNCTION("""COMPUTED_VALUE"""),"ShreyasC83")</f>
        <v>ShreyasC83</v>
      </c>
      <c r="C5427" s="8">
        <f>IFERROR(__xludf.DUMMYFUNCTION("""COMPUTED_VALUE"""),0.0)</f>
        <v>0</v>
      </c>
      <c r="D5427" s="8"/>
    </row>
    <row r="5428">
      <c r="A5428" s="9" t="str">
        <f>IFERROR(__xludf.DUMMYFUNCTION("""COMPUTED_VALUE"""),"Batch 283")</f>
        <v>Batch 283</v>
      </c>
      <c r="B5428" s="9" t="str">
        <f>IFERROR(__xludf.DUMMYFUNCTION("""COMPUTED_VALUE"""),"KhushiC83")</f>
        <v>KhushiC83</v>
      </c>
      <c r="C5428" s="8">
        <f>IFERROR(__xludf.DUMMYFUNCTION("""COMPUTED_VALUE"""),4.0)</f>
        <v>4</v>
      </c>
      <c r="D5428" s="8"/>
    </row>
    <row r="5429">
      <c r="A5429" s="9" t="str">
        <f>IFERROR(__xludf.DUMMYFUNCTION("""COMPUTED_VALUE"""),"Batch 283")</f>
        <v>Batch 283</v>
      </c>
      <c r="B5429" s="9" t="str">
        <f>IFERROR(__xludf.DUMMYFUNCTION("""COMPUTED_VALUE"""),"BanuprakashreddyC83")</f>
        <v>BanuprakashreddyC83</v>
      </c>
      <c r="C5429" s="8">
        <f>IFERROR(__xludf.DUMMYFUNCTION("""COMPUTED_VALUE"""),1.0)</f>
        <v>1</v>
      </c>
      <c r="D5429" s="8">
        <f>IFERROR(__xludf.DUMMYFUNCTION("""COMPUTED_VALUE"""),2.0)</f>
        <v>2</v>
      </c>
    </row>
    <row r="5430">
      <c r="A5430" s="9" t="str">
        <f>IFERROR(__xludf.DUMMYFUNCTION("""COMPUTED_VALUE"""),"Batch 283")</f>
        <v>Batch 283</v>
      </c>
      <c r="B5430" s="9" t="str">
        <f>IFERROR(__xludf.DUMMYFUNCTION("""COMPUTED_VALUE"""),"AadityaC83")</f>
        <v>AadityaC83</v>
      </c>
      <c r="C5430" s="8">
        <f>IFERROR(__xludf.DUMMYFUNCTION("""COMPUTED_VALUE"""),0.0)</f>
        <v>0</v>
      </c>
      <c r="D5430" s="8"/>
    </row>
    <row r="5431">
      <c r="A5431" s="9" t="str">
        <f>IFERROR(__xludf.DUMMYFUNCTION("""COMPUTED_VALUE"""),"Batch 283")</f>
        <v>Batch 283</v>
      </c>
      <c r="B5431" s="9" t="str">
        <f>IFERROR(__xludf.DUMMYFUNCTION("""COMPUTED_VALUE"""),"PoojaC83")</f>
        <v>PoojaC83</v>
      </c>
      <c r="C5431" s="8">
        <f>IFERROR(__xludf.DUMMYFUNCTION("""COMPUTED_VALUE"""),0.0)</f>
        <v>0</v>
      </c>
      <c r="D5431" s="8"/>
    </row>
    <row r="5432">
      <c r="A5432" s="9" t="str">
        <f>IFERROR(__xludf.DUMMYFUNCTION("""COMPUTED_VALUE"""),"Batch 283")</f>
        <v>Batch 283</v>
      </c>
      <c r="B5432" s="9" t="str">
        <f>IFERROR(__xludf.DUMMYFUNCTION("""COMPUTED_VALUE"""),"RaviC83")</f>
        <v>RaviC83</v>
      </c>
      <c r="C5432" s="8">
        <f>IFERROR(__xludf.DUMMYFUNCTION("""COMPUTED_VALUE"""),0.0)</f>
        <v>0</v>
      </c>
      <c r="D5432" s="8"/>
    </row>
    <row r="5433">
      <c r="A5433" s="9" t="str">
        <f>IFERROR(__xludf.DUMMYFUNCTION("""COMPUTED_VALUE"""),"Batch 283")</f>
        <v>Batch 283</v>
      </c>
      <c r="B5433" s="9" t="str">
        <f>IFERROR(__xludf.DUMMYFUNCTION("""COMPUTED_VALUE"""),"NandanaC83")</f>
        <v>NandanaC83</v>
      </c>
      <c r="C5433" s="8">
        <f>IFERROR(__xludf.DUMMYFUNCTION("""COMPUTED_VALUE"""),0.0)</f>
        <v>0</v>
      </c>
      <c r="D5433" s="8"/>
    </row>
    <row r="5434">
      <c r="A5434" s="9" t="str">
        <f>IFERROR(__xludf.DUMMYFUNCTION("""COMPUTED_VALUE"""),"Batch 283")</f>
        <v>Batch 283</v>
      </c>
      <c r="B5434" s="9" t="str">
        <f>IFERROR(__xludf.DUMMYFUNCTION("""COMPUTED_VALUE"""),"SohamC83")</f>
        <v>SohamC83</v>
      </c>
      <c r="C5434" s="8">
        <f>IFERROR(__xludf.DUMMYFUNCTION("""COMPUTED_VALUE"""),5.0)</f>
        <v>5</v>
      </c>
      <c r="D5434" s="8"/>
    </row>
    <row r="5435">
      <c r="A5435" s="9" t="str">
        <f>IFERROR(__xludf.DUMMYFUNCTION("""COMPUTED_VALUE"""),"Batch 283")</f>
        <v>Batch 283</v>
      </c>
      <c r="B5435" s="9" t="str">
        <f>IFERROR(__xludf.DUMMYFUNCTION("""COMPUTED_VALUE"""),"AryaC83")</f>
        <v>AryaC83</v>
      </c>
      <c r="C5435" s="8">
        <f>IFERROR(__xludf.DUMMYFUNCTION("""COMPUTED_VALUE"""),0.0)</f>
        <v>0</v>
      </c>
      <c r="D5435" s="8"/>
    </row>
    <row r="5436">
      <c r="A5436" s="9" t="str">
        <f>IFERROR(__xludf.DUMMYFUNCTION("""COMPUTED_VALUE"""),"Batch 283")</f>
        <v>Batch 283</v>
      </c>
      <c r="B5436" s="9" t="str">
        <f>IFERROR(__xludf.DUMMYFUNCTION("""COMPUTED_VALUE"""),"KshitijC83")</f>
        <v>KshitijC83</v>
      </c>
      <c r="C5436" s="8">
        <f>IFERROR(__xludf.DUMMYFUNCTION("""COMPUTED_VALUE"""),14.0)</f>
        <v>14</v>
      </c>
      <c r="D5436" s="8">
        <f>IFERROR(__xludf.DUMMYFUNCTION("""COMPUTED_VALUE"""),1.0)</f>
        <v>1</v>
      </c>
    </row>
    <row r="5437">
      <c r="A5437" s="9" t="str">
        <f>IFERROR(__xludf.DUMMYFUNCTION("""COMPUTED_VALUE"""),"Batch 283")</f>
        <v>Batch 283</v>
      </c>
      <c r="B5437" s="9" t="str">
        <f>IFERROR(__xludf.DUMMYFUNCTION("""COMPUTED_VALUE"""),"KalashC83")</f>
        <v>KalashC83</v>
      </c>
      <c r="C5437" s="8">
        <f>IFERROR(__xludf.DUMMYFUNCTION("""COMPUTED_VALUE"""),0.0)</f>
        <v>0</v>
      </c>
      <c r="D5437" s="8"/>
    </row>
    <row r="5438">
      <c r="A5438" s="9" t="str">
        <f>IFERROR(__xludf.DUMMYFUNCTION("""COMPUTED_VALUE"""),"Batch 283")</f>
        <v>Batch 283</v>
      </c>
      <c r="B5438" s="9" t="str">
        <f>IFERROR(__xludf.DUMMYFUNCTION("""COMPUTED_VALUE"""),"PrathameshC83")</f>
        <v>PrathameshC83</v>
      </c>
      <c r="C5438" s="8">
        <f>IFERROR(__xludf.DUMMYFUNCTION("""COMPUTED_VALUE"""),0.0)</f>
        <v>0</v>
      </c>
      <c r="D5438" s="8"/>
    </row>
    <row r="5439">
      <c r="A5439" s="9" t="str">
        <f>IFERROR(__xludf.DUMMYFUNCTION("""COMPUTED_VALUE"""),"Batch 283")</f>
        <v>Batch 283</v>
      </c>
      <c r="B5439" s="9" t="str">
        <f>IFERROR(__xludf.DUMMYFUNCTION("""COMPUTED_VALUE"""),"AKSHARAC83")</f>
        <v>AKSHARAC83</v>
      </c>
      <c r="C5439" s="8">
        <f>IFERROR(__xludf.DUMMYFUNCTION("""COMPUTED_VALUE"""),0.0)</f>
        <v>0</v>
      </c>
      <c r="D5439" s="8"/>
    </row>
    <row r="5440">
      <c r="A5440" s="9" t="str">
        <f>IFERROR(__xludf.DUMMYFUNCTION("""COMPUTED_VALUE"""),"Batch 283")</f>
        <v>Batch 283</v>
      </c>
      <c r="B5440" s="9" t="str">
        <f>IFERROR(__xludf.DUMMYFUNCTION("""COMPUTED_VALUE"""),"HaripriyaC83")</f>
        <v>HaripriyaC83</v>
      </c>
      <c r="C5440" s="8">
        <f>IFERROR(__xludf.DUMMYFUNCTION("""COMPUTED_VALUE"""),0.0)</f>
        <v>0</v>
      </c>
      <c r="D5440" s="8"/>
    </row>
    <row r="5441">
      <c r="A5441" s="9"/>
      <c r="B5441" s="9"/>
      <c r="C5441" s="8">
        <f>IFERROR(__xludf.DUMMYFUNCTION("""COMPUTED_VALUE"""),0.0)</f>
        <v>0</v>
      </c>
      <c r="D5441" s="8"/>
    </row>
    <row r="5442">
      <c r="A5442" s="9" t="str">
        <f>IFERROR(__xludf.DUMMYFUNCTION("""COMPUTED_VALUE"""),"Batch 284")</f>
        <v>Batch 284</v>
      </c>
      <c r="B5442" s="9" t="str">
        <f>IFERROR(__xludf.DUMMYFUNCTION("""COMPUTED_VALUE"""),"rishabhC84")</f>
        <v>rishabhC84</v>
      </c>
      <c r="C5442" s="8">
        <f>IFERROR(__xludf.DUMMYFUNCTION("""COMPUTED_VALUE"""),0.0)</f>
        <v>0</v>
      </c>
      <c r="D5442" s="8"/>
    </row>
    <row r="5443">
      <c r="A5443" s="9" t="str">
        <f>IFERROR(__xludf.DUMMYFUNCTION("""COMPUTED_VALUE"""),"Batch 284")</f>
        <v>Batch 284</v>
      </c>
      <c r="B5443" s="9" t="str">
        <f>IFERROR(__xludf.DUMMYFUNCTION("""COMPUTED_VALUE"""),"TanishaC84")</f>
        <v>TanishaC84</v>
      </c>
      <c r="C5443" s="8">
        <f>IFERROR(__xludf.DUMMYFUNCTION("""COMPUTED_VALUE"""),0.0)</f>
        <v>0</v>
      </c>
      <c r="D5443" s="8"/>
    </row>
    <row r="5444">
      <c r="A5444" s="9" t="str">
        <f>IFERROR(__xludf.DUMMYFUNCTION("""COMPUTED_VALUE"""),"Batch 284")</f>
        <v>Batch 284</v>
      </c>
      <c r="B5444" s="9" t="str">
        <f>IFERROR(__xludf.DUMMYFUNCTION("""COMPUTED_VALUE"""),"HariC84")</f>
        <v>HariC84</v>
      </c>
      <c r="C5444" s="8">
        <f>IFERROR(__xludf.DUMMYFUNCTION("""COMPUTED_VALUE"""),0.0)</f>
        <v>0</v>
      </c>
      <c r="D5444" s="8"/>
    </row>
    <row r="5445">
      <c r="A5445" s="9" t="str">
        <f>IFERROR(__xludf.DUMMYFUNCTION("""COMPUTED_VALUE"""),"Batch 284")</f>
        <v>Batch 284</v>
      </c>
      <c r="B5445" s="9" t="str">
        <f>IFERROR(__xludf.DUMMYFUNCTION("""COMPUTED_VALUE"""),"MadihaC84")</f>
        <v>MadihaC84</v>
      </c>
      <c r="C5445" s="8">
        <f>IFERROR(__xludf.DUMMYFUNCTION("""COMPUTED_VALUE"""),0.0)</f>
        <v>0</v>
      </c>
      <c r="D5445" s="8"/>
    </row>
    <row r="5446">
      <c r="A5446" s="9" t="str">
        <f>IFERROR(__xludf.DUMMYFUNCTION("""COMPUTED_VALUE"""),"Batch 284")</f>
        <v>Batch 284</v>
      </c>
      <c r="B5446" s="9" t="str">
        <f>IFERROR(__xludf.DUMMYFUNCTION("""COMPUTED_VALUE"""),"RONAKC84")</f>
        <v>RONAKC84</v>
      </c>
      <c r="C5446" s="8">
        <f>IFERROR(__xludf.DUMMYFUNCTION("""COMPUTED_VALUE"""),0.0)</f>
        <v>0</v>
      </c>
      <c r="D5446" s="8"/>
    </row>
    <row r="5447">
      <c r="A5447" s="9" t="str">
        <f>IFERROR(__xludf.DUMMYFUNCTION("""COMPUTED_VALUE"""),"Batch 284")</f>
        <v>Batch 284</v>
      </c>
      <c r="B5447" s="9" t="str">
        <f>IFERROR(__xludf.DUMMYFUNCTION("""COMPUTED_VALUE"""),"JayaC84")</f>
        <v>JayaC84</v>
      </c>
      <c r="C5447" s="8">
        <f>IFERROR(__xludf.DUMMYFUNCTION("""COMPUTED_VALUE"""),0.0)</f>
        <v>0</v>
      </c>
      <c r="D5447" s="8"/>
    </row>
    <row r="5448">
      <c r="A5448" s="9" t="str">
        <f>IFERROR(__xludf.DUMMYFUNCTION("""COMPUTED_VALUE"""),"Batch 284")</f>
        <v>Batch 284</v>
      </c>
      <c r="B5448" s="9" t="str">
        <f>IFERROR(__xludf.DUMMYFUNCTION("""COMPUTED_VALUE"""),"SupriyaC84")</f>
        <v>SupriyaC84</v>
      </c>
      <c r="C5448" s="8">
        <f>IFERROR(__xludf.DUMMYFUNCTION("""COMPUTED_VALUE"""),0.0)</f>
        <v>0</v>
      </c>
      <c r="D5448" s="8"/>
    </row>
    <row r="5449">
      <c r="A5449" s="9" t="str">
        <f>IFERROR(__xludf.DUMMYFUNCTION("""COMPUTED_VALUE"""),"Batch 284")</f>
        <v>Batch 284</v>
      </c>
      <c r="B5449" s="9" t="str">
        <f>IFERROR(__xludf.DUMMYFUNCTION("""COMPUTED_VALUE"""),"ChetanC84")</f>
        <v>ChetanC84</v>
      </c>
      <c r="C5449" s="8">
        <f>IFERROR(__xludf.DUMMYFUNCTION("""COMPUTED_VALUE"""),0.0)</f>
        <v>0</v>
      </c>
      <c r="D5449" s="8"/>
    </row>
    <row r="5450">
      <c r="A5450" s="9" t="str">
        <f>IFERROR(__xludf.DUMMYFUNCTION("""COMPUTED_VALUE"""),"Batch 284")</f>
        <v>Batch 284</v>
      </c>
      <c r="B5450" s="9" t="str">
        <f>IFERROR(__xludf.DUMMYFUNCTION("""COMPUTED_VALUE"""),"M.siddiqC84")</f>
        <v>M.siddiqC84</v>
      </c>
      <c r="C5450" s="8">
        <f>IFERROR(__xludf.DUMMYFUNCTION("""COMPUTED_VALUE"""),0.0)</f>
        <v>0</v>
      </c>
      <c r="D5450" s="8"/>
    </row>
    <row r="5451">
      <c r="A5451" s="9" t="str">
        <f>IFERROR(__xludf.DUMMYFUNCTION("""COMPUTED_VALUE"""),"Batch 284")</f>
        <v>Batch 284</v>
      </c>
      <c r="B5451" s="9" t="str">
        <f>IFERROR(__xludf.DUMMYFUNCTION("""COMPUTED_VALUE"""),"VidhiC84")</f>
        <v>VidhiC84</v>
      </c>
      <c r="C5451" s="8">
        <f>IFERROR(__xludf.DUMMYFUNCTION("""COMPUTED_VALUE"""),0.0)</f>
        <v>0</v>
      </c>
      <c r="D5451" s="8">
        <f>IFERROR(__xludf.DUMMYFUNCTION("""COMPUTED_VALUE"""),7.0)</f>
        <v>7</v>
      </c>
    </row>
    <row r="5452">
      <c r="A5452" s="9" t="str">
        <f>IFERROR(__xludf.DUMMYFUNCTION("""COMPUTED_VALUE"""),"Batch 284")</f>
        <v>Batch 284</v>
      </c>
      <c r="B5452" s="9" t="str">
        <f>IFERROR(__xludf.DUMMYFUNCTION("""COMPUTED_VALUE"""),"DiyaC84")</f>
        <v>DiyaC84</v>
      </c>
      <c r="C5452" s="8">
        <f>IFERROR(__xludf.DUMMYFUNCTION("""COMPUTED_VALUE"""),0.0)</f>
        <v>0</v>
      </c>
      <c r="D5452" s="8"/>
    </row>
    <row r="5453">
      <c r="A5453" s="9" t="str">
        <f>IFERROR(__xludf.DUMMYFUNCTION("""COMPUTED_VALUE"""),"Batch 284")</f>
        <v>Batch 284</v>
      </c>
      <c r="B5453" s="9" t="str">
        <f>IFERROR(__xludf.DUMMYFUNCTION("""COMPUTED_VALUE"""),"DarshanC84")</f>
        <v>DarshanC84</v>
      </c>
      <c r="C5453" s="8">
        <f>IFERROR(__xludf.DUMMYFUNCTION("""COMPUTED_VALUE"""),0.0)</f>
        <v>0</v>
      </c>
      <c r="D5453" s="8"/>
    </row>
    <row r="5454">
      <c r="A5454" s="9" t="str">
        <f>IFERROR(__xludf.DUMMYFUNCTION("""COMPUTED_VALUE"""),"Batch 284")</f>
        <v>Batch 284</v>
      </c>
      <c r="B5454" s="9" t="str">
        <f>IFERROR(__xludf.DUMMYFUNCTION("""COMPUTED_VALUE"""),"ArivelamC84")</f>
        <v>ArivelamC84</v>
      </c>
      <c r="C5454" s="8">
        <f>IFERROR(__xludf.DUMMYFUNCTION("""COMPUTED_VALUE"""),42.0)</f>
        <v>42</v>
      </c>
      <c r="D5454" s="8"/>
    </row>
    <row r="5455">
      <c r="A5455" s="9" t="str">
        <f>IFERROR(__xludf.DUMMYFUNCTION("""COMPUTED_VALUE"""),"Batch 284")</f>
        <v>Batch 284</v>
      </c>
      <c r="B5455" s="9" t="str">
        <f>IFERROR(__xludf.DUMMYFUNCTION("""COMPUTED_VALUE"""),"SwaraC84")</f>
        <v>SwaraC84</v>
      </c>
      <c r="C5455" s="8">
        <f>IFERROR(__xludf.DUMMYFUNCTION("""COMPUTED_VALUE"""),1.0)</f>
        <v>1</v>
      </c>
      <c r="D5455" s="8"/>
    </row>
    <row r="5456">
      <c r="A5456" s="9" t="str">
        <f>IFERROR(__xludf.DUMMYFUNCTION("""COMPUTED_VALUE"""),"Batch 284")</f>
        <v>Batch 284</v>
      </c>
      <c r="B5456" s="9" t="str">
        <f>IFERROR(__xludf.DUMMYFUNCTION("""COMPUTED_VALUE"""),"VikasC84")</f>
        <v>VikasC84</v>
      </c>
      <c r="C5456" s="8">
        <f>IFERROR(__xludf.DUMMYFUNCTION("""COMPUTED_VALUE"""),0.0)</f>
        <v>0</v>
      </c>
      <c r="D5456" s="8"/>
    </row>
    <row r="5457">
      <c r="A5457" s="9" t="str">
        <f>IFERROR(__xludf.DUMMYFUNCTION("""COMPUTED_VALUE"""),"Batch 284")</f>
        <v>Batch 284</v>
      </c>
      <c r="B5457" s="9" t="str">
        <f>IFERROR(__xludf.DUMMYFUNCTION("""COMPUTED_VALUE"""),"SakshiC84")</f>
        <v>SakshiC84</v>
      </c>
      <c r="C5457" s="8">
        <f>IFERROR(__xludf.DUMMYFUNCTION("""COMPUTED_VALUE"""),0.0)</f>
        <v>0</v>
      </c>
      <c r="D5457" s="8"/>
    </row>
    <row r="5458">
      <c r="A5458" s="9" t="str">
        <f>IFERROR(__xludf.DUMMYFUNCTION("""COMPUTED_VALUE"""),"Batch 284")</f>
        <v>Batch 284</v>
      </c>
      <c r="B5458" s="9" t="str">
        <f>IFERROR(__xludf.DUMMYFUNCTION("""COMPUTED_VALUE"""),"KushagraC84")</f>
        <v>KushagraC84</v>
      </c>
      <c r="C5458" s="8">
        <f>IFERROR(__xludf.DUMMYFUNCTION("""COMPUTED_VALUE"""),0.0)</f>
        <v>0</v>
      </c>
      <c r="D5458" s="8"/>
    </row>
    <row r="5459">
      <c r="A5459" s="9" t="str">
        <f>IFERROR(__xludf.DUMMYFUNCTION("""COMPUTED_VALUE"""),"Batch 284")</f>
        <v>Batch 284</v>
      </c>
      <c r="B5459" s="9" t="str">
        <f>IFERROR(__xludf.DUMMYFUNCTION("""COMPUTED_VALUE"""),"AkramaC84")</f>
        <v>AkramaC84</v>
      </c>
      <c r="C5459" s="8">
        <f>IFERROR(__xludf.DUMMYFUNCTION("""COMPUTED_VALUE"""),0.0)</f>
        <v>0</v>
      </c>
      <c r="D5459" s="8"/>
    </row>
    <row r="5460">
      <c r="A5460" s="9" t="str">
        <f>IFERROR(__xludf.DUMMYFUNCTION("""COMPUTED_VALUE"""),"Batch 284")</f>
        <v>Batch 284</v>
      </c>
      <c r="B5460" s="9" t="str">
        <f>IFERROR(__xludf.DUMMYFUNCTION("""COMPUTED_VALUE"""),"PrateekC84")</f>
        <v>PrateekC84</v>
      </c>
      <c r="C5460" s="8">
        <f>IFERROR(__xludf.DUMMYFUNCTION("""COMPUTED_VALUE"""),0.0)</f>
        <v>0</v>
      </c>
      <c r="D5460" s="8"/>
    </row>
    <row r="5461">
      <c r="A5461" s="9" t="str">
        <f>IFERROR(__xludf.DUMMYFUNCTION("""COMPUTED_VALUE"""),"Batch 284")</f>
        <v>Batch 284</v>
      </c>
      <c r="B5461" s="9" t="str">
        <f>IFERROR(__xludf.DUMMYFUNCTION("""COMPUTED_VALUE"""),"HarshaC84")</f>
        <v>HarshaC84</v>
      </c>
      <c r="C5461" s="8">
        <f>IFERROR(__xludf.DUMMYFUNCTION("""COMPUTED_VALUE"""),0.0)</f>
        <v>0</v>
      </c>
      <c r="D5461" s="8"/>
    </row>
    <row r="5462">
      <c r="A5462" s="9" t="str">
        <f>IFERROR(__xludf.DUMMYFUNCTION("""COMPUTED_VALUE"""),"Batch 284")</f>
        <v>Batch 284</v>
      </c>
      <c r="B5462" s="9" t="str">
        <f>IFERROR(__xludf.DUMMYFUNCTION("""COMPUTED_VALUE"""),"SubhashreeC84")</f>
        <v>SubhashreeC84</v>
      </c>
      <c r="C5462" s="8">
        <f>IFERROR(__xludf.DUMMYFUNCTION("""COMPUTED_VALUE"""),0.0)</f>
        <v>0</v>
      </c>
      <c r="D5462" s="8"/>
    </row>
    <row r="5463">
      <c r="A5463" s="9" t="str">
        <f>IFERROR(__xludf.DUMMYFUNCTION("""COMPUTED_VALUE"""),"Batch 284")</f>
        <v>Batch 284</v>
      </c>
      <c r="B5463" s="9" t="str">
        <f>IFERROR(__xludf.DUMMYFUNCTION("""COMPUTED_VALUE"""),"JayaC84")</f>
        <v>JayaC84</v>
      </c>
      <c r="C5463" s="8">
        <f>IFERROR(__xludf.DUMMYFUNCTION("""COMPUTED_VALUE"""),0.0)</f>
        <v>0</v>
      </c>
      <c r="D5463" s="8"/>
    </row>
    <row r="5464">
      <c r="A5464" s="9" t="str">
        <f>IFERROR(__xludf.DUMMYFUNCTION("""COMPUTED_VALUE"""),"Batch 284")</f>
        <v>Batch 284</v>
      </c>
      <c r="B5464" s="9" t="str">
        <f>IFERROR(__xludf.DUMMYFUNCTION("""COMPUTED_VALUE"""),"ShivangiC84")</f>
        <v>ShivangiC84</v>
      </c>
      <c r="C5464" s="8">
        <f>IFERROR(__xludf.DUMMYFUNCTION("""COMPUTED_VALUE"""),0.0)</f>
        <v>0</v>
      </c>
      <c r="D5464" s="8"/>
    </row>
    <row r="5465">
      <c r="A5465" s="9"/>
      <c r="B5465" s="9"/>
      <c r="C5465" s="8">
        <f>IFERROR(__xludf.DUMMYFUNCTION("""COMPUTED_VALUE"""),0.0)</f>
        <v>0</v>
      </c>
      <c r="D5465" s="8"/>
    </row>
    <row r="5466">
      <c r="A5466" s="9" t="str">
        <f>IFERROR(__xludf.DUMMYFUNCTION("""COMPUTED_VALUE"""),"Batch 285")</f>
        <v>Batch 285</v>
      </c>
      <c r="B5466" s="9" t="str">
        <f>IFERROR(__xludf.DUMMYFUNCTION("""COMPUTED_VALUE"""),"NEHAC85")</f>
        <v>NEHAC85</v>
      </c>
      <c r="C5466" s="8">
        <f>IFERROR(__xludf.DUMMYFUNCTION("""COMPUTED_VALUE"""),0.0)</f>
        <v>0</v>
      </c>
      <c r="D5466" s="8"/>
    </row>
    <row r="5467">
      <c r="A5467" s="9" t="str">
        <f>IFERROR(__xludf.DUMMYFUNCTION("""COMPUTED_VALUE"""),"Batch 285")</f>
        <v>Batch 285</v>
      </c>
      <c r="B5467" s="9" t="str">
        <f>IFERROR(__xludf.DUMMYFUNCTION("""COMPUTED_VALUE"""),"KaranC85")</f>
        <v>KaranC85</v>
      </c>
      <c r="C5467" s="8">
        <f>IFERROR(__xludf.DUMMYFUNCTION("""COMPUTED_VALUE"""),0.0)</f>
        <v>0</v>
      </c>
      <c r="D5467" s="8"/>
    </row>
    <row r="5468">
      <c r="A5468" s="9" t="str">
        <f>IFERROR(__xludf.DUMMYFUNCTION("""COMPUTED_VALUE"""),"Batch 285")</f>
        <v>Batch 285</v>
      </c>
      <c r="B5468" s="9" t="str">
        <f>IFERROR(__xludf.DUMMYFUNCTION("""COMPUTED_VALUE"""),"RanuC85")</f>
        <v>RanuC85</v>
      </c>
      <c r="C5468" s="8">
        <f>IFERROR(__xludf.DUMMYFUNCTION("""COMPUTED_VALUE"""),0.0)</f>
        <v>0</v>
      </c>
      <c r="D5468" s="8"/>
    </row>
    <row r="5469">
      <c r="A5469" s="9" t="str">
        <f>IFERROR(__xludf.DUMMYFUNCTION("""COMPUTED_VALUE"""),"Batch 285")</f>
        <v>Batch 285</v>
      </c>
      <c r="B5469" s="9" t="str">
        <f>IFERROR(__xludf.DUMMYFUNCTION("""COMPUTED_VALUE"""),"KaranveerC85")</f>
        <v>KaranveerC85</v>
      </c>
      <c r="C5469" s="8">
        <f>IFERROR(__xludf.DUMMYFUNCTION("""COMPUTED_VALUE"""),0.0)</f>
        <v>0</v>
      </c>
      <c r="D5469" s="8"/>
    </row>
    <row r="5470">
      <c r="A5470" s="9" t="str">
        <f>IFERROR(__xludf.DUMMYFUNCTION("""COMPUTED_VALUE"""),"Batch 285")</f>
        <v>Batch 285</v>
      </c>
      <c r="B5470" s="9" t="str">
        <f>IFERROR(__xludf.DUMMYFUNCTION("""COMPUTED_VALUE"""),"NamlikondaC85")</f>
        <v>NamlikondaC85</v>
      </c>
      <c r="C5470" s="8">
        <f>IFERROR(__xludf.DUMMYFUNCTION("""COMPUTED_VALUE"""),0.0)</f>
        <v>0</v>
      </c>
      <c r="D5470" s="8"/>
    </row>
    <row r="5471">
      <c r="A5471" s="9" t="str">
        <f>IFERROR(__xludf.DUMMYFUNCTION("""COMPUTED_VALUE"""),"Batch 285")</f>
        <v>Batch 285</v>
      </c>
      <c r="B5471" s="9" t="str">
        <f>IFERROR(__xludf.DUMMYFUNCTION("""COMPUTED_VALUE"""),"PriyankaC85")</f>
        <v>PriyankaC85</v>
      </c>
      <c r="C5471" s="8">
        <f>IFERROR(__xludf.DUMMYFUNCTION("""COMPUTED_VALUE"""),0.0)</f>
        <v>0</v>
      </c>
      <c r="D5471" s="8"/>
    </row>
    <row r="5472">
      <c r="A5472" s="9" t="str">
        <f>IFERROR(__xludf.DUMMYFUNCTION("""COMPUTED_VALUE"""),"Batch 285")</f>
        <v>Batch 285</v>
      </c>
      <c r="B5472" s="9" t="str">
        <f>IFERROR(__xludf.DUMMYFUNCTION("""COMPUTED_VALUE"""),"HusainC85")</f>
        <v>HusainC85</v>
      </c>
      <c r="C5472" s="8">
        <f>IFERROR(__xludf.DUMMYFUNCTION("""COMPUTED_VALUE"""),0.0)</f>
        <v>0</v>
      </c>
      <c r="D5472" s="8"/>
    </row>
    <row r="5473">
      <c r="A5473" s="9" t="str">
        <f>IFERROR(__xludf.DUMMYFUNCTION("""COMPUTED_VALUE"""),"Batch 285")</f>
        <v>Batch 285</v>
      </c>
      <c r="B5473" s="9" t="str">
        <f>IFERROR(__xludf.DUMMYFUNCTION("""COMPUTED_VALUE"""),"KhushiC85")</f>
        <v>KhushiC85</v>
      </c>
      <c r="C5473" s="8">
        <f>IFERROR(__xludf.DUMMYFUNCTION("""COMPUTED_VALUE"""),0.0)</f>
        <v>0</v>
      </c>
      <c r="D5473" s="8"/>
    </row>
    <row r="5474">
      <c r="A5474" s="9" t="str">
        <f>IFERROR(__xludf.DUMMYFUNCTION("""COMPUTED_VALUE"""),"Batch 285")</f>
        <v>Batch 285</v>
      </c>
      <c r="B5474" s="9" t="str">
        <f>IFERROR(__xludf.DUMMYFUNCTION("""COMPUTED_VALUE"""),"simranC85")</f>
        <v>simranC85</v>
      </c>
      <c r="C5474" s="8">
        <f>IFERROR(__xludf.DUMMYFUNCTION("""COMPUTED_VALUE"""),0.0)</f>
        <v>0</v>
      </c>
      <c r="D5474" s="8"/>
    </row>
    <row r="5475">
      <c r="A5475" s="9" t="str">
        <f>IFERROR(__xludf.DUMMYFUNCTION("""COMPUTED_VALUE"""),"Batch 285")</f>
        <v>Batch 285</v>
      </c>
      <c r="B5475" s="9" t="str">
        <f>IFERROR(__xludf.DUMMYFUNCTION("""COMPUTED_VALUE"""),"SujalC85")</f>
        <v>SujalC85</v>
      </c>
      <c r="C5475" s="8">
        <f>IFERROR(__xludf.DUMMYFUNCTION("""COMPUTED_VALUE"""),0.0)</f>
        <v>0</v>
      </c>
      <c r="D5475" s="8">
        <f>IFERROR(__xludf.DUMMYFUNCTION("""COMPUTED_VALUE"""),1.0)</f>
        <v>1</v>
      </c>
    </row>
    <row r="5476">
      <c r="A5476" s="9" t="str">
        <f>IFERROR(__xludf.DUMMYFUNCTION("""COMPUTED_VALUE"""),"Batch 285")</f>
        <v>Batch 285</v>
      </c>
      <c r="B5476" s="9" t="str">
        <f>IFERROR(__xludf.DUMMYFUNCTION("""COMPUTED_VALUE"""),"RitikaC85")</f>
        <v>RitikaC85</v>
      </c>
      <c r="C5476" s="8">
        <f>IFERROR(__xludf.DUMMYFUNCTION("""COMPUTED_VALUE"""),0.0)</f>
        <v>0</v>
      </c>
      <c r="D5476" s="8"/>
    </row>
    <row r="5477">
      <c r="A5477" s="9" t="str">
        <f>IFERROR(__xludf.DUMMYFUNCTION("""COMPUTED_VALUE"""),"Batch 285")</f>
        <v>Batch 285</v>
      </c>
      <c r="B5477" s="9" t="str">
        <f>IFERROR(__xludf.DUMMYFUNCTION("""COMPUTED_VALUE"""),"PreetiC85")</f>
        <v>PreetiC85</v>
      </c>
      <c r="C5477" s="8">
        <f>IFERROR(__xludf.DUMMYFUNCTION("""COMPUTED_VALUE"""),0.0)</f>
        <v>0</v>
      </c>
      <c r="D5477" s="8"/>
    </row>
    <row r="5478">
      <c r="A5478" s="9" t="str">
        <f>IFERROR(__xludf.DUMMYFUNCTION("""COMPUTED_VALUE"""),"Batch 285")</f>
        <v>Batch 285</v>
      </c>
      <c r="B5478" s="9" t="str">
        <f>IFERROR(__xludf.DUMMYFUNCTION("""COMPUTED_VALUE"""),"RutujaC85")</f>
        <v>RutujaC85</v>
      </c>
      <c r="C5478" s="8">
        <f>IFERROR(__xludf.DUMMYFUNCTION("""COMPUTED_VALUE"""),0.0)</f>
        <v>0</v>
      </c>
      <c r="D5478" s="8"/>
    </row>
    <row r="5479">
      <c r="A5479" s="9" t="str">
        <f>IFERROR(__xludf.DUMMYFUNCTION("""COMPUTED_VALUE"""),"Batch 285")</f>
        <v>Batch 285</v>
      </c>
      <c r="B5479" s="9" t="str">
        <f>IFERROR(__xludf.DUMMYFUNCTION("""COMPUTED_VALUE"""),"V.AkhilaC85")</f>
        <v>V.AkhilaC85</v>
      </c>
      <c r="C5479" s="8">
        <f>IFERROR(__xludf.DUMMYFUNCTION("""COMPUTED_VALUE"""),0.0)</f>
        <v>0</v>
      </c>
      <c r="D5479" s="8"/>
    </row>
    <row r="5480">
      <c r="A5480" s="9" t="str">
        <f>IFERROR(__xludf.DUMMYFUNCTION("""COMPUTED_VALUE"""),"Batch 285")</f>
        <v>Batch 285</v>
      </c>
      <c r="B5480" s="9" t="str">
        <f>IFERROR(__xludf.DUMMYFUNCTION("""COMPUTED_VALUE"""),"ChandraC85")</f>
        <v>ChandraC85</v>
      </c>
      <c r="C5480" s="8">
        <f>IFERROR(__xludf.DUMMYFUNCTION("""COMPUTED_VALUE"""),0.0)</f>
        <v>0</v>
      </c>
      <c r="D5480" s="8"/>
    </row>
    <row r="5481">
      <c r="A5481" s="9" t="str">
        <f>IFERROR(__xludf.DUMMYFUNCTION("""COMPUTED_VALUE"""),"Batch 285")</f>
        <v>Batch 285</v>
      </c>
      <c r="B5481" s="9" t="str">
        <f>IFERROR(__xludf.DUMMYFUNCTION("""COMPUTED_VALUE"""),"LAKSHYAC85")</f>
        <v>LAKSHYAC85</v>
      </c>
      <c r="C5481" s="8">
        <f>IFERROR(__xludf.DUMMYFUNCTION("""COMPUTED_VALUE"""),0.0)</f>
        <v>0</v>
      </c>
      <c r="D5481" s="8"/>
    </row>
    <row r="5482">
      <c r="A5482" s="9" t="str">
        <f>IFERROR(__xludf.DUMMYFUNCTION("""COMPUTED_VALUE"""),"Batch 285")</f>
        <v>Batch 285</v>
      </c>
      <c r="B5482" s="9" t="str">
        <f>IFERROR(__xludf.DUMMYFUNCTION("""COMPUTED_VALUE"""),"RishipriyaC85")</f>
        <v>RishipriyaC85</v>
      </c>
      <c r="C5482" s="8">
        <f>IFERROR(__xludf.DUMMYFUNCTION("""COMPUTED_VALUE"""),0.0)</f>
        <v>0</v>
      </c>
      <c r="D5482" s="8"/>
    </row>
    <row r="5483">
      <c r="A5483" s="9" t="str">
        <f>IFERROR(__xludf.DUMMYFUNCTION("""COMPUTED_VALUE"""),"Batch 285")</f>
        <v>Batch 285</v>
      </c>
      <c r="B5483" s="9" t="str">
        <f>IFERROR(__xludf.DUMMYFUNCTION("""COMPUTED_VALUE"""),"SuprajaC85")</f>
        <v>SuprajaC85</v>
      </c>
      <c r="C5483" s="8">
        <f>IFERROR(__xludf.DUMMYFUNCTION("""COMPUTED_VALUE"""),0.0)</f>
        <v>0</v>
      </c>
      <c r="D5483" s="8"/>
    </row>
    <row r="5484">
      <c r="A5484" s="9" t="str">
        <f>IFERROR(__xludf.DUMMYFUNCTION("""COMPUTED_VALUE"""),"Batch 285")</f>
        <v>Batch 285</v>
      </c>
      <c r="B5484" s="9" t="str">
        <f>IFERROR(__xludf.DUMMYFUNCTION("""COMPUTED_VALUE"""),"AkankshaCV85")</f>
        <v>AkankshaCV85</v>
      </c>
      <c r="C5484" s="8">
        <f>IFERROR(__xludf.DUMMYFUNCTION("""COMPUTED_VALUE"""),3.0)</f>
        <v>3</v>
      </c>
      <c r="D5484" s="8"/>
    </row>
    <row r="5485">
      <c r="A5485" s="9" t="str">
        <f>IFERROR(__xludf.DUMMYFUNCTION("""COMPUTED_VALUE"""),"Batch 285")</f>
        <v>Batch 285</v>
      </c>
      <c r="B5485" s="9" t="str">
        <f>IFERROR(__xludf.DUMMYFUNCTION("""COMPUTED_VALUE"""),"SOHAMC85")</f>
        <v>SOHAMC85</v>
      </c>
      <c r="C5485" s="8">
        <f>IFERROR(__xludf.DUMMYFUNCTION("""COMPUTED_VALUE"""),0.0)</f>
        <v>0</v>
      </c>
      <c r="D5485" s="8"/>
    </row>
    <row r="5486">
      <c r="A5486" s="9" t="str">
        <f>IFERROR(__xludf.DUMMYFUNCTION("""COMPUTED_VALUE"""),"Batch 285")</f>
        <v>Batch 285</v>
      </c>
      <c r="B5486" s="9" t="str">
        <f>IFERROR(__xludf.DUMMYFUNCTION("""COMPUTED_VALUE"""),"SohamC85")</f>
        <v>SohamC85</v>
      </c>
      <c r="C5486" s="8">
        <f>IFERROR(__xludf.DUMMYFUNCTION("""COMPUTED_VALUE"""),0.0)</f>
        <v>0</v>
      </c>
      <c r="D5486" s="8"/>
    </row>
    <row r="5487">
      <c r="A5487" s="9" t="str">
        <f>IFERROR(__xludf.DUMMYFUNCTION("""COMPUTED_VALUE"""),"Batch 285")</f>
        <v>Batch 285</v>
      </c>
      <c r="B5487" s="9" t="str">
        <f>IFERROR(__xludf.DUMMYFUNCTION("""COMPUTED_VALUE"""),"ArmanC85")</f>
        <v>ArmanC85</v>
      </c>
      <c r="C5487" s="8">
        <f>IFERROR(__xludf.DUMMYFUNCTION("""COMPUTED_VALUE"""),100.0)</f>
        <v>100</v>
      </c>
      <c r="D5487" s="8">
        <f>IFERROR(__xludf.DUMMYFUNCTION("""COMPUTED_VALUE"""),26.0)</f>
        <v>26</v>
      </c>
    </row>
    <row r="5488">
      <c r="A5488" s="9" t="str">
        <f>IFERROR(__xludf.DUMMYFUNCTION("""COMPUTED_VALUE"""),"Batch 285")</f>
        <v>Batch 285</v>
      </c>
      <c r="B5488" s="9" t="str">
        <f>IFERROR(__xludf.DUMMYFUNCTION("""COMPUTED_VALUE"""),"MahakC85")</f>
        <v>MahakC85</v>
      </c>
      <c r="C5488" s="8">
        <f>IFERROR(__xludf.DUMMYFUNCTION("""COMPUTED_VALUE"""),0.0)</f>
        <v>0</v>
      </c>
      <c r="D5488" s="8"/>
    </row>
    <row r="5489">
      <c r="A5489" s="9" t="str">
        <f>IFERROR(__xludf.DUMMYFUNCTION("""COMPUTED_VALUE"""),"Batch 285")</f>
        <v>Batch 285</v>
      </c>
      <c r="B5489" s="9" t="str">
        <f>IFERROR(__xludf.DUMMYFUNCTION("""COMPUTED_VALUE"""),"RisheeC85")</f>
        <v>RisheeC85</v>
      </c>
      <c r="C5489" s="8">
        <f>IFERROR(__xludf.DUMMYFUNCTION("""COMPUTED_VALUE"""),13.0)</f>
        <v>13</v>
      </c>
      <c r="D5489" s="8">
        <f>IFERROR(__xludf.DUMMYFUNCTION("""COMPUTED_VALUE"""),2.0)</f>
        <v>2</v>
      </c>
    </row>
    <row r="5490">
      <c r="A5490" s="9" t="str">
        <f>IFERROR(__xludf.DUMMYFUNCTION("""COMPUTED_VALUE"""),"Batch 285")</f>
        <v>Batch 285</v>
      </c>
      <c r="B5490" s="9" t="str">
        <f>IFERROR(__xludf.DUMMYFUNCTION("""COMPUTED_VALUE"""),"GaneshC85")</f>
        <v>GaneshC85</v>
      </c>
      <c r="C5490" s="8">
        <f>IFERROR(__xludf.DUMMYFUNCTION("""COMPUTED_VALUE"""),0.0)</f>
        <v>0</v>
      </c>
      <c r="D5490" s="8"/>
    </row>
    <row r="5491">
      <c r="A5491" s="9" t="str">
        <f>IFERROR(__xludf.DUMMYFUNCTION("""COMPUTED_VALUE"""),"Batch 285")</f>
        <v>Batch 285</v>
      </c>
      <c r="B5491" s="9" t="str">
        <f>IFERROR(__xludf.DUMMYFUNCTION("""COMPUTED_VALUE"""),"KaranC85")</f>
        <v>KaranC85</v>
      </c>
      <c r="C5491" s="8">
        <f>IFERROR(__xludf.DUMMYFUNCTION("""COMPUTED_VALUE"""),0.0)</f>
        <v>0</v>
      </c>
      <c r="D5491" s="8"/>
    </row>
    <row r="5492">
      <c r="A5492" s="9" t="str">
        <f>IFERROR(__xludf.DUMMYFUNCTION("""COMPUTED_VALUE"""),"Batch 285")</f>
        <v>Batch 285</v>
      </c>
      <c r="B5492" s="9" t="str">
        <f>IFERROR(__xludf.DUMMYFUNCTION("""COMPUTED_VALUE"""),"AkshyaC85")</f>
        <v>AkshyaC85</v>
      </c>
      <c r="C5492" s="8">
        <f>IFERROR(__xludf.DUMMYFUNCTION("""COMPUTED_VALUE"""),0.0)</f>
        <v>0</v>
      </c>
      <c r="D5492" s="8"/>
    </row>
    <row r="5493">
      <c r="A5493" s="9" t="str">
        <f>IFERROR(__xludf.DUMMYFUNCTION("""COMPUTED_VALUE"""),"Batch 285")</f>
        <v>Batch 285</v>
      </c>
      <c r="B5493" s="9" t="str">
        <f>IFERROR(__xludf.DUMMYFUNCTION("""COMPUTED_VALUE"""),"GargiC85")</f>
        <v>GargiC85</v>
      </c>
      <c r="C5493" s="8">
        <f>IFERROR(__xludf.DUMMYFUNCTION("""COMPUTED_VALUE"""),0.0)</f>
        <v>0</v>
      </c>
      <c r="D5493" s="8"/>
    </row>
    <row r="5494">
      <c r="A5494" s="9" t="str">
        <f>IFERROR(__xludf.DUMMYFUNCTION("""COMPUTED_VALUE"""),"Batch 285")</f>
        <v>Batch 285</v>
      </c>
      <c r="B5494" s="9" t="str">
        <f>IFERROR(__xludf.DUMMYFUNCTION("""COMPUTED_VALUE"""),"AKANKSHAC85")</f>
        <v>AKANKSHAC85</v>
      </c>
      <c r="C5494" s="8">
        <f>IFERROR(__xludf.DUMMYFUNCTION("""COMPUTED_VALUE"""),0.0)</f>
        <v>0</v>
      </c>
      <c r="D5494" s="8">
        <f>IFERROR(__xludf.DUMMYFUNCTION("""COMPUTED_VALUE"""),1.0)</f>
        <v>1</v>
      </c>
    </row>
    <row r="5495">
      <c r="A5495" s="9" t="str">
        <f>IFERROR(__xludf.DUMMYFUNCTION("""COMPUTED_VALUE"""),"Batch 285")</f>
        <v>Batch 285</v>
      </c>
      <c r="B5495" s="9" t="str">
        <f>IFERROR(__xludf.DUMMYFUNCTION("""COMPUTED_VALUE"""),"PoojaCS85")</f>
        <v>PoojaCS85</v>
      </c>
      <c r="C5495" s="8">
        <f>IFERROR(__xludf.DUMMYFUNCTION("""COMPUTED_VALUE"""),1.0)</f>
        <v>1</v>
      </c>
      <c r="D5495" s="8"/>
    </row>
    <row r="5496">
      <c r="A5496" s="9" t="str">
        <f>IFERROR(__xludf.DUMMYFUNCTION("""COMPUTED_VALUE"""),"Batch 285")</f>
        <v>Batch 285</v>
      </c>
      <c r="B5496" s="9" t="str">
        <f>IFERROR(__xludf.DUMMYFUNCTION("""COMPUTED_VALUE"""),"PoojaC85")</f>
        <v>PoojaC85</v>
      </c>
      <c r="C5496" s="8">
        <f>IFERROR(__xludf.DUMMYFUNCTION("""COMPUTED_VALUE"""),1.0)</f>
        <v>1</v>
      </c>
      <c r="D5496" s="8"/>
    </row>
    <row r="5497">
      <c r="A5497" s="9" t="str">
        <f>IFERROR(__xludf.DUMMYFUNCTION("""COMPUTED_VALUE"""),"Batch 285")</f>
        <v>Batch 285</v>
      </c>
      <c r="B5497" s="9" t="str">
        <f>IFERROR(__xludf.DUMMYFUNCTION("""COMPUTED_VALUE"""),"SaidattaC85")</f>
        <v>SaidattaC85</v>
      </c>
      <c r="C5497" s="8">
        <f>IFERROR(__xludf.DUMMYFUNCTION("""COMPUTED_VALUE"""),0.0)</f>
        <v>0</v>
      </c>
      <c r="D5497" s="8"/>
    </row>
    <row r="5498">
      <c r="A5498" s="9" t="str">
        <f>IFERROR(__xludf.DUMMYFUNCTION("""COMPUTED_VALUE"""),"Batch 285")</f>
        <v>Batch 285</v>
      </c>
      <c r="B5498" s="9" t="str">
        <f>IFERROR(__xludf.DUMMYFUNCTION("""COMPUTED_VALUE"""),"DARJADAC85")</f>
        <v>DARJADAC85</v>
      </c>
      <c r="C5498" s="8">
        <f>IFERROR(__xludf.DUMMYFUNCTION("""COMPUTED_VALUE"""),0.0)</f>
        <v>0</v>
      </c>
      <c r="D5498" s="8">
        <f>IFERROR(__xludf.DUMMYFUNCTION("""COMPUTED_VALUE"""),13.0)</f>
        <v>13</v>
      </c>
    </row>
    <row r="5499">
      <c r="A5499" s="9" t="str">
        <f>IFERROR(__xludf.DUMMYFUNCTION("""COMPUTED_VALUE"""),"Batch 285")</f>
        <v>Batch 285</v>
      </c>
      <c r="B5499" s="9" t="str">
        <f>IFERROR(__xludf.DUMMYFUNCTION("""COMPUTED_VALUE"""),"JayaC85")</f>
        <v>JayaC85</v>
      </c>
      <c r="C5499" s="8">
        <f>IFERROR(__xludf.DUMMYFUNCTION("""COMPUTED_VALUE"""),0.0)</f>
        <v>0</v>
      </c>
      <c r="D5499" s="8"/>
    </row>
    <row r="5500">
      <c r="A5500" s="9" t="str">
        <f>IFERROR(__xludf.DUMMYFUNCTION("""COMPUTED_VALUE"""),"Batch 285")</f>
        <v>Batch 285</v>
      </c>
      <c r="B5500" s="9" t="str">
        <f>IFERROR(__xludf.DUMMYFUNCTION("""COMPUTED_VALUE"""),"GargiC85")</f>
        <v>GargiC85</v>
      </c>
      <c r="C5500" s="8"/>
      <c r="D5500" s="8"/>
    </row>
    <row r="5501">
      <c r="A5501" s="9" t="str">
        <f>IFERROR(__xludf.DUMMYFUNCTION("""COMPUTED_VALUE"""),"Batch 285")</f>
        <v>Batch 285</v>
      </c>
      <c r="B5501" s="9" t="str">
        <f>IFERROR(__xludf.DUMMYFUNCTION("""COMPUTED_VALUE"""),"ApooravC85")</f>
        <v>ApooravC85</v>
      </c>
      <c r="C5501" s="8">
        <f>IFERROR(__xludf.DUMMYFUNCTION("""COMPUTED_VALUE"""),3.0)</f>
        <v>3</v>
      </c>
      <c r="D5501" s="8">
        <f>IFERROR(__xludf.DUMMYFUNCTION("""COMPUTED_VALUE"""),1.0)</f>
        <v>1</v>
      </c>
    </row>
    <row r="5502">
      <c r="A5502" s="9"/>
      <c r="B5502" s="9"/>
      <c r="C5502" s="8"/>
      <c r="D5502" s="8"/>
    </row>
    <row r="5503">
      <c r="A5503" s="9" t="str">
        <f>IFERROR(__xludf.DUMMYFUNCTION("""COMPUTED_VALUE"""),"Batch 286")</f>
        <v>Batch 286</v>
      </c>
      <c r="B5503" s="9" t="str">
        <f>IFERROR(__xludf.DUMMYFUNCTION("""COMPUTED_VALUE"""),"PabitroC86")</f>
        <v>PabitroC86</v>
      </c>
      <c r="C5503" s="8">
        <f>IFERROR(__xludf.DUMMYFUNCTION("""COMPUTED_VALUE"""),0.0)</f>
        <v>0</v>
      </c>
      <c r="D5503" s="8"/>
    </row>
    <row r="5504">
      <c r="A5504" s="9" t="str">
        <f>IFERROR(__xludf.DUMMYFUNCTION("""COMPUTED_VALUE"""),"Batch 286")</f>
        <v>Batch 286</v>
      </c>
      <c r="B5504" s="9" t="str">
        <f>IFERROR(__xludf.DUMMYFUNCTION("""COMPUTED_VALUE"""),"AbhinC86")</f>
        <v>AbhinC86</v>
      </c>
      <c r="C5504" s="8">
        <f>IFERROR(__xludf.DUMMYFUNCTION("""COMPUTED_VALUE"""),0.0)</f>
        <v>0</v>
      </c>
      <c r="D5504" s="8"/>
    </row>
    <row r="5505">
      <c r="A5505" s="9" t="str">
        <f>IFERROR(__xludf.DUMMYFUNCTION("""COMPUTED_VALUE"""),"Batch 286")</f>
        <v>Batch 286</v>
      </c>
      <c r="B5505" s="9" t="str">
        <f>IFERROR(__xludf.DUMMYFUNCTION("""COMPUTED_VALUE"""),"BHAGYASHRIC86")</f>
        <v>BHAGYASHRIC86</v>
      </c>
      <c r="C5505" s="8">
        <f>IFERROR(__xludf.DUMMYFUNCTION("""COMPUTED_VALUE"""),0.0)</f>
        <v>0</v>
      </c>
      <c r="D5505" s="8"/>
    </row>
    <row r="5506">
      <c r="A5506" s="9" t="str">
        <f>IFERROR(__xludf.DUMMYFUNCTION("""COMPUTED_VALUE"""),"Batch 286")</f>
        <v>Batch 286</v>
      </c>
      <c r="B5506" s="9" t="str">
        <f>IFERROR(__xludf.DUMMYFUNCTION("""COMPUTED_VALUE"""),"AnjaliC86")</f>
        <v>AnjaliC86</v>
      </c>
      <c r="C5506" s="8">
        <f>IFERROR(__xludf.DUMMYFUNCTION("""COMPUTED_VALUE"""),0.0)</f>
        <v>0</v>
      </c>
      <c r="D5506" s="8"/>
    </row>
    <row r="5507">
      <c r="A5507" s="9" t="str">
        <f>IFERROR(__xludf.DUMMYFUNCTION("""COMPUTED_VALUE"""),"Batch 286")</f>
        <v>Batch 286</v>
      </c>
      <c r="B5507" s="9" t="str">
        <f>IFERROR(__xludf.DUMMYFUNCTION("""COMPUTED_VALUE"""),"SaanjhC86")</f>
        <v>SaanjhC86</v>
      </c>
      <c r="C5507" s="8">
        <f>IFERROR(__xludf.DUMMYFUNCTION("""COMPUTED_VALUE"""),0.0)</f>
        <v>0</v>
      </c>
      <c r="D5507" s="8"/>
    </row>
    <row r="5508">
      <c r="A5508" s="9" t="str">
        <f>IFERROR(__xludf.DUMMYFUNCTION("""COMPUTED_VALUE"""),"Batch 286")</f>
        <v>Batch 286</v>
      </c>
      <c r="B5508" s="9" t="str">
        <f>IFERROR(__xludf.DUMMYFUNCTION("""COMPUTED_VALUE"""),"RanavenaC86")</f>
        <v>RanavenaC86</v>
      </c>
      <c r="C5508" s="8">
        <f>IFERROR(__xludf.DUMMYFUNCTION("""COMPUTED_VALUE"""),0.0)</f>
        <v>0</v>
      </c>
      <c r="D5508" s="8"/>
    </row>
    <row r="5509">
      <c r="A5509" s="9" t="str">
        <f>IFERROR(__xludf.DUMMYFUNCTION("""COMPUTED_VALUE"""),"Batch 286")</f>
        <v>Batch 286</v>
      </c>
      <c r="B5509" s="9" t="str">
        <f>IFERROR(__xludf.DUMMYFUNCTION("""COMPUTED_VALUE"""),"YashikaC86")</f>
        <v>YashikaC86</v>
      </c>
      <c r="C5509" s="8">
        <f>IFERROR(__xludf.DUMMYFUNCTION("""COMPUTED_VALUE"""),0.0)</f>
        <v>0</v>
      </c>
      <c r="D5509" s="8"/>
    </row>
    <row r="5510">
      <c r="A5510" s="9" t="str">
        <f>IFERROR(__xludf.DUMMYFUNCTION("""COMPUTED_VALUE"""),"Batch 286")</f>
        <v>Batch 286</v>
      </c>
      <c r="B5510" s="9" t="str">
        <f>IFERROR(__xludf.DUMMYFUNCTION("""COMPUTED_VALUE"""),"MishtyC86")</f>
        <v>MishtyC86</v>
      </c>
      <c r="C5510" s="8">
        <f>IFERROR(__xludf.DUMMYFUNCTION("""COMPUTED_VALUE"""),0.0)</f>
        <v>0</v>
      </c>
      <c r="D5510" s="8"/>
    </row>
    <row r="5511">
      <c r="A5511" s="9" t="str">
        <f>IFERROR(__xludf.DUMMYFUNCTION("""COMPUTED_VALUE"""),"Batch 286")</f>
        <v>Batch 286</v>
      </c>
      <c r="B5511" s="9" t="str">
        <f>IFERROR(__xludf.DUMMYFUNCTION("""COMPUTED_VALUE"""),"THASLEEMAC86")</f>
        <v>THASLEEMAC86</v>
      </c>
      <c r="C5511" s="8">
        <f>IFERROR(__xludf.DUMMYFUNCTION("""COMPUTED_VALUE"""),0.0)</f>
        <v>0</v>
      </c>
      <c r="D5511" s="8"/>
    </row>
    <row r="5512">
      <c r="A5512" s="9" t="str">
        <f>IFERROR(__xludf.DUMMYFUNCTION("""COMPUTED_VALUE"""),"Batch 286")</f>
        <v>Batch 286</v>
      </c>
      <c r="B5512" s="9" t="str">
        <f>IFERROR(__xludf.DUMMYFUNCTION("""COMPUTED_VALUE"""),"DhruvC86")</f>
        <v>DhruvC86</v>
      </c>
      <c r="C5512" s="8">
        <f>IFERROR(__xludf.DUMMYFUNCTION("""COMPUTED_VALUE"""),0.0)</f>
        <v>0</v>
      </c>
      <c r="D5512" s="8"/>
    </row>
    <row r="5513">
      <c r="A5513" s="9" t="str">
        <f>IFERROR(__xludf.DUMMYFUNCTION("""COMPUTED_VALUE"""),"Batch 286")</f>
        <v>Batch 286</v>
      </c>
      <c r="B5513" s="9" t="str">
        <f>IFERROR(__xludf.DUMMYFUNCTION("""COMPUTED_VALUE"""),"JanviC86")</f>
        <v>JanviC86</v>
      </c>
      <c r="C5513" s="8">
        <f>IFERROR(__xludf.DUMMYFUNCTION("""COMPUTED_VALUE"""),0.0)</f>
        <v>0</v>
      </c>
      <c r="D5513" s="8"/>
    </row>
    <row r="5514">
      <c r="A5514" s="9" t="str">
        <f>IFERROR(__xludf.DUMMYFUNCTION("""COMPUTED_VALUE"""),"Batch 286")</f>
        <v>Batch 286</v>
      </c>
      <c r="B5514" s="9" t="str">
        <f>IFERROR(__xludf.DUMMYFUNCTION("""COMPUTED_VALUE"""),"AryaC86")</f>
        <v>AryaC86</v>
      </c>
      <c r="C5514" s="8">
        <f>IFERROR(__xludf.DUMMYFUNCTION("""COMPUTED_VALUE"""),0.0)</f>
        <v>0</v>
      </c>
      <c r="D5514" s="8"/>
    </row>
    <row r="5515">
      <c r="A5515" s="9" t="str">
        <f>IFERROR(__xludf.DUMMYFUNCTION("""COMPUTED_VALUE"""),"Batch 286")</f>
        <v>Batch 286</v>
      </c>
      <c r="B5515" s="9" t="str">
        <f>IFERROR(__xludf.DUMMYFUNCTION("""COMPUTED_VALUE"""),"PrarthnaC86")</f>
        <v>PrarthnaC86</v>
      </c>
      <c r="C5515" s="8">
        <f>IFERROR(__xludf.DUMMYFUNCTION("""COMPUTED_VALUE"""),0.0)</f>
        <v>0</v>
      </c>
      <c r="D5515" s="8"/>
    </row>
    <row r="5516">
      <c r="A5516" s="9" t="str">
        <f>IFERROR(__xludf.DUMMYFUNCTION("""COMPUTED_VALUE"""),"Batch 286")</f>
        <v>Batch 286</v>
      </c>
      <c r="B5516" s="9" t="str">
        <f>IFERROR(__xludf.DUMMYFUNCTION("""COMPUTED_VALUE"""),"SnehaC86")</f>
        <v>SnehaC86</v>
      </c>
      <c r="C5516" s="8">
        <f>IFERROR(__xludf.DUMMYFUNCTION("""COMPUTED_VALUE"""),0.0)</f>
        <v>0</v>
      </c>
      <c r="D5516" s="8"/>
    </row>
    <row r="5517">
      <c r="A5517" s="9" t="str">
        <f>IFERROR(__xludf.DUMMYFUNCTION("""COMPUTED_VALUE"""),"Batch 286")</f>
        <v>Batch 286</v>
      </c>
      <c r="B5517" s="9" t="str">
        <f>IFERROR(__xludf.DUMMYFUNCTION("""COMPUTED_VALUE"""),"GaneshC86")</f>
        <v>GaneshC86</v>
      </c>
      <c r="C5517" s="8">
        <f>IFERROR(__xludf.DUMMYFUNCTION("""COMPUTED_VALUE"""),0.0)</f>
        <v>0</v>
      </c>
      <c r="D5517" s="8"/>
    </row>
    <row r="5518">
      <c r="A5518" s="9" t="str">
        <f>IFERROR(__xludf.DUMMYFUNCTION("""COMPUTED_VALUE"""),"Batch 286")</f>
        <v>Batch 286</v>
      </c>
      <c r="B5518" s="9" t="str">
        <f>IFERROR(__xludf.DUMMYFUNCTION("""COMPUTED_VALUE"""),"ShivaniC86")</f>
        <v>ShivaniC86</v>
      </c>
      <c r="C5518" s="8">
        <f>IFERROR(__xludf.DUMMYFUNCTION("""COMPUTED_VALUE"""),0.0)</f>
        <v>0</v>
      </c>
      <c r="D5518" s="8"/>
    </row>
    <row r="5519">
      <c r="A5519" s="9" t="str">
        <f>IFERROR(__xludf.DUMMYFUNCTION("""COMPUTED_VALUE"""),"Batch 286")</f>
        <v>Batch 286</v>
      </c>
      <c r="B5519" s="9" t="str">
        <f>IFERROR(__xludf.DUMMYFUNCTION("""COMPUTED_VALUE"""),"DHARMANAC86")</f>
        <v>DHARMANAC86</v>
      </c>
      <c r="C5519" s="8">
        <f>IFERROR(__xludf.DUMMYFUNCTION("""COMPUTED_VALUE"""),0.0)</f>
        <v>0</v>
      </c>
      <c r="D5519" s="8"/>
    </row>
    <row r="5520">
      <c r="A5520" s="9" t="str">
        <f>IFERROR(__xludf.DUMMYFUNCTION("""COMPUTED_VALUE"""),"Batch 286")</f>
        <v>Batch 286</v>
      </c>
      <c r="B5520" s="9" t="str">
        <f>IFERROR(__xludf.DUMMYFUNCTION("""COMPUTED_VALUE"""),"JYOTHISHC86")</f>
        <v>JYOTHISHC86</v>
      </c>
      <c r="C5520" s="8">
        <f>IFERROR(__xludf.DUMMYFUNCTION("""COMPUTED_VALUE"""),0.0)</f>
        <v>0</v>
      </c>
      <c r="D5520" s="8"/>
    </row>
    <row r="5521">
      <c r="A5521" s="9" t="str">
        <f>IFERROR(__xludf.DUMMYFUNCTION("""COMPUTED_VALUE"""),"Batch 286")</f>
        <v>Batch 286</v>
      </c>
      <c r="B5521" s="9" t="str">
        <f>IFERROR(__xludf.DUMMYFUNCTION("""COMPUTED_VALUE"""),"SiddharthC86")</f>
        <v>SiddharthC86</v>
      </c>
      <c r="C5521" s="8">
        <f>IFERROR(__xludf.DUMMYFUNCTION("""COMPUTED_VALUE"""),0.0)</f>
        <v>0</v>
      </c>
      <c r="D5521" s="8"/>
    </row>
    <row r="5522">
      <c r="A5522" s="9" t="str">
        <f>IFERROR(__xludf.DUMMYFUNCTION("""COMPUTED_VALUE"""),"Batch 286")</f>
        <v>Batch 286</v>
      </c>
      <c r="B5522" s="9" t="str">
        <f>IFERROR(__xludf.DUMMYFUNCTION("""COMPUTED_VALUE"""),"RahulJC86")</f>
        <v>RahulJC86</v>
      </c>
      <c r="C5522" s="8">
        <f>IFERROR(__xludf.DUMMYFUNCTION("""COMPUTED_VALUE"""),0.0)</f>
        <v>0</v>
      </c>
      <c r="D5522" s="8"/>
    </row>
    <row r="5523">
      <c r="A5523" s="9" t="str">
        <f>IFERROR(__xludf.DUMMYFUNCTION("""COMPUTED_VALUE"""),"Batch 286")</f>
        <v>Batch 286</v>
      </c>
      <c r="B5523" s="9" t="str">
        <f>IFERROR(__xludf.DUMMYFUNCTION("""COMPUTED_VALUE"""),"PragyaC86")</f>
        <v>PragyaC86</v>
      </c>
      <c r="C5523" s="8">
        <f>IFERROR(__xludf.DUMMYFUNCTION("""COMPUTED_VALUE"""),0.0)</f>
        <v>0</v>
      </c>
      <c r="D5523" s="8"/>
    </row>
    <row r="5524">
      <c r="A5524" s="9" t="str">
        <f>IFERROR(__xludf.DUMMYFUNCTION("""COMPUTED_VALUE"""),"Batch 286")</f>
        <v>Batch 286</v>
      </c>
      <c r="B5524" s="9" t="str">
        <f>IFERROR(__xludf.DUMMYFUNCTION("""COMPUTED_VALUE"""),"RahulC86")</f>
        <v>RahulC86</v>
      </c>
      <c r="C5524" s="8">
        <f>IFERROR(__xludf.DUMMYFUNCTION("""COMPUTED_VALUE"""),0.0)</f>
        <v>0</v>
      </c>
      <c r="D5524" s="8"/>
    </row>
    <row r="5525">
      <c r="A5525" s="9" t="str">
        <f>IFERROR(__xludf.DUMMYFUNCTION("""COMPUTED_VALUE"""),"Batch 286")</f>
        <v>Batch 286</v>
      </c>
      <c r="B5525" s="9" t="str">
        <f>IFERROR(__xludf.DUMMYFUNCTION("""COMPUTED_VALUE"""),"MangalC86")</f>
        <v>MangalC86</v>
      </c>
      <c r="C5525" s="8">
        <f>IFERROR(__xludf.DUMMYFUNCTION("""COMPUTED_VALUE"""),0.0)</f>
        <v>0</v>
      </c>
      <c r="D5525" s="8"/>
    </row>
    <row r="5526">
      <c r="A5526" s="9" t="str">
        <f>IFERROR(__xludf.DUMMYFUNCTION("""COMPUTED_VALUE"""),"Batch 286")</f>
        <v>Batch 286</v>
      </c>
      <c r="B5526" s="9" t="str">
        <f>IFERROR(__xludf.DUMMYFUNCTION("""COMPUTED_VALUE"""),"ASTHAC86")</f>
        <v>ASTHAC86</v>
      </c>
      <c r="C5526" s="8">
        <f>IFERROR(__xludf.DUMMYFUNCTION("""COMPUTED_VALUE"""),0.0)</f>
        <v>0</v>
      </c>
      <c r="D5526" s="8"/>
    </row>
    <row r="5527">
      <c r="A5527" s="9" t="str">
        <f>IFERROR(__xludf.DUMMYFUNCTION("""COMPUTED_VALUE"""),"Batch 286")</f>
        <v>Batch 286</v>
      </c>
      <c r="B5527" s="9" t="str">
        <f>IFERROR(__xludf.DUMMYFUNCTION("""COMPUTED_VALUE"""),"AnshkumarC86")</f>
        <v>AnshkumarC86</v>
      </c>
      <c r="C5527" s="8">
        <f>IFERROR(__xludf.DUMMYFUNCTION("""COMPUTED_VALUE"""),29.0)</f>
        <v>29</v>
      </c>
      <c r="D5527" s="8">
        <f>IFERROR(__xludf.DUMMYFUNCTION("""COMPUTED_VALUE"""),13.0)</f>
        <v>13</v>
      </c>
    </row>
    <row r="5528">
      <c r="A5528" s="9" t="str">
        <f>IFERROR(__xludf.DUMMYFUNCTION("""COMPUTED_VALUE"""),"Batch 286")</f>
        <v>Batch 286</v>
      </c>
      <c r="B5528" s="9" t="str">
        <f>IFERROR(__xludf.DUMMYFUNCTION("""COMPUTED_VALUE"""),"PragyaC86")</f>
        <v>PragyaC86</v>
      </c>
      <c r="C5528" s="8">
        <f>IFERROR(__xludf.DUMMYFUNCTION("""COMPUTED_VALUE"""),0.0)</f>
        <v>0</v>
      </c>
      <c r="D5528" s="8"/>
    </row>
    <row r="5529">
      <c r="A5529" s="9" t="str">
        <f>IFERROR(__xludf.DUMMYFUNCTION("""COMPUTED_VALUE"""),"Batch 286")</f>
        <v>Batch 286</v>
      </c>
      <c r="B5529" s="9" t="str">
        <f>IFERROR(__xludf.DUMMYFUNCTION("""COMPUTED_VALUE"""),"AkshatC86")</f>
        <v>AkshatC86</v>
      </c>
      <c r="C5529" s="8">
        <f>IFERROR(__xludf.DUMMYFUNCTION("""COMPUTED_VALUE"""),1.0)</f>
        <v>1</v>
      </c>
      <c r="D5529" s="8"/>
    </row>
    <row r="5530">
      <c r="A5530" s="9" t="str">
        <f>IFERROR(__xludf.DUMMYFUNCTION("""COMPUTED_VALUE"""),"Batch 286")</f>
        <v>Batch 286</v>
      </c>
      <c r="B5530" s="9" t="str">
        <f>IFERROR(__xludf.DUMMYFUNCTION("""COMPUTED_VALUE"""),"AkankshaC86")</f>
        <v>AkankshaC86</v>
      </c>
      <c r="C5530" s="8">
        <f>IFERROR(__xludf.DUMMYFUNCTION("""COMPUTED_VALUE"""),0.0)</f>
        <v>0</v>
      </c>
      <c r="D5530" s="8"/>
    </row>
    <row r="5531">
      <c r="A5531" s="9" t="str">
        <f>IFERROR(__xludf.DUMMYFUNCTION("""COMPUTED_VALUE"""),"Batch 286")</f>
        <v>Batch 286</v>
      </c>
      <c r="B5531" s="9" t="str">
        <f>IFERROR(__xludf.DUMMYFUNCTION("""COMPUTED_VALUE"""),"RemgisC86")</f>
        <v>RemgisC86</v>
      </c>
      <c r="C5531" s="8">
        <f>IFERROR(__xludf.DUMMYFUNCTION("""COMPUTED_VALUE"""),0.0)</f>
        <v>0</v>
      </c>
      <c r="D5531" s="8"/>
    </row>
    <row r="5532">
      <c r="A5532" s="9" t="str">
        <f>IFERROR(__xludf.DUMMYFUNCTION("""COMPUTED_VALUE"""),"Batch 286")</f>
        <v>Batch 286</v>
      </c>
      <c r="B5532" s="9" t="str">
        <f>IFERROR(__xludf.DUMMYFUNCTION("""COMPUTED_VALUE"""),"GeetanjaliC86")</f>
        <v>GeetanjaliC86</v>
      </c>
      <c r="C5532" s="8">
        <f>IFERROR(__xludf.DUMMYFUNCTION("""COMPUTED_VALUE"""),0.0)</f>
        <v>0</v>
      </c>
      <c r="D5532" s="8"/>
    </row>
    <row r="5533">
      <c r="A5533" s="9" t="str">
        <f>IFERROR(__xludf.DUMMYFUNCTION("""COMPUTED_VALUE"""),"Batch 286")</f>
        <v>Batch 286</v>
      </c>
      <c r="B5533" s="9" t="str">
        <f>IFERROR(__xludf.DUMMYFUNCTION("""COMPUTED_VALUE"""),"RonakC86")</f>
        <v>RonakC86</v>
      </c>
      <c r="C5533" s="8">
        <f>IFERROR(__xludf.DUMMYFUNCTION("""COMPUTED_VALUE"""),0.0)</f>
        <v>0</v>
      </c>
      <c r="D5533" s="8"/>
    </row>
    <row r="5534">
      <c r="A5534" s="9" t="str">
        <f>IFERROR(__xludf.DUMMYFUNCTION("""COMPUTED_VALUE"""),"Batch 286")</f>
        <v>Batch 286</v>
      </c>
      <c r="B5534" s="9" t="str">
        <f>IFERROR(__xludf.DUMMYFUNCTION("""COMPUTED_VALUE"""),"MohammadC86")</f>
        <v>MohammadC86</v>
      </c>
      <c r="C5534" s="8">
        <f>IFERROR(__xludf.DUMMYFUNCTION("""COMPUTED_VALUE"""),0.0)</f>
        <v>0</v>
      </c>
      <c r="D5534" s="8"/>
    </row>
    <row r="5535">
      <c r="A5535" s="9" t="str">
        <f>IFERROR(__xludf.DUMMYFUNCTION("""COMPUTED_VALUE"""),"Batch 286")</f>
        <v>Batch 286</v>
      </c>
      <c r="B5535" s="9" t="str">
        <f>IFERROR(__xludf.DUMMYFUNCTION("""COMPUTED_VALUE"""),"PranitaC86")</f>
        <v>PranitaC86</v>
      </c>
      <c r="C5535" s="8">
        <f>IFERROR(__xludf.DUMMYFUNCTION("""COMPUTED_VALUE"""),0.0)</f>
        <v>0</v>
      </c>
      <c r="D5535" s="8"/>
    </row>
    <row r="5536">
      <c r="A5536" s="9" t="str">
        <f>IFERROR(__xludf.DUMMYFUNCTION("""COMPUTED_VALUE"""),"Batch 286")</f>
        <v>Batch 286</v>
      </c>
      <c r="B5536" s="9" t="str">
        <f>IFERROR(__xludf.DUMMYFUNCTION("""COMPUTED_VALUE"""),"PrachiC86")</f>
        <v>PrachiC86</v>
      </c>
      <c r="C5536" s="8">
        <f>IFERROR(__xludf.DUMMYFUNCTION("""COMPUTED_VALUE"""),0.0)</f>
        <v>0</v>
      </c>
      <c r="D5536" s="8"/>
    </row>
    <row r="5537">
      <c r="A5537" s="9" t="str">
        <f>IFERROR(__xludf.DUMMYFUNCTION("""COMPUTED_VALUE"""),"Batch 286")</f>
        <v>Batch 286</v>
      </c>
      <c r="B5537" s="9" t="str">
        <f>IFERROR(__xludf.DUMMYFUNCTION("""COMPUTED_VALUE"""),"PRAGATIC86")</f>
        <v>PRAGATIC86</v>
      </c>
      <c r="C5537" s="8">
        <f>IFERROR(__xludf.DUMMYFUNCTION("""COMPUTED_VALUE"""),0.0)</f>
        <v>0</v>
      </c>
      <c r="D5537" s="8"/>
    </row>
    <row r="5538">
      <c r="A5538" s="9" t="str">
        <f>IFERROR(__xludf.DUMMYFUNCTION("""COMPUTED_VALUE"""),"Batch 286")</f>
        <v>Batch 286</v>
      </c>
      <c r="B5538" s="9" t="str">
        <f>IFERROR(__xludf.DUMMYFUNCTION("""COMPUTED_VALUE"""),"AyushC86")</f>
        <v>AyushC86</v>
      </c>
      <c r="C5538" s="8">
        <f>IFERROR(__xludf.DUMMYFUNCTION("""COMPUTED_VALUE"""),0.0)</f>
        <v>0</v>
      </c>
      <c r="D5538" s="8"/>
    </row>
    <row r="5539">
      <c r="A5539" s="9" t="str">
        <f>IFERROR(__xludf.DUMMYFUNCTION("""COMPUTED_VALUE"""),"Batch 286")</f>
        <v>Batch 286</v>
      </c>
      <c r="B5539" s="9" t="str">
        <f>IFERROR(__xludf.DUMMYFUNCTION("""COMPUTED_VALUE"""),"NamanC86")</f>
        <v>NamanC86</v>
      </c>
      <c r="C5539" s="8">
        <f>IFERROR(__xludf.DUMMYFUNCTION("""COMPUTED_VALUE"""),0.0)</f>
        <v>0</v>
      </c>
      <c r="D5539" s="8"/>
    </row>
    <row r="5540">
      <c r="A5540" s="9" t="str">
        <f>IFERROR(__xludf.DUMMYFUNCTION("""COMPUTED_VALUE"""),"Batch 286")</f>
        <v>Batch 286</v>
      </c>
      <c r="B5540" s="9" t="str">
        <f>IFERROR(__xludf.DUMMYFUNCTION("""COMPUTED_VALUE"""),"SakshiC86")</f>
        <v>SakshiC86</v>
      </c>
      <c r="C5540" s="8">
        <f>IFERROR(__xludf.DUMMYFUNCTION("""COMPUTED_VALUE"""),0.0)</f>
        <v>0</v>
      </c>
      <c r="D5540" s="8"/>
    </row>
    <row r="5541">
      <c r="A5541" s="9" t="str">
        <f>IFERROR(__xludf.DUMMYFUNCTION("""COMPUTED_VALUE"""),"Batch 286")</f>
        <v>Batch 286</v>
      </c>
      <c r="B5541" s="9" t="str">
        <f>IFERROR(__xludf.DUMMYFUNCTION("""COMPUTED_VALUE"""),"MuskanC86")</f>
        <v>MuskanC86</v>
      </c>
      <c r="C5541" s="8">
        <f>IFERROR(__xludf.DUMMYFUNCTION("""COMPUTED_VALUE"""),0.0)</f>
        <v>0</v>
      </c>
      <c r="D5541" s="8"/>
    </row>
    <row r="5542">
      <c r="A5542" s="9" t="str">
        <f>IFERROR(__xludf.DUMMYFUNCTION("""COMPUTED_VALUE"""),"Batch 286")</f>
        <v>Batch 286</v>
      </c>
      <c r="B5542" s="9" t="str">
        <f>IFERROR(__xludf.DUMMYFUNCTION("""COMPUTED_VALUE"""),"MDC86")</f>
        <v>MDC86</v>
      </c>
      <c r="C5542" s="8">
        <f>IFERROR(__xludf.DUMMYFUNCTION("""COMPUTED_VALUE"""),0.0)</f>
        <v>0</v>
      </c>
      <c r="D5542" s="8"/>
    </row>
    <row r="5543">
      <c r="A5543" s="9" t="str">
        <f>IFERROR(__xludf.DUMMYFUNCTION("""COMPUTED_VALUE"""),"Batch 286")</f>
        <v>Batch 286</v>
      </c>
      <c r="B5543" s="9" t="str">
        <f>IFERROR(__xludf.DUMMYFUNCTION("""COMPUTED_VALUE"""),"garimabajajC86")</f>
        <v>garimabajajC86</v>
      </c>
      <c r="C5543" s="8">
        <f>IFERROR(__xludf.DUMMYFUNCTION("""COMPUTED_VALUE"""),0.0)</f>
        <v>0</v>
      </c>
      <c r="D5543" s="8"/>
    </row>
    <row r="5544">
      <c r="A5544" s="9" t="str">
        <f>IFERROR(__xludf.DUMMYFUNCTION("""COMPUTED_VALUE"""),"Batch 286")</f>
        <v>Batch 286</v>
      </c>
      <c r="B5544" s="9" t="str">
        <f>IFERROR(__xludf.DUMMYFUNCTION("""COMPUTED_VALUE"""),"NaziyaC86")</f>
        <v>NaziyaC86</v>
      </c>
      <c r="C5544" s="8">
        <f>IFERROR(__xludf.DUMMYFUNCTION("""COMPUTED_VALUE"""),0.0)</f>
        <v>0</v>
      </c>
      <c r="D5544" s="8"/>
    </row>
    <row r="5545">
      <c r="A5545" s="9" t="str">
        <f>IFERROR(__xludf.DUMMYFUNCTION("""COMPUTED_VALUE"""),"Batch 286")</f>
        <v>Batch 286</v>
      </c>
      <c r="B5545" s="9" t="str">
        <f>IFERROR(__xludf.DUMMYFUNCTION("""COMPUTED_VALUE"""),"SathvikC86")</f>
        <v>SathvikC86</v>
      </c>
      <c r="C5545" s="8">
        <f>IFERROR(__xludf.DUMMYFUNCTION("""COMPUTED_VALUE"""),22.0)</f>
        <v>22</v>
      </c>
      <c r="D5545" s="8"/>
    </row>
    <row r="5546">
      <c r="A5546" s="9" t="str">
        <f>IFERROR(__xludf.DUMMYFUNCTION("""COMPUTED_VALUE"""),"Batch 286")</f>
        <v>Batch 286</v>
      </c>
      <c r="B5546" s="9" t="str">
        <f>IFERROR(__xludf.DUMMYFUNCTION("""COMPUTED_VALUE"""),"AnshuC86")</f>
        <v>AnshuC86</v>
      </c>
      <c r="C5546" s="8">
        <f>IFERROR(__xludf.DUMMYFUNCTION("""COMPUTED_VALUE"""),0.0)</f>
        <v>0</v>
      </c>
      <c r="D5546" s="8"/>
    </row>
    <row r="5547">
      <c r="A5547" s="9" t="str">
        <f>IFERROR(__xludf.DUMMYFUNCTION("""COMPUTED_VALUE"""),"Batch 286")</f>
        <v>Batch 286</v>
      </c>
      <c r="B5547" s="9" t="str">
        <f>IFERROR(__xludf.DUMMYFUNCTION("""COMPUTED_VALUE"""),"DeveshC86")</f>
        <v>DeveshC86</v>
      </c>
      <c r="C5547" s="8">
        <f>IFERROR(__xludf.DUMMYFUNCTION("""COMPUTED_VALUE"""),0.0)</f>
        <v>0</v>
      </c>
      <c r="D5547" s="8"/>
    </row>
    <row r="5548">
      <c r="A5548" s="9" t="str">
        <f>IFERROR(__xludf.DUMMYFUNCTION("""COMPUTED_VALUE"""),"Batch 286")</f>
        <v>Batch 286</v>
      </c>
      <c r="B5548" s="9" t="str">
        <f>IFERROR(__xludf.DUMMYFUNCTION("""COMPUTED_VALUE"""),"ArchanaC86")</f>
        <v>ArchanaC86</v>
      </c>
      <c r="C5548" s="8">
        <f>IFERROR(__xludf.DUMMYFUNCTION("""COMPUTED_VALUE"""),0.0)</f>
        <v>0</v>
      </c>
      <c r="D5548" s="8"/>
    </row>
    <row r="5549">
      <c r="A5549" s="9" t="str">
        <f>IFERROR(__xludf.DUMMYFUNCTION("""COMPUTED_VALUE"""),"Batch 286")</f>
        <v>Batch 286</v>
      </c>
      <c r="B5549" s="9" t="str">
        <f>IFERROR(__xludf.DUMMYFUNCTION("""COMPUTED_VALUE"""),"DevrajC86")</f>
        <v>DevrajC86</v>
      </c>
      <c r="C5549" s="8">
        <f>IFERROR(__xludf.DUMMYFUNCTION("""COMPUTED_VALUE"""),0.0)</f>
        <v>0</v>
      </c>
      <c r="D5549" s="8"/>
    </row>
    <row r="5550">
      <c r="A5550" s="9" t="str">
        <f>IFERROR(__xludf.DUMMYFUNCTION("""COMPUTED_VALUE"""),"Batch 286")</f>
        <v>Batch 286</v>
      </c>
      <c r="B5550" s="9" t="str">
        <f>IFERROR(__xludf.DUMMYFUNCTION("""COMPUTED_VALUE"""),"AayushiC86")</f>
        <v>AayushiC86</v>
      </c>
      <c r="C5550" s="8">
        <f>IFERROR(__xludf.DUMMYFUNCTION("""COMPUTED_VALUE"""),9.0)</f>
        <v>9</v>
      </c>
      <c r="D5550" s="8"/>
    </row>
    <row r="5551">
      <c r="A5551" s="9" t="str">
        <f>IFERROR(__xludf.DUMMYFUNCTION("""COMPUTED_VALUE"""),"Batch 286")</f>
        <v>Batch 286</v>
      </c>
      <c r="B5551" s="9" t="str">
        <f>IFERROR(__xludf.DUMMYFUNCTION("""COMPUTED_VALUE"""),"SahilC86")</f>
        <v>SahilC86</v>
      </c>
      <c r="C5551" s="8">
        <f>IFERROR(__xludf.DUMMYFUNCTION("""COMPUTED_VALUE"""),0.0)</f>
        <v>0</v>
      </c>
      <c r="D5551" s="8"/>
    </row>
    <row r="5552">
      <c r="A5552" s="9" t="str">
        <f>IFERROR(__xludf.DUMMYFUNCTION("""COMPUTED_VALUE"""),"Batch 286")</f>
        <v>Batch 286</v>
      </c>
      <c r="B5552" s="9" t="str">
        <f>IFERROR(__xludf.DUMMYFUNCTION("""COMPUTED_VALUE"""),"KomalC86")</f>
        <v>KomalC86</v>
      </c>
      <c r="C5552" s="8">
        <f>IFERROR(__xludf.DUMMYFUNCTION("""COMPUTED_VALUE"""),0.0)</f>
        <v>0</v>
      </c>
      <c r="D5552" s="8"/>
    </row>
    <row r="5553">
      <c r="A5553" s="9" t="str">
        <f>IFERROR(__xludf.DUMMYFUNCTION("""COMPUTED_VALUE"""),"Batch 286")</f>
        <v>Batch 286</v>
      </c>
      <c r="B5553" s="9" t="str">
        <f>IFERROR(__xludf.DUMMYFUNCTION("""COMPUTED_VALUE"""),"MokshC86")</f>
        <v>MokshC86</v>
      </c>
      <c r="C5553" s="8">
        <f>IFERROR(__xludf.DUMMYFUNCTION("""COMPUTED_VALUE"""),0.0)</f>
        <v>0</v>
      </c>
      <c r="D5553" s="8"/>
    </row>
    <row r="5554">
      <c r="A5554" s="9" t="str">
        <f>IFERROR(__xludf.DUMMYFUNCTION("""COMPUTED_VALUE"""),"Batch 286")</f>
        <v>Batch 286</v>
      </c>
      <c r="B5554" s="9" t="str">
        <f>IFERROR(__xludf.DUMMYFUNCTION("""COMPUTED_VALUE"""),"GauravCJ86")</f>
        <v>GauravCJ86</v>
      </c>
      <c r="C5554" s="8">
        <f>IFERROR(__xludf.DUMMYFUNCTION("""COMPUTED_VALUE"""),0.0)</f>
        <v>0</v>
      </c>
      <c r="D5554" s="8"/>
    </row>
    <row r="5555">
      <c r="A5555" s="9" t="str">
        <f>IFERROR(__xludf.DUMMYFUNCTION("""COMPUTED_VALUE"""),"Batch 286")</f>
        <v>Batch 286</v>
      </c>
      <c r="B5555" s="9" t="str">
        <f>IFERROR(__xludf.DUMMYFUNCTION("""COMPUTED_VALUE"""),"LakshmiC86")</f>
        <v>LakshmiC86</v>
      </c>
      <c r="C5555" s="8">
        <f>IFERROR(__xludf.DUMMYFUNCTION("""COMPUTED_VALUE"""),0.0)</f>
        <v>0</v>
      </c>
      <c r="D5555" s="8"/>
    </row>
    <row r="5556">
      <c r="A5556" s="9" t="str">
        <f>IFERROR(__xludf.DUMMYFUNCTION("""COMPUTED_VALUE"""),"Batch 286")</f>
        <v>Batch 286</v>
      </c>
      <c r="B5556" s="9" t="str">
        <f>IFERROR(__xludf.DUMMYFUNCTION("""COMPUTED_VALUE"""),"GeetikaC86")</f>
        <v>GeetikaC86</v>
      </c>
      <c r="C5556" s="8">
        <f>IFERROR(__xludf.DUMMYFUNCTION("""COMPUTED_VALUE"""),0.0)</f>
        <v>0</v>
      </c>
      <c r="D5556" s="8"/>
    </row>
    <row r="5557">
      <c r="A5557" s="9" t="str">
        <f>IFERROR(__xludf.DUMMYFUNCTION("""COMPUTED_VALUE"""),"Batch 286")</f>
        <v>Batch 286</v>
      </c>
      <c r="B5557" s="9" t="str">
        <f>IFERROR(__xludf.DUMMYFUNCTION("""COMPUTED_VALUE"""),"KoyalC86")</f>
        <v>KoyalC86</v>
      </c>
      <c r="C5557" s="8">
        <f>IFERROR(__xludf.DUMMYFUNCTION("""COMPUTED_VALUE"""),0.0)</f>
        <v>0</v>
      </c>
      <c r="D5557" s="8"/>
    </row>
    <row r="5558">
      <c r="A5558" s="9" t="str">
        <f>IFERROR(__xludf.DUMMYFUNCTION("""COMPUTED_VALUE"""),"Batch 286")</f>
        <v>Batch 286</v>
      </c>
      <c r="B5558" s="9" t="str">
        <f>IFERROR(__xludf.DUMMYFUNCTION("""COMPUTED_VALUE"""),"PrasannaC86")</f>
        <v>PrasannaC86</v>
      </c>
      <c r="C5558" s="8">
        <f>IFERROR(__xludf.DUMMYFUNCTION("""COMPUTED_VALUE"""),0.0)</f>
        <v>0</v>
      </c>
      <c r="D5558" s="8"/>
    </row>
    <row r="5559">
      <c r="A5559" s="9" t="str">
        <f>IFERROR(__xludf.DUMMYFUNCTION("""COMPUTED_VALUE"""),"Batch 286")</f>
        <v>Batch 286</v>
      </c>
      <c r="B5559" s="9" t="str">
        <f>IFERROR(__xludf.DUMMYFUNCTION("""COMPUTED_VALUE"""),"ArjunC86")</f>
        <v>ArjunC86</v>
      </c>
      <c r="C5559" s="8">
        <f>IFERROR(__xludf.DUMMYFUNCTION("""COMPUTED_VALUE"""),0.0)</f>
        <v>0</v>
      </c>
      <c r="D5559" s="8"/>
    </row>
    <row r="5560">
      <c r="A5560" s="9" t="str">
        <f>IFERROR(__xludf.DUMMYFUNCTION("""COMPUTED_VALUE"""),"Batch 286")</f>
        <v>Batch 286</v>
      </c>
      <c r="B5560" s="9" t="str">
        <f>IFERROR(__xludf.DUMMYFUNCTION("""COMPUTED_VALUE"""),"SahilC86")</f>
        <v>SahilC86</v>
      </c>
      <c r="C5560" s="8">
        <f>IFERROR(__xludf.DUMMYFUNCTION("""COMPUTED_VALUE"""),0.0)</f>
        <v>0</v>
      </c>
      <c r="D5560" s="8"/>
    </row>
    <row r="5561">
      <c r="A5561" s="9" t="str">
        <f>IFERROR(__xludf.DUMMYFUNCTION("""COMPUTED_VALUE"""),"Batch 286")</f>
        <v>Batch 286</v>
      </c>
      <c r="B5561" s="9" t="str">
        <f>IFERROR(__xludf.DUMMYFUNCTION("""COMPUTED_VALUE"""),"VivekC86")</f>
        <v>VivekC86</v>
      </c>
      <c r="C5561" s="8">
        <f>IFERROR(__xludf.DUMMYFUNCTION("""COMPUTED_VALUE"""),2.0)</f>
        <v>2</v>
      </c>
      <c r="D5561" s="8"/>
    </row>
    <row r="5562">
      <c r="A5562" s="9" t="str">
        <f>IFERROR(__xludf.DUMMYFUNCTION("""COMPUTED_VALUE"""),"Batch 286")</f>
        <v>Batch 286</v>
      </c>
      <c r="B5562" s="9" t="str">
        <f>IFERROR(__xludf.DUMMYFUNCTION("""COMPUTED_VALUE"""),"YashasviC86")</f>
        <v>YashasviC86</v>
      </c>
      <c r="C5562" s="8">
        <f>IFERROR(__xludf.DUMMYFUNCTION("""COMPUTED_VALUE"""),0.0)</f>
        <v>0</v>
      </c>
      <c r="D5562" s="8"/>
    </row>
    <row r="5563">
      <c r="A5563" s="9" t="str">
        <f>IFERROR(__xludf.DUMMYFUNCTION("""COMPUTED_VALUE"""),"Batch 286")</f>
        <v>Batch 286</v>
      </c>
      <c r="B5563" s="9" t="str">
        <f>IFERROR(__xludf.DUMMYFUNCTION("""COMPUTED_VALUE"""),"DeepakC86")</f>
        <v>DeepakC86</v>
      </c>
      <c r="C5563" s="8">
        <f>IFERROR(__xludf.DUMMYFUNCTION("""COMPUTED_VALUE"""),0.0)</f>
        <v>0</v>
      </c>
      <c r="D5563" s="8"/>
    </row>
    <row r="5564">
      <c r="A5564" s="9" t="str">
        <f>IFERROR(__xludf.DUMMYFUNCTION("""COMPUTED_VALUE"""),"Batch 286")</f>
        <v>Batch 286</v>
      </c>
      <c r="B5564" s="9" t="str">
        <f>IFERROR(__xludf.DUMMYFUNCTION("""COMPUTED_VALUE"""),"VaniC86")</f>
        <v>VaniC86</v>
      </c>
      <c r="C5564" s="8">
        <f>IFERROR(__xludf.DUMMYFUNCTION("""COMPUTED_VALUE"""),0.0)</f>
        <v>0</v>
      </c>
      <c r="D5564" s="8"/>
    </row>
    <row r="5565">
      <c r="A5565" s="9" t="str">
        <f>IFERROR(__xludf.DUMMYFUNCTION("""COMPUTED_VALUE"""),"Batch 286")</f>
        <v>Batch 286</v>
      </c>
      <c r="B5565" s="9" t="str">
        <f>IFERROR(__xludf.DUMMYFUNCTION("""COMPUTED_VALUE"""),"AyushiC86")</f>
        <v>AyushiC86</v>
      </c>
      <c r="C5565" s="8">
        <f>IFERROR(__xludf.DUMMYFUNCTION("""COMPUTED_VALUE"""),0.0)</f>
        <v>0</v>
      </c>
      <c r="D5565" s="8"/>
    </row>
    <row r="5566">
      <c r="A5566" s="9" t="str">
        <f>IFERROR(__xludf.DUMMYFUNCTION("""COMPUTED_VALUE"""),"Batch 286")</f>
        <v>Batch 286</v>
      </c>
      <c r="B5566" s="9" t="str">
        <f>IFERROR(__xludf.DUMMYFUNCTION("""COMPUTED_VALUE"""),"JC86")</f>
        <v>JC86</v>
      </c>
      <c r="C5566" s="8">
        <f>IFERROR(__xludf.DUMMYFUNCTION("""COMPUTED_VALUE"""),0.0)</f>
        <v>0</v>
      </c>
      <c r="D5566" s="8"/>
    </row>
    <row r="5567">
      <c r="A5567" s="9" t="str">
        <f>IFERROR(__xludf.DUMMYFUNCTION("""COMPUTED_VALUE"""),"Batch 286")</f>
        <v>Batch 286</v>
      </c>
      <c r="B5567" s="9" t="str">
        <f>IFERROR(__xludf.DUMMYFUNCTION("""COMPUTED_VALUE"""),"MisbahC86")</f>
        <v>MisbahC86</v>
      </c>
      <c r="C5567" s="8">
        <f>IFERROR(__xludf.DUMMYFUNCTION("""COMPUTED_VALUE"""),0.0)</f>
        <v>0</v>
      </c>
      <c r="D5567" s="8"/>
    </row>
    <row r="5568">
      <c r="A5568" s="9" t="str">
        <f>IFERROR(__xludf.DUMMYFUNCTION("""COMPUTED_VALUE"""),"Batch 286")</f>
        <v>Batch 286</v>
      </c>
      <c r="B5568" s="9" t="str">
        <f>IFERROR(__xludf.DUMMYFUNCTION("""COMPUTED_VALUE"""),"ShivamC86")</f>
        <v>ShivamC86</v>
      </c>
      <c r="C5568" s="8">
        <f>IFERROR(__xludf.DUMMYFUNCTION("""COMPUTED_VALUE"""),0.0)</f>
        <v>0</v>
      </c>
      <c r="D5568" s="8"/>
    </row>
    <row r="5569">
      <c r="A5569" s="9" t="str">
        <f>IFERROR(__xludf.DUMMYFUNCTION("""COMPUTED_VALUE"""),"Batch 286")</f>
        <v>Batch 286</v>
      </c>
      <c r="B5569" s="9" t="str">
        <f>IFERROR(__xludf.DUMMYFUNCTION("""COMPUTED_VALUE"""),"ArshC86")</f>
        <v>ArshC86</v>
      </c>
      <c r="C5569" s="8">
        <f>IFERROR(__xludf.DUMMYFUNCTION("""COMPUTED_VALUE"""),0.0)</f>
        <v>0</v>
      </c>
      <c r="D5569" s="8"/>
    </row>
    <row r="5570">
      <c r="A5570" s="9" t="str">
        <f>IFERROR(__xludf.DUMMYFUNCTION("""COMPUTED_VALUE"""),"Batch 286")</f>
        <v>Batch 286</v>
      </c>
      <c r="B5570" s="9" t="str">
        <f>IFERROR(__xludf.DUMMYFUNCTION("""COMPUTED_VALUE"""),"ShrutiC86")</f>
        <v>ShrutiC86</v>
      </c>
      <c r="C5570" s="8">
        <f>IFERROR(__xludf.DUMMYFUNCTION("""COMPUTED_VALUE"""),0.0)</f>
        <v>0</v>
      </c>
      <c r="D5570" s="8"/>
    </row>
    <row r="5571">
      <c r="A5571" s="9" t="str">
        <f>IFERROR(__xludf.DUMMYFUNCTION("""COMPUTED_VALUE"""),"Batch 286")</f>
        <v>Batch 286</v>
      </c>
      <c r="B5571" s="9" t="str">
        <f>IFERROR(__xludf.DUMMYFUNCTION("""COMPUTED_VALUE"""),"BellamkondaC86")</f>
        <v>BellamkondaC86</v>
      </c>
      <c r="C5571" s="8">
        <f>IFERROR(__xludf.DUMMYFUNCTION("""COMPUTED_VALUE"""),0.0)</f>
        <v>0</v>
      </c>
      <c r="D5571" s="8"/>
    </row>
    <row r="5572">
      <c r="A5572" s="9" t="str">
        <f>IFERROR(__xludf.DUMMYFUNCTION("""COMPUTED_VALUE"""),"Batch 286")</f>
        <v>Batch 286</v>
      </c>
      <c r="B5572" s="9" t="str">
        <f>IFERROR(__xludf.DUMMYFUNCTION("""COMPUTED_VALUE"""),"ManpreetC86")</f>
        <v>ManpreetC86</v>
      </c>
      <c r="C5572" s="8">
        <f>IFERROR(__xludf.DUMMYFUNCTION("""COMPUTED_VALUE"""),0.0)</f>
        <v>0</v>
      </c>
      <c r="D5572" s="8"/>
    </row>
    <row r="5573">
      <c r="A5573" s="9" t="str">
        <f>IFERROR(__xludf.DUMMYFUNCTION("""COMPUTED_VALUE"""),"Batch 286")</f>
        <v>Batch 286</v>
      </c>
      <c r="B5573" s="9" t="str">
        <f>IFERROR(__xludf.DUMMYFUNCTION("""COMPUTED_VALUE"""),"PawanC86")</f>
        <v>PawanC86</v>
      </c>
      <c r="C5573" s="8">
        <f>IFERROR(__xludf.DUMMYFUNCTION("""COMPUTED_VALUE"""),1.0)</f>
        <v>1</v>
      </c>
      <c r="D5573" s="8"/>
    </row>
    <row r="5574">
      <c r="A5574" s="9" t="str">
        <f>IFERROR(__xludf.DUMMYFUNCTION("""COMPUTED_VALUE"""),"Batch 286")</f>
        <v>Batch 286</v>
      </c>
      <c r="B5574" s="9" t="str">
        <f>IFERROR(__xludf.DUMMYFUNCTION("""COMPUTED_VALUE"""),"GauravC86")</f>
        <v>GauravC86</v>
      </c>
      <c r="C5574" s="8">
        <f>IFERROR(__xludf.DUMMYFUNCTION("""COMPUTED_VALUE"""),5.0)</f>
        <v>5</v>
      </c>
      <c r="D5574" s="8"/>
    </row>
    <row r="5575">
      <c r="A5575" s="9" t="str">
        <f>IFERROR(__xludf.DUMMYFUNCTION("""COMPUTED_VALUE"""),"Batch 286")</f>
        <v>Batch 286</v>
      </c>
      <c r="B5575" s="9" t="str">
        <f>IFERROR(__xludf.DUMMYFUNCTION("""COMPUTED_VALUE"""),"UjjwalC86")</f>
        <v>UjjwalC86</v>
      </c>
      <c r="C5575" s="8">
        <f>IFERROR(__xludf.DUMMYFUNCTION("""COMPUTED_VALUE"""),0.0)</f>
        <v>0</v>
      </c>
      <c r="D5575" s="8"/>
    </row>
    <row r="5576">
      <c r="A5576" s="9" t="str">
        <f>IFERROR(__xludf.DUMMYFUNCTION("""COMPUTED_VALUE"""),"Batch 286")</f>
        <v>Batch 286</v>
      </c>
      <c r="B5576" s="9" t="str">
        <f>IFERROR(__xludf.DUMMYFUNCTION("""COMPUTED_VALUE"""),"NaveeC86")</f>
        <v>NaveeC86</v>
      </c>
      <c r="C5576" s="8">
        <f>IFERROR(__xludf.DUMMYFUNCTION("""COMPUTED_VALUE"""),0.0)</f>
        <v>0</v>
      </c>
      <c r="D5576" s="8"/>
    </row>
    <row r="5577">
      <c r="A5577" s="9"/>
      <c r="B5577" s="9"/>
      <c r="C5577" s="8">
        <f>IFERROR(__xludf.DUMMYFUNCTION("""COMPUTED_VALUE"""),0.0)</f>
        <v>0</v>
      </c>
      <c r="D5577" s="8"/>
    </row>
    <row r="5578">
      <c r="A5578" s="9" t="str">
        <f>IFERROR(__xludf.DUMMYFUNCTION("""COMPUTED_VALUE"""),"Batch 287")</f>
        <v>Batch 287</v>
      </c>
      <c r="B5578" s="9" t="str">
        <f>IFERROR(__xludf.DUMMYFUNCTION("""COMPUTED_VALUE"""),"PathlavathC87")</f>
        <v>PathlavathC87</v>
      </c>
      <c r="C5578" s="8">
        <f>IFERROR(__xludf.DUMMYFUNCTION("""COMPUTED_VALUE"""),0.0)</f>
        <v>0</v>
      </c>
      <c r="D5578" s="8"/>
    </row>
    <row r="5579">
      <c r="A5579" s="9" t="str">
        <f>IFERROR(__xludf.DUMMYFUNCTION("""COMPUTED_VALUE"""),"Batch 287")</f>
        <v>Batch 287</v>
      </c>
      <c r="B5579" s="9" t="str">
        <f>IFERROR(__xludf.DUMMYFUNCTION("""COMPUTED_VALUE"""),"MansiC87")</f>
        <v>MansiC87</v>
      </c>
      <c r="C5579" s="8">
        <f>IFERROR(__xludf.DUMMYFUNCTION("""COMPUTED_VALUE"""),0.0)</f>
        <v>0</v>
      </c>
      <c r="D5579" s="8"/>
    </row>
    <row r="5580">
      <c r="A5580" s="9" t="str">
        <f>IFERROR(__xludf.DUMMYFUNCTION("""COMPUTED_VALUE"""),"Batch 287")</f>
        <v>Batch 287</v>
      </c>
      <c r="B5580" s="9" t="str">
        <f>IFERROR(__xludf.DUMMYFUNCTION("""COMPUTED_VALUE"""),"AjayC87")</f>
        <v>AjayC87</v>
      </c>
      <c r="C5580" s="8">
        <f>IFERROR(__xludf.DUMMYFUNCTION("""COMPUTED_VALUE"""),0.0)</f>
        <v>0</v>
      </c>
      <c r="D5580" s="8"/>
    </row>
    <row r="5581">
      <c r="A5581" s="9" t="str">
        <f>IFERROR(__xludf.DUMMYFUNCTION("""COMPUTED_VALUE"""),"Batch 287")</f>
        <v>Batch 287</v>
      </c>
      <c r="B5581" s="9" t="str">
        <f>IFERROR(__xludf.DUMMYFUNCTION("""COMPUTED_VALUE"""),"BhanuC87")</f>
        <v>BhanuC87</v>
      </c>
      <c r="C5581" s="8">
        <f>IFERROR(__xludf.DUMMYFUNCTION("""COMPUTED_VALUE"""),0.0)</f>
        <v>0</v>
      </c>
      <c r="D5581" s="8"/>
    </row>
    <row r="5582">
      <c r="A5582" s="9" t="str">
        <f>IFERROR(__xludf.DUMMYFUNCTION("""COMPUTED_VALUE"""),"Batch 287")</f>
        <v>Batch 287</v>
      </c>
      <c r="B5582" s="9" t="str">
        <f>IFERROR(__xludf.DUMMYFUNCTION("""COMPUTED_VALUE"""),"SankalpC87")</f>
        <v>SankalpC87</v>
      </c>
      <c r="C5582" s="8">
        <f>IFERROR(__xludf.DUMMYFUNCTION("""COMPUTED_VALUE"""),0.0)</f>
        <v>0</v>
      </c>
      <c r="D5582" s="8"/>
    </row>
    <row r="5583">
      <c r="A5583" s="9" t="str">
        <f>IFERROR(__xludf.DUMMYFUNCTION("""COMPUTED_VALUE"""),"Batch 287")</f>
        <v>Batch 287</v>
      </c>
      <c r="B5583" s="9" t="str">
        <f>IFERROR(__xludf.DUMMYFUNCTION("""COMPUTED_VALUE"""),"AsmithaC87")</f>
        <v>AsmithaC87</v>
      </c>
      <c r="C5583" s="8">
        <f>IFERROR(__xludf.DUMMYFUNCTION("""COMPUTED_VALUE"""),1.0)</f>
        <v>1</v>
      </c>
      <c r="D5583" s="8"/>
    </row>
    <row r="5584">
      <c r="A5584" s="9" t="str">
        <f>IFERROR(__xludf.DUMMYFUNCTION("""COMPUTED_VALUE"""),"Batch 287")</f>
        <v>Batch 287</v>
      </c>
      <c r="B5584" s="9" t="str">
        <f>IFERROR(__xludf.DUMMYFUNCTION("""COMPUTED_VALUE"""),"HimaniC87")</f>
        <v>HimaniC87</v>
      </c>
      <c r="C5584" s="8">
        <f>IFERROR(__xludf.DUMMYFUNCTION("""COMPUTED_VALUE"""),9.0)</f>
        <v>9</v>
      </c>
      <c r="D5584" s="8">
        <f>IFERROR(__xludf.DUMMYFUNCTION("""COMPUTED_VALUE"""),3.0)</f>
        <v>3</v>
      </c>
    </row>
    <row r="5585">
      <c r="A5585" s="9" t="str">
        <f>IFERROR(__xludf.DUMMYFUNCTION("""COMPUTED_VALUE"""),"Batch 287")</f>
        <v>Batch 287</v>
      </c>
      <c r="B5585" s="9" t="str">
        <f>IFERROR(__xludf.DUMMYFUNCTION("""COMPUTED_VALUE"""),"ShravanC87")</f>
        <v>ShravanC87</v>
      </c>
      <c r="C5585" s="8">
        <f>IFERROR(__xludf.DUMMYFUNCTION("""COMPUTED_VALUE"""),0.0)</f>
        <v>0</v>
      </c>
      <c r="D5585" s="8"/>
    </row>
    <row r="5586">
      <c r="A5586" s="9" t="str">
        <f>IFERROR(__xludf.DUMMYFUNCTION("""COMPUTED_VALUE"""),"Batch 287")</f>
        <v>Batch 287</v>
      </c>
      <c r="B5586" s="9" t="str">
        <f>IFERROR(__xludf.DUMMYFUNCTION("""COMPUTED_VALUE"""),"FarheenC87")</f>
        <v>FarheenC87</v>
      </c>
      <c r="C5586" s="8">
        <f>IFERROR(__xludf.DUMMYFUNCTION("""COMPUTED_VALUE"""),0.0)</f>
        <v>0</v>
      </c>
      <c r="D5586" s="8"/>
    </row>
    <row r="5587">
      <c r="A5587" s="9" t="str">
        <f>IFERROR(__xludf.DUMMYFUNCTION("""COMPUTED_VALUE"""),"Batch 287")</f>
        <v>Batch 287</v>
      </c>
      <c r="B5587" s="9" t="str">
        <f>IFERROR(__xludf.DUMMYFUNCTION("""COMPUTED_VALUE"""),"SannidhiC87")</f>
        <v>SannidhiC87</v>
      </c>
      <c r="C5587" s="8">
        <f>IFERROR(__xludf.DUMMYFUNCTION("""COMPUTED_VALUE"""),0.0)</f>
        <v>0</v>
      </c>
      <c r="D5587" s="8"/>
    </row>
    <row r="5588">
      <c r="A5588" s="9" t="str">
        <f>IFERROR(__xludf.DUMMYFUNCTION("""COMPUTED_VALUE"""),"Batch 287")</f>
        <v>Batch 287</v>
      </c>
      <c r="B5588" s="9" t="str">
        <f>IFERROR(__xludf.DUMMYFUNCTION("""COMPUTED_VALUE"""),"Ch.pruthviC87")</f>
        <v>Ch.pruthviC87</v>
      </c>
      <c r="C5588" s="8">
        <f>IFERROR(__xludf.DUMMYFUNCTION("""COMPUTED_VALUE"""),0.0)</f>
        <v>0</v>
      </c>
      <c r="D5588" s="8"/>
    </row>
    <row r="5589">
      <c r="A5589" s="9" t="str">
        <f>IFERROR(__xludf.DUMMYFUNCTION("""COMPUTED_VALUE"""),"Batch 287")</f>
        <v>Batch 287</v>
      </c>
      <c r="B5589" s="9" t="str">
        <f>IFERROR(__xludf.DUMMYFUNCTION("""COMPUTED_VALUE"""),"NITHYNC87")</f>
        <v>NITHYNC87</v>
      </c>
      <c r="C5589" s="8">
        <f>IFERROR(__xludf.DUMMYFUNCTION("""COMPUTED_VALUE"""),0.0)</f>
        <v>0</v>
      </c>
      <c r="D5589" s="8"/>
    </row>
    <row r="5590">
      <c r="A5590" s="9" t="str">
        <f>IFERROR(__xludf.DUMMYFUNCTION("""COMPUTED_VALUE"""),"Batch 287")</f>
        <v>Batch 287</v>
      </c>
      <c r="B5590" s="9" t="str">
        <f>IFERROR(__xludf.DUMMYFUNCTION("""COMPUTED_VALUE"""),"PunitC87")</f>
        <v>PunitC87</v>
      </c>
      <c r="C5590" s="8">
        <f>IFERROR(__xludf.DUMMYFUNCTION("""COMPUTED_VALUE"""),0.0)</f>
        <v>0</v>
      </c>
      <c r="D5590" s="8"/>
    </row>
    <row r="5591">
      <c r="A5591" s="9" t="str">
        <f>IFERROR(__xludf.DUMMYFUNCTION("""COMPUTED_VALUE"""),"Batch 287")</f>
        <v>Batch 287</v>
      </c>
      <c r="B5591" s="9" t="str">
        <f>IFERROR(__xludf.DUMMYFUNCTION("""COMPUTED_VALUE"""),"MaloyC87")</f>
        <v>MaloyC87</v>
      </c>
      <c r="C5591" s="8">
        <f>IFERROR(__xludf.DUMMYFUNCTION("""COMPUTED_VALUE"""),1.0)</f>
        <v>1</v>
      </c>
      <c r="D5591" s="8"/>
    </row>
    <row r="5592">
      <c r="A5592" s="9" t="str">
        <f>IFERROR(__xludf.DUMMYFUNCTION("""COMPUTED_VALUE"""),"Batch 287")</f>
        <v>Batch 287</v>
      </c>
      <c r="B5592" s="9" t="str">
        <f>IFERROR(__xludf.DUMMYFUNCTION("""COMPUTED_VALUE"""),"SparshC87")</f>
        <v>SparshC87</v>
      </c>
      <c r="C5592" s="8">
        <f>IFERROR(__xludf.DUMMYFUNCTION("""COMPUTED_VALUE"""),0.0)</f>
        <v>0</v>
      </c>
      <c r="D5592" s="8"/>
    </row>
    <row r="5593">
      <c r="A5593" s="9" t="str">
        <f>IFERROR(__xludf.DUMMYFUNCTION("""COMPUTED_VALUE"""),"Batch 287")</f>
        <v>Batch 287</v>
      </c>
      <c r="B5593" s="9" t="str">
        <f>IFERROR(__xludf.DUMMYFUNCTION("""COMPUTED_VALUE"""),"PushyaC87")</f>
        <v>PushyaC87</v>
      </c>
      <c r="C5593" s="8">
        <f>IFERROR(__xludf.DUMMYFUNCTION("""COMPUTED_VALUE"""),0.0)</f>
        <v>0</v>
      </c>
      <c r="D5593" s="8">
        <f>IFERROR(__xludf.DUMMYFUNCTION("""COMPUTED_VALUE"""),1.0)</f>
        <v>1</v>
      </c>
    </row>
    <row r="5594">
      <c r="A5594" s="9" t="str">
        <f>IFERROR(__xludf.DUMMYFUNCTION("""COMPUTED_VALUE"""),"Batch 287")</f>
        <v>Batch 287</v>
      </c>
      <c r="B5594" s="9" t="str">
        <f>IFERROR(__xludf.DUMMYFUNCTION("""COMPUTED_VALUE"""),"AsmitaC87")</f>
        <v>AsmitaC87</v>
      </c>
      <c r="C5594" s="8">
        <f>IFERROR(__xludf.DUMMYFUNCTION("""COMPUTED_VALUE"""),0.0)</f>
        <v>0</v>
      </c>
      <c r="D5594" s="8"/>
    </row>
    <row r="5595">
      <c r="A5595" s="9" t="str">
        <f>IFERROR(__xludf.DUMMYFUNCTION("""COMPUTED_VALUE"""),"Batch 287")</f>
        <v>Batch 287</v>
      </c>
      <c r="B5595" s="9" t="str">
        <f>IFERROR(__xludf.DUMMYFUNCTION("""COMPUTED_VALUE"""),"AyushC87")</f>
        <v>AyushC87</v>
      </c>
      <c r="C5595" s="8">
        <f>IFERROR(__xludf.DUMMYFUNCTION("""COMPUTED_VALUE"""),0.0)</f>
        <v>0</v>
      </c>
      <c r="D5595" s="8"/>
    </row>
    <row r="5596">
      <c r="A5596" s="9" t="str">
        <f>IFERROR(__xludf.DUMMYFUNCTION("""COMPUTED_VALUE"""),"Batch 287")</f>
        <v>Batch 287</v>
      </c>
      <c r="B5596" s="9" t="str">
        <f>IFERROR(__xludf.DUMMYFUNCTION("""COMPUTED_VALUE"""),"RiapreetC87")</f>
        <v>RiapreetC87</v>
      </c>
      <c r="C5596" s="8">
        <f>IFERROR(__xludf.DUMMYFUNCTION("""COMPUTED_VALUE"""),0.0)</f>
        <v>0</v>
      </c>
      <c r="D5596" s="8"/>
    </row>
    <row r="5597">
      <c r="A5597" s="9" t="str">
        <f>IFERROR(__xludf.DUMMYFUNCTION("""COMPUTED_VALUE"""),"Batch 287")</f>
        <v>Batch 287</v>
      </c>
      <c r="B5597" s="9" t="str">
        <f>IFERROR(__xludf.DUMMYFUNCTION("""COMPUTED_VALUE"""),"ShivamC87")</f>
        <v>ShivamC87</v>
      </c>
      <c r="C5597" s="8">
        <f>IFERROR(__xludf.DUMMYFUNCTION("""COMPUTED_VALUE"""),0.0)</f>
        <v>0</v>
      </c>
      <c r="D5597" s="8"/>
    </row>
    <row r="5598">
      <c r="A5598" s="9" t="str">
        <f>IFERROR(__xludf.DUMMYFUNCTION("""COMPUTED_VALUE"""),"Batch 287")</f>
        <v>Batch 287</v>
      </c>
      <c r="B5598" s="9" t="str">
        <f>IFERROR(__xludf.DUMMYFUNCTION("""COMPUTED_VALUE"""),"SachinC87")</f>
        <v>SachinC87</v>
      </c>
      <c r="C5598" s="8">
        <f>IFERROR(__xludf.DUMMYFUNCTION("""COMPUTED_VALUE"""),0.0)</f>
        <v>0</v>
      </c>
      <c r="D5598" s="8"/>
    </row>
    <row r="5599">
      <c r="A5599" s="9" t="str">
        <f>IFERROR(__xludf.DUMMYFUNCTION("""COMPUTED_VALUE"""),"Batch 287")</f>
        <v>Batch 287</v>
      </c>
      <c r="B5599" s="9" t="str">
        <f>IFERROR(__xludf.DUMMYFUNCTION("""COMPUTED_VALUE"""),"shubhanshriC87")</f>
        <v>shubhanshriC87</v>
      </c>
      <c r="C5599" s="8">
        <f>IFERROR(__xludf.DUMMYFUNCTION("""COMPUTED_VALUE"""),5.0)</f>
        <v>5</v>
      </c>
      <c r="D5599" s="8"/>
    </row>
    <row r="5600">
      <c r="A5600" s="9" t="str">
        <f>IFERROR(__xludf.DUMMYFUNCTION("""COMPUTED_VALUE"""),"Batch 287")</f>
        <v>Batch 287</v>
      </c>
      <c r="B5600" s="9" t="str">
        <f>IFERROR(__xludf.DUMMYFUNCTION("""COMPUTED_VALUE"""),"MaruthiC87")</f>
        <v>MaruthiC87</v>
      </c>
      <c r="C5600" s="8">
        <f>IFERROR(__xludf.DUMMYFUNCTION("""COMPUTED_VALUE"""),0.0)</f>
        <v>0</v>
      </c>
      <c r="D5600" s="8"/>
    </row>
    <row r="5601">
      <c r="A5601" s="9" t="str">
        <f>IFERROR(__xludf.DUMMYFUNCTION("""COMPUTED_VALUE"""),"Batch 287")</f>
        <v>Batch 287</v>
      </c>
      <c r="B5601" s="9" t="str">
        <f>IFERROR(__xludf.DUMMYFUNCTION("""COMPUTED_VALUE"""),"LakshitaC87")</f>
        <v>LakshitaC87</v>
      </c>
      <c r="C5601" s="8">
        <f>IFERROR(__xludf.DUMMYFUNCTION("""COMPUTED_VALUE"""),1.0)</f>
        <v>1</v>
      </c>
      <c r="D5601" s="8">
        <f>IFERROR(__xludf.DUMMYFUNCTION("""COMPUTED_VALUE"""),1.0)</f>
        <v>1</v>
      </c>
    </row>
    <row r="5602">
      <c r="A5602" s="9" t="str">
        <f>IFERROR(__xludf.DUMMYFUNCTION("""COMPUTED_VALUE"""),"Batch 287")</f>
        <v>Batch 287</v>
      </c>
      <c r="B5602" s="9" t="str">
        <f>IFERROR(__xludf.DUMMYFUNCTION("""COMPUTED_VALUE"""),"NaylaC87")</f>
        <v>NaylaC87</v>
      </c>
      <c r="C5602" s="8">
        <f>IFERROR(__xludf.DUMMYFUNCTION("""COMPUTED_VALUE"""),0.0)</f>
        <v>0</v>
      </c>
      <c r="D5602" s="8"/>
    </row>
    <row r="5603">
      <c r="A5603" s="9" t="str">
        <f>IFERROR(__xludf.DUMMYFUNCTION("""COMPUTED_VALUE"""),"Batch 287")</f>
        <v>Batch 287</v>
      </c>
      <c r="B5603" s="9" t="str">
        <f>IFERROR(__xludf.DUMMYFUNCTION("""COMPUTED_VALUE"""),"PraptiC87")</f>
        <v>PraptiC87</v>
      </c>
      <c r="C5603" s="8">
        <f>IFERROR(__xludf.DUMMYFUNCTION("""COMPUTED_VALUE"""),0.0)</f>
        <v>0</v>
      </c>
      <c r="D5603" s="8"/>
    </row>
    <row r="5604">
      <c r="A5604" s="9" t="str">
        <f>IFERROR(__xludf.DUMMYFUNCTION("""COMPUTED_VALUE"""),"Batch 287")</f>
        <v>Batch 287</v>
      </c>
      <c r="B5604" s="9" t="str">
        <f>IFERROR(__xludf.DUMMYFUNCTION("""COMPUTED_VALUE"""),"VanshikaC87")</f>
        <v>VanshikaC87</v>
      </c>
      <c r="C5604" s="8">
        <f>IFERROR(__xludf.DUMMYFUNCTION("""COMPUTED_VALUE"""),5.0)</f>
        <v>5</v>
      </c>
      <c r="D5604" s="8"/>
    </row>
    <row r="5605">
      <c r="A5605" s="9" t="str">
        <f>IFERROR(__xludf.DUMMYFUNCTION("""COMPUTED_VALUE"""),"Batch 287")</f>
        <v>Batch 287</v>
      </c>
      <c r="B5605" s="9" t="str">
        <f>IFERROR(__xludf.DUMMYFUNCTION("""COMPUTED_VALUE"""),"AyushC87")</f>
        <v>AyushC87</v>
      </c>
      <c r="C5605" s="8">
        <f>IFERROR(__xludf.DUMMYFUNCTION("""COMPUTED_VALUE"""),0.0)</f>
        <v>0</v>
      </c>
      <c r="D5605" s="8"/>
    </row>
    <row r="5606">
      <c r="A5606" s="9" t="str">
        <f>IFERROR(__xludf.DUMMYFUNCTION("""COMPUTED_VALUE"""),"Batch 287")</f>
        <v>Batch 287</v>
      </c>
      <c r="B5606" s="9" t="str">
        <f>IFERROR(__xludf.DUMMYFUNCTION("""COMPUTED_VALUE"""),"KartikC87")</f>
        <v>KartikC87</v>
      </c>
      <c r="C5606" s="8">
        <f>IFERROR(__xludf.DUMMYFUNCTION("""COMPUTED_VALUE"""),0.0)</f>
        <v>0</v>
      </c>
      <c r="D5606" s="8"/>
    </row>
    <row r="5607">
      <c r="A5607" s="9" t="str">
        <f>IFERROR(__xludf.DUMMYFUNCTION("""COMPUTED_VALUE"""),"Batch 287")</f>
        <v>Batch 287</v>
      </c>
      <c r="B5607" s="9" t="str">
        <f>IFERROR(__xludf.DUMMYFUNCTION("""COMPUTED_VALUE"""),"ShrutiC87")</f>
        <v>ShrutiC87</v>
      </c>
      <c r="C5607" s="8">
        <f>IFERROR(__xludf.DUMMYFUNCTION("""COMPUTED_VALUE"""),1.0)</f>
        <v>1</v>
      </c>
      <c r="D5607" s="8"/>
    </row>
    <row r="5608">
      <c r="A5608" s="9" t="str">
        <f>IFERROR(__xludf.DUMMYFUNCTION("""COMPUTED_VALUE"""),"Batch 287")</f>
        <v>Batch 287</v>
      </c>
      <c r="B5608" s="9" t="str">
        <f>IFERROR(__xludf.DUMMYFUNCTION("""COMPUTED_VALUE"""),"SoumyadeepC87")</f>
        <v>SoumyadeepC87</v>
      </c>
      <c r="C5608" s="8">
        <f>IFERROR(__xludf.DUMMYFUNCTION("""COMPUTED_VALUE"""),1.0)</f>
        <v>1</v>
      </c>
      <c r="D5608" s="8"/>
    </row>
    <row r="5609">
      <c r="A5609" s="9" t="str">
        <f>IFERROR(__xludf.DUMMYFUNCTION("""COMPUTED_VALUE"""),"Batch 287")</f>
        <v>Batch 287</v>
      </c>
      <c r="B5609" s="9" t="str">
        <f>IFERROR(__xludf.DUMMYFUNCTION("""COMPUTED_VALUE"""),"AyshaC87")</f>
        <v>AyshaC87</v>
      </c>
      <c r="C5609" s="8">
        <f>IFERROR(__xludf.DUMMYFUNCTION("""COMPUTED_VALUE"""),0.0)</f>
        <v>0</v>
      </c>
      <c r="D5609" s="8"/>
    </row>
    <row r="5610">
      <c r="A5610" s="9" t="str">
        <f>IFERROR(__xludf.DUMMYFUNCTION("""COMPUTED_VALUE"""),"Batch 287")</f>
        <v>Batch 287</v>
      </c>
      <c r="B5610" s="9" t="str">
        <f>IFERROR(__xludf.DUMMYFUNCTION("""COMPUTED_VALUE"""),"RamidiC87")</f>
        <v>RamidiC87</v>
      </c>
      <c r="C5610" s="8">
        <f>IFERROR(__xludf.DUMMYFUNCTION("""COMPUTED_VALUE"""),0.0)</f>
        <v>0</v>
      </c>
      <c r="D5610" s="8"/>
    </row>
    <row r="5611">
      <c r="A5611" s="9" t="str">
        <f>IFERROR(__xludf.DUMMYFUNCTION("""COMPUTED_VALUE"""),"Batch 287")</f>
        <v>Batch 287</v>
      </c>
      <c r="B5611" s="9" t="str">
        <f>IFERROR(__xludf.DUMMYFUNCTION("""COMPUTED_VALUE"""),"FajilatC87")</f>
        <v>FajilatC87</v>
      </c>
      <c r="C5611" s="8">
        <f>IFERROR(__xludf.DUMMYFUNCTION("""COMPUTED_VALUE"""),0.0)</f>
        <v>0</v>
      </c>
      <c r="D5611" s="8"/>
    </row>
    <row r="5612">
      <c r="A5612" s="9" t="str">
        <f>IFERROR(__xludf.DUMMYFUNCTION("""COMPUTED_VALUE"""),"Batch 287")</f>
        <v>Batch 287</v>
      </c>
      <c r="B5612" s="9" t="str">
        <f>IFERROR(__xludf.DUMMYFUNCTION("""COMPUTED_VALUE"""),"ChaitraC87")</f>
        <v>ChaitraC87</v>
      </c>
      <c r="C5612" s="8">
        <f>IFERROR(__xludf.DUMMYFUNCTION("""COMPUTED_VALUE"""),14.0)</f>
        <v>14</v>
      </c>
      <c r="D5612" s="8"/>
    </row>
    <row r="5613">
      <c r="A5613" s="9" t="str">
        <f>IFERROR(__xludf.DUMMYFUNCTION("""COMPUTED_VALUE"""),"Batch 287")</f>
        <v>Batch 287</v>
      </c>
      <c r="B5613" s="9" t="str">
        <f>IFERROR(__xludf.DUMMYFUNCTION("""COMPUTED_VALUE"""),"RoopakC87")</f>
        <v>RoopakC87</v>
      </c>
      <c r="C5613" s="8">
        <f>IFERROR(__xludf.DUMMYFUNCTION("""COMPUTED_VALUE"""),0.0)</f>
        <v>0</v>
      </c>
      <c r="D5613" s="8"/>
    </row>
    <row r="5614">
      <c r="A5614" s="9" t="str">
        <f>IFERROR(__xludf.DUMMYFUNCTION("""COMPUTED_VALUE"""),"Batch 287")</f>
        <v>Batch 287</v>
      </c>
      <c r="B5614" s="9" t="str">
        <f>IFERROR(__xludf.DUMMYFUNCTION("""COMPUTED_VALUE"""),"ChakshitC87")</f>
        <v>ChakshitC87</v>
      </c>
      <c r="C5614" s="8">
        <f>IFERROR(__xludf.DUMMYFUNCTION("""COMPUTED_VALUE"""),3.0)</f>
        <v>3</v>
      </c>
      <c r="D5614" s="8"/>
    </row>
    <row r="5615">
      <c r="A5615" s="9" t="str">
        <f>IFERROR(__xludf.DUMMYFUNCTION("""COMPUTED_VALUE"""),"Batch 287")</f>
        <v>Batch 287</v>
      </c>
      <c r="B5615" s="9" t="str">
        <f>IFERROR(__xludf.DUMMYFUNCTION("""COMPUTED_VALUE"""),"NikhiliC87")</f>
        <v>NikhiliC87</v>
      </c>
      <c r="C5615" s="8">
        <f>IFERROR(__xludf.DUMMYFUNCTION("""COMPUTED_VALUE"""),0.0)</f>
        <v>0</v>
      </c>
      <c r="D5615" s="8"/>
    </row>
    <row r="5616">
      <c r="A5616" s="9" t="str">
        <f>IFERROR(__xludf.DUMMYFUNCTION("""COMPUTED_VALUE"""),"Batch 287")</f>
        <v>Batch 287</v>
      </c>
      <c r="B5616" s="9" t="str">
        <f>IFERROR(__xludf.DUMMYFUNCTION("""COMPUTED_VALUE"""),"SarbatrikiC87")</f>
        <v>SarbatrikiC87</v>
      </c>
      <c r="C5616" s="8">
        <f>IFERROR(__xludf.DUMMYFUNCTION("""COMPUTED_VALUE"""),9.0)</f>
        <v>9</v>
      </c>
      <c r="D5616" s="8">
        <f>IFERROR(__xludf.DUMMYFUNCTION("""COMPUTED_VALUE"""),4.0)</f>
        <v>4</v>
      </c>
    </row>
    <row r="5617">
      <c r="A5617" s="9" t="str">
        <f>IFERROR(__xludf.DUMMYFUNCTION("""COMPUTED_VALUE"""),"Batch 287")</f>
        <v>Batch 287</v>
      </c>
      <c r="B5617" s="9" t="str">
        <f>IFERROR(__xludf.DUMMYFUNCTION("""COMPUTED_VALUE"""),"PushkarC87")</f>
        <v>PushkarC87</v>
      </c>
      <c r="C5617" s="8">
        <f>IFERROR(__xludf.DUMMYFUNCTION("""COMPUTED_VALUE"""),2.0)</f>
        <v>2</v>
      </c>
      <c r="D5617" s="8"/>
    </row>
    <row r="5618">
      <c r="A5618" s="9" t="str">
        <f>IFERROR(__xludf.DUMMYFUNCTION("""COMPUTED_VALUE"""),"Batch 287")</f>
        <v>Batch 287</v>
      </c>
      <c r="B5618" s="9" t="str">
        <f>IFERROR(__xludf.DUMMYFUNCTION("""COMPUTED_VALUE"""),"ChinmayC87")</f>
        <v>ChinmayC87</v>
      </c>
      <c r="C5618" s="8">
        <f>IFERROR(__xludf.DUMMYFUNCTION("""COMPUTED_VALUE"""),0.0)</f>
        <v>0</v>
      </c>
      <c r="D5618" s="8"/>
    </row>
    <row r="5619">
      <c r="A5619" s="9" t="str">
        <f>IFERROR(__xludf.DUMMYFUNCTION("""COMPUTED_VALUE"""),"Batch 287")</f>
        <v>Batch 287</v>
      </c>
      <c r="B5619" s="9" t="str">
        <f>IFERROR(__xludf.DUMMYFUNCTION("""COMPUTED_VALUE"""),"AbhinavC87")</f>
        <v>AbhinavC87</v>
      </c>
      <c r="C5619" s="8">
        <f>IFERROR(__xludf.DUMMYFUNCTION("""COMPUTED_VALUE"""),0.0)</f>
        <v>0</v>
      </c>
      <c r="D5619" s="8"/>
    </row>
    <row r="5620">
      <c r="A5620" s="9" t="str">
        <f>IFERROR(__xludf.DUMMYFUNCTION("""COMPUTED_VALUE"""),"Batch 287")</f>
        <v>Batch 287</v>
      </c>
      <c r="B5620" s="9" t="str">
        <f>IFERROR(__xludf.DUMMYFUNCTION("""COMPUTED_VALUE"""),"KarthikC87")</f>
        <v>KarthikC87</v>
      </c>
      <c r="C5620" s="8">
        <f>IFERROR(__xludf.DUMMYFUNCTION("""COMPUTED_VALUE"""),0.0)</f>
        <v>0</v>
      </c>
      <c r="D5620" s="8"/>
    </row>
    <row r="5621">
      <c r="A5621" s="9" t="str">
        <f>IFERROR(__xludf.DUMMYFUNCTION("""COMPUTED_VALUE"""),"Batch 287")</f>
        <v>Batch 287</v>
      </c>
      <c r="B5621" s="9" t="str">
        <f>IFERROR(__xludf.DUMMYFUNCTION("""COMPUTED_VALUE"""),"LaxmiC87")</f>
        <v>LaxmiC87</v>
      </c>
      <c r="C5621" s="8">
        <f>IFERROR(__xludf.DUMMYFUNCTION("""COMPUTED_VALUE"""),47.0)</f>
        <v>47</v>
      </c>
      <c r="D5621" s="8">
        <f>IFERROR(__xludf.DUMMYFUNCTION("""COMPUTED_VALUE"""),9.0)</f>
        <v>9</v>
      </c>
    </row>
    <row r="5622">
      <c r="A5622" s="9" t="str">
        <f>IFERROR(__xludf.DUMMYFUNCTION("""COMPUTED_VALUE"""),"Batch 287")</f>
        <v>Batch 287</v>
      </c>
      <c r="B5622" s="9" t="str">
        <f>IFERROR(__xludf.DUMMYFUNCTION("""COMPUTED_VALUE"""),"LynC87")</f>
        <v>LynC87</v>
      </c>
      <c r="C5622" s="8">
        <f>IFERROR(__xludf.DUMMYFUNCTION("""COMPUTED_VALUE"""),0.0)</f>
        <v>0</v>
      </c>
      <c r="D5622" s="8"/>
    </row>
    <row r="5623">
      <c r="A5623" s="9" t="str">
        <f>IFERROR(__xludf.DUMMYFUNCTION("""COMPUTED_VALUE"""),"Batch 287")</f>
        <v>Batch 287</v>
      </c>
      <c r="B5623" s="9" t="str">
        <f>IFERROR(__xludf.DUMMYFUNCTION("""COMPUTED_VALUE"""),"AniketC87")</f>
        <v>AniketC87</v>
      </c>
      <c r="C5623" s="8">
        <f>IFERROR(__xludf.DUMMYFUNCTION("""COMPUTED_VALUE"""),0.0)</f>
        <v>0</v>
      </c>
      <c r="D5623" s="8"/>
    </row>
    <row r="5624">
      <c r="A5624" s="9" t="str">
        <f>IFERROR(__xludf.DUMMYFUNCTION("""COMPUTED_VALUE"""),"Batch 287")</f>
        <v>Batch 287</v>
      </c>
      <c r="B5624" s="9" t="str">
        <f>IFERROR(__xludf.DUMMYFUNCTION("""COMPUTED_VALUE"""),"RiddhiC87")</f>
        <v>RiddhiC87</v>
      </c>
      <c r="C5624" s="8">
        <f>IFERROR(__xludf.DUMMYFUNCTION("""COMPUTED_VALUE"""),0.0)</f>
        <v>0</v>
      </c>
      <c r="D5624" s="8"/>
    </row>
    <row r="5625">
      <c r="A5625" s="9" t="str">
        <f>IFERROR(__xludf.DUMMYFUNCTION("""COMPUTED_VALUE"""),"Batch 287")</f>
        <v>Batch 287</v>
      </c>
      <c r="B5625" s="9" t="str">
        <f>IFERROR(__xludf.DUMMYFUNCTION("""COMPUTED_VALUE"""),"HarshithaC87")</f>
        <v>HarshithaC87</v>
      </c>
      <c r="C5625" s="8">
        <f>IFERROR(__xludf.DUMMYFUNCTION("""COMPUTED_VALUE"""),0.0)</f>
        <v>0</v>
      </c>
      <c r="D5625" s="8"/>
    </row>
    <row r="5626">
      <c r="A5626" s="9" t="str">
        <f>IFERROR(__xludf.DUMMYFUNCTION("""COMPUTED_VALUE"""),"Batch 287")</f>
        <v>Batch 287</v>
      </c>
      <c r="B5626" s="9" t="str">
        <f>IFERROR(__xludf.DUMMYFUNCTION("""COMPUTED_VALUE"""),"VarshaC87")</f>
        <v>VarshaC87</v>
      </c>
      <c r="C5626" s="8">
        <f>IFERROR(__xludf.DUMMYFUNCTION("""COMPUTED_VALUE"""),0.0)</f>
        <v>0</v>
      </c>
      <c r="D5626" s="8"/>
    </row>
    <row r="5627">
      <c r="A5627" s="9" t="str">
        <f>IFERROR(__xludf.DUMMYFUNCTION("""COMPUTED_VALUE"""),"Batch 287")</f>
        <v>Batch 287</v>
      </c>
      <c r="B5627" s="9" t="str">
        <f>IFERROR(__xludf.DUMMYFUNCTION("""COMPUTED_VALUE"""),"GungunC87")</f>
        <v>GungunC87</v>
      </c>
      <c r="C5627" s="8">
        <f>IFERROR(__xludf.DUMMYFUNCTION("""COMPUTED_VALUE"""),0.0)</f>
        <v>0</v>
      </c>
      <c r="D5627" s="8"/>
    </row>
    <row r="5628">
      <c r="A5628" s="9" t="str">
        <f>IFERROR(__xludf.DUMMYFUNCTION("""COMPUTED_VALUE"""),"Batch 287")</f>
        <v>Batch 287</v>
      </c>
      <c r="B5628" s="9" t="str">
        <f>IFERROR(__xludf.DUMMYFUNCTION("""COMPUTED_VALUE"""),"SonamC87")</f>
        <v>SonamC87</v>
      </c>
      <c r="C5628" s="8">
        <f>IFERROR(__xludf.DUMMYFUNCTION("""COMPUTED_VALUE"""),0.0)</f>
        <v>0</v>
      </c>
      <c r="D5628" s="8"/>
    </row>
    <row r="5629">
      <c r="A5629" s="9" t="str">
        <f>IFERROR(__xludf.DUMMYFUNCTION("""COMPUTED_VALUE"""),"Batch 287")</f>
        <v>Batch 287</v>
      </c>
      <c r="B5629" s="9" t="str">
        <f>IFERROR(__xludf.DUMMYFUNCTION("""COMPUTED_VALUE"""),"NevyC87")</f>
        <v>NevyC87</v>
      </c>
      <c r="C5629" s="8">
        <f>IFERROR(__xludf.DUMMYFUNCTION("""COMPUTED_VALUE"""),0.0)</f>
        <v>0</v>
      </c>
      <c r="D5629" s="8"/>
    </row>
    <row r="5630">
      <c r="A5630" s="9" t="str">
        <f>IFERROR(__xludf.DUMMYFUNCTION("""COMPUTED_VALUE"""),"Batch 287")</f>
        <v>Batch 287</v>
      </c>
      <c r="B5630" s="9" t="str">
        <f>IFERROR(__xludf.DUMMYFUNCTION("""COMPUTED_VALUE"""),"UjjwalC87")</f>
        <v>UjjwalC87</v>
      </c>
      <c r="C5630" s="8">
        <f>IFERROR(__xludf.DUMMYFUNCTION("""COMPUTED_VALUE"""),0.0)</f>
        <v>0</v>
      </c>
      <c r="D5630" s="8"/>
    </row>
    <row r="5631">
      <c r="A5631" s="9" t="str">
        <f>IFERROR(__xludf.DUMMYFUNCTION("""COMPUTED_VALUE"""),"Batch 287")</f>
        <v>Batch 287</v>
      </c>
      <c r="B5631" s="9" t="str">
        <f>IFERROR(__xludf.DUMMYFUNCTION("""COMPUTED_VALUE"""),"RishabhC87")</f>
        <v>RishabhC87</v>
      </c>
      <c r="C5631" s="8">
        <f>IFERROR(__xludf.DUMMYFUNCTION("""COMPUTED_VALUE"""),0.0)</f>
        <v>0</v>
      </c>
      <c r="D5631" s="8"/>
    </row>
    <row r="5632">
      <c r="A5632" s="9" t="str">
        <f>IFERROR(__xludf.DUMMYFUNCTION("""COMPUTED_VALUE"""),"Batch 287")</f>
        <v>Batch 287</v>
      </c>
      <c r="B5632" s="9" t="str">
        <f>IFERROR(__xludf.DUMMYFUNCTION("""COMPUTED_VALUE"""),"DiyaC87")</f>
        <v>DiyaC87</v>
      </c>
      <c r="C5632" s="8">
        <f>IFERROR(__xludf.DUMMYFUNCTION("""COMPUTED_VALUE"""),0.0)</f>
        <v>0</v>
      </c>
      <c r="D5632" s="8"/>
    </row>
    <row r="5633">
      <c r="A5633" s="9" t="str">
        <f>IFERROR(__xludf.DUMMYFUNCTION("""COMPUTED_VALUE"""),"Batch 287")</f>
        <v>Batch 287</v>
      </c>
      <c r="B5633" s="9" t="str">
        <f>IFERROR(__xludf.DUMMYFUNCTION("""COMPUTED_VALUE"""),"MylabathulaC87")</f>
        <v>MylabathulaC87</v>
      </c>
      <c r="C5633" s="8">
        <f>IFERROR(__xludf.DUMMYFUNCTION("""COMPUTED_VALUE"""),0.0)</f>
        <v>0</v>
      </c>
      <c r="D5633" s="8"/>
    </row>
    <row r="5634">
      <c r="A5634" s="9" t="str">
        <f>IFERROR(__xludf.DUMMYFUNCTION("""COMPUTED_VALUE"""),"Batch 287")</f>
        <v>Batch 287</v>
      </c>
      <c r="B5634" s="9" t="str">
        <f>IFERROR(__xludf.DUMMYFUNCTION("""COMPUTED_VALUE"""),"PoonamC87")</f>
        <v>PoonamC87</v>
      </c>
      <c r="C5634" s="8">
        <f>IFERROR(__xludf.DUMMYFUNCTION("""COMPUTED_VALUE"""),7.0)</f>
        <v>7</v>
      </c>
      <c r="D5634" s="8"/>
    </row>
    <row r="5635">
      <c r="A5635" s="9"/>
      <c r="B5635" s="9"/>
      <c r="C5635" s="8">
        <f>IFERROR(__xludf.DUMMYFUNCTION("""COMPUTED_VALUE"""),0.0)</f>
        <v>0</v>
      </c>
      <c r="D5635" s="8"/>
    </row>
    <row r="5636">
      <c r="A5636" s="9" t="str">
        <f>IFERROR(__xludf.DUMMYFUNCTION("""COMPUTED_VALUE"""),"Batch 288")</f>
        <v>Batch 288</v>
      </c>
      <c r="B5636" s="9" t="str">
        <f>IFERROR(__xludf.DUMMYFUNCTION("""COMPUTED_VALUE"""),"SARISHTIC88")</f>
        <v>SARISHTIC88</v>
      </c>
      <c r="C5636" s="8">
        <f>IFERROR(__xludf.DUMMYFUNCTION("""COMPUTED_VALUE"""),0.0)</f>
        <v>0</v>
      </c>
      <c r="D5636" s="8"/>
    </row>
    <row r="5637">
      <c r="A5637" s="9" t="str">
        <f>IFERROR(__xludf.DUMMYFUNCTION("""COMPUTED_VALUE"""),"Batch 288")</f>
        <v>Batch 288</v>
      </c>
      <c r="B5637" s="9" t="str">
        <f>IFERROR(__xludf.DUMMYFUNCTION("""COMPUTED_VALUE"""),"PoorvikaC88")</f>
        <v>PoorvikaC88</v>
      </c>
      <c r="C5637" s="8">
        <f>IFERROR(__xludf.DUMMYFUNCTION("""COMPUTED_VALUE"""),0.0)</f>
        <v>0</v>
      </c>
      <c r="D5637" s="8"/>
    </row>
    <row r="5638">
      <c r="A5638" s="9" t="str">
        <f>IFERROR(__xludf.DUMMYFUNCTION("""COMPUTED_VALUE"""),"Batch 288")</f>
        <v>Batch 288</v>
      </c>
      <c r="B5638" s="9" t="str">
        <f>IFERROR(__xludf.DUMMYFUNCTION("""COMPUTED_VALUE"""),"AnshikaC88")</f>
        <v>AnshikaC88</v>
      </c>
      <c r="C5638" s="8">
        <f>IFERROR(__xludf.DUMMYFUNCTION("""COMPUTED_VALUE"""),0.0)</f>
        <v>0</v>
      </c>
      <c r="D5638" s="8"/>
    </row>
    <row r="5639">
      <c r="A5639" s="9" t="str">
        <f>IFERROR(__xludf.DUMMYFUNCTION("""COMPUTED_VALUE"""),"Batch 288")</f>
        <v>Batch 288</v>
      </c>
      <c r="B5639" s="9" t="str">
        <f>IFERROR(__xludf.DUMMYFUNCTION("""COMPUTED_VALUE"""),"VishnuC88")</f>
        <v>VishnuC88</v>
      </c>
      <c r="C5639" s="8">
        <f>IFERROR(__xludf.DUMMYFUNCTION("""COMPUTED_VALUE"""),0.0)</f>
        <v>0</v>
      </c>
      <c r="D5639" s="8"/>
    </row>
    <row r="5640">
      <c r="A5640" s="9" t="str">
        <f>IFERROR(__xludf.DUMMYFUNCTION("""COMPUTED_VALUE"""),"Batch 288")</f>
        <v>Batch 288</v>
      </c>
      <c r="B5640" s="9" t="str">
        <f>IFERROR(__xludf.DUMMYFUNCTION("""COMPUTED_VALUE"""),"PC88")</f>
        <v>PC88</v>
      </c>
      <c r="C5640" s="8">
        <f>IFERROR(__xludf.DUMMYFUNCTION("""COMPUTED_VALUE"""),0.0)</f>
        <v>0</v>
      </c>
      <c r="D5640" s="8"/>
    </row>
    <row r="5641">
      <c r="A5641" s="9" t="str">
        <f>IFERROR(__xludf.DUMMYFUNCTION("""COMPUTED_VALUE"""),"Batch 288")</f>
        <v>Batch 288</v>
      </c>
      <c r="B5641" s="9" t="str">
        <f>IFERROR(__xludf.DUMMYFUNCTION("""COMPUTED_VALUE"""),"DiyaC88")</f>
        <v>DiyaC88</v>
      </c>
      <c r="C5641" s="8">
        <f>IFERROR(__xludf.DUMMYFUNCTION("""COMPUTED_VALUE"""),0.0)</f>
        <v>0</v>
      </c>
      <c r="D5641" s="8"/>
    </row>
    <row r="5642">
      <c r="A5642" s="9" t="str">
        <f>IFERROR(__xludf.DUMMYFUNCTION("""COMPUTED_VALUE"""),"Batch 288")</f>
        <v>Batch 288</v>
      </c>
      <c r="B5642" s="9" t="str">
        <f>IFERROR(__xludf.DUMMYFUNCTION("""COMPUTED_VALUE"""),"omarC88")</f>
        <v>omarC88</v>
      </c>
      <c r="C5642" s="8">
        <f>IFERROR(__xludf.DUMMYFUNCTION("""COMPUTED_VALUE"""),1.0)</f>
        <v>1</v>
      </c>
      <c r="D5642" s="8"/>
    </row>
    <row r="5643">
      <c r="A5643" s="9" t="str">
        <f>IFERROR(__xludf.DUMMYFUNCTION("""COMPUTED_VALUE"""),"Batch 288")</f>
        <v>Batch 288</v>
      </c>
      <c r="B5643" s="9" t="str">
        <f>IFERROR(__xludf.DUMMYFUNCTION("""COMPUTED_VALUE"""),"UpasanaC88")</f>
        <v>UpasanaC88</v>
      </c>
      <c r="C5643" s="8">
        <f>IFERROR(__xludf.DUMMYFUNCTION("""COMPUTED_VALUE"""),2.0)</f>
        <v>2</v>
      </c>
      <c r="D5643" s="8">
        <f>IFERROR(__xludf.DUMMYFUNCTION("""COMPUTED_VALUE"""),1.0)</f>
        <v>1</v>
      </c>
    </row>
    <row r="5644">
      <c r="A5644" s="9" t="str">
        <f>IFERROR(__xludf.DUMMYFUNCTION("""COMPUTED_VALUE"""),"Batch 288")</f>
        <v>Batch 288</v>
      </c>
      <c r="B5644" s="9" t="str">
        <f>IFERROR(__xludf.DUMMYFUNCTION("""COMPUTED_VALUE"""),"AradhyaC88")</f>
        <v>AradhyaC88</v>
      </c>
      <c r="C5644" s="8">
        <f>IFERROR(__xludf.DUMMYFUNCTION("""COMPUTED_VALUE"""),0.0)</f>
        <v>0</v>
      </c>
      <c r="D5644" s="8"/>
    </row>
    <row r="5645">
      <c r="A5645" s="9" t="str">
        <f>IFERROR(__xludf.DUMMYFUNCTION("""COMPUTED_VALUE"""),"Batch 288")</f>
        <v>Batch 288</v>
      </c>
      <c r="B5645" s="9" t="str">
        <f>IFERROR(__xludf.DUMMYFUNCTION("""COMPUTED_VALUE"""),"AbhishekC88")</f>
        <v>AbhishekC88</v>
      </c>
      <c r="C5645" s="8">
        <f>IFERROR(__xludf.DUMMYFUNCTION("""COMPUTED_VALUE"""),0.0)</f>
        <v>0</v>
      </c>
      <c r="D5645" s="8"/>
    </row>
    <row r="5646">
      <c r="A5646" s="9" t="str">
        <f>IFERROR(__xludf.DUMMYFUNCTION("""COMPUTED_VALUE"""),"Batch 288")</f>
        <v>Batch 288</v>
      </c>
      <c r="B5646" s="9" t="str">
        <f>IFERROR(__xludf.DUMMYFUNCTION("""COMPUTED_VALUE"""),"MayankC88")</f>
        <v>MayankC88</v>
      </c>
      <c r="C5646" s="8">
        <f>IFERROR(__xludf.DUMMYFUNCTION("""COMPUTED_VALUE"""),2.0)</f>
        <v>2</v>
      </c>
      <c r="D5646" s="8"/>
    </row>
    <row r="5647">
      <c r="A5647" s="9" t="str">
        <f>IFERROR(__xludf.DUMMYFUNCTION("""COMPUTED_VALUE"""),"Batch 288")</f>
        <v>Batch 288</v>
      </c>
      <c r="B5647" s="9" t="str">
        <f>IFERROR(__xludf.DUMMYFUNCTION("""COMPUTED_VALUE"""),"somyaC88")</f>
        <v>somyaC88</v>
      </c>
      <c r="C5647" s="8">
        <f>IFERROR(__xludf.DUMMYFUNCTION("""COMPUTED_VALUE"""),0.0)</f>
        <v>0</v>
      </c>
      <c r="D5647" s="8"/>
    </row>
    <row r="5648">
      <c r="A5648" s="9" t="str">
        <f>IFERROR(__xludf.DUMMYFUNCTION("""COMPUTED_VALUE"""),"Batch 288")</f>
        <v>Batch 288</v>
      </c>
      <c r="B5648" s="9" t="str">
        <f>IFERROR(__xludf.DUMMYFUNCTION("""COMPUTED_VALUE"""),"SushmaC88")</f>
        <v>SushmaC88</v>
      </c>
      <c r="C5648" s="8">
        <f>IFERROR(__xludf.DUMMYFUNCTION("""COMPUTED_VALUE"""),0.0)</f>
        <v>0</v>
      </c>
      <c r="D5648" s="8"/>
    </row>
    <row r="5649">
      <c r="A5649" s="9" t="str">
        <f>IFERROR(__xludf.DUMMYFUNCTION("""COMPUTED_VALUE"""),"Batch 288")</f>
        <v>Batch 288</v>
      </c>
      <c r="B5649" s="9" t="str">
        <f>IFERROR(__xludf.DUMMYFUNCTION("""COMPUTED_VALUE"""),"AnanyaC88")</f>
        <v>AnanyaC88</v>
      </c>
      <c r="C5649" s="8">
        <f>IFERROR(__xludf.DUMMYFUNCTION("""COMPUTED_VALUE"""),0.0)</f>
        <v>0</v>
      </c>
      <c r="D5649" s="8"/>
    </row>
    <row r="5650">
      <c r="A5650" s="9" t="str">
        <f>IFERROR(__xludf.DUMMYFUNCTION("""COMPUTED_VALUE"""),"Batch 288")</f>
        <v>Batch 288</v>
      </c>
      <c r="B5650" s="9" t="str">
        <f>IFERROR(__xludf.DUMMYFUNCTION("""COMPUTED_VALUE"""),"NitinC88")</f>
        <v>NitinC88</v>
      </c>
      <c r="C5650" s="8">
        <f>IFERROR(__xludf.DUMMYFUNCTION("""COMPUTED_VALUE"""),0.0)</f>
        <v>0</v>
      </c>
      <c r="D5650" s="8"/>
    </row>
    <row r="5651">
      <c r="A5651" s="9" t="str">
        <f>IFERROR(__xludf.DUMMYFUNCTION("""COMPUTED_VALUE"""),"Batch 288")</f>
        <v>Batch 288</v>
      </c>
      <c r="B5651" s="9" t="str">
        <f>IFERROR(__xludf.DUMMYFUNCTION("""COMPUTED_VALUE"""),"ritikeshC88")</f>
        <v>ritikeshC88</v>
      </c>
      <c r="C5651" s="8">
        <f>IFERROR(__xludf.DUMMYFUNCTION("""COMPUTED_VALUE"""),0.0)</f>
        <v>0</v>
      </c>
      <c r="D5651" s="8"/>
    </row>
    <row r="5652">
      <c r="A5652" s="9" t="str">
        <f>IFERROR(__xludf.DUMMYFUNCTION("""COMPUTED_VALUE"""),"Batch 288")</f>
        <v>Batch 288</v>
      </c>
      <c r="B5652" s="9" t="str">
        <f>IFERROR(__xludf.DUMMYFUNCTION("""COMPUTED_VALUE"""),"PrabhatC88")</f>
        <v>PrabhatC88</v>
      </c>
      <c r="C5652" s="8">
        <f>IFERROR(__xludf.DUMMYFUNCTION("""COMPUTED_VALUE"""),0.0)</f>
        <v>0</v>
      </c>
      <c r="D5652" s="8"/>
    </row>
    <row r="5653">
      <c r="A5653" s="9" t="str">
        <f>IFERROR(__xludf.DUMMYFUNCTION("""COMPUTED_VALUE"""),"Batch 288")</f>
        <v>Batch 288</v>
      </c>
      <c r="B5653" s="9" t="str">
        <f>IFERROR(__xludf.DUMMYFUNCTION("""COMPUTED_VALUE"""),"KunjirC88")</f>
        <v>KunjirC88</v>
      </c>
      <c r="C5653" s="8">
        <f>IFERROR(__xludf.DUMMYFUNCTION("""COMPUTED_VALUE"""),30.0)</f>
        <v>30</v>
      </c>
      <c r="D5653" s="8">
        <f>IFERROR(__xludf.DUMMYFUNCTION("""COMPUTED_VALUE"""),6.0)</f>
        <v>6</v>
      </c>
    </row>
    <row r="5654">
      <c r="A5654" s="9" t="str">
        <f>IFERROR(__xludf.DUMMYFUNCTION("""COMPUTED_VALUE"""),"Batch 288")</f>
        <v>Batch 288</v>
      </c>
      <c r="B5654" s="9" t="str">
        <f>IFERROR(__xludf.DUMMYFUNCTION("""COMPUTED_VALUE"""),"ShubhamC88")</f>
        <v>ShubhamC88</v>
      </c>
      <c r="C5654" s="8">
        <f>IFERROR(__xludf.DUMMYFUNCTION("""COMPUTED_VALUE"""),0.0)</f>
        <v>0</v>
      </c>
      <c r="D5654" s="8"/>
    </row>
    <row r="5655">
      <c r="A5655" s="9" t="str">
        <f>IFERROR(__xludf.DUMMYFUNCTION("""COMPUTED_VALUE"""),"Batch 288")</f>
        <v>Batch 288</v>
      </c>
      <c r="B5655" s="9" t="str">
        <f>IFERROR(__xludf.DUMMYFUNCTION("""COMPUTED_VALUE"""),"MahiC88")</f>
        <v>MahiC88</v>
      </c>
      <c r="C5655" s="8">
        <f>IFERROR(__xludf.DUMMYFUNCTION("""COMPUTED_VALUE"""),0.0)</f>
        <v>0</v>
      </c>
      <c r="D5655" s="8"/>
    </row>
    <row r="5656">
      <c r="A5656" s="9" t="str">
        <f>IFERROR(__xludf.DUMMYFUNCTION("""COMPUTED_VALUE"""),"Batch 288")</f>
        <v>Batch 288</v>
      </c>
      <c r="B5656" s="9" t="str">
        <f>IFERROR(__xludf.DUMMYFUNCTION("""COMPUTED_VALUE"""),"BhavyC88")</f>
        <v>BhavyC88</v>
      </c>
      <c r="C5656" s="8">
        <f>IFERROR(__xludf.DUMMYFUNCTION("""COMPUTED_VALUE"""),0.0)</f>
        <v>0</v>
      </c>
      <c r="D5656" s="8"/>
    </row>
    <row r="5657">
      <c r="A5657" s="9" t="str">
        <f>IFERROR(__xludf.DUMMYFUNCTION("""COMPUTED_VALUE"""),"Batch 288")</f>
        <v>Batch 288</v>
      </c>
      <c r="B5657" s="9" t="str">
        <f>IFERROR(__xludf.DUMMYFUNCTION("""COMPUTED_VALUE"""),"AreebC88")</f>
        <v>AreebC88</v>
      </c>
      <c r="C5657" s="8">
        <f>IFERROR(__xludf.DUMMYFUNCTION("""COMPUTED_VALUE"""),0.0)</f>
        <v>0</v>
      </c>
      <c r="D5657" s="8"/>
    </row>
    <row r="5658">
      <c r="A5658" s="9" t="str">
        <f>IFERROR(__xludf.DUMMYFUNCTION("""COMPUTED_VALUE"""),"Batch 288")</f>
        <v>Batch 288</v>
      </c>
      <c r="B5658" s="9" t="str">
        <f>IFERROR(__xludf.DUMMYFUNCTION("""COMPUTED_VALUE"""),"VinayC88")</f>
        <v>VinayC88</v>
      </c>
      <c r="C5658" s="8">
        <f>IFERROR(__xludf.DUMMYFUNCTION("""COMPUTED_VALUE"""),0.0)</f>
        <v>0</v>
      </c>
      <c r="D5658" s="8"/>
    </row>
    <row r="5659">
      <c r="A5659" s="9"/>
      <c r="B5659" s="9"/>
      <c r="C5659" s="8">
        <f>IFERROR(__xludf.DUMMYFUNCTION("""COMPUTED_VALUE"""),0.0)</f>
        <v>0</v>
      </c>
      <c r="D5659" s="8"/>
    </row>
    <row r="5660">
      <c r="A5660" s="9" t="str">
        <f>IFERROR(__xludf.DUMMYFUNCTION("""COMPUTED_VALUE"""),"Batch 289")</f>
        <v>Batch 289</v>
      </c>
      <c r="B5660" s="9" t="str">
        <f>IFERROR(__xludf.DUMMYFUNCTION("""COMPUTED_VALUE"""),"VishveshC89")</f>
        <v>VishveshC89</v>
      </c>
      <c r="C5660" s="8">
        <f>IFERROR(__xludf.DUMMYFUNCTION("""COMPUTED_VALUE"""),0.0)</f>
        <v>0</v>
      </c>
      <c r="D5660" s="8"/>
    </row>
    <row r="5661">
      <c r="A5661" s="9" t="str">
        <f>IFERROR(__xludf.DUMMYFUNCTION("""COMPUTED_VALUE"""),"Batch 289")</f>
        <v>Batch 289</v>
      </c>
      <c r="B5661" s="9" t="str">
        <f>IFERROR(__xludf.DUMMYFUNCTION("""COMPUTED_VALUE"""),"MonikaC89")</f>
        <v>MonikaC89</v>
      </c>
      <c r="C5661" s="8">
        <f>IFERROR(__xludf.DUMMYFUNCTION("""COMPUTED_VALUE"""),0.0)</f>
        <v>0</v>
      </c>
      <c r="D5661" s="8"/>
    </row>
    <row r="5662">
      <c r="A5662" s="9" t="str">
        <f>IFERROR(__xludf.DUMMYFUNCTION("""COMPUTED_VALUE"""),"Batch 289")</f>
        <v>Batch 289</v>
      </c>
      <c r="B5662" s="9" t="str">
        <f>IFERROR(__xludf.DUMMYFUNCTION("""COMPUTED_VALUE"""),"KhushiC89")</f>
        <v>KhushiC89</v>
      </c>
      <c r="C5662" s="8">
        <f>IFERROR(__xludf.DUMMYFUNCTION("""COMPUTED_VALUE"""),0.0)</f>
        <v>0</v>
      </c>
      <c r="D5662" s="8"/>
    </row>
    <row r="5663">
      <c r="A5663" s="9" t="str">
        <f>IFERROR(__xludf.DUMMYFUNCTION("""COMPUTED_VALUE"""),"Batch 289")</f>
        <v>Batch 289</v>
      </c>
      <c r="B5663" s="9" t="str">
        <f>IFERROR(__xludf.DUMMYFUNCTION("""COMPUTED_VALUE"""),"THANUSHC89")</f>
        <v>THANUSHC89</v>
      </c>
      <c r="C5663" s="8">
        <f>IFERROR(__xludf.DUMMYFUNCTION("""COMPUTED_VALUE"""),90.0)</f>
        <v>90</v>
      </c>
      <c r="D5663" s="8">
        <f>IFERROR(__xludf.DUMMYFUNCTION("""COMPUTED_VALUE"""),64.0)</f>
        <v>64</v>
      </c>
    </row>
    <row r="5664">
      <c r="A5664" s="9" t="str">
        <f>IFERROR(__xludf.DUMMYFUNCTION("""COMPUTED_VALUE"""),"Batch 289")</f>
        <v>Batch 289</v>
      </c>
      <c r="B5664" s="9" t="str">
        <f>IFERROR(__xludf.DUMMYFUNCTION("""COMPUTED_VALUE"""),"AkhilaC89")</f>
        <v>AkhilaC89</v>
      </c>
      <c r="C5664" s="8">
        <f>IFERROR(__xludf.DUMMYFUNCTION("""COMPUTED_VALUE"""),0.0)</f>
        <v>0</v>
      </c>
      <c r="D5664" s="8"/>
    </row>
    <row r="5665">
      <c r="A5665" s="9" t="str">
        <f>IFERROR(__xludf.DUMMYFUNCTION("""COMPUTED_VALUE"""),"Batch 289")</f>
        <v>Batch 289</v>
      </c>
      <c r="B5665" s="9" t="str">
        <f>IFERROR(__xludf.DUMMYFUNCTION("""COMPUTED_VALUE"""),"SujithC89")</f>
        <v>SujithC89</v>
      </c>
      <c r="C5665" s="8">
        <f>IFERROR(__xludf.DUMMYFUNCTION("""COMPUTED_VALUE"""),0.0)</f>
        <v>0</v>
      </c>
      <c r="D5665" s="8"/>
    </row>
    <row r="5666">
      <c r="A5666" s="9" t="str">
        <f>IFERROR(__xludf.DUMMYFUNCTION("""COMPUTED_VALUE"""),"Batch 289")</f>
        <v>Batch 289</v>
      </c>
      <c r="B5666" s="9" t="str">
        <f>IFERROR(__xludf.DUMMYFUNCTION("""COMPUTED_VALUE"""),"AanchalC89")</f>
        <v>AanchalC89</v>
      </c>
      <c r="C5666" s="8">
        <f>IFERROR(__xludf.DUMMYFUNCTION("""COMPUTED_VALUE"""),0.0)</f>
        <v>0</v>
      </c>
      <c r="D5666" s="8"/>
    </row>
    <row r="5667">
      <c r="A5667" s="9" t="str">
        <f>IFERROR(__xludf.DUMMYFUNCTION("""COMPUTED_VALUE"""),"Batch 289")</f>
        <v>Batch 289</v>
      </c>
      <c r="B5667" s="9" t="str">
        <f>IFERROR(__xludf.DUMMYFUNCTION("""COMPUTED_VALUE"""),"DevanshiC89")</f>
        <v>DevanshiC89</v>
      </c>
      <c r="C5667" s="8">
        <f>IFERROR(__xludf.DUMMYFUNCTION("""COMPUTED_VALUE"""),0.0)</f>
        <v>0</v>
      </c>
      <c r="D5667" s="8"/>
    </row>
    <row r="5668">
      <c r="A5668" s="9" t="str">
        <f>IFERROR(__xludf.DUMMYFUNCTION("""COMPUTED_VALUE"""),"Batch 289")</f>
        <v>Batch 289</v>
      </c>
      <c r="B5668" s="9" t="str">
        <f>IFERROR(__xludf.DUMMYFUNCTION("""COMPUTED_VALUE"""),"GiftlinC89")</f>
        <v>GiftlinC89</v>
      </c>
      <c r="C5668" s="8">
        <f>IFERROR(__xludf.DUMMYFUNCTION("""COMPUTED_VALUE"""),0.0)</f>
        <v>0</v>
      </c>
      <c r="D5668" s="8"/>
    </row>
    <row r="5669">
      <c r="A5669" s="9" t="str">
        <f>IFERROR(__xludf.DUMMYFUNCTION("""COMPUTED_VALUE"""),"Batch 289")</f>
        <v>Batch 289</v>
      </c>
      <c r="B5669" s="9" t="str">
        <f>IFERROR(__xludf.DUMMYFUNCTION("""COMPUTED_VALUE"""),"AishC89")</f>
        <v>AishC89</v>
      </c>
      <c r="C5669" s="8">
        <f>IFERROR(__xludf.DUMMYFUNCTION("""COMPUTED_VALUE"""),0.0)</f>
        <v>0</v>
      </c>
      <c r="D5669" s="8"/>
    </row>
    <row r="5670">
      <c r="A5670" s="9" t="str">
        <f>IFERROR(__xludf.DUMMYFUNCTION("""COMPUTED_VALUE"""),"Batch 289")</f>
        <v>Batch 289</v>
      </c>
      <c r="B5670" s="9" t="str">
        <f>IFERROR(__xludf.DUMMYFUNCTION("""COMPUTED_VALUE"""),"HemanshC89")</f>
        <v>HemanshC89</v>
      </c>
      <c r="C5670" s="8">
        <f>IFERROR(__xludf.DUMMYFUNCTION("""COMPUTED_VALUE"""),0.0)</f>
        <v>0</v>
      </c>
      <c r="D5670" s="8"/>
    </row>
    <row r="5671">
      <c r="A5671" s="9" t="str">
        <f>IFERROR(__xludf.DUMMYFUNCTION("""COMPUTED_VALUE"""),"Batch 289")</f>
        <v>Batch 289</v>
      </c>
      <c r="B5671" s="9" t="str">
        <f>IFERROR(__xludf.DUMMYFUNCTION("""COMPUTED_VALUE"""),"YashikaC89")</f>
        <v>YashikaC89</v>
      </c>
      <c r="C5671" s="8">
        <f>IFERROR(__xludf.DUMMYFUNCTION("""COMPUTED_VALUE"""),0.0)</f>
        <v>0</v>
      </c>
      <c r="D5671" s="8"/>
    </row>
    <row r="5672">
      <c r="A5672" s="9" t="str">
        <f>IFERROR(__xludf.DUMMYFUNCTION("""COMPUTED_VALUE"""),"Batch 289")</f>
        <v>Batch 289</v>
      </c>
      <c r="B5672" s="9" t="str">
        <f>IFERROR(__xludf.DUMMYFUNCTION("""COMPUTED_VALUE"""),"SatwikC89")</f>
        <v>SatwikC89</v>
      </c>
      <c r="C5672" s="8">
        <f>IFERROR(__xludf.DUMMYFUNCTION("""COMPUTED_VALUE"""),0.0)</f>
        <v>0</v>
      </c>
      <c r="D5672" s="8"/>
    </row>
    <row r="5673">
      <c r="A5673" s="9" t="str">
        <f>IFERROR(__xludf.DUMMYFUNCTION("""COMPUTED_VALUE"""),"Batch 289")</f>
        <v>Batch 289</v>
      </c>
      <c r="B5673" s="9" t="str">
        <f>IFERROR(__xludf.DUMMYFUNCTION("""COMPUTED_VALUE"""),"SamrinC89")</f>
        <v>SamrinC89</v>
      </c>
      <c r="C5673" s="8">
        <f>IFERROR(__xludf.DUMMYFUNCTION("""COMPUTED_VALUE"""),0.0)</f>
        <v>0</v>
      </c>
      <c r="D5673" s="8"/>
    </row>
    <row r="5674">
      <c r="A5674" s="9" t="str">
        <f>IFERROR(__xludf.DUMMYFUNCTION("""COMPUTED_VALUE"""),"Batch 289")</f>
        <v>Batch 289</v>
      </c>
      <c r="B5674" s="9" t="str">
        <f>IFERROR(__xludf.DUMMYFUNCTION("""COMPUTED_VALUE"""),"MohammedC89")</f>
        <v>MohammedC89</v>
      </c>
      <c r="C5674" s="8">
        <f>IFERROR(__xludf.DUMMYFUNCTION("""COMPUTED_VALUE"""),0.0)</f>
        <v>0</v>
      </c>
      <c r="D5674" s="8"/>
    </row>
    <row r="5675">
      <c r="A5675" s="9" t="str">
        <f>IFERROR(__xludf.DUMMYFUNCTION("""COMPUTED_VALUE"""),"Batch 289")</f>
        <v>Batch 289</v>
      </c>
      <c r="B5675" s="9" t="str">
        <f>IFERROR(__xludf.DUMMYFUNCTION("""COMPUTED_VALUE"""),"MudavathC89")</f>
        <v>MudavathC89</v>
      </c>
      <c r="C5675" s="8">
        <f>IFERROR(__xludf.DUMMYFUNCTION("""COMPUTED_VALUE"""),0.0)</f>
        <v>0</v>
      </c>
      <c r="D5675" s="8"/>
    </row>
    <row r="5676">
      <c r="A5676" s="9" t="str">
        <f>IFERROR(__xludf.DUMMYFUNCTION("""COMPUTED_VALUE"""),"Batch 289")</f>
        <v>Batch 289</v>
      </c>
      <c r="B5676" s="9" t="str">
        <f>IFERROR(__xludf.DUMMYFUNCTION("""COMPUTED_VALUE"""),"ShatakshiC89")</f>
        <v>ShatakshiC89</v>
      </c>
      <c r="C5676" s="8">
        <f>IFERROR(__xludf.DUMMYFUNCTION("""COMPUTED_VALUE"""),0.0)</f>
        <v>0</v>
      </c>
      <c r="D5676" s="8"/>
    </row>
    <row r="5677">
      <c r="A5677" s="9" t="str">
        <f>IFERROR(__xludf.DUMMYFUNCTION("""COMPUTED_VALUE"""),"Batch 289")</f>
        <v>Batch 289</v>
      </c>
      <c r="B5677" s="9" t="str">
        <f>IFERROR(__xludf.DUMMYFUNCTION("""COMPUTED_VALUE"""),"TwinkleC89")</f>
        <v>TwinkleC89</v>
      </c>
      <c r="C5677" s="8">
        <f>IFERROR(__xludf.DUMMYFUNCTION("""COMPUTED_VALUE"""),0.0)</f>
        <v>0</v>
      </c>
      <c r="D5677" s="8"/>
    </row>
    <row r="5678">
      <c r="A5678" s="9" t="str">
        <f>IFERROR(__xludf.DUMMYFUNCTION("""COMPUTED_VALUE"""),"Batch 289")</f>
        <v>Batch 289</v>
      </c>
      <c r="B5678" s="9" t="str">
        <f>IFERROR(__xludf.DUMMYFUNCTION("""COMPUTED_VALUE"""),"AmitaC89")</f>
        <v>AmitaC89</v>
      </c>
      <c r="C5678" s="8">
        <f>IFERROR(__xludf.DUMMYFUNCTION("""COMPUTED_VALUE"""),0.0)</f>
        <v>0</v>
      </c>
      <c r="D5678" s="8"/>
    </row>
    <row r="5679">
      <c r="A5679" s="9" t="str">
        <f>IFERROR(__xludf.DUMMYFUNCTION("""COMPUTED_VALUE"""),"Batch 289")</f>
        <v>Batch 289</v>
      </c>
      <c r="B5679" s="9" t="str">
        <f>IFERROR(__xludf.DUMMYFUNCTION("""COMPUTED_VALUE"""),"RiyankaC89")</f>
        <v>RiyankaC89</v>
      </c>
      <c r="C5679" s="8">
        <f>IFERROR(__xludf.DUMMYFUNCTION("""COMPUTED_VALUE"""),5.0)</f>
        <v>5</v>
      </c>
      <c r="D5679" s="8">
        <f>IFERROR(__xludf.DUMMYFUNCTION("""COMPUTED_VALUE"""),3.0)</f>
        <v>3</v>
      </c>
    </row>
    <row r="5680">
      <c r="A5680" s="9" t="str">
        <f>IFERROR(__xludf.DUMMYFUNCTION("""COMPUTED_VALUE"""),"Batch 289")</f>
        <v>Batch 289</v>
      </c>
      <c r="B5680" s="9" t="str">
        <f>IFERROR(__xludf.DUMMYFUNCTION("""COMPUTED_VALUE"""),"ShreemathiC89")</f>
        <v>ShreemathiC89</v>
      </c>
      <c r="C5680" s="8">
        <f>IFERROR(__xludf.DUMMYFUNCTION("""COMPUTED_VALUE"""),0.0)</f>
        <v>0</v>
      </c>
      <c r="D5680" s="8"/>
    </row>
    <row r="5681">
      <c r="A5681" s="9" t="str">
        <f>IFERROR(__xludf.DUMMYFUNCTION("""COMPUTED_VALUE"""),"Batch 289")</f>
        <v>Batch 289</v>
      </c>
      <c r="B5681" s="9" t="str">
        <f>IFERROR(__xludf.DUMMYFUNCTION("""COMPUTED_VALUE"""),"ananyaC89")</f>
        <v>ananyaC89</v>
      </c>
      <c r="C5681" s="8">
        <f>IFERROR(__xludf.DUMMYFUNCTION("""COMPUTED_VALUE"""),0.0)</f>
        <v>0</v>
      </c>
      <c r="D5681" s="8"/>
    </row>
    <row r="5682">
      <c r="A5682" s="9" t="str">
        <f>IFERROR(__xludf.DUMMYFUNCTION("""COMPUTED_VALUE"""),"Batch 289")</f>
        <v>Batch 289</v>
      </c>
      <c r="B5682" s="9" t="str">
        <f>IFERROR(__xludf.DUMMYFUNCTION("""COMPUTED_VALUE"""),"SamikshaC89")</f>
        <v>SamikshaC89</v>
      </c>
      <c r="C5682" s="8">
        <f>IFERROR(__xludf.DUMMYFUNCTION("""COMPUTED_VALUE"""),0.0)</f>
        <v>0</v>
      </c>
      <c r="D5682" s="8"/>
    </row>
    <row r="5683">
      <c r="A5683" s="9" t="str">
        <f>IFERROR(__xludf.DUMMYFUNCTION("""COMPUTED_VALUE"""),"Batch 289")</f>
        <v>Batch 289</v>
      </c>
      <c r="B5683" s="9" t="str">
        <f>IFERROR(__xludf.DUMMYFUNCTION("""COMPUTED_VALUE"""),"GaneshC89")</f>
        <v>GaneshC89</v>
      </c>
      <c r="C5683" s="8">
        <f>IFERROR(__xludf.DUMMYFUNCTION("""COMPUTED_VALUE"""),0.0)</f>
        <v>0</v>
      </c>
      <c r="D5683" s="8"/>
    </row>
    <row r="5684">
      <c r="A5684" s="9" t="str">
        <f>IFERROR(__xludf.DUMMYFUNCTION("""COMPUTED_VALUE"""),"Batch 289")</f>
        <v>Batch 289</v>
      </c>
      <c r="B5684" s="9" t="str">
        <f>IFERROR(__xludf.DUMMYFUNCTION("""COMPUTED_VALUE"""),"NuaishC89")</f>
        <v>NuaishC89</v>
      </c>
      <c r="C5684" s="8">
        <f>IFERROR(__xludf.DUMMYFUNCTION("""COMPUTED_VALUE"""),0.0)</f>
        <v>0</v>
      </c>
      <c r="D5684" s="8"/>
    </row>
    <row r="5685">
      <c r="A5685" s="9" t="str">
        <f>IFERROR(__xludf.DUMMYFUNCTION("""COMPUTED_VALUE"""),"Batch 289")</f>
        <v>Batch 289</v>
      </c>
      <c r="B5685" s="9" t="str">
        <f>IFERROR(__xludf.DUMMYFUNCTION("""COMPUTED_VALUE"""),"MishikaaC89")</f>
        <v>MishikaaC89</v>
      </c>
      <c r="C5685" s="8">
        <f>IFERROR(__xludf.DUMMYFUNCTION("""COMPUTED_VALUE"""),17.0)</f>
        <v>17</v>
      </c>
      <c r="D5685" s="8">
        <f>IFERROR(__xludf.DUMMYFUNCTION("""COMPUTED_VALUE"""),1.0)</f>
        <v>1</v>
      </c>
    </row>
    <row r="5686">
      <c r="A5686" s="9" t="str">
        <f>IFERROR(__xludf.DUMMYFUNCTION("""COMPUTED_VALUE"""),"Batch 289")</f>
        <v>Batch 289</v>
      </c>
      <c r="B5686" s="9" t="str">
        <f>IFERROR(__xludf.DUMMYFUNCTION("""COMPUTED_VALUE"""),"sonaliC89")</f>
        <v>sonaliC89</v>
      </c>
      <c r="C5686" s="8">
        <f>IFERROR(__xludf.DUMMYFUNCTION("""COMPUTED_VALUE"""),0.0)</f>
        <v>0</v>
      </c>
      <c r="D5686" s="8"/>
    </row>
    <row r="5687">
      <c r="A5687" s="9" t="str">
        <f>IFERROR(__xludf.DUMMYFUNCTION("""COMPUTED_VALUE"""),"Batch 289")</f>
        <v>Batch 289</v>
      </c>
      <c r="B5687" s="9" t="str">
        <f>IFERROR(__xludf.DUMMYFUNCTION("""COMPUTED_VALUE"""),"K.C89")</f>
        <v>K.C89</v>
      </c>
      <c r="C5687" s="8">
        <f>IFERROR(__xludf.DUMMYFUNCTION("""COMPUTED_VALUE"""),0.0)</f>
        <v>0</v>
      </c>
      <c r="D5687" s="8"/>
    </row>
    <row r="5688">
      <c r="A5688" s="9" t="str">
        <f>IFERROR(__xludf.DUMMYFUNCTION("""COMPUTED_VALUE"""),"Batch 289")</f>
        <v>Batch 289</v>
      </c>
      <c r="B5688" s="9" t="str">
        <f>IFERROR(__xludf.DUMMYFUNCTION("""COMPUTED_VALUE"""),"HarshiniC89")</f>
        <v>HarshiniC89</v>
      </c>
      <c r="C5688" s="8">
        <f>IFERROR(__xludf.DUMMYFUNCTION("""COMPUTED_VALUE"""),0.0)</f>
        <v>0</v>
      </c>
      <c r="D5688" s="8"/>
    </row>
    <row r="5689">
      <c r="A5689" s="9" t="str">
        <f>IFERROR(__xludf.DUMMYFUNCTION("""COMPUTED_VALUE"""),"Batch 289")</f>
        <v>Batch 289</v>
      </c>
      <c r="B5689" s="9" t="str">
        <f>IFERROR(__xludf.DUMMYFUNCTION("""COMPUTED_VALUE"""),"AditiC89")</f>
        <v>AditiC89</v>
      </c>
      <c r="C5689" s="8">
        <f>IFERROR(__xludf.DUMMYFUNCTION("""COMPUTED_VALUE"""),0.0)</f>
        <v>0</v>
      </c>
      <c r="D5689" s="8"/>
    </row>
    <row r="5690">
      <c r="A5690" s="9" t="str">
        <f>IFERROR(__xludf.DUMMYFUNCTION("""COMPUTED_VALUE"""),"Batch 289")</f>
        <v>Batch 289</v>
      </c>
      <c r="B5690" s="9" t="str">
        <f>IFERROR(__xludf.DUMMYFUNCTION("""COMPUTED_VALUE"""),"SourabhC89")</f>
        <v>SourabhC89</v>
      </c>
      <c r="C5690" s="8">
        <f>IFERROR(__xludf.DUMMYFUNCTION("""COMPUTED_VALUE"""),0.0)</f>
        <v>0</v>
      </c>
      <c r="D5690" s="8"/>
    </row>
    <row r="5691">
      <c r="A5691" s="9" t="str">
        <f>IFERROR(__xludf.DUMMYFUNCTION("""COMPUTED_VALUE"""),"Batch 289")</f>
        <v>Batch 289</v>
      </c>
      <c r="B5691" s="9" t="str">
        <f>IFERROR(__xludf.DUMMYFUNCTION("""COMPUTED_VALUE"""),"DevshreeC89")</f>
        <v>DevshreeC89</v>
      </c>
      <c r="C5691" s="8">
        <f>IFERROR(__xludf.DUMMYFUNCTION("""COMPUTED_VALUE"""),0.0)</f>
        <v>0</v>
      </c>
      <c r="D5691" s="8"/>
    </row>
    <row r="5692">
      <c r="A5692" s="9" t="str">
        <f>IFERROR(__xludf.DUMMYFUNCTION("""COMPUTED_VALUE"""),"Batch 289")</f>
        <v>Batch 289</v>
      </c>
      <c r="B5692" s="9" t="str">
        <f>IFERROR(__xludf.DUMMYFUNCTION("""COMPUTED_VALUE"""),"ReddyC89")</f>
        <v>ReddyC89</v>
      </c>
      <c r="C5692" s="8">
        <f>IFERROR(__xludf.DUMMYFUNCTION("""COMPUTED_VALUE"""),0.0)</f>
        <v>0</v>
      </c>
      <c r="D5692" s="8"/>
    </row>
    <row r="5693">
      <c r="A5693" s="9" t="str">
        <f>IFERROR(__xludf.DUMMYFUNCTION("""COMPUTED_VALUE"""),"Batch 289")</f>
        <v>Batch 289</v>
      </c>
      <c r="B5693" s="9" t="str">
        <f>IFERROR(__xludf.DUMMYFUNCTION("""COMPUTED_VALUE"""),"ADARSHC89")</f>
        <v>ADARSHC89</v>
      </c>
      <c r="C5693" s="8">
        <f>IFERROR(__xludf.DUMMYFUNCTION("""COMPUTED_VALUE"""),0.0)</f>
        <v>0</v>
      </c>
      <c r="D5693" s="8"/>
    </row>
    <row r="5694">
      <c r="A5694" s="9" t="str">
        <f>IFERROR(__xludf.DUMMYFUNCTION("""COMPUTED_VALUE"""),"Batch 289")</f>
        <v>Batch 289</v>
      </c>
      <c r="B5694" s="9" t="str">
        <f>IFERROR(__xludf.DUMMYFUNCTION("""COMPUTED_VALUE"""),"SidraC89")</f>
        <v>SidraC89</v>
      </c>
      <c r="C5694" s="8">
        <f>IFERROR(__xludf.DUMMYFUNCTION("""COMPUTED_VALUE"""),0.0)</f>
        <v>0</v>
      </c>
      <c r="D5694" s="8"/>
    </row>
    <row r="5695">
      <c r="A5695" s="9" t="str">
        <f>IFERROR(__xludf.DUMMYFUNCTION("""COMPUTED_VALUE"""),"Batch 289")</f>
        <v>Batch 289</v>
      </c>
      <c r="B5695" s="9" t="str">
        <f>IFERROR(__xludf.DUMMYFUNCTION("""COMPUTED_VALUE"""),"PrajnaC89")</f>
        <v>PrajnaC89</v>
      </c>
      <c r="C5695" s="8">
        <f>IFERROR(__xludf.DUMMYFUNCTION("""COMPUTED_VALUE"""),0.0)</f>
        <v>0</v>
      </c>
      <c r="D5695" s="8"/>
    </row>
    <row r="5696">
      <c r="A5696" s="9" t="str">
        <f>IFERROR(__xludf.DUMMYFUNCTION("""COMPUTED_VALUE"""),"Batch 289")</f>
        <v>Batch 289</v>
      </c>
      <c r="B5696" s="9" t="str">
        <f>IFERROR(__xludf.DUMMYFUNCTION("""COMPUTED_VALUE"""),"SarayuC89")</f>
        <v>SarayuC89</v>
      </c>
      <c r="C5696" s="8">
        <f>IFERROR(__xludf.DUMMYFUNCTION("""COMPUTED_VALUE"""),0.0)</f>
        <v>0</v>
      </c>
      <c r="D5696" s="8"/>
    </row>
    <row r="5697">
      <c r="A5697" s="9" t="str">
        <f>IFERROR(__xludf.DUMMYFUNCTION("""COMPUTED_VALUE"""),"Batch 289")</f>
        <v>Batch 289</v>
      </c>
      <c r="B5697" s="9" t="str">
        <f>IFERROR(__xludf.DUMMYFUNCTION("""COMPUTED_VALUE"""),"SainaC89")</f>
        <v>SainaC89</v>
      </c>
      <c r="C5697" s="8">
        <f>IFERROR(__xludf.DUMMYFUNCTION("""COMPUTED_VALUE"""),1.0)</f>
        <v>1</v>
      </c>
      <c r="D5697" s="8"/>
    </row>
    <row r="5698">
      <c r="A5698" s="9" t="str">
        <f>IFERROR(__xludf.DUMMYFUNCTION("""COMPUTED_VALUE"""),"Batch 289")</f>
        <v>Batch 289</v>
      </c>
      <c r="B5698" s="9" t="str">
        <f>IFERROR(__xludf.DUMMYFUNCTION("""COMPUTED_VALUE"""),"YajurC89")</f>
        <v>YajurC89</v>
      </c>
      <c r="C5698" s="8">
        <f>IFERROR(__xludf.DUMMYFUNCTION("""COMPUTED_VALUE"""),0.0)</f>
        <v>0</v>
      </c>
      <c r="D5698" s="8"/>
    </row>
    <row r="5699">
      <c r="A5699" s="9" t="str">
        <f>IFERROR(__xludf.DUMMYFUNCTION("""COMPUTED_VALUE"""),"Batch 289")</f>
        <v>Batch 289</v>
      </c>
      <c r="B5699" s="9" t="str">
        <f>IFERROR(__xludf.DUMMYFUNCTION("""COMPUTED_VALUE"""),"SanyaC89")</f>
        <v>SanyaC89</v>
      </c>
      <c r="C5699" s="8">
        <f>IFERROR(__xludf.DUMMYFUNCTION("""COMPUTED_VALUE"""),31.0)</f>
        <v>31</v>
      </c>
      <c r="D5699" s="8">
        <f>IFERROR(__xludf.DUMMYFUNCTION("""COMPUTED_VALUE"""),13.0)</f>
        <v>13</v>
      </c>
    </row>
    <row r="5700">
      <c r="A5700" s="9" t="str">
        <f>IFERROR(__xludf.DUMMYFUNCTION("""COMPUTED_VALUE"""),"Batch 289")</f>
        <v>Batch 289</v>
      </c>
      <c r="B5700" s="9" t="str">
        <f>IFERROR(__xludf.DUMMYFUNCTION("""COMPUTED_VALUE"""),"PranjalC89")</f>
        <v>PranjalC89</v>
      </c>
      <c r="C5700" s="8">
        <f>IFERROR(__xludf.DUMMYFUNCTION("""COMPUTED_VALUE"""),0.0)</f>
        <v>0</v>
      </c>
      <c r="D5700" s="8"/>
    </row>
    <row r="5701">
      <c r="A5701" s="9" t="str">
        <f>IFERROR(__xludf.DUMMYFUNCTION("""COMPUTED_VALUE"""),"Batch 289")</f>
        <v>Batch 289</v>
      </c>
      <c r="B5701" s="9" t="str">
        <f>IFERROR(__xludf.DUMMYFUNCTION("""COMPUTED_VALUE"""),"D.P.MURALIC89")</f>
        <v>D.P.MURALIC89</v>
      </c>
      <c r="C5701" s="8">
        <f>IFERROR(__xludf.DUMMYFUNCTION("""COMPUTED_VALUE"""),0.0)</f>
        <v>0</v>
      </c>
      <c r="D5701" s="8"/>
    </row>
    <row r="5702">
      <c r="A5702" s="9" t="str">
        <f>IFERROR(__xludf.DUMMYFUNCTION("""COMPUTED_VALUE"""),"Batch 289")</f>
        <v>Batch 289</v>
      </c>
      <c r="B5702" s="9" t="str">
        <f>IFERROR(__xludf.DUMMYFUNCTION("""COMPUTED_VALUE"""),"VasudevC89")</f>
        <v>VasudevC89</v>
      </c>
      <c r="C5702" s="8">
        <f>IFERROR(__xludf.DUMMYFUNCTION("""COMPUTED_VALUE"""),0.0)</f>
        <v>0</v>
      </c>
      <c r="D5702" s="8"/>
    </row>
    <row r="5703">
      <c r="A5703" s="9" t="str">
        <f>IFERROR(__xludf.DUMMYFUNCTION("""COMPUTED_VALUE"""),"Batch 289")</f>
        <v>Batch 289</v>
      </c>
      <c r="B5703" s="9" t="str">
        <f>IFERROR(__xludf.DUMMYFUNCTION("""COMPUTED_VALUE"""),"SeethaC89")</f>
        <v>SeethaC89</v>
      </c>
      <c r="C5703" s="8">
        <f>IFERROR(__xludf.DUMMYFUNCTION("""COMPUTED_VALUE"""),0.0)</f>
        <v>0</v>
      </c>
      <c r="D5703" s="8"/>
    </row>
    <row r="5704">
      <c r="A5704" s="9" t="str">
        <f>IFERROR(__xludf.DUMMYFUNCTION("""COMPUTED_VALUE"""),"Batch 289")</f>
        <v>Batch 289</v>
      </c>
      <c r="B5704" s="9" t="str">
        <f>IFERROR(__xludf.DUMMYFUNCTION("""COMPUTED_VALUE"""),"RoshaniC89")</f>
        <v>RoshaniC89</v>
      </c>
      <c r="C5704" s="8">
        <f>IFERROR(__xludf.DUMMYFUNCTION("""COMPUTED_VALUE"""),0.0)</f>
        <v>0</v>
      </c>
      <c r="D5704" s="8"/>
    </row>
    <row r="5705">
      <c r="A5705" s="9" t="str">
        <f>IFERROR(__xludf.DUMMYFUNCTION("""COMPUTED_VALUE"""),"Batch 289")</f>
        <v>Batch 289</v>
      </c>
      <c r="B5705" s="9" t="str">
        <f>IFERROR(__xludf.DUMMYFUNCTION("""COMPUTED_VALUE"""),"KaushalC89")</f>
        <v>KaushalC89</v>
      </c>
      <c r="C5705" s="8">
        <f>IFERROR(__xludf.DUMMYFUNCTION("""COMPUTED_VALUE"""),0.0)</f>
        <v>0</v>
      </c>
      <c r="D5705" s="8"/>
    </row>
    <row r="5706">
      <c r="A5706" s="9" t="str">
        <f>IFERROR(__xludf.DUMMYFUNCTION("""COMPUTED_VALUE"""),"Batch 289")</f>
        <v>Batch 289</v>
      </c>
      <c r="B5706" s="9" t="str">
        <f>IFERROR(__xludf.DUMMYFUNCTION("""COMPUTED_VALUE"""),"PoojaC89")</f>
        <v>PoojaC89</v>
      </c>
      <c r="C5706" s="8">
        <f>IFERROR(__xludf.DUMMYFUNCTION("""COMPUTED_VALUE"""),0.0)</f>
        <v>0</v>
      </c>
      <c r="D5706" s="8"/>
    </row>
    <row r="5707">
      <c r="A5707" s="9" t="str">
        <f>IFERROR(__xludf.DUMMYFUNCTION("""COMPUTED_VALUE"""),"Batch 289")</f>
        <v>Batch 289</v>
      </c>
      <c r="B5707" s="9" t="str">
        <f>IFERROR(__xludf.DUMMYFUNCTION("""COMPUTED_VALUE"""),"JinalC89")</f>
        <v>JinalC89</v>
      </c>
      <c r="C5707" s="8">
        <f>IFERROR(__xludf.DUMMYFUNCTION("""COMPUTED_VALUE"""),5.0)</f>
        <v>5</v>
      </c>
      <c r="D5707" s="8">
        <f>IFERROR(__xludf.DUMMYFUNCTION("""COMPUTED_VALUE"""),1.0)</f>
        <v>1</v>
      </c>
    </row>
    <row r="5708">
      <c r="A5708" s="9" t="str">
        <f>IFERROR(__xludf.DUMMYFUNCTION("""COMPUTED_VALUE"""),"Batch 289")</f>
        <v>Batch 289</v>
      </c>
      <c r="B5708" s="9" t="str">
        <f>IFERROR(__xludf.DUMMYFUNCTION("""COMPUTED_VALUE"""),"MohitC89")</f>
        <v>MohitC89</v>
      </c>
      <c r="C5708" s="8">
        <f>IFERROR(__xludf.DUMMYFUNCTION("""COMPUTED_VALUE"""),0.0)</f>
        <v>0</v>
      </c>
      <c r="D5708" s="8"/>
    </row>
    <row r="5709">
      <c r="A5709" s="9" t="str">
        <f>IFERROR(__xludf.DUMMYFUNCTION("""COMPUTED_VALUE"""),"Batch 289")</f>
        <v>Batch 289</v>
      </c>
      <c r="B5709" s="9" t="str">
        <f>IFERROR(__xludf.DUMMYFUNCTION("""COMPUTED_VALUE"""),"AyushC89")</f>
        <v>AyushC89</v>
      </c>
      <c r="C5709" s="8">
        <f>IFERROR(__xludf.DUMMYFUNCTION("""COMPUTED_VALUE"""),0.0)</f>
        <v>0</v>
      </c>
      <c r="D5709" s="8"/>
    </row>
    <row r="5710">
      <c r="A5710" s="9" t="str">
        <f>IFERROR(__xludf.DUMMYFUNCTION("""COMPUTED_VALUE"""),"Batch 289")</f>
        <v>Batch 289</v>
      </c>
      <c r="B5710" s="9" t="str">
        <f>IFERROR(__xludf.DUMMYFUNCTION("""COMPUTED_VALUE"""),"ShaliniC89")</f>
        <v>ShaliniC89</v>
      </c>
      <c r="C5710" s="8">
        <f>IFERROR(__xludf.DUMMYFUNCTION("""COMPUTED_VALUE"""),0.0)</f>
        <v>0</v>
      </c>
      <c r="D5710" s="8"/>
    </row>
    <row r="5711">
      <c r="A5711" s="9" t="str">
        <f>IFERROR(__xludf.DUMMYFUNCTION("""COMPUTED_VALUE"""),"Batch 289")</f>
        <v>Batch 289</v>
      </c>
      <c r="B5711" s="9" t="str">
        <f>IFERROR(__xludf.DUMMYFUNCTION("""COMPUTED_VALUE"""),"SakshiC89")</f>
        <v>SakshiC89</v>
      </c>
      <c r="C5711" s="8">
        <f>IFERROR(__xludf.DUMMYFUNCTION("""COMPUTED_VALUE"""),0.0)</f>
        <v>0</v>
      </c>
      <c r="D5711" s="8"/>
    </row>
    <row r="5712">
      <c r="A5712" s="9" t="str">
        <f>IFERROR(__xludf.DUMMYFUNCTION("""COMPUTED_VALUE"""),"Batch 289")</f>
        <v>Batch 289</v>
      </c>
      <c r="B5712" s="9" t="str">
        <f>IFERROR(__xludf.DUMMYFUNCTION("""COMPUTED_VALUE"""),"AsinC89")</f>
        <v>AsinC89</v>
      </c>
      <c r="C5712" s="8">
        <f>IFERROR(__xludf.DUMMYFUNCTION("""COMPUTED_VALUE"""),0.0)</f>
        <v>0</v>
      </c>
      <c r="D5712" s="8"/>
    </row>
    <row r="5713">
      <c r="A5713" s="9" t="str">
        <f>IFERROR(__xludf.DUMMYFUNCTION("""COMPUTED_VALUE"""),"Batch 289")</f>
        <v>Batch 289</v>
      </c>
      <c r="B5713" s="9" t="str">
        <f>IFERROR(__xludf.DUMMYFUNCTION("""COMPUTED_VALUE"""),"ThamizC89")</f>
        <v>ThamizC89</v>
      </c>
      <c r="C5713" s="8">
        <f>IFERROR(__xludf.DUMMYFUNCTION("""COMPUTED_VALUE"""),0.0)</f>
        <v>0</v>
      </c>
      <c r="D5713" s="8"/>
    </row>
    <row r="5714">
      <c r="A5714" s="9" t="str">
        <f>IFERROR(__xludf.DUMMYFUNCTION("""COMPUTED_VALUE"""),"Batch 289")</f>
        <v>Batch 289</v>
      </c>
      <c r="B5714" s="9" t="str">
        <f>IFERROR(__xludf.DUMMYFUNCTION("""COMPUTED_VALUE"""),"VishalC89")</f>
        <v>VishalC89</v>
      </c>
      <c r="C5714" s="8">
        <f>IFERROR(__xludf.DUMMYFUNCTION("""COMPUTED_VALUE"""),0.0)</f>
        <v>0</v>
      </c>
      <c r="D5714" s="8"/>
    </row>
    <row r="5715">
      <c r="A5715" s="9" t="str">
        <f>IFERROR(__xludf.DUMMYFUNCTION("""COMPUTED_VALUE"""),"Batch 289")</f>
        <v>Batch 289</v>
      </c>
      <c r="B5715" s="9" t="str">
        <f>IFERROR(__xludf.DUMMYFUNCTION("""COMPUTED_VALUE"""),"MC89")</f>
        <v>MC89</v>
      </c>
      <c r="C5715" s="8">
        <f>IFERROR(__xludf.DUMMYFUNCTION("""COMPUTED_VALUE"""),0.0)</f>
        <v>0</v>
      </c>
      <c r="D5715" s="8"/>
    </row>
    <row r="5716">
      <c r="A5716" s="9" t="str">
        <f>IFERROR(__xludf.DUMMYFUNCTION("""COMPUTED_VALUE"""),"Batch 289")</f>
        <v>Batch 289</v>
      </c>
      <c r="B5716" s="9" t="str">
        <f>IFERROR(__xludf.DUMMYFUNCTION("""COMPUTED_VALUE"""),"ShreyaC89")</f>
        <v>ShreyaC89</v>
      </c>
      <c r="C5716" s="8">
        <f>IFERROR(__xludf.DUMMYFUNCTION("""COMPUTED_VALUE"""),0.0)</f>
        <v>0</v>
      </c>
      <c r="D5716" s="8"/>
    </row>
    <row r="5717">
      <c r="A5717" s="9" t="str">
        <f>IFERROR(__xludf.DUMMYFUNCTION("""COMPUTED_VALUE"""),"Batch 289")</f>
        <v>Batch 289</v>
      </c>
      <c r="B5717" s="9" t="str">
        <f>IFERROR(__xludf.DUMMYFUNCTION("""COMPUTED_VALUE"""),"PiyushC89")</f>
        <v>PiyushC89</v>
      </c>
      <c r="C5717" s="8">
        <f>IFERROR(__xludf.DUMMYFUNCTION("""COMPUTED_VALUE"""),0.0)</f>
        <v>0</v>
      </c>
      <c r="D5717" s="8"/>
    </row>
    <row r="5718">
      <c r="A5718" s="9" t="str">
        <f>IFERROR(__xludf.DUMMYFUNCTION("""COMPUTED_VALUE"""),"Batch 289")</f>
        <v>Batch 289</v>
      </c>
      <c r="B5718" s="9" t="str">
        <f>IFERROR(__xludf.DUMMYFUNCTION("""COMPUTED_VALUE"""),"NakkaC89")</f>
        <v>NakkaC89</v>
      </c>
      <c r="C5718" s="8">
        <f>IFERROR(__xludf.DUMMYFUNCTION("""COMPUTED_VALUE"""),1.0)</f>
        <v>1</v>
      </c>
      <c r="D5718" s="8"/>
    </row>
    <row r="5719">
      <c r="A5719" s="9" t="str">
        <f>IFERROR(__xludf.DUMMYFUNCTION("""COMPUTED_VALUE"""),"Batch 289")</f>
        <v>Batch 289</v>
      </c>
      <c r="B5719" s="9" t="str">
        <f>IFERROR(__xludf.DUMMYFUNCTION("""COMPUTED_VALUE"""),"AaronC89")</f>
        <v>AaronC89</v>
      </c>
      <c r="C5719" s="8">
        <f>IFERROR(__xludf.DUMMYFUNCTION("""COMPUTED_VALUE"""),0.0)</f>
        <v>0</v>
      </c>
      <c r="D5719" s="8"/>
    </row>
    <row r="5720">
      <c r="A5720" s="9"/>
      <c r="B5720" s="9"/>
      <c r="C5720" s="8">
        <f>IFERROR(__xludf.DUMMYFUNCTION("""COMPUTED_VALUE"""),0.0)</f>
        <v>0</v>
      </c>
      <c r="D5720" s="8"/>
    </row>
    <row r="5721">
      <c r="A5721" s="9" t="str">
        <f>IFERROR(__xludf.DUMMYFUNCTION("""COMPUTED_VALUE"""),"Batch 290")</f>
        <v>Batch 290</v>
      </c>
      <c r="B5721" s="9" t="str">
        <f>IFERROR(__xludf.DUMMYFUNCTION("""COMPUTED_VALUE"""),"SamiraC90")</f>
        <v>SamiraC90</v>
      </c>
      <c r="C5721" s="8">
        <f>IFERROR(__xludf.DUMMYFUNCTION("""COMPUTED_VALUE"""),0.0)</f>
        <v>0</v>
      </c>
      <c r="D5721" s="8"/>
    </row>
    <row r="5722">
      <c r="A5722" s="9" t="str">
        <f>IFERROR(__xludf.DUMMYFUNCTION("""COMPUTED_VALUE"""),"Batch 290")</f>
        <v>Batch 290</v>
      </c>
      <c r="B5722" s="9" t="str">
        <f>IFERROR(__xludf.DUMMYFUNCTION("""COMPUTED_VALUE"""),"SheetalC90")</f>
        <v>SheetalC90</v>
      </c>
      <c r="C5722" s="8">
        <f>IFERROR(__xludf.DUMMYFUNCTION("""COMPUTED_VALUE"""),0.0)</f>
        <v>0</v>
      </c>
      <c r="D5722" s="8"/>
    </row>
    <row r="5723">
      <c r="A5723" s="9" t="str">
        <f>IFERROR(__xludf.DUMMYFUNCTION("""COMPUTED_VALUE"""),"Batch 290")</f>
        <v>Batch 290</v>
      </c>
      <c r="B5723" s="9" t="str">
        <f>IFERROR(__xludf.DUMMYFUNCTION("""COMPUTED_VALUE"""),"AnkushC90")</f>
        <v>AnkushC90</v>
      </c>
      <c r="C5723" s="8">
        <f>IFERROR(__xludf.DUMMYFUNCTION("""COMPUTED_VALUE"""),0.0)</f>
        <v>0</v>
      </c>
      <c r="D5723" s="8"/>
    </row>
    <row r="5724">
      <c r="A5724" s="9" t="str">
        <f>IFERROR(__xludf.DUMMYFUNCTION("""COMPUTED_VALUE"""),"Batch 290")</f>
        <v>Batch 290</v>
      </c>
      <c r="B5724" s="9" t="str">
        <f>IFERROR(__xludf.DUMMYFUNCTION("""COMPUTED_VALUE"""),"RondlaC90")</f>
        <v>RondlaC90</v>
      </c>
      <c r="C5724" s="8">
        <f>IFERROR(__xludf.DUMMYFUNCTION("""COMPUTED_VALUE"""),0.0)</f>
        <v>0</v>
      </c>
      <c r="D5724" s="8"/>
    </row>
    <row r="5725">
      <c r="A5725" s="9" t="str">
        <f>IFERROR(__xludf.DUMMYFUNCTION("""COMPUTED_VALUE"""),"Batch 290")</f>
        <v>Batch 290</v>
      </c>
      <c r="B5725" s="9" t="str">
        <f>IFERROR(__xludf.DUMMYFUNCTION("""COMPUTED_VALUE"""),"YashC90")</f>
        <v>YashC90</v>
      </c>
      <c r="C5725" s="8">
        <f>IFERROR(__xludf.DUMMYFUNCTION("""COMPUTED_VALUE"""),0.0)</f>
        <v>0</v>
      </c>
      <c r="D5725" s="8"/>
    </row>
    <row r="5726">
      <c r="A5726" s="9" t="str">
        <f>IFERROR(__xludf.DUMMYFUNCTION("""COMPUTED_VALUE"""),"Batch 290")</f>
        <v>Batch 290</v>
      </c>
      <c r="B5726" s="9" t="str">
        <f>IFERROR(__xludf.DUMMYFUNCTION("""COMPUTED_VALUE"""),"BuchupalleC90")</f>
        <v>BuchupalleC90</v>
      </c>
      <c r="C5726" s="8">
        <f>IFERROR(__xludf.DUMMYFUNCTION("""COMPUTED_VALUE"""),0.0)</f>
        <v>0</v>
      </c>
      <c r="D5726" s="8"/>
    </row>
    <row r="5727">
      <c r="A5727" s="9" t="str">
        <f>IFERROR(__xludf.DUMMYFUNCTION("""COMPUTED_VALUE"""),"Batch 290")</f>
        <v>Batch 290</v>
      </c>
      <c r="B5727" s="9" t="str">
        <f>IFERROR(__xludf.DUMMYFUNCTION("""COMPUTED_VALUE"""),"RAPARTHIC90")</f>
        <v>RAPARTHIC90</v>
      </c>
      <c r="C5727" s="8">
        <f>IFERROR(__xludf.DUMMYFUNCTION("""COMPUTED_VALUE"""),0.0)</f>
        <v>0</v>
      </c>
      <c r="D5727" s="8"/>
    </row>
    <row r="5728">
      <c r="A5728" s="9" t="str">
        <f>IFERROR(__xludf.DUMMYFUNCTION("""COMPUTED_VALUE"""),"Batch 290")</f>
        <v>Batch 290</v>
      </c>
      <c r="B5728" s="9" t="str">
        <f>IFERROR(__xludf.DUMMYFUNCTION("""COMPUTED_VALUE"""),"SwatiC90")</f>
        <v>SwatiC90</v>
      </c>
      <c r="C5728" s="8">
        <f>IFERROR(__xludf.DUMMYFUNCTION("""COMPUTED_VALUE"""),0.0)</f>
        <v>0</v>
      </c>
      <c r="D5728" s="8"/>
    </row>
    <row r="5729">
      <c r="A5729" s="9" t="str">
        <f>IFERROR(__xludf.DUMMYFUNCTION("""COMPUTED_VALUE"""),"Batch 290")</f>
        <v>Batch 290</v>
      </c>
      <c r="B5729" s="9" t="str">
        <f>IFERROR(__xludf.DUMMYFUNCTION("""COMPUTED_VALUE"""),"MohammadC90")</f>
        <v>MohammadC90</v>
      </c>
      <c r="C5729" s="8">
        <f>IFERROR(__xludf.DUMMYFUNCTION("""COMPUTED_VALUE"""),0.0)</f>
        <v>0</v>
      </c>
      <c r="D5729" s="8"/>
    </row>
    <row r="5730">
      <c r="A5730" s="9" t="str">
        <f>IFERROR(__xludf.DUMMYFUNCTION("""COMPUTED_VALUE"""),"Batch 290")</f>
        <v>Batch 290</v>
      </c>
      <c r="B5730" s="9" t="str">
        <f>IFERROR(__xludf.DUMMYFUNCTION("""COMPUTED_VALUE"""),"KalpanaC90")</f>
        <v>KalpanaC90</v>
      </c>
      <c r="C5730" s="8">
        <f>IFERROR(__xludf.DUMMYFUNCTION("""COMPUTED_VALUE"""),0.0)</f>
        <v>0</v>
      </c>
      <c r="D5730" s="8"/>
    </row>
    <row r="5731">
      <c r="A5731" s="9" t="str">
        <f>IFERROR(__xludf.DUMMYFUNCTION("""COMPUTED_VALUE"""),"Batch 290")</f>
        <v>Batch 290</v>
      </c>
      <c r="B5731" s="9" t="str">
        <f>IFERROR(__xludf.DUMMYFUNCTION("""COMPUTED_VALUE"""),"NiyatiC90")</f>
        <v>NiyatiC90</v>
      </c>
      <c r="C5731" s="8">
        <f>IFERROR(__xludf.DUMMYFUNCTION("""COMPUTED_VALUE"""),4.0)</f>
        <v>4</v>
      </c>
      <c r="D5731" s="8"/>
    </row>
    <row r="5732">
      <c r="A5732" s="9" t="str">
        <f>IFERROR(__xludf.DUMMYFUNCTION("""COMPUTED_VALUE"""),"Batch 290")</f>
        <v>Batch 290</v>
      </c>
      <c r="B5732" s="9" t="str">
        <f>IFERROR(__xludf.DUMMYFUNCTION("""COMPUTED_VALUE"""),"TanishaC90")</f>
        <v>TanishaC90</v>
      </c>
      <c r="C5732" s="8">
        <f>IFERROR(__xludf.DUMMYFUNCTION("""COMPUTED_VALUE"""),0.0)</f>
        <v>0</v>
      </c>
      <c r="D5732" s="8"/>
    </row>
    <row r="5733">
      <c r="A5733" s="9" t="str">
        <f>IFERROR(__xludf.DUMMYFUNCTION("""COMPUTED_VALUE"""),"Batch 290")</f>
        <v>Batch 290</v>
      </c>
      <c r="B5733" s="9" t="str">
        <f>IFERROR(__xludf.DUMMYFUNCTION("""COMPUTED_VALUE"""),"Maruri.SIvalingareddyC90")</f>
        <v>Maruri.SIvalingareddyC90</v>
      </c>
      <c r="C5733" s="8">
        <f>IFERROR(__xludf.DUMMYFUNCTION("""COMPUTED_VALUE"""),0.0)</f>
        <v>0</v>
      </c>
      <c r="D5733" s="8"/>
    </row>
    <row r="5734">
      <c r="A5734" s="9" t="str">
        <f>IFERROR(__xludf.DUMMYFUNCTION("""COMPUTED_VALUE"""),"Batch 290")</f>
        <v>Batch 290</v>
      </c>
      <c r="B5734" s="9" t="str">
        <f>IFERROR(__xludf.DUMMYFUNCTION("""COMPUTED_VALUE"""),"DakshitaC90")</f>
        <v>DakshitaC90</v>
      </c>
      <c r="C5734" s="8">
        <f>IFERROR(__xludf.DUMMYFUNCTION("""COMPUTED_VALUE"""),0.0)</f>
        <v>0</v>
      </c>
      <c r="D5734" s="8"/>
    </row>
    <row r="5735">
      <c r="A5735" s="9" t="str">
        <f>IFERROR(__xludf.DUMMYFUNCTION("""COMPUTED_VALUE"""),"Batch 290")</f>
        <v>Batch 290</v>
      </c>
      <c r="B5735" s="9" t="str">
        <f>IFERROR(__xludf.DUMMYFUNCTION("""COMPUTED_VALUE"""),"AkankshaC90")</f>
        <v>AkankshaC90</v>
      </c>
      <c r="C5735" s="8">
        <f>IFERROR(__xludf.DUMMYFUNCTION("""COMPUTED_VALUE"""),0.0)</f>
        <v>0</v>
      </c>
      <c r="D5735" s="8"/>
    </row>
    <row r="5736">
      <c r="A5736" s="9" t="str">
        <f>IFERROR(__xludf.DUMMYFUNCTION("""COMPUTED_VALUE"""),"Batch 290")</f>
        <v>Batch 290</v>
      </c>
      <c r="B5736" s="9" t="str">
        <f>IFERROR(__xludf.DUMMYFUNCTION("""COMPUTED_VALUE"""),"KhushiC90")</f>
        <v>KhushiC90</v>
      </c>
      <c r="C5736" s="8">
        <f>IFERROR(__xludf.DUMMYFUNCTION("""COMPUTED_VALUE"""),5.0)</f>
        <v>5</v>
      </c>
      <c r="D5736" s="8"/>
    </row>
    <row r="5737">
      <c r="A5737" s="9" t="str">
        <f>IFERROR(__xludf.DUMMYFUNCTION("""COMPUTED_VALUE"""),"Batch 290")</f>
        <v>Batch 290</v>
      </c>
      <c r="B5737" s="9" t="str">
        <f>IFERROR(__xludf.DUMMYFUNCTION("""COMPUTED_VALUE"""),"AnanyaC90")</f>
        <v>AnanyaC90</v>
      </c>
      <c r="C5737" s="8">
        <f>IFERROR(__xludf.DUMMYFUNCTION("""COMPUTED_VALUE"""),0.0)</f>
        <v>0</v>
      </c>
      <c r="D5737" s="8"/>
    </row>
    <row r="5738">
      <c r="A5738" s="9" t="str">
        <f>IFERROR(__xludf.DUMMYFUNCTION("""COMPUTED_VALUE"""),"Batch 290")</f>
        <v>Batch 290</v>
      </c>
      <c r="B5738" s="9" t="str">
        <f>IFERROR(__xludf.DUMMYFUNCTION("""COMPUTED_VALUE"""),"DakshC90")</f>
        <v>DakshC90</v>
      </c>
      <c r="C5738" s="8">
        <f>IFERROR(__xludf.DUMMYFUNCTION("""COMPUTED_VALUE"""),0.0)</f>
        <v>0</v>
      </c>
      <c r="D5738" s="8"/>
    </row>
    <row r="5739">
      <c r="A5739" s="9" t="str">
        <f>IFERROR(__xludf.DUMMYFUNCTION("""COMPUTED_VALUE"""),"Batch 290")</f>
        <v>Batch 290</v>
      </c>
      <c r="B5739" s="9" t="str">
        <f>IFERROR(__xludf.DUMMYFUNCTION("""COMPUTED_VALUE"""),"RamaC90")</f>
        <v>RamaC90</v>
      </c>
      <c r="C5739" s="8">
        <f>IFERROR(__xludf.DUMMYFUNCTION("""COMPUTED_VALUE"""),0.0)</f>
        <v>0</v>
      </c>
      <c r="D5739" s="8"/>
    </row>
    <row r="5740">
      <c r="A5740" s="9" t="str">
        <f>IFERROR(__xludf.DUMMYFUNCTION("""COMPUTED_VALUE"""),"Batch 290")</f>
        <v>Batch 290</v>
      </c>
      <c r="B5740" s="9" t="str">
        <f>IFERROR(__xludf.DUMMYFUNCTION("""COMPUTED_VALUE"""),"RakeshC90")</f>
        <v>RakeshC90</v>
      </c>
      <c r="C5740" s="8">
        <f>IFERROR(__xludf.DUMMYFUNCTION("""COMPUTED_VALUE"""),7.0)</f>
        <v>7</v>
      </c>
      <c r="D5740" s="8">
        <f>IFERROR(__xludf.DUMMYFUNCTION("""COMPUTED_VALUE"""),13.0)</f>
        <v>13</v>
      </c>
    </row>
    <row r="5741">
      <c r="A5741" s="9" t="str">
        <f>IFERROR(__xludf.DUMMYFUNCTION("""COMPUTED_VALUE"""),"Batch 290")</f>
        <v>Batch 290</v>
      </c>
      <c r="B5741" s="9" t="str">
        <f>IFERROR(__xludf.DUMMYFUNCTION("""COMPUTED_VALUE"""),"SimarC90")</f>
        <v>SimarC90</v>
      </c>
      <c r="C5741" s="8">
        <f>IFERROR(__xludf.DUMMYFUNCTION("""COMPUTED_VALUE"""),0.0)</f>
        <v>0</v>
      </c>
      <c r="D5741" s="8"/>
    </row>
    <row r="5742">
      <c r="A5742" s="9" t="str">
        <f>IFERROR(__xludf.DUMMYFUNCTION("""COMPUTED_VALUE"""),"Batch 290")</f>
        <v>Batch 290</v>
      </c>
      <c r="B5742" s="9" t="str">
        <f>IFERROR(__xludf.DUMMYFUNCTION("""COMPUTED_VALUE"""),"VijaylaxmiC90")</f>
        <v>VijaylaxmiC90</v>
      </c>
      <c r="C5742" s="8">
        <f>IFERROR(__xludf.DUMMYFUNCTION("""COMPUTED_VALUE"""),18.0)</f>
        <v>18</v>
      </c>
      <c r="D5742" s="8">
        <f>IFERROR(__xludf.DUMMYFUNCTION("""COMPUTED_VALUE"""),2.0)</f>
        <v>2</v>
      </c>
    </row>
    <row r="5743">
      <c r="A5743" s="9" t="str">
        <f>IFERROR(__xludf.DUMMYFUNCTION("""COMPUTED_VALUE"""),"Batch 290")</f>
        <v>Batch 290</v>
      </c>
      <c r="B5743" s="9" t="str">
        <f>IFERROR(__xludf.DUMMYFUNCTION("""COMPUTED_VALUE"""),"TanviC90")</f>
        <v>TanviC90</v>
      </c>
      <c r="C5743" s="8">
        <f>IFERROR(__xludf.DUMMYFUNCTION("""COMPUTED_VALUE"""),0.0)</f>
        <v>0</v>
      </c>
      <c r="D5743" s="8"/>
    </row>
    <row r="5744">
      <c r="A5744" s="9" t="str">
        <f>IFERROR(__xludf.DUMMYFUNCTION("""COMPUTED_VALUE"""),"Batch 290")</f>
        <v>Batch 290</v>
      </c>
      <c r="B5744" s="9" t="str">
        <f>IFERROR(__xludf.DUMMYFUNCTION("""COMPUTED_VALUE"""),"MilanC90")</f>
        <v>MilanC90</v>
      </c>
      <c r="C5744" s="8">
        <f>IFERROR(__xludf.DUMMYFUNCTION("""COMPUTED_VALUE"""),63.0)</f>
        <v>63</v>
      </c>
      <c r="D5744" s="8">
        <f>IFERROR(__xludf.DUMMYFUNCTION("""COMPUTED_VALUE"""),43.0)</f>
        <v>43</v>
      </c>
    </row>
    <row r="5745">
      <c r="A5745" s="9" t="str">
        <f>IFERROR(__xludf.DUMMYFUNCTION("""COMPUTED_VALUE"""),"Batch 290")</f>
        <v>Batch 290</v>
      </c>
      <c r="B5745" s="9" t="str">
        <f>IFERROR(__xludf.DUMMYFUNCTION("""COMPUTED_VALUE"""),"ShatakshiC90")</f>
        <v>ShatakshiC90</v>
      </c>
      <c r="C5745" s="8">
        <f>IFERROR(__xludf.DUMMYFUNCTION("""COMPUTED_VALUE"""),15.0)</f>
        <v>15</v>
      </c>
      <c r="D5745" s="8">
        <f>IFERROR(__xludf.DUMMYFUNCTION("""COMPUTED_VALUE"""),4.0)</f>
        <v>4</v>
      </c>
    </row>
    <row r="5746">
      <c r="A5746" s="9" t="str">
        <f>IFERROR(__xludf.DUMMYFUNCTION("""COMPUTED_VALUE"""),"Batch 290")</f>
        <v>Batch 290</v>
      </c>
      <c r="B5746" s="9" t="str">
        <f>IFERROR(__xludf.DUMMYFUNCTION("""COMPUTED_VALUE"""),"PranaavC90")</f>
        <v>PranaavC90</v>
      </c>
      <c r="C5746" s="8">
        <f>IFERROR(__xludf.DUMMYFUNCTION("""COMPUTED_VALUE"""),0.0)</f>
        <v>0</v>
      </c>
      <c r="D5746" s="8"/>
    </row>
    <row r="5747">
      <c r="A5747" s="9" t="str">
        <f>IFERROR(__xludf.DUMMYFUNCTION("""COMPUTED_VALUE"""),"Batch 290")</f>
        <v>Batch 290</v>
      </c>
      <c r="B5747" s="9" t="str">
        <f>IFERROR(__xludf.DUMMYFUNCTION("""COMPUTED_VALUE"""),"RashiC90")</f>
        <v>RashiC90</v>
      </c>
      <c r="C5747" s="8">
        <f>IFERROR(__xludf.DUMMYFUNCTION("""COMPUTED_VALUE"""),5.0)</f>
        <v>5</v>
      </c>
      <c r="D5747" s="8">
        <f>IFERROR(__xludf.DUMMYFUNCTION("""COMPUTED_VALUE"""),1.0)</f>
        <v>1</v>
      </c>
    </row>
    <row r="5748">
      <c r="A5748" s="9" t="str">
        <f>IFERROR(__xludf.DUMMYFUNCTION("""COMPUTED_VALUE"""),"Batch 290")</f>
        <v>Batch 290</v>
      </c>
      <c r="B5748" s="9" t="str">
        <f>IFERROR(__xludf.DUMMYFUNCTION("""COMPUTED_VALUE"""),"SamikshaC90")</f>
        <v>SamikshaC90</v>
      </c>
      <c r="C5748" s="8">
        <f>IFERROR(__xludf.DUMMYFUNCTION("""COMPUTED_VALUE"""),0.0)</f>
        <v>0</v>
      </c>
      <c r="D5748" s="8"/>
    </row>
    <row r="5749">
      <c r="A5749" s="9" t="str">
        <f>IFERROR(__xludf.DUMMYFUNCTION("""COMPUTED_VALUE"""),"Batch 290")</f>
        <v>Batch 290</v>
      </c>
      <c r="B5749" s="9" t="str">
        <f>IFERROR(__xludf.DUMMYFUNCTION("""COMPUTED_VALUE"""),"MadhuriC90")</f>
        <v>MadhuriC90</v>
      </c>
      <c r="C5749" s="8">
        <f>IFERROR(__xludf.DUMMYFUNCTION("""COMPUTED_VALUE"""),0.0)</f>
        <v>0</v>
      </c>
      <c r="D5749" s="8"/>
    </row>
    <row r="5750">
      <c r="A5750" s="9" t="str">
        <f>IFERROR(__xludf.DUMMYFUNCTION("""COMPUTED_VALUE"""),"Batch 290")</f>
        <v>Batch 290</v>
      </c>
      <c r="B5750" s="9" t="str">
        <f>IFERROR(__xludf.DUMMYFUNCTION("""COMPUTED_VALUE"""),"PrabhmeharC90")</f>
        <v>PrabhmeharC90</v>
      </c>
      <c r="C5750" s="8">
        <f>IFERROR(__xludf.DUMMYFUNCTION("""COMPUTED_VALUE"""),0.0)</f>
        <v>0</v>
      </c>
      <c r="D5750" s="8"/>
    </row>
    <row r="5751">
      <c r="A5751" s="9" t="str">
        <f>IFERROR(__xludf.DUMMYFUNCTION("""COMPUTED_VALUE"""),"Batch 290")</f>
        <v>Batch 290</v>
      </c>
      <c r="B5751" s="9" t="str">
        <f>IFERROR(__xludf.DUMMYFUNCTION("""COMPUTED_VALUE"""),"AdityaC90")</f>
        <v>AdityaC90</v>
      </c>
      <c r="C5751" s="8">
        <f>IFERROR(__xludf.DUMMYFUNCTION("""COMPUTED_VALUE"""),0.0)</f>
        <v>0</v>
      </c>
      <c r="D5751" s="8"/>
    </row>
    <row r="5752">
      <c r="A5752" s="9" t="str">
        <f>IFERROR(__xludf.DUMMYFUNCTION("""COMPUTED_VALUE"""),"Batch 290")</f>
        <v>Batch 290</v>
      </c>
      <c r="B5752" s="9" t="str">
        <f>IFERROR(__xludf.DUMMYFUNCTION("""COMPUTED_VALUE"""),"KrushantC90")</f>
        <v>KrushantC90</v>
      </c>
      <c r="C5752" s="8">
        <f>IFERROR(__xludf.DUMMYFUNCTION("""COMPUTED_VALUE"""),0.0)</f>
        <v>0</v>
      </c>
      <c r="D5752" s="8"/>
    </row>
    <row r="5753">
      <c r="A5753" s="9" t="str">
        <f>IFERROR(__xludf.DUMMYFUNCTION("""COMPUTED_VALUE"""),"Batch 290")</f>
        <v>Batch 290</v>
      </c>
      <c r="B5753" s="9" t="str">
        <f>IFERROR(__xludf.DUMMYFUNCTION("""COMPUTED_VALUE"""),"DiyaC90")</f>
        <v>DiyaC90</v>
      </c>
      <c r="C5753" s="8">
        <f>IFERROR(__xludf.DUMMYFUNCTION("""COMPUTED_VALUE"""),0.0)</f>
        <v>0</v>
      </c>
      <c r="D5753" s="8"/>
    </row>
    <row r="5754">
      <c r="A5754" s="9" t="str">
        <f>IFERROR(__xludf.DUMMYFUNCTION("""COMPUTED_VALUE"""),"Batch 290")</f>
        <v>Batch 290</v>
      </c>
      <c r="B5754" s="9" t="str">
        <f>IFERROR(__xludf.DUMMYFUNCTION("""COMPUTED_VALUE"""),"HibaC90")</f>
        <v>HibaC90</v>
      </c>
      <c r="C5754" s="8">
        <f>IFERROR(__xludf.DUMMYFUNCTION("""COMPUTED_VALUE"""),0.0)</f>
        <v>0</v>
      </c>
      <c r="D5754" s="8"/>
    </row>
    <row r="5755">
      <c r="A5755" s="9" t="str">
        <f>IFERROR(__xludf.DUMMYFUNCTION("""COMPUTED_VALUE"""),"Batch 290")</f>
        <v>Batch 290</v>
      </c>
      <c r="B5755" s="9" t="str">
        <f>IFERROR(__xludf.DUMMYFUNCTION("""COMPUTED_VALUE"""),"KanishkaC90")</f>
        <v>KanishkaC90</v>
      </c>
      <c r="C5755" s="8">
        <f>IFERROR(__xludf.DUMMYFUNCTION("""COMPUTED_VALUE"""),0.0)</f>
        <v>0</v>
      </c>
      <c r="D5755" s="8"/>
    </row>
    <row r="5756">
      <c r="A5756" s="9" t="str">
        <f>IFERROR(__xludf.DUMMYFUNCTION("""COMPUTED_VALUE"""),"Batch 290")</f>
        <v>Batch 290</v>
      </c>
      <c r="B5756" s="9" t="str">
        <f>IFERROR(__xludf.DUMMYFUNCTION("""COMPUTED_VALUE"""),"tekiC90")</f>
        <v>tekiC90</v>
      </c>
      <c r="C5756" s="8">
        <f>IFERROR(__xludf.DUMMYFUNCTION("""COMPUTED_VALUE"""),0.0)</f>
        <v>0</v>
      </c>
      <c r="D5756" s="8"/>
    </row>
    <row r="5757">
      <c r="A5757" s="9" t="str">
        <f>IFERROR(__xludf.DUMMYFUNCTION("""COMPUTED_VALUE"""),"Batch 290")</f>
        <v>Batch 290</v>
      </c>
      <c r="B5757" s="9" t="str">
        <f>IFERROR(__xludf.DUMMYFUNCTION("""COMPUTED_VALUE"""),"EktaC90")</f>
        <v>EktaC90</v>
      </c>
      <c r="C5757" s="8">
        <f>IFERROR(__xludf.DUMMYFUNCTION("""COMPUTED_VALUE"""),0.0)</f>
        <v>0</v>
      </c>
      <c r="D5757" s="8"/>
    </row>
    <row r="5758">
      <c r="A5758" s="9" t="str">
        <f>IFERROR(__xludf.DUMMYFUNCTION("""COMPUTED_VALUE"""),"Batch 290")</f>
        <v>Batch 290</v>
      </c>
      <c r="B5758" s="9" t="str">
        <f>IFERROR(__xludf.DUMMYFUNCTION("""COMPUTED_VALUE"""),"AnaikaC90")</f>
        <v>AnaikaC90</v>
      </c>
      <c r="C5758" s="8">
        <f>IFERROR(__xludf.DUMMYFUNCTION("""COMPUTED_VALUE"""),0.0)</f>
        <v>0</v>
      </c>
      <c r="D5758" s="8"/>
    </row>
    <row r="5759">
      <c r="A5759" s="9" t="str">
        <f>IFERROR(__xludf.DUMMYFUNCTION("""COMPUTED_VALUE"""),"Batch 290")</f>
        <v>Batch 290</v>
      </c>
      <c r="B5759" s="9" t="str">
        <f>IFERROR(__xludf.DUMMYFUNCTION("""COMPUTED_VALUE"""),"JaskiratC90")</f>
        <v>JaskiratC90</v>
      </c>
      <c r="C5759" s="8">
        <f>IFERROR(__xludf.DUMMYFUNCTION("""COMPUTED_VALUE"""),0.0)</f>
        <v>0</v>
      </c>
      <c r="D5759" s="8"/>
    </row>
    <row r="5760">
      <c r="A5760" s="9" t="str">
        <f>IFERROR(__xludf.DUMMYFUNCTION("""COMPUTED_VALUE"""),"Batch 290")</f>
        <v>Batch 290</v>
      </c>
      <c r="B5760" s="9" t="str">
        <f>IFERROR(__xludf.DUMMYFUNCTION("""COMPUTED_VALUE"""),"AyushC90")</f>
        <v>AyushC90</v>
      </c>
      <c r="C5760" s="8">
        <f>IFERROR(__xludf.DUMMYFUNCTION("""COMPUTED_VALUE"""),3.0)</f>
        <v>3</v>
      </c>
      <c r="D5760" s="8">
        <f>IFERROR(__xludf.DUMMYFUNCTION("""COMPUTED_VALUE"""),40.0)</f>
        <v>40</v>
      </c>
    </row>
    <row r="5761">
      <c r="A5761" s="9" t="str">
        <f>IFERROR(__xludf.DUMMYFUNCTION("""COMPUTED_VALUE"""),"Batch 290")</f>
        <v>Batch 290</v>
      </c>
      <c r="B5761" s="9" t="str">
        <f>IFERROR(__xludf.DUMMYFUNCTION("""COMPUTED_VALUE"""),"DevanshiC90")</f>
        <v>DevanshiC90</v>
      </c>
      <c r="C5761" s="8">
        <f>IFERROR(__xludf.DUMMYFUNCTION("""COMPUTED_VALUE"""),0.0)</f>
        <v>0</v>
      </c>
      <c r="D5761" s="8"/>
    </row>
    <row r="5762">
      <c r="A5762" s="9" t="str">
        <f>IFERROR(__xludf.DUMMYFUNCTION("""COMPUTED_VALUE"""),"Batch 290")</f>
        <v>Batch 290</v>
      </c>
      <c r="B5762" s="9" t="str">
        <f>IFERROR(__xludf.DUMMYFUNCTION("""COMPUTED_VALUE"""),"VasudevC90")</f>
        <v>VasudevC90</v>
      </c>
      <c r="C5762" s="8">
        <f>IFERROR(__xludf.DUMMYFUNCTION("""COMPUTED_VALUE"""),0.0)</f>
        <v>0</v>
      </c>
      <c r="D5762" s="8"/>
    </row>
    <row r="5763">
      <c r="A5763" s="9"/>
      <c r="B5763" s="9"/>
      <c r="C5763" s="8">
        <f>IFERROR(__xludf.DUMMYFUNCTION("""COMPUTED_VALUE"""),0.0)</f>
        <v>0</v>
      </c>
      <c r="D5763" s="8"/>
    </row>
    <row r="5764">
      <c r="A5764" s="9" t="str">
        <f>IFERROR(__xludf.DUMMYFUNCTION("""COMPUTED_VALUE"""),"Batch 291")</f>
        <v>Batch 291</v>
      </c>
      <c r="B5764" s="9" t="str">
        <f>IFERROR(__xludf.DUMMYFUNCTION("""COMPUTED_VALUE"""),"RajneeshC91")</f>
        <v>RajneeshC91</v>
      </c>
      <c r="C5764" s="8">
        <f>IFERROR(__xludf.DUMMYFUNCTION("""COMPUTED_VALUE"""),0.0)</f>
        <v>0</v>
      </c>
      <c r="D5764" s="8"/>
    </row>
    <row r="5765">
      <c r="A5765" s="9" t="str">
        <f>IFERROR(__xludf.DUMMYFUNCTION("""COMPUTED_VALUE"""),"Batch 291")</f>
        <v>Batch 291</v>
      </c>
      <c r="B5765" s="9" t="str">
        <f>IFERROR(__xludf.DUMMYFUNCTION("""COMPUTED_VALUE"""),"VanshikaC91")</f>
        <v>VanshikaC91</v>
      </c>
      <c r="C5765" s="8">
        <f>IFERROR(__xludf.DUMMYFUNCTION("""COMPUTED_VALUE"""),0.0)</f>
        <v>0</v>
      </c>
      <c r="D5765" s="8"/>
    </row>
    <row r="5766">
      <c r="A5766" s="9" t="str">
        <f>IFERROR(__xludf.DUMMYFUNCTION("""COMPUTED_VALUE"""),"Batch 291")</f>
        <v>Batch 291</v>
      </c>
      <c r="B5766" s="9" t="str">
        <f>IFERROR(__xludf.DUMMYFUNCTION("""COMPUTED_VALUE"""),"PratikC91")</f>
        <v>PratikC91</v>
      </c>
      <c r="C5766" s="8">
        <f>IFERROR(__xludf.DUMMYFUNCTION("""COMPUTED_VALUE"""),0.0)</f>
        <v>0</v>
      </c>
      <c r="D5766" s="8"/>
    </row>
    <row r="5767">
      <c r="A5767" s="9" t="str">
        <f>IFERROR(__xludf.DUMMYFUNCTION("""COMPUTED_VALUE"""),"Batch 291")</f>
        <v>Batch 291</v>
      </c>
      <c r="B5767" s="9" t="str">
        <f>IFERROR(__xludf.DUMMYFUNCTION("""COMPUTED_VALUE"""),"MayankC91")</f>
        <v>MayankC91</v>
      </c>
      <c r="C5767" s="8">
        <f>IFERROR(__xludf.DUMMYFUNCTION("""COMPUTED_VALUE"""),0.0)</f>
        <v>0</v>
      </c>
      <c r="D5767" s="8"/>
    </row>
    <row r="5768">
      <c r="A5768" s="9" t="str">
        <f>IFERROR(__xludf.DUMMYFUNCTION("""COMPUTED_VALUE"""),"Batch 291")</f>
        <v>Batch 291</v>
      </c>
      <c r="B5768" s="9" t="str">
        <f>IFERROR(__xludf.DUMMYFUNCTION("""COMPUTED_VALUE"""),"AnshC91")</f>
        <v>AnshC91</v>
      </c>
      <c r="C5768" s="8">
        <f>IFERROR(__xludf.DUMMYFUNCTION("""COMPUTED_VALUE"""),0.0)</f>
        <v>0</v>
      </c>
      <c r="D5768" s="8"/>
    </row>
    <row r="5769">
      <c r="A5769" s="9" t="str">
        <f>IFERROR(__xludf.DUMMYFUNCTION("""COMPUTED_VALUE"""),"Batch 291")</f>
        <v>Batch 291</v>
      </c>
      <c r="B5769" s="9" t="str">
        <f>IFERROR(__xludf.DUMMYFUNCTION("""COMPUTED_VALUE"""),"vanshikaC91")</f>
        <v>vanshikaC91</v>
      </c>
      <c r="C5769" s="8">
        <f>IFERROR(__xludf.DUMMYFUNCTION("""COMPUTED_VALUE"""),0.0)</f>
        <v>0</v>
      </c>
      <c r="D5769" s="8"/>
    </row>
    <row r="5770">
      <c r="A5770" s="9" t="str">
        <f>IFERROR(__xludf.DUMMYFUNCTION("""COMPUTED_VALUE"""),"Batch 291")</f>
        <v>Batch 291</v>
      </c>
      <c r="B5770" s="9" t="str">
        <f>IFERROR(__xludf.DUMMYFUNCTION("""COMPUTED_VALUE"""),"SyedaC91")</f>
        <v>SyedaC91</v>
      </c>
      <c r="C5770" s="8">
        <f>IFERROR(__xludf.DUMMYFUNCTION("""COMPUTED_VALUE"""),0.0)</f>
        <v>0</v>
      </c>
      <c r="D5770" s="8"/>
    </row>
    <row r="5771">
      <c r="A5771" s="9" t="str">
        <f>IFERROR(__xludf.DUMMYFUNCTION("""COMPUTED_VALUE"""),"Batch 291")</f>
        <v>Batch 291</v>
      </c>
      <c r="B5771" s="9" t="str">
        <f>IFERROR(__xludf.DUMMYFUNCTION("""COMPUTED_VALUE"""),"AbhinavC91")</f>
        <v>AbhinavC91</v>
      </c>
      <c r="C5771" s="8">
        <f>IFERROR(__xludf.DUMMYFUNCTION("""COMPUTED_VALUE"""),0.0)</f>
        <v>0</v>
      </c>
      <c r="D5771" s="8"/>
    </row>
    <row r="5772">
      <c r="A5772" s="9" t="str">
        <f>IFERROR(__xludf.DUMMYFUNCTION("""COMPUTED_VALUE"""),"Batch 291")</f>
        <v>Batch 291</v>
      </c>
      <c r="B5772" s="9" t="str">
        <f>IFERROR(__xludf.DUMMYFUNCTION("""COMPUTED_VALUE"""),"AashutoshC91")</f>
        <v>AashutoshC91</v>
      </c>
      <c r="C5772" s="8">
        <f>IFERROR(__xludf.DUMMYFUNCTION("""COMPUTED_VALUE"""),0.0)</f>
        <v>0</v>
      </c>
      <c r="D5772" s="8"/>
    </row>
    <row r="5773">
      <c r="A5773" s="9" t="str">
        <f>IFERROR(__xludf.DUMMYFUNCTION("""COMPUTED_VALUE"""),"Batch 291")</f>
        <v>Batch 291</v>
      </c>
      <c r="B5773" s="9" t="str">
        <f>IFERROR(__xludf.DUMMYFUNCTION("""COMPUTED_VALUE"""),"DakshC91")</f>
        <v>DakshC91</v>
      </c>
      <c r="C5773" s="8">
        <f>IFERROR(__xludf.DUMMYFUNCTION("""COMPUTED_VALUE"""),0.0)</f>
        <v>0</v>
      </c>
      <c r="D5773" s="8"/>
    </row>
    <row r="5774">
      <c r="A5774" s="9" t="str">
        <f>IFERROR(__xludf.DUMMYFUNCTION("""COMPUTED_VALUE"""),"Batch 291")</f>
        <v>Batch 291</v>
      </c>
      <c r="B5774" s="9" t="str">
        <f>IFERROR(__xludf.DUMMYFUNCTION("""COMPUTED_VALUE"""),"AtharvC91")</f>
        <v>AtharvC91</v>
      </c>
      <c r="C5774" s="8">
        <f>IFERROR(__xludf.DUMMYFUNCTION("""COMPUTED_VALUE"""),0.0)</f>
        <v>0</v>
      </c>
      <c r="D5774" s="8"/>
    </row>
    <row r="5775">
      <c r="A5775" s="9" t="str">
        <f>IFERROR(__xludf.DUMMYFUNCTION("""COMPUTED_VALUE"""),"Batch 291")</f>
        <v>Batch 291</v>
      </c>
      <c r="B5775" s="9" t="str">
        <f>IFERROR(__xludf.DUMMYFUNCTION("""COMPUTED_VALUE"""),"AnanyaC91")</f>
        <v>AnanyaC91</v>
      </c>
      <c r="C5775" s="8">
        <f>IFERROR(__xludf.DUMMYFUNCTION("""COMPUTED_VALUE"""),0.0)</f>
        <v>0</v>
      </c>
      <c r="D5775" s="8"/>
    </row>
    <row r="5776">
      <c r="A5776" s="9" t="str">
        <f>IFERROR(__xludf.DUMMYFUNCTION("""COMPUTED_VALUE"""),"Batch 291")</f>
        <v>Batch 291</v>
      </c>
      <c r="B5776" s="9" t="str">
        <f>IFERROR(__xludf.DUMMYFUNCTION("""COMPUTED_VALUE"""),"AsmitaC91")</f>
        <v>AsmitaC91</v>
      </c>
      <c r="C5776" s="8">
        <f>IFERROR(__xludf.DUMMYFUNCTION("""COMPUTED_VALUE"""),0.0)</f>
        <v>0</v>
      </c>
      <c r="D5776" s="8"/>
    </row>
    <row r="5777">
      <c r="A5777" s="9" t="str">
        <f>IFERROR(__xludf.DUMMYFUNCTION("""COMPUTED_VALUE"""),"Batch 291")</f>
        <v>Batch 291</v>
      </c>
      <c r="B5777" s="9" t="str">
        <f>IFERROR(__xludf.DUMMYFUNCTION("""COMPUTED_VALUE"""),"DasariC91")</f>
        <v>DasariC91</v>
      </c>
      <c r="C5777" s="8">
        <f>IFERROR(__xludf.DUMMYFUNCTION("""COMPUTED_VALUE"""),1.0)</f>
        <v>1</v>
      </c>
      <c r="D5777" s="8">
        <f>IFERROR(__xludf.DUMMYFUNCTION("""COMPUTED_VALUE"""),1.0)</f>
        <v>1</v>
      </c>
    </row>
    <row r="5778">
      <c r="A5778" s="9" t="str">
        <f>IFERROR(__xludf.DUMMYFUNCTION("""COMPUTED_VALUE"""),"Batch 291")</f>
        <v>Batch 291</v>
      </c>
      <c r="B5778" s="9" t="str">
        <f>IFERROR(__xludf.DUMMYFUNCTION("""COMPUTED_VALUE"""),"SanikaC91")</f>
        <v>SanikaC91</v>
      </c>
      <c r="C5778" s="8">
        <f>IFERROR(__xludf.DUMMYFUNCTION("""COMPUTED_VALUE"""),0.0)</f>
        <v>0</v>
      </c>
      <c r="D5778" s="8"/>
    </row>
    <row r="5779">
      <c r="A5779" s="9" t="str">
        <f>IFERROR(__xludf.DUMMYFUNCTION("""COMPUTED_VALUE"""),"Batch 291")</f>
        <v>Batch 291</v>
      </c>
      <c r="B5779" s="9" t="str">
        <f>IFERROR(__xludf.DUMMYFUNCTION("""COMPUTED_VALUE"""),"NayanC91")</f>
        <v>NayanC91</v>
      </c>
      <c r="C5779" s="8">
        <f>IFERROR(__xludf.DUMMYFUNCTION("""COMPUTED_VALUE"""),0.0)</f>
        <v>0</v>
      </c>
      <c r="D5779" s="8"/>
    </row>
    <row r="5780">
      <c r="A5780" s="9" t="str">
        <f>IFERROR(__xludf.DUMMYFUNCTION("""COMPUTED_VALUE"""),"Batch 291")</f>
        <v>Batch 291</v>
      </c>
      <c r="B5780" s="9" t="str">
        <f>IFERROR(__xludf.DUMMYFUNCTION("""COMPUTED_VALUE"""),"AyushC91")</f>
        <v>AyushC91</v>
      </c>
      <c r="C5780" s="8">
        <f>IFERROR(__xludf.DUMMYFUNCTION("""COMPUTED_VALUE"""),0.0)</f>
        <v>0</v>
      </c>
      <c r="D5780" s="8"/>
    </row>
    <row r="5781">
      <c r="A5781" s="9" t="str">
        <f>IFERROR(__xludf.DUMMYFUNCTION("""COMPUTED_VALUE"""),"Batch 291")</f>
        <v>Batch 291</v>
      </c>
      <c r="B5781" s="9" t="str">
        <f>IFERROR(__xludf.DUMMYFUNCTION("""COMPUTED_VALUE"""),"RITHIKC91")</f>
        <v>RITHIKC91</v>
      </c>
      <c r="C5781" s="8">
        <f>IFERROR(__xludf.DUMMYFUNCTION("""COMPUTED_VALUE"""),0.0)</f>
        <v>0</v>
      </c>
      <c r="D5781" s="8"/>
    </row>
    <row r="5782">
      <c r="A5782" s="9" t="str">
        <f>IFERROR(__xludf.DUMMYFUNCTION("""COMPUTED_VALUE"""),"Batch 291")</f>
        <v>Batch 291</v>
      </c>
      <c r="B5782" s="9" t="str">
        <f>IFERROR(__xludf.DUMMYFUNCTION("""COMPUTED_VALUE"""),"SripadiC91")</f>
        <v>SripadiC91</v>
      </c>
      <c r="C5782" s="8">
        <f>IFERROR(__xludf.DUMMYFUNCTION("""COMPUTED_VALUE"""),0.0)</f>
        <v>0</v>
      </c>
      <c r="D5782" s="8"/>
    </row>
    <row r="5783">
      <c r="A5783" s="9" t="str">
        <f>IFERROR(__xludf.DUMMYFUNCTION("""COMPUTED_VALUE"""),"Batch 291")</f>
        <v>Batch 291</v>
      </c>
      <c r="B5783" s="9" t="str">
        <f>IFERROR(__xludf.DUMMYFUNCTION("""COMPUTED_VALUE"""),"KarishmaC91")</f>
        <v>KarishmaC91</v>
      </c>
      <c r="C5783" s="8">
        <f>IFERROR(__xludf.DUMMYFUNCTION("""COMPUTED_VALUE"""),0.0)</f>
        <v>0</v>
      </c>
      <c r="D5783" s="8"/>
    </row>
    <row r="5784">
      <c r="A5784" s="9" t="str">
        <f>IFERROR(__xludf.DUMMYFUNCTION("""COMPUTED_VALUE"""),"Batch 291")</f>
        <v>Batch 291</v>
      </c>
      <c r="B5784" s="9" t="str">
        <f>IFERROR(__xludf.DUMMYFUNCTION("""COMPUTED_VALUE"""),"MANOJKUMARC91")</f>
        <v>MANOJKUMARC91</v>
      </c>
      <c r="C5784" s="8">
        <f>IFERROR(__xludf.DUMMYFUNCTION("""COMPUTED_VALUE"""),4.0)</f>
        <v>4</v>
      </c>
      <c r="D5784" s="8"/>
    </row>
    <row r="5785">
      <c r="A5785" s="9" t="str">
        <f>IFERROR(__xludf.DUMMYFUNCTION("""COMPUTED_VALUE"""),"Batch 291")</f>
        <v>Batch 291</v>
      </c>
      <c r="B5785" s="9" t="str">
        <f>IFERROR(__xludf.DUMMYFUNCTION("""COMPUTED_VALUE"""),"KRRISHC91")</f>
        <v>KRRISHC91</v>
      </c>
      <c r="C5785" s="8">
        <f>IFERROR(__xludf.DUMMYFUNCTION("""COMPUTED_VALUE"""),0.0)</f>
        <v>0</v>
      </c>
      <c r="D5785" s="8"/>
    </row>
    <row r="5786">
      <c r="A5786" s="9" t="str">
        <f>IFERROR(__xludf.DUMMYFUNCTION("""COMPUTED_VALUE"""),"Batch 291")</f>
        <v>Batch 291</v>
      </c>
      <c r="B5786" s="9" t="str">
        <f>IFERROR(__xludf.DUMMYFUNCTION("""COMPUTED_VALUE"""),"DODDAPANENIC91")</f>
        <v>DODDAPANENIC91</v>
      </c>
      <c r="C5786" s="8">
        <f>IFERROR(__xludf.DUMMYFUNCTION("""COMPUTED_VALUE"""),0.0)</f>
        <v>0</v>
      </c>
      <c r="D5786" s="8"/>
    </row>
    <row r="5787">
      <c r="A5787" s="9" t="str">
        <f>IFERROR(__xludf.DUMMYFUNCTION("""COMPUTED_VALUE"""),"Batch 291")</f>
        <v>Batch 291</v>
      </c>
      <c r="B5787" s="9" t="str">
        <f>IFERROR(__xludf.DUMMYFUNCTION("""COMPUTED_VALUE"""),"poojaC91")</f>
        <v>poojaC91</v>
      </c>
      <c r="C5787" s="8">
        <f>IFERROR(__xludf.DUMMYFUNCTION("""COMPUTED_VALUE"""),0.0)</f>
        <v>0</v>
      </c>
      <c r="D5787" s="8"/>
    </row>
    <row r="5788">
      <c r="A5788" s="9" t="str">
        <f>IFERROR(__xludf.DUMMYFUNCTION("""COMPUTED_VALUE"""),"Batch 291")</f>
        <v>Batch 291</v>
      </c>
      <c r="B5788" s="9" t="str">
        <f>IFERROR(__xludf.DUMMYFUNCTION("""COMPUTED_VALUE"""),"JoelC91")</f>
        <v>JoelC91</v>
      </c>
      <c r="C5788" s="8">
        <f>IFERROR(__xludf.DUMMYFUNCTION("""COMPUTED_VALUE"""),0.0)</f>
        <v>0</v>
      </c>
      <c r="D5788" s="8"/>
    </row>
    <row r="5789">
      <c r="A5789" s="9" t="str">
        <f>IFERROR(__xludf.DUMMYFUNCTION("""COMPUTED_VALUE"""),"Batch 291")</f>
        <v>Batch 291</v>
      </c>
      <c r="B5789" s="9" t="str">
        <f>IFERROR(__xludf.DUMMYFUNCTION("""COMPUTED_VALUE"""),"PalakC91")</f>
        <v>PalakC91</v>
      </c>
      <c r="C5789" s="8">
        <f>IFERROR(__xludf.DUMMYFUNCTION("""COMPUTED_VALUE"""),0.0)</f>
        <v>0</v>
      </c>
      <c r="D5789" s="8"/>
    </row>
    <row r="5790">
      <c r="A5790" s="9" t="str">
        <f>IFERROR(__xludf.DUMMYFUNCTION("""COMPUTED_VALUE"""),"Batch 291")</f>
        <v>Batch 291</v>
      </c>
      <c r="B5790" s="9" t="str">
        <f>IFERROR(__xludf.DUMMYFUNCTION("""COMPUTED_VALUE"""),"NiyatiC91")</f>
        <v>NiyatiC91</v>
      </c>
      <c r="C5790" s="8">
        <f>IFERROR(__xludf.DUMMYFUNCTION("""COMPUTED_VALUE"""),0.0)</f>
        <v>0</v>
      </c>
      <c r="D5790" s="8"/>
    </row>
    <row r="5791">
      <c r="A5791" s="9" t="str">
        <f>IFERROR(__xludf.DUMMYFUNCTION("""COMPUTED_VALUE"""),"Batch 291")</f>
        <v>Batch 291</v>
      </c>
      <c r="B5791" s="9" t="str">
        <f>IFERROR(__xludf.DUMMYFUNCTION("""COMPUTED_VALUE"""),"UdbaC91")</f>
        <v>UdbaC91</v>
      </c>
      <c r="C5791" s="8">
        <f>IFERROR(__xludf.DUMMYFUNCTION("""COMPUTED_VALUE"""),0.0)</f>
        <v>0</v>
      </c>
      <c r="D5791" s="8"/>
    </row>
    <row r="5792">
      <c r="A5792" s="9" t="str">
        <f>IFERROR(__xludf.DUMMYFUNCTION("""COMPUTED_VALUE"""),"Batch 291")</f>
        <v>Batch 291</v>
      </c>
      <c r="B5792" s="9" t="str">
        <f>IFERROR(__xludf.DUMMYFUNCTION("""COMPUTED_VALUE"""),"AmitC91")</f>
        <v>AmitC91</v>
      </c>
      <c r="C5792" s="8">
        <f>IFERROR(__xludf.DUMMYFUNCTION("""COMPUTED_VALUE"""),0.0)</f>
        <v>0</v>
      </c>
      <c r="D5792" s="8"/>
    </row>
    <row r="5793">
      <c r="A5793" s="9" t="str">
        <f>IFERROR(__xludf.DUMMYFUNCTION("""COMPUTED_VALUE"""),"Batch 291")</f>
        <v>Batch 291</v>
      </c>
      <c r="B5793" s="9" t="str">
        <f>IFERROR(__xludf.DUMMYFUNCTION("""COMPUTED_VALUE"""),"AyushiC91")</f>
        <v>AyushiC91</v>
      </c>
      <c r="C5793" s="8">
        <f>IFERROR(__xludf.DUMMYFUNCTION("""COMPUTED_VALUE"""),0.0)</f>
        <v>0</v>
      </c>
      <c r="D5793" s="8"/>
    </row>
    <row r="5794">
      <c r="A5794" s="9" t="str">
        <f>IFERROR(__xludf.DUMMYFUNCTION("""COMPUTED_VALUE"""),"Batch 291")</f>
        <v>Batch 291</v>
      </c>
      <c r="B5794" s="9" t="str">
        <f>IFERROR(__xludf.DUMMYFUNCTION("""COMPUTED_VALUE"""),"MihirC91")</f>
        <v>MihirC91</v>
      </c>
      <c r="C5794" s="8">
        <f>IFERROR(__xludf.DUMMYFUNCTION("""COMPUTED_VALUE"""),1.0)</f>
        <v>1</v>
      </c>
      <c r="D5794" s="8"/>
    </row>
    <row r="5795">
      <c r="A5795" s="9" t="str">
        <f>IFERROR(__xludf.DUMMYFUNCTION("""COMPUTED_VALUE"""),"Batch 291")</f>
        <v>Batch 291</v>
      </c>
      <c r="B5795" s="9" t="str">
        <f>IFERROR(__xludf.DUMMYFUNCTION("""COMPUTED_VALUE"""),"PranjeetC91")</f>
        <v>PranjeetC91</v>
      </c>
      <c r="C5795" s="8">
        <f>IFERROR(__xludf.DUMMYFUNCTION("""COMPUTED_VALUE"""),0.0)</f>
        <v>0</v>
      </c>
      <c r="D5795" s="8"/>
    </row>
    <row r="5796">
      <c r="A5796" s="9" t="str">
        <f>IFERROR(__xludf.DUMMYFUNCTION("""COMPUTED_VALUE"""),"Batch 291")</f>
        <v>Batch 291</v>
      </c>
      <c r="B5796" s="9" t="str">
        <f>IFERROR(__xludf.DUMMYFUNCTION("""COMPUTED_VALUE"""),"RahulC91")</f>
        <v>RahulC91</v>
      </c>
      <c r="C5796" s="8">
        <f>IFERROR(__xludf.DUMMYFUNCTION("""COMPUTED_VALUE"""),0.0)</f>
        <v>0</v>
      </c>
      <c r="D5796" s="8"/>
    </row>
    <row r="5797">
      <c r="A5797" s="9" t="str">
        <f>IFERROR(__xludf.DUMMYFUNCTION("""COMPUTED_VALUE"""),"Batch 291")</f>
        <v>Batch 291</v>
      </c>
      <c r="B5797" s="9" t="str">
        <f>IFERROR(__xludf.DUMMYFUNCTION("""COMPUTED_VALUE"""),"SuryaC91")</f>
        <v>SuryaC91</v>
      </c>
      <c r="C5797" s="8">
        <f>IFERROR(__xludf.DUMMYFUNCTION("""COMPUTED_VALUE"""),0.0)</f>
        <v>0</v>
      </c>
      <c r="D5797" s="8">
        <f>IFERROR(__xludf.DUMMYFUNCTION("""COMPUTED_VALUE"""),9.0)</f>
        <v>9</v>
      </c>
    </row>
    <row r="5798">
      <c r="A5798" s="9" t="str">
        <f>IFERROR(__xludf.DUMMYFUNCTION("""COMPUTED_VALUE"""),"Batch 291")</f>
        <v>Batch 291</v>
      </c>
      <c r="B5798" s="9" t="str">
        <f>IFERROR(__xludf.DUMMYFUNCTION("""COMPUTED_VALUE"""),"TanviC91")</f>
        <v>TanviC91</v>
      </c>
      <c r="C5798" s="8">
        <f>IFERROR(__xludf.DUMMYFUNCTION("""COMPUTED_VALUE"""),1.0)</f>
        <v>1</v>
      </c>
      <c r="D5798" s="8"/>
    </row>
    <row r="5799">
      <c r="A5799" s="9"/>
      <c r="B5799" s="9"/>
      <c r="C5799" s="8">
        <f>IFERROR(__xludf.DUMMYFUNCTION("""COMPUTED_VALUE"""),0.0)</f>
        <v>0</v>
      </c>
      <c r="D5799" s="8"/>
    </row>
    <row r="5800">
      <c r="A5800" s="9" t="str">
        <f>IFERROR(__xludf.DUMMYFUNCTION("""COMPUTED_VALUE"""),"Batch 292")</f>
        <v>Batch 292</v>
      </c>
      <c r="B5800" s="9" t="str">
        <f>IFERROR(__xludf.DUMMYFUNCTION("""COMPUTED_VALUE"""),"ShailjaC92")</f>
        <v>ShailjaC92</v>
      </c>
      <c r="C5800" s="8">
        <f>IFERROR(__xludf.DUMMYFUNCTION("""COMPUTED_VALUE"""),0.0)</f>
        <v>0</v>
      </c>
      <c r="D5800" s="8"/>
    </row>
    <row r="5801">
      <c r="A5801" s="9" t="str">
        <f>IFERROR(__xludf.DUMMYFUNCTION("""COMPUTED_VALUE"""),"Batch 292")</f>
        <v>Batch 292</v>
      </c>
      <c r="B5801" s="9" t="str">
        <f>IFERROR(__xludf.DUMMYFUNCTION("""COMPUTED_VALUE"""),"NAINAC92")</f>
        <v>NAINAC92</v>
      </c>
      <c r="C5801" s="8">
        <f>IFERROR(__xludf.DUMMYFUNCTION("""COMPUTED_VALUE"""),0.0)</f>
        <v>0</v>
      </c>
      <c r="D5801" s="8"/>
    </row>
    <row r="5802">
      <c r="A5802" s="9" t="str">
        <f>IFERROR(__xludf.DUMMYFUNCTION("""COMPUTED_VALUE"""),"Batch 292")</f>
        <v>Batch 292</v>
      </c>
      <c r="B5802" s="9" t="str">
        <f>IFERROR(__xludf.DUMMYFUNCTION("""COMPUTED_VALUE"""),"PrakritiC92")</f>
        <v>PrakritiC92</v>
      </c>
      <c r="C5802" s="8">
        <f>IFERROR(__xludf.DUMMYFUNCTION("""COMPUTED_VALUE"""),9.0)</f>
        <v>9</v>
      </c>
      <c r="D5802" s="8"/>
    </row>
    <row r="5803">
      <c r="A5803" s="9" t="str">
        <f>IFERROR(__xludf.DUMMYFUNCTION("""COMPUTED_VALUE"""),"Batch 292")</f>
        <v>Batch 292</v>
      </c>
      <c r="B5803" s="9" t="str">
        <f>IFERROR(__xludf.DUMMYFUNCTION("""COMPUTED_VALUE"""),"AshishC92")</f>
        <v>AshishC92</v>
      </c>
      <c r="C5803" s="8">
        <f>IFERROR(__xludf.DUMMYFUNCTION("""COMPUTED_VALUE"""),0.0)</f>
        <v>0</v>
      </c>
      <c r="D5803" s="8"/>
    </row>
    <row r="5804">
      <c r="A5804" s="9" t="str">
        <f>IFERROR(__xludf.DUMMYFUNCTION("""COMPUTED_VALUE"""),"Batch 292")</f>
        <v>Batch 292</v>
      </c>
      <c r="B5804" s="9" t="str">
        <f>IFERROR(__xludf.DUMMYFUNCTION("""COMPUTED_VALUE"""),"RoshanC92")</f>
        <v>RoshanC92</v>
      </c>
      <c r="C5804" s="8">
        <f>IFERROR(__xludf.DUMMYFUNCTION("""COMPUTED_VALUE"""),0.0)</f>
        <v>0</v>
      </c>
      <c r="D5804" s="8"/>
    </row>
    <row r="5805">
      <c r="A5805" s="9" t="str">
        <f>IFERROR(__xludf.DUMMYFUNCTION("""COMPUTED_VALUE"""),"Batch 292")</f>
        <v>Batch 292</v>
      </c>
      <c r="B5805" s="9" t="str">
        <f>IFERROR(__xludf.DUMMYFUNCTION("""COMPUTED_VALUE"""),"AjitC92")</f>
        <v>AjitC92</v>
      </c>
      <c r="C5805" s="8">
        <f>IFERROR(__xludf.DUMMYFUNCTION("""COMPUTED_VALUE"""),1.0)</f>
        <v>1</v>
      </c>
      <c r="D5805" s="8"/>
    </row>
    <row r="5806">
      <c r="A5806" s="9" t="str">
        <f>IFERROR(__xludf.DUMMYFUNCTION("""COMPUTED_VALUE"""),"Batch 292")</f>
        <v>Batch 292</v>
      </c>
      <c r="B5806" s="9" t="str">
        <f>IFERROR(__xludf.DUMMYFUNCTION("""COMPUTED_VALUE"""),"FizaC92")</f>
        <v>FizaC92</v>
      </c>
      <c r="C5806" s="8">
        <f>IFERROR(__xludf.DUMMYFUNCTION("""COMPUTED_VALUE"""),0.0)</f>
        <v>0</v>
      </c>
      <c r="D5806" s="8"/>
    </row>
    <row r="5807">
      <c r="A5807" s="9" t="str">
        <f>IFERROR(__xludf.DUMMYFUNCTION("""COMPUTED_VALUE"""),"Batch 292")</f>
        <v>Batch 292</v>
      </c>
      <c r="B5807" s="9" t="str">
        <f>IFERROR(__xludf.DUMMYFUNCTION("""COMPUTED_VALUE"""),"KavyaC92")</f>
        <v>KavyaC92</v>
      </c>
      <c r="C5807" s="8">
        <f>IFERROR(__xludf.DUMMYFUNCTION("""COMPUTED_VALUE"""),0.0)</f>
        <v>0</v>
      </c>
      <c r="D5807" s="8"/>
    </row>
    <row r="5808">
      <c r="A5808" s="9" t="str">
        <f>IFERROR(__xludf.DUMMYFUNCTION("""COMPUTED_VALUE"""),"Batch 292")</f>
        <v>Batch 292</v>
      </c>
      <c r="B5808" s="9" t="str">
        <f>IFERROR(__xludf.DUMMYFUNCTION("""COMPUTED_VALUE"""),"JagratiC92")</f>
        <v>JagratiC92</v>
      </c>
      <c r="C5808" s="8">
        <f>IFERROR(__xludf.DUMMYFUNCTION("""COMPUTED_VALUE"""),0.0)</f>
        <v>0</v>
      </c>
      <c r="D5808" s="8"/>
    </row>
    <row r="5809">
      <c r="A5809" s="9" t="str">
        <f>IFERROR(__xludf.DUMMYFUNCTION("""COMPUTED_VALUE"""),"Batch 292")</f>
        <v>Batch 292</v>
      </c>
      <c r="B5809" s="9" t="str">
        <f>IFERROR(__xludf.DUMMYFUNCTION("""COMPUTED_VALUE"""),"NancyC92")</f>
        <v>NancyC92</v>
      </c>
      <c r="C5809" s="8">
        <f>IFERROR(__xludf.DUMMYFUNCTION("""COMPUTED_VALUE"""),1.0)</f>
        <v>1</v>
      </c>
      <c r="D5809" s="8"/>
    </row>
    <row r="5810">
      <c r="A5810" s="9" t="str">
        <f>IFERROR(__xludf.DUMMYFUNCTION("""COMPUTED_VALUE"""),"Batch 292")</f>
        <v>Batch 292</v>
      </c>
      <c r="B5810" s="9" t="str">
        <f>IFERROR(__xludf.DUMMYFUNCTION("""COMPUTED_VALUE"""),"VedantC92")</f>
        <v>VedantC92</v>
      </c>
      <c r="C5810" s="8">
        <f>IFERROR(__xludf.DUMMYFUNCTION("""COMPUTED_VALUE"""),0.0)</f>
        <v>0</v>
      </c>
      <c r="D5810" s="8"/>
    </row>
    <row r="5811">
      <c r="A5811" s="9" t="str">
        <f>IFERROR(__xludf.DUMMYFUNCTION("""COMPUTED_VALUE"""),"Batch 292")</f>
        <v>Batch 292</v>
      </c>
      <c r="B5811" s="9" t="str">
        <f>IFERROR(__xludf.DUMMYFUNCTION("""COMPUTED_VALUE"""),"AnanyaC92")</f>
        <v>AnanyaC92</v>
      </c>
      <c r="C5811" s="8">
        <f>IFERROR(__xludf.DUMMYFUNCTION("""COMPUTED_VALUE"""),0.0)</f>
        <v>0</v>
      </c>
      <c r="D5811" s="8"/>
    </row>
    <row r="5812">
      <c r="A5812" s="9" t="str">
        <f>IFERROR(__xludf.DUMMYFUNCTION("""COMPUTED_VALUE"""),"Batch 292")</f>
        <v>Batch 292</v>
      </c>
      <c r="B5812" s="9" t="str">
        <f>IFERROR(__xludf.DUMMYFUNCTION("""COMPUTED_VALUE"""),"KhushiC92")</f>
        <v>KhushiC92</v>
      </c>
      <c r="C5812" s="8">
        <f>IFERROR(__xludf.DUMMYFUNCTION("""COMPUTED_VALUE"""),0.0)</f>
        <v>0</v>
      </c>
      <c r="D5812" s="8"/>
    </row>
    <row r="5813">
      <c r="A5813" s="9" t="str">
        <f>IFERROR(__xludf.DUMMYFUNCTION("""COMPUTED_VALUE"""),"Batch 292")</f>
        <v>Batch 292</v>
      </c>
      <c r="B5813" s="9" t="str">
        <f>IFERROR(__xludf.DUMMYFUNCTION("""COMPUTED_VALUE"""),"IshanviC92")</f>
        <v>IshanviC92</v>
      </c>
      <c r="C5813" s="8">
        <f>IFERROR(__xludf.DUMMYFUNCTION("""COMPUTED_VALUE"""),0.0)</f>
        <v>0</v>
      </c>
      <c r="D5813" s="8"/>
    </row>
    <row r="5814">
      <c r="A5814" s="9" t="str">
        <f>IFERROR(__xludf.DUMMYFUNCTION("""COMPUTED_VALUE"""),"Batch 292")</f>
        <v>Batch 292</v>
      </c>
      <c r="B5814" s="9" t="str">
        <f>IFERROR(__xludf.DUMMYFUNCTION("""COMPUTED_VALUE"""),"KushC92")</f>
        <v>KushC92</v>
      </c>
      <c r="C5814" s="8">
        <f>IFERROR(__xludf.DUMMYFUNCTION("""COMPUTED_VALUE"""),0.0)</f>
        <v>0</v>
      </c>
      <c r="D5814" s="8"/>
    </row>
    <row r="5815">
      <c r="A5815" s="9" t="str">
        <f>IFERROR(__xludf.DUMMYFUNCTION("""COMPUTED_VALUE"""),"Batch 292")</f>
        <v>Batch 292</v>
      </c>
      <c r="B5815" s="9" t="str">
        <f>IFERROR(__xludf.DUMMYFUNCTION("""COMPUTED_VALUE"""),"RitikaC92")</f>
        <v>RitikaC92</v>
      </c>
      <c r="C5815" s="8">
        <f>IFERROR(__xludf.DUMMYFUNCTION("""COMPUTED_VALUE"""),0.0)</f>
        <v>0</v>
      </c>
      <c r="D5815" s="8"/>
    </row>
    <row r="5816">
      <c r="A5816" s="9" t="str">
        <f>IFERROR(__xludf.DUMMYFUNCTION("""COMPUTED_VALUE"""),"Batch 292")</f>
        <v>Batch 292</v>
      </c>
      <c r="B5816" s="9" t="str">
        <f>IFERROR(__xludf.DUMMYFUNCTION("""COMPUTED_VALUE"""),"VanshC92")</f>
        <v>VanshC92</v>
      </c>
      <c r="C5816" s="8">
        <f>IFERROR(__xludf.DUMMYFUNCTION("""COMPUTED_VALUE"""),0.0)</f>
        <v>0</v>
      </c>
      <c r="D5816" s="8"/>
    </row>
    <row r="5817">
      <c r="A5817" s="9" t="str">
        <f>IFERROR(__xludf.DUMMYFUNCTION("""COMPUTED_VALUE"""),"Batch 292")</f>
        <v>Batch 292</v>
      </c>
      <c r="B5817" s="9" t="str">
        <f>IFERROR(__xludf.DUMMYFUNCTION("""COMPUTED_VALUE"""),"NiyaC92")</f>
        <v>NiyaC92</v>
      </c>
      <c r="C5817" s="8">
        <f>IFERROR(__xludf.DUMMYFUNCTION("""COMPUTED_VALUE"""),0.0)</f>
        <v>0</v>
      </c>
      <c r="D5817" s="8"/>
    </row>
    <row r="5818">
      <c r="A5818" s="9" t="str">
        <f>IFERROR(__xludf.DUMMYFUNCTION("""COMPUTED_VALUE"""),"Batch 292")</f>
        <v>Batch 292</v>
      </c>
      <c r="B5818" s="9" t="str">
        <f>IFERROR(__xludf.DUMMYFUNCTION("""COMPUTED_VALUE"""),"LakshmiC92")</f>
        <v>LakshmiC92</v>
      </c>
      <c r="C5818" s="8">
        <f>IFERROR(__xludf.DUMMYFUNCTION("""COMPUTED_VALUE"""),0.0)</f>
        <v>0</v>
      </c>
      <c r="D5818" s="8"/>
    </row>
    <row r="5819">
      <c r="A5819" s="9" t="str">
        <f>IFERROR(__xludf.DUMMYFUNCTION("""COMPUTED_VALUE"""),"Batch 292")</f>
        <v>Batch 292</v>
      </c>
      <c r="B5819" s="9" t="str">
        <f>IFERROR(__xludf.DUMMYFUNCTION("""COMPUTED_VALUE"""),"MOHAMMEDC92")</f>
        <v>MOHAMMEDC92</v>
      </c>
      <c r="C5819" s="8">
        <f>IFERROR(__xludf.DUMMYFUNCTION("""COMPUTED_VALUE"""),0.0)</f>
        <v>0</v>
      </c>
      <c r="D5819" s="8"/>
    </row>
    <row r="5820">
      <c r="A5820" s="9" t="str">
        <f>IFERROR(__xludf.DUMMYFUNCTION("""COMPUTED_VALUE"""),"Batch 292")</f>
        <v>Batch 292</v>
      </c>
      <c r="B5820" s="9" t="str">
        <f>IFERROR(__xludf.DUMMYFUNCTION("""COMPUTED_VALUE"""),"MehakC92")</f>
        <v>MehakC92</v>
      </c>
      <c r="C5820" s="8">
        <f>IFERROR(__xludf.DUMMYFUNCTION("""COMPUTED_VALUE"""),3.0)</f>
        <v>3</v>
      </c>
      <c r="D5820" s="8"/>
    </row>
    <row r="5821">
      <c r="A5821" s="9"/>
      <c r="B5821" s="9"/>
      <c r="C5821" s="8">
        <f>IFERROR(__xludf.DUMMYFUNCTION("""COMPUTED_VALUE"""),0.0)</f>
        <v>0</v>
      </c>
      <c r="D5821" s="8"/>
    </row>
    <row r="5822">
      <c r="A5822" s="9" t="str">
        <f>IFERROR(__xludf.DUMMYFUNCTION("""COMPUTED_VALUE"""),"Batch 293")</f>
        <v>Batch 293</v>
      </c>
      <c r="B5822" s="9" t="str">
        <f>IFERROR(__xludf.DUMMYFUNCTION("""COMPUTED_VALUE"""),"SanaC93")</f>
        <v>SanaC93</v>
      </c>
      <c r="C5822" s="8">
        <f>IFERROR(__xludf.DUMMYFUNCTION("""COMPUTED_VALUE"""),0.0)</f>
        <v>0</v>
      </c>
      <c r="D5822" s="8"/>
    </row>
    <row r="5823">
      <c r="A5823" s="9" t="str">
        <f>IFERROR(__xludf.DUMMYFUNCTION("""COMPUTED_VALUE"""),"Batch 293")</f>
        <v>Batch 293</v>
      </c>
      <c r="B5823" s="9" t="str">
        <f>IFERROR(__xludf.DUMMYFUNCTION("""COMPUTED_VALUE"""),"KanakC93")</f>
        <v>KanakC93</v>
      </c>
      <c r="C5823" s="8">
        <f>IFERROR(__xludf.DUMMYFUNCTION("""COMPUTED_VALUE"""),0.0)</f>
        <v>0</v>
      </c>
      <c r="D5823" s="8"/>
    </row>
    <row r="5824">
      <c r="A5824" s="9" t="str">
        <f>IFERROR(__xludf.DUMMYFUNCTION("""COMPUTED_VALUE"""),"Batch 293")</f>
        <v>Batch 293</v>
      </c>
      <c r="B5824" s="9" t="str">
        <f>IFERROR(__xludf.DUMMYFUNCTION("""COMPUTED_VALUE"""),"SushmaC93")</f>
        <v>SushmaC93</v>
      </c>
      <c r="C5824" s="8">
        <f>IFERROR(__xludf.DUMMYFUNCTION("""COMPUTED_VALUE"""),0.0)</f>
        <v>0</v>
      </c>
      <c r="D5824" s="8"/>
    </row>
    <row r="5825">
      <c r="A5825" s="9" t="str">
        <f>IFERROR(__xludf.DUMMYFUNCTION("""COMPUTED_VALUE"""),"Batch 293")</f>
        <v>Batch 293</v>
      </c>
      <c r="B5825" s="9" t="str">
        <f>IFERROR(__xludf.DUMMYFUNCTION("""COMPUTED_VALUE"""),"chiragC93")</f>
        <v>chiragC93</v>
      </c>
      <c r="C5825" s="8">
        <f>IFERROR(__xludf.DUMMYFUNCTION("""COMPUTED_VALUE"""),0.0)</f>
        <v>0</v>
      </c>
      <c r="D5825" s="8"/>
    </row>
    <row r="5826">
      <c r="A5826" s="9" t="str">
        <f>IFERROR(__xludf.DUMMYFUNCTION("""COMPUTED_VALUE"""),"Batch 293")</f>
        <v>Batch 293</v>
      </c>
      <c r="B5826" s="9" t="str">
        <f>IFERROR(__xludf.DUMMYFUNCTION("""COMPUTED_VALUE"""),"PathlavathC93")</f>
        <v>PathlavathC93</v>
      </c>
      <c r="C5826" s="8">
        <f>IFERROR(__xludf.DUMMYFUNCTION("""COMPUTED_VALUE"""),0.0)</f>
        <v>0</v>
      </c>
      <c r="D5826" s="8"/>
    </row>
    <row r="5827">
      <c r="A5827" s="9" t="str">
        <f>IFERROR(__xludf.DUMMYFUNCTION("""COMPUTED_VALUE"""),"Batch 293")</f>
        <v>Batch 293</v>
      </c>
      <c r="B5827" s="9" t="str">
        <f>IFERROR(__xludf.DUMMYFUNCTION("""COMPUTED_VALUE"""),"CharmyC93")</f>
        <v>CharmyC93</v>
      </c>
      <c r="C5827" s="8">
        <f>IFERROR(__xludf.DUMMYFUNCTION("""COMPUTED_VALUE"""),0.0)</f>
        <v>0</v>
      </c>
      <c r="D5827" s="8"/>
    </row>
    <row r="5828">
      <c r="A5828" s="9" t="str">
        <f>IFERROR(__xludf.DUMMYFUNCTION("""COMPUTED_VALUE"""),"Batch 293")</f>
        <v>Batch 293</v>
      </c>
      <c r="B5828" s="9" t="str">
        <f>IFERROR(__xludf.DUMMYFUNCTION("""COMPUTED_VALUE"""),"AasthaC93")</f>
        <v>AasthaC93</v>
      </c>
      <c r="C5828" s="8">
        <f>IFERROR(__xludf.DUMMYFUNCTION("""COMPUTED_VALUE"""),0.0)</f>
        <v>0</v>
      </c>
      <c r="D5828" s="8"/>
    </row>
    <row r="5829">
      <c r="A5829" s="9" t="str">
        <f>IFERROR(__xludf.DUMMYFUNCTION("""COMPUTED_VALUE"""),"Batch 293")</f>
        <v>Batch 293</v>
      </c>
      <c r="B5829" s="9" t="str">
        <f>IFERROR(__xludf.DUMMYFUNCTION("""COMPUTED_VALUE"""),"AribaC93")</f>
        <v>AribaC93</v>
      </c>
      <c r="C5829" s="8">
        <f>IFERROR(__xludf.DUMMYFUNCTION("""COMPUTED_VALUE"""),0.0)</f>
        <v>0</v>
      </c>
      <c r="D5829" s="8"/>
    </row>
    <row r="5830">
      <c r="A5830" s="9" t="str">
        <f>IFERROR(__xludf.DUMMYFUNCTION("""COMPUTED_VALUE"""),"Batch 293")</f>
        <v>Batch 293</v>
      </c>
      <c r="B5830" s="9" t="str">
        <f>IFERROR(__xludf.DUMMYFUNCTION("""COMPUTED_VALUE"""),"SomeshC93")</f>
        <v>SomeshC93</v>
      </c>
      <c r="C5830" s="8">
        <f>IFERROR(__xludf.DUMMYFUNCTION("""COMPUTED_VALUE"""),0.0)</f>
        <v>0</v>
      </c>
      <c r="D5830" s="8"/>
    </row>
    <row r="5831">
      <c r="A5831" s="9" t="str">
        <f>IFERROR(__xludf.DUMMYFUNCTION("""COMPUTED_VALUE"""),"Batch 293")</f>
        <v>Batch 293</v>
      </c>
      <c r="B5831" s="9" t="str">
        <f>IFERROR(__xludf.DUMMYFUNCTION("""COMPUTED_VALUE"""),"BanaspravaC93")</f>
        <v>BanaspravaC93</v>
      </c>
      <c r="C5831" s="8">
        <f>IFERROR(__xludf.DUMMYFUNCTION("""COMPUTED_VALUE"""),0.0)</f>
        <v>0</v>
      </c>
      <c r="D5831" s="8"/>
    </row>
    <row r="5832">
      <c r="A5832" s="9" t="str">
        <f>IFERROR(__xludf.DUMMYFUNCTION("""COMPUTED_VALUE"""),"Batch 293")</f>
        <v>Batch 293</v>
      </c>
      <c r="B5832" s="9" t="str">
        <f>IFERROR(__xludf.DUMMYFUNCTION("""COMPUTED_VALUE"""),"SaiC93")</f>
        <v>SaiC93</v>
      </c>
      <c r="C5832" s="8">
        <f>IFERROR(__xludf.DUMMYFUNCTION("""COMPUTED_VALUE"""),0.0)</f>
        <v>0</v>
      </c>
      <c r="D5832" s="8"/>
    </row>
    <row r="5833">
      <c r="A5833" s="9" t="str">
        <f>IFERROR(__xludf.DUMMYFUNCTION("""COMPUTED_VALUE"""),"Batch 293")</f>
        <v>Batch 293</v>
      </c>
      <c r="B5833" s="9" t="str">
        <f>IFERROR(__xludf.DUMMYFUNCTION("""COMPUTED_VALUE"""),"ChayaC93")</f>
        <v>ChayaC93</v>
      </c>
      <c r="C5833" s="8">
        <f>IFERROR(__xludf.DUMMYFUNCTION("""COMPUTED_VALUE"""),0.0)</f>
        <v>0</v>
      </c>
      <c r="D5833" s="8"/>
    </row>
    <row r="5834">
      <c r="A5834" s="9" t="str">
        <f>IFERROR(__xludf.DUMMYFUNCTION("""COMPUTED_VALUE"""),"Batch 293")</f>
        <v>Batch 293</v>
      </c>
      <c r="B5834" s="9" t="str">
        <f>IFERROR(__xludf.DUMMYFUNCTION("""COMPUTED_VALUE"""),"PrinceC93")</f>
        <v>PrinceC93</v>
      </c>
      <c r="C5834" s="8">
        <f>IFERROR(__xludf.DUMMYFUNCTION("""COMPUTED_VALUE"""),1.0)</f>
        <v>1</v>
      </c>
      <c r="D5834" s="8"/>
    </row>
    <row r="5835">
      <c r="A5835" s="9" t="str">
        <f>IFERROR(__xludf.DUMMYFUNCTION("""COMPUTED_VALUE"""),"Batch 293")</f>
        <v>Batch 293</v>
      </c>
      <c r="B5835" s="9" t="str">
        <f>IFERROR(__xludf.DUMMYFUNCTION("""COMPUTED_VALUE"""),"SohamC93")</f>
        <v>SohamC93</v>
      </c>
      <c r="C5835" s="8">
        <f>IFERROR(__xludf.DUMMYFUNCTION("""COMPUTED_VALUE"""),0.0)</f>
        <v>0</v>
      </c>
      <c r="D5835" s="8"/>
    </row>
    <row r="5836">
      <c r="A5836" s="9" t="str">
        <f>IFERROR(__xludf.DUMMYFUNCTION("""COMPUTED_VALUE"""),"Batch 293")</f>
        <v>Batch 293</v>
      </c>
      <c r="B5836" s="9" t="str">
        <f>IFERROR(__xludf.DUMMYFUNCTION("""COMPUTED_VALUE"""),"DikshaC93")</f>
        <v>DikshaC93</v>
      </c>
      <c r="C5836" s="8">
        <f>IFERROR(__xludf.DUMMYFUNCTION("""COMPUTED_VALUE"""),0.0)</f>
        <v>0</v>
      </c>
      <c r="D5836" s="8"/>
    </row>
    <row r="5837">
      <c r="A5837" s="9" t="str">
        <f>IFERROR(__xludf.DUMMYFUNCTION("""COMPUTED_VALUE"""),"Batch 293")</f>
        <v>Batch 293</v>
      </c>
      <c r="B5837" s="9" t="str">
        <f>IFERROR(__xludf.DUMMYFUNCTION("""COMPUTED_VALUE"""),"PODILIC93")</f>
        <v>PODILIC93</v>
      </c>
      <c r="C5837" s="8">
        <f>IFERROR(__xludf.DUMMYFUNCTION("""COMPUTED_VALUE"""),1.0)</f>
        <v>1</v>
      </c>
      <c r="D5837" s="8"/>
    </row>
    <row r="5838">
      <c r="A5838" s="9" t="str">
        <f>IFERROR(__xludf.DUMMYFUNCTION("""COMPUTED_VALUE"""),"Batch 293")</f>
        <v>Batch 293</v>
      </c>
      <c r="B5838" s="9" t="str">
        <f>IFERROR(__xludf.DUMMYFUNCTION("""COMPUTED_VALUE"""),"SnehaC93")</f>
        <v>SnehaC93</v>
      </c>
      <c r="C5838" s="8">
        <f>IFERROR(__xludf.DUMMYFUNCTION("""COMPUTED_VALUE"""),0.0)</f>
        <v>0</v>
      </c>
      <c r="D5838" s="8"/>
    </row>
    <row r="5839">
      <c r="A5839" s="9"/>
      <c r="B5839" s="9"/>
      <c r="C5839" s="8">
        <f>IFERROR(__xludf.DUMMYFUNCTION("""COMPUTED_VALUE"""),0.0)</f>
        <v>0</v>
      </c>
      <c r="D5839" s="8"/>
    </row>
    <row r="5840">
      <c r="A5840" s="9" t="str">
        <f>IFERROR(__xludf.DUMMYFUNCTION("""COMPUTED_VALUE"""),"Batch 294")</f>
        <v>Batch 294</v>
      </c>
      <c r="B5840" s="9" t="str">
        <f>IFERROR(__xludf.DUMMYFUNCTION("""COMPUTED_VALUE"""),"VaniC94")</f>
        <v>VaniC94</v>
      </c>
      <c r="C5840" s="8">
        <f>IFERROR(__xludf.DUMMYFUNCTION("""COMPUTED_VALUE"""),0.0)</f>
        <v>0</v>
      </c>
      <c r="D5840" s="8"/>
    </row>
    <row r="5841">
      <c r="A5841" s="9" t="str">
        <f>IFERROR(__xludf.DUMMYFUNCTION("""COMPUTED_VALUE"""),"Batch 294")</f>
        <v>Batch 294</v>
      </c>
      <c r="B5841" s="9" t="str">
        <f>IFERROR(__xludf.DUMMYFUNCTION("""COMPUTED_VALUE"""),"TasmiyaC94")</f>
        <v>TasmiyaC94</v>
      </c>
      <c r="C5841" s="8">
        <f>IFERROR(__xludf.DUMMYFUNCTION("""COMPUTED_VALUE"""),0.0)</f>
        <v>0</v>
      </c>
      <c r="D5841" s="8"/>
    </row>
    <row r="5842">
      <c r="A5842" s="9" t="str">
        <f>IFERROR(__xludf.DUMMYFUNCTION("""COMPUTED_VALUE"""),"Batch 294")</f>
        <v>Batch 294</v>
      </c>
      <c r="B5842" s="9" t="str">
        <f>IFERROR(__xludf.DUMMYFUNCTION("""COMPUTED_VALUE"""),"MUKULC94")</f>
        <v>MUKULC94</v>
      </c>
      <c r="C5842" s="8">
        <f>IFERROR(__xludf.DUMMYFUNCTION("""COMPUTED_VALUE"""),0.0)</f>
        <v>0</v>
      </c>
      <c r="D5842" s="8"/>
    </row>
    <row r="5843">
      <c r="A5843" s="9" t="str">
        <f>IFERROR(__xludf.DUMMYFUNCTION("""COMPUTED_VALUE"""),"Batch 294")</f>
        <v>Batch 294</v>
      </c>
      <c r="B5843" s="9" t="str">
        <f>IFERROR(__xludf.DUMMYFUNCTION("""COMPUTED_VALUE"""),"DakshinaC94")</f>
        <v>DakshinaC94</v>
      </c>
      <c r="C5843" s="8">
        <f>IFERROR(__xludf.DUMMYFUNCTION("""COMPUTED_VALUE"""),1.0)</f>
        <v>1</v>
      </c>
      <c r="D5843" s="8"/>
    </row>
    <row r="5844">
      <c r="A5844" s="9" t="str">
        <f>IFERROR(__xludf.DUMMYFUNCTION("""COMPUTED_VALUE"""),"Batch 294")</f>
        <v>Batch 294</v>
      </c>
      <c r="B5844" s="9" t="str">
        <f>IFERROR(__xludf.DUMMYFUNCTION("""COMPUTED_VALUE"""),"udayC94")</f>
        <v>udayC94</v>
      </c>
      <c r="C5844" s="8">
        <f>IFERROR(__xludf.DUMMYFUNCTION("""COMPUTED_VALUE"""),1.0)</f>
        <v>1</v>
      </c>
      <c r="D5844" s="8"/>
    </row>
    <row r="5845">
      <c r="A5845" s="9" t="str">
        <f>IFERROR(__xludf.DUMMYFUNCTION("""COMPUTED_VALUE"""),"Batch 294")</f>
        <v>Batch 294</v>
      </c>
      <c r="B5845" s="9" t="str">
        <f>IFERROR(__xludf.DUMMYFUNCTION("""COMPUTED_VALUE"""),"GaureeshC94")</f>
        <v>GaureeshC94</v>
      </c>
      <c r="C5845" s="8">
        <f>IFERROR(__xludf.DUMMYFUNCTION("""COMPUTED_VALUE"""),0.0)</f>
        <v>0</v>
      </c>
      <c r="D5845" s="8"/>
    </row>
    <row r="5846">
      <c r="A5846" s="9" t="str">
        <f>IFERROR(__xludf.DUMMYFUNCTION("""COMPUTED_VALUE"""),"Batch 294")</f>
        <v>Batch 294</v>
      </c>
      <c r="B5846" s="9" t="str">
        <f>IFERROR(__xludf.DUMMYFUNCTION("""COMPUTED_VALUE"""),"YashTC94")</f>
        <v>YashTC94</v>
      </c>
      <c r="C5846" s="8">
        <f>IFERROR(__xludf.DUMMYFUNCTION("""COMPUTED_VALUE"""),0.0)</f>
        <v>0</v>
      </c>
      <c r="D5846" s="8"/>
    </row>
    <row r="5847">
      <c r="A5847" s="9" t="str">
        <f>IFERROR(__xludf.DUMMYFUNCTION("""COMPUTED_VALUE"""),"Batch 294")</f>
        <v>Batch 294</v>
      </c>
      <c r="B5847" s="9" t="str">
        <f>IFERROR(__xludf.DUMMYFUNCTION("""COMPUTED_VALUE"""),"KshitizC94")</f>
        <v>KshitizC94</v>
      </c>
      <c r="C5847" s="8">
        <f>IFERROR(__xludf.DUMMYFUNCTION("""COMPUTED_VALUE"""),0.0)</f>
        <v>0</v>
      </c>
      <c r="D5847" s="8"/>
    </row>
    <row r="5848">
      <c r="A5848" s="9" t="str">
        <f>IFERROR(__xludf.DUMMYFUNCTION("""COMPUTED_VALUE"""),"Batch 294")</f>
        <v>Batch 294</v>
      </c>
      <c r="B5848" s="9" t="str">
        <f>IFERROR(__xludf.DUMMYFUNCTION("""COMPUTED_VALUE"""),"DhanishaC94")</f>
        <v>DhanishaC94</v>
      </c>
      <c r="C5848" s="8">
        <f>IFERROR(__xludf.DUMMYFUNCTION("""COMPUTED_VALUE"""),0.0)</f>
        <v>0</v>
      </c>
      <c r="D5848" s="8"/>
    </row>
    <row r="5849">
      <c r="A5849" s="9" t="str">
        <f>IFERROR(__xludf.DUMMYFUNCTION("""COMPUTED_VALUE"""),"Batch 294")</f>
        <v>Batch 294</v>
      </c>
      <c r="B5849" s="9" t="str">
        <f>IFERROR(__xludf.DUMMYFUNCTION("""COMPUTED_VALUE"""),"TusharC94")</f>
        <v>TusharC94</v>
      </c>
      <c r="C5849" s="8">
        <f>IFERROR(__xludf.DUMMYFUNCTION("""COMPUTED_VALUE"""),0.0)</f>
        <v>0</v>
      </c>
      <c r="D5849" s="8"/>
    </row>
    <row r="5850">
      <c r="A5850" s="9" t="str">
        <f>IFERROR(__xludf.DUMMYFUNCTION("""COMPUTED_VALUE"""),"Batch 294")</f>
        <v>Batch 294</v>
      </c>
      <c r="B5850" s="9" t="str">
        <f>IFERROR(__xludf.DUMMYFUNCTION("""COMPUTED_VALUE"""),"yashKC94")</f>
        <v>yashKC94</v>
      </c>
      <c r="C5850" s="8">
        <f>IFERROR(__xludf.DUMMYFUNCTION("""COMPUTED_VALUE"""),0.0)</f>
        <v>0</v>
      </c>
      <c r="D5850" s="8"/>
    </row>
    <row r="5851">
      <c r="A5851" s="9" t="str">
        <f>IFERROR(__xludf.DUMMYFUNCTION("""COMPUTED_VALUE"""),"Batch 294")</f>
        <v>Batch 294</v>
      </c>
      <c r="B5851" s="9" t="str">
        <f>IFERROR(__xludf.DUMMYFUNCTION("""COMPUTED_VALUE"""),"AnanyaC94")</f>
        <v>AnanyaC94</v>
      </c>
      <c r="C5851" s="8">
        <f>IFERROR(__xludf.DUMMYFUNCTION("""COMPUTED_VALUE"""),4.0)</f>
        <v>4</v>
      </c>
      <c r="D5851" s="8"/>
    </row>
    <row r="5852">
      <c r="A5852" s="9" t="str">
        <f>IFERROR(__xludf.DUMMYFUNCTION("""COMPUTED_VALUE"""),"Batch 294")</f>
        <v>Batch 294</v>
      </c>
      <c r="B5852" s="9" t="str">
        <f>IFERROR(__xludf.DUMMYFUNCTION("""COMPUTED_VALUE"""),"HemalathaC94")</f>
        <v>HemalathaC94</v>
      </c>
      <c r="C5852" s="8">
        <f>IFERROR(__xludf.DUMMYFUNCTION("""COMPUTED_VALUE"""),0.0)</f>
        <v>0</v>
      </c>
      <c r="D5852" s="8"/>
    </row>
    <row r="5853">
      <c r="A5853" s="9" t="str">
        <f>IFERROR(__xludf.DUMMYFUNCTION("""COMPUTED_VALUE"""),"Batch 294")</f>
        <v>Batch 294</v>
      </c>
      <c r="B5853" s="9" t="str">
        <f>IFERROR(__xludf.DUMMYFUNCTION("""COMPUTED_VALUE"""),"RakshaC94")</f>
        <v>RakshaC94</v>
      </c>
      <c r="C5853" s="8">
        <f>IFERROR(__xludf.DUMMYFUNCTION("""COMPUTED_VALUE"""),0.0)</f>
        <v>0</v>
      </c>
      <c r="D5853" s="8"/>
    </row>
    <row r="5854">
      <c r="A5854" s="9" t="str">
        <f>IFERROR(__xludf.DUMMYFUNCTION("""COMPUTED_VALUE"""),"Batch 294")</f>
        <v>Batch 294</v>
      </c>
      <c r="B5854" s="9" t="str">
        <f>IFERROR(__xludf.DUMMYFUNCTION("""COMPUTED_VALUE"""),"DevanshiC94")</f>
        <v>DevanshiC94</v>
      </c>
      <c r="C5854" s="8">
        <f>IFERROR(__xludf.DUMMYFUNCTION("""COMPUTED_VALUE"""),0.0)</f>
        <v>0</v>
      </c>
      <c r="D5854" s="8"/>
    </row>
    <row r="5855">
      <c r="A5855" s="9" t="str">
        <f>IFERROR(__xludf.DUMMYFUNCTION("""COMPUTED_VALUE"""),"Batch 294")</f>
        <v>Batch 294</v>
      </c>
      <c r="B5855" s="9" t="str">
        <f>IFERROR(__xludf.DUMMYFUNCTION("""COMPUTED_VALUE"""),"PrajitC94")</f>
        <v>PrajitC94</v>
      </c>
      <c r="C5855" s="8">
        <f>IFERROR(__xludf.DUMMYFUNCTION("""COMPUTED_VALUE"""),0.0)</f>
        <v>0</v>
      </c>
      <c r="D5855" s="8"/>
    </row>
    <row r="5856">
      <c r="A5856" s="9" t="str">
        <f>IFERROR(__xludf.DUMMYFUNCTION("""COMPUTED_VALUE"""),"Batch 294")</f>
        <v>Batch 294</v>
      </c>
      <c r="B5856" s="9" t="str">
        <f>IFERROR(__xludf.DUMMYFUNCTION("""COMPUTED_VALUE"""),"RajC94")</f>
        <v>RajC94</v>
      </c>
      <c r="C5856" s="8">
        <f>IFERROR(__xludf.DUMMYFUNCTION("""COMPUTED_VALUE"""),0.0)</f>
        <v>0</v>
      </c>
      <c r="D5856" s="8"/>
    </row>
    <row r="5857">
      <c r="A5857" s="9" t="str">
        <f>IFERROR(__xludf.DUMMYFUNCTION("""COMPUTED_VALUE"""),"Batch 294")</f>
        <v>Batch 294</v>
      </c>
      <c r="B5857" s="9" t="str">
        <f>IFERROR(__xludf.DUMMYFUNCTION("""COMPUTED_VALUE"""),"HarshitaC94")</f>
        <v>HarshitaC94</v>
      </c>
      <c r="C5857" s="8">
        <f>IFERROR(__xludf.DUMMYFUNCTION("""COMPUTED_VALUE"""),0.0)</f>
        <v>0</v>
      </c>
      <c r="D5857" s="8"/>
    </row>
    <row r="5858">
      <c r="A5858" s="9" t="str">
        <f>IFERROR(__xludf.DUMMYFUNCTION("""COMPUTED_VALUE"""),"Batch 294")</f>
        <v>Batch 294</v>
      </c>
      <c r="B5858" s="9" t="str">
        <f>IFERROR(__xludf.DUMMYFUNCTION("""COMPUTED_VALUE"""),"surbhiC94")</f>
        <v>surbhiC94</v>
      </c>
      <c r="C5858" s="8">
        <f>IFERROR(__xludf.DUMMYFUNCTION("""COMPUTED_VALUE"""),1.0)</f>
        <v>1</v>
      </c>
      <c r="D5858" s="8">
        <f>IFERROR(__xludf.DUMMYFUNCTION("""COMPUTED_VALUE"""),3.0)</f>
        <v>3</v>
      </c>
    </row>
    <row r="5859">
      <c r="A5859" s="9" t="str">
        <f>IFERROR(__xludf.DUMMYFUNCTION("""COMPUTED_VALUE"""),"Batch 294")</f>
        <v>Batch 294</v>
      </c>
      <c r="B5859" s="9" t="str">
        <f>IFERROR(__xludf.DUMMYFUNCTION("""COMPUTED_VALUE"""),"HimanshuC94")</f>
        <v>HimanshuC94</v>
      </c>
      <c r="C5859" s="8">
        <f>IFERROR(__xludf.DUMMYFUNCTION("""COMPUTED_VALUE"""),1.0)</f>
        <v>1</v>
      </c>
      <c r="D5859" s="8"/>
    </row>
    <row r="5860">
      <c r="A5860" s="9" t="str">
        <f>IFERROR(__xludf.DUMMYFUNCTION("""COMPUTED_VALUE"""),"Batch 294")</f>
        <v>Batch 294</v>
      </c>
      <c r="B5860" s="9" t="str">
        <f>IFERROR(__xludf.DUMMYFUNCTION("""COMPUTED_VALUE"""),"GauravC94")</f>
        <v>GauravC94</v>
      </c>
      <c r="C5860" s="8">
        <f>IFERROR(__xludf.DUMMYFUNCTION("""COMPUTED_VALUE"""),0.0)</f>
        <v>0</v>
      </c>
      <c r="D5860" s="8"/>
    </row>
    <row r="5861">
      <c r="A5861" s="9" t="str">
        <f>IFERROR(__xludf.DUMMYFUNCTION("""COMPUTED_VALUE"""),"Batch 294")</f>
        <v>Batch 294</v>
      </c>
      <c r="B5861" s="9" t="str">
        <f>IFERROR(__xludf.DUMMYFUNCTION("""COMPUTED_VALUE"""),"RanjanaC94")</f>
        <v>RanjanaC94</v>
      </c>
      <c r="C5861" s="8">
        <f>IFERROR(__xludf.DUMMYFUNCTION("""COMPUTED_VALUE"""),0.0)</f>
        <v>0</v>
      </c>
      <c r="D5861" s="8"/>
    </row>
    <row r="5862">
      <c r="A5862" s="9" t="str">
        <f>IFERROR(__xludf.DUMMYFUNCTION("""COMPUTED_VALUE"""),"Batch 294")</f>
        <v>Batch 294</v>
      </c>
      <c r="B5862" s="9" t="str">
        <f>IFERROR(__xludf.DUMMYFUNCTION("""COMPUTED_VALUE"""),"MayuriC94")</f>
        <v>MayuriC94</v>
      </c>
      <c r="C5862" s="8">
        <f>IFERROR(__xludf.DUMMYFUNCTION("""COMPUTED_VALUE"""),0.0)</f>
        <v>0</v>
      </c>
      <c r="D5862" s="8"/>
    </row>
    <row r="5863">
      <c r="A5863" s="9" t="str">
        <f>IFERROR(__xludf.DUMMYFUNCTION("""COMPUTED_VALUE"""),"Batch 294")</f>
        <v>Batch 294</v>
      </c>
      <c r="B5863" s="9" t="str">
        <f>IFERROR(__xludf.DUMMYFUNCTION("""COMPUTED_VALUE"""),"RiyaC94")</f>
        <v>RiyaC94</v>
      </c>
      <c r="C5863" s="8">
        <f>IFERROR(__xludf.DUMMYFUNCTION("""COMPUTED_VALUE"""),0.0)</f>
        <v>0</v>
      </c>
      <c r="D5863" s="8"/>
    </row>
    <row r="5864">
      <c r="A5864" s="9" t="str">
        <f>IFERROR(__xludf.DUMMYFUNCTION("""COMPUTED_VALUE"""),"Batch 294")</f>
        <v>Batch 294</v>
      </c>
      <c r="B5864" s="9" t="str">
        <f>IFERROR(__xludf.DUMMYFUNCTION("""COMPUTED_VALUE"""),"SparshikaC94")</f>
        <v>SparshikaC94</v>
      </c>
      <c r="C5864" s="8">
        <f>IFERROR(__xludf.DUMMYFUNCTION("""COMPUTED_VALUE"""),0.0)</f>
        <v>0</v>
      </c>
      <c r="D5864" s="8"/>
    </row>
    <row r="5865">
      <c r="A5865" s="9" t="str">
        <f>IFERROR(__xludf.DUMMYFUNCTION("""COMPUTED_VALUE"""),"Batch 294")</f>
        <v>Batch 294</v>
      </c>
      <c r="B5865" s="9" t="str">
        <f>IFERROR(__xludf.DUMMYFUNCTION("""COMPUTED_VALUE"""),"HarshC94")</f>
        <v>HarshC94</v>
      </c>
      <c r="C5865" s="8">
        <f>IFERROR(__xludf.DUMMYFUNCTION("""COMPUTED_VALUE"""),0.0)</f>
        <v>0</v>
      </c>
      <c r="D5865" s="8"/>
    </row>
    <row r="5866">
      <c r="A5866" s="9" t="str">
        <f>IFERROR(__xludf.DUMMYFUNCTION("""COMPUTED_VALUE"""),"Batch 294")</f>
        <v>Batch 294</v>
      </c>
      <c r="B5866" s="9" t="str">
        <f>IFERROR(__xludf.DUMMYFUNCTION("""COMPUTED_VALUE"""),"kanikaC94")</f>
        <v>kanikaC94</v>
      </c>
      <c r="C5866" s="8">
        <f>IFERROR(__xludf.DUMMYFUNCTION("""COMPUTED_VALUE"""),2.0)</f>
        <v>2</v>
      </c>
      <c r="D5866" s="8"/>
    </row>
    <row r="5867">
      <c r="A5867" s="9" t="str">
        <f>IFERROR(__xludf.DUMMYFUNCTION("""COMPUTED_VALUE"""),"Batch 294")</f>
        <v>Batch 294</v>
      </c>
      <c r="B5867" s="9" t="str">
        <f>IFERROR(__xludf.DUMMYFUNCTION("""COMPUTED_VALUE"""),"AdityaC94")</f>
        <v>AdityaC94</v>
      </c>
      <c r="C5867" s="8">
        <f>IFERROR(__xludf.DUMMYFUNCTION("""COMPUTED_VALUE"""),0.0)</f>
        <v>0</v>
      </c>
      <c r="D5867" s="8"/>
    </row>
    <row r="5868">
      <c r="A5868" s="9" t="str">
        <f>IFERROR(__xludf.DUMMYFUNCTION("""COMPUTED_VALUE"""),"Batch 294")</f>
        <v>Batch 294</v>
      </c>
      <c r="B5868" s="9" t="str">
        <f>IFERROR(__xludf.DUMMYFUNCTION("""COMPUTED_VALUE"""),"AryanC94")</f>
        <v>AryanC94</v>
      </c>
      <c r="C5868" s="8">
        <f>IFERROR(__xludf.DUMMYFUNCTION("""COMPUTED_VALUE"""),9.0)</f>
        <v>9</v>
      </c>
      <c r="D5868" s="8">
        <f>IFERROR(__xludf.DUMMYFUNCTION("""COMPUTED_VALUE"""),8.0)</f>
        <v>8</v>
      </c>
    </row>
    <row r="5869">
      <c r="A5869" s="9" t="str">
        <f>IFERROR(__xludf.DUMMYFUNCTION("""COMPUTED_VALUE"""),"Batch 294")</f>
        <v>Batch 294</v>
      </c>
      <c r="B5869" s="9" t="str">
        <f>IFERROR(__xludf.DUMMYFUNCTION("""COMPUTED_VALUE"""),"AditiC94")</f>
        <v>AditiC94</v>
      </c>
      <c r="C5869" s="8">
        <f>IFERROR(__xludf.DUMMYFUNCTION("""COMPUTED_VALUE"""),0.0)</f>
        <v>0</v>
      </c>
      <c r="D5869" s="8"/>
    </row>
    <row r="5870">
      <c r="A5870" s="9" t="str">
        <f>IFERROR(__xludf.DUMMYFUNCTION("""COMPUTED_VALUE"""),"Batch 294")</f>
        <v>Batch 294</v>
      </c>
      <c r="B5870" s="9" t="str">
        <f>IFERROR(__xludf.DUMMYFUNCTION("""COMPUTED_VALUE"""),"UditC94")</f>
        <v>UditC94</v>
      </c>
      <c r="C5870" s="8">
        <f>IFERROR(__xludf.DUMMYFUNCTION("""COMPUTED_VALUE"""),0.0)</f>
        <v>0</v>
      </c>
      <c r="D5870" s="8"/>
    </row>
    <row r="5871">
      <c r="A5871" s="9" t="str">
        <f>IFERROR(__xludf.DUMMYFUNCTION("""COMPUTED_VALUE"""),"Batch 294")</f>
        <v>Batch 294</v>
      </c>
      <c r="B5871" s="9" t="str">
        <f>IFERROR(__xludf.DUMMYFUNCTION("""COMPUTED_VALUE"""),"SuryaC94")</f>
        <v>SuryaC94</v>
      </c>
      <c r="C5871" s="8">
        <f>IFERROR(__xludf.DUMMYFUNCTION("""COMPUTED_VALUE"""),4.0)</f>
        <v>4</v>
      </c>
      <c r="D5871" s="8"/>
    </row>
    <row r="5872">
      <c r="A5872" s="9" t="str">
        <f>IFERROR(__xludf.DUMMYFUNCTION("""COMPUTED_VALUE"""),"Batch 294")</f>
        <v>Batch 294</v>
      </c>
      <c r="B5872" s="9" t="str">
        <f>IFERROR(__xludf.DUMMYFUNCTION("""COMPUTED_VALUE"""),"RahulC94")</f>
        <v>RahulC94</v>
      </c>
      <c r="C5872" s="8">
        <f>IFERROR(__xludf.DUMMYFUNCTION("""COMPUTED_VALUE"""),19.0)</f>
        <v>19</v>
      </c>
      <c r="D5872" s="8">
        <f>IFERROR(__xludf.DUMMYFUNCTION("""COMPUTED_VALUE"""),32.0)</f>
        <v>32</v>
      </c>
    </row>
    <row r="5873">
      <c r="A5873" s="9" t="str">
        <f>IFERROR(__xludf.DUMMYFUNCTION("""COMPUTED_VALUE"""),"Batch 294")</f>
        <v>Batch 294</v>
      </c>
      <c r="B5873" s="9" t="str">
        <f>IFERROR(__xludf.DUMMYFUNCTION("""COMPUTED_VALUE"""),"RatanC94")</f>
        <v>RatanC94</v>
      </c>
      <c r="C5873" s="8">
        <f>IFERROR(__xludf.DUMMYFUNCTION("""COMPUTED_VALUE"""),0.0)</f>
        <v>0</v>
      </c>
      <c r="D5873" s="8"/>
    </row>
    <row r="5874">
      <c r="A5874" s="9" t="str">
        <f>IFERROR(__xludf.DUMMYFUNCTION("""COMPUTED_VALUE"""),"Batch 294")</f>
        <v>Batch 294</v>
      </c>
      <c r="B5874" s="9" t="str">
        <f>IFERROR(__xludf.DUMMYFUNCTION("""COMPUTED_VALUE"""),"TanishkaC94")</f>
        <v>TanishkaC94</v>
      </c>
      <c r="C5874" s="8">
        <f>IFERROR(__xludf.DUMMYFUNCTION("""COMPUTED_VALUE"""),0.0)</f>
        <v>0</v>
      </c>
      <c r="D5874" s="8"/>
    </row>
    <row r="5875">
      <c r="A5875" s="9" t="str">
        <f>IFERROR(__xludf.DUMMYFUNCTION("""COMPUTED_VALUE"""),"Batch 294")</f>
        <v>Batch 294</v>
      </c>
      <c r="B5875" s="9" t="str">
        <f>IFERROR(__xludf.DUMMYFUNCTION("""COMPUTED_VALUE"""),"TazeenC94")</f>
        <v>TazeenC94</v>
      </c>
      <c r="C5875" s="8">
        <f>IFERROR(__xludf.DUMMYFUNCTION("""COMPUTED_VALUE"""),0.0)</f>
        <v>0</v>
      </c>
      <c r="D5875" s="8">
        <f>IFERROR(__xludf.DUMMYFUNCTION("""COMPUTED_VALUE"""),1.0)</f>
        <v>1</v>
      </c>
    </row>
    <row r="5876">
      <c r="A5876" s="9" t="str">
        <f>IFERROR(__xludf.DUMMYFUNCTION("""COMPUTED_VALUE"""),"Batch 294")</f>
        <v>Batch 294</v>
      </c>
      <c r="B5876" s="9" t="str">
        <f>IFERROR(__xludf.DUMMYFUNCTION("""COMPUTED_VALUE"""),"KavyasriC94")</f>
        <v>KavyasriC94</v>
      </c>
      <c r="C5876" s="8">
        <f>IFERROR(__xludf.DUMMYFUNCTION("""COMPUTED_VALUE"""),0.0)</f>
        <v>0</v>
      </c>
      <c r="D5876" s="8"/>
    </row>
    <row r="5877">
      <c r="A5877" s="9" t="str">
        <f>IFERROR(__xludf.DUMMYFUNCTION("""COMPUTED_VALUE"""),"Batch 294")</f>
        <v>Batch 294</v>
      </c>
      <c r="B5877" s="9" t="str">
        <f>IFERROR(__xludf.DUMMYFUNCTION("""COMPUTED_VALUE"""),"N.RavalikaC94")</f>
        <v>N.RavalikaC94</v>
      </c>
      <c r="C5877" s="8">
        <f>IFERROR(__xludf.DUMMYFUNCTION("""COMPUTED_VALUE"""),0.0)</f>
        <v>0</v>
      </c>
      <c r="D5877" s="8"/>
    </row>
    <row r="5878">
      <c r="A5878" s="9" t="str">
        <f>IFERROR(__xludf.DUMMYFUNCTION("""COMPUTED_VALUE"""),"Batch 294")</f>
        <v>Batch 294</v>
      </c>
      <c r="B5878" s="9" t="str">
        <f>IFERROR(__xludf.DUMMYFUNCTION("""COMPUTED_VALUE"""),"PRATHAMC94")</f>
        <v>PRATHAMC94</v>
      </c>
      <c r="C5878" s="8">
        <f>IFERROR(__xludf.DUMMYFUNCTION("""COMPUTED_VALUE"""),0.0)</f>
        <v>0</v>
      </c>
      <c r="D5878" s="8"/>
    </row>
    <row r="5879">
      <c r="A5879" s="9" t="str">
        <f>IFERROR(__xludf.DUMMYFUNCTION("""COMPUTED_VALUE"""),"Batch 294")</f>
        <v>Batch 294</v>
      </c>
      <c r="B5879" s="9" t="str">
        <f>IFERROR(__xludf.DUMMYFUNCTION("""COMPUTED_VALUE"""),"SaiC94")</f>
        <v>SaiC94</v>
      </c>
      <c r="C5879" s="8">
        <f>IFERROR(__xludf.DUMMYFUNCTION("""COMPUTED_VALUE"""),19.0)</f>
        <v>19</v>
      </c>
      <c r="D5879" s="8">
        <f>IFERROR(__xludf.DUMMYFUNCTION("""COMPUTED_VALUE"""),17.0)</f>
        <v>17</v>
      </c>
    </row>
    <row r="5880">
      <c r="A5880" s="9" t="str">
        <f>IFERROR(__xludf.DUMMYFUNCTION("""COMPUTED_VALUE"""),"Batch 294")</f>
        <v>Batch 294</v>
      </c>
      <c r="B5880" s="9" t="str">
        <f>IFERROR(__xludf.DUMMYFUNCTION("""COMPUTED_VALUE"""),"MainakC94")</f>
        <v>MainakC94</v>
      </c>
      <c r="C5880" s="8">
        <f>IFERROR(__xludf.DUMMYFUNCTION("""COMPUTED_VALUE"""),12.0)</f>
        <v>12</v>
      </c>
      <c r="D5880" s="8"/>
    </row>
    <row r="5881">
      <c r="A5881" s="9" t="str">
        <f>IFERROR(__xludf.DUMMYFUNCTION("""COMPUTED_VALUE"""),"Batch 294")</f>
        <v>Batch 294</v>
      </c>
      <c r="B5881" s="9" t="str">
        <f>IFERROR(__xludf.DUMMYFUNCTION("""COMPUTED_VALUE"""),"VivekC94")</f>
        <v>VivekC94</v>
      </c>
      <c r="C5881" s="8">
        <f>IFERROR(__xludf.DUMMYFUNCTION("""COMPUTED_VALUE"""),0.0)</f>
        <v>0</v>
      </c>
      <c r="D5881" s="8"/>
    </row>
    <row r="5882">
      <c r="A5882" s="9"/>
      <c r="B5882" s="9"/>
      <c r="C5882" s="8">
        <f>IFERROR(__xludf.DUMMYFUNCTION("""COMPUTED_VALUE"""),0.0)</f>
        <v>0</v>
      </c>
      <c r="D5882" s="8"/>
    </row>
    <row r="5883">
      <c r="A5883" s="9" t="str">
        <f>IFERROR(__xludf.DUMMYFUNCTION("""COMPUTED_VALUE"""),"Batch 295")</f>
        <v>Batch 295</v>
      </c>
      <c r="B5883" s="9" t="str">
        <f>IFERROR(__xludf.DUMMYFUNCTION("""COMPUTED_VALUE"""),"UmaimaC95")</f>
        <v>UmaimaC95</v>
      </c>
      <c r="C5883" s="8">
        <f>IFERROR(__xludf.DUMMYFUNCTION("""COMPUTED_VALUE"""),2.0)</f>
        <v>2</v>
      </c>
      <c r="D5883" s="8"/>
    </row>
    <row r="5884">
      <c r="A5884" s="9" t="str">
        <f>IFERROR(__xludf.DUMMYFUNCTION("""COMPUTED_VALUE"""),"Batch 295")</f>
        <v>Batch 295</v>
      </c>
      <c r="B5884" s="9" t="str">
        <f>IFERROR(__xludf.DUMMYFUNCTION("""COMPUTED_VALUE"""),"AryanC95")</f>
        <v>AryanC95</v>
      </c>
      <c r="C5884" s="8">
        <f>IFERROR(__xludf.DUMMYFUNCTION("""COMPUTED_VALUE"""),0.0)</f>
        <v>0</v>
      </c>
      <c r="D5884" s="8"/>
    </row>
    <row r="5885">
      <c r="A5885" s="9" t="str">
        <f>IFERROR(__xludf.DUMMYFUNCTION("""COMPUTED_VALUE"""),"Batch 295")</f>
        <v>Batch 295</v>
      </c>
      <c r="B5885" s="9" t="str">
        <f>IFERROR(__xludf.DUMMYFUNCTION("""COMPUTED_VALUE"""),"kavyaC95")</f>
        <v>kavyaC95</v>
      </c>
      <c r="C5885" s="8">
        <f>IFERROR(__xludf.DUMMYFUNCTION("""COMPUTED_VALUE"""),0.0)</f>
        <v>0</v>
      </c>
      <c r="D5885" s="8"/>
    </row>
    <row r="5886">
      <c r="A5886" s="9" t="str">
        <f>IFERROR(__xludf.DUMMYFUNCTION("""COMPUTED_VALUE"""),"Batch 295")</f>
        <v>Batch 295</v>
      </c>
      <c r="B5886" s="9" t="str">
        <f>IFERROR(__xludf.DUMMYFUNCTION("""COMPUTED_VALUE"""),"AbhimanC95")</f>
        <v>AbhimanC95</v>
      </c>
      <c r="C5886" s="8">
        <f>IFERROR(__xludf.DUMMYFUNCTION("""COMPUTED_VALUE"""),0.0)</f>
        <v>0</v>
      </c>
      <c r="D5886" s="8"/>
    </row>
    <row r="5887">
      <c r="A5887" s="9" t="str">
        <f>IFERROR(__xludf.DUMMYFUNCTION("""COMPUTED_VALUE"""),"Batch 295")</f>
        <v>Batch 295</v>
      </c>
      <c r="B5887" s="9" t="str">
        <f>IFERROR(__xludf.DUMMYFUNCTION("""COMPUTED_VALUE"""),"NiyatiC95")</f>
        <v>NiyatiC95</v>
      </c>
      <c r="C5887" s="8">
        <f>IFERROR(__xludf.DUMMYFUNCTION("""COMPUTED_VALUE"""),0.0)</f>
        <v>0</v>
      </c>
      <c r="D5887" s="8"/>
    </row>
    <row r="5888">
      <c r="A5888" s="9" t="str">
        <f>IFERROR(__xludf.DUMMYFUNCTION("""COMPUTED_VALUE"""),"Batch 295")</f>
        <v>Batch 295</v>
      </c>
      <c r="B5888" s="9" t="str">
        <f>IFERROR(__xludf.DUMMYFUNCTION("""COMPUTED_VALUE"""),"AnannyaC95")</f>
        <v>AnannyaC95</v>
      </c>
      <c r="C5888" s="8">
        <f>IFERROR(__xludf.DUMMYFUNCTION("""COMPUTED_VALUE"""),0.0)</f>
        <v>0</v>
      </c>
      <c r="D5888" s="8"/>
    </row>
    <row r="5889">
      <c r="A5889" s="9" t="str">
        <f>IFERROR(__xludf.DUMMYFUNCTION("""COMPUTED_VALUE"""),"Batch 295")</f>
        <v>Batch 295</v>
      </c>
      <c r="B5889" s="9" t="str">
        <f>IFERROR(__xludf.DUMMYFUNCTION("""COMPUTED_VALUE"""),"KhushiC95")</f>
        <v>KhushiC95</v>
      </c>
      <c r="C5889" s="8">
        <f>IFERROR(__xludf.DUMMYFUNCTION("""COMPUTED_VALUE"""),0.0)</f>
        <v>0</v>
      </c>
      <c r="D5889" s="8"/>
    </row>
    <row r="5890">
      <c r="A5890" s="9" t="str">
        <f>IFERROR(__xludf.DUMMYFUNCTION("""COMPUTED_VALUE"""),"Batch 295")</f>
        <v>Batch 295</v>
      </c>
      <c r="B5890" s="9" t="str">
        <f>IFERROR(__xludf.DUMMYFUNCTION("""COMPUTED_VALUE"""),"RohiniC95")</f>
        <v>RohiniC95</v>
      </c>
      <c r="C5890" s="8">
        <f>IFERROR(__xludf.DUMMYFUNCTION("""COMPUTED_VALUE"""),0.0)</f>
        <v>0</v>
      </c>
      <c r="D5890" s="8">
        <f>IFERROR(__xludf.DUMMYFUNCTION("""COMPUTED_VALUE"""),4.0)</f>
        <v>4</v>
      </c>
    </row>
    <row r="5891">
      <c r="A5891" s="9" t="str">
        <f>IFERROR(__xludf.DUMMYFUNCTION("""COMPUTED_VALUE"""),"Batch 295")</f>
        <v>Batch 295</v>
      </c>
      <c r="B5891" s="9" t="str">
        <f>IFERROR(__xludf.DUMMYFUNCTION("""COMPUTED_VALUE"""),"SayliC95")</f>
        <v>SayliC95</v>
      </c>
      <c r="C5891" s="8">
        <f>IFERROR(__xludf.DUMMYFUNCTION("""COMPUTED_VALUE"""),0.0)</f>
        <v>0</v>
      </c>
      <c r="D5891" s="8"/>
    </row>
    <row r="5892">
      <c r="A5892" s="9" t="str">
        <f>IFERROR(__xludf.DUMMYFUNCTION("""COMPUTED_VALUE"""),"Batch 295")</f>
        <v>Batch 295</v>
      </c>
      <c r="B5892" s="9" t="str">
        <f>IFERROR(__xludf.DUMMYFUNCTION("""COMPUTED_VALUE"""),"NirmithaC95")</f>
        <v>NirmithaC95</v>
      </c>
      <c r="C5892" s="8">
        <f>IFERROR(__xludf.DUMMYFUNCTION("""COMPUTED_VALUE"""),0.0)</f>
        <v>0</v>
      </c>
      <c r="D5892" s="8"/>
    </row>
    <row r="5893">
      <c r="A5893" s="9" t="str">
        <f>IFERROR(__xludf.DUMMYFUNCTION("""COMPUTED_VALUE"""),"Batch 295")</f>
        <v>Batch 295</v>
      </c>
      <c r="B5893" s="9" t="str">
        <f>IFERROR(__xludf.DUMMYFUNCTION("""COMPUTED_VALUE"""),"DipikaC95")</f>
        <v>DipikaC95</v>
      </c>
      <c r="C5893" s="8">
        <f>IFERROR(__xludf.DUMMYFUNCTION("""COMPUTED_VALUE"""),0.0)</f>
        <v>0</v>
      </c>
      <c r="D5893" s="8"/>
    </row>
    <row r="5894">
      <c r="A5894" s="9" t="str">
        <f>IFERROR(__xludf.DUMMYFUNCTION("""COMPUTED_VALUE"""),"Batch 295")</f>
        <v>Batch 295</v>
      </c>
      <c r="B5894" s="9" t="str">
        <f>IFERROR(__xludf.DUMMYFUNCTION("""COMPUTED_VALUE"""),"PoorvaC95")</f>
        <v>PoorvaC95</v>
      </c>
      <c r="C5894" s="8">
        <f>IFERROR(__xludf.DUMMYFUNCTION("""COMPUTED_VALUE"""),0.0)</f>
        <v>0</v>
      </c>
      <c r="D5894" s="8"/>
    </row>
    <row r="5895">
      <c r="A5895" s="9" t="str">
        <f>IFERROR(__xludf.DUMMYFUNCTION("""COMPUTED_VALUE"""),"Batch 295")</f>
        <v>Batch 295</v>
      </c>
      <c r="B5895" s="9" t="str">
        <f>IFERROR(__xludf.DUMMYFUNCTION("""COMPUTED_VALUE"""),"SiyaC95")</f>
        <v>SiyaC95</v>
      </c>
      <c r="C5895" s="8">
        <f>IFERROR(__xludf.DUMMYFUNCTION("""COMPUTED_VALUE"""),8.0)</f>
        <v>8</v>
      </c>
      <c r="D5895" s="8"/>
    </row>
    <row r="5896">
      <c r="A5896" s="9" t="str">
        <f>IFERROR(__xludf.DUMMYFUNCTION("""COMPUTED_VALUE"""),"Batch 295")</f>
        <v>Batch 295</v>
      </c>
      <c r="B5896" s="9" t="str">
        <f>IFERROR(__xludf.DUMMYFUNCTION("""COMPUTED_VALUE"""),"KrishnaC95")</f>
        <v>KrishnaC95</v>
      </c>
      <c r="C5896" s="8">
        <f>IFERROR(__xludf.DUMMYFUNCTION("""COMPUTED_VALUE"""),0.0)</f>
        <v>0</v>
      </c>
      <c r="D5896" s="8"/>
    </row>
    <row r="5897">
      <c r="A5897" s="9" t="str">
        <f>IFERROR(__xludf.DUMMYFUNCTION("""COMPUTED_VALUE"""),"Batch 295")</f>
        <v>Batch 295</v>
      </c>
      <c r="B5897" s="9" t="str">
        <f>IFERROR(__xludf.DUMMYFUNCTION("""COMPUTED_VALUE"""),"ArpitC95")</f>
        <v>ArpitC95</v>
      </c>
      <c r="C5897" s="8">
        <f>IFERROR(__xludf.DUMMYFUNCTION("""COMPUTED_VALUE"""),0.0)</f>
        <v>0</v>
      </c>
      <c r="D5897" s="8"/>
    </row>
    <row r="5898">
      <c r="A5898" s="9" t="str">
        <f>IFERROR(__xludf.DUMMYFUNCTION("""COMPUTED_VALUE"""),"Batch 295")</f>
        <v>Batch 295</v>
      </c>
      <c r="B5898" s="9" t="str">
        <f>IFERROR(__xludf.DUMMYFUNCTION("""COMPUTED_VALUE"""),"NehaC95")</f>
        <v>NehaC95</v>
      </c>
      <c r="C5898" s="8">
        <f>IFERROR(__xludf.DUMMYFUNCTION("""COMPUTED_VALUE"""),0.0)</f>
        <v>0</v>
      </c>
      <c r="D5898" s="8"/>
    </row>
    <row r="5899">
      <c r="A5899" s="9" t="str">
        <f>IFERROR(__xludf.DUMMYFUNCTION("""COMPUTED_VALUE"""),"Batch 295")</f>
        <v>Batch 295</v>
      </c>
      <c r="B5899" s="9" t="str">
        <f>IFERROR(__xludf.DUMMYFUNCTION("""COMPUTED_VALUE"""),"PriyanshiC95")</f>
        <v>PriyanshiC95</v>
      </c>
      <c r="C5899" s="8">
        <f>IFERROR(__xludf.DUMMYFUNCTION("""COMPUTED_VALUE"""),0.0)</f>
        <v>0</v>
      </c>
      <c r="D5899" s="8"/>
    </row>
    <row r="5900">
      <c r="A5900" s="9" t="str">
        <f>IFERROR(__xludf.DUMMYFUNCTION("""COMPUTED_VALUE"""),"Batch 295")</f>
        <v>Batch 295</v>
      </c>
      <c r="B5900" s="9" t="str">
        <f>IFERROR(__xludf.DUMMYFUNCTION("""COMPUTED_VALUE"""),"VanshikaC95")</f>
        <v>VanshikaC95</v>
      </c>
      <c r="C5900" s="8">
        <f>IFERROR(__xludf.DUMMYFUNCTION("""COMPUTED_VALUE"""),0.0)</f>
        <v>0</v>
      </c>
      <c r="D5900" s="8"/>
    </row>
    <row r="5901">
      <c r="A5901" s="9" t="str">
        <f>IFERROR(__xludf.DUMMYFUNCTION("""COMPUTED_VALUE"""),"Batch 295")</f>
        <v>Batch 295</v>
      </c>
      <c r="B5901" s="9" t="str">
        <f>IFERROR(__xludf.DUMMYFUNCTION("""COMPUTED_VALUE"""),"SatyaC95")</f>
        <v>SatyaC95</v>
      </c>
      <c r="C5901" s="8">
        <f>IFERROR(__xludf.DUMMYFUNCTION("""COMPUTED_VALUE"""),0.0)</f>
        <v>0</v>
      </c>
      <c r="D5901" s="8"/>
    </row>
    <row r="5902">
      <c r="A5902" s="9" t="str">
        <f>IFERROR(__xludf.DUMMYFUNCTION("""COMPUTED_VALUE"""),"Batch 295")</f>
        <v>Batch 295</v>
      </c>
      <c r="B5902" s="9" t="str">
        <f>IFERROR(__xludf.DUMMYFUNCTION("""COMPUTED_VALUE"""),"RAHULC95")</f>
        <v>RAHULC95</v>
      </c>
      <c r="C5902" s="8">
        <f>IFERROR(__xludf.DUMMYFUNCTION("""COMPUTED_VALUE"""),0.0)</f>
        <v>0</v>
      </c>
      <c r="D5902" s="8"/>
    </row>
    <row r="5903">
      <c r="A5903" s="9" t="str">
        <f>IFERROR(__xludf.DUMMYFUNCTION("""COMPUTED_VALUE"""),"Batch 295")</f>
        <v>Batch 295</v>
      </c>
      <c r="B5903" s="9" t="str">
        <f>IFERROR(__xludf.DUMMYFUNCTION("""COMPUTED_VALUE"""),"ManasC95")</f>
        <v>ManasC95</v>
      </c>
      <c r="C5903" s="8">
        <f>IFERROR(__xludf.DUMMYFUNCTION("""COMPUTED_VALUE"""),0.0)</f>
        <v>0</v>
      </c>
      <c r="D5903" s="8"/>
    </row>
    <row r="5904">
      <c r="A5904" s="9" t="str">
        <f>IFERROR(__xludf.DUMMYFUNCTION("""COMPUTED_VALUE"""),"Batch 295")</f>
        <v>Batch 295</v>
      </c>
      <c r="B5904" s="9" t="str">
        <f>IFERROR(__xludf.DUMMYFUNCTION("""COMPUTED_VALUE"""),"MehranshiC95")</f>
        <v>MehranshiC95</v>
      </c>
      <c r="C5904" s="8">
        <f>IFERROR(__xludf.DUMMYFUNCTION("""COMPUTED_VALUE"""),0.0)</f>
        <v>0</v>
      </c>
      <c r="D5904" s="8"/>
    </row>
    <row r="5905">
      <c r="A5905" s="9" t="str">
        <f>IFERROR(__xludf.DUMMYFUNCTION("""COMPUTED_VALUE"""),"Batch 295")</f>
        <v>Batch 295</v>
      </c>
      <c r="B5905" s="9" t="str">
        <f>IFERROR(__xludf.DUMMYFUNCTION("""COMPUTED_VALUE"""),"ArnavC95")</f>
        <v>ArnavC95</v>
      </c>
      <c r="C5905" s="8">
        <f>IFERROR(__xludf.DUMMYFUNCTION("""COMPUTED_VALUE"""),0.0)</f>
        <v>0</v>
      </c>
      <c r="D5905" s="8"/>
    </row>
    <row r="5906">
      <c r="A5906" s="9" t="str">
        <f>IFERROR(__xludf.DUMMYFUNCTION("""COMPUTED_VALUE"""),"Batch 295")</f>
        <v>Batch 295</v>
      </c>
      <c r="B5906" s="9" t="str">
        <f>IFERROR(__xludf.DUMMYFUNCTION("""COMPUTED_VALUE"""),"AnshikaC95")</f>
        <v>AnshikaC95</v>
      </c>
      <c r="C5906" s="8">
        <f>IFERROR(__xludf.DUMMYFUNCTION("""COMPUTED_VALUE"""),1.0)</f>
        <v>1</v>
      </c>
      <c r="D5906" s="8"/>
    </row>
    <row r="5907">
      <c r="A5907" s="9" t="str">
        <f>IFERROR(__xludf.DUMMYFUNCTION("""COMPUTED_VALUE"""),"Batch 295")</f>
        <v>Batch 295</v>
      </c>
      <c r="B5907" s="9" t="str">
        <f>IFERROR(__xludf.DUMMYFUNCTION("""COMPUTED_VALUE"""),"SanikaC95")</f>
        <v>SanikaC95</v>
      </c>
      <c r="C5907" s="8">
        <f>IFERROR(__xludf.DUMMYFUNCTION("""COMPUTED_VALUE"""),0.0)</f>
        <v>0</v>
      </c>
      <c r="D5907" s="8"/>
    </row>
    <row r="5908">
      <c r="A5908" s="9" t="str">
        <f>IFERROR(__xludf.DUMMYFUNCTION("""COMPUTED_VALUE"""),"Batch 295")</f>
        <v>Batch 295</v>
      </c>
      <c r="B5908" s="9" t="str">
        <f>IFERROR(__xludf.DUMMYFUNCTION("""COMPUTED_VALUE"""),"KC95")</f>
        <v>KC95</v>
      </c>
      <c r="C5908" s="8">
        <f>IFERROR(__xludf.DUMMYFUNCTION("""COMPUTED_VALUE"""),0.0)</f>
        <v>0</v>
      </c>
      <c r="D5908" s="8"/>
    </row>
    <row r="5909">
      <c r="A5909" s="9" t="str">
        <f>IFERROR(__xludf.DUMMYFUNCTION("""COMPUTED_VALUE"""),"Batch 295")</f>
        <v>Batch 295</v>
      </c>
      <c r="B5909" s="9" t="str">
        <f>IFERROR(__xludf.DUMMYFUNCTION("""COMPUTED_VALUE"""),"VaradiC95")</f>
        <v>VaradiC95</v>
      </c>
      <c r="C5909" s="8">
        <f>IFERROR(__xludf.DUMMYFUNCTION("""COMPUTED_VALUE"""),0.0)</f>
        <v>0</v>
      </c>
      <c r="D5909" s="8"/>
    </row>
    <row r="5910">
      <c r="A5910" s="9" t="str">
        <f>IFERROR(__xludf.DUMMYFUNCTION("""COMPUTED_VALUE"""),"Batch 295")</f>
        <v>Batch 295</v>
      </c>
      <c r="B5910" s="9" t="str">
        <f>IFERROR(__xludf.DUMMYFUNCTION("""COMPUTED_VALUE"""),"LakkojuC95")</f>
        <v>LakkojuC95</v>
      </c>
      <c r="C5910" s="8">
        <f>IFERROR(__xludf.DUMMYFUNCTION("""COMPUTED_VALUE"""),4.0)</f>
        <v>4</v>
      </c>
      <c r="D5910" s="8">
        <f>IFERROR(__xludf.DUMMYFUNCTION("""COMPUTED_VALUE"""),2.0)</f>
        <v>2</v>
      </c>
    </row>
    <row r="5911">
      <c r="A5911" s="9" t="str">
        <f>IFERROR(__xludf.DUMMYFUNCTION("""COMPUTED_VALUE"""),"Batch 295")</f>
        <v>Batch 295</v>
      </c>
      <c r="B5911" s="9" t="str">
        <f>IFERROR(__xludf.DUMMYFUNCTION("""COMPUTED_VALUE"""),"DevyaniC95")</f>
        <v>DevyaniC95</v>
      </c>
      <c r="C5911" s="8">
        <f>IFERROR(__xludf.DUMMYFUNCTION("""COMPUTED_VALUE"""),0.0)</f>
        <v>0</v>
      </c>
      <c r="D5911" s="8"/>
    </row>
    <row r="5912">
      <c r="A5912" s="9" t="str">
        <f>IFERROR(__xludf.DUMMYFUNCTION("""COMPUTED_VALUE"""),"Batch 295")</f>
        <v>Batch 295</v>
      </c>
      <c r="B5912" s="9" t="str">
        <f>IFERROR(__xludf.DUMMYFUNCTION("""COMPUTED_VALUE"""),"DilkhushC95")</f>
        <v>DilkhushC95</v>
      </c>
      <c r="C5912" s="8">
        <f>IFERROR(__xludf.DUMMYFUNCTION("""COMPUTED_VALUE"""),0.0)</f>
        <v>0</v>
      </c>
      <c r="D5912" s="8"/>
    </row>
    <row r="5913">
      <c r="A5913" s="9" t="str">
        <f>IFERROR(__xludf.DUMMYFUNCTION("""COMPUTED_VALUE"""),"Batch 295")</f>
        <v>Batch 295</v>
      </c>
      <c r="B5913" s="9" t="str">
        <f>IFERROR(__xludf.DUMMYFUNCTION("""COMPUTED_VALUE"""),"B.AkarshC95")</f>
        <v>B.AkarshC95</v>
      </c>
      <c r="C5913" s="8">
        <f>IFERROR(__xludf.DUMMYFUNCTION("""COMPUTED_VALUE"""),2.0)</f>
        <v>2</v>
      </c>
      <c r="D5913" s="8"/>
    </row>
    <row r="5914">
      <c r="A5914" s="9" t="str">
        <f>IFERROR(__xludf.DUMMYFUNCTION("""COMPUTED_VALUE"""),"Batch 295")</f>
        <v>Batch 295</v>
      </c>
      <c r="B5914" s="9" t="str">
        <f>IFERROR(__xludf.DUMMYFUNCTION("""COMPUTED_VALUE"""),"ShaliniC95")</f>
        <v>ShaliniC95</v>
      </c>
      <c r="C5914" s="8">
        <f>IFERROR(__xludf.DUMMYFUNCTION("""COMPUTED_VALUE"""),0.0)</f>
        <v>0</v>
      </c>
      <c r="D5914" s="8"/>
    </row>
    <row r="5915">
      <c r="A5915" s="9" t="str">
        <f>IFERROR(__xludf.DUMMYFUNCTION("""COMPUTED_VALUE"""),"Batch 295")</f>
        <v>Batch 295</v>
      </c>
      <c r="B5915" s="9" t="str">
        <f>IFERROR(__xludf.DUMMYFUNCTION("""COMPUTED_VALUE"""),"NikhilC95")</f>
        <v>NikhilC95</v>
      </c>
      <c r="C5915" s="8">
        <f>IFERROR(__xludf.DUMMYFUNCTION("""COMPUTED_VALUE"""),0.0)</f>
        <v>0</v>
      </c>
      <c r="D5915" s="8"/>
    </row>
    <row r="5916">
      <c r="A5916" s="9" t="str">
        <f>IFERROR(__xludf.DUMMYFUNCTION("""COMPUTED_VALUE"""),"Batch 295")</f>
        <v>Batch 295</v>
      </c>
      <c r="B5916" s="9" t="str">
        <f>IFERROR(__xludf.DUMMYFUNCTION("""COMPUTED_VALUE"""),"GeetikaC95")</f>
        <v>GeetikaC95</v>
      </c>
      <c r="C5916" s="8">
        <f>IFERROR(__xludf.DUMMYFUNCTION("""COMPUTED_VALUE"""),0.0)</f>
        <v>0</v>
      </c>
      <c r="D5916" s="8"/>
    </row>
    <row r="5917">
      <c r="A5917" s="9" t="str">
        <f>IFERROR(__xludf.DUMMYFUNCTION("""COMPUTED_VALUE"""),"Batch 295")</f>
        <v>Batch 295</v>
      </c>
      <c r="B5917" s="9" t="str">
        <f>IFERROR(__xludf.DUMMYFUNCTION("""COMPUTED_VALUE"""),"arishaC95")</f>
        <v>arishaC95</v>
      </c>
      <c r="C5917" s="8">
        <f>IFERROR(__xludf.DUMMYFUNCTION("""COMPUTED_VALUE"""),0.0)</f>
        <v>0</v>
      </c>
      <c r="D5917" s="8"/>
    </row>
    <row r="5918">
      <c r="A5918" s="9" t="str">
        <f>IFERROR(__xludf.DUMMYFUNCTION("""COMPUTED_VALUE"""),"Batch 295")</f>
        <v>Batch 295</v>
      </c>
      <c r="B5918" s="9" t="str">
        <f>IFERROR(__xludf.DUMMYFUNCTION("""COMPUTED_VALUE"""),"KshitizC95")</f>
        <v>KshitizC95</v>
      </c>
      <c r="C5918" s="8">
        <f>IFERROR(__xludf.DUMMYFUNCTION("""COMPUTED_VALUE"""),0.0)</f>
        <v>0</v>
      </c>
      <c r="D5918" s="8"/>
    </row>
    <row r="5919">
      <c r="A5919" s="9" t="str">
        <f>IFERROR(__xludf.DUMMYFUNCTION("""COMPUTED_VALUE"""),"Batch 295")</f>
        <v>Batch 295</v>
      </c>
      <c r="B5919" s="9" t="str">
        <f>IFERROR(__xludf.DUMMYFUNCTION("""COMPUTED_VALUE"""),"GauravC95")</f>
        <v>GauravC95</v>
      </c>
      <c r="C5919" s="8">
        <f>IFERROR(__xludf.DUMMYFUNCTION("""COMPUTED_VALUE"""),0.0)</f>
        <v>0</v>
      </c>
      <c r="D5919" s="8"/>
    </row>
    <row r="5920">
      <c r="A5920" s="9" t="str">
        <f>IFERROR(__xludf.DUMMYFUNCTION("""COMPUTED_VALUE"""),"Batch 295")</f>
        <v>Batch 295</v>
      </c>
      <c r="B5920" s="9" t="str">
        <f>IFERROR(__xludf.DUMMYFUNCTION("""COMPUTED_VALUE"""),"RiyaC95")</f>
        <v>RiyaC95</v>
      </c>
      <c r="C5920" s="8">
        <f>IFERROR(__xludf.DUMMYFUNCTION("""COMPUTED_VALUE"""),0.0)</f>
        <v>0</v>
      </c>
      <c r="D5920" s="8"/>
    </row>
    <row r="5921">
      <c r="A5921" s="9"/>
      <c r="B5921" s="9"/>
      <c r="C5921" s="8">
        <f>IFERROR(__xludf.DUMMYFUNCTION("""COMPUTED_VALUE"""),0.0)</f>
        <v>0</v>
      </c>
      <c r="D5921" s="8"/>
    </row>
    <row r="5922">
      <c r="A5922" s="9" t="str">
        <f>IFERROR(__xludf.DUMMYFUNCTION("""COMPUTED_VALUE"""),"Batch 296")</f>
        <v>Batch 296</v>
      </c>
      <c r="B5922" s="9" t="str">
        <f>IFERROR(__xludf.DUMMYFUNCTION("""COMPUTED_VALUE"""),"NivedhaC96")</f>
        <v>NivedhaC96</v>
      </c>
      <c r="C5922" s="8">
        <f>IFERROR(__xludf.DUMMYFUNCTION("""COMPUTED_VALUE"""),0.0)</f>
        <v>0</v>
      </c>
      <c r="D5922" s="8"/>
    </row>
    <row r="5923">
      <c r="A5923" s="9" t="str">
        <f>IFERROR(__xludf.DUMMYFUNCTION("""COMPUTED_VALUE"""),"Batch 296")</f>
        <v>Batch 296</v>
      </c>
      <c r="B5923" s="9" t="str">
        <f>IFERROR(__xludf.DUMMYFUNCTION("""COMPUTED_VALUE"""),"SaiC96")</f>
        <v>SaiC96</v>
      </c>
      <c r="C5923" s="8">
        <f>IFERROR(__xludf.DUMMYFUNCTION("""COMPUTED_VALUE"""),0.0)</f>
        <v>0</v>
      </c>
      <c r="D5923" s="8"/>
    </row>
    <row r="5924">
      <c r="A5924" s="9" t="str">
        <f>IFERROR(__xludf.DUMMYFUNCTION("""COMPUTED_VALUE"""),"Batch 296")</f>
        <v>Batch 296</v>
      </c>
      <c r="B5924" s="9" t="str">
        <f>IFERROR(__xludf.DUMMYFUNCTION("""COMPUTED_VALUE"""),"AnweshaC96")</f>
        <v>AnweshaC96</v>
      </c>
      <c r="C5924" s="8">
        <f>IFERROR(__xludf.DUMMYFUNCTION("""COMPUTED_VALUE"""),0.0)</f>
        <v>0</v>
      </c>
      <c r="D5924" s="8"/>
    </row>
    <row r="5925">
      <c r="A5925" s="9" t="str">
        <f>IFERROR(__xludf.DUMMYFUNCTION("""COMPUTED_VALUE"""),"Batch 296")</f>
        <v>Batch 296</v>
      </c>
      <c r="B5925" s="9" t="str">
        <f>IFERROR(__xludf.DUMMYFUNCTION("""COMPUTED_VALUE"""),"ABHISHEKC96")</f>
        <v>ABHISHEKC96</v>
      </c>
      <c r="C5925" s="8">
        <f>IFERROR(__xludf.DUMMYFUNCTION("""COMPUTED_VALUE"""),0.0)</f>
        <v>0</v>
      </c>
      <c r="D5925" s="8"/>
    </row>
    <row r="5926">
      <c r="A5926" s="9" t="str">
        <f>IFERROR(__xludf.DUMMYFUNCTION("""COMPUTED_VALUE"""),"Batch 296")</f>
        <v>Batch 296</v>
      </c>
      <c r="B5926" s="9" t="str">
        <f>IFERROR(__xludf.DUMMYFUNCTION("""COMPUTED_VALUE"""),"TarunC96")</f>
        <v>TarunC96</v>
      </c>
      <c r="C5926" s="8">
        <f>IFERROR(__xludf.DUMMYFUNCTION("""COMPUTED_VALUE"""),1.0)</f>
        <v>1</v>
      </c>
      <c r="D5926" s="8">
        <f>IFERROR(__xludf.DUMMYFUNCTION("""COMPUTED_VALUE"""),1.0)</f>
        <v>1</v>
      </c>
    </row>
    <row r="5927">
      <c r="A5927" s="9" t="str">
        <f>IFERROR(__xludf.DUMMYFUNCTION("""COMPUTED_VALUE"""),"Batch 296")</f>
        <v>Batch 296</v>
      </c>
      <c r="B5927" s="9" t="str">
        <f>IFERROR(__xludf.DUMMYFUNCTION("""COMPUTED_VALUE"""),"AahanC96")</f>
        <v>AahanC96</v>
      </c>
      <c r="C5927" s="8">
        <f>IFERROR(__xludf.DUMMYFUNCTION("""COMPUTED_VALUE"""),5.0)</f>
        <v>5</v>
      </c>
      <c r="D5927" s="8">
        <f>IFERROR(__xludf.DUMMYFUNCTION("""COMPUTED_VALUE"""),3.0)</f>
        <v>3</v>
      </c>
    </row>
    <row r="5928">
      <c r="A5928" s="9" t="str">
        <f>IFERROR(__xludf.DUMMYFUNCTION("""COMPUTED_VALUE"""),"Batch 296")</f>
        <v>Batch 296</v>
      </c>
      <c r="B5928" s="9" t="str">
        <f>IFERROR(__xludf.DUMMYFUNCTION("""COMPUTED_VALUE"""),"PiuliC96")</f>
        <v>PiuliC96</v>
      </c>
      <c r="C5928" s="8">
        <f>IFERROR(__xludf.DUMMYFUNCTION("""COMPUTED_VALUE"""),0.0)</f>
        <v>0</v>
      </c>
      <c r="D5928" s="8"/>
    </row>
    <row r="5929">
      <c r="A5929" s="9" t="str">
        <f>IFERROR(__xludf.DUMMYFUNCTION("""COMPUTED_VALUE"""),"Batch 296")</f>
        <v>Batch 296</v>
      </c>
      <c r="B5929" s="9" t="str">
        <f>IFERROR(__xludf.DUMMYFUNCTION("""COMPUTED_VALUE"""),"SyedC96")</f>
        <v>SyedC96</v>
      </c>
      <c r="C5929" s="8">
        <f>IFERROR(__xludf.DUMMYFUNCTION("""COMPUTED_VALUE"""),0.0)</f>
        <v>0</v>
      </c>
      <c r="D5929" s="8"/>
    </row>
    <row r="5930">
      <c r="A5930" s="9" t="str">
        <f>IFERROR(__xludf.DUMMYFUNCTION("""COMPUTED_VALUE"""),"Batch 296")</f>
        <v>Batch 296</v>
      </c>
      <c r="B5930" s="9" t="str">
        <f>IFERROR(__xludf.DUMMYFUNCTION("""COMPUTED_VALUE"""),"CharviC96")</f>
        <v>CharviC96</v>
      </c>
      <c r="C5930" s="8">
        <f>IFERROR(__xludf.DUMMYFUNCTION("""COMPUTED_VALUE"""),0.0)</f>
        <v>0</v>
      </c>
      <c r="D5930" s="8"/>
    </row>
    <row r="5931">
      <c r="A5931" s="9" t="str">
        <f>IFERROR(__xludf.DUMMYFUNCTION("""COMPUTED_VALUE"""),"Batch 296")</f>
        <v>Batch 296</v>
      </c>
      <c r="B5931" s="9" t="str">
        <f>IFERROR(__xludf.DUMMYFUNCTION("""COMPUTED_VALUE"""),"ShubhamC96")</f>
        <v>ShubhamC96</v>
      </c>
      <c r="C5931" s="8">
        <f>IFERROR(__xludf.DUMMYFUNCTION("""COMPUTED_VALUE"""),1.0)</f>
        <v>1</v>
      </c>
      <c r="D5931" s="8"/>
    </row>
    <row r="5932">
      <c r="A5932" s="9" t="str">
        <f>IFERROR(__xludf.DUMMYFUNCTION("""COMPUTED_VALUE"""),"Batch 296")</f>
        <v>Batch 296</v>
      </c>
      <c r="B5932" s="9" t="str">
        <f>IFERROR(__xludf.DUMMYFUNCTION("""COMPUTED_VALUE"""),"YashaswiC96")</f>
        <v>YashaswiC96</v>
      </c>
      <c r="C5932" s="8">
        <f>IFERROR(__xludf.DUMMYFUNCTION("""COMPUTED_VALUE"""),0.0)</f>
        <v>0</v>
      </c>
      <c r="D5932" s="8"/>
    </row>
    <row r="5933">
      <c r="A5933" s="9" t="str">
        <f>IFERROR(__xludf.DUMMYFUNCTION("""COMPUTED_VALUE"""),"Batch 296")</f>
        <v>Batch 296</v>
      </c>
      <c r="B5933" s="9" t="str">
        <f>IFERROR(__xludf.DUMMYFUNCTION("""COMPUTED_VALUE"""),"KanishkaC96")</f>
        <v>KanishkaC96</v>
      </c>
      <c r="C5933" s="8">
        <f>IFERROR(__xludf.DUMMYFUNCTION("""COMPUTED_VALUE"""),0.0)</f>
        <v>0</v>
      </c>
      <c r="D5933" s="8"/>
    </row>
    <row r="5934">
      <c r="A5934" s="9" t="str">
        <f>IFERROR(__xludf.DUMMYFUNCTION("""COMPUTED_VALUE"""),"Batch 296")</f>
        <v>Batch 296</v>
      </c>
      <c r="B5934" s="9" t="str">
        <f>IFERROR(__xludf.DUMMYFUNCTION("""COMPUTED_VALUE"""),"AnshikaC96")</f>
        <v>AnshikaC96</v>
      </c>
      <c r="C5934" s="8">
        <f>IFERROR(__xludf.DUMMYFUNCTION("""COMPUTED_VALUE"""),0.0)</f>
        <v>0</v>
      </c>
      <c r="D5934" s="8"/>
    </row>
    <row r="5935">
      <c r="A5935" s="9" t="str">
        <f>IFERROR(__xludf.DUMMYFUNCTION("""COMPUTED_VALUE"""),"Batch 296")</f>
        <v>Batch 296</v>
      </c>
      <c r="B5935" s="9" t="str">
        <f>IFERROR(__xludf.DUMMYFUNCTION("""COMPUTED_VALUE"""),"SourodeepC96")</f>
        <v>SourodeepC96</v>
      </c>
      <c r="C5935" s="8">
        <f>IFERROR(__xludf.DUMMYFUNCTION("""COMPUTED_VALUE"""),1.0)</f>
        <v>1</v>
      </c>
      <c r="D5935" s="8">
        <f>IFERROR(__xludf.DUMMYFUNCTION("""COMPUTED_VALUE"""),2.0)</f>
        <v>2</v>
      </c>
    </row>
    <row r="5936">
      <c r="A5936" s="9" t="str">
        <f>IFERROR(__xludf.DUMMYFUNCTION("""COMPUTED_VALUE"""),"Batch 296")</f>
        <v>Batch 296</v>
      </c>
      <c r="B5936" s="9" t="str">
        <f>IFERROR(__xludf.DUMMYFUNCTION("""COMPUTED_VALUE"""),"IchhaC96")</f>
        <v>IchhaC96</v>
      </c>
      <c r="C5936" s="8">
        <f>IFERROR(__xludf.DUMMYFUNCTION("""COMPUTED_VALUE"""),0.0)</f>
        <v>0</v>
      </c>
      <c r="D5936" s="8">
        <f>IFERROR(__xludf.DUMMYFUNCTION("""COMPUTED_VALUE"""),1.0)</f>
        <v>1</v>
      </c>
    </row>
    <row r="5937">
      <c r="A5937" s="9" t="str">
        <f>IFERROR(__xludf.DUMMYFUNCTION("""COMPUTED_VALUE"""),"Batch 296")</f>
        <v>Batch 296</v>
      </c>
      <c r="B5937" s="9" t="str">
        <f>IFERROR(__xludf.DUMMYFUNCTION("""COMPUTED_VALUE"""),"PragatiC96")</f>
        <v>PragatiC96</v>
      </c>
      <c r="C5937" s="8">
        <f>IFERROR(__xludf.DUMMYFUNCTION("""COMPUTED_VALUE"""),0.0)</f>
        <v>0</v>
      </c>
      <c r="D5937" s="8"/>
    </row>
    <row r="5938">
      <c r="A5938" s="9" t="str">
        <f>IFERROR(__xludf.DUMMYFUNCTION("""COMPUTED_VALUE"""),"Batch 296")</f>
        <v>Batch 296</v>
      </c>
      <c r="B5938" s="9" t="str">
        <f>IFERROR(__xludf.DUMMYFUNCTION("""COMPUTED_VALUE"""),"DhadukC96")</f>
        <v>DhadukC96</v>
      </c>
      <c r="C5938" s="8">
        <f>IFERROR(__xludf.DUMMYFUNCTION("""COMPUTED_VALUE"""),0.0)</f>
        <v>0</v>
      </c>
      <c r="D5938" s="8"/>
    </row>
    <row r="5939">
      <c r="A5939" s="9" t="str">
        <f>IFERROR(__xludf.DUMMYFUNCTION("""COMPUTED_VALUE"""),"Batch 296")</f>
        <v>Batch 296</v>
      </c>
      <c r="B5939" s="9" t="str">
        <f>IFERROR(__xludf.DUMMYFUNCTION("""COMPUTED_VALUE"""),"PriyankaC96")</f>
        <v>PriyankaC96</v>
      </c>
      <c r="C5939" s="8">
        <f>IFERROR(__xludf.DUMMYFUNCTION("""COMPUTED_VALUE"""),0.0)</f>
        <v>0</v>
      </c>
      <c r="D5939" s="8"/>
    </row>
    <row r="5940">
      <c r="A5940" s="9" t="str">
        <f>IFERROR(__xludf.DUMMYFUNCTION("""COMPUTED_VALUE"""),"Batch 296")</f>
        <v>Batch 296</v>
      </c>
      <c r="B5940" s="9" t="str">
        <f>IFERROR(__xludf.DUMMYFUNCTION("""COMPUTED_VALUE"""),"MannatC96")</f>
        <v>MannatC96</v>
      </c>
      <c r="C5940" s="8">
        <f>IFERROR(__xludf.DUMMYFUNCTION("""COMPUTED_VALUE"""),0.0)</f>
        <v>0</v>
      </c>
      <c r="D5940" s="8"/>
    </row>
    <row r="5941">
      <c r="A5941" s="9" t="str">
        <f>IFERROR(__xludf.DUMMYFUNCTION("""COMPUTED_VALUE"""),"Batch 296")</f>
        <v>Batch 296</v>
      </c>
      <c r="B5941" s="9" t="str">
        <f>IFERROR(__xludf.DUMMYFUNCTION("""COMPUTED_VALUE"""),"MuskanC96")</f>
        <v>MuskanC96</v>
      </c>
      <c r="C5941" s="8">
        <f>IFERROR(__xludf.DUMMYFUNCTION("""COMPUTED_VALUE"""),0.0)</f>
        <v>0</v>
      </c>
      <c r="D5941" s="8"/>
    </row>
    <row r="5942">
      <c r="A5942" s="9" t="str">
        <f>IFERROR(__xludf.DUMMYFUNCTION("""COMPUTED_VALUE"""),"Batch 296")</f>
        <v>Batch 296</v>
      </c>
      <c r="B5942" s="9" t="str">
        <f>IFERROR(__xludf.DUMMYFUNCTION("""COMPUTED_VALUE"""),"RiyaC96")</f>
        <v>RiyaC96</v>
      </c>
      <c r="C5942" s="8">
        <f>IFERROR(__xludf.DUMMYFUNCTION("""COMPUTED_VALUE"""),0.0)</f>
        <v>0</v>
      </c>
      <c r="D5942" s="8"/>
    </row>
    <row r="5943">
      <c r="A5943" s="9" t="str">
        <f>IFERROR(__xludf.DUMMYFUNCTION("""COMPUTED_VALUE"""),"Batch 296")</f>
        <v>Batch 296</v>
      </c>
      <c r="B5943" s="9" t="str">
        <f>IFERROR(__xludf.DUMMYFUNCTION("""COMPUTED_VALUE"""),"AashiC96")</f>
        <v>AashiC96</v>
      </c>
      <c r="C5943" s="8">
        <f>IFERROR(__xludf.DUMMYFUNCTION("""COMPUTED_VALUE"""),0.0)</f>
        <v>0</v>
      </c>
      <c r="D5943" s="8"/>
    </row>
    <row r="5944">
      <c r="A5944" s="9" t="str">
        <f>IFERROR(__xludf.DUMMYFUNCTION("""COMPUTED_VALUE"""),"Batch 296")</f>
        <v>Batch 296</v>
      </c>
      <c r="B5944" s="9" t="str">
        <f>IFERROR(__xludf.DUMMYFUNCTION("""COMPUTED_VALUE"""),"ShubhamRC96")</f>
        <v>ShubhamRC96</v>
      </c>
      <c r="C5944" s="8">
        <f>IFERROR(__xludf.DUMMYFUNCTION("""COMPUTED_VALUE"""),0.0)</f>
        <v>0</v>
      </c>
      <c r="D5944" s="8"/>
    </row>
    <row r="5945">
      <c r="A5945" s="9" t="str">
        <f>IFERROR(__xludf.DUMMYFUNCTION("""COMPUTED_VALUE"""),"Batch 296")</f>
        <v>Batch 296</v>
      </c>
      <c r="B5945" s="9" t="str">
        <f>IFERROR(__xludf.DUMMYFUNCTION("""COMPUTED_VALUE"""),"MeherC96")</f>
        <v>MeherC96</v>
      </c>
      <c r="C5945" s="8">
        <f>IFERROR(__xludf.DUMMYFUNCTION("""COMPUTED_VALUE"""),0.0)</f>
        <v>0</v>
      </c>
      <c r="D5945" s="8"/>
    </row>
    <row r="5946">
      <c r="A5946" s="9" t="str">
        <f>IFERROR(__xludf.DUMMYFUNCTION("""COMPUTED_VALUE"""),"Batch 296")</f>
        <v>Batch 296</v>
      </c>
      <c r="B5946" s="9" t="str">
        <f>IFERROR(__xludf.DUMMYFUNCTION("""COMPUTED_VALUE"""),"SurasaniC96")</f>
        <v>SurasaniC96</v>
      </c>
      <c r="C5946" s="8">
        <f>IFERROR(__xludf.DUMMYFUNCTION("""COMPUTED_VALUE"""),0.0)</f>
        <v>0</v>
      </c>
      <c r="D5946" s="8"/>
    </row>
    <row r="5947">
      <c r="A5947" s="9" t="str">
        <f>IFERROR(__xludf.DUMMYFUNCTION("""COMPUTED_VALUE"""),"Batch 296")</f>
        <v>Batch 296</v>
      </c>
      <c r="B5947" s="9" t="str">
        <f>IFERROR(__xludf.DUMMYFUNCTION("""COMPUTED_VALUE"""),"KRISHNAC96")</f>
        <v>KRISHNAC96</v>
      </c>
      <c r="C5947" s="8">
        <f>IFERROR(__xludf.DUMMYFUNCTION("""COMPUTED_VALUE"""),0.0)</f>
        <v>0</v>
      </c>
      <c r="D5947" s="8"/>
    </row>
    <row r="5948">
      <c r="A5948" s="9" t="str">
        <f>IFERROR(__xludf.DUMMYFUNCTION("""COMPUTED_VALUE"""),"Batch 296")</f>
        <v>Batch 296</v>
      </c>
      <c r="B5948" s="9" t="str">
        <f>IFERROR(__xludf.DUMMYFUNCTION("""COMPUTED_VALUE"""),"VaibhavC96")</f>
        <v>VaibhavC96</v>
      </c>
      <c r="C5948" s="8">
        <f>IFERROR(__xludf.DUMMYFUNCTION("""COMPUTED_VALUE"""),0.0)</f>
        <v>0</v>
      </c>
      <c r="D5948" s="8"/>
    </row>
    <row r="5949">
      <c r="A5949" s="9" t="str">
        <f>IFERROR(__xludf.DUMMYFUNCTION("""COMPUTED_VALUE"""),"Batch 296")</f>
        <v>Batch 296</v>
      </c>
      <c r="B5949" s="9" t="str">
        <f>IFERROR(__xludf.DUMMYFUNCTION("""COMPUTED_VALUE"""),"SuchitaC96")</f>
        <v>SuchitaC96</v>
      </c>
      <c r="C5949" s="8">
        <f>IFERROR(__xludf.DUMMYFUNCTION("""COMPUTED_VALUE"""),16.0)</f>
        <v>16</v>
      </c>
      <c r="D5949" s="8">
        <f>IFERROR(__xludf.DUMMYFUNCTION("""COMPUTED_VALUE"""),1.0)</f>
        <v>1</v>
      </c>
    </row>
    <row r="5950">
      <c r="A5950" s="9" t="str">
        <f>IFERROR(__xludf.DUMMYFUNCTION("""COMPUTED_VALUE"""),"Batch 296")</f>
        <v>Batch 296</v>
      </c>
      <c r="B5950" s="9" t="str">
        <f>IFERROR(__xludf.DUMMYFUNCTION("""COMPUTED_VALUE"""),"VadlaC96")</f>
        <v>VadlaC96</v>
      </c>
      <c r="C5950" s="8">
        <f>IFERROR(__xludf.DUMMYFUNCTION("""COMPUTED_VALUE"""),0.0)</f>
        <v>0</v>
      </c>
      <c r="D5950" s="8"/>
    </row>
    <row r="5951">
      <c r="A5951" s="9" t="str">
        <f>IFERROR(__xludf.DUMMYFUNCTION("""COMPUTED_VALUE"""),"Batch 296")</f>
        <v>Batch 296</v>
      </c>
      <c r="B5951" s="9" t="str">
        <f>IFERROR(__xludf.DUMMYFUNCTION("""COMPUTED_VALUE"""),"LavishC96")</f>
        <v>LavishC96</v>
      </c>
      <c r="C5951" s="8">
        <f>IFERROR(__xludf.DUMMYFUNCTION("""COMPUTED_VALUE"""),0.0)</f>
        <v>0</v>
      </c>
      <c r="D5951" s="8"/>
    </row>
    <row r="5952">
      <c r="A5952" s="9" t="str">
        <f>IFERROR(__xludf.DUMMYFUNCTION("""COMPUTED_VALUE"""),"Batch 296")</f>
        <v>Batch 296</v>
      </c>
      <c r="B5952" s="9" t="str">
        <f>IFERROR(__xludf.DUMMYFUNCTION("""COMPUTED_VALUE"""),"DivyanshuC96")</f>
        <v>DivyanshuC96</v>
      </c>
      <c r="C5952" s="8">
        <f>IFERROR(__xludf.DUMMYFUNCTION("""COMPUTED_VALUE"""),2.0)</f>
        <v>2</v>
      </c>
      <c r="D5952" s="8"/>
    </row>
    <row r="5953">
      <c r="A5953" s="9" t="str">
        <f>IFERROR(__xludf.DUMMYFUNCTION("""COMPUTED_VALUE"""),"Batch 296")</f>
        <v>Batch 296</v>
      </c>
      <c r="B5953" s="9" t="str">
        <f>IFERROR(__xludf.DUMMYFUNCTION("""COMPUTED_VALUE"""),"AfsaC96")</f>
        <v>AfsaC96</v>
      </c>
      <c r="C5953" s="8">
        <f>IFERROR(__xludf.DUMMYFUNCTION("""COMPUTED_VALUE"""),0.0)</f>
        <v>0</v>
      </c>
      <c r="D5953" s="8"/>
    </row>
    <row r="5954">
      <c r="A5954" s="9" t="str">
        <f>IFERROR(__xludf.DUMMYFUNCTION("""COMPUTED_VALUE"""),"Batch 296")</f>
        <v>Batch 296</v>
      </c>
      <c r="B5954" s="9" t="str">
        <f>IFERROR(__xludf.DUMMYFUNCTION("""COMPUTED_VALUE"""),"IshaC96")</f>
        <v>IshaC96</v>
      </c>
      <c r="C5954" s="8">
        <f>IFERROR(__xludf.DUMMYFUNCTION("""COMPUTED_VALUE"""),0.0)</f>
        <v>0</v>
      </c>
      <c r="D5954" s="8"/>
    </row>
    <row r="5955">
      <c r="A5955" s="9"/>
      <c r="B5955" s="9"/>
      <c r="C5955" s="8">
        <f>IFERROR(__xludf.DUMMYFUNCTION("""COMPUTED_VALUE"""),0.0)</f>
        <v>0</v>
      </c>
      <c r="D5955" s="8"/>
    </row>
    <row r="5956">
      <c r="A5956" s="9" t="str">
        <f>IFERROR(__xludf.DUMMYFUNCTION("""COMPUTED_VALUE"""),"Batch 297")</f>
        <v>Batch 297</v>
      </c>
      <c r="B5956" s="9" t="str">
        <f>IFERROR(__xludf.DUMMYFUNCTION("""COMPUTED_VALUE"""),"GauravC97")</f>
        <v>GauravC97</v>
      </c>
      <c r="C5956" s="8">
        <f>IFERROR(__xludf.DUMMYFUNCTION("""COMPUTED_VALUE"""),0.0)</f>
        <v>0</v>
      </c>
      <c r="D5956" s="8"/>
    </row>
    <row r="5957">
      <c r="A5957" s="9" t="str">
        <f>IFERROR(__xludf.DUMMYFUNCTION("""COMPUTED_VALUE"""),"Batch 297")</f>
        <v>Batch 297</v>
      </c>
      <c r="B5957" s="9" t="str">
        <f>IFERROR(__xludf.DUMMYFUNCTION("""COMPUTED_VALUE"""),"PRARTHANAC97")</f>
        <v>PRARTHANAC97</v>
      </c>
      <c r="C5957" s="8">
        <f>IFERROR(__xludf.DUMMYFUNCTION("""COMPUTED_VALUE"""),22.0)</f>
        <v>22</v>
      </c>
      <c r="D5957" s="8">
        <f>IFERROR(__xludf.DUMMYFUNCTION("""COMPUTED_VALUE"""),11.0)</f>
        <v>11</v>
      </c>
    </row>
    <row r="5958">
      <c r="A5958" s="9" t="str">
        <f>IFERROR(__xludf.DUMMYFUNCTION("""COMPUTED_VALUE"""),"Batch 297")</f>
        <v>Batch 297</v>
      </c>
      <c r="B5958" s="9" t="str">
        <f>IFERROR(__xludf.DUMMYFUNCTION("""COMPUTED_VALUE"""),"AyushC97")</f>
        <v>AyushC97</v>
      </c>
      <c r="C5958" s="8">
        <f>IFERROR(__xludf.DUMMYFUNCTION("""COMPUTED_VALUE"""),0.0)</f>
        <v>0</v>
      </c>
      <c r="D5958" s="8"/>
    </row>
    <row r="5959">
      <c r="A5959" s="9" t="str">
        <f>IFERROR(__xludf.DUMMYFUNCTION("""COMPUTED_VALUE"""),"Batch 297")</f>
        <v>Batch 297</v>
      </c>
      <c r="B5959" s="9" t="str">
        <f>IFERROR(__xludf.DUMMYFUNCTION("""COMPUTED_VALUE"""),"PrathamC97")</f>
        <v>PrathamC97</v>
      </c>
      <c r="C5959" s="8">
        <f>IFERROR(__xludf.DUMMYFUNCTION("""COMPUTED_VALUE"""),26.0)</f>
        <v>26</v>
      </c>
      <c r="D5959" s="8">
        <f>IFERROR(__xludf.DUMMYFUNCTION("""COMPUTED_VALUE"""),1.0)</f>
        <v>1</v>
      </c>
    </row>
    <row r="5960">
      <c r="A5960" s="9" t="str">
        <f>IFERROR(__xludf.DUMMYFUNCTION("""COMPUTED_VALUE"""),"Batch 297")</f>
        <v>Batch 297</v>
      </c>
      <c r="B5960" s="9" t="str">
        <f>IFERROR(__xludf.DUMMYFUNCTION("""COMPUTED_VALUE"""),"PiyushC97")</f>
        <v>PiyushC97</v>
      </c>
      <c r="C5960" s="8">
        <f>IFERROR(__xludf.DUMMYFUNCTION("""COMPUTED_VALUE"""),0.0)</f>
        <v>0</v>
      </c>
      <c r="D5960" s="8"/>
    </row>
    <row r="5961">
      <c r="A5961" s="9" t="str">
        <f>IFERROR(__xludf.DUMMYFUNCTION("""COMPUTED_VALUE"""),"Batch 297")</f>
        <v>Batch 297</v>
      </c>
      <c r="B5961" s="9" t="str">
        <f>IFERROR(__xludf.DUMMYFUNCTION("""COMPUTED_VALUE"""),"SuryanshC97")</f>
        <v>SuryanshC97</v>
      </c>
      <c r="C5961" s="8">
        <f>IFERROR(__xludf.DUMMYFUNCTION("""COMPUTED_VALUE"""),3.0)</f>
        <v>3</v>
      </c>
      <c r="D5961" s="8">
        <f>IFERROR(__xludf.DUMMYFUNCTION("""COMPUTED_VALUE"""),4.0)</f>
        <v>4</v>
      </c>
    </row>
    <row r="5962">
      <c r="A5962" s="9" t="str">
        <f>IFERROR(__xludf.DUMMYFUNCTION("""COMPUTED_VALUE"""),"Batch 297")</f>
        <v>Batch 297</v>
      </c>
      <c r="B5962" s="9" t="str">
        <f>IFERROR(__xludf.DUMMYFUNCTION("""COMPUTED_VALUE"""),"ChiragC97")</f>
        <v>ChiragC97</v>
      </c>
      <c r="C5962" s="8">
        <f>IFERROR(__xludf.DUMMYFUNCTION("""COMPUTED_VALUE"""),0.0)</f>
        <v>0</v>
      </c>
      <c r="D5962" s="8"/>
    </row>
    <row r="5963">
      <c r="A5963" s="9" t="str">
        <f>IFERROR(__xludf.DUMMYFUNCTION("""COMPUTED_VALUE"""),"Batch 297")</f>
        <v>Batch 297</v>
      </c>
      <c r="B5963" s="9" t="str">
        <f>IFERROR(__xludf.DUMMYFUNCTION("""COMPUTED_VALUE"""),"MehakC97")</f>
        <v>MehakC97</v>
      </c>
      <c r="C5963" s="8">
        <f>IFERROR(__xludf.DUMMYFUNCTION("""COMPUTED_VALUE"""),0.0)</f>
        <v>0</v>
      </c>
      <c r="D5963" s="8"/>
    </row>
    <row r="5964">
      <c r="A5964" s="9" t="str">
        <f>IFERROR(__xludf.DUMMYFUNCTION("""COMPUTED_VALUE"""),"Batch 297")</f>
        <v>Batch 297</v>
      </c>
      <c r="B5964" s="9" t="str">
        <f>IFERROR(__xludf.DUMMYFUNCTION("""COMPUTED_VALUE"""),"DevC97")</f>
        <v>DevC97</v>
      </c>
      <c r="C5964" s="8">
        <f>IFERROR(__xludf.DUMMYFUNCTION("""COMPUTED_VALUE"""),0.0)</f>
        <v>0</v>
      </c>
      <c r="D5964" s="8">
        <f>IFERROR(__xludf.DUMMYFUNCTION("""COMPUTED_VALUE"""),5.0)</f>
        <v>5</v>
      </c>
    </row>
    <row r="5965">
      <c r="A5965" s="9" t="str">
        <f>IFERROR(__xludf.DUMMYFUNCTION("""COMPUTED_VALUE"""),"Batch 297")</f>
        <v>Batch 297</v>
      </c>
      <c r="B5965" s="9" t="str">
        <f>IFERROR(__xludf.DUMMYFUNCTION("""COMPUTED_VALUE"""),"SwayamC97")</f>
        <v>SwayamC97</v>
      </c>
      <c r="C5965" s="8">
        <f>IFERROR(__xludf.DUMMYFUNCTION("""COMPUTED_VALUE"""),2.0)</f>
        <v>2</v>
      </c>
      <c r="D5965" s="8"/>
    </row>
    <row r="5966">
      <c r="A5966" s="9" t="str">
        <f>IFERROR(__xludf.DUMMYFUNCTION("""COMPUTED_VALUE"""),"Batch 297")</f>
        <v>Batch 297</v>
      </c>
      <c r="B5966" s="9" t="str">
        <f>IFERROR(__xludf.DUMMYFUNCTION("""COMPUTED_VALUE"""),"PranitC97")</f>
        <v>PranitC97</v>
      </c>
      <c r="C5966" s="8">
        <f>IFERROR(__xludf.DUMMYFUNCTION("""COMPUTED_VALUE"""),0.0)</f>
        <v>0</v>
      </c>
      <c r="D5966" s="8"/>
    </row>
    <row r="5967">
      <c r="A5967" s="9" t="str">
        <f>IFERROR(__xludf.DUMMYFUNCTION("""COMPUTED_VALUE"""),"Batch 297")</f>
        <v>Batch 297</v>
      </c>
      <c r="B5967" s="9" t="str">
        <f>IFERROR(__xludf.DUMMYFUNCTION("""COMPUTED_VALUE"""),"nehaC97")</f>
        <v>nehaC97</v>
      </c>
      <c r="C5967" s="8">
        <f>IFERROR(__xludf.DUMMYFUNCTION("""COMPUTED_VALUE"""),0.0)</f>
        <v>0</v>
      </c>
      <c r="D5967" s="8"/>
    </row>
    <row r="5968">
      <c r="A5968" s="9"/>
      <c r="B5968" s="9"/>
      <c r="C5968" s="8">
        <f>IFERROR(__xludf.DUMMYFUNCTION("""COMPUTED_VALUE"""),0.0)</f>
        <v>0</v>
      </c>
      <c r="D5968" s="8"/>
    </row>
    <row r="5969">
      <c r="A5969" s="9" t="str">
        <f>IFERROR(__xludf.DUMMYFUNCTION("""COMPUTED_VALUE"""),"Batch 298")</f>
        <v>Batch 298</v>
      </c>
      <c r="B5969" s="9" t="str">
        <f>IFERROR(__xludf.DUMMYFUNCTION("""COMPUTED_VALUE"""),"RIDDIMAC98")</f>
        <v>RIDDIMAC98</v>
      </c>
      <c r="C5969" s="8">
        <f>IFERROR(__xludf.DUMMYFUNCTION("""COMPUTED_VALUE"""),4.0)</f>
        <v>4</v>
      </c>
      <c r="D5969" s="8"/>
    </row>
    <row r="5970">
      <c r="A5970" s="9" t="str">
        <f>IFERROR(__xludf.DUMMYFUNCTION("""COMPUTED_VALUE"""),"Batch 298")</f>
        <v>Batch 298</v>
      </c>
      <c r="B5970" s="9" t="str">
        <f>IFERROR(__xludf.DUMMYFUNCTION("""COMPUTED_VALUE"""),"vinithC98")</f>
        <v>vinithC98</v>
      </c>
      <c r="C5970" s="8">
        <f>IFERROR(__xludf.DUMMYFUNCTION("""COMPUTED_VALUE"""),0.0)</f>
        <v>0</v>
      </c>
      <c r="D5970" s="8"/>
    </row>
    <row r="5971">
      <c r="A5971" s="9" t="str">
        <f>IFERROR(__xludf.DUMMYFUNCTION("""COMPUTED_VALUE"""),"Batch 298")</f>
        <v>Batch 298</v>
      </c>
      <c r="B5971" s="9" t="str">
        <f>IFERROR(__xludf.DUMMYFUNCTION("""COMPUTED_VALUE"""),"UmmeC98")</f>
        <v>UmmeC98</v>
      </c>
      <c r="C5971" s="8">
        <f>IFERROR(__xludf.DUMMYFUNCTION("""COMPUTED_VALUE"""),0.0)</f>
        <v>0</v>
      </c>
      <c r="D5971" s="8"/>
    </row>
    <row r="5972">
      <c r="A5972" s="9" t="str">
        <f>IFERROR(__xludf.DUMMYFUNCTION("""COMPUTED_VALUE"""),"Batch 298")</f>
        <v>Batch 298</v>
      </c>
      <c r="B5972" s="9" t="str">
        <f>IFERROR(__xludf.DUMMYFUNCTION("""COMPUTED_VALUE"""),"SurabhiC98")</f>
        <v>SurabhiC98</v>
      </c>
      <c r="C5972" s="8">
        <f>IFERROR(__xludf.DUMMYFUNCTION("""COMPUTED_VALUE"""),1.0)</f>
        <v>1</v>
      </c>
      <c r="D5972" s="8">
        <f>IFERROR(__xludf.DUMMYFUNCTION("""COMPUTED_VALUE"""),4.0)</f>
        <v>4</v>
      </c>
    </row>
    <row r="5973">
      <c r="A5973" s="9" t="str">
        <f>IFERROR(__xludf.DUMMYFUNCTION("""COMPUTED_VALUE"""),"Batch 298")</f>
        <v>Batch 298</v>
      </c>
      <c r="B5973" s="9" t="str">
        <f>IFERROR(__xludf.DUMMYFUNCTION("""COMPUTED_VALUE"""),"aakashC98")</f>
        <v>aakashC98</v>
      </c>
      <c r="C5973" s="8">
        <f>IFERROR(__xludf.DUMMYFUNCTION("""COMPUTED_VALUE"""),0.0)</f>
        <v>0</v>
      </c>
      <c r="D5973" s="8"/>
    </row>
    <row r="5974">
      <c r="A5974" s="9" t="str">
        <f>IFERROR(__xludf.DUMMYFUNCTION("""COMPUTED_VALUE"""),"Batch 298")</f>
        <v>Batch 298</v>
      </c>
      <c r="B5974" s="9" t="str">
        <f>IFERROR(__xludf.DUMMYFUNCTION("""COMPUTED_VALUE"""),"DeepikaC98")</f>
        <v>DeepikaC98</v>
      </c>
      <c r="C5974" s="8">
        <f>IFERROR(__xludf.DUMMYFUNCTION("""COMPUTED_VALUE"""),1.0)</f>
        <v>1</v>
      </c>
      <c r="D5974" s="8"/>
    </row>
    <row r="5975">
      <c r="A5975" s="9" t="str">
        <f>IFERROR(__xludf.DUMMYFUNCTION("""COMPUTED_VALUE"""),"Batch 298")</f>
        <v>Batch 298</v>
      </c>
      <c r="B5975" s="9" t="str">
        <f>IFERROR(__xludf.DUMMYFUNCTION("""COMPUTED_VALUE"""),"SagarC98")</f>
        <v>SagarC98</v>
      </c>
      <c r="C5975" s="8">
        <f>IFERROR(__xludf.DUMMYFUNCTION("""COMPUTED_VALUE"""),0.0)</f>
        <v>0</v>
      </c>
      <c r="D5975" s="8"/>
    </row>
    <row r="5976">
      <c r="A5976" s="9" t="str">
        <f>IFERROR(__xludf.DUMMYFUNCTION("""COMPUTED_VALUE"""),"Batch 298")</f>
        <v>Batch 298</v>
      </c>
      <c r="B5976" s="9" t="str">
        <f>IFERROR(__xludf.DUMMYFUNCTION("""COMPUTED_VALUE"""),"UdishaC98")</f>
        <v>UdishaC98</v>
      </c>
      <c r="C5976" s="8">
        <f>IFERROR(__xludf.DUMMYFUNCTION("""COMPUTED_VALUE"""),0.0)</f>
        <v>0</v>
      </c>
      <c r="D5976" s="8"/>
    </row>
    <row r="5977">
      <c r="A5977" s="9" t="str">
        <f>IFERROR(__xludf.DUMMYFUNCTION("""COMPUTED_VALUE"""),"Batch 298")</f>
        <v>Batch 298</v>
      </c>
      <c r="B5977" s="9" t="str">
        <f>IFERROR(__xludf.DUMMYFUNCTION("""COMPUTED_VALUE"""),"LakshC98")</f>
        <v>LakshC98</v>
      </c>
      <c r="C5977" s="8">
        <f>IFERROR(__xludf.DUMMYFUNCTION("""COMPUTED_VALUE"""),0.0)</f>
        <v>0</v>
      </c>
      <c r="D5977" s="8"/>
    </row>
    <row r="5978">
      <c r="A5978" s="9" t="str">
        <f>IFERROR(__xludf.DUMMYFUNCTION("""COMPUTED_VALUE"""),"Batch 298")</f>
        <v>Batch 298</v>
      </c>
      <c r="B5978" s="9" t="str">
        <f>IFERROR(__xludf.DUMMYFUNCTION("""COMPUTED_VALUE"""),"mehakC98")</f>
        <v>mehakC98</v>
      </c>
      <c r="C5978" s="8">
        <f>IFERROR(__xludf.DUMMYFUNCTION("""COMPUTED_VALUE"""),0.0)</f>
        <v>0</v>
      </c>
      <c r="D5978" s="8"/>
    </row>
    <row r="5979">
      <c r="A5979" s="9" t="str">
        <f>IFERROR(__xludf.DUMMYFUNCTION("""COMPUTED_VALUE"""),"Batch 298")</f>
        <v>Batch 298</v>
      </c>
      <c r="B5979" s="9" t="str">
        <f>IFERROR(__xludf.DUMMYFUNCTION("""COMPUTED_VALUE"""),"AdityaC98")</f>
        <v>AdityaC98</v>
      </c>
      <c r="C5979" s="8">
        <f>IFERROR(__xludf.DUMMYFUNCTION("""COMPUTED_VALUE"""),0.0)</f>
        <v>0</v>
      </c>
      <c r="D5979" s="8"/>
    </row>
    <row r="5980">
      <c r="A5980" s="9" t="str">
        <f>IFERROR(__xludf.DUMMYFUNCTION("""COMPUTED_VALUE"""),"Batch 298")</f>
        <v>Batch 298</v>
      </c>
      <c r="B5980" s="9" t="str">
        <f>IFERROR(__xludf.DUMMYFUNCTION("""COMPUTED_VALUE"""),"KushC98")</f>
        <v>KushC98</v>
      </c>
      <c r="C5980" s="8">
        <f>IFERROR(__xludf.DUMMYFUNCTION("""COMPUTED_VALUE"""),0.0)</f>
        <v>0</v>
      </c>
      <c r="D5980" s="8"/>
    </row>
    <row r="5981">
      <c r="A5981" s="9" t="str">
        <f>IFERROR(__xludf.DUMMYFUNCTION("""COMPUTED_VALUE"""),"Batch 298")</f>
        <v>Batch 298</v>
      </c>
      <c r="B5981" s="9" t="str">
        <f>IFERROR(__xludf.DUMMYFUNCTION("""COMPUTED_VALUE"""),"RiyaC98")</f>
        <v>RiyaC98</v>
      </c>
      <c r="C5981" s="8">
        <f>IFERROR(__xludf.DUMMYFUNCTION("""COMPUTED_VALUE"""),0.0)</f>
        <v>0</v>
      </c>
      <c r="D5981" s="8"/>
    </row>
    <row r="5982">
      <c r="A5982" s="9" t="str">
        <f>IFERROR(__xludf.DUMMYFUNCTION("""COMPUTED_VALUE"""),"Batch 298")</f>
        <v>Batch 298</v>
      </c>
      <c r="B5982" s="9" t="str">
        <f>IFERROR(__xludf.DUMMYFUNCTION("""COMPUTED_VALUE"""),"IshaC98")</f>
        <v>IshaC98</v>
      </c>
      <c r="C5982" s="8">
        <f>IFERROR(__xludf.DUMMYFUNCTION("""COMPUTED_VALUE"""),0.0)</f>
        <v>0</v>
      </c>
      <c r="D5982" s="8"/>
    </row>
    <row r="5983">
      <c r="A5983" s="9" t="str">
        <f>IFERROR(__xludf.DUMMYFUNCTION("""COMPUTED_VALUE"""),"Batch 298")</f>
        <v>Batch 298</v>
      </c>
      <c r="B5983" s="9" t="str">
        <f>IFERROR(__xludf.DUMMYFUNCTION("""COMPUTED_VALUE"""),"MaanyaC98")</f>
        <v>MaanyaC98</v>
      </c>
      <c r="C5983" s="8">
        <f>IFERROR(__xludf.DUMMYFUNCTION("""COMPUTED_VALUE"""),0.0)</f>
        <v>0</v>
      </c>
      <c r="D5983" s="8"/>
    </row>
    <row r="5984">
      <c r="A5984" s="9" t="str">
        <f>IFERROR(__xludf.DUMMYFUNCTION("""COMPUTED_VALUE"""),"Batch 298")</f>
        <v>Batch 298</v>
      </c>
      <c r="B5984" s="9" t="str">
        <f>IFERROR(__xludf.DUMMYFUNCTION("""COMPUTED_VALUE"""),"NavyanshC98")</f>
        <v>NavyanshC98</v>
      </c>
      <c r="C5984" s="8">
        <f>IFERROR(__xludf.DUMMYFUNCTION("""COMPUTED_VALUE"""),1.0)</f>
        <v>1</v>
      </c>
      <c r="D5984" s="8">
        <f>IFERROR(__xludf.DUMMYFUNCTION("""COMPUTED_VALUE"""),1.0)</f>
        <v>1</v>
      </c>
    </row>
    <row r="5985">
      <c r="A5985" s="9" t="str">
        <f>IFERROR(__xludf.DUMMYFUNCTION("""COMPUTED_VALUE"""),"Batch 298")</f>
        <v>Batch 298</v>
      </c>
      <c r="B5985" s="9" t="str">
        <f>IFERROR(__xludf.DUMMYFUNCTION("""COMPUTED_VALUE"""),"ChethanC98")</f>
        <v>ChethanC98</v>
      </c>
      <c r="C5985" s="8">
        <f>IFERROR(__xludf.DUMMYFUNCTION("""COMPUTED_VALUE"""),0.0)</f>
        <v>0</v>
      </c>
      <c r="D5985" s="8"/>
    </row>
    <row r="5986">
      <c r="A5986" s="9" t="str">
        <f>IFERROR(__xludf.DUMMYFUNCTION("""COMPUTED_VALUE"""),"Batch 298")</f>
        <v>Batch 298</v>
      </c>
      <c r="B5986" s="9" t="str">
        <f>IFERROR(__xludf.DUMMYFUNCTION("""COMPUTED_VALUE"""),"DishaC98")</f>
        <v>DishaC98</v>
      </c>
      <c r="C5986" s="8">
        <f>IFERROR(__xludf.DUMMYFUNCTION("""COMPUTED_VALUE"""),0.0)</f>
        <v>0</v>
      </c>
      <c r="D5986" s="8"/>
    </row>
    <row r="5987">
      <c r="A5987" s="9" t="str">
        <f>IFERROR(__xludf.DUMMYFUNCTION("""COMPUTED_VALUE"""),"Batch 298")</f>
        <v>Batch 298</v>
      </c>
      <c r="B5987" s="9" t="str">
        <f>IFERROR(__xludf.DUMMYFUNCTION("""COMPUTED_VALUE"""),"JyotiC98")</f>
        <v>JyotiC98</v>
      </c>
      <c r="C5987" s="8">
        <f>IFERROR(__xludf.DUMMYFUNCTION("""COMPUTED_VALUE"""),0.0)</f>
        <v>0</v>
      </c>
      <c r="D5987" s="8"/>
    </row>
    <row r="5988">
      <c r="A5988" s="9" t="str">
        <f>IFERROR(__xludf.DUMMYFUNCTION("""COMPUTED_VALUE"""),"Batch 298")</f>
        <v>Batch 298</v>
      </c>
      <c r="B5988" s="9" t="str">
        <f>IFERROR(__xludf.DUMMYFUNCTION("""COMPUTED_VALUE"""),"MehakC98")</f>
        <v>MehakC98</v>
      </c>
      <c r="C5988" s="8">
        <f>IFERROR(__xludf.DUMMYFUNCTION("""COMPUTED_VALUE"""),0.0)</f>
        <v>0</v>
      </c>
      <c r="D5988" s="8"/>
    </row>
    <row r="5989">
      <c r="A5989" s="9"/>
      <c r="B5989" s="9"/>
      <c r="C5989" s="8">
        <f>IFERROR(__xludf.DUMMYFUNCTION("""COMPUTED_VALUE"""),0.0)</f>
        <v>0</v>
      </c>
      <c r="D5989" s="8"/>
    </row>
    <row r="5990">
      <c r="A5990" s="9" t="str">
        <f>IFERROR(__xludf.DUMMYFUNCTION("""COMPUTED_VALUE"""),"Batch 299")</f>
        <v>Batch 299</v>
      </c>
      <c r="B5990" s="9" t="str">
        <f>IFERROR(__xludf.DUMMYFUNCTION("""COMPUTED_VALUE"""),"ShwetC99")</f>
        <v>ShwetC99</v>
      </c>
      <c r="C5990" s="8">
        <f>IFERROR(__xludf.DUMMYFUNCTION("""COMPUTED_VALUE"""),5.0)</f>
        <v>5</v>
      </c>
      <c r="D5990" s="8">
        <f>IFERROR(__xludf.DUMMYFUNCTION("""COMPUTED_VALUE"""),3.0)</f>
        <v>3</v>
      </c>
    </row>
    <row r="5991">
      <c r="A5991" s="9" t="str">
        <f>IFERROR(__xludf.DUMMYFUNCTION("""COMPUTED_VALUE"""),"Batch 299")</f>
        <v>Batch 299</v>
      </c>
      <c r="B5991" s="9" t="str">
        <f>IFERROR(__xludf.DUMMYFUNCTION("""COMPUTED_VALUE"""),"DebrupaC99")</f>
        <v>DebrupaC99</v>
      </c>
      <c r="C5991" s="8">
        <f>IFERROR(__xludf.DUMMYFUNCTION("""COMPUTED_VALUE"""),0.0)</f>
        <v>0</v>
      </c>
      <c r="D5991" s="8"/>
    </row>
    <row r="5992">
      <c r="A5992" s="9" t="str">
        <f>IFERROR(__xludf.DUMMYFUNCTION("""COMPUTED_VALUE"""),"Batch 299")</f>
        <v>Batch 299</v>
      </c>
      <c r="B5992" s="9" t="str">
        <f>IFERROR(__xludf.DUMMYFUNCTION("""COMPUTED_VALUE"""),"VishalC99")</f>
        <v>VishalC99</v>
      </c>
      <c r="C5992" s="8">
        <f>IFERROR(__xludf.DUMMYFUNCTION("""COMPUTED_VALUE"""),0.0)</f>
        <v>0</v>
      </c>
      <c r="D5992" s="8"/>
    </row>
    <row r="5993">
      <c r="A5993" s="9" t="str">
        <f>IFERROR(__xludf.DUMMYFUNCTION("""COMPUTED_VALUE"""),"Batch 299")</f>
        <v>Batch 299</v>
      </c>
      <c r="B5993" s="9" t="str">
        <f>IFERROR(__xludf.DUMMYFUNCTION("""COMPUTED_VALUE"""),"PranavC99")</f>
        <v>PranavC99</v>
      </c>
      <c r="C5993" s="8">
        <f>IFERROR(__xludf.DUMMYFUNCTION("""COMPUTED_VALUE"""),45.0)</f>
        <v>45</v>
      </c>
      <c r="D5993" s="8">
        <f>IFERROR(__xludf.DUMMYFUNCTION("""COMPUTED_VALUE"""),5.0)</f>
        <v>5</v>
      </c>
    </row>
    <row r="5994">
      <c r="A5994" s="9" t="str">
        <f>IFERROR(__xludf.DUMMYFUNCTION("""COMPUTED_VALUE"""),"Batch 299")</f>
        <v>Batch 299</v>
      </c>
      <c r="B5994" s="9" t="str">
        <f>IFERROR(__xludf.DUMMYFUNCTION("""COMPUTED_VALUE"""),"MuskanC99")</f>
        <v>MuskanC99</v>
      </c>
      <c r="C5994" s="8">
        <f>IFERROR(__xludf.DUMMYFUNCTION("""COMPUTED_VALUE"""),0.0)</f>
        <v>0</v>
      </c>
      <c r="D5994" s="8"/>
    </row>
    <row r="5995">
      <c r="A5995" s="9" t="str">
        <f>IFERROR(__xludf.DUMMYFUNCTION("""COMPUTED_VALUE"""),"Batch 299")</f>
        <v>Batch 299</v>
      </c>
      <c r="B5995" s="9" t="str">
        <f>IFERROR(__xludf.DUMMYFUNCTION("""COMPUTED_VALUE"""),"PremC99")</f>
        <v>PremC99</v>
      </c>
      <c r="C5995" s="8">
        <f>IFERROR(__xludf.DUMMYFUNCTION("""COMPUTED_VALUE"""),1.0)</f>
        <v>1</v>
      </c>
      <c r="D5995" s="8"/>
    </row>
    <row r="5996">
      <c r="A5996" s="9" t="str">
        <f>IFERROR(__xludf.DUMMYFUNCTION("""COMPUTED_VALUE"""),"Batch 299")</f>
        <v>Batch 299</v>
      </c>
      <c r="B5996" s="9" t="str">
        <f>IFERROR(__xludf.DUMMYFUNCTION("""COMPUTED_VALUE"""),"AmaniC99")</f>
        <v>AmaniC99</v>
      </c>
      <c r="C5996" s="8">
        <f>IFERROR(__xludf.DUMMYFUNCTION("""COMPUTED_VALUE"""),3.0)</f>
        <v>3</v>
      </c>
      <c r="D5996" s="8">
        <f>IFERROR(__xludf.DUMMYFUNCTION("""COMPUTED_VALUE"""),1.0)</f>
        <v>1</v>
      </c>
    </row>
    <row r="5997">
      <c r="A5997" s="9" t="str">
        <f>IFERROR(__xludf.DUMMYFUNCTION("""COMPUTED_VALUE"""),"Batch 299")</f>
        <v>Batch 299</v>
      </c>
      <c r="B5997" s="9" t="str">
        <f>IFERROR(__xludf.DUMMYFUNCTION("""COMPUTED_VALUE"""),"ArushC99")</f>
        <v>ArushC99</v>
      </c>
      <c r="C5997" s="8">
        <f>IFERROR(__xludf.DUMMYFUNCTION("""COMPUTED_VALUE"""),0.0)</f>
        <v>0</v>
      </c>
      <c r="D5997" s="8"/>
    </row>
    <row r="5998">
      <c r="A5998" s="9" t="str">
        <f>IFERROR(__xludf.DUMMYFUNCTION("""COMPUTED_VALUE"""),"Batch 299")</f>
        <v>Batch 299</v>
      </c>
      <c r="B5998" s="9" t="str">
        <f>IFERROR(__xludf.DUMMYFUNCTION("""COMPUTED_VALUE"""),"AnjaliC99")</f>
        <v>AnjaliC99</v>
      </c>
      <c r="C5998" s="8">
        <f>IFERROR(__xludf.DUMMYFUNCTION("""COMPUTED_VALUE"""),7.0)</f>
        <v>7</v>
      </c>
      <c r="D5998" s="8">
        <f>IFERROR(__xludf.DUMMYFUNCTION("""COMPUTED_VALUE"""),1.0)</f>
        <v>1</v>
      </c>
    </row>
    <row r="5999">
      <c r="A5999" s="9" t="str">
        <f>IFERROR(__xludf.DUMMYFUNCTION("""COMPUTED_VALUE"""),"Batch 299")</f>
        <v>Batch 299</v>
      </c>
      <c r="B5999" s="9" t="str">
        <f>IFERROR(__xludf.DUMMYFUNCTION("""COMPUTED_VALUE"""),"AditiC99")</f>
        <v>AditiC99</v>
      </c>
      <c r="C5999" s="8">
        <f>IFERROR(__xludf.DUMMYFUNCTION("""COMPUTED_VALUE"""),0.0)</f>
        <v>0</v>
      </c>
      <c r="D5999" s="8"/>
    </row>
    <row r="6000">
      <c r="A6000" s="9" t="str">
        <f>IFERROR(__xludf.DUMMYFUNCTION("""COMPUTED_VALUE"""),"Batch 299")</f>
        <v>Batch 299</v>
      </c>
      <c r="B6000" s="9" t="str">
        <f>IFERROR(__xludf.DUMMYFUNCTION("""COMPUTED_VALUE"""),"ZamanC99")</f>
        <v>ZamanC99</v>
      </c>
      <c r="C6000" s="8">
        <f>IFERROR(__xludf.DUMMYFUNCTION("""COMPUTED_VALUE"""),0.0)</f>
        <v>0</v>
      </c>
      <c r="D6000" s="8"/>
    </row>
    <row r="6001">
      <c r="A6001" s="9" t="str">
        <f>IFERROR(__xludf.DUMMYFUNCTION("""COMPUTED_VALUE"""),"Batch 299")</f>
        <v>Batch 299</v>
      </c>
      <c r="B6001" s="9" t="str">
        <f>IFERROR(__xludf.DUMMYFUNCTION("""COMPUTED_VALUE"""),"VishnuC99")</f>
        <v>VishnuC99</v>
      </c>
      <c r="C6001" s="8">
        <f>IFERROR(__xludf.DUMMYFUNCTION("""COMPUTED_VALUE"""),1.0)</f>
        <v>1</v>
      </c>
      <c r="D6001" s="8">
        <f>IFERROR(__xludf.DUMMYFUNCTION("""COMPUTED_VALUE"""),3.0)</f>
        <v>3</v>
      </c>
    </row>
    <row r="6002">
      <c r="A6002" s="9" t="str">
        <f>IFERROR(__xludf.DUMMYFUNCTION("""COMPUTED_VALUE"""),"Batch 299")</f>
        <v>Batch 299</v>
      </c>
      <c r="B6002" s="9" t="str">
        <f>IFERROR(__xludf.DUMMYFUNCTION("""COMPUTED_VALUE"""),"JayC99")</f>
        <v>JayC99</v>
      </c>
      <c r="C6002" s="8">
        <f>IFERROR(__xludf.DUMMYFUNCTION("""COMPUTED_VALUE"""),6.0)</f>
        <v>6</v>
      </c>
      <c r="D6002" s="8"/>
    </row>
    <row r="6003">
      <c r="A6003" s="9" t="str">
        <f>IFERROR(__xludf.DUMMYFUNCTION("""COMPUTED_VALUE"""),"Batch 299")</f>
        <v>Batch 299</v>
      </c>
      <c r="B6003" s="9" t="str">
        <f>IFERROR(__xludf.DUMMYFUNCTION("""COMPUTED_VALUE"""),"ArunimaC99")</f>
        <v>ArunimaC99</v>
      </c>
      <c r="C6003" s="8">
        <f>IFERROR(__xludf.DUMMYFUNCTION("""COMPUTED_VALUE"""),0.0)</f>
        <v>0</v>
      </c>
      <c r="D6003" s="8"/>
    </row>
    <row r="6004">
      <c r="A6004" s="9" t="str">
        <f>IFERROR(__xludf.DUMMYFUNCTION("""COMPUTED_VALUE"""),"Batch 299")</f>
        <v>Batch 299</v>
      </c>
      <c r="B6004" s="9" t="str">
        <f>IFERROR(__xludf.DUMMYFUNCTION("""COMPUTED_VALUE"""),"SudhanshuC99")</f>
        <v>SudhanshuC99</v>
      </c>
      <c r="C6004" s="8">
        <f>IFERROR(__xludf.DUMMYFUNCTION("""COMPUTED_VALUE"""),0.0)</f>
        <v>0</v>
      </c>
      <c r="D6004" s="8"/>
    </row>
    <row r="6005">
      <c r="A6005" s="9" t="str">
        <f>IFERROR(__xludf.DUMMYFUNCTION("""COMPUTED_VALUE"""),"Batch 299")</f>
        <v>Batch 299</v>
      </c>
      <c r="B6005" s="9" t="str">
        <f>IFERROR(__xludf.DUMMYFUNCTION("""COMPUTED_VALUE"""),"UmaC99")</f>
        <v>UmaC99</v>
      </c>
      <c r="C6005" s="8">
        <f>IFERROR(__xludf.DUMMYFUNCTION("""COMPUTED_VALUE"""),0.0)</f>
        <v>0</v>
      </c>
      <c r="D6005" s="8"/>
    </row>
    <row r="6006">
      <c r="A6006" s="9" t="str">
        <f>IFERROR(__xludf.DUMMYFUNCTION("""COMPUTED_VALUE"""),"Batch 299")</f>
        <v>Batch 299</v>
      </c>
      <c r="B6006" s="9" t="str">
        <f>IFERROR(__xludf.DUMMYFUNCTION("""COMPUTED_VALUE"""),"ShubhranshuC99")</f>
        <v>ShubhranshuC99</v>
      </c>
      <c r="C6006" s="8">
        <f>IFERROR(__xludf.DUMMYFUNCTION("""COMPUTED_VALUE"""),0.0)</f>
        <v>0</v>
      </c>
      <c r="D6006" s="8"/>
    </row>
    <row r="6007">
      <c r="A6007" s="9" t="str">
        <f>IFERROR(__xludf.DUMMYFUNCTION("""COMPUTED_VALUE"""),"Batch 299")</f>
        <v>Batch 299</v>
      </c>
      <c r="B6007" s="9" t="str">
        <f>IFERROR(__xludf.DUMMYFUNCTION("""COMPUTED_VALUE"""),"SavithaC99")</f>
        <v>SavithaC99</v>
      </c>
      <c r="C6007" s="8">
        <f>IFERROR(__xludf.DUMMYFUNCTION("""COMPUTED_VALUE"""),0.0)</f>
        <v>0</v>
      </c>
      <c r="D6007" s="8"/>
    </row>
    <row r="6008">
      <c r="A6008" s="9" t="str">
        <f>IFERROR(__xludf.DUMMYFUNCTION("""COMPUTED_VALUE"""),"Batch 299")</f>
        <v>Batch 299</v>
      </c>
      <c r="B6008" s="9" t="str">
        <f>IFERROR(__xludf.DUMMYFUNCTION("""COMPUTED_VALUE"""),"NikhilC99")</f>
        <v>NikhilC99</v>
      </c>
      <c r="C6008" s="8">
        <f>IFERROR(__xludf.DUMMYFUNCTION("""COMPUTED_VALUE"""),0.0)</f>
        <v>0</v>
      </c>
      <c r="D6008" s="8"/>
    </row>
    <row r="6009">
      <c r="A6009" s="9" t="str">
        <f>IFERROR(__xludf.DUMMYFUNCTION("""COMPUTED_VALUE"""),"Batch 299")</f>
        <v>Batch 299</v>
      </c>
      <c r="B6009" s="9" t="str">
        <f>IFERROR(__xludf.DUMMYFUNCTION("""COMPUTED_VALUE"""),"AdityaC99")</f>
        <v>AdityaC99</v>
      </c>
      <c r="C6009" s="8">
        <f>IFERROR(__xludf.DUMMYFUNCTION("""COMPUTED_VALUE"""),0.0)</f>
        <v>0</v>
      </c>
      <c r="D6009" s="8"/>
    </row>
    <row r="6010">
      <c r="A6010" s="9" t="str">
        <f>IFERROR(__xludf.DUMMYFUNCTION("""COMPUTED_VALUE"""),"Batch 299")</f>
        <v>Batch 299</v>
      </c>
      <c r="B6010" s="9" t="str">
        <f>IFERROR(__xludf.DUMMYFUNCTION("""COMPUTED_VALUE"""),"AasthaC99")</f>
        <v>AasthaC99</v>
      </c>
      <c r="C6010" s="8">
        <f>IFERROR(__xludf.DUMMYFUNCTION("""COMPUTED_VALUE"""),0.0)</f>
        <v>0</v>
      </c>
      <c r="D6010" s="8"/>
    </row>
    <row r="6011">
      <c r="A6011" s="9" t="str">
        <f>IFERROR(__xludf.DUMMYFUNCTION("""COMPUTED_VALUE"""),"Batch 299")</f>
        <v>Batch 299</v>
      </c>
      <c r="B6011" s="9" t="str">
        <f>IFERROR(__xludf.DUMMYFUNCTION("""COMPUTED_VALUE"""),"ShagunC99")</f>
        <v>ShagunC99</v>
      </c>
      <c r="C6011" s="8">
        <f>IFERROR(__xludf.DUMMYFUNCTION("""COMPUTED_VALUE"""),0.0)</f>
        <v>0</v>
      </c>
      <c r="D6011" s="8"/>
    </row>
    <row r="6012">
      <c r="A6012" s="9" t="str">
        <f>IFERROR(__xludf.DUMMYFUNCTION("""COMPUTED_VALUE"""),"Batch 299")</f>
        <v>Batch 299</v>
      </c>
      <c r="B6012" s="9" t="str">
        <f>IFERROR(__xludf.DUMMYFUNCTION("""COMPUTED_VALUE"""),"ShushantC99")</f>
        <v>ShushantC99</v>
      </c>
      <c r="C6012" s="8">
        <f>IFERROR(__xludf.DUMMYFUNCTION("""COMPUTED_VALUE"""),5.0)</f>
        <v>5</v>
      </c>
      <c r="D6012" s="8">
        <f>IFERROR(__xludf.DUMMYFUNCTION("""COMPUTED_VALUE"""),1.0)</f>
        <v>1</v>
      </c>
    </row>
    <row r="6013">
      <c r="A6013" s="9" t="str">
        <f>IFERROR(__xludf.DUMMYFUNCTION("""COMPUTED_VALUE"""),"Batch 299")</f>
        <v>Batch 299</v>
      </c>
      <c r="B6013" s="9" t="str">
        <f>IFERROR(__xludf.DUMMYFUNCTION("""COMPUTED_VALUE"""),"AnushreeC99")</f>
        <v>AnushreeC99</v>
      </c>
      <c r="C6013" s="8">
        <f>IFERROR(__xludf.DUMMYFUNCTION("""COMPUTED_VALUE"""),10.0)</f>
        <v>10</v>
      </c>
      <c r="D6013" s="8">
        <f>IFERROR(__xludf.DUMMYFUNCTION("""COMPUTED_VALUE"""),5.0)</f>
        <v>5</v>
      </c>
    </row>
    <row r="6014">
      <c r="A6014" s="9" t="str">
        <f>IFERROR(__xludf.DUMMYFUNCTION("""COMPUTED_VALUE"""),"Batch 299")</f>
        <v>Batch 299</v>
      </c>
      <c r="B6014" s="9" t="str">
        <f>IFERROR(__xludf.DUMMYFUNCTION("""COMPUTED_VALUE"""),"akrutiC99")</f>
        <v>akrutiC99</v>
      </c>
      <c r="C6014" s="8">
        <f>IFERROR(__xludf.DUMMYFUNCTION("""COMPUTED_VALUE"""),0.0)</f>
        <v>0</v>
      </c>
      <c r="D6014" s="8"/>
    </row>
    <row r="6015">
      <c r="A6015" s="9" t="str">
        <f>IFERROR(__xludf.DUMMYFUNCTION("""COMPUTED_VALUE"""),"Batch 299")</f>
        <v>Batch 299</v>
      </c>
      <c r="B6015" s="9" t="str">
        <f>IFERROR(__xludf.DUMMYFUNCTION("""COMPUTED_VALUE"""),"HemanshC99")</f>
        <v>HemanshC99</v>
      </c>
      <c r="C6015" s="8">
        <f>IFERROR(__xludf.DUMMYFUNCTION("""COMPUTED_VALUE"""),0.0)</f>
        <v>0</v>
      </c>
      <c r="D6015" s="8"/>
    </row>
    <row r="6016">
      <c r="A6016" s="9" t="str">
        <f>IFERROR(__xludf.DUMMYFUNCTION("""COMPUTED_VALUE"""),"Batch 299")</f>
        <v>Batch 299</v>
      </c>
      <c r="B6016" s="9" t="str">
        <f>IFERROR(__xludf.DUMMYFUNCTION("""COMPUTED_VALUE"""),"SatyaC99")</f>
        <v>SatyaC99</v>
      </c>
      <c r="C6016" s="8">
        <f>IFERROR(__xludf.DUMMYFUNCTION("""COMPUTED_VALUE"""),0.0)</f>
        <v>0</v>
      </c>
      <c r="D6016" s="8"/>
    </row>
    <row r="6017">
      <c r="A6017" s="9" t="str">
        <f>IFERROR(__xludf.DUMMYFUNCTION("""COMPUTED_VALUE"""),"Batch 299")</f>
        <v>Batch 299</v>
      </c>
      <c r="B6017" s="9" t="str">
        <f>IFERROR(__xludf.DUMMYFUNCTION("""COMPUTED_VALUE"""),"ShriyaC99")</f>
        <v>ShriyaC99</v>
      </c>
      <c r="C6017" s="8">
        <f>IFERROR(__xludf.DUMMYFUNCTION("""COMPUTED_VALUE"""),0.0)</f>
        <v>0</v>
      </c>
      <c r="D6017" s="8"/>
    </row>
    <row r="6018">
      <c r="A6018" s="9" t="str">
        <f>IFERROR(__xludf.DUMMYFUNCTION("""COMPUTED_VALUE"""),"Batch 299")</f>
        <v>Batch 299</v>
      </c>
      <c r="B6018" s="9" t="str">
        <f>IFERROR(__xludf.DUMMYFUNCTION("""COMPUTED_VALUE"""),"BhavnaC99")</f>
        <v>BhavnaC99</v>
      </c>
      <c r="C6018" s="8">
        <f>IFERROR(__xludf.DUMMYFUNCTION("""COMPUTED_VALUE"""),0.0)</f>
        <v>0</v>
      </c>
      <c r="D6018" s="8"/>
    </row>
    <row r="6019">
      <c r="A6019" s="9" t="str">
        <f>IFERROR(__xludf.DUMMYFUNCTION("""COMPUTED_VALUE"""),"Batch 299")</f>
        <v>Batch 299</v>
      </c>
      <c r="B6019" s="9" t="str">
        <f>IFERROR(__xludf.DUMMYFUNCTION("""COMPUTED_VALUE"""),"MehakC99")</f>
        <v>MehakC99</v>
      </c>
      <c r="C6019" s="8">
        <f>IFERROR(__xludf.DUMMYFUNCTION("""COMPUTED_VALUE"""),0.0)</f>
        <v>0</v>
      </c>
      <c r="D6019" s="8"/>
    </row>
    <row r="6020">
      <c r="A6020" s="9" t="str">
        <f>IFERROR(__xludf.DUMMYFUNCTION("""COMPUTED_VALUE"""),"Batch 299")</f>
        <v>Batch 299</v>
      </c>
      <c r="B6020" s="9" t="str">
        <f>IFERROR(__xludf.DUMMYFUNCTION("""COMPUTED_VALUE"""),"KavinrajC99")</f>
        <v>KavinrajC99</v>
      </c>
      <c r="C6020" s="8">
        <f>IFERROR(__xludf.DUMMYFUNCTION("""COMPUTED_VALUE"""),0.0)</f>
        <v>0</v>
      </c>
      <c r="D6020" s="8"/>
    </row>
    <row r="6021">
      <c r="A6021" s="9" t="str">
        <f>IFERROR(__xludf.DUMMYFUNCTION("""COMPUTED_VALUE"""),"Batch 299")</f>
        <v>Batch 299</v>
      </c>
      <c r="B6021" s="9" t="str">
        <f>IFERROR(__xludf.DUMMYFUNCTION("""COMPUTED_VALUE"""),"ReyanshC99")</f>
        <v>ReyanshC99</v>
      </c>
      <c r="C6021" s="8">
        <f>IFERROR(__xludf.DUMMYFUNCTION("""COMPUTED_VALUE"""),0.0)</f>
        <v>0</v>
      </c>
      <c r="D6021" s="8"/>
    </row>
    <row r="6022">
      <c r="A6022" s="9" t="str">
        <f>IFERROR(__xludf.DUMMYFUNCTION("""COMPUTED_VALUE"""),"Batch 299")</f>
        <v>Batch 299</v>
      </c>
      <c r="B6022" s="9" t="str">
        <f>IFERROR(__xludf.DUMMYFUNCTION("""COMPUTED_VALUE"""),"TanishaC99")</f>
        <v>TanishaC99</v>
      </c>
      <c r="C6022" s="8">
        <f>IFERROR(__xludf.DUMMYFUNCTION("""COMPUTED_VALUE"""),7.0)</f>
        <v>7</v>
      </c>
      <c r="D6022" s="8">
        <f>IFERROR(__xludf.DUMMYFUNCTION("""COMPUTED_VALUE"""),4.0)</f>
        <v>4</v>
      </c>
    </row>
    <row r="6023">
      <c r="A6023" s="9" t="str">
        <f>IFERROR(__xludf.DUMMYFUNCTION("""COMPUTED_VALUE"""),"Batch 299")</f>
        <v>Batch 299</v>
      </c>
      <c r="B6023" s="9" t="str">
        <f>IFERROR(__xludf.DUMMYFUNCTION("""COMPUTED_VALUE"""),"AnamayC99")</f>
        <v>AnamayC99</v>
      </c>
      <c r="C6023" s="8">
        <f>IFERROR(__xludf.DUMMYFUNCTION("""COMPUTED_VALUE"""),0.0)</f>
        <v>0</v>
      </c>
      <c r="D6023" s="8"/>
    </row>
    <row r="6024">
      <c r="A6024" s="9" t="str">
        <f>IFERROR(__xludf.DUMMYFUNCTION("""COMPUTED_VALUE"""),"Batch 299")</f>
        <v>Batch 299</v>
      </c>
      <c r="B6024" s="9" t="str">
        <f>IFERROR(__xludf.DUMMYFUNCTION("""COMPUTED_VALUE"""),"PratimC99")</f>
        <v>PratimC99</v>
      </c>
      <c r="C6024" s="8">
        <f>IFERROR(__xludf.DUMMYFUNCTION("""COMPUTED_VALUE"""),5.0)</f>
        <v>5</v>
      </c>
      <c r="D6024" s="8">
        <f>IFERROR(__xludf.DUMMYFUNCTION("""COMPUTED_VALUE"""),1.0)</f>
        <v>1</v>
      </c>
    </row>
    <row r="6025">
      <c r="A6025" s="9" t="str">
        <f>IFERROR(__xludf.DUMMYFUNCTION("""COMPUTED_VALUE"""),"Batch 299")</f>
        <v>Batch 299</v>
      </c>
      <c r="B6025" s="9" t="str">
        <f>IFERROR(__xludf.DUMMYFUNCTION("""COMPUTED_VALUE"""),"S.C99")</f>
        <v>S.C99</v>
      </c>
      <c r="C6025" s="8">
        <f>IFERROR(__xludf.DUMMYFUNCTION("""COMPUTED_VALUE"""),0.0)</f>
        <v>0</v>
      </c>
      <c r="D6025" s="8"/>
    </row>
    <row r="6026">
      <c r="A6026" s="9" t="str">
        <f>IFERROR(__xludf.DUMMYFUNCTION("""COMPUTED_VALUE"""),"Batch 299")</f>
        <v>Batch 299</v>
      </c>
      <c r="B6026" s="9" t="str">
        <f>IFERROR(__xludf.DUMMYFUNCTION("""COMPUTED_VALUE"""),"AlviyaC99")</f>
        <v>AlviyaC99</v>
      </c>
      <c r="C6026" s="8">
        <f>IFERROR(__xludf.DUMMYFUNCTION("""COMPUTED_VALUE"""),0.0)</f>
        <v>0</v>
      </c>
      <c r="D6026" s="8"/>
    </row>
    <row r="6027">
      <c r="A6027" s="9" t="str">
        <f>IFERROR(__xludf.DUMMYFUNCTION("""COMPUTED_VALUE"""),"Batch 299")</f>
        <v>Batch 299</v>
      </c>
      <c r="B6027" s="9" t="str">
        <f>IFERROR(__xludf.DUMMYFUNCTION("""COMPUTED_VALUE"""),"ShaikC99")</f>
        <v>ShaikC99</v>
      </c>
      <c r="C6027" s="8">
        <f>IFERROR(__xludf.DUMMYFUNCTION("""COMPUTED_VALUE"""),0.0)</f>
        <v>0</v>
      </c>
      <c r="D6027" s="8"/>
    </row>
    <row r="6028">
      <c r="A6028" s="9" t="str">
        <f>IFERROR(__xludf.DUMMYFUNCTION("""COMPUTED_VALUE"""),"Batch 299")</f>
        <v>Batch 299</v>
      </c>
      <c r="B6028" s="9" t="str">
        <f>IFERROR(__xludf.DUMMYFUNCTION("""COMPUTED_VALUE"""),"SagarC99")</f>
        <v>SagarC99</v>
      </c>
      <c r="C6028" s="8">
        <f>IFERROR(__xludf.DUMMYFUNCTION("""COMPUTED_VALUE"""),0.0)</f>
        <v>0</v>
      </c>
      <c r="D6028" s="8"/>
    </row>
    <row r="6029">
      <c r="A6029" s="9"/>
      <c r="B6029" s="9"/>
      <c r="C6029" s="8">
        <f>IFERROR(__xludf.DUMMYFUNCTION("""COMPUTED_VALUE"""),0.0)</f>
        <v>0</v>
      </c>
      <c r="D6029" s="8"/>
    </row>
    <row r="6030">
      <c r="A6030" s="9" t="str">
        <f>IFERROR(__xludf.DUMMYFUNCTION("""COMPUTED_VALUE"""),"Batch 300")</f>
        <v>Batch 300</v>
      </c>
      <c r="B6030" s="9" t="str">
        <f>IFERROR(__xludf.DUMMYFUNCTION("""COMPUTED_VALUE"""),"LavkushC300")</f>
        <v>LavkushC300</v>
      </c>
      <c r="C6030" s="8">
        <f>IFERROR(__xludf.DUMMYFUNCTION("""COMPUTED_VALUE"""),1.0)</f>
        <v>1</v>
      </c>
      <c r="D6030" s="8">
        <f>IFERROR(__xludf.DUMMYFUNCTION("""COMPUTED_VALUE"""),3.0)</f>
        <v>3</v>
      </c>
    </row>
    <row r="6031">
      <c r="A6031" s="9" t="str">
        <f>IFERROR(__xludf.DUMMYFUNCTION("""COMPUTED_VALUE"""),"Batch 300")</f>
        <v>Batch 300</v>
      </c>
      <c r="B6031" s="9" t="str">
        <f>IFERROR(__xludf.DUMMYFUNCTION("""COMPUTED_VALUE"""),"MehakC300")</f>
        <v>MehakC300</v>
      </c>
      <c r="C6031" s="8">
        <f>IFERROR(__xludf.DUMMYFUNCTION("""COMPUTED_VALUE"""),0.0)</f>
        <v>0</v>
      </c>
      <c r="D6031" s="8"/>
    </row>
    <row r="6032">
      <c r="A6032" s="9" t="str">
        <f>IFERROR(__xludf.DUMMYFUNCTION("""COMPUTED_VALUE"""),"Batch 300")</f>
        <v>Batch 300</v>
      </c>
      <c r="B6032" s="9" t="str">
        <f>IFERROR(__xludf.DUMMYFUNCTION("""COMPUTED_VALUE"""),"AkshatC300")</f>
        <v>AkshatC300</v>
      </c>
      <c r="C6032" s="8">
        <f>IFERROR(__xludf.DUMMYFUNCTION("""COMPUTED_VALUE"""),1.0)</f>
        <v>1</v>
      </c>
      <c r="D6032" s="8"/>
    </row>
    <row r="6033">
      <c r="A6033" s="9" t="str">
        <f>IFERROR(__xludf.DUMMYFUNCTION("""COMPUTED_VALUE"""),"Batch 300")</f>
        <v>Batch 300</v>
      </c>
      <c r="B6033" s="9" t="str">
        <f>IFERROR(__xludf.DUMMYFUNCTION("""COMPUTED_VALUE"""),"AnushkaC300")</f>
        <v>AnushkaC300</v>
      </c>
      <c r="C6033" s="8">
        <f>IFERROR(__xludf.DUMMYFUNCTION("""COMPUTED_VALUE"""),0.0)</f>
        <v>0</v>
      </c>
      <c r="D6033" s="8"/>
    </row>
    <row r="6034">
      <c r="A6034" s="9" t="str">
        <f>IFERROR(__xludf.DUMMYFUNCTION("""COMPUTED_VALUE"""),"Batch 300")</f>
        <v>Batch 300</v>
      </c>
      <c r="B6034" s="9" t="str">
        <f>IFERROR(__xludf.DUMMYFUNCTION("""COMPUTED_VALUE"""),"TanishaC300")</f>
        <v>TanishaC300</v>
      </c>
      <c r="C6034" s="8">
        <f>IFERROR(__xludf.DUMMYFUNCTION("""COMPUTED_VALUE"""),0.0)</f>
        <v>0</v>
      </c>
      <c r="D6034" s="8"/>
    </row>
    <row r="6035">
      <c r="A6035" s="9" t="str">
        <f>IFERROR(__xludf.DUMMYFUNCTION("""COMPUTED_VALUE"""),"Batch 300")</f>
        <v>Batch 300</v>
      </c>
      <c r="B6035" s="9" t="str">
        <f>IFERROR(__xludf.DUMMYFUNCTION("""COMPUTED_VALUE"""),"VC300")</f>
        <v>VC300</v>
      </c>
      <c r="C6035" s="8">
        <f>IFERROR(__xludf.DUMMYFUNCTION("""COMPUTED_VALUE"""),3.0)</f>
        <v>3</v>
      </c>
      <c r="D6035" s="8">
        <f>IFERROR(__xludf.DUMMYFUNCTION("""COMPUTED_VALUE"""),2.0)</f>
        <v>2</v>
      </c>
    </row>
    <row r="6036">
      <c r="A6036" s="9" t="str">
        <f>IFERROR(__xludf.DUMMYFUNCTION("""COMPUTED_VALUE"""),"Batch 300")</f>
        <v>Batch 300</v>
      </c>
      <c r="B6036" s="9" t="str">
        <f>IFERROR(__xludf.DUMMYFUNCTION("""COMPUTED_VALUE"""),"KanakC300")</f>
        <v>KanakC300</v>
      </c>
      <c r="C6036" s="8">
        <f>IFERROR(__xludf.DUMMYFUNCTION("""COMPUTED_VALUE"""),1.0)</f>
        <v>1</v>
      </c>
      <c r="D6036" s="8"/>
    </row>
    <row r="6037">
      <c r="A6037" s="9" t="str">
        <f>IFERROR(__xludf.DUMMYFUNCTION("""COMPUTED_VALUE"""),"Batch 300")</f>
        <v>Batch 300</v>
      </c>
      <c r="B6037" s="9" t="str">
        <f>IFERROR(__xludf.DUMMYFUNCTION("""COMPUTED_VALUE"""),"GauravC300")</f>
        <v>GauravC300</v>
      </c>
      <c r="C6037" s="8">
        <f>IFERROR(__xludf.DUMMYFUNCTION("""COMPUTED_VALUE"""),0.0)</f>
        <v>0</v>
      </c>
      <c r="D6037" s="8"/>
    </row>
    <row r="6038">
      <c r="A6038" s="9" t="str">
        <f>IFERROR(__xludf.DUMMYFUNCTION("""COMPUTED_VALUE"""),"Batch 300")</f>
        <v>Batch 300</v>
      </c>
      <c r="B6038" s="9" t="str">
        <f>IFERROR(__xludf.DUMMYFUNCTION("""COMPUTED_VALUE"""),"SwayangC300")</f>
        <v>SwayangC300</v>
      </c>
      <c r="C6038" s="8">
        <f>IFERROR(__xludf.DUMMYFUNCTION("""COMPUTED_VALUE"""),0.0)</f>
        <v>0</v>
      </c>
      <c r="D6038" s="8"/>
    </row>
    <row r="6039">
      <c r="A6039" s="9" t="str">
        <f>IFERROR(__xludf.DUMMYFUNCTION("""COMPUTED_VALUE"""),"Batch 300")</f>
        <v>Batch 300</v>
      </c>
      <c r="B6039" s="9" t="str">
        <f>IFERROR(__xludf.DUMMYFUNCTION("""COMPUTED_VALUE"""),"AyushC300")</f>
        <v>AyushC300</v>
      </c>
      <c r="C6039" s="8">
        <f>IFERROR(__xludf.DUMMYFUNCTION("""COMPUTED_VALUE"""),2.0)</f>
        <v>2</v>
      </c>
      <c r="D6039" s="8"/>
    </row>
    <row r="6040">
      <c r="A6040" s="9" t="str">
        <f>IFERROR(__xludf.DUMMYFUNCTION("""COMPUTED_VALUE"""),"Batch 300")</f>
        <v>Batch 300</v>
      </c>
      <c r="B6040" s="9" t="str">
        <f>IFERROR(__xludf.DUMMYFUNCTION("""COMPUTED_VALUE"""),"AmeyC300")</f>
        <v>AmeyC300</v>
      </c>
      <c r="C6040" s="8">
        <f>IFERROR(__xludf.DUMMYFUNCTION("""COMPUTED_VALUE"""),0.0)</f>
        <v>0</v>
      </c>
      <c r="D6040" s="8"/>
    </row>
    <row r="6041">
      <c r="A6041" s="9" t="str">
        <f>IFERROR(__xludf.DUMMYFUNCTION("""COMPUTED_VALUE"""),"Batch 300")</f>
        <v>Batch 300</v>
      </c>
      <c r="B6041" s="9" t="str">
        <f>IFERROR(__xludf.DUMMYFUNCTION("""COMPUTED_VALUE"""),"DeepikaC300")</f>
        <v>DeepikaC300</v>
      </c>
      <c r="C6041" s="8">
        <f>IFERROR(__xludf.DUMMYFUNCTION("""COMPUTED_VALUE"""),60.0)</f>
        <v>60</v>
      </c>
      <c r="D6041" s="8">
        <f>IFERROR(__xludf.DUMMYFUNCTION("""COMPUTED_VALUE"""),15.0)</f>
        <v>15</v>
      </c>
    </row>
    <row r="6042">
      <c r="A6042" s="9" t="str">
        <f>IFERROR(__xludf.DUMMYFUNCTION("""COMPUTED_VALUE"""),"Batch 300")</f>
        <v>Batch 300</v>
      </c>
      <c r="B6042" s="9" t="str">
        <f>IFERROR(__xludf.DUMMYFUNCTION("""COMPUTED_VALUE"""),"dhairyaC300")</f>
        <v>dhairyaC300</v>
      </c>
      <c r="C6042" s="8">
        <f>IFERROR(__xludf.DUMMYFUNCTION("""COMPUTED_VALUE"""),2.0)</f>
        <v>2</v>
      </c>
      <c r="D6042" s="8"/>
    </row>
    <row r="6043">
      <c r="A6043" s="9" t="str">
        <f>IFERROR(__xludf.DUMMYFUNCTION("""COMPUTED_VALUE"""),"Batch 300")</f>
        <v>Batch 300</v>
      </c>
      <c r="B6043" s="9" t="str">
        <f>IFERROR(__xludf.DUMMYFUNCTION("""COMPUTED_VALUE"""),"SulekhC300")</f>
        <v>SulekhC300</v>
      </c>
      <c r="C6043" s="8">
        <f>IFERROR(__xludf.DUMMYFUNCTION("""COMPUTED_VALUE"""),8.0)</f>
        <v>8</v>
      </c>
      <c r="D6043" s="8">
        <f>IFERROR(__xludf.DUMMYFUNCTION("""COMPUTED_VALUE"""),1.0)</f>
        <v>1</v>
      </c>
    </row>
    <row r="6044">
      <c r="A6044" s="9" t="str">
        <f>IFERROR(__xludf.DUMMYFUNCTION("""COMPUTED_VALUE"""),"Batch 300")</f>
        <v>Batch 300</v>
      </c>
      <c r="B6044" s="9" t="str">
        <f>IFERROR(__xludf.DUMMYFUNCTION("""COMPUTED_VALUE"""),"ShauryaC300")</f>
        <v>ShauryaC300</v>
      </c>
      <c r="C6044" s="8">
        <f>IFERROR(__xludf.DUMMYFUNCTION("""COMPUTED_VALUE"""),0.0)</f>
        <v>0</v>
      </c>
      <c r="D6044" s="8"/>
    </row>
    <row r="6045">
      <c r="A6045" s="9" t="str">
        <f>IFERROR(__xludf.DUMMYFUNCTION("""COMPUTED_VALUE"""),"Batch 300")</f>
        <v>Batch 300</v>
      </c>
      <c r="B6045" s="9" t="str">
        <f>IFERROR(__xludf.DUMMYFUNCTION("""COMPUTED_VALUE"""),"LovedeepC300")</f>
        <v>LovedeepC300</v>
      </c>
      <c r="C6045" s="8">
        <f>IFERROR(__xludf.DUMMYFUNCTION("""COMPUTED_VALUE"""),3.0)</f>
        <v>3</v>
      </c>
      <c r="D6045" s="8">
        <f>IFERROR(__xludf.DUMMYFUNCTION("""COMPUTED_VALUE"""),2.0)</f>
        <v>2</v>
      </c>
    </row>
    <row r="6046">
      <c r="A6046" s="9" t="str">
        <f>IFERROR(__xludf.DUMMYFUNCTION("""COMPUTED_VALUE"""),"Batch 300")</f>
        <v>Batch 300</v>
      </c>
      <c r="B6046" s="9" t="str">
        <f>IFERROR(__xludf.DUMMYFUNCTION("""COMPUTED_VALUE"""),"PranayC300")</f>
        <v>PranayC300</v>
      </c>
      <c r="C6046" s="8">
        <f>IFERROR(__xludf.DUMMYFUNCTION("""COMPUTED_VALUE"""),0.0)</f>
        <v>0</v>
      </c>
      <c r="D6046" s="8"/>
    </row>
    <row r="6047">
      <c r="A6047" s="9" t="str">
        <f>IFERROR(__xludf.DUMMYFUNCTION("""COMPUTED_VALUE"""),"Batch 300")</f>
        <v>Batch 300</v>
      </c>
      <c r="B6047" s="9" t="str">
        <f>IFERROR(__xludf.DUMMYFUNCTION("""COMPUTED_VALUE"""),"IsrarC300")</f>
        <v>IsrarC300</v>
      </c>
      <c r="C6047" s="8">
        <f>IFERROR(__xludf.DUMMYFUNCTION("""COMPUTED_VALUE"""),0.0)</f>
        <v>0</v>
      </c>
      <c r="D6047" s="8"/>
    </row>
    <row r="6048">
      <c r="A6048" s="9" t="str">
        <f>IFERROR(__xludf.DUMMYFUNCTION("""COMPUTED_VALUE"""),"Batch 300")</f>
        <v>Batch 300</v>
      </c>
      <c r="B6048" s="9" t="str">
        <f>IFERROR(__xludf.DUMMYFUNCTION("""COMPUTED_VALUE"""),"AnshikaC300")</f>
        <v>AnshikaC300</v>
      </c>
      <c r="C6048" s="8">
        <f>IFERROR(__xludf.DUMMYFUNCTION("""COMPUTED_VALUE"""),0.0)</f>
        <v>0</v>
      </c>
      <c r="D6048" s="8"/>
    </row>
    <row r="6049">
      <c r="A6049" s="9" t="str">
        <f>IFERROR(__xludf.DUMMYFUNCTION("""COMPUTED_VALUE"""),"Batch 300")</f>
        <v>Batch 300</v>
      </c>
      <c r="B6049" s="9" t="str">
        <f>IFERROR(__xludf.DUMMYFUNCTION("""COMPUTED_VALUE"""),"KIRUBAKARANC300")</f>
        <v>KIRUBAKARANC300</v>
      </c>
      <c r="C6049" s="8">
        <f>IFERROR(__xludf.DUMMYFUNCTION("""COMPUTED_VALUE"""),0.0)</f>
        <v>0</v>
      </c>
      <c r="D6049" s="8"/>
    </row>
    <row r="6050">
      <c r="A6050" s="9" t="str">
        <f>IFERROR(__xludf.DUMMYFUNCTION("""COMPUTED_VALUE"""),"Batch 300")</f>
        <v>Batch 300</v>
      </c>
      <c r="B6050" s="9" t="str">
        <f>IFERROR(__xludf.DUMMYFUNCTION("""COMPUTED_VALUE"""),"DeepakC300")</f>
        <v>DeepakC300</v>
      </c>
      <c r="C6050" s="8">
        <f>IFERROR(__xludf.DUMMYFUNCTION("""COMPUTED_VALUE"""),1.0)</f>
        <v>1</v>
      </c>
      <c r="D6050" s="8"/>
    </row>
    <row r="6051">
      <c r="A6051" s="9" t="str">
        <f>IFERROR(__xludf.DUMMYFUNCTION("""COMPUTED_VALUE"""),"Batch 300")</f>
        <v>Batch 300</v>
      </c>
      <c r="B6051" s="9" t="str">
        <f>IFERROR(__xludf.DUMMYFUNCTION("""COMPUTED_VALUE"""),"VaibhavC300")</f>
        <v>VaibhavC300</v>
      </c>
      <c r="C6051" s="8">
        <f>IFERROR(__xludf.DUMMYFUNCTION("""COMPUTED_VALUE"""),1.0)</f>
        <v>1</v>
      </c>
      <c r="D6051" s="8"/>
    </row>
    <row r="6052">
      <c r="A6052" s="9" t="str">
        <f>IFERROR(__xludf.DUMMYFUNCTION("""COMPUTED_VALUE"""),"Batch 300")</f>
        <v>Batch 300</v>
      </c>
      <c r="B6052" s="9" t="str">
        <f>IFERROR(__xludf.DUMMYFUNCTION("""COMPUTED_VALUE"""),"KomalC300")</f>
        <v>KomalC300</v>
      </c>
      <c r="C6052" s="8">
        <f>IFERROR(__xludf.DUMMYFUNCTION("""COMPUTED_VALUE"""),0.0)</f>
        <v>0</v>
      </c>
      <c r="D6052" s="8"/>
    </row>
    <row r="6053">
      <c r="A6053" s="9" t="str">
        <f>IFERROR(__xludf.DUMMYFUNCTION("""COMPUTED_VALUE"""),"Batch 300")</f>
        <v>Batch 300</v>
      </c>
      <c r="B6053" s="9" t="str">
        <f>IFERROR(__xludf.DUMMYFUNCTION("""COMPUTED_VALUE"""),"AayatC300")</f>
        <v>AayatC300</v>
      </c>
      <c r="C6053" s="8">
        <f>IFERROR(__xludf.DUMMYFUNCTION("""COMPUTED_VALUE"""),0.0)</f>
        <v>0</v>
      </c>
      <c r="D6053" s="8"/>
    </row>
    <row r="6054">
      <c r="A6054" s="9" t="str">
        <f>IFERROR(__xludf.DUMMYFUNCTION("""COMPUTED_VALUE"""),"Batch 300")</f>
        <v>Batch 300</v>
      </c>
      <c r="B6054" s="9" t="str">
        <f>IFERROR(__xludf.DUMMYFUNCTION("""COMPUTED_VALUE"""),"MohitC300")</f>
        <v>MohitC300</v>
      </c>
      <c r="C6054" s="8">
        <f>IFERROR(__xludf.DUMMYFUNCTION("""COMPUTED_VALUE"""),2.0)</f>
        <v>2</v>
      </c>
      <c r="D6054" s="8"/>
    </row>
    <row r="6055">
      <c r="A6055" s="9" t="str">
        <f>IFERROR(__xludf.DUMMYFUNCTION("""COMPUTED_VALUE"""),"Batch 300")</f>
        <v>Batch 300</v>
      </c>
      <c r="B6055" s="9" t="str">
        <f>IFERROR(__xludf.DUMMYFUNCTION("""COMPUTED_VALUE"""),"SHIVAC300")</f>
        <v>SHIVAC300</v>
      </c>
      <c r="C6055" s="8">
        <f>IFERROR(__xludf.DUMMYFUNCTION("""COMPUTED_VALUE"""),0.0)</f>
        <v>0</v>
      </c>
      <c r="D6055" s="8"/>
    </row>
    <row r="6056">
      <c r="A6056" s="9" t="str">
        <f>IFERROR(__xludf.DUMMYFUNCTION("""COMPUTED_VALUE"""),"Batch 300")</f>
        <v>Batch 300</v>
      </c>
      <c r="B6056" s="9" t="str">
        <f>IFERROR(__xludf.DUMMYFUNCTION("""COMPUTED_VALUE"""),"ChowdamC300")</f>
        <v>ChowdamC300</v>
      </c>
      <c r="C6056" s="8">
        <f>IFERROR(__xludf.DUMMYFUNCTION("""COMPUTED_VALUE"""),0.0)</f>
        <v>0</v>
      </c>
      <c r="D6056" s="8"/>
    </row>
    <row r="6057">
      <c r="A6057" s="9" t="str">
        <f>IFERROR(__xludf.DUMMYFUNCTION("""COMPUTED_VALUE"""),"Batch 300")</f>
        <v>Batch 300</v>
      </c>
      <c r="B6057" s="9" t="str">
        <f>IFERROR(__xludf.DUMMYFUNCTION("""COMPUTED_VALUE"""),"SmritiC300")</f>
        <v>SmritiC300</v>
      </c>
      <c r="C6057" s="8">
        <f>IFERROR(__xludf.DUMMYFUNCTION("""COMPUTED_VALUE"""),0.0)</f>
        <v>0</v>
      </c>
      <c r="D6057" s="8"/>
    </row>
    <row r="6058">
      <c r="A6058" s="9" t="str">
        <f>IFERROR(__xludf.DUMMYFUNCTION("""COMPUTED_VALUE"""),"Batch 300")</f>
        <v>Batch 300</v>
      </c>
      <c r="B6058" s="9" t="str">
        <f>IFERROR(__xludf.DUMMYFUNCTION("""COMPUTED_VALUE"""),"KritikaC300")</f>
        <v>KritikaC300</v>
      </c>
      <c r="C6058" s="8">
        <f>IFERROR(__xludf.DUMMYFUNCTION("""COMPUTED_VALUE"""),0.0)</f>
        <v>0</v>
      </c>
      <c r="D6058" s="8"/>
    </row>
    <row r="6059">
      <c r="A6059" s="9" t="str">
        <f>IFERROR(__xludf.DUMMYFUNCTION("""COMPUTED_VALUE"""),"Batch 300")</f>
        <v>Batch 300</v>
      </c>
      <c r="B6059" s="9" t="str">
        <f>IFERROR(__xludf.DUMMYFUNCTION("""COMPUTED_VALUE"""),"RayoC300")</f>
        <v>RayoC300</v>
      </c>
      <c r="C6059" s="8">
        <f>IFERROR(__xludf.DUMMYFUNCTION("""COMPUTED_VALUE"""),0.0)</f>
        <v>0</v>
      </c>
      <c r="D6059" s="8"/>
    </row>
    <row r="6060">
      <c r="A6060" s="9" t="str">
        <f>IFERROR(__xludf.DUMMYFUNCTION("""COMPUTED_VALUE"""),"Batch 300")</f>
        <v>Batch 300</v>
      </c>
      <c r="B6060" s="9" t="str">
        <f>IFERROR(__xludf.DUMMYFUNCTION("""COMPUTED_VALUE"""),"ShamC300")</f>
        <v>ShamC300</v>
      </c>
      <c r="C6060" s="8">
        <f>IFERROR(__xludf.DUMMYFUNCTION("""COMPUTED_VALUE"""),0.0)</f>
        <v>0</v>
      </c>
      <c r="D6060" s="8"/>
    </row>
    <row r="6061">
      <c r="A6061" s="9" t="str">
        <f>IFERROR(__xludf.DUMMYFUNCTION("""COMPUTED_VALUE"""),"Batch 300")</f>
        <v>Batch 300</v>
      </c>
      <c r="B6061" s="9" t="str">
        <f>IFERROR(__xludf.DUMMYFUNCTION("""COMPUTED_VALUE"""),"PrajwalC300")</f>
        <v>PrajwalC300</v>
      </c>
      <c r="C6061" s="8">
        <f>IFERROR(__xludf.DUMMYFUNCTION("""COMPUTED_VALUE"""),0.0)</f>
        <v>0</v>
      </c>
      <c r="D6061" s="8"/>
    </row>
    <row r="6062">
      <c r="A6062" s="9" t="str">
        <f>IFERROR(__xludf.DUMMYFUNCTION("""COMPUTED_VALUE"""),"Batch 300")</f>
        <v>Batch 300</v>
      </c>
      <c r="B6062" s="9" t="str">
        <f>IFERROR(__xludf.DUMMYFUNCTION("""COMPUTED_VALUE"""),"MansiC300")</f>
        <v>MansiC300</v>
      </c>
      <c r="C6062" s="8">
        <f>IFERROR(__xludf.DUMMYFUNCTION("""COMPUTED_VALUE"""),0.0)</f>
        <v>0</v>
      </c>
      <c r="D6062" s="8"/>
    </row>
    <row r="6063">
      <c r="A6063" s="9" t="str">
        <f>IFERROR(__xludf.DUMMYFUNCTION("""COMPUTED_VALUE"""),"Batch 300")</f>
        <v>Batch 300</v>
      </c>
      <c r="B6063" s="9" t="str">
        <f>IFERROR(__xludf.DUMMYFUNCTION("""COMPUTED_VALUE"""),"DhanushC300")</f>
        <v>DhanushC300</v>
      </c>
      <c r="C6063" s="8">
        <f>IFERROR(__xludf.DUMMYFUNCTION("""COMPUTED_VALUE"""),0.0)</f>
        <v>0</v>
      </c>
      <c r="D6063" s="8"/>
    </row>
    <row r="6064">
      <c r="A6064" s="9" t="str">
        <f>IFERROR(__xludf.DUMMYFUNCTION("""COMPUTED_VALUE"""),"Batch 300")</f>
        <v>Batch 300</v>
      </c>
      <c r="B6064" s="9" t="str">
        <f>IFERROR(__xludf.DUMMYFUNCTION("""COMPUTED_VALUE"""),"LizaC300")</f>
        <v>LizaC300</v>
      </c>
      <c r="C6064" s="8">
        <f>IFERROR(__xludf.DUMMYFUNCTION("""COMPUTED_VALUE"""),0.0)</f>
        <v>0</v>
      </c>
      <c r="D6064" s="8"/>
    </row>
    <row r="6065">
      <c r="A6065" s="9" t="str">
        <f>IFERROR(__xludf.DUMMYFUNCTION("""COMPUTED_VALUE"""),"Batch 300")</f>
        <v>Batch 300</v>
      </c>
      <c r="B6065" s="9" t="str">
        <f>IFERROR(__xludf.DUMMYFUNCTION("""COMPUTED_VALUE"""),"OMC300")</f>
        <v>OMC300</v>
      </c>
      <c r="C6065" s="8">
        <f>IFERROR(__xludf.DUMMYFUNCTION("""COMPUTED_VALUE"""),0.0)</f>
        <v>0</v>
      </c>
      <c r="D6065" s="8"/>
    </row>
    <row r="6066">
      <c r="A6066" s="9" t="str">
        <f>IFERROR(__xludf.DUMMYFUNCTION("""COMPUTED_VALUE"""),"Batch 300")</f>
        <v>Batch 300</v>
      </c>
      <c r="B6066" s="9" t="str">
        <f>IFERROR(__xludf.DUMMYFUNCTION("""COMPUTED_VALUE"""),"RichaC300")</f>
        <v>RichaC300</v>
      </c>
      <c r="C6066" s="8">
        <f>IFERROR(__xludf.DUMMYFUNCTION("""COMPUTED_VALUE"""),0.0)</f>
        <v>0</v>
      </c>
      <c r="D6066" s="8"/>
    </row>
    <row r="6067">
      <c r="A6067" s="9" t="str">
        <f>IFERROR(__xludf.DUMMYFUNCTION("""COMPUTED_VALUE"""),"Batch 300")</f>
        <v>Batch 300</v>
      </c>
      <c r="B6067" s="9" t="str">
        <f>IFERROR(__xludf.DUMMYFUNCTION("""COMPUTED_VALUE"""),"EswarC300")</f>
        <v>EswarC300</v>
      </c>
      <c r="C6067" s="8">
        <f>IFERROR(__xludf.DUMMYFUNCTION("""COMPUTED_VALUE"""),0.0)</f>
        <v>0</v>
      </c>
      <c r="D6067" s="8"/>
    </row>
    <row r="6068">
      <c r="A6068" s="9" t="str">
        <f>IFERROR(__xludf.DUMMYFUNCTION("""COMPUTED_VALUE"""),"Batch 300")</f>
        <v>Batch 300</v>
      </c>
      <c r="B6068" s="9" t="str">
        <f>IFERROR(__xludf.DUMMYFUNCTION("""COMPUTED_VALUE"""),"GauravC300")</f>
        <v>GauravC300</v>
      </c>
      <c r="C6068" s="8">
        <f>IFERROR(__xludf.DUMMYFUNCTION("""COMPUTED_VALUE"""),0.0)</f>
        <v>0</v>
      </c>
      <c r="D6068" s="8"/>
    </row>
    <row r="6069">
      <c r="A6069" s="9" t="str">
        <f>IFERROR(__xludf.DUMMYFUNCTION("""COMPUTED_VALUE"""),"Batch 300")</f>
        <v>Batch 300</v>
      </c>
      <c r="B6069" s="9" t="str">
        <f>IFERROR(__xludf.DUMMYFUNCTION("""COMPUTED_VALUE"""),"YugandharC300")</f>
        <v>YugandharC300</v>
      </c>
      <c r="C6069" s="8">
        <f>IFERROR(__xludf.DUMMYFUNCTION("""COMPUTED_VALUE"""),0.0)</f>
        <v>0</v>
      </c>
      <c r="D6069" s="8"/>
    </row>
    <row r="6070">
      <c r="A6070" s="9" t="str">
        <f>IFERROR(__xludf.DUMMYFUNCTION("""COMPUTED_VALUE"""),"Batch 300")</f>
        <v>Batch 300</v>
      </c>
      <c r="B6070" s="9" t="str">
        <f>IFERROR(__xludf.DUMMYFUNCTION("""COMPUTED_VALUE"""),"GarvitC300")</f>
        <v>GarvitC300</v>
      </c>
      <c r="C6070" s="8">
        <f>IFERROR(__xludf.DUMMYFUNCTION("""COMPUTED_VALUE"""),0.0)</f>
        <v>0</v>
      </c>
      <c r="D6070" s="8"/>
    </row>
    <row r="6071">
      <c r="A6071" s="9" t="str">
        <f>IFERROR(__xludf.DUMMYFUNCTION("""COMPUTED_VALUE"""),"Batch 300")</f>
        <v>Batch 300</v>
      </c>
      <c r="B6071" s="9" t="str">
        <f>IFERROR(__xludf.DUMMYFUNCTION("""COMPUTED_VALUE"""),"ParthC300")</f>
        <v>ParthC300</v>
      </c>
      <c r="C6071" s="8">
        <f>IFERROR(__xludf.DUMMYFUNCTION("""COMPUTED_VALUE"""),0.0)</f>
        <v>0</v>
      </c>
      <c r="D6071" s="8"/>
    </row>
    <row r="6072">
      <c r="A6072" s="9" t="str">
        <f>IFERROR(__xludf.DUMMYFUNCTION("""COMPUTED_VALUE"""),"Batch 300")</f>
        <v>Batch 300</v>
      </c>
      <c r="B6072" s="9" t="str">
        <f>IFERROR(__xludf.DUMMYFUNCTION("""COMPUTED_VALUE"""),"UttkarshC300")</f>
        <v>UttkarshC300</v>
      </c>
      <c r="C6072" s="8">
        <f>IFERROR(__xludf.DUMMYFUNCTION("""COMPUTED_VALUE"""),0.0)</f>
        <v>0</v>
      </c>
      <c r="D6072" s="8"/>
    </row>
    <row r="6073">
      <c r="A6073" s="9" t="str">
        <f>IFERROR(__xludf.DUMMYFUNCTION("""COMPUTED_VALUE"""),"Batch 300")</f>
        <v>Batch 300</v>
      </c>
      <c r="B6073" s="9" t="str">
        <f>IFERROR(__xludf.DUMMYFUNCTION("""COMPUTED_VALUE"""),"ShrutiC300")</f>
        <v>ShrutiC300</v>
      </c>
      <c r="C6073" s="8">
        <f>IFERROR(__xludf.DUMMYFUNCTION("""COMPUTED_VALUE"""),1.0)</f>
        <v>1</v>
      </c>
      <c r="D6073" s="8"/>
    </row>
    <row r="6074">
      <c r="A6074" s="9" t="str">
        <f>IFERROR(__xludf.DUMMYFUNCTION("""COMPUTED_VALUE"""),"Batch 300")</f>
        <v>Batch 300</v>
      </c>
      <c r="B6074" s="9" t="str">
        <f>IFERROR(__xludf.DUMMYFUNCTION("""COMPUTED_VALUE"""),"JayC300")</f>
        <v>JayC300</v>
      </c>
      <c r="C6074" s="8">
        <f>IFERROR(__xludf.DUMMYFUNCTION("""COMPUTED_VALUE"""),0.0)</f>
        <v>0</v>
      </c>
      <c r="D6074" s="8"/>
    </row>
    <row r="6075">
      <c r="A6075" s="9" t="str">
        <f>IFERROR(__xludf.DUMMYFUNCTION("""COMPUTED_VALUE"""),"Batch 300")</f>
        <v>Batch 300</v>
      </c>
      <c r="B6075" s="9" t="str">
        <f>IFERROR(__xludf.DUMMYFUNCTION("""COMPUTED_VALUE"""),"VrundaC300")</f>
        <v>VrundaC300</v>
      </c>
      <c r="C6075" s="8">
        <f>IFERROR(__xludf.DUMMYFUNCTION("""COMPUTED_VALUE"""),3.0)</f>
        <v>3</v>
      </c>
      <c r="D6075" s="8"/>
    </row>
    <row r="6076">
      <c r="A6076" s="9" t="str">
        <f>IFERROR(__xludf.DUMMYFUNCTION("""COMPUTED_VALUE"""),"Batch 300")</f>
        <v>Batch 300</v>
      </c>
      <c r="B6076" s="9" t="str">
        <f>IFERROR(__xludf.DUMMYFUNCTION("""COMPUTED_VALUE"""),"ThotaC300")</f>
        <v>ThotaC300</v>
      </c>
      <c r="C6076" s="8">
        <f>IFERROR(__xludf.DUMMYFUNCTION("""COMPUTED_VALUE"""),0.0)</f>
        <v>0</v>
      </c>
      <c r="D6076" s="8"/>
    </row>
    <row r="6077">
      <c r="A6077" s="9" t="str">
        <f>IFERROR(__xludf.DUMMYFUNCTION("""COMPUTED_VALUE"""),"Batch 300")</f>
        <v>Batch 300</v>
      </c>
      <c r="B6077" s="9" t="str">
        <f>IFERROR(__xludf.DUMMYFUNCTION("""COMPUTED_VALUE"""),"AhmedC300")</f>
        <v>AhmedC300</v>
      </c>
      <c r="C6077" s="8">
        <f>IFERROR(__xludf.DUMMYFUNCTION("""COMPUTED_VALUE"""),0.0)</f>
        <v>0</v>
      </c>
      <c r="D6077" s="8"/>
    </row>
    <row r="6078">
      <c r="A6078" s="9"/>
      <c r="B6078" s="9"/>
      <c r="C6078" s="8">
        <f>IFERROR(__xludf.DUMMYFUNCTION("""COMPUTED_VALUE"""),0.0)</f>
        <v>0</v>
      </c>
      <c r="D6078" s="8"/>
    </row>
    <row r="6079">
      <c r="A6079" s="9" t="str">
        <f>IFERROR(__xludf.DUMMYFUNCTION("""COMPUTED_VALUE"""),"Batch 301")</f>
        <v>Batch 301</v>
      </c>
      <c r="B6079" s="9" t="str">
        <f>IFERROR(__xludf.DUMMYFUNCTION("""COMPUTED_VALUE"""),"UttkarshC01")</f>
        <v>UttkarshC01</v>
      </c>
      <c r="C6079" s="8">
        <f>IFERROR(__xludf.DUMMYFUNCTION("""COMPUTED_VALUE"""),0.0)</f>
        <v>0</v>
      </c>
      <c r="D6079" s="8"/>
    </row>
    <row r="6080">
      <c r="A6080" s="9" t="str">
        <f>IFERROR(__xludf.DUMMYFUNCTION("""COMPUTED_VALUE"""),"Batch 301")</f>
        <v>Batch 301</v>
      </c>
      <c r="B6080" s="9" t="str">
        <f>IFERROR(__xludf.DUMMYFUNCTION("""COMPUTED_VALUE"""),"SiwaniC01")</f>
        <v>SiwaniC01</v>
      </c>
      <c r="C6080" s="8">
        <f>IFERROR(__xludf.DUMMYFUNCTION("""COMPUTED_VALUE"""),0.0)</f>
        <v>0</v>
      </c>
      <c r="D6080" s="8"/>
    </row>
    <row r="6081">
      <c r="A6081" s="9" t="str">
        <f>IFERROR(__xludf.DUMMYFUNCTION("""COMPUTED_VALUE"""),"Batch 301")</f>
        <v>Batch 301</v>
      </c>
      <c r="B6081" s="9" t="str">
        <f>IFERROR(__xludf.DUMMYFUNCTION("""COMPUTED_VALUE"""),"SagarC01")</f>
        <v>SagarC01</v>
      </c>
      <c r="C6081" s="8">
        <f>IFERROR(__xludf.DUMMYFUNCTION("""COMPUTED_VALUE"""),0.0)</f>
        <v>0</v>
      </c>
      <c r="D6081" s="8"/>
    </row>
    <row r="6082">
      <c r="A6082" s="9" t="str">
        <f>IFERROR(__xludf.DUMMYFUNCTION("""COMPUTED_VALUE"""),"Batch 301")</f>
        <v>Batch 301</v>
      </c>
      <c r="B6082" s="9" t="str">
        <f>IFERROR(__xludf.DUMMYFUNCTION("""COMPUTED_VALUE"""),"BhumikaC01")</f>
        <v>BhumikaC01</v>
      </c>
      <c r="C6082" s="8">
        <f>IFERROR(__xludf.DUMMYFUNCTION("""COMPUTED_VALUE"""),3.0)</f>
        <v>3</v>
      </c>
      <c r="D6082" s="8"/>
    </row>
    <row r="6083">
      <c r="A6083" s="9" t="str">
        <f>IFERROR(__xludf.DUMMYFUNCTION("""COMPUTED_VALUE"""),"Batch 301")</f>
        <v>Batch 301</v>
      </c>
      <c r="B6083" s="9" t="str">
        <f>IFERROR(__xludf.DUMMYFUNCTION("""COMPUTED_VALUE"""),"AbhishekC01")</f>
        <v>AbhishekC01</v>
      </c>
      <c r="C6083" s="8">
        <f>IFERROR(__xludf.DUMMYFUNCTION("""COMPUTED_VALUE"""),1.0)</f>
        <v>1</v>
      </c>
      <c r="D6083" s="8"/>
    </row>
    <row r="6084">
      <c r="A6084" s="9" t="str">
        <f>IFERROR(__xludf.DUMMYFUNCTION("""COMPUTED_VALUE"""),"Batch 301")</f>
        <v>Batch 301</v>
      </c>
      <c r="B6084" s="9" t="str">
        <f>IFERROR(__xludf.DUMMYFUNCTION("""COMPUTED_VALUE"""),"DivaynshuC01")</f>
        <v>DivaynshuC01</v>
      </c>
      <c r="C6084" s="8">
        <f>IFERROR(__xludf.DUMMYFUNCTION("""COMPUTED_VALUE"""),0.0)</f>
        <v>0</v>
      </c>
      <c r="D6084" s="8"/>
    </row>
    <row r="6085">
      <c r="A6085" s="9" t="str">
        <f>IFERROR(__xludf.DUMMYFUNCTION("""COMPUTED_VALUE"""),"Batch 301")</f>
        <v>Batch 301</v>
      </c>
      <c r="B6085" s="9" t="str">
        <f>IFERROR(__xludf.DUMMYFUNCTION("""COMPUTED_VALUE"""),"MohdC01")</f>
        <v>MohdC01</v>
      </c>
      <c r="C6085" s="8">
        <f>IFERROR(__xludf.DUMMYFUNCTION("""COMPUTED_VALUE"""),1.0)</f>
        <v>1</v>
      </c>
      <c r="D6085" s="8"/>
    </row>
    <row r="6086">
      <c r="A6086" s="9" t="str">
        <f>IFERROR(__xludf.DUMMYFUNCTION("""COMPUTED_VALUE"""),"Batch 301")</f>
        <v>Batch 301</v>
      </c>
      <c r="B6086" s="9" t="str">
        <f>IFERROR(__xludf.DUMMYFUNCTION("""COMPUTED_VALUE"""),"CHINTALAPUDIC01")</f>
        <v>CHINTALAPUDIC01</v>
      </c>
      <c r="C6086" s="8">
        <f>IFERROR(__xludf.DUMMYFUNCTION("""COMPUTED_VALUE"""),0.0)</f>
        <v>0</v>
      </c>
      <c r="D6086" s="8"/>
    </row>
    <row r="6087">
      <c r="A6087" s="9" t="str">
        <f>IFERROR(__xludf.DUMMYFUNCTION("""COMPUTED_VALUE"""),"Batch 301")</f>
        <v>Batch 301</v>
      </c>
      <c r="B6087" s="9" t="str">
        <f>IFERROR(__xludf.DUMMYFUNCTION("""COMPUTED_VALUE"""),"HarshC01")</f>
        <v>HarshC01</v>
      </c>
      <c r="C6087" s="8">
        <f>IFERROR(__xludf.DUMMYFUNCTION("""COMPUTED_VALUE"""),0.0)</f>
        <v>0</v>
      </c>
      <c r="D6087" s="8"/>
    </row>
    <row r="6088">
      <c r="A6088" s="9" t="str">
        <f>IFERROR(__xludf.DUMMYFUNCTION("""COMPUTED_VALUE"""),"Batch 301")</f>
        <v>Batch 301</v>
      </c>
      <c r="B6088" s="9" t="str">
        <f>IFERROR(__xludf.DUMMYFUNCTION("""COMPUTED_VALUE"""),"GauravC01")</f>
        <v>GauravC01</v>
      </c>
      <c r="C6088" s="8">
        <f>IFERROR(__xludf.DUMMYFUNCTION("""COMPUTED_VALUE"""),0.0)</f>
        <v>0</v>
      </c>
      <c r="D6088" s="8"/>
    </row>
    <row r="6089">
      <c r="A6089" s="9" t="str">
        <f>IFERROR(__xludf.DUMMYFUNCTION("""COMPUTED_VALUE"""),"Batch 301")</f>
        <v>Batch 301</v>
      </c>
      <c r="B6089" s="9" t="str">
        <f>IFERROR(__xludf.DUMMYFUNCTION("""COMPUTED_VALUE"""),"AshiC01")</f>
        <v>AshiC01</v>
      </c>
      <c r="C6089" s="8">
        <f>IFERROR(__xludf.DUMMYFUNCTION("""COMPUTED_VALUE"""),0.0)</f>
        <v>0</v>
      </c>
      <c r="D6089" s="8"/>
    </row>
    <row r="6090">
      <c r="A6090" s="9" t="str">
        <f>IFERROR(__xludf.DUMMYFUNCTION("""COMPUTED_VALUE"""),"Batch 301")</f>
        <v>Batch 301</v>
      </c>
      <c r="B6090" s="9" t="str">
        <f>IFERROR(__xludf.DUMMYFUNCTION("""COMPUTED_VALUE"""),"NishantC01")</f>
        <v>NishantC01</v>
      </c>
      <c r="C6090" s="8">
        <f>IFERROR(__xludf.DUMMYFUNCTION("""COMPUTED_VALUE"""),0.0)</f>
        <v>0</v>
      </c>
      <c r="D6090" s="8"/>
    </row>
    <row r="6091">
      <c r="A6091" s="9" t="str">
        <f>IFERROR(__xludf.DUMMYFUNCTION("""COMPUTED_VALUE"""),"Batch 301")</f>
        <v>Batch 301</v>
      </c>
      <c r="B6091" s="9" t="str">
        <f>IFERROR(__xludf.DUMMYFUNCTION("""COMPUTED_VALUE"""),"AntikshaC01")</f>
        <v>AntikshaC01</v>
      </c>
      <c r="C6091" s="8">
        <f>IFERROR(__xludf.DUMMYFUNCTION("""COMPUTED_VALUE"""),0.0)</f>
        <v>0</v>
      </c>
      <c r="D6091" s="8"/>
    </row>
    <row r="6092">
      <c r="A6092" s="9" t="str">
        <f>IFERROR(__xludf.DUMMYFUNCTION("""COMPUTED_VALUE"""),"Batch 301")</f>
        <v>Batch 301</v>
      </c>
      <c r="B6092" s="9" t="str">
        <f>IFERROR(__xludf.DUMMYFUNCTION("""COMPUTED_VALUE"""),"NikunjC01")</f>
        <v>NikunjC01</v>
      </c>
      <c r="C6092" s="8">
        <f>IFERROR(__xludf.DUMMYFUNCTION("""COMPUTED_VALUE"""),0.0)</f>
        <v>0</v>
      </c>
      <c r="D6092" s="8"/>
    </row>
    <row r="6093">
      <c r="A6093" s="9" t="str">
        <f>IFERROR(__xludf.DUMMYFUNCTION("""COMPUTED_VALUE"""),"Batch 301")</f>
        <v>Batch 301</v>
      </c>
      <c r="B6093" s="9" t="str">
        <f>IFERROR(__xludf.DUMMYFUNCTION("""COMPUTED_VALUE"""),"AkshitC01")</f>
        <v>AkshitC01</v>
      </c>
      <c r="C6093" s="8">
        <f>IFERROR(__xludf.DUMMYFUNCTION("""COMPUTED_VALUE"""),0.0)</f>
        <v>0</v>
      </c>
      <c r="D6093" s="8">
        <f>IFERROR(__xludf.DUMMYFUNCTION("""COMPUTED_VALUE"""),6.0)</f>
        <v>6</v>
      </c>
    </row>
    <row r="6094">
      <c r="A6094" s="9" t="str">
        <f>IFERROR(__xludf.DUMMYFUNCTION("""COMPUTED_VALUE"""),"Batch 301")</f>
        <v>Batch 301</v>
      </c>
      <c r="B6094" s="9" t="str">
        <f>IFERROR(__xludf.DUMMYFUNCTION("""COMPUTED_VALUE"""),"AmanC01")</f>
        <v>AmanC01</v>
      </c>
      <c r="C6094" s="8">
        <f>IFERROR(__xludf.DUMMYFUNCTION("""COMPUTED_VALUE"""),0.0)</f>
        <v>0</v>
      </c>
      <c r="D6094" s="8"/>
    </row>
    <row r="6095">
      <c r="A6095" s="9" t="str">
        <f>IFERROR(__xludf.DUMMYFUNCTION("""COMPUTED_VALUE"""),"Batch 301")</f>
        <v>Batch 301</v>
      </c>
      <c r="B6095" s="9" t="str">
        <f>IFERROR(__xludf.DUMMYFUNCTION("""COMPUTED_VALUE"""),"KarandeepC01")</f>
        <v>KarandeepC01</v>
      </c>
      <c r="C6095" s="8">
        <f>IFERROR(__xludf.DUMMYFUNCTION("""COMPUTED_VALUE"""),2.0)</f>
        <v>2</v>
      </c>
      <c r="D6095" s="8"/>
    </row>
    <row r="6096">
      <c r="A6096" s="9" t="str">
        <f>IFERROR(__xludf.DUMMYFUNCTION("""COMPUTED_VALUE"""),"Batch 301")</f>
        <v>Batch 301</v>
      </c>
      <c r="B6096" s="9" t="str">
        <f>IFERROR(__xludf.DUMMYFUNCTION("""COMPUTED_VALUE"""),"DiyaC01")</f>
        <v>DiyaC01</v>
      </c>
      <c r="C6096" s="8">
        <f>IFERROR(__xludf.DUMMYFUNCTION("""COMPUTED_VALUE"""),0.0)</f>
        <v>0</v>
      </c>
      <c r="D6096" s="8"/>
    </row>
    <row r="6097">
      <c r="A6097" s="9" t="str">
        <f>IFERROR(__xludf.DUMMYFUNCTION("""COMPUTED_VALUE"""),"Batch 301")</f>
        <v>Batch 301</v>
      </c>
      <c r="B6097" s="9" t="str">
        <f>IFERROR(__xludf.DUMMYFUNCTION("""COMPUTED_VALUE"""),"SarthakC01")</f>
        <v>SarthakC01</v>
      </c>
      <c r="C6097" s="8">
        <f>IFERROR(__xludf.DUMMYFUNCTION("""COMPUTED_VALUE"""),0.0)</f>
        <v>0</v>
      </c>
      <c r="D6097" s="8"/>
    </row>
    <row r="6098">
      <c r="A6098" s="9" t="str">
        <f>IFERROR(__xludf.DUMMYFUNCTION("""COMPUTED_VALUE"""),"Batch 301")</f>
        <v>Batch 301</v>
      </c>
      <c r="B6098" s="9" t="str">
        <f>IFERROR(__xludf.DUMMYFUNCTION("""COMPUTED_VALUE"""),"AnimeshC01")</f>
        <v>AnimeshC01</v>
      </c>
      <c r="C6098" s="8">
        <f>IFERROR(__xludf.DUMMYFUNCTION("""COMPUTED_VALUE"""),3.0)</f>
        <v>3</v>
      </c>
      <c r="D6098" s="8"/>
    </row>
    <row r="6099">
      <c r="A6099" s="9" t="str">
        <f>IFERROR(__xludf.DUMMYFUNCTION("""COMPUTED_VALUE"""),"Batch 301")</f>
        <v>Batch 301</v>
      </c>
      <c r="B6099" s="9" t="str">
        <f>IFERROR(__xludf.DUMMYFUNCTION("""COMPUTED_VALUE"""),"AanyaC01")</f>
        <v>AanyaC01</v>
      </c>
      <c r="C6099" s="8">
        <f>IFERROR(__xludf.DUMMYFUNCTION("""COMPUTED_VALUE"""),0.0)</f>
        <v>0</v>
      </c>
      <c r="D6099" s="8"/>
    </row>
    <row r="6100">
      <c r="A6100" s="9" t="str">
        <f>IFERROR(__xludf.DUMMYFUNCTION("""COMPUTED_VALUE"""),"Batch 301")</f>
        <v>Batch 301</v>
      </c>
      <c r="B6100" s="9" t="str">
        <f>IFERROR(__xludf.DUMMYFUNCTION("""COMPUTED_VALUE"""),"BhoomiC01")</f>
        <v>BhoomiC01</v>
      </c>
      <c r="C6100" s="8">
        <f>IFERROR(__xludf.DUMMYFUNCTION("""COMPUTED_VALUE"""),0.0)</f>
        <v>0</v>
      </c>
      <c r="D6100" s="8"/>
    </row>
    <row r="6101">
      <c r="A6101" s="9" t="str">
        <f>IFERROR(__xludf.DUMMYFUNCTION("""COMPUTED_VALUE"""),"Batch 301")</f>
        <v>Batch 301</v>
      </c>
      <c r="B6101" s="9" t="str">
        <f>IFERROR(__xludf.DUMMYFUNCTION("""COMPUTED_VALUE"""),"AamnaC01")</f>
        <v>AamnaC01</v>
      </c>
      <c r="C6101" s="8">
        <f>IFERROR(__xludf.DUMMYFUNCTION("""COMPUTED_VALUE"""),0.0)</f>
        <v>0</v>
      </c>
      <c r="D6101" s="8"/>
    </row>
    <row r="6102">
      <c r="A6102" s="9" t="str">
        <f>IFERROR(__xludf.DUMMYFUNCTION("""COMPUTED_VALUE"""),"Batch 301")</f>
        <v>Batch 301</v>
      </c>
      <c r="B6102" s="9" t="str">
        <f>IFERROR(__xludf.DUMMYFUNCTION("""COMPUTED_VALUE"""),"TanmayC01")</f>
        <v>TanmayC01</v>
      </c>
      <c r="C6102" s="8">
        <f>IFERROR(__xludf.DUMMYFUNCTION("""COMPUTED_VALUE"""),0.0)</f>
        <v>0</v>
      </c>
      <c r="D6102" s="8"/>
    </row>
    <row r="6103">
      <c r="A6103" s="9" t="str">
        <f>IFERROR(__xludf.DUMMYFUNCTION("""COMPUTED_VALUE"""),"Batch 301")</f>
        <v>Batch 301</v>
      </c>
      <c r="B6103" s="9" t="str">
        <f>IFERROR(__xludf.DUMMYFUNCTION("""COMPUTED_VALUE"""),"KunalC01")</f>
        <v>KunalC01</v>
      </c>
      <c r="C6103" s="8">
        <f>IFERROR(__xludf.DUMMYFUNCTION("""COMPUTED_VALUE"""),1.0)</f>
        <v>1</v>
      </c>
      <c r="D6103" s="8">
        <f>IFERROR(__xludf.DUMMYFUNCTION("""COMPUTED_VALUE"""),1.0)</f>
        <v>1</v>
      </c>
    </row>
    <row r="6104">
      <c r="A6104" s="9" t="str">
        <f>IFERROR(__xludf.DUMMYFUNCTION("""COMPUTED_VALUE"""),"Batch 301")</f>
        <v>Batch 301</v>
      </c>
      <c r="B6104" s="9" t="str">
        <f>IFERROR(__xludf.DUMMYFUNCTION("""COMPUTED_VALUE"""),"GaneshC01")</f>
        <v>GaneshC01</v>
      </c>
      <c r="C6104" s="8">
        <f>IFERROR(__xludf.DUMMYFUNCTION("""COMPUTED_VALUE"""),0.0)</f>
        <v>0</v>
      </c>
      <c r="D6104" s="8"/>
    </row>
    <row r="6105">
      <c r="A6105" s="9" t="str">
        <f>IFERROR(__xludf.DUMMYFUNCTION("""COMPUTED_VALUE"""),"Batch 301")</f>
        <v>Batch 301</v>
      </c>
      <c r="B6105" s="9" t="str">
        <f>IFERROR(__xludf.DUMMYFUNCTION("""COMPUTED_VALUE"""),"ArmanC01")</f>
        <v>ArmanC01</v>
      </c>
      <c r="C6105" s="8">
        <f>IFERROR(__xludf.DUMMYFUNCTION("""COMPUTED_VALUE"""),0.0)</f>
        <v>0</v>
      </c>
      <c r="D6105" s="8"/>
    </row>
    <row r="6106">
      <c r="A6106" s="9" t="str">
        <f>IFERROR(__xludf.DUMMYFUNCTION("""COMPUTED_VALUE"""),"Batch 301")</f>
        <v>Batch 301</v>
      </c>
      <c r="B6106" s="9" t="str">
        <f>IFERROR(__xludf.DUMMYFUNCTION("""COMPUTED_VALUE"""),"TanmayC01")</f>
        <v>TanmayC01</v>
      </c>
      <c r="C6106" s="8">
        <f>IFERROR(__xludf.DUMMYFUNCTION("""COMPUTED_VALUE"""),0.0)</f>
        <v>0</v>
      </c>
      <c r="D6106" s="8"/>
    </row>
    <row r="6107">
      <c r="A6107" s="9" t="str">
        <f>IFERROR(__xludf.DUMMYFUNCTION("""COMPUTED_VALUE"""),"Batch 301")</f>
        <v>Batch 301</v>
      </c>
      <c r="B6107" s="9" t="str">
        <f>IFERROR(__xludf.DUMMYFUNCTION("""COMPUTED_VALUE"""),"KhushiC01")</f>
        <v>KhushiC01</v>
      </c>
      <c r="C6107" s="8">
        <f>IFERROR(__xludf.DUMMYFUNCTION("""COMPUTED_VALUE"""),0.0)</f>
        <v>0</v>
      </c>
      <c r="D6107" s="8"/>
    </row>
    <row r="6108">
      <c r="A6108" s="9" t="str">
        <f>IFERROR(__xludf.DUMMYFUNCTION("""COMPUTED_VALUE"""),"Batch 301")</f>
        <v>Batch 301</v>
      </c>
      <c r="B6108" s="9" t="str">
        <f>IFERROR(__xludf.DUMMYFUNCTION("""COMPUTED_VALUE"""),"dhairyaC01")</f>
        <v>dhairyaC01</v>
      </c>
      <c r="C6108" s="8">
        <f>IFERROR(__xludf.DUMMYFUNCTION("""COMPUTED_VALUE"""),0.0)</f>
        <v>0</v>
      </c>
      <c r="D6108" s="8"/>
    </row>
    <row r="6109">
      <c r="A6109" s="9"/>
      <c r="B6109" s="9"/>
      <c r="C6109" s="8">
        <f>IFERROR(__xludf.DUMMYFUNCTION("""COMPUTED_VALUE"""),0.0)</f>
        <v>0</v>
      </c>
      <c r="D6109" s="8"/>
    </row>
    <row r="6110">
      <c r="A6110" s="9" t="str">
        <f>IFERROR(__xludf.DUMMYFUNCTION("""COMPUTED_VALUE"""),"Batch 302")</f>
        <v>Batch 302</v>
      </c>
      <c r="B6110" s="9" t="str">
        <f>IFERROR(__xludf.DUMMYFUNCTION("""COMPUTED_VALUE"""),"NirankarC02")</f>
        <v>NirankarC02</v>
      </c>
      <c r="C6110" s="8">
        <f>IFERROR(__xludf.DUMMYFUNCTION("""COMPUTED_VALUE"""),0.0)</f>
        <v>0</v>
      </c>
      <c r="D6110" s="8"/>
    </row>
    <row r="6111">
      <c r="A6111" s="9" t="str">
        <f>IFERROR(__xludf.DUMMYFUNCTION("""COMPUTED_VALUE"""),"Batch 302")</f>
        <v>Batch 302</v>
      </c>
      <c r="B6111" s="9" t="str">
        <f>IFERROR(__xludf.DUMMYFUNCTION("""COMPUTED_VALUE"""),"RadhaC02")</f>
        <v>RadhaC02</v>
      </c>
      <c r="C6111" s="8">
        <f>IFERROR(__xludf.DUMMYFUNCTION("""COMPUTED_VALUE"""),0.0)</f>
        <v>0</v>
      </c>
      <c r="D6111" s="8"/>
    </row>
    <row r="6112">
      <c r="A6112" s="9" t="str">
        <f>IFERROR(__xludf.DUMMYFUNCTION("""COMPUTED_VALUE"""),"Batch 302")</f>
        <v>Batch 302</v>
      </c>
      <c r="B6112" s="9" t="str">
        <f>IFERROR(__xludf.DUMMYFUNCTION("""COMPUTED_VALUE"""),"balaC02")</f>
        <v>balaC02</v>
      </c>
      <c r="C6112" s="8">
        <f>IFERROR(__xludf.DUMMYFUNCTION("""COMPUTED_VALUE"""),0.0)</f>
        <v>0</v>
      </c>
      <c r="D6112" s="8"/>
    </row>
    <row r="6113">
      <c r="A6113" s="9" t="str">
        <f>IFERROR(__xludf.DUMMYFUNCTION("""COMPUTED_VALUE"""),"Batch 302")</f>
        <v>Batch 302</v>
      </c>
      <c r="B6113" s="9" t="str">
        <f>IFERROR(__xludf.DUMMYFUNCTION("""COMPUTED_VALUE"""),"JyotirmayeeC02")</f>
        <v>JyotirmayeeC02</v>
      </c>
      <c r="C6113" s="8">
        <f>IFERROR(__xludf.DUMMYFUNCTION("""COMPUTED_VALUE"""),0.0)</f>
        <v>0</v>
      </c>
      <c r="D6113" s="8"/>
    </row>
    <row r="6114">
      <c r="A6114" s="9" t="str">
        <f>IFERROR(__xludf.DUMMYFUNCTION("""COMPUTED_VALUE"""),"Batch 302")</f>
        <v>Batch 302</v>
      </c>
      <c r="B6114" s="9" t="str">
        <f>IFERROR(__xludf.DUMMYFUNCTION("""COMPUTED_VALUE"""),"GowthamiC02")</f>
        <v>GowthamiC02</v>
      </c>
      <c r="C6114" s="8">
        <f>IFERROR(__xludf.DUMMYFUNCTION("""COMPUTED_VALUE"""),0.0)</f>
        <v>0</v>
      </c>
      <c r="D6114" s="8"/>
    </row>
    <row r="6115">
      <c r="A6115" s="9" t="str">
        <f>IFERROR(__xludf.DUMMYFUNCTION("""COMPUTED_VALUE"""),"Batch 302")</f>
        <v>Batch 302</v>
      </c>
      <c r="B6115" s="9" t="str">
        <f>IFERROR(__xludf.DUMMYFUNCTION("""COMPUTED_VALUE"""),"PraveenC02")</f>
        <v>PraveenC02</v>
      </c>
      <c r="C6115" s="8">
        <f>IFERROR(__xludf.DUMMYFUNCTION("""COMPUTED_VALUE"""),0.0)</f>
        <v>0</v>
      </c>
      <c r="D6115" s="8"/>
    </row>
    <row r="6116">
      <c r="A6116" s="9" t="str">
        <f>IFERROR(__xludf.DUMMYFUNCTION("""COMPUTED_VALUE"""),"Batch 302")</f>
        <v>Batch 302</v>
      </c>
      <c r="B6116" s="9" t="str">
        <f>IFERROR(__xludf.DUMMYFUNCTION("""COMPUTED_VALUE"""),"ChandanC02")</f>
        <v>ChandanC02</v>
      </c>
      <c r="C6116" s="8">
        <f>IFERROR(__xludf.DUMMYFUNCTION("""COMPUTED_VALUE"""),0.0)</f>
        <v>0</v>
      </c>
      <c r="D6116" s="8"/>
    </row>
    <row r="6117">
      <c r="A6117" s="9" t="str">
        <f>IFERROR(__xludf.DUMMYFUNCTION("""COMPUTED_VALUE"""),"Batch 302")</f>
        <v>Batch 302</v>
      </c>
      <c r="B6117" s="9" t="str">
        <f>IFERROR(__xludf.DUMMYFUNCTION("""COMPUTED_VALUE"""),"AyaanC02")</f>
        <v>AyaanC02</v>
      </c>
      <c r="C6117" s="8">
        <f>IFERROR(__xludf.DUMMYFUNCTION("""COMPUTED_VALUE"""),5.0)</f>
        <v>5</v>
      </c>
      <c r="D6117" s="8"/>
    </row>
    <row r="6118">
      <c r="A6118" s="9" t="str">
        <f>IFERROR(__xludf.DUMMYFUNCTION("""COMPUTED_VALUE"""),"Batch 302")</f>
        <v>Batch 302</v>
      </c>
      <c r="B6118" s="9" t="str">
        <f>IFERROR(__xludf.DUMMYFUNCTION("""COMPUTED_VALUE"""),"AshutoshC02")</f>
        <v>AshutoshC02</v>
      </c>
      <c r="C6118" s="8">
        <f>IFERROR(__xludf.DUMMYFUNCTION("""COMPUTED_VALUE"""),0.0)</f>
        <v>0</v>
      </c>
      <c r="D6118" s="8"/>
    </row>
    <row r="6119">
      <c r="A6119" s="9" t="str">
        <f>IFERROR(__xludf.DUMMYFUNCTION("""COMPUTED_VALUE"""),"Batch 302")</f>
        <v>Batch 302</v>
      </c>
      <c r="B6119" s="9" t="str">
        <f>IFERROR(__xludf.DUMMYFUNCTION("""COMPUTED_VALUE"""),"DhruthiC02")</f>
        <v>DhruthiC02</v>
      </c>
      <c r="C6119" s="8">
        <f>IFERROR(__xludf.DUMMYFUNCTION("""COMPUTED_VALUE"""),0.0)</f>
        <v>0</v>
      </c>
      <c r="D6119" s="8"/>
    </row>
    <row r="6120">
      <c r="A6120" s="9" t="str">
        <f>IFERROR(__xludf.DUMMYFUNCTION("""COMPUTED_VALUE"""),"Batch 302")</f>
        <v>Batch 302</v>
      </c>
      <c r="B6120" s="9" t="str">
        <f>IFERROR(__xludf.DUMMYFUNCTION("""COMPUTED_VALUE"""),"RashikaC02")</f>
        <v>RashikaC02</v>
      </c>
      <c r="C6120" s="8">
        <f>IFERROR(__xludf.DUMMYFUNCTION("""COMPUTED_VALUE"""),0.0)</f>
        <v>0</v>
      </c>
      <c r="D6120" s="8"/>
    </row>
    <row r="6121">
      <c r="A6121" s="9" t="str">
        <f>IFERROR(__xludf.DUMMYFUNCTION("""COMPUTED_VALUE"""),"Batch 302")</f>
        <v>Batch 302</v>
      </c>
      <c r="B6121" s="9" t="str">
        <f>IFERROR(__xludf.DUMMYFUNCTION("""COMPUTED_VALUE"""),"VishuGoyalC02")</f>
        <v>VishuGoyalC02</v>
      </c>
      <c r="C6121" s="8">
        <f>IFERROR(__xludf.DUMMYFUNCTION("""COMPUTED_VALUE"""),0.0)</f>
        <v>0</v>
      </c>
      <c r="D6121" s="8"/>
    </row>
    <row r="6122">
      <c r="A6122" s="9" t="str">
        <f>IFERROR(__xludf.DUMMYFUNCTION("""COMPUTED_VALUE"""),"Batch 302")</f>
        <v>Batch 302</v>
      </c>
      <c r="B6122" s="9" t="str">
        <f>IFERROR(__xludf.DUMMYFUNCTION("""COMPUTED_VALUE"""),"ANKITC02")</f>
        <v>ANKITC02</v>
      </c>
      <c r="C6122" s="8">
        <f>IFERROR(__xludf.DUMMYFUNCTION("""COMPUTED_VALUE"""),0.0)</f>
        <v>0</v>
      </c>
      <c r="D6122" s="8"/>
    </row>
    <row r="6123">
      <c r="A6123" s="9" t="str">
        <f>IFERROR(__xludf.DUMMYFUNCTION("""COMPUTED_VALUE"""),"Batch 302")</f>
        <v>Batch 302</v>
      </c>
      <c r="B6123" s="9" t="str">
        <f>IFERROR(__xludf.DUMMYFUNCTION("""COMPUTED_VALUE"""),"BhavnaC02")</f>
        <v>BhavnaC02</v>
      </c>
      <c r="C6123" s="8">
        <f>IFERROR(__xludf.DUMMYFUNCTION("""COMPUTED_VALUE"""),0.0)</f>
        <v>0</v>
      </c>
      <c r="D6123" s="8"/>
    </row>
    <row r="6124">
      <c r="A6124" s="9" t="str">
        <f>IFERROR(__xludf.DUMMYFUNCTION("""COMPUTED_VALUE"""),"Batch 302")</f>
        <v>Batch 302</v>
      </c>
      <c r="B6124" s="9" t="str">
        <f>IFERROR(__xludf.DUMMYFUNCTION("""COMPUTED_VALUE"""),"priyankaC02")</f>
        <v>priyankaC02</v>
      </c>
      <c r="C6124" s="8">
        <f>IFERROR(__xludf.DUMMYFUNCTION("""COMPUTED_VALUE"""),0.0)</f>
        <v>0</v>
      </c>
      <c r="D6124" s="8"/>
    </row>
    <row r="6125">
      <c r="A6125" s="9" t="str">
        <f>IFERROR(__xludf.DUMMYFUNCTION("""COMPUTED_VALUE"""),"Batch 302")</f>
        <v>Batch 302</v>
      </c>
      <c r="B6125" s="9" t="str">
        <f>IFERROR(__xludf.DUMMYFUNCTION("""COMPUTED_VALUE"""),"RohitC02")</f>
        <v>RohitC02</v>
      </c>
      <c r="C6125" s="8">
        <f>IFERROR(__xludf.DUMMYFUNCTION("""COMPUTED_VALUE"""),0.0)</f>
        <v>0</v>
      </c>
      <c r="D6125" s="8"/>
    </row>
    <row r="6126">
      <c r="A6126" s="9" t="str">
        <f>IFERROR(__xludf.DUMMYFUNCTION("""COMPUTED_VALUE"""),"Batch 302")</f>
        <v>Batch 302</v>
      </c>
      <c r="B6126" s="9" t="str">
        <f>IFERROR(__xludf.DUMMYFUNCTION("""COMPUTED_VALUE"""),"JayatiC02")</f>
        <v>JayatiC02</v>
      </c>
      <c r="C6126" s="8">
        <f>IFERROR(__xludf.DUMMYFUNCTION("""COMPUTED_VALUE"""),0.0)</f>
        <v>0</v>
      </c>
      <c r="D6126" s="8"/>
    </row>
    <row r="6127">
      <c r="A6127" s="9" t="str">
        <f>IFERROR(__xludf.DUMMYFUNCTION("""COMPUTED_VALUE"""),"Batch 302")</f>
        <v>Batch 302</v>
      </c>
      <c r="B6127" s="9" t="str">
        <f>IFERROR(__xludf.DUMMYFUNCTION("""COMPUTED_VALUE"""),"RishabhC02")</f>
        <v>RishabhC02</v>
      </c>
      <c r="C6127" s="8">
        <f>IFERROR(__xludf.DUMMYFUNCTION("""COMPUTED_VALUE"""),0.0)</f>
        <v>0</v>
      </c>
      <c r="D6127" s="8"/>
    </row>
    <row r="6128">
      <c r="A6128" s="9" t="str">
        <f>IFERROR(__xludf.DUMMYFUNCTION("""COMPUTED_VALUE"""),"Batch 302")</f>
        <v>Batch 302</v>
      </c>
      <c r="B6128" s="9" t="str">
        <f>IFERROR(__xludf.DUMMYFUNCTION("""COMPUTED_VALUE"""),"AkshatC02")</f>
        <v>AkshatC02</v>
      </c>
      <c r="C6128" s="8">
        <f>IFERROR(__xludf.DUMMYFUNCTION("""COMPUTED_VALUE"""),0.0)</f>
        <v>0</v>
      </c>
      <c r="D6128" s="8"/>
    </row>
    <row r="6129">
      <c r="A6129" s="9" t="str">
        <f>IFERROR(__xludf.DUMMYFUNCTION("""COMPUTED_VALUE"""),"Batch 302")</f>
        <v>Batch 302</v>
      </c>
      <c r="B6129" s="9" t="str">
        <f>IFERROR(__xludf.DUMMYFUNCTION("""COMPUTED_VALUE"""),"AyushC02")</f>
        <v>AyushC02</v>
      </c>
      <c r="C6129" s="8">
        <f>IFERROR(__xludf.DUMMYFUNCTION("""COMPUTED_VALUE"""),0.0)</f>
        <v>0</v>
      </c>
      <c r="D6129" s="8"/>
    </row>
    <row r="6130">
      <c r="A6130" s="9" t="str">
        <f>IFERROR(__xludf.DUMMYFUNCTION("""COMPUTED_VALUE"""),"Batch 302")</f>
        <v>Batch 302</v>
      </c>
      <c r="B6130" s="9" t="str">
        <f>IFERROR(__xludf.DUMMYFUNCTION("""COMPUTED_VALUE"""),"SowmyaC02")</f>
        <v>SowmyaC02</v>
      </c>
      <c r="C6130" s="8">
        <f>IFERROR(__xludf.DUMMYFUNCTION("""COMPUTED_VALUE"""),0.0)</f>
        <v>0</v>
      </c>
      <c r="D6130" s="8"/>
    </row>
    <row r="6131">
      <c r="A6131" s="9" t="str">
        <f>IFERROR(__xludf.DUMMYFUNCTION("""COMPUTED_VALUE"""),"Batch 302")</f>
        <v>Batch 302</v>
      </c>
      <c r="B6131" s="9" t="str">
        <f>IFERROR(__xludf.DUMMYFUNCTION("""COMPUTED_VALUE"""),"MILANC02")</f>
        <v>MILANC02</v>
      </c>
      <c r="C6131" s="8">
        <f>IFERROR(__xludf.DUMMYFUNCTION("""COMPUTED_VALUE"""),0.0)</f>
        <v>0</v>
      </c>
      <c r="D6131" s="8"/>
    </row>
    <row r="6132">
      <c r="A6132" s="9" t="str">
        <f>IFERROR(__xludf.DUMMYFUNCTION("""COMPUTED_VALUE"""),"Batch 302")</f>
        <v>Batch 302</v>
      </c>
      <c r="B6132" s="9" t="str">
        <f>IFERROR(__xludf.DUMMYFUNCTION("""COMPUTED_VALUE"""),"SanilC02")</f>
        <v>SanilC02</v>
      </c>
      <c r="C6132" s="8">
        <f>IFERROR(__xludf.DUMMYFUNCTION("""COMPUTED_VALUE"""),28.0)</f>
        <v>28</v>
      </c>
      <c r="D6132" s="8">
        <f>IFERROR(__xludf.DUMMYFUNCTION("""COMPUTED_VALUE"""),1.0)</f>
        <v>1</v>
      </c>
    </row>
    <row r="6133">
      <c r="A6133" s="9" t="str">
        <f>IFERROR(__xludf.DUMMYFUNCTION("""COMPUTED_VALUE"""),"Batch 302")</f>
        <v>Batch 302</v>
      </c>
      <c r="B6133" s="9" t="str">
        <f>IFERROR(__xludf.DUMMYFUNCTION("""COMPUTED_VALUE"""),"PriteshC02")</f>
        <v>PriteshC02</v>
      </c>
      <c r="C6133" s="8">
        <f>IFERROR(__xludf.DUMMYFUNCTION("""COMPUTED_VALUE"""),0.0)</f>
        <v>0</v>
      </c>
      <c r="D6133" s="8"/>
    </row>
    <row r="6134">
      <c r="A6134" s="9" t="str">
        <f>IFERROR(__xludf.DUMMYFUNCTION("""COMPUTED_VALUE"""),"Batch 302")</f>
        <v>Batch 302</v>
      </c>
      <c r="B6134" s="9" t="str">
        <f>IFERROR(__xludf.DUMMYFUNCTION("""COMPUTED_VALUE"""),"MayurC02")</f>
        <v>MayurC02</v>
      </c>
      <c r="C6134" s="8">
        <f>IFERROR(__xludf.DUMMYFUNCTION("""COMPUTED_VALUE"""),0.0)</f>
        <v>0</v>
      </c>
      <c r="D6134" s="8"/>
    </row>
    <row r="6135">
      <c r="A6135" s="9"/>
      <c r="B6135" s="9"/>
      <c r="C6135" s="8">
        <f>IFERROR(__xludf.DUMMYFUNCTION("""COMPUTED_VALUE"""),0.0)</f>
        <v>0</v>
      </c>
      <c r="D6135" s="8"/>
    </row>
    <row r="6136">
      <c r="A6136" s="9" t="str">
        <f>IFERROR(__xludf.DUMMYFUNCTION("""COMPUTED_VALUE"""),"Batch 303")</f>
        <v>Batch 303</v>
      </c>
      <c r="B6136" s="9" t="str">
        <f>IFERROR(__xludf.DUMMYFUNCTION("""COMPUTED_VALUE"""),"PrashantC03")</f>
        <v>PrashantC03</v>
      </c>
      <c r="C6136" s="8">
        <f>IFERROR(__xludf.DUMMYFUNCTION("""COMPUTED_VALUE"""),0.0)</f>
        <v>0</v>
      </c>
      <c r="D6136" s="8"/>
    </row>
    <row r="6137">
      <c r="A6137" s="9" t="str">
        <f>IFERROR(__xludf.DUMMYFUNCTION("""COMPUTED_VALUE"""),"Batch 303")</f>
        <v>Batch 303</v>
      </c>
      <c r="B6137" s="9" t="str">
        <f>IFERROR(__xludf.DUMMYFUNCTION("""COMPUTED_VALUE"""),"AtharvC03")</f>
        <v>AtharvC03</v>
      </c>
      <c r="C6137" s="8">
        <f>IFERROR(__xludf.DUMMYFUNCTION("""COMPUTED_VALUE"""),0.0)</f>
        <v>0</v>
      </c>
      <c r="D6137" s="8"/>
    </row>
    <row r="6138">
      <c r="A6138" s="9" t="str">
        <f>IFERROR(__xludf.DUMMYFUNCTION("""COMPUTED_VALUE"""),"Batch 303")</f>
        <v>Batch 303</v>
      </c>
      <c r="B6138" s="9" t="str">
        <f>IFERROR(__xludf.DUMMYFUNCTION("""COMPUTED_VALUE"""),"RachitC03")</f>
        <v>RachitC03</v>
      </c>
      <c r="C6138" s="8">
        <f>IFERROR(__xludf.DUMMYFUNCTION("""COMPUTED_VALUE"""),0.0)</f>
        <v>0</v>
      </c>
      <c r="D6138" s="8"/>
    </row>
    <row r="6139">
      <c r="A6139" s="9" t="str">
        <f>IFERROR(__xludf.DUMMYFUNCTION("""COMPUTED_VALUE"""),"Batch 303")</f>
        <v>Batch 303</v>
      </c>
      <c r="B6139" s="9" t="str">
        <f>IFERROR(__xludf.DUMMYFUNCTION("""COMPUTED_VALUE"""),"AasthaC03")</f>
        <v>AasthaC03</v>
      </c>
      <c r="C6139" s="8">
        <f>IFERROR(__xludf.DUMMYFUNCTION("""COMPUTED_VALUE"""),0.0)</f>
        <v>0</v>
      </c>
      <c r="D6139" s="8"/>
    </row>
    <row r="6140">
      <c r="A6140" s="9" t="str">
        <f>IFERROR(__xludf.DUMMYFUNCTION("""COMPUTED_VALUE"""),"Batch 303")</f>
        <v>Batch 303</v>
      </c>
      <c r="B6140" s="9" t="str">
        <f>IFERROR(__xludf.DUMMYFUNCTION("""COMPUTED_VALUE"""),"NishaC03")</f>
        <v>NishaC03</v>
      </c>
      <c r="C6140" s="8">
        <f>IFERROR(__xludf.DUMMYFUNCTION("""COMPUTED_VALUE"""),0.0)</f>
        <v>0</v>
      </c>
      <c r="D6140" s="8"/>
    </row>
    <row r="6141">
      <c r="A6141" s="9" t="str">
        <f>IFERROR(__xludf.DUMMYFUNCTION("""COMPUTED_VALUE"""),"Batch 303")</f>
        <v>Batch 303</v>
      </c>
      <c r="B6141" s="9" t="str">
        <f>IFERROR(__xludf.DUMMYFUNCTION("""COMPUTED_VALUE"""),"KrishangC03")</f>
        <v>KrishangC03</v>
      </c>
      <c r="C6141" s="8">
        <f>IFERROR(__xludf.DUMMYFUNCTION("""COMPUTED_VALUE"""),0.0)</f>
        <v>0</v>
      </c>
      <c r="D6141" s="8"/>
    </row>
    <row r="6142">
      <c r="A6142" s="9" t="str">
        <f>IFERROR(__xludf.DUMMYFUNCTION("""COMPUTED_VALUE"""),"Batch 303")</f>
        <v>Batch 303</v>
      </c>
      <c r="B6142" s="9" t="str">
        <f>IFERROR(__xludf.DUMMYFUNCTION("""COMPUTED_VALUE"""),"SAYANTANC03")</f>
        <v>SAYANTANC03</v>
      </c>
      <c r="C6142" s="8">
        <f>IFERROR(__xludf.DUMMYFUNCTION("""COMPUTED_VALUE"""),10.0)</f>
        <v>10</v>
      </c>
      <c r="D6142" s="8"/>
    </row>
    <row r="6143">
      <c r="A6143" s="9" t="str">
        <f>IFERROR(__xludf.DUMMYFUNCTION("""COMPUTED_VALUE"""),"Batch 303")</f>
        <v>Batch 303</v>
      </c>
      <c r="B6143" s="9" t="str">
        <f>IFERROR(__xludf.DUMMYFUNCTION("""COMPUTED_VALUE"""),"NikhilC03")</f>
        <v>NikhilC03</v>
      </c>
      <c r="C6143" s="8">
        <f>IFERROR(__xludf.DUMMYFUNCTION("""COMPUTED_VALUE"""),0.0)</f>
        <v>0</v>
      </c>
      <c r="D6143" s="8"/>
    </row>
    <row r="6144">
      <c r="A6144" s="9" t="str">
        <f>IFERROR(__xludf.DUMMYFUNCTION("""COMPUTED_VALUE"""),"Batch 303")</f>
        <v>Batch 303</v>
      </c>
      <c r="B6144" s="9" t="str">
        <f>IFERROR(__xludf.DUMMYFUNCTION("""COMPUTED_VALUE"""),"KavyaC03")</f>
        <v>KavyaC03</v>
      </c>
      <c r="C6144" s="8">
        <f>IFERROR(__xludf.DUMMYFUNCTION("""COMPUTED_VALUE"""),0.0)</f>
        <v>0</v>
      </c>
      <c r="D6144" s="8"/>
    </row>
    <row r="6145">
      <c r="A6145" s="9" t="str">
        <f>IFERROR(__xludf.DUMMYFUNCTION("""COMPUTED_VALUE"""),"Batch 303")</f>
        <v>Batch 303</v>
      </c>
      <c r="B6145" s="9" t="str">
        <f>IFERROR(__xludf.DUMMYFUNCTION("""COMPUTED_VALUE"""),"ANKITC03")</f>
        <v>ANKITC03</v>
      </c>
      <c r="C6145" s="8">
        <f>IFERROR(__xludf.DUMMYFUNCTION("""COMPUTED_VALUE"""),0.0)</f>
        <v>0</v>
      </c>
      <c r="D6145" s="8"/>
    </row>
    <row r="6146">
      <c r="A6146" s="9" t="str">
        <f>IFERROR(__xludf.DUMMYFUNCTION("""COMPUTED_VALUE"""),"Batch 303")</f>
        <v>Batch 303</v>
      </c>
      <c r="B6146" s="9" t="str">
        <f>IFERROR(__xludf.DUMMYFUNCTION("""COMPUTED_VALUE"""),"BhavnaC03")</f>
        <v>BhavnaC03</v>
      </c>
      <c r="C6146" s="8">
        <f>IFERROR(__xludf.DUMMYFUNCTION("""COMPUTED_VALUE"""),0.0)</f>
        <v>0</v>
      </c>
      <c r="D6146" s="8"/>
    </row>
    <row r="6147">
      <c r="A6147" s="9" t="str">
        <f>IFERROR(__xludf.DUMMYFUNCTION("""COMPUTED_VALUE"""),"Batch 303")</f>
        <v>Batch 303</v>
      </c>
      <c r="B6147" s="9" t="str">
        <f>IFERROR(__xludf.DUMMYFUNCTION("""COMPUTED_VALUE"""),"priyankaC03")</f>
        <v>priyankaC03</v>
      </c>
      <c r="C6147" s="8">
        <f>IFERROR(__xludf.DUMMYFUNCTION("""COMPUTED_VALUE"""),0.0)</f>
        <v>0</v>
      </c>
      <c r="D6147" s="8"/>
    </row>
    <row r="6148">
      <c r="A6148" s="9" t="str">
        <f>IFERROR(__xludf.DUMMYFUNCTION("""COMPUTED_VALUE"""),"Batch 303")</f>
        <v>Batch 303</v>
      </c>
      <c r="B6148" s="9" t="str">
        <f>IFERROR(__xludf.DUMMYFUNCTION("""COMPUTED_VALUE"""),"RohitC03")</f>
        <v>RohitC03</v>
      </c>
      <c r="C6148" s="8">
        <f>IFERROR(__xludf.DUMMYFUNCTION("""COMPUTED_VALUE"""),0.0)</f>
        <v>0</v>
      </c>
      <c r="D6148" s="8"/>
    </row>
    <row r="6149">
      <c r="A6149" s="9" t="str">
        <f>IFERROR(__xludf.DUMMYFUNCTION("""COMPUTED_VALUE"""),"Batch 303")</f>
        <v>Batch 303</v>
      </c>
      <c r="B6149" s="9" t="str">
        <f>IFERROR(__xludf.DUMMYFUNCTION("""COMPUTED_VALUE"""),"JayatiC03")</f>
        <v>JayatiC03</v>
      </c>
      <c r="C6149" s="8">
        <f>IFERROR(__xludf.DUMMYFUNCTION("""COMPUTED_VALUE"""),0.0)</f>
        <v>0</v>
      </c>
      <c r="D6149" s="8"/>
    </row>
    <row r="6150">
      <c r="A6150" s="9" t="str">
        <f>IFERROR(__xludf.DUMMYFUNCTION("""COMPUTED_VALUE"""),"Batch 303")</f>
        <v>Batch 303</v>
      </c>
      <c r="B6150" s="9" t="str">
        <f>IFERROR(__xludf.DUMMYFUNCTION("""COMPUTED_VALUE"""),"RishabhC03")</f>
        <v>RishabhC03</v>
      </c>
      <c r="C6150" s="8">
        <f>IFERROR(__xludf.DUMMYFUNCTION("""COMPUTED_VALUE"""),0.0)</f>
        <v>0</v>
      </c>
      <c r="D6150" s="8"/>
    </row>
    <row r="6151">
      <c r="A6151" s="9" t="str">
        <f>IFERROR(__xludf.DUMMYFUNCTION("""COMPUTED_VALUE"""),"Batch 303")</f>
        <v>Batch 303</v>
      </c>
      <c r="B6151" s="9" t="str">
        <f>IFERROR(__xludf.DUMMYFUNCTION("""COMPUTED_VALUE"""),"AkshatC03")</f>
        <v>AkshatC03</v>
      </c>
      <c r="C6151" s="8">
        <f>IFERROR(__xludf.DUMMYFUNCTION("""COMPUTED_VALUE"""),0.0)</f>
        <v>0</v>
      </c>
      <c r="D6151" s="8"/>
    </row>
    <row r="6152">
      <c r="A6152" s="9" t="str">
        <f>IFERROR(__xludf.DUMMYFUNCTION("""COMPUTED_VALUE"""),"Batch 303")</f>
        <v>Batch 303</v>
      </c>
      <c r="B6152" s="9" t="str">
        <f>IFERROR(__xludf.DUMMYFUNCTION("""COMPUTED_VALUE"""),"RohitC03")</f>
        <v>RohitC03</v>
      </c>
      <c r="C6152" s="8">
        <f>IFERROR(__xludf.DUMMYFUNCTION("""COMPUTED_VALUE"""),0.0)</f>
        <v>0</v>
      </c>
      <c r="D6152" s="8"/>
    </row>
    <row r="6153">
      <c r="A6153" s="9" t="str">
        <f>IFERROR(__xludf.DUMMYFUNCTION("""COMPUTED_VALUE"""),"Batch 303")</f>
        <v>Batch 303</v>
      </c>
      <c r="B6153" s="9" t="str">
        <f>IFERROR(__xludf.DUMMYFUNCTION("""COMPUTED_VALUE"""),"AyushC03")</f>
        <v>AyushC03</v>
      </c>
      <c r="C6153" s="8">
        <f>IFERROR(__xludf.DUMMYFUNCTION("""COMPUTED_VALUE"""),0.0)</f>
        <v>0</v>
      </c>
      <c r="D6153" s="8"/>
    </row>
    <row r="6154">
      <c r="A6154" s="9" t="str">
        <f>IFERROR(__xludf.DUMMYFUNCTION("""COMPUTED_VALUE"""),"Batch 303")</f>
        <v>Batch 303</v>
      </c>
      <c r="B6154" s="9" t="str">
        <f>IFERROR(__xludf.DUMMYFUNCTION("""COMPUTED_VALUE"""),"SowmyaC03")</f>
        <v>SowmyaC03</v>
      </c>
      <c r="C6154" s="8">
        <f>IFERROR(__xludf.DUMMYFUNCTION("""COMPUTED_VALUE"""),0.0)</f>
        <v>0</v>
      </c>
      <c r="D6154" s="8"/>
    </row>
    <row r="6155">
      <c r="A6155" s="9" t="str">
        <f>IFERROR(__xludf.DUMMYFUNCTION("""COMPUTED_VALUE"""),"Batch 303")</f>
        <v>Batch 303</v>
      </c>
      <c r="B6155" s="9" t="str">
        <f>IFERROR(__xludf.DUMMYFUNCTION("""COMPUTED_VALUE"""),"MILANC03")</f>
        <v>MILANC03</v>
      </c>
      <c r="C6155" s="8">
        <f>IFERROR(__xludf.DUMMYFUNCTION("""COMPUTED_VALUE"""),0.0)</f>
        <v>0</v>
      </c>
      <c r="D6155" s="8"/>
    </row>
    <row r="6156">
      <c r="A6156" s="9" t="str">
        <f>IFERROR(__xludf.DUMMYFUNCTION("""COMPUTED_VALUE"""),"Batch 303")</f>
        <v>Batch 303</v>
      </c>
      <c r="B6156" s="9" t="str">
        <f>IFERROR(__xludf.DUMMYFUNCTION("""COMPUTED_VALUE"""),"SanilC03")</f>
        <v>SanilC03</v>
      </c>
      <c r="C6156" s="8">
        <f>IFERROR(__xludf.DUMMYFUNCTION("""COMPUTED_VALUE"""),0.0)</f>
        <v>0</v>
      </c>
      <c r="D6156" s="8"/>
    </row>
    <row r="6157">
      <c r="A6157" s="9" t="str">
        <f>IFERROR(__xludf.DUMMYFUNCTION("""COMPUTED_VALUE"""),"Batch 303")</f>
        <v>Batch 303</v>
      </c>
      <c r="B6157" s="9" t="str">
        <f>IFERROR(__xludf.DUMMYFUNCTION("""COMPUTED_VALUE"""),"PriteshC03")</f>
        <v>PriteshC03</v>
      </c>
      <c r="C6157" s="8">
        <f>IFERROR(__xludf.DUMMYFUNCTION("""COMPUTED_VALUE"""),0.0)</f>
        <v>0</v>
      </c>
      <c r="D6157" s="8"/>
    </row>
    <row r="6158">
      <c r="A6158" s="9" t="str">
        <f>IFERROR(__xludf.DUMMYFUNCTION("""COMPUTED_VALUE"""),"Batch 303")</f>
        <v>Batch 303</v>
      </c>
      <c r="B6158" s="9" t="str">
        <f>IFERROR(__xludf.DUMMYFUNCTION("""COMPUTED_VALUE"""),"MayurC03")</f>
        <v>MayurC03</v>
      </c>
      <c r="C6158" s="8">
        <f>IFERROR(__xludf.DUMMYFUNCTION("""COMPUTED_VALUE"""),0.0)</f>
        <v>0</v>
      </c>
      <c r="D6158" s="8"/>
    </row>
    <row r="6159">
      <c r="A6159" s="9"/>
      <c r="B6159" s="9"/>
      <c r="C6159" s="8">
        <f>IFERROR(__xludf.DUMMYFUNCTION("""COMPUTED_VALUE"""),0.0)</f>
        <v>0</v>
      </c>
      <c r="D6159" s="8"/>
    </row>
    <row r="6160">
      <c r="A6160" s="9" t="str">
        <f>IFERROR(__xludf.DUMMYFUNCTION("""COMPUTED_VALUE"""),"Batch 304")</f>
        <v>Batch 304</v>
      </c>
      <c r="B6160" s="9" t="str">
        <f>IFERROR(__xludf.DUMMYFUNCTION("""COMPUTED_VALUE"""),"PriyanshuC04")</f>
        <v>PriyanshuC04</v>
      </c>
      <c r="C6160" s="8">
        <f>IFERROR(__xludf.DUMMYFUNCTION("""COMPUTED_VALUE"""),0.0)</f>
        <v>0</v>
      </c>
      <c r="D6160" s="8"/>
    </row>
    <row r="6161">
      <c r="A6161" s="9" t="str">
        <f>IFERROR(__xludf.DUMMYFUNCTION("""COMPUTED_VALUE"""),"Batch 304")</f>
        <v>Batch 304</v>
      </c>
      <c r="B6161" s="9" t="str">
        <f>IFERROR(__xludf.DUMMYFUNCTION("""COMPUTED_VALUE"""),"YanaC04")</f>
        <v>YanaC04</v>
      </c>
      <c r="C6161" s="8">
        <f>IFERROR(__xludf.DUMMYFUNCTION("""COMPUTED_VALUE"""),0.0)</f>
        <v>0</v>
      </c>
      <c r="D6161" s="8"/>
    </row>
    <row r="6162">
      <c r="A6162" s="9" t="str">
        <f>IFERROR(__xludf.DUMMYFUNCTION("""COMPUTED_VALUE"""),"Batch 304")</f>
        <v>Batch 304</v>
      </c>
      <c r="B6162" s="9" t="str">
        <f>IFERROR(__xludf.DUMMYFUNCTION("""COMPUTED_VALUE"""),"vivekC04")</f>
        <v>vivekC04</v>
      </c>
      <c r="C6162" s="8">
        <f>IFERROR(__xludf.DUMMYFUNCTION("""COMPUTED_VALUE"""),0.0)</f>
        <v>0</v>
      </c>
      <c r="D6162" s="8"/>
    </row>
    <row r="6163">
      <c r="A6163" s="9" t="str">
        <f>IFERROR(__xludf.DUMMYFUNCTION("""COMPUTED_VALUE"""),"Batch 304")</f>
        <v>Batch 304</v>
      </c>
      <c r="B6163" s="9" t="str">
        <f>IFERROR(__xludf.DUMMYFUNCTION("""COMPUTED_VALUE"""),"DevanshC04")</f>
        <v>DevanshC04</v>
      </c>
      <c r="C6163" s="8">
        <f>IFERROR(__xludf.DUMMYFUNCTION("""COMPUTED_VALUE"""),0.0)</f>
        <v>0</v>
      </c>
      <c r="D6163" s="8"/>
    </row>
    <row r="6164">
      <c r="A6164" s="9" t="str">
        <f>IFERROR(__xludf.DUMMYFUNCTION("""COMPUTED_VALUE"""),"Batch 304")</f>
        <v>Batch 304</v>
      </c>
      <c r="B6164" s="9" t="str">
        <f>IFERROR(__xludf.DUMMYFUNCTION("""COMPUTED_VALUE"""),"AnanshiC04")</f>
        <v>AnanshiC04</v>
      </c>
      <c r="C6164" s="8">
        <f>IFERROR(__xludf.DUMMYFUNCTION("""COMPUTED_VALUE"""),0.0)</f>
        <v>0</v>
      </c>
      <c r="D6164" s="8"/>
    </row>
    <row r="6165">
      <c r="A6165" s="9" t="str">
        <f>IFERROR(__xludf.DUMMYFUNCTION("""COMPUTED_VALUE"""),"Batch 304")</f>
        <v>Batch 304</v>
      </c>
      <c r="B6165" s="9" t="str">
        <f>IFERROR(__xludf.DUMMYFUNCTION("""COMPUTED_VALUE"""),"SamriddhiC04")</f>
        <v>SamriddhiC04</v>
      </c>
      <c r="C6165" s="8">
        <f>IFERROR(__xludf.DUMMYFUNCTION("""COMPUTED_VALUE"""),0.0)</f>
        <v>0</v>
      </c>
      <c r="D6165" s="8"/>
    </row>
    <row r="6166">
      <c r="A6166" s="9" t="str">
        <f>IFERROR(__xludf.DUMMYFUNCTION("""COMPUTED_VALUE"""),"Batch 304")</f>
        <v>Batch 304</v>
      </c>
      <c r="B6166" s="9" t="str">
        <f>IFERROR(__xludf.DUMMYFUNCTION("""COMPUTED_VALUE"""),"SuryanshC04")</f>
        <v>SuryanshC04</v>
      </c>
      <c r="C6166" s="8">
        <f>IFERROR(__xludf.DUMMYFUNCTION("""COMPUTED_VALUE"""),0.0)</f>
        <v>0</v>
      </c>
      <c r="D6166" s="8"/>
    </row>
    <row r="6167">
      <c r="A6167" s="9" t="str">
        <f>IFERROR(__xludf.DUMMYFUNCTION("""COMPUTED_VALUE"""),"Batch 304")</f>
        <v>Batch 304</v>
      </c>
      <c r="B6167" s="9" t="str">
        <f>IFERROR(__xludf.DUMMYFUNCTION("""COMPUTED_VALUE"""),"PakaC04")</f>
        <v>PakaC04</v>
      </c>
      <c r="C6167" s="8">
        <f>IFERROR(__xludf.DUMMYFUNCTION("""COMPUTED_VALUE"""),0.0)</f>
        <v>0</v>
      </c>
      <c r="D6167" s="8"/>
    </row>
    <row r="6168">
      <c r="A6168" s="9" t="str">
        <f>IFERROR(__xludf.DUMMYFUNCTION("""COMPUTED_VALUE"""),"Batch 304")</f>
        <v>Batch 304</v>
      </c>
      <c r="B6168" s="9" t="str">
        <f>IFERROR(__xludf.DUMMYFUNCTION("""COMPUTED_VALUE"""),"SiddhiC04")</f>
        <v>SiddhiC04</v>
      </c>
      <c r="C6168" s="8">
        <f>IFERROR(__xludf.DUMMYFUNCTION("""COMPUTED_VALUE"""),0.0)</f>
        <v>0</v>
      </c>
      <c r="D6168" s="8"/>
    </row>
    <row r="6169">
      <c r="A6169" s="9" t="str">
        <f>IFERROR(__xludf.DUMMYFUNCTION("""COMPUTED_VALUE"""),"Batch 304")</f>
        <v>Batch 304</v>
      </c>
      <c r="B6169" s="9" t="str">
        <f>IFERROR(__xludf.DUMMYFUNCTION("""COMPUTED_VALUE"""),"SoumilC04")</f>
        <v>SoumilC04</v>
      </c>
      <c r="C6169" s="8">
        <f>IFERROR(__xludf.DUMMYFUNCTION("""COMPUTED_VALUE"""),0.0)</f>
        <v>0</v>
      </c>
      <c r="D6169" s="8"/>
    </row>
    <row r="6170">
      <c r="A6170" s="9" t="str">
        <f>IFERROR(__xludf.DUMMYFUNCTION("""COMPUTED_VALUE"""),"Batch 304")</f>
        <v>Batch 304</v>
      </c>
      <c r="B6170" s="9" t="str">
        <f>IFERROR(__xludf.DUMMYFUNCTION("""COMPUTED_VALUE"""),"RebantaC04")</f>
        <v>RebantaC04</v>
      </c>
      <c r="C6170" s="8">
        <f>IFERROR(__xludf.DUMMYFUNCTION("""COMPUTED_VALUE"""),0.0)</f>
        <v>0</v>
      </c>
      <c r="D6170" s="8"/>
    </row>
    <row r="6171">
      <c r="A6171" s="9" t="str">
        <f>IFERROR(__xludf.DUMMYFUNCTION("""COMPUTED_VALUE"""),"Batch 304")</f>
        <v>Batch 304</v>
      </c>
      <c r="B6171" s="9" t="str">
        <f>IFERROR(__xludf.DUMMYFUNCTION("""COMPUTED_VALUE"""),"KhushiC04")</f>
        <v>KhushiC04</v>
      </c>
      <c r="C6171" s="8">
        <f>IFERROR(__xludf.DUMMYFUNCTION("""COMPUTED_VALUE"""),0.0)</f>
        <v>0</v>
      </c>
      <c r="D6171" s="8"/>
    </row>
    <row r="6172">
      <c r="A6172" s="9" t="str">
        <f>IFERROR(__xludf.DUMMYFUNCTION("""COMPUTED_VALUE"""),"Batch 304")</f>
        <v>Batch 304</v>
      </c>
      <c r="B6172" s="9" t="str">
        <f>IFERROR(__xludf.DUMMYFUNCTION("""COMPUTED_VALUE"""),"AmaanC04")</f>
        <v>AmaanC04</v>
      </c>
      <c r="C6172" s="8">
        <f>IFERROR(__xludf.DUMMYFUNCTION("""COMPUTED_VALUE"""),0.0)</f>
        <v>0</v>
      </c>
      <c r="D6172" s="8"/>
    </row>
    <row r="6173">
      <c r="A6173" s="9" t="str">
        <f>IFERROR(__xludf.DUMMYFUNCTION("""COMPUTED_VALUE"""),"Batch 304")</f>
        <v>Batch 304</v>
      </c>
      <c r="B6173" s="9" t="str">
        <f>IFERROR(__xludf.DUMMYFUNCTION("""COMPUTED_VALUE"""),"AnkitaC04")</f>
        <v>AnkitaC04</v>
      </c>
      <c r="C6173" s="8">
        <f>IFERROR(__xludf.DUMMYFUNCTION("""COMPUTED_VALUE"""),0.0)</f>
        <v>0</v>
      </c>
      <c r="D6173" s="8"/>
    </row>
    <row r="6174">
      <c r="A6174" s="9" t="str">
        <f>IFERROR(__xludf.DUMMYFUNCTION("""COMPUTED_VALUE"""),"Batch 304")</f>
        <v>Batch 304</v>
      </c>
      <c r="B6174" s="9" t="str">
        <f>IFERROR(__xludf.DUMMYFUNCTION("""COMPUTED_VALUE"""),"GeetikaC04")</f>
        <v>GeetikaC04</v>
      </c>
      <c r="C6174" s="8">
        <f>IFERROR(__xludf.DUMMYFUNCTION("""COMPUTED_VALUE"""),0.0)</f>
        <v>0</v>
      </c>
      <c r="D6174" s="8"/>
    </row>
    <row r="6175">
      <c r="A6175" s="9" t="str">
        <f>IFERROR(__xludf.DUMMYFUNCTION("""COMPUTED_VALUE"""),"Batch 304")</f>
        <v>Batch 304</v>
      </c>
      <c r="B6175" s="9" t="str">
        <f>IFERROR(__xludf.DUMMYFUNCTION("""COMPUTED_VALUE"""),"NityaC04")</f>
        <v>NityaC04</v>
      </c>
      <c r="C6175" s="8">
        <f>IFERROR(__xludf.DUMMYFUNCTION("""COMPUTED_VALUE"""),0.0)</f>
        <v>0</v>
      </c>
      <c r="D6175" s="8"/>
    </row>
    <row r="6176">
      <c r="A6176" s="9" t="str">
        <f>IFERROR(__xludf.DUMMYFUNCTION("""COMPUTED_VALUE"""),"Batch 304")</f>
        <v>Batch 304</v>
      </c>
      <c r="B6176" s="9" t="str">
        <f>IFERROR(__xludf.DUMMYFUNCTION("""COMPUTED_VALUE"""),"DeepakC04")</f>
        <v>DeepakC04</v>
      </c>
      <c r="C6176" s="8">
        <f>IFERROR(__xludf.DUMMYFUNCTION("""COMPUTED_VALUE"""),1.0)</f>
        <v>1</v>
      </c>
      <c r="D6176" s="8"/>
    </row>
    <row r="6177">
      <c r="A6177" s="9" t="str">
        <f>IFERROR(__xludf.DUMMYFUNCTION("""COMPUTED_VALUE"""),"Batch 304")</f>
        <v>Batch 304</v>
      </c>
      <c r="B6177" s="9" t="str">
        <f>IFERROR(__xludf.DUMMYFUNCTION("""COMPUTED_VALUE"""),"HarshC04")</f>
        <v>HarshC04</v>
      </c>
      <c r="C6177" s="8">
        <f>IFERROR(__xludf.DUMMYFUNCTION("""COMPUTED_VALUE"""),0.0)</f>
        <v>0</v>
      </c>
      <c r="D6177" s="8"/>
    </row>
    <row r="6178">
      <c r="A6178" s="9" t="str">
        <f>IFERROR(__xludf.DUMMYFUNCTION("""COMPUTED_VALUE"""),"Batch 304")</f>
        <v>Batch 304</v>
      </c>
      <c r="B6178" s="9" t="str">
        <f>IFERROR(__xludf.DUMMYFUNCTION("""COMPUTED_VALUE"""),"RounakC04")</f>
        <v>RounakC04</v>
      </c>
      <c r="C6178" s="8">
        <f>IFERROR(__xludf.DUMMYFUNCTION("""COMPUTED_VALUE"""),0.0)</f>
        <v>0</v>
      </c>
      <c r="D6178" s="8"/>
    </row>
    <row r="6179">
      <c r="A6179" s="9" t="str">
        <f>IFERROR(__xludf.DUMMYFUNCTION("""COMPUTED_VALUE"""),"Batch 304")</f>
        <v>Batch 304</v>
      </c>
      <c r="B6179" s="9" t="str">
        <f>IFERROR(__xludf.DUMMYFUNCTION("""COMPUTED_VALUE"""),"FathimathC04")</f>
        <v>FathimathC04</v>
      </c>
      <c r="C6179" s="8">
        <f>IFERROR(__xludf.DUMMYFUNCTION("""COMPUTED_VALUE"""),3.0)</f>
        <v>3</v>
      </c>
      <c r="D6179" s="8"/>
    </row>
    <row r="6180">
      <c r="A6180" s="9" t="str">
        <f>IFERROR(__xludf.DUMMYFUNCTION("""COMPUTED_VALUE"""),"Batch 304")</f>
        <v>Batch 304</v>
      </c>
      <c r="B6180" s="9" t="str">
        <f>IFERROR(__xludf.DUMMYFUNCTION("""COMPUTED_VALUE"""),"FaiquaC04")</f>
        <v>FaiquaC04</v>
      </c>
      <c r="C6180" s="8">
        <f>IFERROR(__xludf.DUMMYFUNCTION("""COMPUTED_VALUE"""),1.0)</f>
        <v>1</v>
      </c>
      <c r="D6180" s="8"/>
    </row>
    <row r="6181">
      <c r="A6181" s="9" t="str">
        <f>IFERROR(__xludf.DUMMYFUNCTION("""COMPUTED_VALUE"""),"Batch 304")</f>
        <v>Batch 304</v>
      </c>
      <c r="B6181" s="9" t="str">
        <f>IFERROR(__xludf.DUMMYFUNCTION("""COMPUTED_VALUE"""),"RoshniC04")</f>
        <v>RoshniC04</v>
      </c>
      <c r="C6181" s="8">
        <f>IFERROR(__xludf.DUMMYFUNCTION("""COMPUTED_VALUE"""),0.0)</f>
        <v>0</v>
      </c>
      <c r="D6181" s="8"/>
    </row>
    <row r="6182">
      <c r="A6182" s="9" t="str">
        <f>IFERROR(__xludf.DUMMYFUNCTION("""COMPUTED_VALUE"""),"Batch 304")</f>
        <v>Batch 304</v>
      </c>
      <c r="B6182" s="9" t="str">
        <f>IFERROR(__xludf.DUMMYFUNCTION("""COMPUTED_VALUE"""),"ArchitC04")</f>
        <v>ArchitC04</v>
      </c>
      <c r="C6182" s="8">
        <f>IFERROR(__xludf.DUMMYFUNCTION("""COMPUTED_VALUE"""),0.0)</f>
        <v>0</v>
      </c>
      <c r="D6182" s="8"/>
    </row>
    <row r="6183">
      <c r="A6183" s="9" t="str">
        <f>IFERROR(__xludf.DUMMYFUNCTION("""COMPUTED_VALUE"""),"Batch 304")</f>
        <v>Batch 304</v>
      </c>
      <c r="B6183" s="9" t="str">
        <f>IFERROR(__xludf.DUMMYFUNCTION("""COMPUTED_VALUE"""),"SufiyaC04")</f>
        <v>SufiyaC04</v>
      </c>
      <c r="C6183" s="8">
        <f>IFERROR(__xludf.DUMMYFUNCTION("""COMPUTED_VALUE"""),0.0)</f>
        <v>0</v>
      </c>
      <c r="D6183" s="8"/>
    </row>
    <row r="6184">
      <c r="A6184" s="9" t="str">
        <f>IFERROR(__xludf.DUMMYFUNCTION("""COMPUTED_VALUE"""),"Batch 304")</f>
        <v>Batch 304</v>
      </c>
      <c r="B6184" s="9" t="str">
        <f>IFERROR(__xludf.DUMMYFUNCTION("""COMPUTED_VALUE"""),"ShrutiC04")</f>
        <v>ShrutiC04</v>
      </c>
      <c r="C6184" s="8">
        <f>IFERROR(__xludf.DUMMYFUNCTION("""COMPUTED_VALUE"""),0.0)</f>
        <v>0</v>
      </c>
      <c r="D6184" s="8"/>
    </row>
    <row r="6185">
      <c r="A6185" s="9" t="str">
        <f>IFERROR(__xludf.DUMMYFUNCTION("""COMPUTED_VALUE"""),"Batch 304")</f>
        <v>Batch 304</v>
      </c>
      <c r="B6185" s="9" t="str">
        <f>IFERROR(__xludf.DUMMYFUNCTION("""COMPUTED_VALUE"""),"IshaC04")</f>
        <v>IshaC04</v>
      </c>
      <c r="C6185" s="8">
        <f>IFERROR(__xludf.DUMMYFUNCTION("""COMPUTED_VALUE"""),1.0)</f>
        <v>1</v>
      </c>
      <c r="D6185" s="8"/>
    </row>
    <row r="6186">
      <c r="A6186" s="9" t="str">
        <f>IFERROR(__xludf.DUMMYFUNCTION("""COMPUTED_VALUE"""),"Batch 304")</f>
        <v>Batch 304</v>
      </c>
      <c r="B6186" s="9" t="str">
        <f>IFERROR(__xludf.DUMMYFUNCTION("""COMPUTED_VALUE"""),"AshishC04")</f>
        <v>AshishC04</v>
      </c>
      <c r="C6186" s="8">
        <f>IFERROR(__xludf.DUMMYFUNCTION("""COMPUTED_VALUE"""),1.0)</f>
        <v>1</v>
      </c>
      <c r="D6186" s="8"/>
    </row>
    <row r="6187">
      <c r="A6187" s="9" t="str">
        <f>IFERROR(__xludf.DUMMYFUNCTION("""COMPUTED_VALUE"""),"Batch 304")</f>
        <v>Batch 304</v>
      </c>
      <c r="B6187" s="9" t="str">
        <f>IFERROR(__xludf.DUMMYFUNCTION("""COMPUTED_VALUE"""),"MayuriC04")</f>
        <v>MayuriC04</v>
      </c>
      <c r="C6187" s="8">
        <f>IFERROR(__xludf.DUMMYFUNCTION("""COMPUTED_VALUE"""),0.0)</f>
        <v>0</v>
      </c>
      <c r="D6187" s="8"/>
    </row>
    <row r="6188">
      <c r="A6188" s="9" t="str">
        <f>IFERROR(__xludf.DUMMYFUNCTION("""COMPUTED_VALUE"""),"Batch 304")</f>
        <v>Batch 304</v>
      </c>
      <c r="B6188" s="9" t="str">
        <f>IFERROR(__xludf.DUMMYFUNCTION("""COMPUTED_VALUE"""),"MoleeC04")</f>
        <v>MoleeC04</v>
      </c>
      <c r="C6188" s="8">
        <f>IFERROR(__xludf.DUMMYFUNCTION("""COMPUTED_VALUE"""),5.0)</f>
        <v>5</v>
      </c>
      <c r="D6188" s="8">
        <f>IFERROR(__xludf.DUMMYFUNCTION("""COMPUTED_VALUE"""),1.0)</f>
        <v>1</v>
      </c>
    </row>
    <row r="6189">
      <c r="A6189" s="9" t="str">
        <f>IFERROR(__xludf.DUMMYFUNCTION("""COMPUTED_VALUE"""),"Batch 304")</f>
        <v>Batch 304</v>
      </c>
      <c r="B6189" s="9" t="str">
        <f>IFERROR(__xludf.DUMMYFUNCTION("""COMPUTED_VALUE"""),"SumitC04")</f>
        <v>SumitC04</v>
      </c>
      <c r="C6189" s="8">
        <f>IFERROR(__xludf.DUMMYFUNCTION("""COMPUTED_VALUE"""),0.0)</f>
        <v>0</v>
      </c>
      <c r="D6189" s="8"/>
    </row>
    <row r="6190">
      <c r="A6190" s="9" t="str">
        <f>IFERROR(__xludf.DUMMYFUNCTION("""COMPUTED_VALUE"""),"Batch 304")</f>
        <v>Batch 304</v>
      </c>
      <c r="B6190" s="9" t="str">
        <f>IFERROR(__xludf.DUMMYFUNCTION("""COMPUTED_VALUE"""),"khushibC04")</f>
        <v>khushibC04</v>
      </c>
      <c r="C6190" s="8">
        <f>IFERROR(__xludf.DUMMYFUNCTION("""COMPUTED_VALUE"""),0.0)</f>
        <v>0</v>
      </c>
      <c r="D6190" s="8"/>
    </row>
    <row r="6191">
      <c r="A6191" s="9" t="str">
        <f>IFERROR(__xludf.DUMMYFUNCTION("""COMPUTED_VALUE"""),"Batch 304")</f>
        <v>Batch 304</v>
      </c>
      <c r="B6191" s="9" t="str">
        <f>IFERROR(__xludf.DUMMYFUNCTION("""COMPUTED_VALUE"""),"AyushiC04")</f>
        <v>AyushiC04</v>
      </c>
      <c r="C6191" s="8">
        <f>IFERROR(__xludf.DUMMYFUNCTION("""COMPUTED_VALUE"""),2.0)</f>
        <v>2</v>
      </c>
      <c r="D6191" s="8"/>
    </row>
    <row r="6192">
      <c r="A6192" s="9" t="str">
        <f>IFERROR(__xludf.DUMMYFUNCTION("""COMPUTED_VALUE"""),"Batch 304")</f>
        <v>Batch 304</v>
      </c>
      <c r="B6192" s="9" t="str">
        <f>IFERROR(__xludf.DUMMYFUNCTION("""COMPUTED_VALUE"""),"FardienC04")</f>
        <v>FardienC04</v>
      </c>
      <c r="C6192" s="8">
        <f>IFERROR(__xludf.DUMMYFUNCTION("""COMPUTED_VALUE"""),0.0)</f>
        <v>0</v>
      </c>
      <c r="D6192" s="8"/>
    </row>
    <row r="6193">
      <c r="A6193" s="9" t="str">
        <f>IFERROR(__xludf.DUMMYFUNCTION("""COMPUTED_VALUE"""),"Batch 304")</f>
        <v>Batch 304</v>
      </c>
      <c r="B6193" s="9" t="str">
        <f>IFERROR(__xludf.DUMMYFUNCTION("""COMPUTED_VALUE"""),"SC04")</f>
        <v>SC04</v>
      </c>
      <c r="C6193" s="8">
        <f>IFERROR(__xludf.DUMMYFUNCTION("""COMPUTED_VALUE"""),8.0)</f>
        <v>8</v>
      </c>
      <c r="D6193" s="8">
        <f>IFERROR(__xludf.DUMMYFUNCTION("""COMPUTED_VALUE"""),1.0)</f>
        <v>1</v>
      </c>
    </row>
    <row r="6194">
      <c r="A6194" s="9" t="str">
        <f>IFERROR(__xludf.DUMMYFUNCTION("""COMPUTED_VALUE"""),"Batch 304")</f>
        <v>Batch 304</v>
      </c>
      <c r="B6194" s="9" t="str">
        <f>IFERROR(__xludf.DUMMYFUNCTION("""COMPUTED_VALUE"""),"ShaikC04")</f>
        <v>ShaikC04</v>
      </c>
      <c r="C6194" s="8">
        <f>IFERROR(__xludf.DUMMYFUNCTION("""COMPUTED_VALUE"""),2.0)</f>
        <v>2</v>
      </c>
      <c r="D6194" s="8"/>
    </row>
    <row r="6195">
      <c r="A6195" s="9" t="str">
        <f>IFERROR(__xludf.DUMMYFUNCTION("""COMPUTED_VALUE"""),"Batch 304")</f>
        <v>Batch 304</v>
      </c>
      <c r="B6195" s="9" t="str">
        <f>IFERROR(__xludf.DUMMYFUNCTION("""COMPUTED_VALUE"""),"SnehaC04")</f>
        <v>SnehaC04</v>
      </c>
      <c r="C6195" s="8">
        <f>IFERROR(__xludf.DUMMYFUNCTION("""COMPUTED_VALUE"""),0.0)</f>
        <v>0</v>
      </c>
      <c r="D6195" s="8"/>
    </row>
    <row r="6196">
      <c r="A6196" s="9" t="str">
        <f>IFERROR(__xludf.DUMMYFUNCTION("""COMPUTED_VALUE"""),"Batch 304")</f>
        <v>Batch 304</v>
      </c>
      <c r="B6196" s="9" t="str">
        <f>IFERROR(__xludf.DUMMYFUNCTION("""COMPUTED_VALUE"""),"YashwanthC04")</f>
        <v>YashwanthC04</v>
      </c>
      <c r="C6196" s="8">
        <f>IFERROR(__xludf.DUMMYFUNCTION("""COMPUTED_VALUE"""),0.0)</f>
        <v>0</v>
      </c>
      <c r="D6196" s="8"/>
    </row>
    <row r="6197">
      <c r="A6197" s="9" t="str">
        <f>IFERROR(__xludf.DUMMYFUNCTION("""COMPUTED_VALUE"""),"Batch 304")</f>
        <v>Batch 304</v>
      </c>
      <c r="B6197" s="9" t="str">
        <f>IFERROR(__xludf.DUMMYFUNCTION("""COMPUTED_VALUE"""),"MuzammilC04")</f>
        <v>MuzammilC04</v>
      </c>
      <c r="C6197" s="8">
        <f>IFERROR(__xludf.DUMMYFUNCTION("""COMPUTED_VALUE"""),0.0)</f>
        <v>0</v>
      </c>
      <c r="D6197" s="8"/>
    </row>
    <row r="6198">
      <c r="A6198" s="9" t="str">
        <f>IFERROR(__xludf.DUMMYFUNCTION("""COMPUTED_VALUE"""),"Batch 304")</f>
        <v>Batch 304</v>
      </c>
      <c r="B6198" s="9" t="str">
        <f>IFERROR(__xludf.DUMMYFUNCTION("""COMPUTED_VALUE"""),"PradhyumnC04")</f>
        <v>PradhyumnC04</v>
      </c>
      <c r="C6198" s="8">
        <f>IFERROR(__xludf.DUMMYFUNCTION("""COMPUTED_VALUE"""),0.0)</f>
        <v>0</v>
      </c>
      <c r="D6198" s="8">
        <f>IFERROR(__xludf.DUMMYFUNCTION("""COMPUTED_VALUE"""),15.0)</f>
        <v>15</v>
      </c>
    </row>
    <row r="6199">
      <c r="A6199" s="9" t="str">
        <f>IFERROR(__xludf.DUMMYFUNCTION("""COMPUTED_VALUE"""),"Batch 304")</f>
        <v>Batch 304</v>
      </c>
      <c r="B6199" s="9" t="str">
        <f>IFERROR(__xludf.DUMMYFUNCTION("""COMPUTED_VALUE"""),"LayaC04")</f>
        <v>LayaC04</v>
      </c>
      <c r="C6199" s="8">
        <f>IFERROR(__xludf.DUMMYFUNCTION("""COMPUTED_VALUE"""),0.0)</f>
        <v>0</v>
      </c>
      <c r="D6199" s="8"/>
    </row>
    <row r="6200">
      <c r="A6200" s="9" t="str">
        <f>IFERROR(__xludf.DUMMYFUNCTION("""COMPUTED_VALUE"""),"Batch 304")</f>
        <v>Batch 304</v>
      </c>
      <c r="B6200" s="9" t="str">
        <f>IFERROR(__xludf.DUMMYFUNCTION("""COMPUTED_VALUE"""),"DeependraC04")</f>
        <v>DeependraC04</v>
      </c>
      <c r="C6200" s="8">
        <f>IFERROR(__xludf.DUMMYFUNCTION("""COMPUTED_VALUE"""),0.0)</f>
        <v>0</v>
      </c>
      <c r="D6200" s="8"/>
    </row>
    <row r="6201">
      <c r="A6201" s="9" t="str">
        <f>IFERROR(__xludf.DUMMYFUNCTION("""COMPUTED_VALUE"""),"Batch 304")</f>
        <v>Batch 304</v>
      </c>
      <c r="B6201" s="9" t="str">
        <f>IFERROR(__xludf.DUMMYFUNCTION("""COMPUTED_VALUE"""),"RayiC04")</f>
        <v>RayiC04</v>
      </c>
      <c r="C6201" s="8">
        <f>IFERROR(__xludf.DUMMYFUNCTION("""COMPUTED_VALUE"""),0.0)</f>
        <v>0</v>
      </c>
      <c r="D6201" s="8">
        <f>IFERROR(__xludf.DUMMYFUNCTION("""COMPUTED_VALUE"""),2.0)</f>
        <v>2</v>
      </c>
    </row>
    <row r="6202">
      <c r="A6202" s="9" t="str">
        <f>IFERROR(__xludf.DUMMYFUNCTION("""COMPUTED_VALUE"""),"Batch 304")</f>
        <v>Batch 304</v>
      </c>
      <c r="B6202" s="9" t="str">
        <f>IFERROR(__xludf.DUMMYFUNCTION("""COMPUTED_VALUE"""),"SaraswathiC04")</f>
        <v>SaraswathiC04</v>
      </c>
      <c r="C6202" s="8">
        <f>IFERROR(__xludf.DUMMYFUNCTION("""COMPUTED_VALUE"""),0.0)</f>
        <v>0</v>
      </c>
      <c r="D6202" s="8"/>
    </row>
    <row r="6203">
      <c r="A6203" s="9" t="str">
        <f>IFERROR(__xludf.DUMMYFUNCTION("""COMPUTED_VALUE"""),"Batch 304")</f>
        <v>Batch 304</v>
      </c>
      <c r="B6203" s="9" t="str">
        <f>IFERROR(__xludf.DUMMYFUNCTION("""COMPUTED_VALUE"""),"KrishC04")</f>
        <v>KrishC04</v>
      </c>
      <c r="C6203" s="8">
        <f>IFERROR(__xludf.DUMMYFUNCTION("""COMPUTED_VALUE"""),0.0)</f>
        <v>0</v>
      </c>
      <c r="D6203" s="8"/>
    </row>
    <row r="6204">
      <c r="A6204" s="9" t="str">
        <f>IFERROR(__xludf.DUMMYFUNCTION("""COMPUTED_VALUE"""),"Batch 304")</f>
        <v>Batch 304</v>
      </c>
      <c r="B6204" s="9" t="str">
        <f>IFERROR(__xludf.DUMMYFUNCTION("""COMPUTED_VALUE"""),"HanumatC04")</f>
        <v>HanumatC04</v>
      </c>
      <c r="C6204" s="8">
        <f>IFERROR(__xludf.DUMMYFUNCTION("""COMPUTED_VALUE"""),0.0)</f>
        <v>0</v>
      </c>
      <c r="D6204" s="8"/>
    </row>
    <row r="6205">
      <c r="A6205" s="9" t="str">
        <f>IFERROR(__xludf.DUMMYFUNCTION("""COMPUTED_VALUE"""),"Batch 304")</f>
        <v>Batch 304</v>
      </c>
      <c r="B6205" s="9" t="str">
        <f>IFERROR(__xludf.DUMMYFUNCTION("""COMPUTED_VALUE"""),"VikashC04")</f>
        <v>VikashC04</v>
      </c>
      <c r="C6205" s="8">
        <f>IFERROR(__xludf.DUMMYFUNCTION("""COMPUTED_VALUE"""),0.0)</f>
        <v>0</v>
      </c>
      <c r="D6205" s="8"/>
    </row>
    <row r="6206">
      <c r="A6206" s="9" t="str">
        <f>IFERROR(__xludf.DUMMYFUNCTION("""COMPUTED_VALUE"""),"Batch 304")</f>
        <v>Batch 304</v>
      </c>
      <c r="B6206" s="9" t="str">
        <f>IFERROR(__xludf.DUMMYFUNCTION("""COMPUTED_VALUE"""),"AishwaryaC04")</f>
        <v>AishwaryaC04</v>
      </c>
      <c r="C6206" s="8">
        <f>IFERROR(__xludf.DUMMYFUNCTION("""COMPUTED_VALUE"""),10.0)</f>
        <v>10</v>
      </c>
      <c r="D6206" s="8">
        <f>IFERROR(__xludf.DUMMYFUNCTION("""COMPUTED_VALUE"""),9.0)</f>
        <v>9</v>
      </c>
    </row>
    <row r="6207">
      <c r="A6207" s="9" t="str">
        <f>IFERROR(__xludf.DUMMYFUNCTION("""COMPUTED_VALUE"""),"Batch 304")</f>
        <v>Batch 304</v>
      </c>
      <c r="B6207" s="9" t="str">
        <f>IFERROR(__xludf.DUMMYFUNCTION("""COMPUTED_VALUE"""),"SuthakaniC04")</f>
        <v>SuthakaniC04</v>
      </c>
      <c r="C6207" s="8">
        <f>IFERROR(__xludf.DUMMYFUNCTION("""COMPUTED_VALUE"""),0.0)</f>
        <v>0</v>
      </c>
      <c r="D6207" s="8"/>
    </row>
    <row r="6208">
      <c r="A6208" s="9" t="str">
        <f>IFERROR(__xludf.DUMMYFUNCTION("""COMPUTED_VALUE"""),"Batch 304")</f>
        <v>Batch 304</v>
      </c>
      <c r="B6208" s="9" t="str">
        <f>IFERROR(__xludf.DUMMYFUNCTION("""COMPUTED_VALUE"""),"KumarC04")</f>
        <v>KumarC04</v>
      </c>
      <c r="C6208" s="8">
        <f>IFERROR(__xludf.DUMMYFUNCTION("""COMPUTED_VALUE"""),0.0)</f>
        <v>0</v>
      </c>
      <c r="D6208" s="8"/>
    </row>
    <row r="6209">
      <c r="A6209" s="9" t="str">
        <f>IFERROR(__xludf.DUMMYFUNCTION("""COMPUTED_VALUE"""),"Batch 304")</f>
        <v>Batch 304</v>
      </c>
      <c r="B6209" s="9" t="str">
        <f>IFERROR(__xludf.DUMMYFUNCTION("""COMPUTED_VALUE"""),"SourabhC04")</f>
        <v>SourabhC04</v>
      </c>
      <c r="C6209" s="8">
        <f>IFERROR(__xludf.DUMMYFUNCTION("""COMPUTED_VALUE"""),0.0)</f>
        <v>0</v>
      </c>
      <c r="D6209" s="8"/>
    </row>
    <row r="6210">
      <c r="A6210" s="9" t="str">
        <f>IFERROR(__xludf.DUMMYFUNCTION("""COMPUTED_VALUE"""),"Batch 304")</f>
        <v>Batch 304</v>
      </c>
      <c r="B6210" s="9" t="str">
        <f>IFERROR(__xludf.DUMMYFUNCTION("""COMPUTED_VALUE"""),"HalwinC04")</f>
        <v>HalwinC04</v>
      </c>
      <c r="C6210" s="8">
        <f>IFERROR(__xludf.DUMMYFUNCTION("""COMPUTED_VALUE"""),0.0)</f>
        <v>0</v>
      </c>
      <c r="D6210" s="8"/>
    </row>
    <row r="6211">
      <c r="A6211" s="9" t="str">
        <f>IFERROR(__xludf.DUMMYFUNCTION("""COMPUTED_VALUE"""),"Batch 304")</f>
        <v>Batch 304</v>
      </c>
      <c r="B6211" s="9" t="str">
        <f>IFERROR(__xludf.DUMMYFUNCTION("""COMPUTED_VALUE"""),"PrachiC04")</f>
        <v>PrachiC04</v>
      </c>
      <c r="C6211" s="8">
        <f>IFERROR(__xludf.DUMMYFUNCTION("""COMPUTED_VALUE"""),0.0)</f>
        <v>0</v>
      </c>
      <c r="D6211" s="8"/>
    </row>
    <row r="6212">
      <c r="A6212" s="9" t="str">
        <f>IFERROR(__xludf.DUMMYFUNCTION("""COMPUTED_VALUE"""),"Batch 304")</f>
        <v>Batch 304</v>
      </c>
      <c r="B6212" s="9" t="str">
        <f>IFERROR(__xludf.DUMMYFUNCTION("""COMPUTED_VALUE"""),"MadipeddiC04")</f>
        <v>MadipeddiC04</v>
      </c>
      <c r="C6212" s="8">
        <f>IFERROR(__xludf.DUMMYFUNCTION("""COMPUTED_VALUE"""),0.0)</f>
        <v>0</v>
      </c>
      <c r="D6212" s="8"/>
    </row>
    <row r="6213">
      <c r="A6213" s="9" t="str">
        <f>IFERROR(__xludf.DUMMYFUNCTION("""COMPUTED_VALUE"""),"Batch 304")</f>
        <v>Batch 304</v>
      </c>
      <c r="B6213" s="9" t="str">
        <f>IFERROR(__xludf.DUMMYFUNCTION("""COMPUTED_VALUE"""),"SimranC04")</f>
        <v>SimranC04</v>
      </c>
      <c r="C6213" s="8">
        <f>IFERROR(__xludf.DUMMYFUNCTION("""COMPUTED_VALUE"""),6.0)</f>
        <v>6</v>
      </c>
      <c r="D6213" s="8">
        <f>IFERROR(__xludf.DUMMYFUNCTION("""COMPUTED_VALUE"""),8.0)</f>
        <v>8</v>
      </c>
    </row>
    <row r="6214">
      <c r="A6214" s="9" t="str">
        <f>IFERROR(__xludf.DUMMYFUNCTION("""COMPUTED_VALUE"""),"Batch 304")</f>
        <v>Batch 304</v>
      </c>
      <c r="B6214" s="9" t="str">
        <f>IFERROR(__xludf.DUMMYFUNCTION("""COMPUTED_VALUE"""),"ManvithaC04")</f>
        <v>ManvithaC04</v>
      </c>
      <c r="C6214" s="8">
        <f>IFERROR(__xludf.DUMMYFUNCTION("""COMPUTED_VALUE"""),0.0)</f>
        <v>0</v>
      </c>
      <c r="D6214" s="8"/>
    </row>
    <row r="6215">
      <c r="A6215" s="9" t="str">
        <f>IFERROR(__xludf.DUMMYFUNCTION("""COMPUTED_VALUE"""),"Batch 304")</f>
        <v>Batch 304</v>
      </c>
      <c r="B6215" s="9" t="str">
        <f>IFERROR(__xludf.DUMMYFUNCTION("""COMPUTED_VALUE"""),"RajniC04")</f>
        <v>RajniC04</v>
      </c>
      <c r="C6215" s="8">
        <f>IFERROR(__xludf.DUMMYFUNCTION("""COMPUTED_VALUE"""),0.0)</f>
        <v>0</v>
      </c>
      <c r="D6215" s="8"/>
    </row>
    <row r="6216">
      <c r="A6216" s="9" t="str">
        <f>IFERROR(__xludf.DUMMYFUNCTION("""COMPUTED_VALUE"""),"Batch 304")</f>
        <v>Batch 304</v>
      </c>
      <c r="B6216" s="9" t="str">
        <f>IFERROR(__xludf.DUMMYFUNCTION("""COMPUTED_VALUE"""),"KhadijaC04")</f>
        <v>KhadijaC04</v>
      </c>
      <c r="C6216" s="8">
        <f>IFERROR(__xludf.DUMMYFUNCTION("""COMPUTED_VALUE"""),0.0)</f>
        <v>0</v>
      </c>
      <c r="D6216" s="8"/>
    </row>
    <row r="6217">
      <c r="A6217" s="9" t="str">
        <f>IFERROR(__xludf.DUMMYFUNCTION("""COMPUTED_VALUE"""),"Batch 304")</f>
        <v>Batch 304</v>
      </c>
      <c r="B6217" s="9" t="str">
        <f>IFERROR(__xludf.DUMMYFUNCTION("""COMPUTED_VALUE"""),"Shreetej.S.KordeC04")</f>
        <v>Shreetej.S.KordeC04</v>
      </c>
      <c r="C6217" s="8">
        <f>IFERROR(__xludf.DUMMYFUNCTION("""COMPUTED_VALUE"""),0.0)</f>
        <v>0</v>
      </c>
      <c r="D6217" s="8"/>
    </row>
    <row r="6218">
      <c r="A6218" s="9" t="str">
        <f>IFERROR(__xludf.DUMMYFUNCTION("""COMPUTED_VALUE"""),"Batch 304")</f>
        <v>Batch 304</v>
      </c>
      <c r="B6218" s="9" t="str">
        <f>IFERROR(__xludf.DUMMYFUNCTION("""COMPUTED_VALUE"""),"YarasaniC04")</f>
        <v>YarasaniC04</v>
      </c>
      <c r="C6218" s="8">
        <f>IFERROR(__xludf.DUMMYFUNCTION("""COMPUTED_VALUE"""),2.0)</f>
        <v>2</v>
      </c>
      <c r="D6218" s="8">
        <f>IFERROR(__xludf.DUMMYFUNCTION("""COMPUTED_VALUE"""),1.0)</f>
        <v>1</v>
      </c>
    </row>
    <row r="6219">
      <c r="A6219" s="9"/>
      <c r="B6219" s="9"/>
      <c r="C6219" s="8">
        <f>IFERROR(__xludf.DUMMYFUNCTION("""COMPUTED_VALUE"""),0.0)</f>
        <v>0</v>
      </c>
      <c r="D6219" s="8"/>
    </row>
    <row r="6220">
      <c r="A6220" s="9" t="str">
        <f>IFERROR(__xludf.DUMMYFUNCTION("""COMPUTED_VALUE"""),"Batch 305")</f>
        <v>Batch 305</v>
      </c>
      <c r="B6220" s="9" t="str">
        <f>IFERROR(__xludf.DUMMYFUNCTION("""COMPUTED_VALUE"""),"KashishC05")</f>
        <v>KashishC05</v>
      </c>
      <c r="C6220" s="8">
        <f>IFERROR(__xludf.DUMMYFUNCTION("""COMPUTED_VALUE"""),0.0)</f>
        <v>0</v>
      </c>
      <c r="D6220" s="8"/>
    </row>
    <row r="6221">
      <c r="A6221" s="9" t="str">
        <f>IFERROR(__xludf.DUMMYFUNCTION("""COMPUTED_VALUE"""),"Batch 305")</f>
        <v>Batch 305</v>
      </c>
      <c r="B6221" s="9" t="str">
        <f>IFERROR(__xludf.DUMMYFUNCTION("""COMPUTED_VALUE"""),"AsthaC05")</f>
        <v>AsthaC05</v>
      </c>
      <c r="C6221" s="8">
        <f>IFERROR(__xludf.DUMMYFUNCTION("""COMPUTED_VALUE"""),0.0)</f>
        <v>0</v>
      </c>
      <c r="D6221" s="8"/>
    </row>
    <row r="6222">
      <c r="A6222" s="9" t="str">
        <f>IFERROR(__xludf.DUMMYFUNCTION("""COMPUTED_VALUE"""),"Batch 305")</f>
        <v>Batch 305</v>
      </c>
      <c r="B6222" s="9" t="str">
        <f>IFERROR(__xludf.DUMMYFUNCTION("""COMPUTED_VALUE"""),"LishaC05")</f>
        <v>LishaC05</v>
      </c>
      <c r="C6222" s="8">
        <f>IFERROR(__xludf.DUMMYFUNCTION("""COMPUTED_VALUE"""),0.0)</f>
        <v>0</v>
      </c>
      <c r="D6222" s="8"/>
    </row>
    <row r="6223">
      <c r="A6223" s="9" t="str">
        <f>IFERROR(__xludf.DUMMYFUNCTION("""COMPUTED_VALUE"""),"Batch 305")</f>
        <v>Batch 305</v>
      </c>
      <c r="B6223" s="9" t="str">
        <f>IFERROR(__xludf.DUMMYFUNCTION("""COMPUTED_VALUE"""),"SreelakshmiC05")</f>
        <v>SreelakshmiC05</v>
      </c>
      <c r="C6223" s="8">
        <f>IFERROR(__xludf.DUMMYFUNCTION("""COMPUTED_VALUE"""),20.0)</f>
        <v>20</v>
      </c>
      <c r="D6223" s="8">
        <f>IFERROR(__xludf.DUMMYFUNCTION("""COMPUTED_VALUE"""),4.0)</f>
        <v>4</v>
      </c>
    </row>
    <row r="6224">
      <c r="A6224" s="9" t="str">
        <f>IFERROR(__xludf.DUMMYFUNCTION("""COMPUTED_VALUE"""),"Batch 305")</f>
        <v>Batch 305</v>
      </c>
      <c r="B6224" s="9" t="str">
        <f>IFERROR(__xludf.DUMMYFUNCTION("""COMPUTED_VALUE"""),"KishanC05")</f>
        <v>KishanC05</v>
      </c>
      <c r="C6224" s="8">
        <f>IFERROR(__xludf.DUMMYFUNCTION("""COMPUTED_VALUE"""),0.0)</f>
        <v>0</v>
      </c>
      <c r="D6224" s="8"/>
    </row>
    <row r="6225">
      <c r="A6225" s="9" t="str">
        <f>IFERROR(__xludf.DUMMYFUNCTION("""COMPUTED_VALUE"""),"Batch 305")</f>
        <v>Batch 305</v>
      </c>
      <c r="B6225" s="9" t="str">
        <f>IFERROR(__xludf.DUMMYFUNCTION("""COMPUTED_VALUE"""),"PrateekC05")</f>
        <v>PrateekC05</v>
      </c>
      <c r="C6225" s="8">
        <f>IFERROR(__xludf.DUMMYFUNCTION("""COMPUTED_VALUE"""),1.0)</f>
        <v>1</v>
      </c>
      <c r="D6225" s="8">
        <f>IFERROR(__xludf.DUMMYFUNCTION("""COMPUTED_VALUE"""),1.0)</f>
        <v>1</v>
      </c>
    </row>
    <row r="6226">
      <c r="A6226" s="9" t="str">
        <f>IFERROR(__xludf.DUMMYFUNCTION("""COMPUTED_VALUE"""),"Batch 305")</f>
        <v>Batch 305</v>
      </c>
      <c r="B6226" s="9" t="str">
        <f>IFERROR(__xludf.DUMMYFUNCTION("""COMPUTED_VALUE"""),"AlinaC05")</f>
        <v>AlinaC05</v>
      </c>
      <c r="C6226" s="8">
        <f>IFERROR(__xludf.DUMMYFUNCTION("""COMPUTED_VALUE"""),0.0)</f>
        <v>0</v>
      </c>
      <c r="D6226" s="8"/>
    </row>
    <row r="6227">
      <c r="A6227" s="9" t="str">
        <f>IFERROR(__xludf.DUMMYFUNCTION("""COMPUTED_VALUE"""),"Batch 305")</f>
        <v>Batch 305</v>
      </c>
      <c r="B6227" s="9" t="str">
        <f>IFERROR(__xludf.DUMMYFUNCTION("""COMPUTED_VALUE"""),"VidyashreeC05")</f>
        <v>VidyashreeC05</v>
      </c>
      <c r="C6227" s="8">
        <f>IFERROR(__xludf.DUMMYFUNCTION("""COMPUTED_VALUE"""),0.0)</f>
        <v>0</v>
      </c>
      <c r="D6227" s="8"/>
    </row>
    <row r="6228">
      <c r="A6228" s="9" t="str">
        <f>IFERROR(__xludf.DUMMYFUNCTION("""COMPUTED_VALUE"""),"Batch 305")</f>
        <v>Batch 305</v>
      </c>
      <c r="B6228" s="9" t="str">
        <f>IFERROR(__xludf.DUMMYFUNCTION("""COMPUTED_VALUE"""),"SOMANOLLAC05")</f>
        <v>SOMANOLLAC05</v>
      </c>
      <c r="C6228" s="8">
        <f>IFERROR(__xludf.DUMMYFUNCTION("""COMPUTED_VALUE"""),0.0)</f>
        <v>0</v>
      </c>
      <c r="D6228" s="8"/>
    </row>
    <row r="6229">
      <c r="A6229" s="9" t="str">
        <f>IFERROR(__xludf.DUMMYFUNCTION("""COMPUTED_VALUE"""),"Batch 305")</f>
        <v>Batch 305</v>
      </c>
      <c r="B6229" s="9" t="str">
        <f>IFERROR(__xludf.DUMMYFUNCTION("""COMPUTED_VALUE"""),"T.SHYAMC05")</f>
        <v>T.SHYAMC05</v>
      </c>
      <c r="C6229" s="8">
        <f>IFERROR(__xludf.DUMMYFUNCTION("""COMPUTED_VALUE"""),3.0)</f>
        <v>3</v>
      </c>
      <c r="D6229" s="8"/>
    </row>
    <row r="6230">
      <c r="A6230" s="9" t="str">
        <f>IFERROR(__xludf.DUMMYFUNCTION("""COMPUTED_VALUE"""),"Batch 305")</f>
        <v>Batch 305</v>
      </c>
      <c r="B6230" s="9" t="str">
        <f>IFERROR(__xludf.DUMMYFUNCTION("""COMPUTED_VALUE"""),"BadalC05")</f>
        <v>BadalC05</v>
      </c>
      <c r="C6230" s="8">
        <f>IFERROR(__xludf.DUMMYFUNCTION("""COMPUTED_VALUE"""),4.0)</f>
        <v>4</v>
      </c>
      <c r="D6230" s="8"/>
    </row>
    <row r="6231">
      <c r="A6231" s="9" t="str">
        <f>IFERROR(__xludf.DUMMYFUNCTION("""COMPUTED_VALUE"""),"Batch 305")</f>
        <v>Batch 305</v>
      </c>
      <c r="B6231" s="9" t="str">
        <f>IFERROR(__xludf.DUMMYFUNCTION("""COMPUTED_VALUE"""),"VarshaC05")</f>
        <v>VarshaC05</v>
      </c>
      <c r="C6231" s="8">
        <f>IFERROR(__xludf.DUMMYFUNCTION("""COMPUTED_VALUE"""),0.0)</f>
        <v>0</v>
      </c>
      <c r="D6231" s="8"/>
    </row>
    <row r="6232">
      <c r="A6232" s="9" t="str">
        <f>IFERROR(__xludf.DUMMYFUNCTION("""COMPUTED_VALUE"""),"Batch 305")</f>
        <v>Batch 305</v>
      </c>
      <c r="B6232" s="9" t="str">
        <f>IFERROR(__xludf.DUMMYFUNCTION("""COMPUTED_VALUE"""),"ShaliniC05")</f>
        <v>ShaliniC05</v>
      </c>
      <c r="C6232" s="8">
        <f>IFERROR(__xludf.DUMMYFUNCTION("""COMPUTED_VALUE"""),0.0)</f>
        <v>0</v>
      </c>
      <c r="D6232" s="8"/>
    </row>
    <row r="6233">
      <c r="A6233" s="9" t="str">
        <f>IFERROR(__xludf.DUMMYFUNCTION("""COMPUTED_VALUE"""),"Batch 305")</f>
        <v>Batch 305</v>
      </c>
      <c r="B6233" s="9" t="str">
        <f>IFERROR(__xludf.DUMMYFUNCTION("""COMPUTED_VALUE"""),"PrasannC05")</f>
        <v>PrasannC05</v>
      </c>
      <c r="C6233" s="8">
        <f>IFERROR(__xludf.DUMMYFUNCTION("""COMPUTED_VALUE"""),1.0)</f>
        <v>1</v>
      </c>
      <c r="D6233" s="8"/>
    </row>
    <row r="6234">
      <c r="A6234" s="9" t="str">
        <f>IFERROR(__xludf.DUMMYFUNCTION("""COMPUTED_VALUE"""),"Batch 305")</f>
        <v>Batch 305</v>
      </c>
      <c r="B6234" s="9" t="str">
        <f>IFERROR(__xludf.DUMMYFUNCTION("""COMPUTED_VALUE"""),"MdC05")</f>
        <v>MdC05</v>
      </c>
      <c r="C6234" s="8">
        <f>IFERROR(__xludf.DUMMYFUNCTION("""COMPUTED_VALUE"""),0.0)</f>
        <v>0</v>
      </c>
      <c r="D6234" s="8"/>
    </row>
    <row r="6235">
      <c r="A6235" s="9" t="str">
        <f>IFERROR(__xludf.DUMMYFUNCTION("""COMPUTED_VALUE"""),"Batch 305")</f>
        <v>Batch 305</v>
      </c>
      <c r="B6235" s="9" t="str">
        <f>IFERROR(__xludf.DUMMYFUNCTION("""COMPUTED_VALUE"""),"ArnavC05")</f>
        <v>ArnavC05</v>
      </c>
      <c r="C6235" s="8">
        <f>IFERROR(__xludf.DUMMYFUNCTION("""COMPUTED_VALUE"""),0.0)</f>
        <v>0</v>
      </c>
      <c r="D6235" s="8"/>
    </row>
    <row r="6236">
      <c r="A6236" s="9" t="str">
        <f>IFERROR(__xludf.DUMMYFUNCTION("""COMPUTED_VALUE"""),"Batch 305")</f>
        <v>Batch 305</v>
      </c>
      <c r="B6236" s="9" t="str">
        <f>IFERROR(__xludf.DUMMYFUNCTION("""COMPUTED_VALUE"""),"DebdattaC05")</f>
        <v>DebdattaC05</v>
      </c>
      <c r="C6236" s="8">
        <f>IFERROR(__xludf.DUMMYFUNCTION("""COMPUTED_VALUE"""),0.0)</f>
        <v>0</v>
      </c>
      <c r="D6236" s="8"/>
    </row>
    <row r="6237">
      <c r="A6237" s="9" t="str">
        <f>IFERROR(__xludf.DUMMYFUNCTION("""COMPUTED_VALUE"""),"Batch 305")</f>
        <v>Batch 305</v>
      </c>
      <c r="B6237" s="9" t="str">
        <f>IFERROR(__xludf.DUMMYFUNCTION("""COMPUTED_VALUE"""),"KhushiC05")</f>
        <v>KhushiC05</v>
      </c>
      <c r="C6237" s="8">
        <f>IFERROR(__xludf.DUMMYFUNCTION("""COMPUTED_VALUE"""),0.0)</f>
        <v>0</v>
      </c>
      <c r="D6237" s="8"/>
    </row>
    <row r="6238">
      <c r="A6238" s="9" t="str">
        <f>IFERROR(__xludf.DUMMYFUNCTION("""COMPUTED_VALUE"""),"Batch 305")</f>
        <v>Batch 305</v>
      </c>
      <c r="B6238" s="9" t="str">
        <f>IFERROR(__xludf.DUMMYFUNCTION("""COMPUTED_VALUE"""),"ManseeC05")</f>
        <v>ManseeC05</v>
      </c>
      <c r="C6238" s="8">
        <f>IFERROR(__xludf.DUMMYFUNCTION("""COMPUTED_VALUE"""),0.0)</f>
        <v>0</v>
      </c>
      <c r="D6238" s="8"/>
    </row>
    <row r="6239">
      <c r="A6239" s="9" t="str">
        <f>IFERROR(__xludf.DUMMYFUNCTION("""COMPUTED_VALUE"""),"Batch 305")</f>
        <v>Batch 305</v>
      </c>
      <c r="B6239" s="9" t="str">
        <f>IFERROR(__xludf.DUMMYFUNCTION("""COMPUTED_VALUE"""),"SoumyaC05")</f>
        <v>SoumyaC05</v>
      </c>
      <c r="C6239" s="8">
        <f>IFERROR(__xludf.DUMMYFUNCTION("""COMPUTED_VALUE"""),0.0)</f>
        <v>0</v>
      </c>
      <c r="D6239" s="8"/>
    </row>
    <row r="6240">
      <c r="A6240" s="9" t="str">
        <f>IFERROR(__xludf.DUMMYFUNCTION("""COMPUTED_VALUE"""),"Batch 305")</f>
        <v>Batch 305</v>
      </c>
      <c r="B6240" s="9" t="str">
        <f>IFERROR(__xludf.DUMMYFUNCTION("""COMPUTED_VALUE"""),"IshanC05")</f>
        <v>IshanC05</v>
      </c>
      <c r="C6240" s="8">
        <f>IFERROR(__xludf.DUMMYFUNCTION("""COMPUTED_VALUE"""),0.0)</f>
        <v>0</v>
      </c>
      <c r="D6240" s="8"/>
    </row>
    <row r="6241">
      <c r="A6241" s="9" t="str">
        <f>IFERROR(__xludf.DUMMYFUNCTION("""COMPUTED_VALUE"""),"Batch 305")</f>
        <v>Batch 305</v>
      </c>
      <c r="B6241" s="9" t="str">
        <f>IFERROR(__xludf.DUMMYFUNCTION("""COMPUTED_VALUE"""),"AyushiC05")</f>
        <v>AyushiC05</v>
      </c>
      <c r="C6241" s="8">
        <f>IFERROR(__xludf.DUMMYFUNCTION("""COMPUTED_VALUE"""),0.0)</f>
        <v>0</v>
      </c>
      <c r="D6241" s="8"/>
    </row>
    <row r="6242">
      <c r="A6242" s="9" t="str">
        <f>IFERROR(__xludf.DUMMYFUNCTION("""COMPUTED_VALUE"""),"Batch 305")</f>
        <v>Batch 305</v>
      </c>
      <c r="B6242" s="9" t="str">
        <f>IFERROR(__xludf.DUMMYFUNCTION("""COMPUTED_VALUE"""),"TusharC05")</f>
        <v>TusharC05</v>
      </c>
      <c r="C6242" s="8">
        <f>IFERROR(__xludf.DUMMYFUNCTION("""COMPUTED_VALUE"""),0.0)</f>
        <v>0</v>
      </c>
      <c r="D6242" s="8"/>
    </row>
    <row r="6243">
      <c r="A6243" s="9" t="str">
        <f>IFERROR(__xludf.DUMMYFUNCTION("""COMPUTED_VALUE"""),"Batch 305")</f>
        <v>Batch 305</v>
      </c>
      <c r="B6243" s="9" t="str">
        <f>IFERROR(__xludf.DUMMYFUNCTION("""COMPUTED_VALUE"""),"VINAYAKC05")</f>
        <v>VINAYAKC05</v>
      </c>
      <c r="C6243" s="8">
        <f>IFERROR(__xludf.DUMMYFUNCTION("""COMPUTED_VALUE"""),0.0)</f>
        <v>0</v>
      </c>
      <c r="D6243" s="8"/>
    </row>
    <row r="6244">
      <c r="A6244" s="9" t="str">
        <f>IFERROR(__xludf.DUMMYFUNCTION("""COMPUTED_VALUE"""),"Batch 305")</f>
        <v>Batch 305</v>
      </c>
      <c r="B6244" s="9" t="str">
        <f>IFERROR(__xludf.DUMMYFUNCTION("""COMPUTED_VALUE"""),"KashishC05")</f>
        <v>KashishC05</v>
      </c>
      <c r="C6244" s="8">
        <f>IFERROR(__xludf.DUMMYFUNCTION("""COMPUTED_VALUE"""),0.0)</f>
        <v>0</v>
      </c>
      <c r="D6244" s="8"/>
    </row>
    <row r="6245">
      <c r="A6245" s="9" t="str">
        <f>IFERROR(__xludf.DUMMYFUNCTION("""COMPUTED_VALUE"""),"Batch 305")</f>
        <v>Batch 305</v>
      </c>
      <c r="B6245" s="9" t="str">
        <f>IFERROR(__xludf.DUMMYFUNCTION("""COMPUTED_VALUE"""),"ManthanC05")</f>
        <v>ManthanC05</v>
      </c>
      <c r="C6245" s="8">
        <f>IFERROR(__xludf.DUMMYFUNCTION("""COMPUTED_VALUE"""),0.0)</f>
        <v>0</v>
      </c>
      <c r="D6245" s="8"/>
    </row>
    <row r="6246">
      <c r="A6246" s="9" t="str">
        <f>IFERROR(__xludf.DUMMYFUNCTION("""COMPUTED_VALUE"""),"Batch 305")</f>
        <v>Batch 305</v>
      </c>
      <c r="B6246" s="9" t="str">
        <f>IFERROR(__xludf.DUMMYFUNCTION("""COMPUTED_VALUE"""),"swatiC05")</f>
        <v>swatiC05</v>
      </c>
      <c r="C6246" s="8">
        <f>IFERROR(__xludf.DUMMYFUNCTION("""COMPUTED_VALUE"""),0.0)</f>
        <v>0</v>
      </c>
      <c r="D6246" s="8"/>
    </row>
    <row r="6247">
      <c r="A6247" s="9" t="str">
        <f>IFERROR(__xludf.DUMMYFUNCTION("""COMPUTED_VALUE"""),"Batch 305")</f>
        <v>Batch 305</v>
      </c>
      <c r="B6247" s="9" t="str">
        <f>IFERROR(__xludf.DUMMYFUNCTION("""COMPUTED_VALUE"""),"TitikshaC05")</f>
        <v>TitikshaC05</v>
      </c>
      <c r="C6247" s="8">
        <f>IFERROR(__xludf.DUMMYFUNCTION("""COMPUTED_VALUE"""),0.0)</f>
        <v>0</v>
      </c>
      <c r="D6247" s="8"/>
    </row>
    <row r="6248">
      <c r="A6248" s="9" t="str">
        <f>IFERROR(__xludf.DUMMYFUNCTION("""COMPUTED_VALUE"""),"Batch 305")</f>
        <v>Batch 305</v>
      </c>
      <c r="B6248" s="9" t="str">
        <f>IFERROR(__xludf.DUMMYFUNCTION("""COMPUTED_VALUE"""),"MehakC05")</f>
        <v>MehakC05</v>
      </c>
      <c r="C6248" s="8">
        <f>IFERROR(__xludf.DUMMYFUNCTION("""COMPUTED_VALUE"""),0.0)</f>
        <v>0</v>
      </c>
      <c r="D6248" s="8"/>
    </row>
    <row r="6249">
      <c r="A6249" s="9" t="str">
        <f>IFERROR(__xludf.DUMMYFUNCTION("""COMPUTED_VALUE"""),"Batch 305")</f>
        <v>Batch 305</v>
      </c>
      <c r="B6249" s="9" t="str">
        <f>IFERROR(__xludf.DUMMYFUNCTION("""COMPUTED_VALUE"""),"VaishnaviC05")</f>
        <v>VaishnaviC05</v>
      </c>
      <c r="C6249" s="8">
        <f>IFERROR(__xludf.DUMMYFUNCTION("""COMPUTED_VALUE"""),0.0)</f>
        <v>0</v>
      </c>
      <c r="D6249" s="8"/>
    </row>
    <row r="6250">
      <c r="A6250" s="9" t="str">
        <f>IFERROR(__xludf.DUMMYFUNCTION("""COMPUTED_VALUE"""),"Batch 305")</f>
        <v>Batch 305</v>
      </c>
      <c r="B6250" s="9" t="str">
        <f>IFERROR(__xludf.DUMMYFUNCTION("""COMPUTED_VALUE"""),"ModhC05")</f>
        <v>ModhC05</v>
      </c>
      <c r="C6250" s="8">
        <f>IFERROR(__xludf.DUMMYFUNCTION("""COMPUTED_VALUE"""),0.0)</f>
        <v>0</v>
      </c>
      <c r="D6250" s="8"/>
    </row>
    <row r="6251">
      <c r="A6251" s="9" t="str">
        <f>IFERROR(__xludf.DUMMYFUNCTION("""COMPUTED_VALUE"""),"Batch 305")</f>
        <v>Batch 305</v>
      </c>
      <c r="B6251" s="9" t="str">
        <f>IFERROR(__xludf.DUMMYFUNCTION("""COMPUTED_VALUE"""),"SwetaC05")</f>
        <v>SwetaC05</v>
      </c>
      <c r="C6251" s="8">
        <f>IFERROR(__xludf.DUMMYFUNCTION("""COMPUTED_VALUE"""),0.0)</f>
        <v>0</v>
      </c>
      <c r="D6251" s="8"/>
    </row>
    <row r="6252">
      <c r="A6252" s="9" t="str">
        <f>IFERROR(__xludf.DUMMYFUNCTION("""COMPUTED_VALUE"""),"Batch 305")</f>
        <v>Batch 305</v>
      </c>
      <c r="B6252" s="9" t="str">
        <f>IFERROR(__xludf.DUMMYFUNCTION("""COMPUTED_VALUE"""),"SwyamC05")</f>
        <v>SwyamC05</v>
      </c>
      <c r="C6252" s="8">
        <f>IFERROR(__xludf.DUMMYFUNCTION("""COMPUTED_VALUE"""),0.0)</f>
        <v>0</v>
      </c>
      <c r="D6252" s="8"/>
    </row>
    <row r="6253">
      <c r="A6253" s="9" t="str">
        <f>IFERROR(__xludf.DUMMYFUNCTION("""COMPUTED_VALUE"""),"Batch 305")</f>
        <v>Batch 305</v>
      </c>
      <c r="B6253" s="9" t="str">
        <f>IFERROR(__xludf.DUMMYFUNCTION("""COMPUTED_VALUE"""),"RishikaC05")</f>
        <v>RishikaC05</v>
      </c>
      <c r="C6253" s="8">
        <f>IFERROR(__xludf.DUMMYFUNCTION("""COMPUTED_VALUE"""),0.0)</f>
        <v>0</v>
      </c>
      <c r="D6253" s="8"/>
    </row>
    <row r="6254">
      <c r="A6254" s="9" t="str">
        <f>IFERROR(__xludf.DUMMYFUNCTION("""COMPUTED_VALUE"""),"Batch 305")</f>
        <v>Batch 305</v>
      </c>
      <c r="B6254" s="9" t="str">
        <f>IFERROR(__xludf.DUMMYFUNCTION("""COMPUTED_VALUE"""),"VidhiC05")</f>
        <v>VidhiC05</v>
      </c>
      <c r="C6254" s="8">
        <f>IFERROR(__xludf.DUMMYFUNCTION("""COMPUTED_VALUE"""),0.0)</f>
        <v>0</v>
      </c>
      <c r="D6254" s="8"/>
    </row>
    <row r="6255">
      <c r="A6255" s="9" t="str">
        <f>IFERROR(__xludf.DUMMYFUNCTION("""COMPUTED_VALUE"""),"Batch 305")</f>
        <v>Batch 305</v>
      </c>
      <c r="B6255" s="9" t="str">
        <f>IFERROR(__xludf.DUMMYFUNCTION("""COMPUTED_VALUE"""),"ShristiC05")</f>
        <v>ShristiC05</v>
      </c>
      <c r="C6255" s="8">
        <f>IFERROR(__xludf.DUMMYFUNCTION("""COMPUTED_VALUE"""),0.0)</f>
        <v>0</v>
      </c>
      <c r="D6255" s="8"/>
    </row>
    <row r="6256">
      <c r="A6256" s="9" t="str">
        <f>IFERROR(__xludf.DUMMYFUNCTION("""COMPUTED_VALUE"""),"Batch 305")</f>
        <v>Batch 305</v>
      </c>
      <c r="B6256" s="9" t="str">
        <f>IFERROR(__xludf.DUMMYFUNCTION("""COMPUTED_VALUE"""),"DevC05")</f>
        <v>DevC05</v>
      </c>
      <c r="C6256" s="8">
        <f>IFERROR(__xludf.DUMMYFUNCTION("""COMPUTED_VALUE"""),0.0)</f>
        <v>0</v>
      </c>
      <c r="D6256" s="8"/>
    </row>
    <row r="6257">
      <c r="A6257" s="9" t="str">
        <f>IFERROR(__xludf.DUMMYFUNCTION("""COMPUTED_VALUE"""),"Batch 305")</f>
        <v>Batch 305</v>
      </c>
      <c r="B6257" s="9" t="str">
        <f>IFERROR(__xludf.DUMMYFUNCTION("""COMPUTED_VALUE"""),"PrabhavC05")</f>
        <v>PrabhavC05</v>
      </c>
      <c r="C6257" s="8">
        <f>IFERROR(__xludf.DUMMYFUNCTION("""COMPUTED_VALUE"""),6.0)</f>
        <v>6</v>
      </c>
      <c r="D6257" s="8"/>
    </row>
    <row r="6258">
      <c r="A6258" s="9" t="str">
        <f>IFERROR(__xludf.DUMMYFUNCTION("""COMPUTED_VALUE"""),"Batch 305")</f>
        <v>Batch 305</v>
      </c>
      <c r="B6258" s="9" t="str">
        <f>IFERROR(__xludf.DUMMYFUNCTION("""COMPUTED_VALUE"""),"PankajC05")</f>
        <v>PankajC05</v>
      </c>
      <c r="C6258" s="8">
        <f>IFERROR(__xludf.DUMMYFUNCTION("""COMPUTED_VALUE"""),7.0)</f>
        <v>7</v>
      </c>
      <c r="D6258" s="8"/>
    </row>
    <row r="6259">
      <c r="A6259" s="9" t="str">
        <f>IFERROR(__xludf.DUMMYFUNCTION("""COMPUTED_VALUE"""),"Batch 305")</f>
        <v>Batch 305</v>
      </c>
      <c r="B6259" s="9" t="str">
        <f>IFERROR(__xludf.DUMMYFUNCTION("""COMPUTED_VALUE"""),"ShristiC05")</f>
        <v>ShristiC05</v>
      </c>
      <c r="C6259" s="8">
        <f>IFERROR(__xludf.DUMMYFUNCTION("""COMPUTED_VALUE"""),0.0)</f>
        <v>0</v>
      </c>
      <c r="D6259" s="8"/>
    </row>
    <row r="6260">
      <c r="A6260" s="9" t="str">
        <f>IFERROR(__xludf.DUMMYFUNCTION("""COMPUTED_VALUE"""),"Batch 305")</f>
        <v>Batch 305</v>
      </c>
      <c r="B6260" s="9" t="str">
        <f>IFERROR(__xludf.DUMMYFUNCTION("""COMPUTED_VALUE"""),"KolliC05")</f>
        <v>KolliC05</v>
      </c>
      <c r="C6260" s="8">
        <f>IFERROR(__xludf.DUMMYFUNCTION("""COMPUTED_VALUE"""),0.0)</f>
        <v>0</v>
      </c>
      <c r="D6260" s="8"/>
    </row>
    <row r="6261">
      <c r="A6261" s="9" t="str">
        <f>IFERROR(__xludf.DUMMYFUNCTION("""COMPUTED_VALUE"""),"Batch 305")</f>
        <v>Batch 305</v>
      </c>
      <c r="B6261" s="9" t="str">
        <f>IFERROR(__xludf.DUMMYFUNCTION("""COMPUTED_VALUE"""),"JagatC05")</f>
        <v>JagatC05</v>
      </c>
      <c r="C6261" s="8">
        <f>IFERROR(__xludf.DUMMYFUNCTION("""COMPUTED_VALUE"""),0.0)</f>
        <v>0</v>
      </c>
      <c r="D6261" s="8"/>
    </row>
    <row r="6262">
      <c r="A6262" s="9" t="str">
        <f>IFERROR(__xludf.DUMMYFUNCTION("""COMPUTED_VALUE"""),"Batch 305")</f>
        <v>Batch 305</v>
      </c>
      <c r="B6262" s="9" t="str">
        <f>IFERROR(__xludf.DUMMYFUNCTION("""COMPUTED_VALUE"""),"AkankshaC05")</f>
        <v>AkankshaC05</v>
      </c>
      <c r="C6262" s="8">
        <f>IFERROR(__xludf.DUMMYFUNCTION("""COMPUTED_VALUE"""),1.0)</f>
        <v>1</v>
      </c>
      <c r="D6262" s="8"/>
    </row>
    <row r="6263">
      <c r="A6263" s="9" t="str">
        <f>IFERROR(__xludf.DUMMYFUNCTION("""COMPUTED_VALUE"""),"Batch 305")</f>
        <v>Batch 305</v>
      </c>
      <c r="B6263" s="9" t="str">
        <f>IFERROR(__xludf.DUMMYFUNCTION("""COMPUTED_VALUE"""),"VishalC05")</f>
        <v>VishalC05</v>
      </c>
      <c r="C6263" s="8">
        <f>IFERROR(__xludf.DUMMYFUNCTION("""COMPUTED_VALUE"""),0.0)</f>
        <v>0</v>
      </c>
      <c r="D6263" s="8"/>
    </row>
    <row r="6264">
      <c r="A6264" s="9" t="str">
        <f>IFERROR(__xludf.DUMMYFUNCTION("""COMPUTED_VALUE"""),"Batch 305")</f>
        <v>Batch 305</v>
      </c>
      <c r="B6264" s="9" t="str">
        <f>IFERROR(__xludf.DUMMYFUNCTION("""COMPUTED_VALUE"""),"RupeshC05")</f>
        <v>RupeshC05</v>
      </c>
      <c r="C6264" s="8">
        <f>IFERROR(__xludf.DUMMYFUNCTION("""COMPUTED_VALUE"""),0.0)</f>
        <v>0</v>
      </c>
      <c r="D6264" s="8"/>
    </row>
    <row r="6265">
      <c r="A6265" s="9" t="str">
        <f>IFERROR(__xludf.DUMMYFUNCTION("""COMPUTED_VALUE"""),"Batch 305")</f>
        <v>Batch 305</v>
      </c>
      <c r="B6265" s="9" t="str">
        <f>IFERROR(__xludf.DUMMYFUNCTION("""COMPUTED_VALUE"""),"KarishmaC05")</f>
        <v>KarishmaC05</v>
      </c>
      <c r="C6265" s="8">
        <f>IFERROR(__xludf.DUMMYFUNCTION("""COMPUTED_VALUE"""),0.0)</f>
        <v>0</v>
      </c>
      <c r="D6265" s="8"/>
    </row>
    <row r="6266">
      <c r="A6266" s="9" t="str">
        <f>IFERROR(__xludf.DUMMYFUNCTION("""COMPUTED_VALUE"""),"Batch 305")</f>
        <v>Batch 305</v>
      </c>
      <c r="B6266" s="9" t="str">
        <f>IFERROR(__xludf.DUMMYFUNCTION("""COMPUTED_VALUE"""),"ParthivC05")</f>
        <v>ParthivC05</v>
      </c>
      <c r="C6266" s="8">
        <f>IFERROR(__xludf.DUMMYFUNCTION("""COMPUTED_VALUE"""),0.0)</f>
        <v>0</v>
      </c>
      <c r="D6266" s="8"/>
    </row>
    <row r="6267">
      <c r="A6267" s="9" t="str">
        <f>IFERROR(__xludf.DUMMYFUNCTION("""COMPUTED_VALUE"""),"Batch 305")</f>
        <v>Batch 305</v>
      </c>
      <c r="B6267" s="9" t="str">
        <f>IFERROR(__xludf.DUMMYFUNCTION("""COMPUTED_VALUE"""),"RC05")</f>
        <v>RC05</v>
      </c>
      <c r="C6267" s="8">
        <f>IFERROR(__xludf.DUMMYFUNCTION("""COMPUTED_VALUE"""),0.0)</f>
        <v>0</v>
      </c>
      <c r="D6267" s="8"/>
    </row>
    <row r="6268">
      <c r="A6268" s="9" t="str">
        <f>IFERROR(__xludf.DUMMYFUNCTION("""COMPUTED_VALUE"""),"Batch 305")</f>
        <v>Batch 305</v>
      </c>
      <c r="B6268" s="9" t="str">
        <f>IFERROR(__xludf.DUMMYFUNCTION("""COMPUTED_VALUE"""),"RanjanaC05")</f>
        <v>RanjanaC05</v>
      </c>
      <c r="C6268" s="8">
        <f>IFERROR(__xludf.DUMMYFUNCTION("""COMPUTED_VALUE"""),4.0)</f>
        <v>4</v>
      </c>
      <c r="D6268" s="8"/>
    </row>
    <row r="6269">
      <c r="A6269" s="9" t="str">
        <f>IFERROR(__xludf.DUMMYFUNCTION("""COMPUTED_VALUE"""),"Batch 305")</f>
        <v>Batch 305</v>
      </c>
      <c r="B6269" s="9" t="str">
        <f>IFERROR(__xludf.DUMMYFUNCTION("""COMPUTED_VALUE"""),"VijaylaxmiC05")</f>
        <v>VijaylaxmiC05</v>
      </c>
      <c r="C6269" s="8">
        <f>IFERROR(__xludf.DUMMYFUNCTION("""COMPUTED_VALUE"""),0.0)</f>
        <v>0</v>
      </c>
      <c r="D6269" s="8"/>
    </row>
    <row r="6270">
      <c r="A6270" s="9" t="str">
        <f>IFERROR(__xludf.DUMMYFUNCTION("""COMPUTED_VALUE"""),"Batch 305")</f>
        <v>Batch 305</v>
      </c>
      <c r="B6270" s="9" t="str">
        <f>IFERROR(__xludf.DUMMYFUNCTION("""COMPUTED_VALUE"""),"SuthakaniC05")</f>
        <v>SuthakaniC05</v>
      </c>
      <c r="C6270" s="8">
        <f>IFERROR(__xludf.DUMMYFUNCTION("""COMPUTED_VALUE"""),0.0)</f>
        <v>0</v>
      </c>
      <c r="D6270" s="8"/>
    </row>
    <row r="6271">
      <c r="A6271" s="9" t="str">
        <f>IFERROR(__xludf.DUMMYFUNCTION("""COMPUTED_VALUE"""),"Batch 305")</f>
        <v>Batch 305</v>
      </c>
      <c r="B6271" s="9" t="str">
        <f>IFERROR(__xludf.DUMMYFUNCTION("""COMPUTED_VALUE"""),"SiddharthC05")</f>
        <v>SiddharthC05</v>
      </c>
      <c r="C6271" s="8">
        <f>IFERROR(__xludf.DUMMYFUNCTION("""COMPUTED_VALUE"""),0.0)</f>
        <v>0</v>
      </c>
      <c r="D6271" s="8"/>
    </row>
    <row r="6272">
      <c r="A6272" s="9" t="str">
        <f>IFERROR(__xludf.DUMMYFUNCTION("""COMPUTED_VALUE"""),"Batch 305")</f>
        <v>Batch 305</v>
      </c>
      <c r="B6272" s="9" t="str">
        <f>IFERROR(__xludf.DUMMYFUNCTION("""COMPUTED_VALUE"""),"KunalC05")</f>
        <v>KunalC05</v>
      </c>
      <c r="C6272" s="8">
        <f>IFERROR(__xludf.DUMMYFUNCTION("""COMPUTED_VALUE"""),0.0)</f>
        <v>0</v>
      </c>
      <c r="D6272" s="8"/>
    </row>
    <row r="6273">
      <c r="A6273" s="9" t="str">
        <f>IFERROR(__xludf.DUMMYFUNCTION("""COMPUTED_VALUE"""),"Batch 305")</f>
        <v>Batch 305</v>
      </c>
      <c r="B6273" s="9" t="str">
        <f>IFERROR(__xludf.DUMMYFUNCTION("""COMPUTED_VALUE"""),"AryaC05")</f>
        <v>AryaC05</v>
      </c>
      <c r="C6273" s="8">
        <f>IFERROR(__xludf.DUMMYFUNCTION("""COMPUTED_VALUE"""),0.0)</f>
        <v>0</v>
      </c>
      <c r="D6273" s="8"/>
    </row>
    <row r="6274">
      <c r="A6274" s="9" t="str">
        <f>IFERROR(__xludf.DUMMYFUNCTION("""COMPUTED_VALUE"""),"Batch 305")</f>
        <v>Batch 305</v>
      </c>
      <c r="B6274" s="9" t="str">
        <f>IFERROR(__xludf.DUMMYFUNCTION("""COMPUTED_VALUE"""),"ChinnamollaC05")</f>
        <v>ChinnamollaC05</v>
      </c>
      <c r="C6274" s="8">
        <f>IFERROR(__xludf.DUMMYFUNCTION("""COMPUTED_VALUE"""),5.0)</f>
        <v>5</v>
      </c>
      <c r="D6274" s="8">
        <f>IFERROR(__xludf.DUMMYFUNCTION("""COMPUTED_VALUE"""),6.0)</f>
        <v>6</v>
      </c>
    </row>
    <row r="6275">
      <c r="A6275" s="9" t="str">
        <f>IFERROR(__xludf.DUMMYFUNCTION("""COMPUTED_VALUE"""),"Batch 305")</f>
        <v>Batch 305</v>
      </c>
      <c r="B6275" s="9" t="str">
        <f>IFERROR(__xludf.DUMMYFUNCTION("""COMPUTED_VALUE"""),"VishnuC05")</f>
        <v>VishnuC05</v>
      </c>
      <c r="C6275" s="8">
        <f>IFERROR(__xludf.DUMMYFUNCTION("""COMPUTED_VALUE"""),1.0)</f>
        <v>1</v>
      </c>
      <c r="D6275" s="8"/>
    </row>
    <row r="6276">
      <c r="A6276" s="9" t="str">
        <f>IFERROR(__xludf.DUMMYFUNCTION("""COMPUTED_VALUE"""),"Batch 305")</f>
        <v>Batch 305</v>
      </c>
      <c r="B6276" s="9" t="str">
        <f>IFERROR(__xludf.DUMMYFUNCTION("""COMPUTED_VALUE"""),"SanthiC05")</f>
        <v>SanthiC05</v>
      </c>
      <c r="C6276" s="8">
        <f>IFERROR(__xludf.DUMMYFUNCTION("""COMPUTED_VALUE"""),0.0)</f>
        <v>0</v>
      </c>
      <c r="D6276" s="8"/>
    </row>
    <row r="6277">
      <c r="A6277" s="9" t="str">
        <f>IFERROR(__xludf.DUMMYFUNCTION("""COMPUTED_VALUE"""),"Batch 305")</f>
        <v>Batch 305</v>
      </c>
      <c r="B6277" s="9" t="str">
        <f>IFERROR(__xludf.DUMMYFUNCTION("""COMPUTED_VALUE"""),"RiyaC05")</f>
        <v>RiyaC05</v>
      </c>
      <c r="C6277" s="8">
        <f>IFERROR(__xludf.DUMMYFUNCTION("""COMPUTED_VALUE"""),0.0)</f>
        <v>0</v>
      </c>
      <c r="D6277" s="8"/>
    </row>
    <row r="6278">
      <c r="A6278" s="9" t="str">
        <f>IFERROR(__xludf.DUMMYFUNCTION("""COMPUTED_VALUE"""),"Batch 305")</f>
        <v>Batch 305</v>
      </c>
      <c r="B6278" s="9" t="str">
        <f>IFERROR(__xludf.DUMMYFUNCTION("""COMPUTED_VALUE"""),"LayaC05")</f>
        <v>LayaC05</v>
      </c>
      <c r="C6278" s="8">
        <f>IFERROR(__xludf.DUMMYFUNCTION("""COMPUTED_VALUE"""),0.0)</f>
        <v>0</v>
      </c>
      <c r="D6278" s="8"/>
    </row>
    <row r="6279">
      <c r="A6279" s="9" t="str">
        <f>IFERROR(__xludf.DUMMYFUNCTION("""COMPUTED_VALUE"""),"Batch 305")</f>
        <v>Batch 305</v>
      </c>
      <c r="B6279" s="9" t="str">
        <f>IFERROR(__xludf.DUMMYFUNCTION("""COMPUTED_VALUE"""),"AditiC05")</f>
        <v>AditiC05</v>
      </c>
      <c r="C6279" s="8">
        <f>IFERROR(__xludf.DUMMYFUNCTION("""COMPUTED_VALUE"""),0.0)</f>
        <v>0</v>
      </c>
      <c r="D6279" s="8"/>
    </row>
    <row r="6280">
      <c r="A6280" s="9" t="str">
        <f>IFERROR(__xludf.DUMMYFUNCTION("""COMPUTED_VALUE"""),"Batch 305")</f>
        <v>Batch 305</v>
      </c>
      <c r="B6280" s="9" t="str">
        <f>IFERROR(__xludf.DUMMYFUNCTION("""COMPUTED_VALUE"""),"VatsalC05")</f>
        <v>VatsalC05</v>
      </c>
      <c r="C6280" s="8">
        <f>IFERROR(__xludf.DUMMYFUNCTION("""COMPUTED_VALUE"""),0.0)</f>
        <v>0</v>
      </c>
      <c r="D6280" s="8"/>
    </row>
    <row r="6281">
      <c r="A6281" s="9" t="str">
        <f>IFERROR(__xludf.DUMMYFUNCTION("""COMPUTED_VALUE"""),"Batch 305")</f>
        <v>Batch 305</v>
      </c>
      <c r="B6281" s="9" t="str">
        <f>IFERROR(__xludf.DUMMYFUNCTION("""COMPUTED_VALUE"""),"VikasC05")</f>
        <v>VikasC05</v>
      </c>
      <c r="C6281" s="8">
        <f>IFERROR(__xludf.DUMMYFUNCTION("""COMPUTED_VALUE"""),0.0)</f>
        <v>0</v>
      </c>
      <c r="D6281" s="8"/>
    </row>
    <row r="6282">
      <c r="A6282" s="9" t="str">
        <f>IFERROR(__xludf.DUMMYFUNCTION("""COMPUTED_VALUE"""),"Batch 305")</f>
        <v>Batch 305</v>
      </c>
      <c r="B6282" s="9" t="str">
        <f>IFERROR(__xludf.DUMMYFUNCTION("""COMPUTED_VALUE"""),"RamiC05")</f>
        <v>RamiC05</v>
      </c>
      <c r="C6282" s="8">
        <f>IFERROR(__xludf.DUMMYFUNCTION("""COMPUTED_VALUE"""),0.0)</f>
        <v>0</v>
      </c>
      <c r="D6282" s="8"/>
    </row>
    <row r="6283">
      <c r="A6283" s="9" t="str">
        <f>IFERROR(__xludf.DUMMYFUNCTION("""COMPUTED_VALUE"""),"Batch 305")</f>
        <v>Batch 305</v>
      </c>
      <c r="B6283" s="9" t="str">
        <f>IFERROR(__xludf.DUMMYFUNCTION("""COMPUTED_VALUE"""),"DhruvC05")</f>
        <v>DhruvC05</v>
      </c>
      <c r="C6283" s="8">
        <f>IFERROR(__xludf.DUMMYFUNCTION("""COMPUTED_VALUE"""),25.0)</f>
        <v>25</v>
      </c>
      <c r="D6283" s="8">
        <f>IFERROR(__xludf.DUMMYFUNCTION("""COMPUTED_VALUE"""),67.0)</f>
        <v>67</v>
      </c>
    </row>
    <row r="6284">
      <c r="A6284" s="9" t="str">
        <f>IFERROR(__xludf.DUMMYFUNCTION("""COMPUTED_VALUE"""),"Batch 305")</f>
        <v>Batch 305</v>
      </c>
      <c r="B6284" s="9" t="str">
        <f>IFERROR(__xludf.DUMMYFUNCTION("""COMPUTED_VALUE"""),"RIFASHC05")</f>
        <v>RIFASHC05</v>
      </c>
      <c r="C6284" s="8">
        <f>IFERROR(__xludf.DUMMYFUNCTION("""COMPUTED_VALUE"""),1.0)</f>
        <v>1</v>
      </c>
      <c r="D6284" s="8"/>
    </row>
    <row r="6285">
      <c r="A6285" s="9" t="str">
        <f>IFERROR(__xludf.DUMMYFUNCTION("""COMPUTED_VALUE"""),"Batch 305")</f>
        <v>Batch 305</v>
      </c>
      <c r="B6285" s="9" t="str">
        <f>IFERROR(__xludf.DUMMYFUNCTION("""COMPUTED_VALUE"""),"BhavyaC05")</f>
        <v>BhavyaC05</v>
      </c>
      <c r="C6285" s="8">
        <f>IFERROR(__xludf.DUMMYFUNCTION("""COMPUTED_VALUE"""),0.0)</f>
        <v>0</v>
      </c>
      <c r="D6285" s="8"/>
    </row>
    <row r="6286">
      <c r="A6286" s="9" t="str">
        <f>IFERROR(__xludf.DUMMYFUNCTION("""COMPUTED_VALUE"""),"Batch 305")</f>
        <v>Batch 305</v>
      </c>
      <c r="B6286" s="9" t="str">
        <f>IFERROR(__xludf.DUMMYFUNCTION("""COMPUTED_VALUE"""),"TanishkaC05")</f>
        <v>TanishkaC05</v>
      </c>
      <c r="C6286" s="8">
        <f>IFERROR(__xludf.DUMMYFUNCTION("""COMPUTED_VALUE"""),0.0)</f>
        <v>0</v>
      </c>
      <c r="D6286" s="8"/>
    </row>
    <row r="6287">
      <c r="A6287" s="9" t="str">
        <f>IFERROR(__xludf.DUMMYFUNCTION("""COMPUTED_VALUE"""),"Batch 305")</f>
        <v>Batch 305</v>
      </c>
      <c r="B6287" s="9" t="str">
        <f>IFERROR(__xludf.DUMMYFUNCTION("""COMPUTED_VALUE"""),"GokilaC05")</f>
        <v>GokilaC05</v>
      </c>
      <c r="C6287" s="8">
        <f>IFERROR(__xludf.DUMMYFUNCTION("""COMPUTED_VALUE"""),0.0)</f>
        <v>0</v>
      </c>
      <c r="D6287" s="8"/>
    </row>
    <row r="6288">
      <c r="A6288" s="9" t="str">
        <f>IFERROR(__xludf.DUMMYFUNCTION("""COMPUTED_VALUE"""),"Batch 305")</f>
        <v>Batch 305</v>
      </c>
      <c r="B6288" s="9" t="str">
        <f>IFERROR(__xludf.DUMMYFUNCTION("""COMPUTED_VALUE"""),"OmshreenathC05")</f>
        <v>OmshreenathC05</v>
      </c>
      <c r="C6288" s="8">
        <f>IFERROR(__xludf.DUMMYFUNCTION("""COMPUTED_VALUE"""),0.0)</f>
        <v>0</v>
      </c>
      <c r="D6288" s="8"/>
    </row>
    <row r="6289">
      <c r="A6289" s="9" t="str">
        <f>IFERROR(__xludf.DUMMYFUNCTION("""COMPUTED_VALUE"""),"Batch 305")</f>
        <v>Batch 305</v>
      </c>
      <c r="B6289" s="9" t="str">
        <f>IFERROR(__xludf.DUMMYFUNCTION("""COMPUTED_VALUE"""),"PATHANC05")</f>
        <v>PATHANC05</v>
      </c>
      <c r="C6289" s="8">
        <f>IFERROR(__xludf.DUMMYFUNCTION("""COMPUTED_VALUE"""),0.0)</f>
        <v>0</v>
      </c>
      <c r="D6289" s="8"/>
    </row>
    <row r="6290">
      <c r="A6290" s="9" t="str">
        <f>IFERROR(__xludf.DUMMYFUNCTION("""COMPUTED_VALUE"""),"Batch 305")</f>
        <v>Batch 305</v>
      </c>
      <c r="B6290" s="9" t="str">
        <f>IFERROR(__xludf.DUMMYFUNCTION("""COMPUTED_VALUE"""),"AdyaC05")</f>
        <v>AdyaC05</v>
      </c>
      <c r="C6290" s="8">
        <f>IFERROR(__xludf.DUMMYFUNCTION("""COMPUTED_VALUE"""),0.0)</f>
        <v>0</v>
      </c>
      <c r="D6290" s="8"/>
    </row>
    <row r="6291">
      <c r="A6291" s="9" t="str">
        <f>IFERROR(__xludf.DUMMYFUNCTION("""COMPUTED_VALUE"""),"Batch 305")</f>
        <v>Batch 305</v>
      </c>
      <c r="B6291" s="9" t="str">
        <f>IFERROR(__xludf.DUMMYFUNCTION("""COMPUTED_VALUE"""),"DiyaC05")</f>
        <v>DiyaC05</v>
      </c>
      <c r="C6291" s="8">
        <f>IFERROR(__xludf.DUMMYFUNCTION("""COMPUTED_VALUE"""),0.0)</f>
        <v>0</v>
      </c>
      <c r="D6291" s="8"/>
    </row>
    <row r="6292">
      <c r="A6292" s="9" t="str">
        <f>IFERROR(__xludf.DUMMYFUNCTION("""COMPUTED_VALUE"""),"Batch 305")</f>
        <v>Batch 305</v>
      </c>
      <c r="B6292" s="9" t="str">
        <f>IFERROR(__xludf.DUMMYFUNCTION("""COMPUTED_VALUE"""),"HaripriyaC05")</f>
        <v>HaripriyaC05</v>
      </c>
      <c r="C6292" s="8">
        <f>IFERROR(__xludf.DUMMYFUNCTION("""COMPUTED_VALUE"""),0.0)</f>
        <v>0</v>
      </c>
      <c r="D6292" s="8"/>
    </row>
    <row r="6293">
      <c r="A6293" s="9" t="str">
        <f>IFERROR(__xludf.DUMMYFUNCTION("""COMPUTED_VALUE"""),"Batch 305")</f>
        <v>Batch 305</v>
      </c>
      <c r="B6293" s="9" t="str">
        <f>IFERROR(__xludf.DUMMYFUNCTION("""COMPUTED_VALUE"""),"PriyanshiC05")</f>
        <v>PriyanshiC05</v>
      </c>
      <c r="C6293" s="8">
        <f>IFERROR(__xludf.DUMMYFUNCTION("""COMPUTED_VALUE"""),0.0)</f>
        <v>0</v>
      </c>
      <c r="D6293" s="8"/>
    </row>
    <row r="6294">
      <c r="A6294" s="9" t="str">
        <f>IFERROR(__xludf.DUMMYFUNCTION("""COMPUTED_VALUE"""),"Batch 305")</f>
        <v>Batch 305</v>
      </c>
      <c r="B6294" s="9" t="str">
        <f>IFERROR(__xludf.DUMMYFUNCTION("""COMPUTED_VALUE"""),"RashmiC05")</f>
        <v>RashmiC05</v>
      </c>
      <c r="C6294" s="8">
        <f>IFERROR(__xludf.DUMMYFUNCTION("""COMPUTED_VALUE"""),0.0)</f>
        <v>0</v>
      </c>
      <c r="D6294" s="8"/>
    </row>
    <row r="6295">
      <c r="A6295" s="9" t="str">
        <f>IFERROR(__xludf.DUMMYFUNCTION("""COMPUTED_VALUE"""),"Batch 305")</f>
        <v>Batch 305</v>
      </c>
      <c r="B6295" s="9" t="str">
        <f>IFERROR(__xludf.DUMMYFUNCTION("""COMPUTED_VALUE"""),"SamriddhiC05")</f>
        <v>SamriddhiC05</v>
      </c>
      <c r="C6295" s="8">
        <f>IFERROR(__xludf.DUMMYFUNCTION("""COMPUTED_VALUE"""),0.0)</f>
        <v>0</v>
      </c>
      <c r="D6295" s="8"/>
    </row>
    <row r="6296">
      <c r="A6296" s="9" t="str">
        <f>IFERROR(__xludf.DUMMYFUNCTION("""COMPUTED_VALUE"""),"Batch 305")</f>
        <v>Batch 305</v>
      </c>
      <c r="B6296" s="9" t="str">
        <f>IFERROR(__xludf.DUMMYFUNCTION("""COMPUTED_VALUE"""),"HalwinC05")</f>
        <v>HalwinC05</v>
      </c>
      <c r="C6296" s="8">
        <f>IFERROR(__xludf.DUMMYFUNCTION("""COMPUTED_VALUE"""),0.0)</f>
        <v>0</v>
      </c>
      <c r="D6296" s="8"/>
    </row>
    <row r="6297">
      <c r="A6297" s="9" t="str">
        <f>IFERROR(__xludf.DUMMYFUNCTION("""COMPUTED_VALUE"""),"Batch 305")</f>
        <v>Batch 305</v>
      </c>
      <c r="B6297" s="9" t="str">
        <f>IFERROR(__xludf.DUMMYFUNCTION("""COMPUTED_VALUE"""),"SimranC05")</f>
        <v>SimranC05</v>
      </c>
      <c r="C6297" s="8">
        <f>IFERROR(__xludf.DUMMYFUNCTION("""COMPUTED_VALUE"""),0.0)</f>
        <v>0</v>
      </c>
      <c r="D6297" s="8"/>
    </row>
    <row r="6298">
      <c r="A6298" s="9"/>
      <c r="B6298" s="9"/>
      <c r="C6298" s="8">
        <f>IFERROR(__xludf.DUMMYFUNCTION("""COMPUTED_VALUE"""),0.0)</f>
        <v>0</v>
      </c>
      <c r="D6298" s="8"/>
    </row>
    <row r="6299">
      <c r="A6299" s="9" t="str">
        <f>IFERROR(__xludf.DUMMYFUNCTION("""COMPUTED_VALUE"""),"Batch 306")</f>
        <v>Batch 306</v>
      </c>
      <c r="B6299" s="9" t="str">
        <f>IFERROR(__xludf.DUMMYFUNCTION("""COMPUTED_VALUE"""),"DishaC06")</f>
        <v>DishaC06</v>
      </c>
      <c r="C6299" s="8">
        <f>IFERROR(__xludf.DUMMYFUNCTION("""COMPUTED_VALUE"""),0.0)</f>
        <v>0</v>
      </c>
      <c r="D6299" s="8">
        <f>IFERROR(__xludf.DUMMYFUNCTION("""COMPUTED_VALUE"""),1.0)</f>
        <v>1</v>
      </c>
    </row>
    <row r="6300">
      <c r="A6300" s="9" t="str">
        <f>IFERROR(__xludf.DUMMYFUNCTION("""COMPUTED_VALUE"""),"Batch 306")</f>
        <v>Batch 306</v>
      </c>
      <c r="B6300" s="9" t="str">
        <f>IFERROR(__xludf.DUMMYFUNCTION("""COMPUTED_VALUE"""),"HimanshuC06")</f>
        <v>HimanshuC06</v>
      </c>
      <c r="C6300" s="8">
        <f>IFERROR(__xludf.DUMMYFUNCTION("""COMPUTED_VALUE"""),0.0)</f>
        <v>0</v>
      </c>
      <c r="D6300" s="8"/>
    </row>
    <row r="6301">
      <c r="A6301" s="9" t="str">
        <f>IFERROR(__xludf.DUMMYFUNCTION("""COMPUTED_VALUE"""),"Batch 306")</f>
        <v>Batch 306</v>
      </c>
      <c r="B6301" s="9" t="str">
        <f>IFERROR(__xludf.DUMMYFUNCTION("""COMPUTED_VALUE"""),"AnjaliC06")</f>
        <v>AnjaliC06</v>
      </c>
      <c r="C6301" s="8">
        <f>IFERROR(__xludf.DUMMYFUNCTION("""COMPUTED_VALUE"""),0.0)</f>
        <v>0</v>
      </c>
      <c r="D6301" s="8"/>
    </row>
    <row r="6302">
      <c r="A6302" s="9" t="str">
        <f>IFERROR(__xludf.DUMMYFUNCTION("""COMPUTED_VALUE"""),"Batch 306")</f>
        <v>Batch 306</v>
      </c>
      <c r="B6302" s="9" t="str">
        <f>IFERROR(__xludf.DUMMYFUNCTION("""COMPUTED_VALUE"""),"DeveshC06")</f>
        <v>DeveshC06</v>
      </c>
      <c r="C6302" s="8">
        <f>IFERROR(__xludf.DUMMYFUNCTION("""COMPUTED_VALUE"""),0.0)</f>
        <v>0</v>
      </c>
      <c r="D6302" s="8"/>
    </row>
    <row r="6303">
      <c r="A6303" s="9" t="str">
        <f>IFERROR(__xludf.DUMMYFUNCTION("""COMPUTED_VALUE"""),"Batch 306")</f>
        <v>Batch 306</v>
      </c>
      <c r="B6303" s="9" t="str">
        <f>IFERROR(__xludf.DUMMYFUNCTION("""COMPUTED_VALUE"""),"MadhuC06")</f>
        <v>MadhuC06</v>
      </c>
      <c r="C6303" s="8">
        <f>IFERROR(__xludf.DUMMYFUNCTION("""COMPUTED_VALUE"""),0.0)</f>
        <v>0</v>
      </c>
      <c r="D6303" s="8"/>
    </row>
    <row r="6304">
      <c r="A6304" s="9" t="str">
        <f>IFERROR(__xludf.DUMMYFUNCTION("""COMPUTED_VALUE"""),"Batch 306")</f>
        <v>Batch 306</v>
      </c>
      <c r="B6304" s="9" t="str">
        <f>IFERROR(__xludf.DUMMYFUNCTION("""COMPUTED_VALUE"""),"YaasmeenC06")</f>
        <v>YaasmeenC06</v>
      </c>
      <c r="C6304" s="8">
        <f>IFERROR(__xludf.DUMMYFUNCTION("""COMPUTED_VALUE"""),23.0)</f>
        <v>23</v>
      </c>
      <c r="D6304" s="8">
        <f>IFERROR(__xludf.DUMMYFUNCTION("""COMPUTED_VALUE"""),3.0)</f>
        <v>3</v>
      </c>
    </row>
    <row r="6305">
      <c r="A6305" s="9" t="str">
        <f>IFERROR(__xludf.DUMMYFUNCTION("""COMPUTED_VALUE"""),"Batch 306")</f>
        <v>Batch 306</v>
      </c>
      <c r="B6305" s="9" t="str">
        <f>IFERROR(__xludf.DUMMYFUNCTION("""COMPUTED_VALUE"""),"DhruvC06")</f>
        <v>DhruvC06</v>
      </c>
      <c r="C6305" s="8">
        <f>IFERROR(__xludf.DUMMYFUNCTION("""COMPUTED_VALUE"""),0.0)</f>
        <v>0</v>
      </c>
      <c r="D6305" s="8"/>
    </row>
    <row r="6306">
      <c r="A6306" s="9" t="str">
        <f>IFERROR(__xludf.DUMMYFUNCTION("""COMPUTED_VALUE"""),"Batch 306")</f>
        <v>Batch 306</v>
      </c>
      <c r="B6306" s="9" t="str">
        <f>IFERROR(__xludf.DUMMYFUNCTION("""COMPUTED_VALUE"""),"ShashankC06")</f>
        <v>ShashankC06</v>
      </c>
      <c r="C6306" s="8">
        <f>IFERROR(__xludf.DUMMYFUNCTION("""COMPUTED_VALUE"""),0.0)</f>
        <v>0</v>
      </c>
      <c r="D6306" s="8"/>
    </row>
    <row r="6307">
      <c r="A6307" s="9" t="str">
        <f>IFERROR(__xludf.DUMMYFUNCTION("""COMPUTED_VALUE"""),"Batch 306")</f>
        <v>Batch 306</v>
      </c>
      <c r="B6307" s="9" t="str">
        <f>IFERROR(__xludf.DUMMYFUNCTION("""COMPUTED_VALUE"""),"SaradhaC06")</f>
        <v>SaradhaC06</v>
      </c>
      <c r="C6307" s="8">
        <f>IFERROR(__xludf.DUMMYFUNCTION("""COMPUTED_VALUE"""),0.0)</f>
        <v>0</v>
      </c>
      <c r="D6307" s="8"/>
    </row>
    <row r="6308">
      <c r="A6308" s="9" t="str">
        <f>IFERROR(__xludf.DUMMYFUNCTION("""COMPUTED_VALUE"""),"Batch 306")</f>
        <v>Batch 306</v>
      </c>
      <c r="B6308" s="9" t="str">
        <f>IFERROR(__xludf.DUMMYFUNCTION("""COMPUTED_VALUE"""),"GaggenapallyC06")</f>
        <v>GaggenapallyC06</v>
      </c>
      <c r="C6308" s="8">
        <f>IFERROR(__xludf.DUMMYFUNCTION("""COMPUTED_VALUE"""),5.0)</f>
        <v>5</v>
      </c>
      <c r="D6308" s="8"/>
    </row>
    <row r="6309">
      <c r="A6309" s="9" t="str">
        <f>IFERROR(__xludf.DUMMYFUNCTION("""COMPUTED_VALUE"""),"Batch 306")</f>
        <v>Batch 306</v>
      </c>
      <c r="B6309" s="9" t="str">
        <f>IFERROR(__xludf.DUMMYFUNCTION("""COMPUTED_VALUE"""),"PariC06")</f>
        <v>PariC06</v>
      </c>
      <c r="C6309" s="8">
        <f>IFERROR(__xludf.DUMMYFUNCTION("""COMPUTED_VALUE"""),0.0)</f>
        <v>0</v>
      </c>
      <c r="D6309" s="8"/>
    </row>
    <row r="6310">
      <c r="A6310" s="9" t="str">
        <f>IFERROR(__xludf.DUMMYFUNCTION("""COMPUTED_VALUE"""),"Batch 306")</f>
        <v>Batch 306</v>
      </c>
      <c r="B6310" s="9" t="str">
        <f>IFERROR(__xludf.DUMMYFUNCTION("""COMPUTED_VALUE"""),"Sudeep.rC06")</f>
        <v>Sudeep.rC06</v>
      </c>
      <c r="C6310" s="8">
        <f>IFERROR(__xludf.DUMMYFUNCTION("""COMPUTED_VALUE"""),0.0)</f>
        <v>0</v>
      </c>
      <c r="D6310" s="8"/>
    </row>
    <row r="6311">
      <c r="A6311" s="9" t="str">
        <f>IFERROR(__xludf.DUMMYFUNCTION("""COMPUTED_VALUE"""),"Batch 306")</f>
        <v>Batch 306</v>
      </c>
      <c r="B6311" s="9" t="str">
        <f>IFERROR(__xludf.DUMMYFUNCTION("""COMPUTED_VALUE"""),"DishaC06")</f>
        <v>DishaC06</v>
      </c>
      <c r="C6311" s="8">
        <f>IFERROR(__xludf.DUMMYFUNCTION("""COMPUTED_VALUE"""),0.0)</f>
        <v>0</v>
      </c>
      <c r="D6311" s="8"/>
    </row>
    <row r="6312">
      <c r="A6312" s="9" t="str">
        <f>IFERROR(__xludf.DUMMYFUNCTION("""COMPUTED_VALUE"""),"Batch 306")</f>
        <v>Batch 306</v>
      </c>
      <c r="B6312" s="9" t="str">
        <f>IFERROR(__xludf.DUMMYFUNCTION("""COMPUTED_VALUE"""),"RuturajC06")</f>
        <v>RuturajC06</v>
      </c>
      <c r="C6312" s="8">
        <f>IFERROR(__xludf.DUMMYFUNCTION("""COMPUTED_VALUE"""),5.0)</f>
        <v>5</v>
      </c>
      <c r="D6312" s="8">
        <f>IFERROR(__xludf.DUMMYFUNCTION("""COMPUTED_VALUE"""),1.0)</f>
        <v>1</v>
      </c>
    </row>
    <row r="6313">
      <c r="A6313" s="9" t="str">
        <f>IFERROR(__xludf.DUMMYFUNCTION("""COMPUTED_VALUE"""),"Batch 306")</f>
        <v>Batch 306</v>
      </c>
      <c r="B6313" s="9" t="str">
        <f>IFERROR(__xludf.DUMMYFUNCTION("""COMPUTED_VALUE"""),"SakshiC06")</f>
        <v>SakshiC06</v>
      </c>
      <c r="C6313" s="8">
        <f>IFERROR(__xludf.DUMMYFUNCTION("""COMPUTED_VALUE"""),0.0)</f>
        <v>0</v>
      </c>
      <c r="D6313" s="8"/>
    </row>
    <row r="6314">
      <c r="A6314" s="9" t="str">
        <f>IFERROR(__xludf.DUMMYFUNCTION("""COMPUTED_VALUE"""),"Batch 306")</f>
        <v>Batch 306</v>
      </c>
      <c r="B6314" s="9" t="str">
        <f>IFERROR(__xludf.DUMMYFUNCTION("""COMPUTED_VALUE"""),"BellapukondaC06")</f>
        <v>BellapukondaC06</v>
      </c>
      <c r="C6314" s="8">
        <f>IFERROR(__xludf.DUMMYFUNCTION("""COMPUTED_VALUE"""),0.0)</f>
        <v>0</v>
      </c>
      <c r="D6314" s="8"/>
    </row>
    <row r="6315">
      <c r="A6315" s="9" t="str">
        <f>IFERROR(__xludf.DUMMYFUNCTION("""COMPUTED_VALUE"""),"Batch 306")</f>
        <v>Batch 306</v>
      </c>
      <c r="B6315" s="9" t="str">
        <f>IFERROR(__xludf.DUMMYFUNCTION("""COMPUTED_VALUE"""),"HimanshuC06")</f>
        <v>HimanshuC06</v>
      </c>
      <c r="C6315" s="8">
        <f>IFERROR(__xludf.DUMMYFUNCTION("""COMPUTED_VALUE"""),0.0)</f>
        <v>0</v>
      </c>
      <c r="D6315" s="8"/>
    </row>
    <row r="6316">
      <c r="A6316" s="9" t="str">
        <f>IFERROR(__xludf.DUMMYFUNCTION("""COMPUTED_VALUE"""),"Batch 306")</f>
        <v>Batch 306</v>
      </c>
      <c r="B6316" s="9" t="str">
        <f>IFERROR(__xludf.DUMMYFUNCTION("""COMPUTED_VALUE"""),"VirajC06")</f>
        <v>VirajC06</v>
      </c>
      <c r="C6316" s="8">
        <f>IFERROR(__xludf.DUMMYFUNCTION("""COMPUTED_VALUE"""),0.0)</f>
        <v>0</v>
      </c>
      <c r="D6316" s="8"/>
    </row>
    <row r="6317">
      <c r="A6317" s="9" t="str">
        <f>IFERROR(__xludf.DUMMYFUNCTION("""COMPUTED_VALUE"""),"Batch 306")</f>
        <v>Batch 306</v>
      </c>
      <c r="B6317" s="9" t="str">
        <f>IFERROR(__xludf.DUMMYFUNCTION("""COMPUTED_VALUE"""),"SHASHANKC06")</f>
        <v>SHASHANKC06</v>
      </c>
      <c r="C6317" s="8">
        <f>IFERROR(__xludf.DUMMYFUNCTION("""COMPUTED_VALUE"""),0.0)</f>
        <v>0</v>
      </c>
      <c r="D6317" s="8"/>
    </row>
    <row r="6318">
      <c r="A6318" s="9" t="str">
        <f>IFERROR(__xludf.DUMMYFUNCTION("""COMPUTED_VALUE"""),"Batch 306")</f>
        <v>Batch 306</v>
      </c>
      <c r="B6318" s="9" t="str">
        <f>IFERROR(__xludf.DUMMYFUNCTION("""COMPUTED_VALUE"""),"RutujaC06")</f>
        <v>RutujaC06</v>
      </c>
      <c r="C6318" s="8">
        <f>IFERROR(__xludf.DUMMYFUNCTION("""COMPUTED_VALUE"""),0.0)</f>
        <v>0</v>
      </c>
      <c r="D6318" s="8"/>
    </row>
    <row r="6319">
      <c r="A6319" s="9" t="str">
        <f>IFERROR(__xludf.DUMMYFUNCTION("""COMPUTED_VALUE"""),"Batch 306")</f>
        <v>Batch 306</v>
      </c>
      <c r="B6319" s="9" t="str">
        <f>IFERROR(__xludf.DUMMYFUNCTION("""COMPUTED_VALUE"""),"JaivardhanC06")</f>
        <v>JaivardhanC06</v>
      </c>
      <c r="C6319" s="8">
        <f>IFERROR(__xludf.DUMMYFUNCTION("""COMPUTED_VALUE"""),0.0)</f>
        <v>0</v>
      </c>
      <c r="D6319" s="8"/>
    </row>
    <row r="6320">
      <c r="A6320" s="9" t="str">
        <f>IFERROR(__xludf.DUMMYFUNCTION("""COMPUTED_VALUE"""),"Batch 306")</f>
        <v>Batch 306</v>
      </c>
      <c r="B6320" s="9" t="str">
        <f>IFERROR(__xludf.DUMMYFUNCTION("""COMPUTED_VALUE"""),"SaurabhC06")</f>
        <v>SaurabhC06</v>
      </c>
      <c r="C6320" s="8">
        <f>IFERROR(__xludf.DUMMYFUNCTION("""COMPUTED_VALUE"""),0.0)</f>
        <v>0</v>
      </c>
      <c r="D6320" s="8"/>
    </row>
    <row r="6321">
      <c r="A6321" s="9" t="str">
        <f>IFERROR(__xludf.DUMMYFUNCTION("""COMPUTED_VALUE"""),"Batch 306")</f>
        <v>Batch 306</v>
      </c>
      <c r="B6321" s="9" t="str">
        <f>IFERROR(__xludf.DUMMYFUNCTION("""COMPUTED_VALUE"""),"AtharvC06")</f>
        <v>AtharvC06</v>
      </c>
      <c r="C6321" s="8">
        <f>IFERROR(__xludf.DUMMYFUNCTION("""COMPUTED_VALUE"""),3.0)</f>
        <v>3</v>
      </c>
      <c r="D6321" s="8"/>
    </row>
    <row r="6322">
      <c r="A6322" s="9" t="str">
        <f>IFERROR(__xludf.DUMMYFUNCTION("""COMPUTED_VALUE"""),"Batch 306")</f>
        <v>Batch 306</v>
      </c>
      <c r="B6322" s="9" t="str">
        <f>IFERROR(__xludf.DUMMYFUNCTION("""COMPUTED_VALUE"""),"AakankshaC06")</f>
        <v>AakankshaC06</v>
      </c>
      <c r="C6322" s="8">
        <f>IFERROR(__xludf.DUMMYFUNCTION("""COMPUTED_VALUE"""),5.0)</f>
        <v>5</v>
      </c>
      <c r="D6322" s="8"/>
    </row>
    <row r="6323">
      <c r="A6323" s="9" t="str">
        <f>IFERROR(__xludf.DUMMYFUNCTION("""COMPUTED_VALUE"""),"Batch 306")</f>
        <v>Batch 306</v>
      </c>
      <c r="B6323" s="9" t="str">
        <f>IFERROR(__xludf.DUMMYFUNCTION("""COMPUTED_VALUE"""),"JyotiC06")</f>
        <v>JyotiC06</v>
      </c>
      <c r="C6323" s="8">
        <f>IFERROR(__xludf.DUMMYFUNCTION("""COMPUTED_VALUE"""),2.0)</f>
        <v>2</v>
      </c>
      <c r="D6323" s="8"/>
    </row>
    <row r="6324">
      <c r="A6324" s="9" t="str">
        <f>IFERROR(__xludf.DUMMYFUNCTION("""COMPUTED_VALUE"""),"Batch 306")</f>
        <v>Batch 306</v>
      </c>
      <c r="B6324" s="9" t="str">
        <f>IFERROR(__xludf.DUMMYFUNCTION("""COMPUTED_VALUE"""),"AnjaliC06")</f>
        <v>AnjaliC06</v>
      </c>
      <c r="C6324" s="8">
        <f>IFERROR(__xludf.DUMMYFUNCTION("""COMPUTED_VALUE"""),0.0)</f>
        <v>0</v>
      </c>
      <c r="D6324" s="8"/>
    </row>
    <row r="6325">
      <c r="A6325" s="9" t="str">
        <f>IFERROR(__xludf.DUMMYFUNCTION("""COMPUTED_VALUE"""),"Batch 306")</f>
        <v>Batch 306</v>
      </c>
      <c r="B6325" s="9" t="str">
        <f>IFERROR(__xludf.DUMMYFUNCTION("""COMPUTED_VALUE"""),"DevanshC06")</f>
        <v>DevanshC06</v>
      </c>
      <c r="C6325" s="8">
        <f>IFERROR(__xludf.DUMMYFUNCTION("""COMPUTED_VALUE"""),6.0)</f>
        <v>6</v>
      </c>
      <c r="D6325" s="8"/>
    </row>
    <row r="6326">
      <c r="A6326" s="9" t="str">
        <f>IFERROR(__xludf.DUMMYFUNCTION("""COMPUTED_VALUE"""),"Batch 306")</f>
        <v>Batch 306</v>
      </c>
      <c r="B6326" s="9" t="str">
        <f>IFERROR(__xludf.DUMMYFUNCTION("""COMPUTED_VALUE"""),"HimanshuRC06")</f>
        <v>HimanshuRC06</v>
      </c>
      <c r="C6326" s="8">
        <f>IFERROR(__xludf.DUMMYFUNCTION("""COMPUTED_VALUE"""),0.0)</f>
        <v>0</v>
      </c>
      <c r="D6326" s="8"/>
    </row>
    <row r="6327">
      <c r="A6327" s="9" t="str">
        <f>IFERROR(__xludf.DUMMYFUNCTION("""COMPUTED_VALUE"""),"Batch 306")</f>
        <v>Batch 306</v>
      </c>
      <c r="B6327" s="9" t="str">
        <f>IFERROR(__xludf.DUMMYFUNCTION("""COMPUTED_VALUE"""),"AbhinavC06")</f>
        <v>AbhinavC06</v>
      </c>
      <c r="C6327" s="8">
        <f>IFERROR(__xludf.DUMMYFUNCTION("""COMPUTED_VALUE"""),0.0)</f>
        <v>0</v>
      </c>
      <c r="D6327" s="8"/>
    </row>
    <row r="6328">
      <c r="A6328" s="9" t="str">
        <f>IFERROR(__xludf.DUMMYFUNCTION("""COMPUTED_VALUE"""),"Batch 306")</f>
        <v>Batch 306</v>
      </c>
      <c r="B6328" s="9" t="str">
        <f>IFERROR(__xludf.DUMMYFUNCTION("""COMPUTED_VALUE"""),"VidhiC06")</f>
        <v>VidhiC06</v>
      </c>
      <c r="C6328" s="8">
        <f>IFERROR(__xludf.DUMMYFUNCTION("""COMPUTED_VALUE"""),0.0)</f>
        <v>0</v>
      </c>
      <c r="D6328" s="8"/>
    </row>
    <row r="6329">
      <c r="A6329" s="9" t="str">
        <f>IFERROR(__xludf.DUMMYFUNCTION("""COMPUTED_VALUE"""),"Batch 306")</f>
        <v>Batch 306</v>
      </c>
      <c r="B6329" s="9" t="str">
        <f>IFERROR(__xludf.DUMMYFUNCTION("""COMPUTED_VALUE"""),"TanmayC06")</f>
        <v>TanmayC06</v>
      </c>
      <c r="C6329" s="8">
        <f>IFERROR(__xludf.DUMMYFUNCTION("""COMPUTED_VALUE"""),2.0)</f>
        <v>2</v>
      </c>
      <c r="D6329" s="8"/>
    </row>
    <row r="6330">
      <c r="A6330" s="9" t="str">
        <f>IFERROR(__xludf.DUMMYFUNCTION("""COMPUTED_VALUE"""),"Batch 306")</f>
        <v>Batch 306</v>
      </c>
      <c r="B6330" s="9" t="str">
        <f>IFERROR(__xludf.DUMMYFUNCTION("""COMPUTED_VALUE"""),"YashC06")</f>
        <v>YashC06</v>
      </c>
      <c r="C6330" s="8">
        <f>IFERROR(__xludf.DUMMYFUNCTION("""COMPUTED_VALUE"""),0.0)</f>
        <v>0</v>
      </c>
      <c r="D6330" s="8"/>
    </row>
    <row r="6331">
      <c r="A6331" s="9" t="str">
        <f>IFERROR(__xludf.DUMMYFUNCTION("""COMPUTED_VALUE"""),"Batch 306")</f>
        <v>Batch 306</v>
      </c>
      <c r="B6331" s="9" t="str">
        <f>IFERROR(__xludf.DUMMYFUNCTION("""COMPUTED_VALUE"""),"HridayC06")</f>
        <v>HridayC06</v>
      </c>
      <c r="C6331" s="8">
        <f>IFERROR(__xludf.DUMMYFUNCTION("""COMPUTED_VALUE"""),0.0)</f>
        <v>0</v>
      </c>
      <c r="D6331" s="8"/>
    </row>
    <row r="6332">
      <c r="A6332" s="9" t="str">
        <f>IFERROR(__xludf.DUMMYFUNCTION("""COMPUTED_VALUE"""),"Batch 306")</f>
        <v>Batch 306</v>
      </c>
      <c r="B6332" s="9" t="str">
        <f>IFERROR(__xludf.DUMMYFUNCTION("""COMPUTED_VALUE"""),"AnkitC06")</f>
        <v>AnkitC06</v>
      </c>
      <c r="C6332" s="8">
        <f>IFERROR(__xludf.DUMMYFUNCTION("""COMPUTED_VALUE"""),0.0)</f>
        <v>0</v>
      </c>
      <c r="D6332" s="8"/>
    </row>
    <row r="6333">
      <c r="A6333" s="9" t="str">
        <f>IFERROR(__xludf.DUMMYFUNCTION("""COMPUTED_VALUE"""),"Batch 306")</f>
        <v>Batch 306</v>
      </c>
      <c r="B6333" s="9" t="str">
        <f>IFERROR(__xludf.DUMMYFUNCTION("""COMPUTED_VALUE"""),"RIMJHIMC06")</f>
        <v>RIMJHIMC06</v>
      </c>
      <c r="C6333" s="8">
        <f>IFERROR(__xludf.DUMMYFUNCTION("""COMPUTED_VALUE"""),0.0)</f>
        <v>0</v>
      </c>
      <c r="D6333" s="8"/>
    </row>
    <row r="6334">
      <c r="A6334" s="9" t="str">
        <f>IFERROR(__xludf.DUMMYFUNCTION("""COMPUTED_VALUE"""),"Batch 306")</f>
        <v>Batch 306</v>
      </c>
      <c r="B6334" s="9" t="str">
        <f>IFERROR(__xludf.DUMMYFUNCTION("""COMPUTED_VALUE"""),"MaharshiC06")</f>
        <v>MaharshiC06</v>
      </c>
      <c r="C6334" s="8">
        <f>IFERROR(__xludf.DUMMYFUNCTION("""COMPUTED_VALUE"""),0.0)</f>
        <v>0</v>
      </c>
      <c r="D6334" s="8"/>
    </row>
    <row r="6335">
      <c r="A6335" s="9" t="str">
        <f>IFERROR(__xludf.DUMMYFUNCTION("""COMPUTED_VALUE"""),"Batch 306")</f>
        <v>Batch 306</v>
      </c>
      <c r="B6335" s="9" t="str">
        <f>IFERROR(__xludf.DUMMYFUNCTION("""COMPUTED_VALUE"""),"RohiniC06")</f>
        <v>RohiniC06</v>
      </c>
      <c r="C6335" s="8">
        <f>IFERROR(__xludf.DUMMYFUNCTION("""COMPUTED_VALUE"""),0.0)</f>
        <v>0</v>
      </c>
      <c r="D6335" s="8"/>
    </row>
    <row r="6336">
      <c r="A6336" s="9" t="str">
        <f>IFERROR(__xludf.DUMMYFUNCTION("""COMPUTED_VALUE"""),"Batch 306")</f>
        <v>Batch 306</v>
      </c>
      <c r="B6336" s="9" t="str">
        <f>IFERROR(__xludf.DUMMYFUNCTION("""COMPUTED_VALUE"""),"RahulC06")</f>
        <v>RahulC06</v>
      </c>
      <c r="C6336" s="8">
        <f>IFERROR(__xludf.DUMMYFUNCTION("""COMPUTED_VALUE"""),1.0)</f>
        <v>1</v>
      </c>
      <c r="D6336" s="8"/>
    </row>
    <row r="6337">
      <c r="A6337" s="9" t="str">
        <f>IFERROR(__xludf.DUMMYFUNCTION("""COMPUTED_VALUE"""),"Batch 306")</f>
        <v>Batch 306</v>
      </c>
      <c r="B6337" s="9" t="str">
        <f>IFERROR(__xludf.DUMMYFUNCTION("""COMPUTED_VALUE"""),"sumitC06")</f>
        <v>sumitC06</v>
      </c>
      <c r="C6337" s="8">
        <f>IFERROR(__xludf.DUMMYFUNCTION("""COMPUTED_VALUE"""),2.0)</f>
        <v>2</v>
      </c>
      <c r="D6337" s="8"/>
    </row>
    <row r="6338">
      <c r="A6338" s="9" t="str">
        <f>IFERROR(__xludf.DUMMYFUNCTION("""COMPUTED_VALUE"""),"Batch 306")</f>
        <v>Batch 306</v>
      </c>
      <c r="B6338" s="9" t="str">
        <f>IFERROR(__xludf.DUMMYFUNCTION("""COMPUTED_VALUE"""),"SaranshC06")</f>
        <v>SaranshC06</v>
      </c>
      <c r="C6338" s="8">
        <f>IFERROR(__xludf.DUMMYFUNCTION("""COMPUTED_VALUE"""),2.0)</f>
        <v>2</v>
      </c>
      <c r="D6338" s="8"/>
    </row>
    <row r="6339">
      <c r="A6339" s="9" t="str">
        <f>IFERROR(__xludf.DUMMYFUNCTION("""COMPUTED_VALUE"""),"Batch 306")</f>
        <v>Batch 306</v>
      </c>
      <c r="B6339" s="9" t="str">
        <f>IFERROR(__xludf.DUMMYFUNCTION("""COMPUTED_VALUE"""),"TarushC06")</f>
        <v>TarushC06</v>
      </c>
      <c r="C6339" s="8">
        <f>IFERROR(__xludf.DUMMYFUNCTION("""COMPUTED_VALUE"""),0.0)</f>
        <v>0</v>
      </c>
      <c r="D6339" s="8"/>
    </row>
    <row r="6340">
      <c r="A6340" s="9" t="str">
        <f>IFERROR(__xludf.DUMMYFUNCTION("""COMPUTED_VALUE"""),"Batch 306")</f>
        <v>Batch 306</v>
      </c>
      <c r="B6340" s="9" t="str">
        <f>IFERROR(__xludf.DUMMYFUNCTION("""COMPUTED_VALUE"""),"SresthC06")</f>
        <v>SresthC06</v>
      </c>
      <c r="C6340" s="8">
        <f>IFERROR(__xludf.DUMMYFUNCTION("""COMPUTED_VALUE"""),0.0)</f>
        <v>0</v>
      </c>
      <c r="D6340" s="8"/>
    </row>
    <row r="6341">
      <c r="A6341" s="9" t="str">
        <f>IFERROR(__xludf.DUMMYFUNCTION("""COMPUTED_VALUE"""),"Batch 306")</f>
        <v>Batch 306</v>
      </c>
      <c r="B6341" s="9" t="str">
        <f>IFERROR(__xludf.DUMMYFUNCTION("""COMPUTED_VALUE"""),"VrishketanC06")</f>
        <v>VrishketanC06</v>
      </c>
      <c r="C6341" s="8">
        <f>IFERROR(__xludf.DUMMYFUNCTION("""COMPUTED_VALUE"""),0.0)</f>
        <v>0</v>
      </c>
      <c r="D6341" s="8"/>
    </row>
    <row r="6342">
      <c r="A6342" s="9" t="str">
        <f>IFERROR(__xludf.DUMMYFUNCTION("""COMPUTED_VALUE"""),"Batch 306")</f>
        <v>Batch 306</v>
      </c>
      <c r="B6342" s="9" t="str">
        <f>IFERROR(__xludf.DUMMYFUNCTION("""COMPUTED_VALUE"""),"VisaganC06")</f>
        <v>VisaganC06</v>
      </c>
      <c r="C6342" s="8">
        <f>IFERROR(__xludf.DUMMYFUNCTION("""COMPUTED_VALUE"""),0.0)</f>
        <v>0</v>
      </c>
      <c r="D6342" s="8"/>
    </row>
    <row r="6343">
      <c r="A6343" s="9" t="str">
        <f>IFERROR(__xludf.DUMMYFUNCTION("""COMPUTED_VALUE"""),"Batch 306")</f>
        <v>Batch 306</v>
      </c>
      <c r="B6343" s="9" t="str">
        <f>IFERROR(__xludf.DUMMYFUNCTION("""COMPUTED_VALUE"""),"LALITC06")</f>
        <v>LALITC06</v>
      </c>
      <c r="C6343" s="8">
        <f>IFERROR(__xludf.DUMMYFUNCTION("""COMPUTED_VALUE"""),0.0)</f>
        <v>0</v>
      </c>
      <c r="D6343" s="8"/>
    </row>
    <row r="6344">
      <c r="A6344" s="9" t="str">
        <f>IFERROR(__xludf.DUMMYFUNCTION("""COMPUTED_VALUE"""),"Batch 306")</f>
        <v>Batch 306</v>
      </c>
      <c r="B6344" s="9" t="str">
        <f>IFERROR(__xludf.DUMMYFUNCTION("""COMPUTED_VALUE"""),"KiranC06")</f>
        <v>KiranC06</v>
      </c>
      <c r="C6344" s="8">
        <f>IFERROR(__xludf.DUMMYFUNCTION("""COMPUTED_VALUE"""),0.0)</f>
        <v>0</v>
      </c>
      <c r="D6344" s="8"/>
    </row>
    <row r="6345">
      <c r="A6345" s="9" t="str">
        <f>IFERROR(__xludf.DUMMYFUNCTION("""COMPUTED_VALUE"""),"Batch 306")</f>
        <v>Batch 306</v>
      </c>
      <c r="B6345" s="9" t="str">
        <f>IFERROR(__xludf.DUMMYFUNCTION("""COMPUTED_VALUE"""),"SionaC06")</f>
        <v>SionaC06</v>
      </c>
      <c r="C6345" s="8">
        <f>IFERROR(__xludf.DUMMYFUNCTION("""COMPUTED_VALUE"""),0.0)</f>
        <v>0</v>
      </c>
      <c r="D6345" s="8"/>
    </row>
    <row r="6346">
      <c r="A6346" s="9" t="str">
        <f>IFERROR(__xludf.DUMMYFUNCTION("""COMPUTED_VALUE"""),"Batch 306")</f>
        <v>Batch 306</v>
      </c>
      <c r="B6346" s="9" t="str">
        <f>IFERROR(__xludf.DUMMYFUNCTION("""COMPUTED_VALUE"""),"LOKHANDEC06")</f>
        <v>LOKHANDEC06</v>
      </c>
      <c r="C6346" s="8">
        <f>IFERROR(__xludf.DUMMYFUNCTION("""COMPUTED_VALUE"""),0.0)</f>
        <v>0</v>
      </c>
      <c r="D6346" s="8"/>
    </row>
    <row r="6347">
      <c r="A6347" s="9" t="str">
        <f>IFERROR(__xludf.DUMMYFUNCTION("""COMPUTED_VALUE"""),"Batch 306")</f>
        <v>Batch 306</v>
      </c>
      <c r="B6347" s="9" t="str">
        <f>IFERROR(__xludf.DUMMYFUNCTION("""COMPUTED_VALUE"""),"KritiC06")</f>
        <v>KritiC06</v>
      </c>
      <c r="C6347" s="8">
        <f>IFERROR(__xludf.DUMMYFUNCTION("""COMPUTED_VALUE"""),0.0)</f>
        <v>0</v>
      </c>
      <c r="D6347" s="8"/>
    </row>
    <row r="6348">
      <c r="A6348" s="9" t="str">
        <f>IFERROR(__xludf.DUMMYFUNCTION("""COMPUTED_VALUE"""),"Batch 306")</f>
        <v>Batch 306</v>
      </c>
      <c r="B6348" s="9" t="str">
        <f>IFERROR(__xludf.DUMMYFUNCTION("""COMPUTED_VALUE"""),"vaishnaviC06")</f>
        <v>vaishnaviC06</v>
      </c>
      <c r="C6348" s="8">
        <f>IFERROR(__xludf.DUMMYFUNCTION("""COMPUTED_VALUE"""),0.0)</f>
        <v>0</v>
      </c>
      <c r="D6348" s="8"/>
    </row>
    <row r="6349">
      <c r="A6349" s="9" t="str">
        <f>IFERROR(__xludf.DUMMYFUNCTION("""COMPUTED_VALUE"""),"Batch 306")</f>
        <v>Batch 306</v>
      </c>
      <c r="B6349" s="9" t="str">
        <f>IFERROR(__xludf.DUMMYFUNCTION("""COMPUTED_VALUE"""),"KishanC06")</f>
        <v>KishanC06</v>
      </c>
      <c r="C6349" s="8">
        <f>IFERROR(__xludf.DUMMYFUNCTION("""COMPUTED_VALUE"""),0.0)</f>
        <v>0</v>
      </c>
      <c r="D6349" s="8"/>
    </row>
    <row r="6350">
      <c r="A6350" s="9" t="str">
        <f>IFERROR(__xludf.DUMMYFUNCTION("""COMPUTED_VALUE"""),"Batch 306")</f>
        <v>Batch 306</v>
      </c>
      <c r="B6350" s="9" t="str">
        <f>IFERROR(__xludf.DUMMYFUNCTION("""COMPUTED_VALUE"""),"SaradhaC06")</f>
        <v>SaradhaC06</v>
      </c>
      <c r="C6350" s="8">
        <f>IFERROR(__xludf.DUMMYFUNCTION("""COMPUTED_VALUE"""),0.0)</f>
        <v>0</v>
      </c>
      <c r="D6350" s="8"/>
    </row>
    <row r="6351">
      <c r="A6351" s="9" t="str">
        <f>IFERROR(__xludf.DUMMYFUNCTION("""COMPUTED_VALUE"""),"Batch 306")</f>
        <v>Batch 306</v>
      </c>
      <c r="B6351" s="9" t="str">
        <f>IFERROR(__xludf.DUMMYFUNCTION("""COMPUTED_VALUE"""),"SandipaniC06")</f>
        <v>SandipaniC06</v>
      </c>
      <c r="C6351" s="8">
        <f>IFERROR(__xludf.DUMMYFUNCTION("""COMPUTED_VALUE"""),0.0)</f>
        <v>0</v>
      </c>
      <c r="D6351" s="8"/>
    </row>
    <row r="6352">
      <c r="A6352" s="9" t="str">
        <f>IFERROR(__xludf.DUMMYFUNCTION("""COMPUTED_VALUE"""),"Batch 306")</f>
        <v>Batch 306</v>
      </c>
      <c r="B6352" s="9" t="str">
        <f>IFERROR(__xludf.DUMMYFUNCTION("""COMPUTED_VALUE"""),"ShivamC06")</f>
        <v>ShivamC06</v>
      </c>
      <c r="C6352" s="8">
        <f>IFERROR(__xludf.DUMMYFUNCTION("""COMPUTED_VALUE"""),0.0)</f>
        <v>0</v>
      </c>
      <c r="D6352" s="8"/>
    </row>
    <row r="6353">
      <c r="A6353" s="9" t="str">
        <f>IFERROR(__xludf.DUMMYFUNCTION("""COMPUTED_VALUE"""),"Batch 306")</f>
        <v>Batch 306</v>
      </c>
      <c r="B6353" s="9" t="str">
        <f>IFERROR(__xludf.DUMMYFUNCTION("""COMPUTED_VALUE"""),"YashasviC06")</f>
        <v>YashasviC06</v>
      </c>
      <c r="C6353" s="8">
        <f>IFERROR(__xludf.DUMMYFUNCTION("""COMPUTED_VALUE"""),0.0)</f>
        <v>0</v>
      </c>
      <c r="D6353" s="8"/>
    </row>
    <row r="6354">
      <c r="A6354" s="9" t="str">
        <f>IFERROR(__xludf.DUMMYFUNCTION("""COMPUTED_VALUE"""),"Batch 306")</f>
        <v>Batch 306</v>
      </c>
      <c r="B6354" s="9" t="str">
        <f>IFERROR(__xludf.DUMMYFUNCTION("""COMPUTED_VALUE"""),"RitikaC06")</f>
        <v>RitikaC06</v>
      </c>
      <c r="C6354" s="8">
        <f>IFERROR(__xludf.DUMMYFUNCTION("""COMPUTED_VALUE"""),2.0)</f>
        <v>2</v>
      </c>
      <c r="D6354" s="8"/>
    </row>
    <row r="6355">
      <c r="A6355" s="9" t="str">
        <f>IFERROR(__xludf.DUMMYFUNCTION("""COMPUTED_VALUE"""),"Batch 306")</f>
        <v>Batch 306</v>
      </c>
      <c r="B6355" s="9" t="str">
        <f>IFERROR(__xludf.DUMMYFUNCTION("""COMPUTED_VALUE"""),"YuhansaC06")</f>
        <v>YuhansaC06</v>
      </c>
      <c r="C6355" s="8">
        <f>IFERROR(__xludf.DUMMYFUNCTION("""COMPUTED_VALUE"""),2.0)</f>
        <v>2</v>
      </c>
      <c r="D6355" s="8">
        <f>IFERROR(__xludf.DUMMYFUNCTION("""COMPUTED_VALUE"""),2.0)</f>
        <v>2</v>
      </c>
    </row>
    <row r="6356">
      <c r="A6356" s="9" t="str">
        <f>IFERROR(__xludf.DUMMYFUNCTION("""COMPUTED_VALUE"""),"Batch 306")</f>
        <v>Batch 306</v>
      </c>
      <c r="B6356" s="9" t="str">
        <f>IFERROR(__xludf.DUMMYFUNCTION("""COMPUTED_VALUE"""),"SiftiC06")</f>
        <v>SiftiC06</v>
      </c>
      <c r="C6356" s="8">
        <f>IFERROR(__xludf.DUMMYFUNCTION("""COMPUTED_VALUE"""),0.0)</f>
        <v>0</v>
      </c>
      <c r="D6356" s="8"/>
    </row>
    <row r="6357">
      <c r="A6357" s="9" t="str">
        <f>IFERROR(__xludf.DUMMYFUNCTION("""COMPUTED_VALUE"""),"Batch 306")</f>
        <v>Batch 306</v>
      </c>
      <c r="B6357" s="9" t="str">
        <f>IFERROR(__xludf.DUMMYFUNCTION("""COMPUTED_VALUE"""),"NavyashreeC06")</f>
        <v>NavyashreeC06</v>
      </c>
      <c r="C6357" s="8">
        <f>IFERROR(__xludf.DUMMYFUNCTION("""COMPUTED_VALUE"""),0.0)</f>
        <v>0</v>
      </c>
      <c r="D6357" s="8"/>
    </row>
    <row r="6358">
      <c r="A6358" s="9" t="str">
        <f>IFERROR(__xludf.DUMMYFUNCTION("""COMPUTED_VALUE"""),"Batch 306")</f>
        <v>Batch 306</v>
      </c>
      <c r="B6358" s="9" t="str">
        <f>IFERROR(__xludf.DUMMYFUNCTION("""COMPUTED_VALUE"""),"TAMMAC06")</f>
        <v>TAMMAC06</v>
      </c>
      <c r="C6358" s="8">
        <f>IFERROR(__xludf.DUMMYFUNCTION("""COMPUTED_VALUE"""),0.0)</f>
        <v>0</v>
      </c>
      <c r="D6358" s="8"/>
    </row>
    <row r="6359">
      <c r="A6359" s="9" t="str">
        <f>IFERROR(__xludf.DUMMYFUNCTION("""COMPUTED_VALUE"""),"Batch 306")</f>
        <v>Batch 306</v>
      </c>
      <c r="B6359" s="9" t="str">
        <f>IFERROR(__xludf.DUMMYFUNCTION("""COMPUTED_VALUE"""),"SumitJC06")</f>
        <v>SumitJC06</v>
      </c>
      <c r="C6359" s="8">
        <f>IFERROR(__xludf.DUMMYFUNCTION("""COMPUTED_VALUE"""),0.0)</f>
        <v>0</v>
      </c>
      <c r="D6359" s="8"/>
    </row>
    <row r="6360">
      <c r="A6360" s="9" t="str">
        <f>IFERROR(__xludf.DUMMYFUNCTION("""COMPUTED_VALUE"""),"Batch 306")</f>
        <v>Batch 306</v>
      </c>
      <c r="B6360" s="9" t="str">
        <f>IFERROR(__xludf.DUMMYFUNCTION("""COMPUTED_VALUE"""),"KattulaC06")</f>
        <v>KattulaC06</v>
      </c>
      <c r="C6360" s="8">
        <f>IFERROR(__xludf.DUMMYFUNCTION("""COMPUTED_VALUE"""),0.0)</f>
        <v>0</v>
      </c>
      <c r="D6360" s="8"/>
    </row>
    <row r="6361">
      <c r="A6361" s="9" t="str">
        <f>IFERROR(__xludf.DUMMYFUNCTION("""COMPUTED_VALUE"""),"Batch 306")</f>
        <v>Batch 306</v>
      </c>
      <c r="B6361" s="9" t="str">
        <f>IFERROR(__xludf.DUMMYFUNCTION("""COMPUTED_VALUE"""),"AkanshaC06")</f>
        <v>AkanshaC06</v>
      </c>
      <c r="C6361" s="8">
        <f>IFERROR(__xludf.DUMMYFUNCTION("""COMPUTED_VALUE"""),3.0)</f>
        <v>3</v>
      </c>
      <c r="D6361" s="8"/>
    </row>
    <row r="6362">
      <c r="A6362" s="9" t="str">
        <f>IFERROR(__xludf.DUMMYFUNCTION("""COMPUTED_VALUE"""),"Batch 306")</f>
        <v>Batch 306</v>
      </c>
      <c r="B6362" s="9" t="str">
        <f>IFERROR(__xludf.DUMMYFUNCTION("""COMPUTED_VALUE"""),"KrishC06")</f>
        <v>KrishC06</v>
      </c>
      <c r="C6362" s="8">
        <f>IFERROR(__xludf.DUMMYFUNCTION("""COMPUTED_VALUE"""),0.0)</f>
        <v>0</v>
      </c>
      <c r="D6362" s="8"/>
    </row>
    <row r="6363">
      <c r="A6363" s="9" t="str">
        <f>IFERROR(__xludf.DUMMYFUNCTION("""COMPUTED_VALUE"""),"Batch 306")</f>
        <v>Batch 306</v>
      </c>
      <c r="B6363" s="9" t="str">
        <f>IFERROR(__xludf.DUMMYFUNCTION("""COMPUTED_VALUE"""),"JanhawiC06")</f>
        <v>JanhawiC06</v>
      </c>
      <c r="C6363" s="8">
        <f>IFERROR(__xludf.DUMMYFUNCTION("""COMPUTED_VALUE"""),0.0)</f>
        <v>0</v>
      </c>
      <c r="D6363" s="8"/>
    </row>
    <row r="6364">
      <c r="A6364" s="9" t="str">
        <f>IFERROR(__xludf.DUMMYFUNCTION("""COMPUTED_VALUE"""),"Batch 306")</f>
        <v>Batch 306</v>
      </c>
      <c r="B6364" s="9" t="str">
        <f>IFERROR(__xludf.DUMMYFUNCTION("""COMPUTED_VALUE"""),"MohdC06")</f>
        <v>MohdC06</v>
      </c>
      <c r="C6364" s="8">
        <f>IFERROR(__xludf.DUMMYFUNCTION("""COMPUTED_VALUE"""),0.0)</f>
        <v>0</v>
      </c>
      <c r="D6364" s="8"/>
    </row>
    <row r="6365">
      <c r="A6365" s="9" t="str">
        <f>IFERROR(__xludf.DUMMYFUNCTION("""COMPUTED_VALUE"""),"Batch 306")</f>
        <v>Batch 306</v>
      </c>
      <c r="B6365" s="9" t="str">
        <f>IFERROR(__xludf.DUMMYFUNCTION("""COMPUTED_VALUE"""),"EshaC06")</f>
        <v>EshaC06</v>
      </c>
      <c r="C6365" s="8">
        <f>IFERROR(__xludf.DUMMYFUNCTION("""COMPUTED_VALUE"""),0.0)</f>
        <v>0</v>
      </c>
      <c r="D6365" s="8"/>
    </row>
    <row r="6366">
      <c r="A6366" s="9" t="str">
        <f>IFERROR(__xludf.DUMMYFUNCTION("""COMPUTED_VALUE"""),"Batch 306")</f>
        <v>Batch 306</v>
      </c>
      <c r="B6366" s="9" t="str">
        <f>IFERROR(__xludf.DUMMYFUNCTION("""COMPUTED_VALUE"""),"SowbarnickaC06")</f>
        <v>SowbarnickaC06</v>
      </c>
      <c r="C6366" s="8">
        <f>IFERROR(__xludf.DUMMYFUNCTION("""COMPUTED_VALUE"""),0.0)</f>
        <v>0</v>
      </c>
      <c r="D6366" s="8"/>
    </row>
    <row r="6367">
      <c r="A6367" s="9" t="str">
        <f>IFERROR(__xludf.DUMMYFUNCTION("""COMPUTED_VALUE"""),"Batch 306")</f>
        <v>Batch 306</v>
      </c>
      <c r="B6367" s="9" t="str">
        <f>IFERROR(__xludf.DUMMYFUNCTION("""COMPUTED_VALUE"""),"K.EekshithaC06")</f>
        <v>K.EekshithaC06</v>
      </c>
      <c r="C6367" s="8">
        <f>IFERROR(__xludf.DUMMYFUNCTION("""COMPUTED_VALUE"""),1.0)</f>
        <v>1</v>
      </c>
      <c r="D6367" s="8"/>
    </row>
    <row r="6368">
      <c r="A6368" s="9" t="str">
        <f>IFERROR(__xludf.DUMMYFUNCTION("""COMPUTED_VALUE"""),"Batch 306")</f>
        <v>Batch 306</v>
      </c>
      <c r="B6368" s="9" t="str">
        <f>IFERROR(__xludf.DUMMYFUNCTION("""COMPUTED_VALUE"""),"KhushC06")</f>
        <v>KhushC06</v>
      </c>
      <c r="C6368" s="8">
        <f>IFERROR(__xludf.DUMMYFUNCTION("""COMPUTED_VALUE"""),0.0)</f>
        <v>0</v>
      </c>
      <c r="D6368" s="8"/>
    </row>
    <row r="6369">
      <c r="A6369" s="9" t="str">
        <f>IFERROR(__xludf.DUMMYFUNCTION("""COMPUTED_VALUE"""),"Batch 306")</f>
        <v>Batch 306</v>
      </c>
      <c r="B6369" s="9" t="str">
        <f>IFERROR(__xludf.DUMMYFUNCTION("""COMPUTED_VALUE"""),"SanjeevC06")</f>
        <v>SanjeevC06</v>
      </c>
      <c r="C6369" s="8">
        <f>IFERROR(__xludf.DUMMYFUNCTION("""COMPUTED_VALUE"""),4.0)</f>
        <v>4</v>
      </c>
      <c r="D6369" s="8">
        <f>IFERROR(__xludf.DUMMYFUNCTION("""COMPUTED_VALUE"""),3.0)</f>
        <v>3</v>
      </c>
    </row>
    <row r="6370">
      <c r="A6370" s="9" t="str">
        <f>IFERROR(__xludf.DUMMYFUNCTION("""COMPUTED_VALUE"""),"Batch 306")</f>
        <v>Batch 306</v>
      </c>
      <c r="B6370" s="9" t="str">
        <f>IFERROR(__xludf.DUMMYFUNCTION("""COMPUTED_VALUE"""),"vrindaC06")</f>
        <v>vrindaC06</v>
      </c>
      <c r="C6370" s="8">
        <f>IFERROR(__xludf.DUMMYFUNCTION("""COMPUTED_VALUE"""),0.0)</f>
        <v>0</v>
      </c>
      <c r="D6370" s="8"/>
    </row>
    <row r="6371">
      <c r="A6371" s="9" t="str">
        <f>IFERROR(__xludf.DUMMYFUNCTION("""COMPUTED_VALUE"""),"Batch 306")</f>
        <v>Batch 306</v>
      </c>
      <c r="B6371" s="9" t="str">
        <f>IFERROR(__xludf.DUMMYFUNCTION("""COMPUTED_VALUE"""),"GopalC06")</f>
        <v>GopalC06</v>
      </c>
      <c r="C6371" s="8">
        <f>IFERROR(__xludf.DUMMYFUNCTION("""COMPUTED_VALUE"""),0.0)</f>
        <v>0</v>
      </c>
      <c r="D6371" s="8"/>
    </row>
    <row r="6372">
      <c r="A6372" s="9" t="str">
        <f>IFERROR(__xludf.DUMMYFUNCTION("""COMPUTED_VALUE"""),"Batch 306")</f>
        <v>Batch 306</v>
      </c>
      <c r="B6372" s="9" t="str">
        <f>IFERROR(__xludf.DUMMYFUNCTION("""COMPUTED_VALUE"""),"KrishC06")</f>
        <v>KrishC06</v>
      </c>
      <c r="C6372" s="8">
        <f>IFERROR(__xludf.DUMMYFUNCTION("""COMPUTED_VALUE"""),0.0)</f>
        <v>0</v>
      </c>
      <c r="D6372" s="8"/>
    </row>
    <row r="6373">
      <c r="A6373" s="9" t="str">
        <f>IFERROR(__xludf.DUMMYFUNCTION("""COMPUTED_VALUE"""),"Batch 306")</f>
        <v>Batch 306</v>
      </c>
      <c r="B6373" s="9" t="str">
        <f>IFERROR(__xludf.DUMMYFUNCTION("""COMPUTED_VALUE"""),"GOLLAPALLIC06")</f>
        <v>GOLLAPALLIC06</v>
      </c>
      <c r="C6373" s="8">
        <f>IFERROR(__xludf.DUMMYFUNCTION("""COMPUTED_VALUE"""),0.0)</f>
        <v>0</v>
      </c>
      <c r="D6373" s="8"/>
    </row>
    <row r="6374">
      <c r="A6374" s="9" t="str">
        <f>IFERROR(__xludf.DUMMYFUNCTION("""COMPUTED_VALUE"""),"Batch 306")</f>
        <v>Batch 306</v>
      </c>
      <c r="B6374" s="9" t="str">
        <f>IFERROR(__xludf.DUMMYFUNCTION("""COMPUTED_VALUE"""),"adarshC06")</f>
        <v>adarshC06</v>
      </c>
      <c r="C6374" s="8">
        <f>IFERROR(__xludf.DUMMYFUNCTION("""COMPUTED_VALUE"""),0.0)</f>
        <v>0</v>
      </c>
      <c r="D6374" s="8"/>
    </row>
    <row r="6375">
      <c r="A6375" s="9" t="str">
        <f>IFERROR(__xludf.DUMMYFUNCTION("""COMPUTED_VALUE"""),"Batch 306")</f>
        <v>Batch 306</v>
      </c>
      <c r="B6375" s="9" t="str">
        <f>IFERROR(__xludf.DUMMYFUNCTION("""COMPUTED_VALUE"""),"SidhaanthC06")</f>
        <v>SidhaanthC06</v>
      </c>
      <c r="C6375" s="8">
        <f>IFERROR(__xludf.DUMMYFUNCTION("""COMPUTED_VALUE"""),0.0)</f>
        <v>0</v>
      </c>
      <c r="D6375" s="8"/>
    </row>
    <row r="6376">
      <c r="A6376" s="9" t="str">
        <f>IFERROR(__xludf.DUMMYFUNCTION("""COMPUTED_VALUE"""),"Batch 306")</f>
        <v>Batch 306</v>
      </c>
      <c r="B6376" s="9" t="str">
        <f>IFERROR(__xludf.DUMMYFUNCTION("""COMPUTED_VALUE"""),"AbhayC06")</f>
        <v>AbhayC06</v>
      </c>
      <c r="C6376" s="8">
        <f>IFERROR(__xludf.DUMMYFUNCTION("""COMPUTED_VALUE"""),0.0)</f>
        <v>0</v>
      </c>
      <c r="D6376" s="8"/>
    </row>
    <row r="6377">
      <c r="A6377" s="9" t="str">
        <f>IFERROR(__xludf.DUMMYFUNCTION("""COMPUTED_VALUE"""),"Batch 306")</f>
        <v>Batch 306</v>
      </c>
      <c r="B6377" s="9" t="str">
        <f>IFERROR(__xludf.DUMMYFUNCTION("""COMPUTED_VALUE"""),"HarshC06")</f>
        <v>HarshC06</v>
      </c>
      <c r="C6377" s="8">
        <f>IFERROR(__xludf.DUMMYFUNCTION("""COMPUTED_VALUE"""),0.0)</f>
        <v>0</v>
      </c>
      <c r="D6377" s="8"/>
    </row>
    <row r="6378">
      <c r="A6378" s="9" t="str">
        <f>IFERROR(__xludf.DUMMYFUNCTION("""COMPUTED_VALUE"""),"Batch 306")</f>
        <v>Batch 306</v>
      </c>
      <c r="B6378" s="9" t="str">
        <f>IFERROR(__xludf.DUMMYFUNCTION("""COMPUTED_VALUE"""),"EsakkiC06")</f>
        <v>EsakkiC06</v>
      </c>
      <c r="C6378" s="8">
        <f>IFERROR(__xludf.DUMMYFUNCTION("""COMPUTED_VALUE"""),0.0)</f>
        <v>0</v>
      </c>
      <c r="D6378" s="8"/>
    </row>
    <row r="6379">
      <c r="A6379" s="9" t="str">
        <f>IFERROR(__xludf.DUMMYFUNCTION("""COMPUTED_VALUE"""),"Batch 306")</f>
        <v>Batch 306</v>
      </c>
      <c r="B6379" s="9" t="str">
        <f>IFERROR(__xludf.DUMMYFUNCTION("""COMPUTED_VALUE"""),"PiyushC06")</f>
        <v>PiyushC06</v>
      </c>
      <c r="C6379" s="8">
        <f>IFERROR(__xludf.DUMMYFUNCTION("""COMPUTED_VALUE"""),0.0)</f>
        <v>0</v>
      </c>
      <c r="D6379" s="8"/>
    </row>
    <row r="6380">
      <c r="A6380" s="9" t="str">
        <f>IFERROR(__xludf.DUMMYFUNCTION("""COMPUTED_VALUE"""),"Batch 306")</f>
        <v>Batch 306</v>
      </c>
      <c r="B6380" s="9" t="str">
        <f>IFERROR(__xludf.DUMMYFUNCTION("""COMPUTED_VALUE"""),"SamikshaC06")</f>
        <v>SamikshaC06</v>
      </c>
      <c r="C6380" s="8">
        <f>IFERROR(__xludf.DUMMYFUNCTION("""COMPUTED_VALUE"""),0.0)</f>
        <v>0</v>
      </c>
      <c r="D6380" s="8"/>
    </row>
    <row r="6381">
      <c r="A6381" s="9" t="str">
        <f>IFERROR(__xludf.DUMMYFUNCTION("""COMPUTED_VALUE"""),"Batch 306")</f>
        <v>Batch 306</v>
      </c>
      <c r="B6381" s="9" t="str">
        <f>IFERROR(__xludf.DUMMYFUNCTION("""COMPUTED_VALUE"""),"AyeshaC06")</f>
        <v>AyeshaC06</v>
      </c>
      <c r="C6381" s="8">
        <f>IFERROR(__xludf.DUMMYFUNCTION("""COMPUTED_VALUE"""),0.0)</f>
        <v>0</v>
      </c>
      <c r="D6381" s="8"/>
    </row>
    <row r="6382">
      <c r="A6382" s="9" t="str">
        <f>IFERROR(__xludf.DUMMYFUNCTION("""COMPUTED_VALUE"""),"Batch 306")</f>
        <v>Batch 306</v>
      </c>
      <c r="B6382" s="9" t="str">
        <f>IFERROR(__xludf.DUMMYFUNCTION("""COMPUTED_VALUE"""),"PriyanshuC06")</f>
        <v>PriyanshuC06</v>
      </c>
      <c r="C6382" s="8">
        <f>IFERROR(__xludf.DUMMYFUNCTION("""COMPUTED_VALUE"""),0.0)</f>
        <v>0</v>
      </c>
      <c r="D6382" s="8"/>
    </row>
    <row r="6383">
      <c r="A6383" s="9" t="str">
        <f>IFERROR(__xludf.DUMMYFUNCTION("""COMPUTED_VALUE"""),"Batch 306")</f>
        <v>Batch 306</v>
      </c>
      <c r="B6383" s="9" t="str">
        <f>IFERROR(__xludf.DUMMYFUNCTION("""COMPUTED_VALUE"""),"PiyushC06")</f>
        <v>PiyushC06</v>
      </c>
      <c r="C6383" s="8">
        <f>IFERROR(__xludf.DUMMYFUNCTION("""COMPUTED_VALUE"""),0.0)</f>
        <v>0</v>
      </c>
      <c r="D6383" s="8"/>
    </row>
    <row r="6384">
      <c r="A6384" s="9" t="str">
        <f>IFERROR(__xludf.DUMMYFUNCTION("""COMPUTED_VALUE"""),"Batch 306")</f>
        <v>Batch 306</v>
      </c>
      <c r="B6384" s="9" t="str">
        <f>IFERROR(__xludf.DUMMYFUNCTION("""COMPUTED_VALUE"""),"RishavC06")</f>
        <v>RishavC06</v>
      </c>
      <c r="C6384" s="8">
        <f>IFERROR(__xludf.DUMMYFUNCTION("""COMPUTED_VALUE"""),0.0)</f>
        <v>0</v>
      </c>
      <c r="D6384" s="8"/>
    </row>
    <row r="6385">
      <c r="A6385" s="9" t="str">
        <f>IFERROR(__xludf.DUMMYFUNCTION("""COMPUTED_VALUE"""),"Batch 306")</f>
        <v>Batch 306</v>
      </c>
      <c r="B6385" s="9" t="str">
        <f>IFERROR(__xludf.DUMMYFUNCTION("""COMPUTED_VALUE"""),"MITHILESHC06")</f>
        <v>MITHILESHC06</v>
      </c>
      <c r="C6385" s="8">
        <f>IFERROR(__xludf.DUMMYFUNCTION("""COMPUTED_VALUE"""),1.0)</f>
        <v>1</v>
      </c>
      <c r="D6385" s="8"/>
    </row>
    <row r="6386">
      <c r="A6386" s="9" t="str">
        <f>IFERROR(__xludf.DUMMYFUNCTION("""COMPUTED_VALUE"""),"Batch 306")</f>
        <v>Batch 306</v>
      </c>
      <c r="B6386" s="9" t="str">
        <f>IFERROR(__xludf.DUMMYFUNCTION("""COMPUTED_VALUE"""),"ArpitaC06")</f>
        <v>ArpitaC06</v>
      </c>
      <c r="C6386" s="8">
        <f>IFERROR(__xludf.DUMMYFUNCTION("""COMPUTED_VALUE"""),0.0)</f>
        <v>0</v>
      </c>
      <c r="D6386" s="8"/>
    </row>
    <row r="6387">
      <c r="A6387" s="9" t="str">
        <f>IFERROR(__xludf.DUMMYFUNCTION("""COMPUTED_VALUE"""),"Batch 306")</f>
        <v>Batch 306</v>
      </c>
      <c r="B6387" s="9" t="str">
        <f>IFERROR(__xludf.DUMMYFUNCTION("""COMPUTED_VALUE"""),"DeenathayalanC06")</f>
        <v>DeenathayalanC06</v>
      </c>
      <c r="C6387" s="8">
        <f>IFERROR(__xludf.DUMMYFUNCTION("""COMPUTED_VALUE"""),0.0)</f>
        <v>0</v>
      </c>
      <c r="D6387" s="8"/>
    </row>
    <row r="6388">
      <c r="A6388" s="9"/>
      <c r="B6388" s="9"/>
      <c r="C6388" s="8">
        <f>IFERROR(__xludf.DUMMYFUNCTION("""COMPUTED_VALUE"""),0.0)</f>
        <v>0</v>
      </c>
      <c r="D6388" s="8"/>
    </row>
    <row r="6389">
      <c r="A6389" s="9" t="str">
        <f>IFERROR(__xludf.DUMMYFUNCTION("""COMPUTED_VALUE"""),"Batch 307")</f>
        <v>Batch 307</v>
      </c>
      <c r="B6389" s="9" t="str">
        <f>IFERROR(__xludf.DUMMYFUNCTION("""COMPUTED_VALUE"""),"AananyaC07")</f>
        <v>AananyaC07</v>
      </c>
      <c r="C6389" s="8">
        <f>IFERROR(__xludf.DUMMYFUNCTION("""COMPUTED_VALUE"""),0.0)</f>
        <v>0</v>
      </c>
      <c r="D6389" s="8"/>
    </row>
    <row r="6390">
      <c r="A6390" s="9" t="str">
        <f>IFERROR(__xludf.DUMMYFUNCTION("""COMPUTED_VALUE"""),"Batch 307")</f>
        <v>Batch 307</v>
      </c>
      <c r="B6390" s="9" t="str">
        <f>IFERROR(__xludf.DUMMYFUNCTION("""COMPUTED_VALUE"""),"RyanC07")</f>
        <v>RyanC07</v>
      </c>
      <c r="C6390" s="8">
        <f>IFERROR(__xludf.DUMMYFUNCTION("""COMPUTED_VALUE"""),0.0)</f>
        <v>0</v>
      </c>
      <c r="D6390" s="8"/>
    </row>
    <row r="6391">
      <c r="A6391" s="9" t="str">
        <f>IFERROR(__xludf.DUMMYFUNCTION("""COMPUTED_VALUE"""),"Batch 307")</f>
        <v>Batch 307</v>
      </c>
      <c r="B6391" s="9" t="str">
        <f>IFERROR(__xludf.DUMMYFUNCTION("""COMPUTED_VALUE"""),"AdarshC07")</f>
        <v>AdarshC07</v>
      </c>
      <c r="C6391" s="8">
        <f>IFERROR(__xludf.DUMMYFUNCTION("""COMPUTED_VALUE"""),0.0)</f>
        <v>0</v>
      </c>
      <c r="D6391" s="8"/>
    </row>
    <row r="6392">
      <c r="A6392" s="9" t="str">
        <f>IFERROR(__xludf.DUMMYFUNCTION("""COMPUTED_VALUE"""),"Batch 307")</f>
        <v>Batch 307</v>
      </c>
      <c r="B6392" s="9" t="str">
        <f>IFERROR(__xludf.DUMMYFUNCTION("""COMPUTED_VALUE"""),"ShikhaC07")</f>
        <v>ShikhaC07</v>
      </c>
      <c r="C6392" s="8">
        <f>IFERROR(__xludf.DUMMYFUNCTION("""COMPUTED_VALUE"""),30.0)</f>
        <v>30</v>
      </c>
      <c r="D6392" s="8">
        <f>IFERROR(__xludf.DUMMYFUNCTION("""COMPUTED_VALUE"""),22.0)</f>
        <v>22</v>
      </c>
    </row>
    <row r="6393">
      <c r="A6393" s="9" t="str">
        <f>IFERROR(__xludf.DUMMYFUNCTION("""COMPUTED_VALUE"""),"Batch 307")</f>
        <v>Batch 307</v>
      </c>
      <c r="B6393" s="9" t="str">
        <f>IFERROR(__xludf.DUMMYFUNCTION("""COMPUTED_VALUE"""),"GajawadaC07")</f>
        <v>GajawadaC07</v>
      </c>
      <c r="C6393" s="8">
        <f>IFERROR(__xludf.DUMMYFUNCTION("""COMPUTED_VALUE"""),0.0)</f>
        <v>0</v>
      </c>
      <c r="D6393" s="8"/>
    </row>
    <row r="6394">
      <c r="A6394" s="9" t="str">
        <f>IFERROR(__xludf.DUMMYFUNCTION("""COMPUTED_VALUE"""),"Batch 307")</f>
        <v>Batch 307</v>
      </c>
      <c r="B6394" s="9" t="str">
        <f>IFERROR(__xludf.DUMMYFUNCTION("""COMPUTED_VALUE"""),"AmitC07")</f>
        <v>AmitC07</v>
      </c>
      <c r="C6394" s="8">
        <f>IFERROR(__xludf.DUMMYFUNCTION("""COMPUTED_VALUE"""),0.0)</f>
        <v>0</v>
      </c>
      <c r="D6394" s="8"/>
    </row>
    <row r="6395">
      <c r="A6395" s="9" t="str">
        <f>IFERROR(__xludf.DUMMYFUNCTION("""COMPUTED_VALUE"""),"Batch 307")</f>
        <v>Batch 307</v>
      </c>
      <c r="B6395" s="9" t="str">
        <f>IFERROR(__xludf.DUMMYFUNCTION("""COMPUTED_VALUE"""),"ImtiakumC07")</f>
        <v>ImtiakumC07</v>
      </c>
      <c r="C6395" s="8">
        <f>IFERROR(__xludf.DUMMYFUNCTION("""COMPUTED_VALUE"""),0.0)</f>
        <v>0</v>
      </c>
      <c r="D6395" s="8"/>
    </row>
    <row r="6396">
      <c r="A6396" s="9" t="str">
        <f>IFERROR(__xludf.DUMMYFUNCTION("""COMPUTED_VALUE"""),"Batch 307")</f>
        <v>Batch 307</v>
      </c>
      <c r="B6396" s="9" t="str">
        <f>IFERROR(__xludf.DUMMYFUNCTION("""COMPUTED_VALUE"""),"AamnaC07")</f>
        <v>AamnaC07</v>
      </c>
      <c r="C6396" s="8">
        <f>IFERROR(__xludf.DUMMYFUNCTION("""COMPUTED_VALUE"""),0.0)</f>
        <v>0</v>
      </c>
      <c r="D6396" s="8"/>
    </row>
    <row r="6397">
      <c r="A6397" s="9" t="str">
        <f>IFERROR(__xludf.DUMMYFUNCTION("""COMPUTED_VALUE"""),"Batch 307")</f>
        <v>Batch 307</v>
      </c>
      <c r="B6397" s="9" t="str">
        <f>IFERROR(__xludf.DUMMYFUNCTION("""COMPUTED_VALUE"""),"SahilC07")</f>
        <v>SahilC07</v>
      </c>
      <c r="C6397" s="8">
        <f>IFERROR(__xludf.DUMMYFUNCTION("""COMPUTED_VALUE"""),0.0)</f>
        <v>0</v>
      </c>
      <c r="D6397" s="8"/>
    </row>
    <row r="6398">
      <c r="A6398" s="9" t="str">
        <f>IFERROR(__xludf.DUMMYFUNCTION("""COMPUTED_VALUE"""),"Batch 307")</f>
        <v>Batch 307</v>
      </c>
      <c r="B6398" s="9" t="str">
        <f>IFERROR(__xludf.DUMMYFUNCTION("""COMPUTED_VALUE"""),"RaseshC07")</f>
        <v>RaseshC07</v>
      </c>
      <c r="C6398" s="8">
        <f>IFERROR(__xludf.DUMMYFUNCTION("""COMPUTED_VALUE"""),0.0)</f>
        <v>0</v>
      </c>
      <c r="D6398" s="8"/>
    </row>
    <row r="6399">
      <c r="A6399" s="9" t="str">
        <f>IFERROR(__xludf.DUMMYFUNCTION("""COMPUTED_VALUE"""),"Batch 307")</f>
        <v>Batch 307</v>
      </c>
      <c r="B6399" s="9" t="str">
        <f>IFERROR(__xludf.DUMMYFUNCTION("""COMPUTED_VALUE"""),"TusharC07")</f>
        <v>TusharC07</v>
      </c>
      <c r="C6399" s="8">
        <f>IFERROR(__xludf.DUMMYFUNCTION("""COMPUTED_VALUE"""),0.0)</f>
        <v>0</v>
      </c>
      <c r="D6399" s="8"/>
    </row>
    <row r="6400">
      <c r="A6400" s="9" t="str">
        <f>IFERROR(__xludf.DUMMYFUNCTION("""COMPUTED_VALUE"""),"Batch 307")</f>
        <v>Batch 307</v>
      </c>
      <c r="B6400" s="9" t="str">
        <f>IFERROR(__xludf.DUMMYFUNCTION("""COMPUTED_VALUE"""),"ManpreetC07")</f>
        <v>ManpreetC07</v>
      </c>
      <c r="C6400" s="8">
        <f>IFERROR(__xludf.DUMMYFUNCTION("""COMPUTED_VALUE"""),0.0)</f>
        <v>0</v>
      </c>
      <c r="D6400" s="8"/>
    </row>
    <row r="6401">
      <c r="A6401" s="9" t="str">
        <f>IFERROR(__xludf.DUMMYFUNCTION("""COMPUTED_VALUE"""),"Batch 307")</f>
        <v>Batch 307</v>
      </c>
      <c r="B6401" s="9" t="str">
        <f>IFERROR(__xludf.DUMMYFUNCTION("""COMPUTED_VALUE"""),"RajveerC07")</f>
        <v>RajveerC07</v>
      </c>
      <c r="C6401" s="8">
        <f>IFERROR(__xludf.DUMMYFUNCTION("""COMPUTED_VALUE"""),0.0)</f>
        <v>0</v>
      </c>
      <c r="D6401" s="8"/>
    </row>
    <row r="6402">
      <c r="A6402" s="9" t="str">
        <f>IFERROR(__xludf.DUMMYFUNCTION("""COMPUTED_VALUE"""),"Batch 307")</f>
        <v>Batch 307</v>
      </c>
      <c r="B6402" s="9" t="str">
        <f>IFERROR(__xludf.DUMMYFUNCTION("""COMPUTED_VALUE"""),"NishantC07")</f>
        <v>NishantC07</v>
      </c>
      <c r="C6402" s="8">
        <f>IFERROR(__xludf.DUMMYFUNCTION("""COMPUTED_VALUE"""),0.0)</f>
        <v>0</v>
      </c>
      <c r="D6402" s="8"/>
    </row>
    <row r="6403">
      <c r="A6403" s="9" t="str">
        <f>IFERROR(__xludf.DUMMYFUNCTION("""COMPUTED_VALUE"""),"Batch 307")</f>
        <v>Batch 307</v>
      </c>
      <c r="B6403" s="9" t="str">
        <f>IFERROR(__xludf.DUMMYFUNCTION("""COMPUTED_VALUE"""),"HimanshC07")</f>
        <v>HimanshC07</v>
      </c>
      <c r="C6403" s="8">
        <f>IFERROR(__xludf.DUMMYFUNCTION("""COMPUTED_VALUE"""),0.0)</f>
        <v>0</v>
      </c>
      <c r="D6403" s="8"/>
    </row>
    <row r="6404">
      <c r="A6404" s="9" t="str">
        <f>IFERROR(__xludf.DUMMYFUNCTION("""COMPUTED_VALUE"""),"Batch 307")</f>
        <v>Batch 307</v>
      </c>
      <c r="B6404" s="9" t="str">
        <f>IFERROR(__xludf.DUMMYFUNCTION("""COMPUTED_VALUE"""),"VishuGoyalC07")</f>
        <v>VishuGoyalC07</v>
      </c>
      <c r="C6404" s="8">
        <f>IFERROR(__xludf.DUMMYFUNCTION("""COMPUTED_VALUE"""),0.0)</f>
        <v>0</v>
      </c>
      <c r="D6404" s="8"/>
    </row>
    <row r="6405">
      <c r="A6405" s="9" t="str">
        <f>IFERROR(__xludf.DUMMYFUNCTION("""COMPUTED_VALUE"""),"Batch 307")</f>
        <v>Batch 307</v>
      </c>
      <c r="B6405" s="9" t="str">
        <f>IFERROR(__xludf.DUMMYFUNCTION("""COMPUTED_VALUE"""),"ZoyaC07")</f>
        <v>ZoyaC07</v>
      </c>
      <c r="C6405" s="8">
        <f>IFERROR(__xludf.DUMMYFUNCTION("""COMPUTED_VALUE"""),0.0)</f>
        <v>0</v>
      </c>
      <c r="D6405" s="8"/>
    </row>
    <row r="6406">
      <c r="A6406" s="9" t="str">
        <f>IFERROR(__xludf.DUMMYFUNCTION("""COMPUTED_VALUE"""),"Batch 307")</f>
        <v>Batch 307</v>
      </c>
      <c r="B6406" s="9" t="str">
        <f>IFERROR(__xludf.DUMMYFUNCTION("""COMPUTED_VALUE"""),"ParidhiC07")</f>
        <v>ParidhiC07</v>
      </c>
      <c r="C6406" s="8">
        <f>IFERROR(__xludf.DUMMYFUNCTION("""COMPUTED_VALUE"""),0.0)</f>
        <v>0</v>
      </c>
      <c r="D6406" s="8"/>
    </row>
    <row r="6407">
      <c r="A6407" s="9" t="str">
        <f>IFERROR(__xludf.DUMMYFUNCTION("""COMPUTED_VALUE"""),"Batch 307")</f>
        <v>Batch 307</v>
      </c>
      <c r="B6407" s="9" t="str">
        <f>IFERROR(__xludf.DUMMYFUNCTION("""COMPUTED_VALUE"""),"VaibhaviC07")</f>
        <v>VaibhaviC07</v>
      </c>
      <c r="C6407" s="8">
        <f>IFERROR(__xludf.DUMMYFUNCTION("""COMPUTED_VALUE"""),17.0)</f>
        <v>17</v>
      </c>
      <c r="D6407" s="8">
        <f>IFERROR(__xludf.DUMMYFUNCTION("""COMPUTED_VALUE"""),8.0)</f>
        <v>8</v>
      </c>
    </row>
    <row r="6408">
      <c r="A6408" s="9" t="str">
        <f>IFERROR(__xludf.DUMMYFUNCTION("""COMPUTED_VALUE"""),"Batch 307")</f>
        <v>Batch 307</v>
      </c>
      <c r="B6408" s="9" t="str">
        <f>IFERROR(__xludf.DUMMYFUNCTION("""COMPUTED_VALUE"""),"SanyaC07")</f>
        <v>SanyaC07</v>
      </c>
      <c r="C6408" s="8">
        <f>IFERROR(__xludf.DUMMYFUNCTION("""COMPUTED_VALUE"""),0.0)</f>
        <v>0</v>
      </c>
      <c r="D6408" s="8"/>
    </row>
    <row r="6409">
      <c r="A6409" s="9" t="str">
        <f>IFERROR(__xludf.DUMMYFUNCTION("""COMPUTED_VALUE"""),"Batch 307")</f>
        <v>Batch 307</v>
      </c>
      <c r="B6409" s="9" t="str">
        <f>IFERROR(__xludf.DUMMYFUNCTION("""COMPUTED_VALUE"""),"VamsiC07")</f>
        <v>VamsiC07</v>
      </c>
      <c r="C6409" s="8">
        <f>IFERROR(__xludf.DUMMYFUNCTION("""COMPUTED_VALUE"""),0.0)</f>
        <v>0</v>
      </c>
      <c r="D6409" s="8"/>
    </row>
    <row r="6410">
      <c r="A6410" s="9" t="str">
        <f>IFERROR(__xludf.DUMMYFUNCTION("""COMPUTED_VALUE"""),"Batch 307")</f>
        <v>Batch 307</v>
      </c>
      <c r="B6410" s="9" t="str">
        <f>IFERROR(__xludf.DUMMYFUNCTION("""COMPUTED_VALUE"""),"MohammadC07")</f>
        <v>MohammadC07</v>
      </c>
      <c r="C6410" s="8">
        <f>IFERROR(__xludf.DUMMYFUNCTION("""COMPUTED_VALUE"""),0.0)</f>
        <v>0</v>
      </c>
      <c r="D6410" s="8"/>
    </row>
    <row r="6411">
      <c r="A6411" s="9" t="str">
        <f>IFERROR(__xludf.DUMMYFUNCTION("""COMPUTED_VALUE"""),"Batch 307")</f>
        <v>Batch 307</v>
      </c>
      <c r="B6411" s="9" t="str">
        <f>IFERROR(__xludf.DUMMYFUNCTION("""COMPUTED_VALUE"""),"SauravC07")</f>
        <v>SauravC07</v>
      </c>
      <c r="C6411" s="8">
        <f>IFERROR(__xludf.DUMMYFUNCTION("""COMPUTED_VALUE"""),0.0)</f>
        <v>0</v>
      </c>
      <c r="D6411" s="8"/>
    </row>
    <row r="6412">
      <c r="A6412" s="9" t="str">
        <f>IFERROR(__xludf.DUMMYFUNCTION("""COMPUTED_VALUE"""),"Batch 307")</f>
        <v>Batch 307</v>
      </c>
      <c r="B6412" s="9" t="str">
        <f>IFERROR(__xludf.DUMMYFUNCTION("""COMPUTED_VALUE"""),"kondalC07")</f>
        <v>kondalC07</v>
      </c>
      <c r="C6412" s="8">
        <f>IFERROR(__xludf.DUMMYFUNCTION("""COMPUTED_VALUE"""),0.0)</f>
        <v>0</v>
      </c>
      <c r="D6412" s="8"/>
    </row>
    <row r="6413">
      <c r="A6413" s="9" t="str">
        <f>IFERROR(__xludf.DUMMYFUNCTION("""COMPUTED_VALUE"""),"Batch 307")</f>
        <v>Batch 307</v>
      </c>
      <c r="B6413" s="9" t="str">
        <f>IFERROR(__xludf.DUMMYFUNCTION("""COMPUTED_VALUE"""),"PriyaC07")</f>
        <v>PriyaC07</v>
      </c>
      <c r="C6413" s="8">
        <f>IFERROR(__xludf.DUMMYFUNCTION("""COMPUTED_VALUE"""),0.0)</f>
        <v>0</v>
      </c>
      <c r="D6413" s="8"/>
    </row>
    <row r="6414">
      <c r="A6414" s="9" t="str">
        <f>IFERROR(__xludf.DUMMYFUNCTION("""COMPUTED_VALUE"""),"Batch 307")</f>
        <v>Batch 307</v>
      </c>
      <c r="B6414" s="9" t="str">
        <f>IFERROR(__xludf.DUMMYFUNCTION("""COMPUTED_VALUE"""),"SahajC07")</f>
        <v>SahajC07</v>
      </c>
      <c r="C6414" s="8">
        <f>IFERROR(__xludf.DUMMYFUNCTION("""COMPUTED_VALUE"""),0.0)</f>
        <v>0</v>
      </c>
      <c r="D6414" s="8"/>
    </row>
    <row r="6415">
      <c r="A6415" s="9"/>
      <c r="B6415" s="9"/>
      <c r="C6415" s="8">
        <f>IFERROR(__xludf.DUMMYFUNCTION("""COMPUTED_VALUE"""),0.0)</f>
        <v>0</v>
      </c>
      <c r="D6415" s="8"/>
    </row>
    <row r="6416">
      <c r="A6416" s="9" t="str">
        <f>IFERROR(__xludf.DUMMYFUNCTION("""COMPUTED_VALUE"""),"Batch 308")</f>
        <v>Batch 308</v>
      </c>
      <c r="B6416" s="9" t="str">
        <f>IFERROR(__xludf.DUMMYFUNCTION("""COMPUTED_VALUE"""),"KashishC08")</f>
        <v>KashishC08</v>
      </c>
      <c r="C6416" s="8">
        <f>IFERROR(__xludf.DUMMYFUNCTION("""COMPUTED_VALUE"""),0.0)</f>
        <v>0</v>
      </c>
      <c r="D6416" s="8"/>
    </row>
    <row r="6417">
      <c r="A6417" s="9" t="str">
        <f>IFERROR(__xludf.DUMMYFUNCTION("""COMPUTED_VALUE"""),"Batch 308")</f>
        <v>Batch 308</v>
      </c>
      <c r="B6417" s="9" t="str">
        <f>IFERROR(__xludf.DUMMYFUNCTION("""COMPUTED_VALUE"""),"PriyanshiC08")</f>
        <v>PriyanshiC08</v>
      </c>
      <c r="C6417" s="8">
        <f>IFERROR(__xludf.DUMMYFUNCTION("""COMPUTED_VALUE"""),0.0)</f>
        <v>0</v>
      </c>
      <c r="D6417" s="8"/>
    </row>
    <row r="6418">
      <c r="A6418" s="9" t="str">
        <f>IFERROR(__xludf.DUMMYFUNCTION("""COMPUTED_VALUE"""),"Batch 308")</f>
        <v>Batch 308</v>
      </c>
      <c r="B6418" s="9" t="str">
        <f>IFERROR(__xludf.DUMMYFUNCTION("""COMPUTED_VALUE"""),"ShuvamC08")</f>
        <v>ShuvamC08</v>
      </c>
      <c r="C6418" s="8">
        <f>IFERROR(__xludf.DUMMYFUNCTION("""COMPUTED_VALUE"""),0.0)</f>
        <v>0</v>
      </c>
      <c r="D6418" s="8"/>
    </row>
    <row r="6419">
      <c r="A6419" s="9" t="str">
        <f>IFERROR(__xludf.DUMMYFUNCTION("""COMPUTED_VALUE"""),"Batch 308")</f>
        <v>Batch 308</v>
      </c>
      <c r="B6419" s="9" t="str">
        <f>IFERROR(__xludf.DUMMYFUNCTION("""COMPUTED_VALUE"""),"SHIVANSHC08")</f>
        <v>SHIVANSHC08</v>
      </c>
      <c r="C6419" s="8">
        <f>IFERROR(__xludf.DUMMYFUNCTION("""COMPUTED_VALUE"""),6.0)</f>
        <v>6</v>
      </c>
      <c r="D6419" s="8"/>
    </row>
    <row r="6420">
      <c r="A6420" s="9" t="str">
        <f>IFERROR(__xludf.DUMMYFUNCTION("""COMPUTED_VALUE"""),"Batch 308")</f>
        <v>Batch 308</v>
      </c>
      <c r="B6420" s="9" t="str">
        <f>IFERROR(__xludf.DUMMYFUNCTION("""COMPUTED_VALUE"""),"AryanC08")</f>
        <v>AryanC08</v>
      </c>
      <c r="C6420" s="8">
        <f>IFERROR(__xludf.DUMMYFUNCTION("""COMPUTED_VALUE"""),1.0)</f>
        <v>1</v>
      </c>
      <c r="D6420" s="8">
        <f>IFERROR(__xludf.DUMMYFUNCTION("""COMPUTED_VALUE"""),3.0)</f>
        <v>3</v>
      </c>
    </row>
    <row r="6421">
      <c r="A6421" s="9" t="str">
        <f>IFERROR(__xludf.DUMMYFUNCTION("""COMPUTED_VALUE"""),"Batch 308")</f>
        <v>Batch 308</v>
      </c>
      <c r="B6421" s="9" t="str">
        <f>IFERROR(__xludf.DUMMYFUNCTION("""COMPUTED_VALUE"""),"ShashankC08")</f>
        <v>ShashankC08</v>
      </c>
      <c r="C6421" s="8">
        <f>IFERROR(__xludf.DUMMYFUNCTION("""COMPUTED_VALUE"""),0.0)</f>
        <v>0</v>
      </c>
      <c r="D6421" s="8"/>
    </row>
    <row r="6422">
      <c r="A6422" s="9" t="str">
        <f>IFERROR(__xludf.DUMMYFUNCTION("""COMPUTED_VALUE"""),"Batch 308")</f>
        <v>Batch 308</v>
      </c>
      <c r="B6422" s="9" t="str">
        <f>IFERROR(__xludf.DUMMYFUNCTION("""COMPUTED_VALUE"""),"HimanshiC08")</f>
        <v>HimanshiC08</v>
      </c>
      <c r="C6422" s="8">
        <f>IFERROR(__xludf.DUMMYFUNCTION("""COMPUTED_VALUE"""),1.0)</f>
        <v>1</v>
      </c>
      <c r="D6422" s="8"/>
    </row>
    <row r="6423">
      <c r="A6423" s="9" t="str">
        <f>IFERROR(__xludf.DUMMYFUNCTION("""COMPUTED_VALUE"""),"Batch 308")</f>
        <v>Batch 308</v>
      </c>
      <c r="B6423" s="9" t="str">
        <f>IFERROR(__xludf.DUMMYFUNCTION("""COMPUTED_VALUE"""),"priyanshuC08")</f>
        <v>priyanshuC08</v>
      </c>
      <c r="C6423" s="8">
        <f>IFERROR(__xludf.DUMMYFUNCTION("""COMPUTED_VALUE"""),0.0)</f>
        <v>0</v>
      </c>
      <c r="D6423" s="8"/>
    </row>
    <row r="6424">
      <c r="A6424" s="9" t="str">
        <f>IFERROR(__xludf.DUMMYFUNCTION("""COMPUTED_VALUE"""),"Batch 308")</f>
        <v>Batch 308</v>
      </c>
      <c r="B6424" s="9" t="str">
        <f>IFERROR(__xludf.DUMMYFUNCTION("""COMPUTED_VALUE"""),"VishuGoyalC08")</f>
        <v>VishuGoyalC08</v>
      </c>
      <c r="C6424" s="8">
        <f>IFERROR(__xludf.DUMMYFUNCTION("""COMPUTED_VALUE"""),38.0)</f>
        <v>38</v>
      </c>
      <c r="D6424" s="8">
        <f>IFERROR(__xludf.DUMMYFUNCTION("""COMPUTED_VALUE"""),4.0)</f>
        <v>4</v>
      </c>
    </row>
    <row r="6425">
      <c r="A6425" s="9" t="str">
        <f>IFERROR(__xludf.DUMMYFUNCTION("""COMPUTED_VALUE"""),"Batch 308")</f>
        <v>Batch 308</v>
      </c>
      <c r="B6425" s="9" t="str">
        <f>IFERROR(__xludf.DUMMYFUNCTION("""COMPUTED_VALUE"""),"MuskanC08")</f>
        <v>MuskanC08</v>
      </c>
      <c r="C6425" s="8">
        <f>IFERROR(__xludf.DUMMYFUNCTION("""COMPUTED_VALUE"""),0.0)</f>
        <v>0</v>
      </c>
      <c r="D6425" s="8"/>
    </row>
    <row r="6426">
      <c r="A6426" s="9" t="str">
        <f>IFERROR(__xludf.DUMMYFUNCTION("""COMPUTED_VALUE"""),"Batch 308")</f>
        <v>Batch 308</v>
      </c>
      <c r="B6426" s="9" t="str">
        <f>IFERROR(__xludf.DUMMYFUNCTION("""COMPUTED_VALUE"""),"RAMVISWESHVARC08")</f>
        <v>RAMVISWESHVARC08</v>
      </c>
      <c r="C6426" s="8">
        <f>IFERROR(__xludf.DUMMYFUNCTION("""COMPUTED_VALUE"""),0.0)</f>
        <v>0</v>
      </c>
      <c r="D6426" s="8"/>
    </row>
    <row r="6427">
      <c r="A6427" s="9" t="str">
        <f>IFERROR(__xludf.DUMMYFUNCTION("""COMPUTED_VALUE"""),"Batch 308")</f>
        <v>Batch 308</v>
      </c>
      <c r="B6427" s="9" t="str">
        <f>IFERROR(__xludf.DUMMYFUNCTION("""COMPUTED_VALUE"""),"RaviC08")</f>
        <v>RaviC08</v>
      </c>
      <c r="C6427" s="8">
        <f>IFERROR(__xludf.DUMMYFUNCTION("""COMPUTED_VALUE"""),0.0)</f>
        <v>0</v>
      </c>
      <c r="D6427" s="8"/>
    </row>
    <row r="6428">
      <c r="A6428" s="9" t="str">
        <f>IFERROR(__xludf.DUMMYFUNCTION("""COMPUTED_VALUE"""),"Batch 308")</f>
        <v>Batch 308</v>
      </c>
      <c r="B6428" s="9" t="str">
        <f>IFERROR(__xludf.DUMMYFUNCTION("""COMPUTED_VALUE"""),"TarunC08")</f>
        <v>TarunC08</v>
      </c>
      <c r="C6428" s="8">
        <f>IFERROR(__xludf.DUMMYFUNCTION("""COMPUTED_VALUE"""),0.0)</f>
        <v>0</v>
      </c>
      <c r="D6428" s="8"/>
    </row>
    <row r="6429">
      <c r="A6429" s="9" t="str">
        <f>IFERROR(__xludf.DUMMYFUNCTION("""COMPUTED_VALUE"""),"Batch 308")</f>
        <v>Batch 308</v>
      </c>
      <c r="B6429" s="9" t="str">
        <f>IFERROR(__xludf.DUMMYFUNCTION("""COMPUTED_VALUE"""),"AditiC08")</f>
        <v>AditiC08</v>
      </c>
      <c r="C6429" s="8">
        <f>IFERROR(__xludf.DUMMYFUNCTION("""COMPUTED_VALUE"""),0.0)</f>
        <v>0</v>
      </c>
      <c r="D6429" s="8"/>
    </row>
    <row r="6430">
      <c r="A6430" s="9" t="str">
        <f>IFERROR(__xludf.DUMMYFUNCTION("""COMPUTED_VALUE"""),"Batch 308")</f>
        <v>Batch 308</v>
      </c>
      <c r="B6430" s="9" t="str">
        <f>IFERROR(__xludf.DUMMYFUNCTION("""COMPUTED_VALUE"""),"MayukhC08")</f>
        <v>MayukhC08</v>
      </c>
      <c r="C6430" s="8">
        <f>IFERROR(__xludf.DUMMYFUNCTION("""COMPUTED_VALUE"""),0.0)</f>
        <v>0</v>
      </c>
      <c r="D6430" s="8"/>
    </row>
    <row r="6431">
      <c r="A6431" s="9" t="str">
        <f>IFERROR(__xludf.DUMMYFUNCTION("""COMPUTED_VALUE"""),"Batch 308")</f>
        <v>Batch 308</v>
      </c>
      <c r="B6431" s="9" t="str">
        <f>IFERROR(__xludf.DUMMYFUNCTION("""COMPUTED_VALUE"""),"JunaidC08")</f>
        <v>JunaidC08</v>
      </c>
      <c r="C6431" s="8">
        <f>IFERROR(__xludf.DUMMYFUNCTION("""COMPUTED_VALUE"""),0.0)</f>
        <v>0</v>
      </c>
      <c r="D6431" s="8"/>
    </row>
    <row r="6432">
      <c r="A6432" s="9" t="str">
        <f>IFERROR(__xludf.DUMMYFUNCTION("""COMPUTED_VALUE"""),"Batch 308")</f>
        <v>Batch 308</v>
      </c>
      <c r="B6432" s="9" t="str">
        <f>IFERROR(__xludf.DUMMYFUNCTION("""COMPUTED_VALUE"""),"SrishtiC08")</f>
        <v>SrishtiC08</v>
      </c>
      <c r="C6432" s="8">
        <f>IFERROR(__xludf.DUMMYFUNCTION("""COMPUTED_VALUE"""),0.0)</f>
        <v>0</v>
      </c>
      <c r="D6432" s="8"/>
    </row>
    <row r="6433">
      <c r="A6433" s="9" t="str">
        <f>IFERROR(__xludf.DUMMYFUNCTION("""COMPUTED_VALUE"""),"Batch 308")</f>
        <v>Batch 308</v>
      </c>
      <c r="B6433" s="9" t="str">
        <f>IFERROR(__xludf.DUMMYFUNCTION("""COMPUTED_VALUE"""),"SimranC08")</f>
        <v>SimranC08</v>
      </c>
      <c r="C6433" s="8">
        <f>IFERROR(__xludf.DUMMYFUNCTION("""COMPUTED_VALUE"""),0.0)</f>
        <v>0</v>
      </c>
      <c r="D6433" s="8"/>
    </row>
    <row r="6434">
      <c r="A6434" s="9" t="str">
        <f>IFERROR(__xludf.DUMMYFUNCTION("""COMPUTED_VALUE"""),"Batch 308")</f>
        <v>Batch 308</v>
      </c>
      <c r="B6434" s="9" t="str">
        <f>IFERROR(__xludf.DUMMYFUNCTION("""COMPUTED_VALUE"""),"ChiragC08")</f>
        <v>ChiragC08</v>
      </c>
      <c r="C6434" s="8">
        <f>IFERROR(__xludf.DUMMYFUNCTION("""COMPUTED_VALUE"""),1.0)</f>
        <v>1</v>
      </c>
      <c r="D6434" s="8"/>
    </row>
    <row r="6435">
      <c r="A6435" s="9" t="str">
        <f>IFERROR(__xludf.DUMMYFUNCTION("""COMPUTED_VALUE"""),"Batch 308")</f>
        <v>Batch 308</v>
      </c>
      <c r="B6435" s="9" t="str">
        <f>IFERROR(__xludf.DUMMYFUNCTION("""COMPUTED_VALUE"""),"TanishC08")</f>
        <v>TanishC08</v>
      </c>
      <c r="C6435" s="8">
        <f>IFERROR(__xludf.DUMMYFUNCTION("""COMPUTED_VALUE"""),0.0)</f>
        <v>0</v>
      </c>
      <c r="D6435" s="8"/>
    </row>
    <row r="6436">
      <c r="A6436" s="9" t="str">
        <f>IFERROR(__xludf.DUMMYFUNCTION("""COMPUTED_VALUE"""),"Batch 308")</f>
        <v>Batch 308</v>
      </c>
      <c r="B6436" s="9" t="str">
        <f>IFERROR(__xludf.DUMMYFUNCTION("""COMPUTED_VALUE"""),"DevC08")</f>
        <v>DevC08</v>
      </c>
      <c r="C6436" s="8">
        <f>IFERROR(__xludf.DUMMYFUNCTION("""COMPUTED_VALUE"""),0.0)</f>
        <v>0</v>
      </c>
      <c r="D6436" s="8"/>
    </row>
    <row r="6437">
      <c r="A6437" s="9" t="str">
        <f>IFERROR(__xludf.DUMMYFUNCTION("""COMPUTED_VALUE"""),"Batch 308")</f>
        <v>Batch 308</v>
      </c>
      <c r="B6437" s="9" t="str">
        <f>IFERROR(__xludf.DUMMYFUNCTION("""COMPUTED_VALUE"""),"TeenaC08")</f>
        <v>TeenaC08</v>
      </c>
      <c r="C6437" s="8">
        <f>IFERROR(__xludf.DUMMYFUNCTION("""COMPUTED_VALUE"""),0.0)</f>
        <v>0</v>
      </c>
      <c r="D6437" s="8"/>
    </row>
    <row r="6438">
      <c r="A6438" s="9" t="str">
        <f>IFERROR(__xludf.DUMMYFUNCTION("""COMPUTED_VALUE"""),"Batch 308")</f>
        <v>Batch 308</v>
      </c>
      <c r="B6438" s="9" t="str">
        <f>IFERROR(__xludf.DUMMYFUNCTION("""COMPUTED_VALUE"""),"PulkitC08")</f>
        <v>PulkitC08</v>
      </c>
      <c r="C6438" s="8">
        <f>IFERROR(__xludf.DUMMYFUNCTION("""COMPUTED_VALUE"""),0.0)</f>
        <v>0</v>
      </c>
      <c r="D6438" s="8"/>
    </row>
    <row r="6439">
      <c r="A6439" s="9" t="str">
        <f>IFERROR(__xludf.DUMMYFUNCTION("""COMPUTED_VALUE"""),"Batch 308")</f>
        <v>Batch 308</v>
      </c>
      <c r="B6439" s="9" t="str">
        <f>IFERROR(__xludf.DUMMYFUNCTION("""COMPUTED_VALUE"""),"HarshC08")</f>
        <v>HarshC08</v>
      </c>
      <c r="C6439" s="8">
        <f>IFERROR(__xludf.DUMMYFUNCTION("""COMPUTED_VALUE"""),0.0)</f>
        <v>0</v>
      </c>
      <c r="D6439" s="8"/>
    </row>
    <row r="6440">
      <c r="A6440" s="9" t="str">
        <f>IFERROR(__xludf.DUMMYFUNCTION("""COMPUTED_VALUE"""),"Batch 308")</f>
        <v>Batch 308</v>
      </c>
      <c r="B6440" s="9" t="str">
        <f>IFERROR(__xludf.DUMMYFUNCTION("""COMPUTED_VALUE"""),"AdityaC08")</f>
        <v>AdityaC08</v>
      </c>
      <c r="C6440" s="8">
        <f>IFERROR(__xludf.DUMMYFUNCTION("""COMPUTED_VALUE"""),0.0)</f>
        <v>0</v>
      </c>
      <c r="D6440" s="8"/>
    </row>
    <row r="6441">
      <c r="A6441" s="9" t="str">
        <f>IFERROR(__xludf.DUMMYFUNCTION("""COMPUTED_VALUE"""),"Batch 308")</f>
        <v>Batch 308</v>
      </c>
      <c r="B6441" s="9" t="str">
        <f>IFERROR(__xludf.DUMMYFUNCTION("""COMPUTED_VALUE"""),"AdhayanC08")</f>
        <v>AdhayanC08</v>
      </c>
      <c r="C6441" s="8">
        <f>IFERROR(__xludf.DUMMYFUNCTION("""COMPUTED_VALUE"""),0.0)</f>
        <v>0</v>
      </c>
      <c r="D6441" s="8"/>
    </row>
    <row r="6442">
      <c r="A6442" s="9" t="str">
        <f>IFERROR(__xludf.DUMMYFUNCTION("""COMPUTED_VALUE"""),"Batch 308")</f>
        <v>Batch 308</v>
      </c>
      <c r="B6442" s="9" t="str">
        <f>IFERROR(__xludf.DUMMYFUNCTION("""COMPUTED_VALUE"""),"K.C08")</f>
        <v>K.C08</v>
      </c>
      <c r="C6442" s="8">
        <f>IFERROR(__xludf.DUMMYFUNCTION("""COMPUTED_VALUE"""),0.0)</f>
        <v>0</v>
      </c>
      <c r="D6442" s="8"/>
    </row>
    <row r="6443">
      <c r="A6443" s="9" t="str">
        <f>IFERROR(__xludf.DUMMYFUNCTION("""COMPUTED_VALUE"""),"Batch 308")</f>
        <v>Batch 308</v>
      </c>
      <c r="B6443" s="9" t="str">
        <f>IFERROR(__xludf.DUMMYFUNCTION("""COMPUTED_VALUE"""),"HarshitaC08")</f>
        <v>HarshitaC08</v>
      </c>
      <c r="C6443" s="8">
        <f>IFERROR(__xludf.DUMMYFUNCTION("""COMPUTED_VALUE"""),1.0)</f>
        <v>1</v>
      </c>
      <c r="D6443" s="8"/>
    </row>
    <row r="6444">
      <c r="A6444" s="9" t="str">
        <f>IFERROR(__xludf.DUMMYFUNCTION("""COMPUTED_VALUE"""),"Batch 308")</f>
        <v>Batch 308</v>
      </c>
      <c r="B6444" s="9" t="str">
        <f>IFERROR(__xludf.DUMMYFUNCTION("""COMPUTED_VALUE"""),"IshwaryaC08")</f>
        <v>IshwaryaC08</v>
      </c>
      <c r="C6444" s="8">
        <f>IFERROR(__xludf.DUMMYFUNCTION("""COMPUTED_VALUE"""),0.0)</f>
        <v>0</v>
      </c>
      <c r="D6444" s="8"/>
    </row>
    <row r="6445">
      <c r="A6445" s="9" t="str">
        <f>IFERROR(__xludf.DUMMYFUNCTION("""COMPUTED_VALUE"""),"Batch 308")</f>
        <v>Batch 308</v>
      </c>
      <c r="B6445" s="9" t="str">
        <f>IFERROR(__xludf.DUMMYFUNCTION("""COMPUTED_VALUE"""),"MohammadC08")</f>
        <v>MohammadC08</v>
      </c>
      <c r="C6445" s="8">
        <f>IFERROR(__xludf.DUMMYFUNCTION("""COMPUTED_VALUE"""),5.0)</f>
        <v>5</v>
      </c>
      <c r="D6445" s="8"/>
    </row>
    <row r="6446">
      <c r="A6446" s="9" t="str">
        <f>IFERROR(__xludf.DUMMYFUNCTION("""COMPUTED_VALUE"""),"Batch 308")</f>
        <v>Batch 308</v>
      </c>
      <c r="B6446" s="9" t="str">
        <f>IFERROR(__xludf.DUMMYFUNCTION("""COMPUTED_VALUE"""),"AnusreeC08")</f>
        <v>AnusreeC08</v>
      </c>
      <c r="C6446" s="8">
        <f>IFERROR(__xludf.DUMMYFUNCTION("""COMPUTED_VALUE"""),1.0)</f>
        <v>1</v>
      </c>
      <c r="D6446" s="8"/>
    </row>
    <row r="6447">
      <c r="A6447" s="9" t="str">
        <f>IFERROR(__xludf.DUMMYFUNCTION("""COMPUTED_VALUE"""),"Batch 308")</f>
        <v>Batch 308</v>
      </c>
      <c r="B6447" s="9" t="str">
        <f>IFERROR(__xludf.DUMMYFUNCTION("""COMPUTED_VALUE"""),"AnshulC08")</f>
        <v>AnshulC08</v>
      </c>
      <c r="C6447" s="8">
        <f>IFERROR(__xludf.DUMMYFUNCTION("""COMPUTED_VALUE"""),0.0)</f>
        <v>0</v>
      </c>
      <c r="D6447" s="8"/>
    </row>
    <row r="6448">
      <c r="A6448" s="9" t="str">
        <f>IFERROR(__xludf.DUMMYFUNCTION("""COMPUTED_VALUE"""),"Batch 308")</f>
        <v>Batch 308</v>
      </c>
      <c r="B6448" s="9" t="str">
        <f>IFERROR(__xludf.DUMMYFUNCTION("""COMPUTED_VALUE"""),"SurakshaC08")</f>
        <v>SurakshaC08</v>
      </c>
      <c r="C6448" s="8">
        <f>IFERROR(__xludf.DUMMYFUNCTION("""COMPUTED_VALUE"""),0.0)</f>
        <v>0</v>
      </c>
      <c r="D6448" s="8"/>
    </row>
    <row r="6449">
      <c r="A6449" s="9" t="str">
        <f>IFERROR(__xludf.DUMMYFUNCTION("""COMPUTED_VALUE"""),"Batch 308")</f>
        <v>Batch 308</v>
      </c>
      <c r="B6449" s="9" t="str">
        <f>IFERROR(__xludf.DUMMYFUNCTION("""COMPUTED_VALUE"""),"AananyaC08")</f>
        <v>AananyaC08</v>
      </c>
      <c r="C6449" s="8">
        <f>IFERROR(__xludf.DUMMYFUNCTION("""COMPUTED_VALUE"""),0.0)</f>
        <v>0</v>
      </c>
      <c r="D6449" s="8"/>
    </row>
    <row r="6450">
      <c r="A6450" s="9" t="str">
        <f>IFERROR(__xludf.DUMMYFUNCTION("""COMPUTED_VALUE"""),"Batch 308")</f>
        <v>Batch 308</v>
      </c>
      <c r="B6450" s="9" t="str">
        <f>IFERROR(__xludf.DUMMYFUNCTION("""COMPUTED_VALUE"""),"PallaviC08")</f>
        <v>PallaviC08</v>
      </c>
      <c r="C6450" s="8">
        <f>IFERROR(__xludf.DUMMYFUNCTION("""COMPUTED_VALUE"""),0.0)</f>
        <v>0</v>
      </c>
      <c r="D6450" s="8"/>
    </row>
    <row r="6451">
      <c r="A6451" s="9" t="str">
        <f>IFERROR(__xludf.DUMMYFUNCTION("""COMPUTED_VALUE"""),"Batch 308")</f>
        <v>Batch 308</v>
      </c>
      <c r="B6451" s="9" t="str">
        <f>IFERROR(__xludf.DUMMYFUNCTION("""COMPUTED_VALUE"""),"DeveshC08")</f>
        <v>DeveshC08</v>
      </c>
      <c r="C6451" s="8">
        <f>IFERROR(__xludf.DUMMYFUNCTION("""COMPUTED_VALUE"""),0.0)</f>
        <v>0</v>
      </c>
      <c r="D6451" s="8"/>
    </row>
    <row r="6452">
      <c r="A6452" s="9" t="str">
        <f>IFERROR(__xludf.DUMMYFUNCTION("""COMPUTED_VALUE"""),"Batch 308")</f>
        <v>Batch 308</v>
      </c>
      <c r="B6452" s="9" t="str">
        <f>IFERROR(__xludf.DUMMYFUNCTION("""COMPUTED_VALUE"""),"TusharC08")</f>
        <v>TusharC08</v>
      </c>
      <c r="C6452" s="8">
        <f>IFERROR(__xludf.DUMMYFUNCTION("""COMPUTED_VALUE"""),0.0)</f>
        <v>0</v>
      </c>
      <c r="D6452" s="8"/>
    </row>
    <row r="6453">
      <c r="A6453" s="9" t="str">
        <f>IFERROR(__xludf.DUMMYFUNCTION("""COMPUTED_VALUE"""),"Batch 308")</f>
        <v>Batch 308</v>
      </c>
      <c r="B6453" s="9" t="str">
        <f>IFERROR(__xludf.DUMMYFUNCTION("""COMPUTED_VALUE"""),"VatsalC08")</f>
        <v>VatsalC08</v>
      </c>
      <c r="C6453" s="8">
        <f>IFERROR(__xludf.DUMMYFUNCTION("""COMPUTED_VALUE"""),0.0)</f>
        <v>0</v>
      </c>
      <c r="D6453" s="8"/>
    </row>
    <row r="6454">
      <c r="A6454" s="9" t="str">
        <f>IFERROR(__xludf.DUMMYFUNCTION("""COMPUTED_VALUE"""),"Batch 308")</f>
        <v>Batch 308</v>
      </c>
      <c r="B6454" s="9" t="str">
        <f>IFERROR(__xludf.DUMMYFUNCTION("""COMPUTED_VALUE"""),"VidhiC08")</f>
        <v>VidhiC08</v>
      </c>
      <c r="C6454" s="8">
        <f>IFERROR(__xludf.DUMMYFUNCTION("""COMPUTED_VALUE"""),0.0)</f>
        <v>0</v>
      </c>
      <c r="D6454" s="8"/>
    </row>
    <row r="6455">
      <c r="A6455" s="9" t="str">
        <f>IFERROR(__xludf.DUMMYFUNCTION("""COMPUTED_VALUE"""),"Batch 308")</f>
        <v>Batch 308</v>
      </c>
      <c r="B6455" s="9" t="str">
        <f>IFERROR(__xludf.DUMMYFUNCTION("""COMPUTED_VALUE"""),"IshanC08")</f>
        <v>IshanC08</v>
      </c>
      <c r="C6455" s="8">
        <f>IFERROR(__xludf.DUMMYFUNCTION("""COMPUTED_VALUE"""),0.0)</f>
        <v>0</v>
      </c>
      <c r="D6455" s="8"/>
    </row>
    <row r="6456">
      <c r="A6456" s="9" t="str">
        <f>IFERROR(__xludf.DUMMYFUNCTION("""COMPUTED_VALUE"""),"Batch 308")</f>
        <v>Batch 308</v>
      </c>
      <c r="B6456" s="9" t="str">
        <f>IFERROR(__xludf.DUMMYFUNCTION("""COMPUTED_VALUE"""),"SamriddhiC08")</f>
        <v>SamriddhiC08</v>
      </c>
      <c r="C6456" s="8">
        <f>IFERROR(__xludf.DUMMYFUNCTION("""COMPUTED_VALUE"""),0.0)</f>
        <v>0</v>
      </c>
      <c r="D6456" s="8"/>
    </row>
    <row r="6457">
      <c r="A6457" s="9"/>
      <c r="B6457" s="9"/>
      <c r="C6457" s="8">
        <f>IFERROR(__xludf.DUMMYFUNCTION("""COMPUTED_VALUE"""),0.0)</f>
        <v>0</v>
      </c>
      <c r="D6457" s="8"/>
    </row>
    <row r="6458">
      <c r="A6458" s="9" t="str">
        <f>IFERROR(__xludf.DUMMYFUNCTION("""COMPUTED_VALUE"""),"Batch 309")</f>
        <v>Batch 309</v>
      </c>
      <c r="B6458" s="9" t="str">
        <f>IFERROR(__xludf.DUMMYFUNCTION("""COMPUTED_VALUE"""),"AtulC09")</f>
        <v>AtulC09</v>
      </c>
      <c r="C6458" s="8">
        <f>IFERROR(__xludf.DUMMYFUNCTION("""COMPUTED_VALUE"""),0.0)</f>
        <v>0</v>
      </c>
      <c r="D6458" s="8"/>
    </row>
    <row r="6459">
      <c r="A6459" s="9" t="str">
        <f>IFERROR(__xludf.DUMMYFUNCTION("""COMPUTED_VALUE"""),"Batch 309")</f>
        <v>Batch 309</v>
      </c>
      <c r="B6459" s="9" t="str">
        <f>IFERROR(__xludf.DUMMYFUNCTION("""COMPUTED_VALUE"""),"PC09")</f>
        <v>PC09</v>
      </c>
      <c r="C6459" s="8">
        <f>IFERROR(__xludf.DUMMYFUNCTION("""COMPUTED_VALUE"""),5.0)</f>
        <v>5</v>
      </c>
      <c r="D6459" s="8"/>
    </row>
    <row r="6460">
      <c r="A6460" s="9" t="str">
        <f>IFERROR(__xludf.DUMMYFUNCTION("""COMPUTED_VALUE"""),"Batch 309")</f>
        <v>Batch 309</v>
      </c>
      <c r="B6460" s="9" t="str">
        <f>IFERROR(__xludf.DUMMYFUNCTION("""COMPUTED_VALUE"""),"DimpleC09")</f>
        <v>DimpleC09</v>
      </c>
      <c r="C6460" s="8">
        <f>IFERROR(__xludf.DUMMYFUNCTION("""COMPUTED_VALUE"""),0.0)</f>
        <v>0</v>
      </c>
      <c r="D6460" s="8"/>
    </row>
    <row r="6461">
      <c r="A6461" s="9" t="str">
        <f>IFERROR(__xludf.DUMMYFUNCTION("""COMPUTED_VALUE"""),"Batch 309")</f>
        <v>Batch 309</v>
      </c>
      <c r="B6461" s="9" t="str">
        <f>IFERROR(__xludf.DUMMYFUNCTION("""COMPUTED_VALUE"""),"LavanyaC09")</f>
        <v>LavanyaC09</v>
      </c>
      <c r="C6461" s="8">
        <f>IFERROR(__xludf.DUMMYFUNCTION("""COMPUTED_VALUE"""),0.0)</f>
        <v>0</v>
      </c>
      <c r="D6461" s="8"/>
    </row>
    <row r="6462">
      <c r="A6462" s="9" t="str">
        <f>IFERROR(__xludf.DUMMYFUNCTION("""COMPUTED_VALUE"""),"Batch 309")</f>
        <v>Batch 309</v>
      </c>
      <c r="B6462" s="9" t="str">
        <f>IFERROR(__xludf.DUMMYFUNCTION("""COMPUTED_VALUE"""),"AbhayC09")</f>
        <v>AbhayC09</v>
      </c>
      <c r="C6462" s="8">
        <f>IFERROR(__xludf.DUMMYFUNCTION("""COMPUTED_VALUE"""),0.0)</f>
        <v>0</v>
      </c>
      <c r="D6462" s="8"/>
    </row>
    <row r="6463">
      <c r="A6463" s="9" t="str">
        <f>IFERROR(__xludf.DUMMYFUNCTION("""COMPUTED_VALUE"""),"Batch 309")</f>
        <v>Batch 309</v>
      </c>
      <c r="B6463" s="9" t="str">
        <f>IFERROR(__xludf.DUMMYFUNCTION("""COMPUTED_VALUE"""),"VividhC09")</f>
        <v>VividhC09</v>
      </c>
      <c r="C6463" s="8">
        <f>IFERROR(__xludf.DUMMYFUNCTION("""COMPUTED_VALUE"""),0.0)</f>
        <v>0</v>
      </c>
      <c r="D6463" s="8"/>
    </row>
    <row r="6464">
      <c r="A6464" s="9" t="str">
        <f>IFERROR(__xludf.DUMMYFUNCTION("""COMPUTED_VALUE"""),"Batch 309")</f>
        <v>Batch 309</v>
      </c>
      <c r="B6464" s="9" t="str">
        <f>IFERROR(__xludf.DUMMYFUNCTION("""COMPUTED_VALUE"""),"AditiC09")</f>
        <v>AditiC09</v>
      </c>
      <c r="C6464" s="8">
        <f>IFERROR(__xludf.DUMMYFUNCTION("""COMPUTED_VALUE"""),0.0)</f>
        <v>0</v>
      </c>
      <c r="D6464" s="8"/>
    </row>
    <row r="6465">
      <c r="A6465" s="9" t="str">
        <f>IFERROR(__xludf.DUMMYFUNCTION("""COMPUTED_VALUE"""),"Batch 309")</f>
        <v>Batch 309</v>
      </c>
      <c r="B6465" s="9" t="str">
        <f>IFERROR(__xludf.DUMMYFUNCTION("""COMPUTED_VALUE"""),"ShraddhaC09")</f>
        <v>ShraddhaC09</v>
      </c>
      <c r="C6465" s="8">
        <f>IFERROR(__xludf.DUMMYFUNCTION("""COMPUTED_VALUE"""),0.0)</f>
        <v>0</v>
      </c>
      <c r="D6465" s="8"/>
    </row>
    <row r="6466">
      <c r="A6466" s="9" t="str">
        <f>IFERROR(__xludf.DUMMYFUNCTION("""COMPUTED_VALUE"""),"Batch 309")</f>
        <v>Batch 309</v>
      </c>
      <c r="B6466" s="9" t="str">
        <f>IFERROR(__xludf.DUMMYFUNCTION("""COMPUTED_VALUE"""),"KhC09")</f>
        <v>KhC09</v>
      </c>
      <c r="C6466" s="8">
        <f>IFERROR(__xludf.DUMMYFUNCTION("""COMPUTED_VALUE"""),0.0)</f>
        <v>0</v>
      </c>
      <c r="D6466" s="8"/>
    </row>
    <row r="6467">
      <c r="A6467" s="9" t="str">
        <f>IFERROR(__xludf.DUMMYFUNCTION("""COMPUTED_VALUE"""),"Batch 309")</f>
        <v>Batch 309</v>
      </c>
      <c r="B6467" s="9" t="str">
        <f>IFERROR(__xludf.DUMMYFUNCTION("""COMPUTED_VALUE"""),"VedantC09")</f>
        <v>VedantC09</v>
      </c>
      <c r="C6467" s="8">
        <f>IFERROR(__xludf.DUMMYFUNCTION("""COMPUTED_VALUE"""),0.0)</f>
        <v>0</v>
      </c>
      <c r="D6467" s="8"/>
    </row>
    <row r="6468">
      <c r="A6468" s="9" t="str">
        <f>IFERROR(__xludf.DUMMYFUNCTION("""COMPUTED_VALUE"""),"Batch 309")</f>
        <v>Batch 309</v>
      </c>
      <c r="B6468" s="9" t="str">
        <f>IFERROR(__xludf.DUMMYFUNCTION("""COMPUTED_VALUE"""),"RutujaC09")</f>
        <v>RutujaC09</v>
      </c>
      <c r="C6468" s="8">
        <f>IFERROR(__xludf.DUMMYFUNCTION("""COMPUTED_VALUE"""),0.0)</f>
        <v>0</v>
      </c>
      <c r="D6468" s="8"/>
    </row>
    <row r="6469">
      <c r="A6469" s="9" t="str">
        <f>IFERROR(__xludf.DUMMYFUNCTION("""COMPUTED_VALUE"""),"Batch 309")</f>
        <v>Batch 309</v>
      </c>
      <c r="B6469" s="9" t="str">
        <f>IFERROR(__xludf.DUMMYFUNCTION("""COMPUTED_VALUE"""),"HarshitaC09")</f>
        <v>HarshitaC09</v>
      </c>
      <c r="C6469" s="8">
        <f>IFERROR(__xludf.DUMMYFUNCTION("""COMPUTED_VALUE"""),0.0)</f>
        <v>0</v>
      </c>
      <c r="D6469" s="8">
        <f>IFERROR(__xludf.DUMMYFUNCTION("""COMPUTED_VALUE"""),2.0)</f>
        <v>2</v>
      </c>
    </row>
    <row r="6470">
      <c r="A6470" s="9" t="str">
        <f>IFERROR(__xludf.DUMMYFUNCTION("""COMPUTED_VALUE"""),"Batch 309")</f>
        <v>Batch 309</v>
      </c>
      <c r="B6470" s="9" t="str">
        <f>IFERROR(__xludf.DUMMYFUNCTION("""COMPUTED_VALUE"""),"RiyaC09")</f>
        <v>RiyaC09</v>
      </c>
      <c r="C6470" s="8">
        <f>IFERROR(__xludf.DUMMYFUNCTION("""COMPUTED_VALUE"""),0.0)</f>
        <v>0</v>
      </c>
      <c r="D6470" s="8"/>
    </row>
    <row r="6471">
      <c r="A6471" s="9" t="str">
        <f>IFERROR(__xludf.DUMMYFUNCTION("""COMPUTED_VALUE"""),"Batch 309")</f>
        <v>Batch 309</v>
      </c>
      <c r="B6471" s="9" t="str">
        <f>IFERROR(__xludf.DUMMYFUNCTION("""COMPUTED_VALUE"""),"AdityaC09")</f>
        <v>AdityaC09</v>
      </c>
      <c r="C6471" s="8">
        <f>IFERROR(__xludf.DUMMYFUNCTION("""COMPUTED_VALUE"""),0.0)</f>
        <v>0</v>
      </c>
      <c r="D6471" s="8"/>
    </row>
    <row r="6472">
      <c r="A6472" s="9" t="str">
        <f>IFERROR(__xludf.DUMMYFUNCTION("""COMPUTED_VALUE"""),"Batch 309")</f>
        <v>Batch 309</v>
      </c>
      <c r="B6472" s="9" t="str">
        <f>IFERROR(__xludf.DUMMYFUNCTION("""COMPUTED_VALUE"""),"PoonamC09")</f>
        <v>PoonamC09</v>
      </c>
      <c r="C6472" s="8">
        <f>IFERROR(__xludf.DUMMYFUNCTION("""COMPUTED_VALUE"""),0.0)</f>
        <v>0</v>
      </c>
      <c r="D6472" s="8"/>
    </row>
    <row r="6473">
      <c r="A6473" s="9" t="str">
        <f>IFERROR(__xludf.DUMMYFUNCTION("""COMPUTED_VALUE"""),"Batch 309")</f>
        <v>Batch 309</v>
      </c>
      <c r="B6473" s="9" t="str">
        <f>IFERROR(__xludf.DUMMYFUNCTION("""COMPUTED_VALUE"""),"GouravC09")</f>
        <v>GouravC09</v>
      </c>
      <c r="C6473" s="8">
        <f>IFERROR(__xludf.DUMMYFUNCTION("""COMPUTED_VALUE"""),0.0)</f>
        <v>0</v>
      </c>
      <c r="D6473" s="8"/>
    </row>
    <row r="6474">
      <c r="A6474" s="9" t="str">
        <f>IFERROR(__xludf.DUMMYFUNCTION("""COMPUTED_VALUE"""),"Batch 309")</f>
        <v>Batch 309</v>
      </c>
      <c r="B6474" s="9" t="str">
        <f>IFERROR(__xludf.DUMMYFUNCTION("""COMPUTED_VALUE"""),"PratikC09")</f>
        <v>PratikC09</v>
      </c>
      <c r="C6474" s="8">
        <f>IFERROR(__xludf.DUMMYFUNCTION("""COMPUTED_VALUE"""),0.0)</f>
        <v>0</v>
      </c>
      <c r="D6474" s="8"/>
    </row>
    <row r="6475">
      <c r="A6475" s="9" t="str">
        <f>IFERROR(__xludf.DUMMYFUNCTION("""COMPUTED_VALUE"""),"Batch 309")</f>
        <v>Batch 309</v>
      </c>
      <c r="B6475" s="9" t="str">
        <f>IFERROR(__xludf.DUMMYFUNCTION("""COMPUTED_VALUE"""),"VisheshC09")</f>
        <v>VisheshC09</v>
      </c>
      <c r="C6475" s="8">
        <f>IFERROR(__xludf.DUMMYFUNCTION("""COMPUTED_VALUE"""),4.0)</f>
        <v>4</v>
      </c>
      <c r="D6475" s="8"/>
    </row>
    <row r="6476">
      <c r="A6476" s="9" t="str">
        <f>IFERROR(__xludf.DUMMYFUNCTION("""COMPUTED_VALUE"""),"Batch 309")</f>
        <v>Batch 309</v>
      </c>
      <c r="B6476" s="9" t="str">
        <f>IFERROR(__xludf.DUMMYFUNCTION("""COMPUTED_VALUE"""),"PiyushC09")</f>
        <v>PiyushC09</v>
      </c>
      <c r="C6476" s="8">
        <f>IFERROR(__xludf.DUMMYFUNCTION("""COMPUTED_VALUE"""),0.0)</f>
        <v>0</v>
      </c>
      <c r="D6476" s="8"/>
    </row>
    <row r="6477">
      <c r="A6477" s="9" t="str">
        <f>IFERROR(__xludf.DUMMYFUNCTION("""COMPUTED_VALUE"""),"Batch 309")</f>
        <v>Batch 309</v>
      </c>
      <c r="B6477" s="9" t="str">
        <f>IFERROR(__xludf.DUMMYFUNCTION("""COMPUTED_VALUE"""),"ShaquibC09")</f>
        <v>ShaquibC09</v>
      </c>
      <c r="C6477" s="8">
        <f>IFERROR(__xludf.DUMMYFUNCTION("""COMPUTED_VALUE"""),0.0)</f>
        <v>0</v>
      </c>
      <c r="D6477" s="8"/>
    </row>
    <row r="6478">
      <c r="A6478" s="9" t="str">
        <f>IFERROR(__xludf.DUMMYFUNCTION("""COMPUTED_VALUE"""),"Batch 309")</f>
        <v>Batch 309</v>
      </c>
      <c r="B6478" s="9" t="str">
        <f>IFERROR(__xludf.DUMMYFUNCTION("""COMPUTED_VALUE"""),"HrishitC09")</f>
        <v>HrishitC09</v>
      </c>
      <c r="C6478" s="8">
        <f>IFERROR(__xludf.DUMMYFUNCTION("""COMPUTED_VALUE"""),0.0)</f>
        <v>0</v>
      </c>
      <c r="D6478" s="8"/>
    </row>
    <row r="6479">
      <c r="A6479" s="9" t="str">
        <f>IFERROR(__xludf.DUMMYFUNCTION("""COMPUTED_VALUE"""),"Batch 309")</f>
        <v>Batch 309</v>
      </c>
      <c r="B6479" s="9" t="str">
        <f>IFERROR(__xludf.DUMMYFUNCTION("""COMPUTED_VALUE"""),"AyushC09")</f>
        <v>AyushC09</v>
      </c>
      <c r="C6479" s="8">
        <f>IFERROR(__xludf.DUMMYFUNCTION("""COMPUTED_VALUE"""),0.0)</f>
        <v>0</v>
      </c>
      <c r="D6479" s="8"/>
    </row>
    <row r="6480">
      <c r="A6480" s="9" t="str">
        <f>IFERROR(__xludf.DUMMYFUNCTION("""COMPUTED_VALUE"""),"Batch 309")</f>
        <v>Batch 309</v>
      </c>
      <c r="B6480" s="9" t="str">
        <f>IFERROR(__xludf.DUMMYFUNCTION("""COMPUTED_VALUE"""),"SachinC09")</f>
        <v>SachinC09</v>
      </c>
      <c r="C6480" s="8">
        <f>IFERROR(__xludf.DUMMYFUNCTION("""COMPUTED_VALUE"""),0.0)</f>
        <v>0</v>
      </c>
      <c r="D6480" s="8"/>
    </row>
    <row r="6481">
      <c r="A6481" s="9" t="str">
        <f>IFERROR(__xludf.DUMMYFUNCTION("""COMPUTED_VALUE"""),"Batch 309")</f>
        <v>Batch 309</v>
      </c>
      <c r="B6481" s="9" t="str">
        <f>IFERROR(__xludf.DUMMYFUNCTION("""COMPUTED_VALUE"""),"ShreyaC09")</f>
        <v>ShreyaC09</v>
      </c>
      <c r="C6481" s="8">
        <f>IFERROR(__xludf.DUMMYFUNCTION("""COMPUTED_VALUE"""),0.0)</f>
        <v>0</v>
      </c>
      <c r="D6481" s="8"/>
    </row>
    <row r="6482">
      <c r="A6482" s="9" t="str">
        <f>IFERROR(__xludf.DUMMYFUNCTION("""COMPUTED_VALUE"""),"Batch 309")</f>
        <v>Batch 309</v>
      </c>
      <c r="B6482" s="9" t="str">
        <f>IFERROR(__xludf.DUMMYFUNCTION("""COMPUTED_VALUE"""),"DhratiC09")</f>
        <v>DhratiC09</v>
      </c>
      <c r="C6482" s="8">
        <f>IFERROR(__xludf.DUMMYFUNCTION("""COMPUTED_VALUE"""),0.0)</f>
        <v>0</v>
      </c>
      <c r="D6482" s="8"/>
    </row>
    <row r="6483">
      <c r="A6483" s="9" t="str">
        <f>IFERROR(__xludf.DUMMYFUNCTION("""COMPUTED_VALUE"""),"Batch 309")</f>
        <v>Batch 309</v>
      </c>
      <c r="B6483" s="9" t="str">
        <f>IFERROR(__xludf.DUMMYFUNCTION("""COMPUTED_VALUE"""),"SujanaC09")</f>
        <v>SujanaC09</v>
      </c>
      <c r="C6483" s="8">
        <f>IFERROR(__xludf.DUMMYFUNCTION("""COMPUTED_VALUE"""),0.0)</f>
        <v>0</v>
      </c>
      <c r="D6483" s="8"/>
    </row>
    <row r="6484">
      <c r="A6484" s="9" t="str">
        <f>IFERROR(__xludf.DUMMYFUNCTION("""COMPUTED_VALUE"""),"Batch 309")</f>
        <v>Batch 309</v>
      </c>
      <c r="B6484" s="9" t="str">
        <f>IFERROR(__xludf.DUMMYFUNCTION("""COMPUTED_VALUE"""),"AkhilC09")</f>
        <v>AkhilC09</v>
      </c>
      <c r="C6484" s="8">
        <f>IFERROR(__xludf.DUMMYFUNCTION("""COMPUTED_VALUE"""),0.0)</f>
        <v>0</v>
      </c>
      <c r="D6484" s="8"/>
    </row>
    <row r="6485">
      <c r="A6485" s="9" t="str">
        <f>IFERROR(__xludf.DUMMYFUNCTION("""COMPUTED_VALUE"""),"Batch 309")</f>
        <v>Batch 309</v>
      </c>
      <c r="B6485" s="9" t="str">
        <f>IFERROR(__xludf.DUMMYFUNCTION("""COMPUTED_VALUE"""),"HiteshC09")</f>
        <v>HiteshC09</v>
      </c>
      <c r="C6485" s="8">
        <f>IFERROR(__xludf.DUMMYFUNCTION("""COMPUTED_VALUE"""),8.0)</f>
        <v>8</v>
      </c>
      <c r="D6485" s="8">
        <f>IFERROR(__xludf.DUMMYFUNCTION("""COMPUTED_VALUE"""),2.0)</f>
        <v>2</v>
      </c>
    </row>
    <row r="6486">
      <c r="A6486" s="9" t="str">
        <f>IFERROR(__xludf.DUMMYFUNCTION("""COMPUTED_VALUE"""),"Batch 309")</f>
        <v>Batch 309</v>
      </c>
      <c r="B6486" s="9" t="str">
        <f>IFERROR(__xludf.DUMMYFUNCTION("""COMPUTED_VALUE"""),"BarsharaniC09")</f>
        <v>BarsharaniC09</v>
      </c>
      <c r="C6486" s="8">
        <f>IFERROR(__xludf.DUMMYFUNCTION("""COMPUTED_VALUE"""),0.0)</f>
        <v>0</v>
      </c>
      <c r="D6486" s="8"/>
    </row>
    <row r="6487">
      <c r="A6487" s="9" t="str">
        <f>IFERROR(__xludf.DUMMYFUNCTION("""COMPUTED_VALUE"""),"Batch 309")</f>
        <v>Batch 309</v>
      </c>
      <c r="B6487" s="9" t="str">
        <f>IFERROR(__xludf.DUMMYFUNCTION("""COMPUTED_VALUE"""),"NALLAPANENIC09")</f>
        <v>NALLAPANENIC09</v>
      </c>
      <c r="C6487" s="8">
        <f>IFERROR(__xludf.DUMMYFUNCTION("""COMPUTED_VALUE"""),0.0)</f>
        <v>0</v>
      </c>
      <c r="D6487" s="8"/>
    </row>
    <row r="6488">
      <c r="A6488" s="9" t="str">
        <f>IFERROR(__xludf.DUMMYFUNCTION("""COMPUTED_VALUE"""),"Batch 309")</f>
        <v>Batch 309</v>
      </c>
      <c r="B6488" s="9" t="str">
        <f>IFERROR(__xludf.DUMMYFUNCTION("""COMPUTED_VALUE"""),"MdC09")</f>
        <v>MdC09</v>
      </c>
      <c r="C6488" s="8">
        <f>IFERROR(__xludf.DUMMYFUNCTION("""COMPUTED_VALUE"""),0.0)</f>
        <v>0</v>
      </c>
      <c r="D6488" s="8"/>
    </row>
    <row r="6489">
      <c r="A6489" s="9" t="str">
        <f>IFERROR(__xludf.DUMMYFUNCTION("""COMPUTED_VALUE"""),"Batch 309")</f>
        <v>Batch 309</v>
      </c>
      <c r="B6489" s="9" t="str">
        <f>IFERROR(__xludf.DUMMYFUNCTION("""COMPUTED_VALUE"""),"ArchiC09")</f>
        <v>ArchiC09</v>
      </c>
      <c r="C6489" s="8">
        <f>IFERROR(__xludf.DUMMYFUNCTION("""COMPUTED_VALUE"""),0.0)</f>
        <v>0</v>
      </c>
      <c r="D6489" s="8"/>
    </row>
    <row r="6490">
      <c r="A6490" s="9" t="str">
        <f>IFERROR(__xludf.DUMMYFUNCTION("""COMPUTED_VALUE"""),"Batch 309")</f>
        <v>Batch 309</v>
      </c>
      <c r="B6490" s="9" t="str">
        <f>IFERROR(__xludf.DUMMYFUNCTION("""COMPUTED_VALUE"""),"MdC09")</f>
        <v>MdC09</v>
      </c>
      <c r="C6490" s="8">
        <f>IFERROR(__xludf.DUMMYFUNCTION("""COMPUTED_VALUE"""),0.0)</f>
        <v>0</v>
      </c>
      <c r="D6490" s="8"/>
    </row>
    <row r="6491">
      <c r="A6491" s="9" t="str">
        <f>IFERROR(__xludf.DUMMYFUNCTION("""COMPUTED_VALUE"""),"Batch 309")</f>
        <v>Batch 309</v>
      </c>
      <c r="B6491" s="9" t="str">
        <f>IFERROR(__xludf.DUMMYFUNCTION("""COMPUTED_VALUE"""),"ShreyaSC09")</f>
        <v>ShreyaSC09</v>
      </c>
      <c r="C6491" s="8">
        <f>IFERROR(__xludf.DUMMYFUNCTION("""COMPUTED_VALUE"""),0.0)</f>
        <v>0</v>
      </c>
      <c r="D6491" s="8"/>
    </row>
    <row r="6492">
      <c r="A6492" s="9" t="str">
        <f>IFERROR(__xludf.DUMMYFUNCTION("""COMPUTED_VALUE"""),"Batch 309")</f>
        <v>Batch 309</v>
      </c>
      <c r="B6492" s="9" t="str">
        <f>IFERROR(__xludf.DUMMYFUNCTION("""COMPUTED_VALUE"""),"AyushkC09")</f>
        <v>AyushkC09</v>
      </c>
      <c r="C6492" s="8">
        <f>IFERROR(__xludf.DUMMYFUNCTION("""COMPUTED_VALUE"""),0.0)</f>
        <v>0</v>
      </c>
      <c r="D6492" s="8"/>
    </row>
    <row r="6493">
      <c r="A6493" s="9" t="str">
        <f>IFERROR(__xludf.DUMMYFUNCTION("""COMPUTED_VALUE"""),"Batch 309")</f>
        <v>Batch 309</v>
      </c>
      <c r="B6493" s="9" t="str">
        <f>IFERROR(__xludf.DUMMYFUNCTION("""COMPUTED_VALUE"""),"OmikaC09")</f>
        <v>OmikaC09</v>
      </c>
      <c r="C6493" s="8">
        <f>IFERROR(__xludf.DUMMYFUNCTION("""COMPUTED_VALUE"""),0.0)</f>
        <v>0</v>
      </c>
      <c r="D6493" s="8"/>
    </row>
    <row r="6494">
      <c r="A6494" s="9" t="str">
        <f>IFERROR(__xludf.DUMMYFUNCTION("""COMPUTED_VALUE"""),"Batch 309")</f>
        <v>Batch 309</v>
      </c>
      <c r="B6494" s="9" t="str">
        <f>IFERROR(__xludf.DUMMYFUNCTION("""COMPUTED_VALUE"""),"BalarC09")</f>
        <v>BalarC09</v>
      </c>
      <c r="C6494" s="8">
        <f>IFERROR(__xludf.DUMMYFUNCTION("""COMPUTED_VALUE"""),0.0)</f>
        <v>0</v>
      </c>
      <c r="D6494" s="8"/>
    </row>
    <row r="6495">
      <c r="A6495" s="9" t="str">
        <f>IFERROR(__xludf.DUMMYFUNCTION("""COMPUTED_VALUE"""),"Batch 309")</f>
        <v>Batch 309</v>
      </c>
      <c r="B6495" s="9" t="str">
        <f>IFERROR(__xludf.DUMMYFUNCTION("""COMPUTED_VALUE"""),"SakshiC09")</f>
        <v>SakshiC09</v>
      </c>
      <c r="C6495" s="8">
        <f>IFERROR(__xludf.DUMMYFUNCTION("""COMPUTED_VALUE"""),0.0)</f>
        <v>0</v>
      </c>
      <c r="D6495" s="8"/>
    </row>
    <row r="6496">
      <c r="A6496" s="9" t="str">
        <f>IFERROR(__xludf.DUMMYFUNCTION("""COMPUTED_VALUE"""),"Batch 309")</f>
        <v>Batch 309</v>
      </c>
      <c r="B6496" s="9" t="str">
        <f>IFERROR(__xludf.DUMMYFUNCTION("""COMPUTED_VALUE"""),"MohammadC09")</f>
        <v>MohammadC09</v>
      </c>
      <c r="C6496" s="8">
        <f>IFERROR(__xludf.DUMMYFUNCTION("""COMPUTED_VALUE"""),8.0)</f>
        <v>8</v>
      </c>
      <c r="D6496" s="8"/>
    </row>
    <row r="6497">
      <c r="A6497" s="9" t="str">
        <f>IFERROR(__xludf.DUMMYFUNCTION("""COMPUTED_VALUE"""),"Batch 309")</f>
        <v>Batch 309</v>
      </c>
      <c r="B6497" s="9" t="str">
        <f>IFERROR(__xludf.DUMMYFUNCTION("""COMPUTED_VALUE"""),"PritikaC09")</f>
        <v>PritikaC09</v>
      </c>
      <c r="C6497" s="8">
        <f>IFERROR(__xludf.DUMMYFUNCTION("""COMPUTED_VALUE"""),0.0)</f>
        <v>0</v>
      </c>
      <c r="D6497" s="8"/>
    </row>
    <row r="6498">
      <c r="A6498" s="9" t="str">
        <f>IFERROR(__xludf.DUMMYFUNCTION("""COMPUTED_VALUE"""),"Batch 309")</f>
        <v>Batch 309</v>
      </c>
      <c r="B6498" s="9" t="str">
        <f>IFERROR(__xludf.DUMMYFUNCTION("""COMPUTED_VALUE"""),"KenishaC09")</f>
        <v>KenishaC09</v>
      </c>
      <c r="C6498" s="8">
        <f>IFERROR(__xludf.DUMMYFUNCTION("""COMPUTED_VALUE"""),0.0)</f>
        <v>0</v>
      </c>
      <c r="D6498" s="8"/>
    </row>
    <row r="6499">
      <c r="A6499" s="9" t="str">
        <f>IFERROR(__xludf.DUMMYFUNCTION("""COMPUTED_VALUE"""),"Batch 309")</f>
        <v>Batch 309</v>
      </c>
      <c r="B6499" s="9" t="str">
        <f>IFERROR(__xludf.DUMMYFUNCTION("""COMPUTED_VALUE"""),"SurajC09")</f>
        <v>SurajC09</v>
      </c>
      <c r="C6499" s="8">
        <f>IFERROR(__xludf.DUMMYFUNCTION("""COMPUTED_VALUE"""),0.0)</f>
        <v>0</v>
      </c>
      <c r="D6499" s="8"/>
    </row>
    <row r="6500">
      <c r="A6500" s="9" t="str">
        <f>IFERROR(__xludf.DUMMYFUNCTION("""COMPUTED_VALUE"""),"Batch 309")</f>
        <v>Batch 309</v>
      </c>
      <c r="B6500" s="9" t="str">
        <f>IFERROR(__xludf.DUMMYFUNCTION("""COMPUTED_VALUE"""),"NishiC09")</f>
        <v>NishiC09</v>
      </c>
      <c r="C6500" s="8">
        <f>IFERROR(__xludf.DUMMYFUNCTION("""COMPUTED_VALUE"""),1.0)</f>
        <v>1</v>
      </c>
      <c r="D6500" s="8">
        <f>IFERROR(__xludf.DUMMYFUNCTION("""COMPUTED_VALUE"""),1.0)</f>
        <v>1</v>
      </c>
    </row>
    <row r="6501">
      <c r="A6501" s="9" t="str">
        <f>IFERROR(__xludf.DUMMYFUNCTION("""COMPUTED_VALUE"""),"Batch 309")</f>
        <v>Batch 309</v>
      </c>
      <c r="B6501" s="9" t="str">
        <f>IFERROR(__xludf.DUMMYFUNCTION("""COMPUTED_VALUE"""),"VaishnaviC09")</f>
        <v>VaishnaviC09</v>
      </c>
      <c r="C6501" s="8">
        <f>IFERROR(__xludf.DUMMYFUNCTION("""COMPUTED_VALUE"""),0.0)</f>
        <v>0</v>
      </c>
      <c r="D6501" s="8"/>
    </row>
    <row r="6502">
      <c r="A6502" s="9" t="str">
        <f>IFERROR(__xludf.DUMMYFUNCTION("""COMPUTED_VALUE"""),"Batch 309")</f>
        <v>Batch 309</v>
      </c>
      <c r="B6502" s="9" t="str">
        <f>IFERROR(__xludf.DUMMYFUNCTION("""COMPUTED_VALUE"""),"DhaneshC09")</f>
        <v>DhaneshC09</v>
      </c>
      <c r="C6502" s="8">
        <f>IFERROR(__xludf.DUMMYFUNCTION("""COMPUTED_VALUE"""),0.0)</f>
        <v>0</v>
      </c>
      <c r="D6502" s="8"/>
    </row>
    <row r="6503">
      <c r="A6503" s="9" t="str">
        <f>IFERROR(__xludf.DUMMYFUNCTION("""COMPUTED_VALUE"""),"Batch 309")</f>
        <v>Batch 309</v>
      </c>
      <c r="B6503" s="9" t="str">
        <f>IFERROR(__xludf.DUMMYFUNCTION("""COMPUTED_VALUE"""),"NivethaC09")</f>
        <v>NivethaC09</v>
      </c>
      <c r="C6503" s="8">
        <f>IFERROR(__xludf.DUMMYFUNCTION("""COMPUTED_VALUE"""),0.0)</f>
        <v>0</v>
      </c>
      <c r="D6503" s="8"/>
    </row>
    <row r="6504">
      <c r="A6504" s="9" t="str">
        <f>IFERROR(__xludf.DUMMYFUNCTION("""COMPUTED_VALUE"""),"Batch 309")</f>
        <v>Batch 309</v>
      </c>
      <c r="B6504" s="9" t="str">
        <f>IFERROR(__xludf.DUMMYFUNCTION("""COMPUTED_VALUE"""),"LakshmiC09")</f>
        <v>LakshmiC09</v>
      </c>
      <c r="C6504" s="8">
        <f>IFERROR(__xludf.DUMMYFUNCTION("""COMPUTED_VALUE"""),0.0)</f>
        <v>0</v>
      </c>
      <c r="D6504" s="8"/>
    </row>
    <row r="6505">
      <c r="A6505" s="9" t="str">
        <f>IFERROR(__xludf.DUMMYFUNCTION("""COMPUTED_VALUE"""),"Batch 309")</f>
        <v>Batch 309</v>
      </c>
      <c r="B6505" s="9" t="str">
        <f>IFERROR(__xludf.DUMMYFUNCTION("""COMPUTED_VALUE"""),"SoumenC09")</f>
        <v>SoumenC09</v>
      </c>
      <c r="C6505" s="8">
        <f>IFERROR(__xludf.DUMMYFUNCTION("""COMPUTED_VALUE"""),0.0)</f>
        <v>0</v>
      </c>
      <c r="D6505" s="8"/>
    </row>
    <row r="6506">
      <c r="A6506" s="9" t="str">
        <f>IFERROR(__xludf.DUMMYFUNCTION("""COMPUTED_VALUE"""),"Batch 309")</f>
        <v>Batch 309</v>
      </c>
      <c r="B6506" s="9" t="str">
        <f>IFERROR(__xludf.DUMMYFUNCTION("""COMPUTED_VALUE"""),"GulshanC09")</f>
        <v>GulshanC09</v>
      </c>
      <c r="C6506" s="8">
        <f>IFERROR(__xludf.DUMMYFUNCTION("""COMPUTED_VALUE"""),0.0)</f>
        <v>0</v>
      </c>
      <c r="D6506" s="8"/>
    </row>
    <row r="6507">
      <c r="A6507" s="9" t="str">
        <f>IFERROR(__xludf.DUMMYFUNCTION("""COMPUTED_VALUE"""),"Batch 309")</f>
        <v>Batch 309</v>
      </c>
      <c r="B6507" s="9" t="str">
        <f>IFERROR(__xludf.DUMMYFUNCTION("""COMPUTED_VALUE"""),"SuvamitaC09")</f>
        <v>SuvamitaC09</v>
      </c>
      <c r="C6507" s="8">
        <f>IFERROR(__xludf.DUMMYFUNCTION("""COMPUTED_VALUE"""),0.0)</f>
        <v>0</v>
      </c>
      <c r="D6507" s="8"/>
    </row>
    <row r="6508">
      <c r="A6508" s="9" t="str">
        <f>IFERROR(__xludf.DUMMYFUNCTION("""COMPUTED_VALUE"""),"Batch 309")</f>
        <v>Batch 309</v>
      </c>
      <c r="B6508" s="9" t="str">
        <f>IFERROR(__xludf.DUMMYFUNCTION("""COMPUTED_VALUE"""),"SaloniC09")</f>
        <v>SaloniC09</v>
      </c>
      <c r="C6508" s="8">
        <f>IFERROR(__xludf.DUMMYFUNCTION("""COMPUTED_VALUE"""),0.0)</f>
        <v>0</v>
      </c>
      <c r="D6508" s="8"/>
    </row>
    <row r="6509">
      <c r="A6509" s="9" t="str">
        <f>IFERROR(__xludf.DUMMYFUNCTION("""COMPUTED_VALUE"""),"Batch 309")</f>
        <v>Batch 309</v>
      </c>
      <c r="B6509" s="9" t="str">
        <f>IFERROR(__xludf.DUMMYFUNCTION("""COMPUTED_VALUE"""),"KEESARIC09")</f>
        <v>KEESARIC09</v>
      </c>
      <c r="C6509" s="8">
        <f>IFERROR(__xludf.DUMMYFUNCTION("""COMPUTED_VALUE"""),0.0)</f>
        <v>0</v>
      </c>
      <c r="D6509" s="8"/>
    </row>
    <row r="6510">
      <c r="A6510" s="9" t="str">
        <f>IFERROR(__xludf.DUMMYFUNCTION("""COMPUTED_VALUE"""),"Batch 309")</f>
        <v>Batch 309</v>
      </c>
      <c r="B6510" s="9" t="str">
        <f>IFERROR(__xludf.DUMMYFUNCTION("""COMPUTED_VALUE"""),"ShreyaGC09")</f>
        <v>ShreyaGC09</v>
      </c>
      <c r="C6510" s="8">
        <f>IFERROR(__xludf.DUMMYFUNCTION("""COMPUTED_VALUE"""),0.0)</f>
        <v>0</v>
      </c>
      <c r="D6510" s="8"/>
    </row>
    <row r="6511">
      <c r="A6511" s="9" t="str">
        <f>IFERROR(__xludf.DUMMYFUNCTION("""COMPUTED_VALUE"""),"Batch 309")</f>
        <v>Batch 309</v>
      </c>
      <c r="B6511" s="9" t="str">
        <f>IFERROR(__xludf.DUMMYFUNCTION("""COMPUTED_VALUE"""),"PalakC09")</f>
        <v>PalakC09</v>
      </c>
      <c r="C6511" s="8">
        <f>IFERROR(__xludf.DUMMYFUNCTION("""COMPUTED_VALUE"""),0.0)</f>
        <v>0</v>
      </c>
      <c r="D6511" s="8"/>
    </row>
    <row r="6512">
      <c r="A6512" s="9" t="str">
        <f>IFERROR(__xludf.DUMMYFUNCTION("""COMPUTED_VALUE"""),"Batch 309")</f>
        <v>Batch 309</v>
      </c>
      <c r="B6512" s="9" t="str">
        <f>IFERROR(__xludf.DUMMYFUNCTION("""COMPUTED_VALUE"""),"PoojaC09")</f>
        <v>PoojaC09</v>
      </c>
      <c r="C6512" s="8">
        <f>IFERROR(__xludf.DUMMYFUNCTION("""COMPUTED_VALUE"""),0.0)</f>
        <v>0</v>
      </c>
      <c r="D6512" s="8"/>
    </row>
    <row r="6513">
      <c r="A6513" s="9" t="str">
        <f>IFERROR(__xludf.DUMMYFUNCTION("""COMPUTED_VALUE"""),"Batch 309")</f>
        <v>Batch 309</v>
      </c>
      <c r="B6513" s="9" t="str">
        <f>IFERROR(__xludf.DUMMYFUNCTION("""COMPUTED_VALUE"""),"RoyalC09")</f>
        <v>RoyalC09</v>
      </c>
      <c r="C6513" s="8">
        <f>IFERROR(__xludf.DUMMYFUNCTION("""COMPUTED_VALUE"""),0.0)</f>
        <v>0</v>
      </c>
      <c r="D6513" s="8"/>
    </row>
    <row r="6514">
      <c r="A6514" s="9" t="str">
        <f>IFERROR(__xludf.DUMMYFUNCTION("""COMPUTED_VALUE"""),"Batch 309")</f>
        <v>Batch 309</v>
      </c>
      <c r="B6514" s="9" t="str">
        <f>IFERROR(__xludf.DUMMYFUNCTION("""COMPUTED_VALUE"""),"AdityaC09")</f>
        <v>AdityaC09</v>
      </c>
      <c r="C6514" s="8">
        <f>IFERROR(__xludf.DUMMYFUNCTION("""COMPUTED_VALUE"""),0.0)</f>
        <v>0</v>
      </c>
      <c r="D6514" s="8"/>
    </row>
    <row r="6515">
      <c r="A6515" s="9" t="str">
        <f>IFERROR(__xludf.DUMMYFUNCTION("""COMPUTED_VALUE"""),"Batch 309")</f>
        <v>Batch 309</v>
      </c>
      <c r="B6515" s="9" t="str">
        <f>IFERROR(__xludf.DUMMYFUNCTION("""COMPUTED_VALUE"""),"GouravC09")</f>
        <v>GouravC09</v>
      </c>
      <c r="C6515" s="8">
        <f>IFERROR(__xludf.DUMMYFUNCTION("""COMPUTED_VALUE"""),0.0)</f>
        <v>0</v>
      </c>
      <c r="D6515" s="8"/>
    </row>
    <row r="6516">
      <c r="A6516" s="9" t="str">
        <f>IFERROR(__xludf.DUMMYFUNCTION("""COMPUTED_VALUE"""),"Batch 309")</f>
        <v>Batch 309</v>
      </c>
      <c r="B6516" s="9" t="str">
        <f>IFERROR(__xludf.DUMMYFUNCTION("""COMPUTED_VALUE"""),"SamarthC09")</f>
        <v>SamarthC09</v>
      </c>
      <c r="C6516" s="8">
        <f>IFERROR(__xludf.DUMMYFUNCTION("""COMPUTED_VALUE"""),0.0)</f>
        <v>0</v>
      </c>
      <c r="D6516" s="8"/>
    </row>
    <row r="6517">
      <c r="A6517" s="9" t="str">
        <f>IFERROR(__xludf.DUMMYFUNCTION("""COMPUTED_VALUE"""),"Batch 309")</f>
        <v>Batch 309</v>
      </c>
      <c r="B6517" s="9" t="str">
        <f>IFERROR(__xludf.DUMMYFUNCTION("""COMPUTED_VALUE"""),"VirajC09")</f>
        <v>VirajC09</v>
      </c>
      <c r="C6517" s="8">
        <f>IFERROR(__xludf.DUMMYFUNCTION("""COMPUTED_VALUE"""),6.0)</f>
        <v>6</v>
      </c>
      <c r="D6517" s="8"/>
    </row>
    <row r="6518">
      <c r="A6518" s="9" t="str">
        <f>IFERROR(__xludf.DUMMYFUNCTION("""COMPUTED_VALUE"""),"Batch 309")</f>
        <v>Batch 309</v>
      </c>
      <c r="B6518" s="9" t="str">
        <f>IFERROR(__xludf.DUMMYFUNCTION("""COMPUTED_VALUE"""),"BabyC09")</f>
        <v>BabyC09</v>
      </c>
      <c r="C6518" s="8">
        <f>IFERROR(__xludf.DUMMYFUNCTION("""COMPUTED_VALUE"""),0.0)</f>
        <v>0</v>
      </c>
      <c r="D6518" s="8"/>
    </row>
    <row r="6519">
      <c r="A6519" s="9" t="str">
        <f>IFERROR(__xludf.DUMMYFUNCTION("""COMPUTED_VALUE"""),"Batch 309")</f>
        <v>Batch 309</v>
      </c>
      <c r="B6519" s="9" t="str">
        <f>IFERROR(__xludf.DUMMYFUNCTION("""COMPUTED_VALUE"""),"DeepikaC09")</f>
        <v>DeepikaC09</v>
      </c>
      <c r="C6519" s="8">
        <f>IFERROR(__xludf.DUMMYFUNCTION("""COMPUTED_VALUE"""),0.0)</f>
        <v>0</v>
      </c>
      <c r="D6519" s="8"/>
    </row>
    <row r="6520">
      <c r="A6520" s="9" t="str">
        <f>IFERROR(__xludf.DUMMYFUNCTION("""COMPUTED_VALUE"""),"Batch 309")</f>
        <v>Batch 309</v>
      </c>
      <c r="B6520" s="9" t="str">
        <f>IFERROR(__xludf.DUMMYFUNCTION("""COMPUTED_VALUE"""),"AnuragC09")</f>
        <v>AnuragC09</v>
      </c>
      <c r="C6520" s="8">
        <f>IFERROR(__xludf.DUMMYFUNCTION("""COMPUTED_VALUE"""),0.0)</f>
        <v>0</v>
      </c>
      <c r="D6520" s="8"/>
    </row>
    <row r="6521">
      <c r="A6521" s="9" t="str">
        <f>IFERROR(__xludf.DUMMYFUNCTION("""COMPUTED_VALUE"""),"Batch 309")</f>
        <v>Batch 309</v>
      </c>
      <c r="B6521" s="9" t="str">
        <f>IFERROR(__xludf.DUMMYFUNCTION("""COMPUTED_VALUE"""),"SumanthC09")</f>
        <v>SumanthC09</v>
      </c>
      <c r="C6521" s="8">
        <f>IFERROR(__xludf.DUMMYFUNCTION("""COMPUTED_VALUE"""),0.0)</f>
        <v>0</v>
      </c>
      <c r="D6521" s="8"/>
    </row>
    <row r="6522">
      <c r="A6522" s="9" t="str">
        <f>IFERROR(__xludf.DUMMYFUNCTION("""COMPUTED_VALUE"""),"Batch 309")</f>
        <v>Batch 309</v>
      </c>
      <c r="B6522" s="9" t="str">
        <f>IFERROR(__xludf.DUMMYFUNCTION("""COMPUTED_VALUE"""),"ArihantC09")</f>
        <v>ArihantC09</v>
      </c>
      <c r="C6522" s="8">
        <f>IFERROR(__xludf.DUMMYFUNCTION("""COMPUTED_VALUE"""),0.0)</f>
        <v>0</v>
      </c>
      <c r="D6522" s="8"/>
    </row>
    <row r="6523">
      <c r="A6523" s="9" t="str">
        <f>IFERROR(__xludf.DUMMYFUNCTION("""COMPUTED_VALUE"""),"Batch 309")</f>
        <v>Batch 309</v>
      </c>
      <c r="B6523" s="9" t="str">
        <f>IFERROR(__xludf.DUMMYFUNCTION("""COMPUTED_VALUE"""),"UshaC09")</f>
        <v>UshaC09</v>
      </c>
      <c r="C6523" s="8">
        <f>IFERROR(__xludf.DUMMYFUNCTION("""COMPUTED_VALUE"""),0.0)</f>
        <v>0</v>
      </c>
      <c r="D6523" s="8"/>
    </row>
    <row r="6524">
      <c r="A6524" s="9" t="str">
        <f>IFERROR(__xludf.DUMMYFUNCTION("""COMPUTED_VALUE"""),"Batch 309")</f>
        <v>Batch 309</v>
      </c>
      <c r="B6524" s="9" t="str">
        <f>IFERROR(__xludf.DUMMYFUNCTION("""COMPUTED_VALUE"""),"AtiraC09")</f>
        <v>AtiraC09</v>
      </c>
      <c r="C6524" s="8">
        <f>IFERROR(__xludf.DUMMYFUNCTION("""COMPUTED_VALUE"""),0.0)</f>
        <v>0</v>
      </c>
      <c r="D6524" s="8"/>
    </row>
    <row r="6525">
      <c r="A6525" s="9" t="str">
        <f>IFERROR(__xludf.DUMMYFUNCTION("""COMPUTED_VALUE"""),"Batch 309")</f>
        <v>Batch 309</v>
      </c>
      <c r="B6525" s="9" t="str">
        <f>IFERROR(__xludf.DUMMYFUNCTION("""COMPUTED_VALUE"""),"ashishC09")</f>
        <v>ashishC09</v>
      </c>
      <c r="C6525" s="8">
        <f>IFERROR(__xludf.DUMMYFUNCTION("""COMPUTED_VALUE"""),0.0)</f>
        <v>0</v>
      </c>
      <c r="D6525" s="8"/>
    </row>
    <row r="6526">
      <c r="A6526" s="9" t="str">
        <f>IFERROR(__xludf.DUMMYFUNCTION("""COMPUTED_VALUE"""),"Batch 309")</f>
        <v>Batch 309</v>
      </c>
      <c r="B6526" s="9" t="str">
        <f>IFERROR(__xludf.DUMMYFUNCTION("""COMPUTED_VALUE"""),"NishantC09")</f>
        <v>NishantC09</v>
      </c>
      <c r="C6526" s="8">
        <f>IFERROR(__xludf.DUMMYFUNCTION("""COMPUTED_VALUE"""),0.0)</f>
        <v>0</v>
      </c>
      <c r="D6526" s="8"/>
    </row>
    <row r="6527">
      <c r="A6527" s="9"/>
      <c r="B6527" s="9"/>
      <c r="C6527" s="8">
        <f>IFERROR(__xludf.DUMMYFUNCTION("""COMPUTED_VALUE"""),0.0)</f>
        <v>0</v>
      </c>
      <c r="D6527" s="8"/>
    </row>
    <row r="6528">
      <c r="A6528" s="9" t="str">
        <f>IFERROR(__xludf.DUMMYFUNCTION("""COMPUTED_VALUE"""),"Batch 310")</f>
        <v>Batch 310</v>
      </c>
      <c r="B6528" s="9" t="str">
        <f>IFERROR(__xludf.DUMMYFUNCTION("""COMPUTED_VALUE"""),"MohdC10")</f>
        <v>MohdC10</v>
      </c>
      <c r="C6528" s="8">
        <f>IFERROR(__xludf.DUMMYFUNCTION("""COMPUTED_VALUE"""),33.0)</f>
        <v>33</v>
      </c>
      <c r="D6528" s="8">
        <f>IFERROR(__xludf.DUMMYFUNCTION("""COMPUTED_VALUE"""),11.0)</f>
        <v>11</v>
      </c>
    </row>
    <row r="6529">
      <c r="A6529" s="9" t="str">
        <f>IFERROR(__xludf.DUMMYFUNCTION("""COMPUTED_VALUE"""),"Batch 310")</f>
        <v>Batch 310</v>
      </c>
      <c r="B6529" s="9" t="str">
        <f>IFERROR(__xludf.DUMMYFUNCTION("""COMPUTED_VALUE"""),"SainyamC10")</f>
        <v>SainyamC10</v>
      </c>
      <c r="C6529" s="8">
        <f>IFERROR(__xludf.DUMMYFUNCTION("""COMPUTED_VALUE"""),0.0)</f>
        <v>0</v>
      </c>
      <c r="D6529" s="8"/>
    </row>
    <row r="6530">
      <c r="A6530" s="9" t="str">
        <f>IFERROR(__xludf.DUMMYFUNCTION("""COMPUTED_VALUE"""),"Batch 310")</f>
        <v>Batch 310</v>
      </c>
      <c r="B6530" s="9" t="str">
        <f>IFERROR(__xludf.DUMMYFUNCTION("""COMPUTED_VALUE"""),"WinsterC10")</f>
        <v>WinsterC10</v>
      </c>
      <c r="C6530" s="8">
        <f>IFERROR(__xludf.DUMMYFUNCTION("""COMPUTED_VALUE"""),0.0)</f>
        <v>0</v>
      </c>
      <c r="D6530" s="8"/>
    </row>
    <row r="6531">
      <c r="A6531" s="9" t="str">
        <f>IFERROR(__xludf.DUMMYFUNCTION("""COMPUTED_VALUE"""),"Batch 310")</f>
        <v>Batch 310</v>
      </c>
      <c r="B6531" s="9" t="str">
        <f>IFERROR(__xludf.DUMMYFUNCTION("""COMPUTED_VALUE"""),"RanjanC10")</f>
        <v>RanjanC10</v>
      </c>
      <c r="C6531" s="8">
        <f>IFERROR(__xludf.DUMMYFUNCTION("""COMPUTED_VALUE"""),5.0)</f>
        <v>5</v>
      </c>
      <c r="D6531" s="8">
        <f>IFERROR(__xludf.DUMMYFUNCTION("""COMPUTED_VALUE"""),11.0)</f>
        <v>11</v>
      </c>
    </row>
    <row r="6532">
      <c r="A6532" s="9" t="str">
        <f>IFERROR(__xludf.DUMMYFUNCTION("""COMPUTED_VALUE"""),"Batch 310")</f>
        <v>Batch 310</v>
      </c>
      <c r="B6532" s="9" t="str">
        <f>IFERROR(__xludf.DUMMYFUNCTION("""COMPUTED_VALUE"""),"TanishaC10")</f>
        <v>TanishaC10</v>
      </c>
      <c r="C6532" s="8">
        <f>IFERROR(__xludf.DUMMYFUNCTION("""COMPUTED_VALUE"""),0.0)</f>
        <v>0</v>
      </c>
      <c r="D6532" s="8"/>
    </row>
    <row r="6533">
      <c r="A6533" s="9" t="str">
        <f>IFERROR(__xludf.DUMMYFUNCTION("""COMPUTED_VALUE"""),"Batch 310")</f>
        <v>Batch 310</v>
      </c>
      <c r="B6533" s="9" t="str">
        <f>IFERROR(__xludf.DUMMYFUNCTION("""COMPUTED_VALUE"""),"AnushkaC10")</f>
        <v>AnushkaC10</v>
      </c>
      <c r="C6533" s="8">
        <f>IFERROR(__xludf.DUMMYFUNCTION("""COMPUTED_VALUE"""),0.0)</f>
        <v>0</v>
      </c>
      <c r="D6533" s="8"/>
    </row>
    <row r="6534">
      <c r="A6534" s="9" t="str">
        <f>IFERROR(__xludf.DUMMYFUNCTION("""COMPUTED_VALUE"""),"Batch 310")</f>
        <v>Batch 310</v>
      </c>
      <c r="B6534" s="9" t="str">
        <f>IFERROR(__xludf.DUMMYFUNCTION("""COMPUTED_VALUE"""),"AbhishekC10")</f>
        <v>AbhishekC10</v>
      </c>
      <c r="C6534" s="8">
        <f>IFERROR(__xludf.DUMMYFUNCTION("""COMPUTED_VALUE"""),0.0)</f>
        <v>0</v>
      </c>
      <c r="D6534" s="8"/>
    </row>
    <row r="6535">
      <c r="A6535" s="9" t="str">
        <f>IFERROR(__xludf.DUMMYFUNCTION("""COMPUTED_VALUE"""),"Batch 310")</f>
        <v>Batch 310</v>
      </c>
      <c r="B6535" s="9" t="str">
        <f>IFERROR(__xludf.DUMMYFUNCTION("""COMPUTED_VALUE"""),"SayeedC10")</f>
        <v>SayeedC10</v>
      </c>
      <c r="C6535" s="8">
        <f>IFERROR(__xludf.DUMMYFUNCTION("""COMPUTED_VALUE"""),0.0)</f>
        <v>0</v>
      </c>
      <c r="D6535" s="8"/>
    </row>
    <row r="6536">
      <c r="A6536" s="9" t="str">
        <f>IFERROR(__xludf.DUMMYFUNCTION("""COMPUTED_VALUE"""),"Batch 310")</f>
        <v>Batch 310</v>
      </c>
      <c r="B6536" s="9" t="str">
        <f>IFERROR(__xludf.DUMMYFUNCTION("""COMPUTED_VALUE"""),"AnokheeC10")</f>
        <v>AnokheeC10</v>
      </c>
      <c r="C6536" s="8">
        <f>IFERROR(__xludf.DUMMYFUNCTION("""COMPUTED_VALUE"""),0.0)</f>
        <v>0</v>
      </c>
      <c r="D6536" s="8"/>
    </row>
    <row r="6537">
      <c r="A6537" s="9" t="str">
        <f>IFERROR(__xludf.DUMMYFUNCTION("""COMPUTED_VALUE"""),"Batch 310")</f>
        <v>Batch 310</v>
      </c>
      <c r="B6537" s="9" t="str">
        <f>IFERROR(__xludf.DUMMYFUNCTION("""COMPUTED_VALUE"""),"soumenC10")</f>
        <v>soumenC10</v>
      </c>
      <c r="C6537" s="8">
        <f>IFERROR(__xludf.DUMMYFUNCTION("""COMPUTED_VALUE"""),0.0)</f>
        <v>0</v>
      </c>
      <c r="D6537" s="8"/>
    </row>
    <row r="6538">
      <c r="A6538" s="9" t="str">
        <f>IFERROR(__xludf.DUMMYFUNCTION("""COMPUTED_VALUE"""),"Batch 310")</f>
        <v>Batch 310</v>
      </c>
      <c r="B6538" s="9" t="str">
        <f>IFERROR(__xludf.DUMMYFUNCTION("""COMPUTED_VALUE"""),"ShivamC10")</f>
        <v>ShivamC10</v>
      </c>
      <c r="C6538" s="8">
        <f>IFERROR(__xludf.DUMMYFUNCTION("""COMPUTED_VALUE"""),1.0)</f>
        <v>1</v>
      </c>
      <c r="D6538" s="8"/>
    </row>
    <row r="6539">
      <c r="A6539" s="9" t="str">
        <f>IFERROR(__xludf.DUMMYFUNCTION("""COMPUTED_VALUE"""),"Batch 310")</f>
        <v>Batch 310</v>
      </c>
      <c r="B6539" s="9" t="str">
        <f>IFERROR(__xludf.DUMMYFUNCTION("""COMPUTED_VALUE"""),"BilalC10")</f>
        <v>BilalC10</v>
      </c>
      <c r="C6539" s="8">
        <f>IFERROR(__xludf.DUMMYFUNCTION("""COMPUTED_VALUE"""),0.0)</f>
        <v>0</v>
      </c>
      <c r="D6539" s="8"/>
    </row>
    <row r="6540">
      <c r="A6540" s="9" t="str">
        <f>IFERROR(__xludf.DUMMYFUNCTION("""COMPUTED_VALUE"""),"Batch 310")</f>
        <v>Batch 310</v>
      </c>
      <c r="B6540" s="9" t="str">
        <f>IFERROR(__xludf.DUMMYFUNCTION("""COMPUTED_VALUE"""),"PothuC10")</f>
        <v>PothuC10</v>
      </c>
      <c r="C6540" s="8">
        <f>IFERROR(__xludf.DUMMYFUNCTION("""COMPUTED_VALUE"""),38.0)</f>
        <v>38</v>
      </c>
      <c r="D6540" s="8"/>
    </row>
    <row r="6541">
      <c r="A6541" s="9" t="str">
        <f>IFERROR(__xludf.DUMMYFUNCTION("""COMPUTED_VALUE"""),"Batch 310")</f>
        <v>Batch 310</v>
      </c>
      <c r="B6541" s="9" t="str">
        <f>IFERROR(__xludf.DUMMYFUNCTION("""COMPUTED_VALUE"""),"DevaleenaC10")</f>
        <v>DevaleenaC10</v>
      </c>
      <c r="C6541" s="8">
        <f>IFERROR(__xludf.DUMMYFUNCTION("""COMPUTED_VALUE"""),0.0)</f>
        <v>0</v>
      </c>
      <c r="D6541" s="8"/>
    </row>
    <row r="6542">
      <c r="A6542" s="9" t="str">
        <f>IFERROR(__xludf.DUMMYFUNCTION("""COMPUTED_VALUE"""),"Batch 310")</f>
        <v>Batch 310</v>
      </c>
      <c r="B6542" s="9" t="str">
        <f>IFERROR(__xludf.DUMMYFUNCTION("""COMPUTED_VALUE"""),"PrashanthC10")</f>
        <v>PrashanthC10</v>
      </c>
      <c r="C6542" s="8">
        <f>IFERROR(__xludf.DUMMYFUNCTION("""COMPUTED_VALUE"""),0.0)</f>
        <v>0</v>
      </c>
      <c r="D6542" s="8"/>
    </row>
    <row r="6543">
      <c r="A6543" s="9" t="str">
        <f>IFERROR(__xludf.DUMMYFUNCTION("""COMPUTED_VALUE"""),"Batch 310")</f>
        <v>Batch 310</v>
      </c>
      <c r="B6543" s="9" t="str">
        <f>IFERROR(__xludf.DUMMYFUNCTION("""COMPUTED_VALUE"""),"IshwarC10")</f>
        <v>IshwarC10</v>
      </c>
      <c r="C6543" s="8">
        <f>IFERROR(__xludf.DUMMYFUNCTION("""COMPUTED_VALUE"""),0.0)</f>
        <v>0</v>
      </c>
      <c r="D6543" s="8"/>
    </row>
    <row r="6544">
      <c r="A6544" s="9" t="str">
        <f>IFERROR(__xludf.DUMMYFUNCTION("""COMPUTED_VALUE"""),"Batch 310")</f>
        <v>Batch 310</v>
      </c>
      <c r="B6544" s="9" t="str">
        <f>IFERROR(__xludf.DUMMYFUNCTION("""COMPUTED_VALUE"""),"DhimanC10")</f>
        <v>DhimanC10</v>
      </c>
      <c r="C6544" s="8">
        <f>IFERROR(__xludf.DUMMYFUNCTION("""COMPUTED_VALUE"""),0.0)</f>
        <v>0</v>
      </c>
      <c r="D6544" s="8"/>
    </row>
    <row r="6545">
      <c r="A6545" s="9" t="str">
        <f>IFERROR(__xludf.DUMMYFUNCTION("""COMPUTED_VALUE"""),"Batch 310")</f>
        <v>Batch 310</v>
      </c>
      <c r="B6545" s="9" t="str">
        <f>IFERROR(__xludf.DUMMYFUNCTION("""COMPUTED_VALUE"""),"SamadhanC10")</f>
        <v>SamadhanC10</v>
      </c>
      <c r="C6545" s="8">
        <f>IFERROR(__xludf.DUMMYFUNCTION("""COMPUTED_VALUE"""),0.0)</f>
        <v>0</v>
      </c>
      <c r="D6545" s="8"/>
    </row>
    <row r="6546">
      <c r="A6546" s="9" t="str">
        <f>IFERROR(__xludf.DUMMYFUNCTION("""COMPUTED_VALUE"""),"Batch 310")</f>
        <v>Batch 310</v>
      </c>
      <c r="B6546" s="9" t="str">
        <f>IFERROR(__xludf.DUMMYFUNCTION("""COMPUTED_VALUE"""),"YashC10")</f>
        <v>YashC10</v>
      </c>
      <c r="C6546" s="8">
        <f>IFERROR(__xludf.DUMMYFUNCTION("""COMPUTED_VALUE"""),0.0)</f>
        <v>0</v>
      </c>
      <c r="D6546" s="8"/>
    </row>
    <row r="6547">
      <c r="A6547" s="9" t="str">
        <f>IFERROR(__xludf.DUMMYFUNCTION("""COMPUTED_VALUE"""),"Batch 310")</f>
        <v>Batch 310</v>
      </c>
      <c r="B6547" s="9" t="str">
        <f>IFERROR(__xludf.DUMMYFUNCTION("""COMPUTED_VALUE"""),"GouravC10")</f>
        <v>GouravC10</v>
      </c>
      <c r="C6547" s="8">
        <f>IFERROR(__xludf.DUMMYFUNCTION("""COMPUTED_VALUE"""),0.0)</f>
        <v>0</v>
      </c>
      <c r="D6547" s="8"/>
    </row>
    <row r="6548">
      <c r="A6548" s="9" t="str">
        <f>IFERROR(__xludf.DUMMYFUNCTION("""COMPUTED_VALUE"""),"Batch 310")</f>
        <v>Batch 310</v>
      </c>
      <c r="B6548" s="9" t="str">
        <f>IFERROR(__xludf.DUMMYFUNCTION("""COMPUTED_VALUE"""),"KonaC10")</f>
        <v>KonaC10</v>
      </c>
      <c r="C6548" s="8">
        <f>IFERROR(__xludf.DUMMYFUNCTION("""COMPUTED_VALUE"""),0.0)</f>
        <v>0</v>
      </c>
      <c r="D6548" s="8"/>
    </row>
    <row r="6549">
      <c r="A6549" s="9" t="str">
        <f>IFERROR(__xludf.DUMMYFUNCTION("""COMPUTED_VALUE"""),"Batch 310")</f>
        <v>Batch 310</v>
      </c>
      <c r="B6549" s="9" t="str">
        <f>IFERROR(__xludf.DUMMYFUNCTION("""COMPUTED_VALUE"""),"AdidevC10")</f>
        <v>AdidevC10</v>
      </c>
      <c r="C6549" s="8">
        <f>IFERROR(__xludf.DUMMYFUNCTION("""COMPUTED_VALUE"""),10.0)</f>
        <v>10</v>
      </c>
      <c r="D6549" s="8"/>
    </row>
    <row r="6550">
      <c r="A6550" s="9" t="str">
        <f>IFERROR(__xludf.DUMMYFUNCTION("""COMPUTED_VALUE"""),"Batch 310")</f>
        <v>Batch 310</v>
      </c>
      <c r="B6550" s="9" t="str">
        <f>IFERROR(__xludf.DUMMYFUNCTION("""COMPUTED_VALUE"""),"AbhaiC10")</f>
        <v>AbhaiC10</v>
      </c>
      <c r="C6550" s="8">
        <f>IFERROR(__xludf.DUMMYFUNCTION("""COMPUTED_VALUE"""),0.0)</f>
        <v>0</v>
      </c>
      <c r="D6550" s="8"/>
    </row>
    <row r="6551">
      <c r="A6551" s="9" t="str">
        <f>IFERROR(__xludf.DUMMYFUNCTION("""COMPUTED_VALUE"""),"Batch 310")</f>
        <v>Batch 310</v>
      </c>
      <c r="B6551" s="9" t="str">
        <f>IFERROR(__xludf.DUMMYFUNCTION("""COMPUTED_VALUE"""),"TanishqC10")</f>
        <v>TanishqC10</v>
      </c>
      <c r="C6551" s="8">
        <f>IFERROR(__xludf.DUMMYFUNCTION("""COMPUTED_VALUE"""),0.0)</f>
        <v>0</v>
      </c>
      <c r="D6551" s="8"/>
    </row>
    <row r="6552">
      <c r="A6552" s="9" t="str">
        <f>IFERROR(__xludf.DUMMYFUNCTION("""COMPUTED_VALUE"""),"Batch 310")</f>
        <v>Batch 310</v>
      </c>
      <c r="B6552" s="9" t="str">
        <f>IFERROR(__xludf.DUMMYFUNCTION("""COMPUTED_VALUE"""),"AshuC10")</f>
        <v>AshuC10</v>
      </c>
      <c r="C6552" s="8">
        <f>IFERROR(__xludf.DUMMYFUNCTION("""COMPUTED_VALUE"""),0.0)</f>
        <v>0</v>
      </c>
      <c r="D6552" s="8"/>
    </row>
    <row r="6553">
      <c r="A6553" s="9" t="str">
        <f>IFERROR(__xludf.DUMMYFUNCTION("""COMPUTED_VALUE"""),"Batch 310")</f>
        <v>Batch 310</v>
      </c>
      <c r="B6553" s="9" t="str">
        <f>IFERROR(__xludf.DUMMYFUNCTION("""COMPUTED_VALUE"""),"YashasviC10")</f>
        <v>YashasviC10</v>
      </c>
      <c r="C6553" s="8">
        <f>IFERROR(__xludf.DUMMYFUNCTION("""COMPUTED_VALUE"""),0.0)</f>
        <v>0</v>
      </c>
      <c r="D6553" s="8"/>
    </row>
    <row r="6554">
      <c r="A6554" s="9" t="str">
        <f>IFERROR(__xludf.DUMMYFUNCTION("""COMPUTED_VALUE"""),"Batch 310")</f>
        <v>Batch 310</v>
      </c>
      <c r="B6554" s="9" t="str">
        <f>IFERROR(__xludf.DUMMYFUNCTION("""COMPUTED_VALUE"""),"SyedC10")</f>
        <v>SyedC10</v>
      </c>
      <c r="C6554" s="8">
        <f>IFERROR(__xludf.DUMMYFUNCTION("""COMPUTED_VALUE"""),3.0)</f>
        <v>3</v>
      </c>
      <c r="D6554" s="8">
        <f>IFERROR(__xludf.DUMMYFUNCTION("""COMPUTED_VALUE"""),4.0)</f>
        <v>4</v>
      </c>
    </row>
    <row r="6555">
      <c r="A6555" s="9" t="str">
        <f>IFERROR(__xludf.DUMMYFUNCTION("""COMPUTED_VALUE"""),"Batch 310")</f>
        <v>Batch 310</v>
      </c>
      <c r="B6555" s="9" t="str">
        <f>IFERROR(__xludf.DUMMYFUNCTION("""COMPUTED_VALUE"""),"ParimitaC10")</f>
        <v>ParimitaC10</v>
      </c>
      <c r="C6555" s="8">
        <f>IFERROR(__xludf.DUMMYFUNCTION("""COMPUTED_VALUE"""),0.0)</f>
        <v>0</v>
      </c>
      <c r="D6555" s="8"/>
    </row>
    <row r="6556">
      <c r="A6556" s="9" t="str">
        <f>IFERROR(__xludf.DUMMYFUNCTION("""COMPUTED_VALUE"""),"Batch 310")</f>
        <v>Batch 310</v>
      </c>
      <c r="B6556" s="9" t="str">
        <f>IFERROR(__xludf.DUMMYFUNCTION("""COMPUTED_VALUE"""),"SamarthC10")</f>
        <v>SamarthC10</v>
      </c>
      <c r="C6556" s="8">
        <f>IFERROR(__xludf.DUMMYFUNCTION("""COMPUTED_VALUE"""),1.0)</f>
        <v>1</v>
      </c>
      <c r="D6556" s="8"/>
    </row>
    <row r="6557">
      <c r="A6557" s="9" t="str">
        <f>IFERROR(__xludf.DUMMYFUNCTION("""COMPUTED_VALUE"""),"Batch 310")</f>
        <v>Batch 310</v>
      </c>
      <c r="B6557" s="9" t="str">
        <f>IFERROR(__xludf.DUMMYFUNCTION("""COMPUTED_VALUE"""),"SiddhiC10")</f>
        <v>SiddhiC10</v>
      </c>
      <c r="C6557" s="8">
        <f>IFERROR(__xludf.DUMMYFUNCTION("""COMPUTED_VALUE"""),3.0)</f>
        <v>3</v>
      </c>
      <c r="D6557" s="8">
        <f>IFERROR(__xludf.DUMMYFUNCTION("""COMPUTED_VALUE"""),1.0)</f>
        <v>1</v>
      </c>
    </row>
    <row r="6558">
      <c r="A6558" s="9" t="str">
        <f>IFERROR(__xludf.DUMMYFUNCTION("""COMPUTED_VALUE"""),"Batch 310")</f>
        <v>Batch 310</v>
      </c>
      <c r="B6558" s="9" t="str">
        <f>IFERROR(__xludf.DUMMYFUNCTION("""COMPUTED_VALUE"""),"KevinC10")</f>
        <v>KevinC10</v>
      </c>
      <c r="C6558" s="8">
        <f>IFERROR(__xludf.DUMMYFUNCTION("""COMPUTED_VALUE"""),4.0)</f>
        <v>4</v>
      </c>
      <c r="D6558" s="8"/>
    </row>
    <row r="6559">
      <c r="A6559" s="9" t="str">
        <f>IFERROR(__xludf.DUMMYFUNCTION("""COMPUTED_VALUE"""),"Batch 310")</f>
        <v>Batch 310</v>
      </c>
      <c r="B6559" s="9" t="str">
        <f>IFERROR(__xludf.DUMMYFUNCTION("""COMPUTED_VALUE"""),"ImonC10")</f>
        <v>ImonC10</v>
      </c>
      <c r="C6559" s="8">
        <f>IFERROR(__xludf.DUMMYFUNCTION("""COMPUTED_VALUE"""),0.0)</f>
        <v>0</v>
      </c>
      <c r="D6559" s="8"/>
    </row>
    <row r="6560">
      <c r="A6560" s="9" t="str">
        <f>IFERROR(__xludf.DUMMYFUNCTION("""COMPUTED_VALUE"""),"Batch 310")</f>
        <v>Batch 310</v>
      </c>
      <c r="B6560" s="9" t="str">
        <f>IFERROR(__xludf.DUMMYFUNCTION("""COMPUTED_VALUE"""),"SandeepC10")</f>
        <v>SandeepC10</v>
      </c>
      <c r="C6560" s="8">
        <f>IFERROR(__xludf.DUMMYFUNCTION("""COMPUTED_VALUE"""),0.0)</f>
        <v>0</v>
      </c>
      <c r="D6560" s="8"/>
    </row>
    <row r="6561">
      <c r="A6561" s="9" t="str">
        <f>IFERROR(__xludf.DUMMYFUNCTION("""COMPUTED_VALUE"""),"Batch 310")</f>
        <v>Batch 310</v>
      </c>
      <c r="B6561" s="9" t="str">
        <f>IFERROR(__xludf.DUMMYFUNCTION("""COMPUTED_VALUE"""),"B.NavyaC10")</f>
        <v>B.NavyaC10</v>
      </c>
      <c r="C6561" s="8">
        <f>IFERROR(__xludf.DUMMYFUNCTION("""COMPUTED_VALUE"""),6.0)</f>
        <v>6</v>
      </c>
      <c r="D6561" s="8"/>
    </row>
    <row r="6562">
      <c r="A6562" s="9" t="str">
        <f>IFERROR(__xludf.DUMMYFUNCTION("""COMPUTED_VALUE"""),"Batch 310")</f>
        <v>Batch 310</v>
      </c>
      <c r="B6562" s="9" t="str">
        <f>IFERROR(__xludf.DUMMYFUNCTION("""COMPUTED_VALUE"""),"YC10")</f>
        <v>YC10</v>
      </c>
      <c r="C6562" s="8">
        <f>IFERROR(__xludf.DUMMYFUNCTION("""COMPUTED_VALUE"""),0.0)</f>
        <v>0</v>
      </c>
      <c r="D6562" s="8"/>
    </row>
    <row r="6563">
      <c r="A6563" s="9" t="str">
        <f>IFERROR(__xludf.DUMMYFUNCTION("""COMPUTED_VALUE"""),"Batch 310")</f>
        <v>Batch 310</v>
      </c>
      <c r="B6563" s="9" t="str">
        <f>IFERROR(__xludf.DUMMYFUNCTION("""COMPUTED_VALUE"""),"AshishC10")</f>
        <v>AshishC10</v>
      </c>
      <c r="C6563" s="8">
        <f>IFERROR(__xludf.DUMMYFUNCTION("""COMPUTED_VALUE"""),0.0)</f>
        <v>0</v>
      </c>
      <c r="D6563" s="8"/>
    </row>
    <row r="6564">
      <c r="A6564" s="9" t="str">
        <f>IFERROR(__xludf.DUMMYFUNCTION("""COMPUTED_VALUE"""),"Batch 310")</f>
        <v>Batch 310</v>
      </c>
      <c r="B6564" s="9" t="str">
        <f>IFERROR(__xludf.DUMMYFUNCTION("""COMPUTED_VALUE"""),"FizaC10")</f>
        <v>FizaC10</v>
      </c>
      <c r="C6564" s="8">
        <f>IFERROR(__xludf.DUMMYFUNCTION("""COMPUTED_VALUE"""),0.0)</f>
        <v>0</v>
      </c>
      <c r="D6564" s="8"/>
    </row>
    <row r="6565">
      <c r="A6565" s="9" t="str">
        <f>IFERROR(__xludf.DUMMYFUNCTION("""COMPUTED_VALUE"""),"Batch 310")</f>
        <v>Batch 310</v>
      </c>
      <c r="B6565" s="9" t="str">
        <f>IFERROR(__xludf.DUMMYFUNCTION("""COMPUTED_VALUE"""),"AnkitC10")</f>
        <v>AnkitC10</v>
      </c>
      <c r="C6565" s="8">
        <f>IFERROR(__xludf.DUMMYFUNCTION("""COMPUTED_VALUE"""),0.0)</f>
        <v>0</v>
      </c>
      <c r="D6565" s="8"/>
    </row>
    <row r="6566">
      <c r="A6566" s="9" t="str">
        <f>IFERROR(__xludf.DUMMYFUNCTION("""COMPUTED_VALUE"""),"Batch 310")</f>
        <v>Batch 310</v>
      </c>
      <c r="B6566" s="9" t="str">
        <f>IFERROR(__xludf.DUMMYFUNCTION("""COMPUTED_VALUE"""),"ChiragC10")</f>
        <v>ChiragC10</v>
      </c>
      <c r="C6566" s="8">
        <f>IFERROR(__xludf.DUMMYFUNCTION("""COMPUTED_VALUE"""),0.0)</f>
        <v>0</v>
      </c>
      <c r="D6566" s="8"/>
    </row>
    <row r="6567">
      <c r="A6567" s="9" t="str">
        <f>IFERROR(__xludf.DUMMYFUNCTION("""COMPUTED_VALUE"""),"Batch 310")</f>
        <v>Batch 310</v>
      </c>
      <c r="B6567" s="9" t="str">
        <f>IFERROR(__xludf.DUMMYFUNCTION("""COMPUTED_VALUE"""),"PriyankaC10")</f>
        <v>PriyankaC10</v>
      </c>
      <c r="C6567" s="8">
        <f>IFERROR(__xludf.DUMMYFUNCTION("""COMPUTED_VALUE"""),0.0)</f>
        <v>0</v>
      </c>
      <c r="D6567" s="8"/>
    </row>
    <row r="6568">
      <c r="A6568" s="9" t="str">
        <f>IFERROR(__xludf.DUMMYFUNCTION("""COMPUTED_VALUE"""),"Batch 310")</f>
        <v>Batch 310</v>
      </c>
      <c r="B6568" s="9" t="str">
        <f>IFERROR(__xludf.DUMMYFUNCTION("""COMPUTED_VALUE"""),"SahilC10")</f>
        <v>SahilC10</v>
      </c>
      <c r="C6568" s="8">
        <f>IFERROR(__xludf.DUMMYFUNCTION("""COMPUTED_VALUE"""),0.0)</f>
        <v>0</v>
      </c>
      <c r="D6568" s="8"/>
    </row>
    <row r="6569">
      <c r="A6569" s="9" t="str">
        <f>IFERROR(__xludf.DUMMYFUNCTION("""COMPUTED_VALUE"""),"Batch 310")</f>
        <v>Batch 310</v>
      </c>
      <c r="B6569" s="9" t="str">
        <f>IFERROR(__xludf.DUMMYFUNCTION("""COMPUTED_VALUE"""),"SanchitC10")</f>
        <v>SanchitC10</v>
      </c>
      <c r="C6569" s="8">
        <f>IFERROR(__xludf.DUMMYFUNCTION("""COMPUTED_VALUE"""),0.0)</f>
        <v>0</v>
      </c>
      <c r="D6569" s="8"/>
    </row>
    <row r="6570">
      <c r="A6570" s="9"/>
      <c r="B6570" s="9"/>
      <c r="C6570" s="8">
        <f>IFERROR(__xludf.DUMMYFUNCTION("""COMPUTED_VALUE"""),0.0)</f>
        <v>0</v>
      </c>
      <c r="D6570" s="8"/>
    </row>
    <row r="6571">
      <c r="A6571" s="9" t="str">
        <f>IFERROR(__xludf.DUMMYFUNCTION("""COMPUTED_VALUE"""),"Batch 311")</f>
        <v>Batch 311</v>
      </c>
      <c r="B6571" s="9" t="str">
        <f>IFERROR(__xludf.DUMMYFUNCTION("""COMPUTED_VALUE"""),"SuyashC11")</f>
        <v>SuyashC11</v>
      </c>
      <c r="C6571" s="8">
        <f>IFERROR(__xludf.DUMMYFUNCTION("""COMPUTED_VALUE"""),0.0)</f>
        <v>0</v>
      </c>
      <c r="D6571" s="8"/>
    </row>
    <row r="6572">
      <c r="A6572" s="9" t="str">
        <f>IFERROR(__xludf.DUMMYFUNCTION("""COMPUTED_VALUE"""),"Batch 311")</f>
        <v>Batch 311</v>
      </c>
      <c r="B6572" s="9" t="str">
        <f>IFERROR(__xludf.DUMMYFUNCTION("""COMPUTED_VALUE"""),"SelvapriyaC11")</f>
        <v>SelvapriyaC11</v>
      </c>
      <c r="C6572" s="8">
        <f>IFERROR(__xludf.DUMMYFUNCTION("""COMPUTED_VALUE"""),0.0)</f>
        <v>0</v>
      </c>
      <c r="D6572" s="8"/>
    </row>
    <row r="6573">
      <c r="A6573" s="9" t="str">
        <f>IFERROR(__xludf.DUMMYFUNCTION("""COMPUTED_VALUE"""),"Batch 311")</f>
        <v>Batch 311</v>
      </c>
      <c r="B6573" s="9" t="str">
        <f>IFERROR(__xludf.DUMMYFUNCTION("""COMPUTED_VALUE"""),"DevdathC11")</f>
        <v>DevdathC11</v>
      </c>
      <c r="C6573" s="8">
        <f>IFERROR(__xludf.DUMMYFUNCTION("""COMPUTED_VALUE"""),0.0)</f>
        <v>0</v>
      </c>
      <c r="D6573" s="8"/>
    </row>
    <row r="6574">
      <c r="A6574" s="9" t="str">
        <f>IFERROR(__xludf.DUMMYFUNCTION("""COMPUTED_VALUE"""),"Batch 311")</f>
        <v>Batch 311</v>
      </c>
      <c r="B6574" s="9" t="str">
        <f>IFERROR(__xludf.DUMMYFUNCTION("""COMPUTED_VALUE"""),"NandiniC11")</f>
        <v>NandiniC11</v>
      </c>
      <c r="C6574" s="8">
        <f>IFERROR(__xludf.DUMMYFUNCTION("""COMPUTED_VALUE"""),0.0)</f>
        <v>0</v>
      </c>
      <c r="D6574" s="8"/>
    </row>
    <row r="6575">
      <c r="A6575" s="9" t="str">
        <f>IFERROR(__xludf.DUMMYFUNCTION("""COMPUTED_VALUE"""),"Batch 311")</f>
        <v>Batch 311</v>
      </c>
      <c r="B6575" s="9" t="str">
        <f>IFERROR(__xludf.DUMMYFUNCTION("""COMPUTED_VALUE"""),"RiyanshiC11")</f>
        <v>RiyanshiC11</v>
      </c>
      <c r="C6575" s="8">
        <f>IFERROR(__xludf.DUMMYFUNCTION("""COMPUTED_VALUE"""),0.0)</f>
        <v>0</v>
      </c>
      <c r="D6575" s="8"/>
    </row>
    <row r="6576">
      <c r="A6576" s="9" t="str">
        <f>IFERROR(__xludf.DUMMYFUNCTION("""COMPUTED_VALUE"""),"Batch 311")</f>
        <v>Batch 311</v>
      </c>
      <c r="B6576" s="9" t="str">
        <f>IFERROR(__xludf.DUMMYFUNCTION("""COMPUTED_VALUE"""),"AlladiC11")</f>
        <v>AlladiC11</v>
      </c>
      <c r="C6576" s="8">
        <f>IFERROR(__xludf.DUMMYFUNCTION("""COMPUTED_VALUE"""),0.0)</f>
        <v>0</v>
      </c>
      <c r="D6576" s="8"/>
    </row>
    <row r="6577">
      <c r="A6577" s="9" t="str">
        <f>IFERROR(__xludf.DUMMYFUNCTION("""COMPUTED_VALUE"""),"Batch 311")</f>
        <v>Batch 311</v>
      </c>
      <c r="B6577" s="9" t="str">
        <f>IFERROR(__xludf.DUMMYFUNCTION("""COMPUTED_VALUE"""),"ShivanshC11")</f>
        <v>ShivanshC11</v>
      </c>
      <c r="C6577" s="8">
        <f>IFERROR(__xludf.DUMMYFUNCTION("""COMPUTED_VALUE"""),0.0)</f>
        <v>0</v>
      </c>
      <c r="D6577" s="8"/>
    </row>
    <row r="6578">
      <c r="A6578" s="9" t="str">
        <f>IFERROR(__xludf.DUMMYFUNCTION("""COMPUTED_VALUE"""),"Batch 311")</f>
        <v>Batch 311</v>
      </c>
      <c r="B6578" s="9" t="str">
        <f>IFERROR(__xludf.DUMMYFUNCTION("""COMPUTED_VALUE"""),"ChetanC11")</f>
        <v>ChetanC11</v>
      </c>
      <c r="C6578" s="8">
        <f>IFERROR(__xludf.DUMMYFUNCTION("""COMPUTED_VALUE"""),1.0)</f>
        <v>1</v>
      </c>
      <c r="D6578" s="8">
        <f>IFERROR(__xludf.DUMMYFUNCTION("""COMPUTED_VALUE"""),1.0)</f>
        <v>1</v>
      </c>
    </row>
    <row r="6579">
      <c r="A6579" s="9" t="str">
        <f>IFERROR(__xludf.DUMMYFUNCTION("""COMPUTED_VALUE"""),"Batch 311")</f>
        <v>Batch 311</v>
      </c>
      <c r="B6579" s="9" t="str">
        <f>IFERROR(__xludf.DUMMYFUNCTION("""COMPUTED_VALUE"""),"NitinC11")</f>
        <v>NitinC11</v>
      </c>
      <c r="C6579" s="8">
        <f>IFERROR(__xludf.DUMMYFUNCTION("""COMPUTED_VALUE"""),0.0)</f>
        <v>0</v>
      </c>
      <c r="D6579" s="8"/>
    </row>
    <row r="6580">
      <c r="A6580" s="9" t="str">
        <f>IFERROR(__xludf.DUMMYFUNCTION("""COMPUTED_VALUE"""),"Batch 311")</f>
        <v>Batch 311</v>
      </c>
      <c r="B6580" s="9" t="str">
        <f>IFERROR(__xludf.DUMMYFUNCTION("""COMPUTED_VALUE"""),"SurajC11")</f>
        <v>SurajC11</v>
      </c>
      <c r="C6580" s="8">
        <f>IFERROR(__xludf.DUMMYFUNCTION("""COMPUTED_VALUE"""),2.0)</f>
        <v>2</v>
      </c>
      <c r="D6580" s="8">
        <f>IFERROR(__xludf.DUMMYFUNCTION("""COMPUTED_VALUE"""),2.0)</f>
        <v>2</v>
      </c>
    </row>
    <row r="6581">
      <c r="A6581" s="9" t="str">
        <f>IFERROR(__xludf.DUMMYFUNCTION("""COMPUTED_VALUE"""),"Batch 311")</f>
        <v>Batch 311</v>
      </c>
      <c r="B6581" s="9" t="str">
        <f>IFERROR(__xludf.DUMMYFUNCTION("""COMPUTED_VALUE"""),"SiddhantC11")</f>
        <v>SiddhantC11</v>
      </c>
      <c r="C6581" s="8">
        <f>IFERROR(__xludf.DUMMYFUNCTION("""COMPUTED_VALUE"""),0.0)</f>
        <v>0</v>
      </c>
      <c r="D6581" s="8"/>
    </row>
    <row r="6582">
      <c r="A6582" s="9" t="str">
        <f>IFERROR(__xludf.DUMMYFUNCTION("""COMPUTED_VALUE"""),"Batch 311")</f>
        <v>Batch 311</v>
      </c>
      <c r="B6582" s="9" t="str">
        <f>IFERROR(__xludf.DUMMYFUNCTION("""COMPUTED_VALUE"""),"VarunC11")</f>
        <v>VarunC11</v>
      </c>
      <c r="C6582" s="8">
        <f>IFERROR(__xludf.DUMMYFUNCTION("""COMPUTED_VALUE"""),0.0)</f>
        <v>0</v>
      </c>
      <c r="D6582" s="8"/>
    </row>
    <row r="6583">
      <c r="A6583" s="9" t="str">
        <f>IFERROR(__xludf.DUMMYFUNCTION("""COMPUTED_VALUE"""),"Batch 311")</f>
        <v>Batch 311</v>
      </c>
      <c r="B6583" s="9" t="str">
        <f>IFERROR(__xludf.DUMMYFUNCTION("""COMPUTED_VALUE"""),"GarvitC11")</f>
        <v>GarvitC11</v>
      </c>
      <c r="C6583" s="8">
        <f>IFERROR(__xludf.DUMMYFUNCTION("""COMPUTED_VALUE"""),0.0)</f>
        <v>0</v>
      </c>
      <c r="D6583" s="8"/>
    </row>
    <row r="6584">
      <c r="A6584" s="9" t="str">
        <f>IFERROR(__xludf.DUMMYFUNCTION("""COMPUTED_VALUE"""),"Batch 311")</f>
        <v>Batch 311</v>
      </c>
      <c r="B6584" s="9" t="str">
        <f>IFERROR(__xludf.DUMMYFUNCTION("""COMPUTED_VALUE"""),"DhruvC11")</f>
        <v>DhruvC11</v>
      </c>
      <c r="C6584" s="8">
        <f>IFERROR(__xludf.DUMMYFUNCTION("""COMPUTED_VALUE"""),0.0)</f>
        <v>0</v>
      </c>
      <c r="D6584" s="8"/>
    </row>
    <row r="6585">
      <c r="A6585" s="9" t="str">
        <f>IFERROR(__xludf.DUMMYFUNCTION("""COMPUTED_VALUE"""),"Batch 311")</f>
        <v>Batch 311</v>
      </c>
      <c r="B6585" s="9" t="str">
        <f>IFERROR(__xludf.DUMMYFUNCTION("""COMPUTED_VALUE"""),"MehakC11")</f>
        <v>MehakC11</v>
      </c>
      <c r="C6585" s="8">
        <f>IFERROR(__xludf.DUMMYFUNCTION("""COMPUTED_VALUE"""),0.0)</f>
        <v>0</v>
      </c>
      <c r="D6585" s="8"/>
    </row>
    <row r="6586">
      <c r="A6586" s="9" t="str">
        <f>IFERROR(__xludf.DUMMYFUNCTION("""COMPUTED_VALUE"""),"Batch 311")</f>
        <v>Batch 311</v>
      </c>
      <c r="B6586" s="9" t="str">
        <f>IFERROR(__xludf.DUMMYFUNCTION("""COMPUTED_VALUE"""),"AdityaC11")</f>
        <v>AdityaC11</v>
      </c>
      <c r="C6586" s="8">
        <f>IFERROR(__xludf.DUMMYFUNCTION("""COMPUTED_VALUE"""),0.0)</f>
        <v>0</v>
      </c>
      <c r="D6586" s="8"/>
    </row>
    <row r="6587">
      <c r="A6587" s="9" t="str">
        <f>IFERROR(__xludf.DUMMYFUNCTION("""COMPUTED_VALUE"""),"Batch 311")</f>
        <v>Batch 311</v>
      </c>
      <c r="B6587" s="9" t="str">
        <f>IFERROR(__xludf.DUMMYFUNCTION("""COMPUTED_VALUE"""),"AayushC11")</f>
        <v>AayushC11</v>
      </c>
      <c r="C6587" s="8">
        <f>IFERROR(__xludf.DUMMYFUNCTION("""COMPUTED_VALUE"""),0.0)</f>
        <v>0</v>
      </c>
      <c r="D6587" s="8"/>
    </row>
    <row r="6588">
      <c r="A6588" s="9" t="str">
        <f>IFERROR(__xludf.DUMMYFUNCTION("""COMPUTED_VALUE"""),"Batch 311")</f>
        <v>Batch 311</v>
      </c>
      <c r="B6588" s="9" t="str">
        <f>IFERROR(__xludf.DUMMYFUNCTION("""COMPUTED_VALUE"""),"AishwaryaC11")</f>
        <v>AishwaryaC11</v>
      </c>
      <c r="C6588" s="8">
        <f>IFERROR(__xludf.DUMMYFUNCTION("""COMPUTED_VALUE"""),0.0)</f>
        <v>0</v>
      </c>
      <c r="D6588" s="8"/>
    </row>
    <row r="6589">
      <c r="A6589" s="9" t="str">
        <f>IFERROR(__xludf.DUMMYFUNCTION("""COMPUTED_VALUE"""),"Batch 311")</f>
        <v>Batch 311</v>
      </c>
      <c r="B6589" s="9" t="str">
        <f>IFERROR(__xludf.DUMMYFUNCTION("""COMPUTED_VALUE"""),"ShrutikaC11")</f>
        <v>ShrutikaC11</v>
      </c>
      <c r="C6589" s="8">
        <f>IFERROR(__xludf.DUMMYFUNCTION("""COMPUTED_VALUE"""),0.0)</f>
        <v>0</v>
      </c>
      <c r="D6589" s="8"/>
    </row>
    <row r="6590">
      <c r="A6590" s="9" t="str">
        <f>IFERROR(__xludf.DUMMYFUNCTION("""COMPUTED_VALUE"""),"Batch 311")</f>
        <v>Batch 311</v>
      </c>
      <c r="B6590" s="9" t="str">
        <f>IFERROR(__xludf.DUMMYFUNCTION("""COMPUTED_VALUE"""),"AdibaC11")</f>
        <v>AdibaC11</v>
      </c>
      <c r="C6590" s="8">
        <f>IFERROR(__xludf.DUMMYFUNCTION("""COMPUTED_VALUE"""),0.0)</f>
        <v>0</v>
      </c>
      <c r="D6590" s="8"/>
    </row>
    <row r="6591">
      <c r="A6591" s="9" t="str">
        <f>IFERROR(__xludf.DUMMYFUNCTION("""COMPUTED_VALUE"""),"Batch 311")</f>
        <v>Batch 311</v>
      </c>
      <c r="B6591" s="9" t="str">
        <f>IFERROR(__xludf.DUMMYFUNCTION("""COMPUTED_VALUE"""),"AmandeepC11")</f>
        <v>AmandeepC11</v>
      </c>
      <c r="C6591" s="8">
        <f>IFERROR(__xludf.DUMMYFUNCTION("""COMPUTED_VALUE"""),0.0)</f>
        <v>0</v>
      </c>
      <c r="D6591" s="8"/>
    </row>
    <row r="6592">
      <c r="A6592" s="9" t="str">
        <f>IFERROR(__xludf.DUMMYFUNCTION("""COMPUTED_VALUE"""),"Batch 311")</f>
        <v>Batch 311</v>
      </c>
      <c r="B6592" s="9" t="str">
        <f>IFERROR(__xludf.DUMMYFUNCTION("""COMPUTED_VALUE"""),"SYEDC11")</f>
        <v>SYEDC11</v>
      </c>
      <c r="C6592" s="8">
        <f>IFERROR(__xludf.DUMMYFUNCTION("""COMPUTED_VALUE"""),0.0)</f>
        <v>0</v>
      </c>
      <c r="D6592" s="8"/>
    </row>
    <row r="6593">
      <c r="A6593" s="9" t="str">
        <f>IFERROR(__xludf.DUMMYFUNCTION("""COMPUTED_VALUE"""),"Batch 311")</f>
        <v>Batch 311</v>
      </c>
      <c r="B6593" s="9" t="str">
        <f>IFERROR(__xludf.DUMMYFUNCTION("""COMPUTED_VALUE"""),"KhushiC11")</f>
        <v>KhushiC11</v>
      </c>
      <c r="C6593" s="8">
        <f>IFERROR(__xludf.DUMMYFUNCTION("""COMPUTED_VALUE"""),0.0)</f>
        <v>0</v>
      </c>
      <c r="D6593" s="8"/>
    </row>
    <row r="6594">
      <c r="A6594" s="9" t="str">
        <f>IFERROR(__xludf.DUMMYFUNCTION("""COMPUTED_VALUE"""),"Batch 311")</f>
        <v>Batch 311</v>
      </c>
      <c r="B6594" s="9" t="str">
        <f>IFERROR(__xludf.DUMMYFUNCTION("""COMPUTED_VALUE"""),"JuhiC11")</f>
        <v>JuhiC11</v>
      </c>
      <c r="C6594" s="8">
        <f>IFERROR(__xludf.DUMMYFUNCTION("""COMPUTED_VALUE"""),0.0)</f>
        <v>0</v>
      </c>
      <c r="D6594" s="8"/>
    </row>
    <row r="6595">
      <c r="A6595" s="9" t="str">
        <f>IFERROR(__xludf.DUMMYFUNCTION("""COMPUTED_VALUE"""),"Batch 311")</f>
        <v>Batch 311</v>
      </c>
      <c r="B6595" s="9" t="str">
        <f>IFERROR(__xludf.DUMMYFUNCTION("""COMPUTED_VALUE"""),"NamrataC11")</f>
        <v>NamrataC11</v>
      </c>
      <c r="C6595" s="8">
        <f>IFERROR(__xludf.DUMMYFUNCTION("""COMPUTED_VALUE"""),0.0)</f>
        <v>0</v>
      </c>
      <c r="D6595" s="8"/>
    </row>
    <row r="6596">
      <c r="A6596" s="9" t="str">
        <f>IFERROR(__xludf.DUMMYFUNCTION("""COMPUTED_VALUE"""),"Batch 311")</f>
        <v>Batch 311</v>
      </c>
      <c r="B6596" s="9" t="str">
        <f>IFERROR(__xludf.DUMMYFUNCTION("""COMPUTED_VALUE"""),"PrinceC11")</f>
        <v>PrinceC11</v>
      </c>
      <c r="C6596" s="8">
        <f>IFERROR(__xludf.DUMMYFUNCTION("""COMPUTED_VALUE"""),0.0)</f>
        <v>0</v>
      </c>
      <c r="D6596" s="8"/>
    </row>
    <row r="6597">
      <c r="A6597" s="9" t="str">
        <f>IFERROR(__xludf.DUMMYFUNCTION("""COMPUTED_VALUE"""),"Batch 311")</f>
        <v>Batch 311</v>
      </c>
      <c r="B6597" s="9" t="str">
        <f>IFERROR(__xludf.DUMMYFUNCTION("""COMPUTED_VALUE"""),"ShaikC11")</f>
        <v>ShaikC11</v>
      </c>
      <c r="C6597" s="8">
        <f>IFERROR(__xludf.DUMMYFUNCTION("""COMPUTED_VALUE"""),0.0)</f>
        <v>0</v>
      </c>
      <c r="D6597" s="8"/>
    </row>
    <row r="6598">
      <c r="A6598" s="9" t="str">
        <f>IFERROR(__xludf.DUMMYFUNCTION("""COMPUTED_VALUE"""),"Batch 311")</f>
        <v>Batch 311</v>
      </c>
      <c r="B6598" s="9" t="str">
        <f>IFERROR(__xludf.DUMMYFUNCTION("""COMPUTED_VALUE"""),"SwatiC11")</f>
        <v>SwatiC11</v>
      </c>
      <c r="C6598" s="8">
        <f>IFERROR(__xludf.DUMMYFUNCTION("""COMPUTED_VALUE"""),0.0)</f>
        <v>0</v>
      </c>
      <c r="D6598" s="8"/>
    </row>
    <row r="6599">
      <c r="A6599" s="9" t="str">
        <f>IFERROR(__xludf.DUMMYFUNCTION("""COMPUTED_VALUE"""),"Batch 311")</f>
        <v>Batch 311</v>
      </c>
      <c r="B6599" s="9" t="str">
        <f>IFERROR(__xludf.DUMMYFUNCTION("""COMPUTED_VALUE"""),"ShaliniC11")</f>
        <v>ShaliniC11</v>
      </c>
      <c r="C6599" s="8">
        <f>IFERROR(__xludf.DUMMYFUNCTION("""COMPUTED_VALUE"""),0.0)</f>
        <v>0</v>
      </c>
      <c r="D6599" s="8"/>
    </row>
    <row r="6600">
      <c r="A6600" s="9" t="str">
        <f>IFERROR(__xludf.DUMMYFUNCTION("""COMPUTED_VALUE"""),"Batch 311")</f>
        <v>Batch 311</v>
      </c>
      <c r="B6600" s="9" t="str">
        <f>IFERROR(__xludf.DUMMYFUNCTION("""COMPUTED_VALUE"""),"ManthanC11")</f>
        <v>ManthanC11</v>
      </c>
      <c r="C6600" s="8">
        <f>IFERROR(__xludf.DUMMYFUNCTION("""COMPUTED_VALUE"""),0.0)</f>
        <v>0</v>
      </c>
      <c r="D6600" s="8"/>
    </row>
    <row r="6601">
      <c r="A6601" s="9" t="str">
        <f>IFERROR(__xludf.DUMMYFUNCTION("""COMPUTED_VALUE"""),"Batch 311")</f>
        <v>Batch 311</v>
      </c>
      <c r="B6601" s="9" t="str">
        <f>IFERROR(__xludf.DUMMYFUNCTION("""COMPUTED_VALUE"""),"JayeshC11")</f>
        <v>JayeshC11</v>
      </c>
      <c r="C6601" s="8">
        <f>IFERROR(__xludf.DUMMYFUNCTION("""COMPUTED_VALUE"""),0.0)</f>
        <v>0</v>
      </c>
      <c r="D6601" s="8"/>
    </row>
    <row r="6602">
      <c r="A6602" s="9" t="str">
        <f>IFERROR(__xludf.DUMMYFUNCTION("""COMPUTED_VALUE"""),"Batch 311")</f>
        <v>Batch 311</v>
      </c>
      <c r="B6602" s="9" t="str">
        <f>IFERROR(__xludf.DUMMYFUNCTION("""COMPUTED_VALUE"""),"KanishkaC11")</f>
        <v>KanishkaC11</v>
      </c>
      <c r="C6602" s="8">
        <f>IFERROR(__xludf.DUMMYFUNCTION("""COMPUTED_VALUE"""),0.0)</f>
        <v>0</v>
      </c>
      <c r="D6602" s="8"/>
    </row>
    <row r="6603">
      <c r="A6603" s="9" t="str">
        <f>IFERROR(__xludf.DUMMYFUNCTION("""COMPUTED_VALUE"""),"Batch 311")</f>
        <v>Batch 311</v>
      </c>
      <c r="B6603" s="9" t="str">
        <f>IFERROR(__xludf.DUMMYFUNCTION("""COMPUTED_VALUE"""),"EshratC11")</f>
        <v>EshratC11</v>
      </c>
      <c r="C6603" s="8">
        <f>IFERROR(__xludf.DUMMYFUNCTION("""COMPUTED_VALUE"""),0.0)</f>
        <v>0</v>
      </c>
      <c r="D6603" s="8"/>
    </row>
    <row r="6604">
      <c r="A6604" s="9" t="str">
        <f>IFERROR(__xludf.DUMMYFUNCTION("""COMPUTED_VALUE"""),"Batch 311")</f>
        <v>Batch 311</v>
      </c>
      <c r="B6604" s="9" t="str">
        <f>IFERROR(__xludf.DUMMYFUNCTION("""COMPUTED_VALUE"""),"SrinidhiC11")</f>
        <v>SrinidhiC11</v>
      </c>
      <c r="C6604" s="8">
        <f>IFERROR(__xludf.DUMMYFUNCTION("""COMPUTED_VALUE"""),0.0)</f>
        <v>0</v>
      </c>
      <c r="D6604" s="8"/>
    </row>
    <row r="6605">
      <c r="A6605" s="9" t="str">
        <f>IFERROR(__xludf.DUMMYFUNCTION("""COMPUTED_VALUE"""),"Batch 311")</f>
        <v>Batch 311</v>
      </c>
      <c r="B6605" s="9" t="str">
        <f>IFERROR(__xludf.DUMMYFUNCTION("""COMPUTED_VALUE"""),"PalkeeC11")</f>
        <v>PalkeeC11</v>
      </c>
      <c r="C6605" s="8">
        <f>IFERROR(__xludf.DUMMYFUNCTION("""COMPUTED_VALUE"""),0.0)</f>
        <v>0</v>
      </c>
      <c r="D6605" s="8"/>
    </row>
    <row r="6606">
      <c r="A6606" s="9" t="str">
        <f>IFERROR(__xludf.DUMMYFUNCTION("""COMPUTED_VALUE"""),"Batch 311")</f>
        <v>Batch 311</v>
      </c>
      <c r="B6606" s="9" t="str">
        <f>IFERROR(__xludf.DUMMYFUNCTION("""COMPUTED_VALUE"""),"HemaC11")</f>
        <v>HemaC11</v>
      </c>
      <c r="C6606" s="8">
        <f>IFERROR(__xludf.DUMMYFUNCTION("""COMPUTED_VALUE"""),0.0)</f>
        <v>0</v>
      </c>
      <c r="D6606" s="8"/>
    </row>
    <row r="6607">
      <c r="A6607" s="9" t="str">
        <f>IFERROR(__xludf.DUMMYFUNCTION("""COMPUTED_VALUE"""),"Batch 311")</f>
        <v>Batch 311</v>
      </c>
      <c r="B6607" s="9" t="str">
        <f>IFERROR(__xludf.DUMMYFUNCTION("""COMPUTED_VALUE"""),"SumitC11")</f>
        <v>SumitC11</v>
      </c>
      <c r="C6607" s="8">
        <f>IFERROR(__xludf.DUMMYFUNCTION("""COMPUTED_VALUE"""),0.0)</f>
        <v>0</v>
      </c>
      <c r="D6607" s="8"/>
    </row>
    <row r="6608">
      <c r="A6608" s="9" t="str">
        <f>IFERROR(__xludf.DUMMYFUNCTION("""COMPUTED_VALUE"""),"Batch 311")</f>
        <v>Batch 311</v>
      </c>
      <c r="B6608" s="9" t="str">
        <f>IFERROR(__xludf.DUMMYFUNCTION("""COMPUTED_VALUE"""),"SyedC11")</f>
        <v>SyedC11</v>
      </c>
      <c r="C6608" s="8">
        <f>IFERROR(__xludf.DUMMYFUNCTION("""COMPUTED_VALUE"""),0.0)</f>
        <v>0</v>
      </c>
      <c r="D6608" s="8"/>
    </row>
    <row r="6609">
      <c r="A6609" s="9" t="str">
        <f>IFERROR(__xludf.DUMMYFUNCTION("""COMPUTED_VALUE"""),"Batch 311")</f>
        <v>Batch 311</v>
      </c>
      <c r="B6609" s="9" t="str">
        <f>IFERROR(__xludf.DUMMYFUNCTION("""COMPUTED_VALUE"""),"SanjayaC11")</f>
        <v>SanjayaC11</v>
      </c>
      <c r="C6609" s="8">
        <f>IFERROR(__xludf.DUMMYFUNCTION("""COMPUTED_VALUE"""),0.0)</f>
        <v>0</v>
      </c>
      <c r="D6609" s="8"/>
    </row>
    <row r="6610">
      <c r="A6610" s="9" t="str">
        <f>IFERROR(__xludf.DUMMYFUNCTION("""COMPUTED_VALUE"""),"Batch 311")</f>
        <v>Batch 311</v>
      </c>
      <c r="B6610" s="9" t="str">
        <f>IFERROR(__xludf.DUMMYFUNCTION("""COMPUTED_VALUE"""),"ShivaniC11")</f>
        <v>ShivaniC11</v>
      </c>
      <c r="C6610" s="8">
        <f>IFERROR(__xludf.DUMMYFUNCTION("""COMPUTED_VALUE"""),0.0)</f>
        <v>0</v>
      </c>
      <c r="D6610" s="8"/>
    </row>
    <row r="6611">
      <c r="A6611" s="9" t="str">
        <f>IFERROR(__xludf.DUMMYFUNCTION("""COMPUTED_VALUE"""),"Batch 311")</f>
        <v>Batch 311</v>
      </c>
      <c r="B6611" s="9" t="str">
        <f>IFERROR(__xludf.DUMMYFUNCTION("""COMPUTED_VALUE"""),"SurakshaC11")</f>
        <v>SurakshaC11</v>
      </c>
      <c r="C6611" s="8">
        <f>IFERROR(__xludf.DUMMYFUNCTION("""COMPUTED_VALUE"""),0.0)</f>
        <v>0</v>
      </c>
      <c r="D6611" s="8"/>
    </row>
    <row r="6612">
      <c r="A6612" s="9" t="str">
        <f>IFERROR(__xludf.DUMMYFUNCTION("""COMPUTED_VALUE"""),"Batch 311")</f>
        <v>Batch 311</v>
      </c>
      <c r="B6612" s="9" t="str">
        <f>IFERROR(__xludf.DUMMYFUNCTION("""COMPUTED_VALUE"""),"KavyaC11")</f>
        <v>KavyaC11</v>
      </c>
      <c r="C6612" s="8">
        <f>IFERROR(__xludf.DUMMYFUNCTION("""COMPUTED_VALUE"""),0.0)</f>
        <v>0</v>
      </c>
      <c r="D6612" s="8"/>
    </row>
    <row r="6613">
      <c r="A6613" s="9" t="str">
        <f>IFERROR(__xludf.DUMMYFUNCTION("""COMPUTED_VALUE"""),"Batch 311")</f>
        <v>Batch 311</v>
      </c>
      <c r="B6613" s="9" t="str">
        <f>IFERROR(__xludf.DUMMYFUNCTION("""COMPUTED_VALUE"""),"PAVANC11")</f>
        <v>PAVANC11</v>
      </c>
      <c r="C6613" s="8">
        <f>IFERROR(__xludf.DUMMYFUNCTION("""COMPUTED_VALUE"""),0.0)</f>
        <v>0</v>
      </c>
      <c r="D6613" s="8"/>
    </row>
    <row r="6614">
      <c r="A6614" s="9" t="str">
        <f>IFERROR(__xludf.DUMMYFUNCTION("""COMPUTED_VALUE"""),"Batch 311")</f>
        <v>Batch 311</v>
      </c>
      <c r="B6614" s="9" t="str">
        <f>IFERROR(__xludf.DUMMYFUNCTION("""COMPUTED_VALUE"""),"TejasC11")</f>
        <v>TejasC11</v>
      </c>
      <c r="C6614" s="8">
        <f>IFERROR(__xludf.DUMMYFUNCTION("""COMPUTED_VALUE"""),0.0)</f>
        <v>0</v>
      </c>
      <c r="D6614" s="8"/>
    </row>
    <row r="6615">
      <c r="A6615" s="9"/>
      <c r="B6615" s="9"/>
      <c r="C6615" s="8">
        <f>IFERROR(__xludf.DUMMYFUNCTION("""COMPUTED_VALUE"""),0.0)</f>
        <v>0</v>
      </c>
      <c r="D6615" s="8"/>
    </row>
    <row r="6616">
      <c r="A6616" s="9" t="str">
        <f>IFERROR(__xludf.DUMMYFUNCTION("""COMPUTED_VALUE"""),"Batch 312")</f>
        <v>Batch 312</v>
      </c>
      <c r="B6616" s="9" t="str">
        <f>IFERROR(__xludf.DUMMYFUNCTION("""COMPUTED_VALUE"""),"KushC12")</f>
        <v>KushC12</v>
      </c>
      <c r="C6616" s="8">
        <f>IFERROR(__xludf.DUMMYFUNCTION("""COMPUTED_VALUE"""),0.0)</f>
        <v>0</v>
      </c>
      <c r="D6616" s="8"/>
    </row>
    <row r="6617">
      <c r="A6617" s="9" t="str">
        <f>IFERROR(__xludf.DUMMYFUNCTION("""COMPUTED_VALUE"""),"Batch 312")</f>
        <v>Batch 312</v>
      </c>
      <c r="B6617" s="9" t="str">
        <f>IFERROR(__xludf.DUMMYFUNCTION("""COMPUTED_VALUE"""),"ManalC12")</f>
        <v>ManalC12</v>
      </c>
      <c r="C6617" s="8">
        <f>IFERROR(__xludf.DUMMYFUNCTION("""COMPUTED_VALUE"""),1.0)</f>
        <v>1</v>
      </c>
      <c r="D6617" s="8"/>
    </row>
    <row r="6618">
      <c r="A6618" s="9" t="str">
        <f>IFERROR(__xludf.DUMMYFUNCTION("""COMPUTED_VALUE"""),"Batch 312")</f>
        <v>Batch 312</v>
      </c>
      <c r="B6618" s="9" t="str">
        <f>IFERROR(__xludf.DUMMYFUNCTION("""COMPUTED_VALUE"""),"HarshitaC12")</f>
        <v>HarshitaC12</v>
      </c>
      <c r="C6618" s="8">
        <f>IFERROR(__xludf.DUMMYFUNCTION("""COMPUTED_VALUE"""),1.0)</f>
        <v>1</v>
      </c>
      <c r="D6618" s="8"/>
    </row>
    <row r="6619">
      <c r="A6619" s="9" t="str">
        <f>IFERROR(__xludf.DUMMYFUNCTION("""COMPUTED_VALUE"""),"Batch 312")</f>
        <v>Batch 312</v>
      </c>
      <c r="B6619" s="9" t="str">
        <f>IFERROR(__xludf.DUMMYFUNCTION("""COMPUTED_VALUE"""),"YashiC12")</f>
        <v>YashiC12</v>
      </c>
      <c r="C6619" s="8">
        <f>IFERROR(__xludf.DUMMYFUNCTION("""COMPUTED_VALUE"""),0.0)</f>
        <v>0</v>
      </c>
      <c r="D6619" s="8"/>
    </row>
    <row r="6620">
      <c r="A6620" s="9" t="str">
        <f>IFERROR(__xludf.DUMMYFUNCTION("""COMPUTED_VALUE"""),"Batch 312")</f>
        <v>Batch 312</v>
      </c>
      <c r="B6620" s="9" t="str">
        <f>IFERROR(__xludf.DUMMYFUNCTION("""COMPUTED_VALUE"""),"PratishthaC12")</f>
        <v>PratishthaC12</v>
      </c>
      <c r="C6620" s="8">
        <f>IFERROR(__xludf.DUMMYFUNCTION("""COMPUTED_VALUE"""),0.0)</f>
        <v>0</v>
      </c>
      <c r="D6620" s="8"/>
    </row>
    <row r="6621">
      <c r="A6621" s="9" t="str">
        <f>IFERROR(__xludf.DUMMYFUNCTION("""COMPUTED_VALUE"""),"Batch 312")</f>
        <v>Batch 312</v>
      </c>
      <c r="B6621" s="9" t="str">
        <f>IFERROR(__xludf.DUMMYFUNCTION("""COMPUTED_VALUE"""),"BhavanethraC12")</f>
        <v>BhavanethraC12</v>
      </c>
      <c r="C6621" s="8">
        <f>IFERROR(__xludf.DUMMYFUNCTION("""COMPUTED_VALUE"""),0.0)</f>
        <v>0</v>
      </c>
      <c r="D6621" s="8"/>
    </row>
    <row r="6622">
      <c r="A6622" s="9" t="str">
        <f>IFERROR(__xludf.DUMMYFUNCTION("""COMPUTED_VALUE"""),"Batch 312")</f>
        <v>Batch 312</v>
      </c>
      <c r="B6622" s="9" t="str">
        <f>IFERROR(__xludf.DUMMYFUNCTION("""COMPUTED_VALUE"""),"GunjanC12")</f>
        <v>GunjanC12</v>
      </c>
      <c r="C6622" s="8">
        <f>IFERROR(__xludf.DUMMYFUNCTION("""COMPUTED_VALUE"""),0.0)</f>
        <v>0</v>
      </c>
      <c r="D6622" s="8"/>
    </row>
    <row r="6623">
      <c r="A6623" s="9" t="str">
        <f>IFERROR(__xludf.DUMMYFUNCTION("""COMPUTED_VALUE"""),"Batch 312")</f>
        <v>Batch 312</v>
      </c>
      <c r="B6623" s="9" t="str">
        <f>IFERROR(__xludf.DUMMYFUNCTION("""COMPUTED_VALUE"""),"KaranC12")</f>
        <v>KaranC12</v>
      </c>
      <c r="C6623" s="8">
        <f>IFERROR(__xludf.DUMMYFUNCTION("""COMPUTED_VALUE"""),0.0)</f>
        <v>0</v>
      </c>
      <c r="D6623" s="8"/>
    </row>
    <row r="6624">
      <c r="A6624" s="9" t="str">
        <f>IFERROR(__xludf.DUMMYFUNCTION("""COMPUTED_VALUE"""),"Batch 312")</f>
        <v>Batch 312</v>
      </c>
      <c r="B6624" s="9" t="str">
        <f>IFERROR(__xludf.DUMMYFUNCTION("""COMPUTED_VALUE"""),"Leela.C12")</f>
        <v>Leela.C12</v>
      </c>
      <c r="C6624" s="8">
        <f>IFERROR(__xludf.DUMMYFUNCTION("""COMPUTED_VALUE"""),0.0)</f>
        <v>0</v>
      </c>
      <c r="D6624" s="8"/>
    </row>
    <row r="6625">
      <c r="A6625" s="9" t="str">
        <f>IFERROR(__xludf.DUMMYFUNCTION("""COMPUTED_VALUE"""),"Batch 312")</f>
        <v>Batch 312</v>
      </c>
      <c r="B6625" s="9" t="str">
        <f>IFERROR(__xludf.DUMMYFUNCTION("""COMPUTED_VALUE"""),"SakshiC12")</f>
        <v>SakshiC12</v>
      </c>
      <c r="C6625" s="8">
        <f>IFERROR(__xludf.DUMMYFUNCTION("""COMPUTED_VALUE"""),4.0)</f>
        <v>4</v>
      </c>
      <c r="D6625" s="8"/>
    </row>
    <row r="6626">
      <c r="A6626" s="9" t="str">
        <f>IFERROR(__xludf.DUMMYFUNCTION("""COMPUTED_VALUE"""),"Batch 312")</f>
        <v>Batch 312</v>
      </c>
      <c r="B6626" s="9" t="str">
        <f>IFERROR(__xludf.DUMMYFUNCTION("""COMPUTED_VALUE"""),"RithinC12")</f>
        <v>RithinC12</v>
      </c>
      <c r="C6626" s="8">
        <f>IFERROR(__xludf.DUMMYFUNCTION("""COMPUTED_VALUE"""),0.0)</f>
        <v>0</v>
      </c>
      <c r="D6626" s="8"/>
    </row>
    <row r="6627">
      <c r="A6627" s="9" t="str">
        <f>IFERROR(__xludf.DUMMYFUNCTION("""COMPUTED_VALUE"""),"Batch 312")</f>
        <v>Batch 312</v>
      </c>
      <c r="B6627" s="9" t="str">
        <f>IFERROR(__xludf.DUMMYFUNCTION("""COMPUTED_VALUE"""),"AkhilC12")</f>
        <v>AkhilC12</v>
      </c>
      <c r="C6627" s="8">
        <f>IFERROR(__xludf.DUMMYFUNCTION("""COMPUTED_VALUE"""),0.0)</f>
        <v>0</v>
      </c>
      <c r="D6627" s="8"/>
    </row>
    <row r="6628">
      <c r="A6628" s="9" t="str">
        <f>IFERROR(__xludf.DUMMYFUNCTION("""COMPUTED_VALUE"""),"Batch 312")</f>
        <v>Batch 312</v>
      </c>
      <c r="B6628" s="9" t="str">
        <f>IFERROR(__xludf.DUMMYFUNCTION("""COMPUTED_VALUE"""),"BhavyaC12")</f>
        <v>BhavyaC12</v>
      </c>
      <c r="C6628" s="8">
        <f>IFERROR(__xludf.DUMMYFUNCTION("""COMPUTED_VALUE"""),0.0)</f>
        <v>0</v>
      </c>
      <c r="D6628" s="8"/>
    </row>
    <row r="6629">
      <c r="A6629" s="9" t="str">
        <f>IFERROR(__xludf.DUMMYFUNCTION("""COMPUTED_VALUE"""),"Batch 312")</f>
        <v>Batch 312</v>
      </c>
      <c r="B6629" s="9" t="str">
        <f>IFERROR(__xludf.DUMMYFUNCTION("""COMPUTED_VALUE"""),"RayanollaC12")</f>
        <v>RayanollaC12</v>
      </c>
      <c r="C6629" s="8">
        <f>IFERROR(__xludf.DUMMYFUNCTION("""COMPUTED_VALUE"""),6.0)</f>
        <v>6</v>
      </c>
      <c r="D6629" s="8">
        <f>IFERROR(__xludf.DUMMYFUNCTION("""COMPUTED_VALUE"""),7.0)</f>
        <v>7</v>
      </c>
    </row>
    <row r="6630">
      <c r="A6630" s="9" t="str">
        <f>IFERROR(__xludf.DUMMYFUNCTION("""COMPUTED_VALUE"""),"Batch 312")</f>
        <v>Batch 312</v>
      </c>
      <c r="B6630" s="9" t="str">
        <f>IFERROR(__xludf.DUMMYFUNCTION("""COMPUTED_VALUE"""),"SouravC12")</f>
        <v>SouravC12</v>
      </c>
      <c r="C6630" s="8">
        <f>IFERROR(__xludf.DUMMYFUNCTION("""COMPUTED_VALUE"""),0.0)</f>
        <v>0</v>
      </c>
      <c r="D6630" s="8"/>
    </row>
    <row r="6631">
      <c r="A6631" s="9" t="str">
        <f>IFERROR(__xludf.DUMMYFUNCTION("""COMPUTED_VALUE"""),"Batch 312")</f>
        <v>Batch 312</v>
      </c>
      <c r="B6631" s="9" t="str">
        <f>IFERROR(__xludf.DUMMYFUNCTION("""COMPUTED_VALUE"""),"UpparapalliC12")</f>
        <v>UpparapalliC12</v>
      </c>
      <c r="C6631" s="8">
        <f>IFERROR(__xludf.DUMMYFUNCTION("""COMPUTED_VALUE"""),0.0)</f>
        <v>0</v>
      </c>
      <c r="D6631" s="8"/>
    </row>
    <row r="6632">
      <c r="A6632" s="9" t="str">
        <f>IFERROR(__xludf.DUMMYFUNCTION("""COMPUTED_VALUE"""),"Batch 312")</f>
        <v>Batch 312</v>
      </c>
      <c r="B6632" s="9" t="str">
        <f>IFERROR(__xludf.DUMMYFUNCTION("""COMPUTED_VALUE"""),"AtharvaC12")</f>
        <v>AtharvaC12</v>
      </c>
      <c r="C6632" s="8">
        <f>IFERROR(__xludf.DUMMYFUNCTION("""COMPUTED_VALUE"""),1.0)</f>
        <v>1</v>
      </c>
      <c r="D6632" s="8"/>
    </row>
    <row r="6633">
      <c r="A6633" s="9" t="str">
        <f>IFERROR(__xludf.DUMMYFUNCTION("""COMPUTED_VALUE"""),"Batch 312")</f>
        <v>Batch 312</v>
      </c>
      <c r="B6633" s="9" t="str">
        <f>IFERROR(__xludf.DUMMYFUNCTION("""COMPUTED_VALUE"""),"SandeepC12")</f>
        <v>SandeepC12</v>
      </c>
      <c r="C6633" s="8">
        <f>IFERROR(__xludf.DUMMYFUNCTION("""COMPUTED_VALUE"""),1.0)</f>
        <v>1</v>
      </c>
      <c r="D6633" s="8"/>
    </row>
    <row r="6634">
      <c r="A6634" s="9" t="str">
        <f>IFERROR(__xludf.DUMMYFUNCTION("""COMPUTED_VALUE"""),"Batch 312")</f>
        <v>Batch 312</v>
      </c>
      <c r="B6634" s="9" t="str">
        <f>IFERROR(__xludf.DUMMYFUNCTION("""COMPUTED_VALUE"""),"ShreyanC12")</f>
        <v>ShreyanC12</v>
      </c>
      <c r="C6634" s="8">
        <f>IFERROR(__xludf.DUMMYFUNCTION("""COMPUTED_VALUE"""),0.0)</f>
        <v>0</v>
      </c>
      <c r="D6634" s="8"/>
    </row>
    <row r="6635">
      <c r="A6635" s="9" t="str">
        <f>IFERROR(__xludf.DUMMYFUNCTION("""COMPUTED_VALUE"""),"Batch 312")</f>
        <v>Batch 312</v>
      </c>
      <c r="B6635" s="9" t="str">
        <f>IFERROR(__xludf.DUMMYFUNCTION("""COMPUTED_VALUE"""),"IshuC12")</f>
        <v>IshuC12</v>
      </c>
      <c r="C6635" s="8">
        <f>IFERROR(__xludf.DUMMYFUNCTION("""COMPUTED_VALUE"""),0.0)</f>
        <v>0</v>
      </c>
      <c r="D6635" s="8"/>
    </row>
    <row r="6636">
      <c r="A6636" s="9" t="str">
        <f>IFERROR(__xludf.DUMMYFUNCTION("""COMPUTED_VALUE"""),"Batch 312")</f>
        <v>Batch 312</v>
      </c>
      <c r="B6636" s="9" t="str">
        <f>IFERROR(__xludf.DUMMYFUNCTION("""COMPUTED_VALUE"""),"BusapurC12")</f>
        <v>BusapurC12</v>
      </c>
      <c r="C6636" s="8">
        <f>IFERROR(__xludf.DUMMYFUNCTION("""COMPUTED_VALUE"""),0.0)</f>
        <v>0</v>
      </c>
      <c r="D6636" s="8"/>
    </row>
    <row r="6637">
      <c r="A6637" s="9" t="str">
        <f>IFERROR(__xludf.DUMMYFUNCTION("""COMPUTED_VALUE"""),"Batch 312")</f>
        <v>Batch 312</v>
      </c>
      <c r="B6637" s="9" t="str">
        <f>IFERROR(__xludf.DUMMYFUNCTION("""COMPUTED_VALUE"""),"SankalpC12")</f>
        <v>SankalpC12</v>
      </c>
      <c r="C6637" s="8">
        <f>IFERROR(__xludf.DUMMYFUNCTION("""COMPUTED_VALUE"""),0.0)</f>
        <v>0</v>
      </c>
      <c r="D6637" s="8"/>
    </row>
    <row r="6638">
      <c r="A6638" s="9" t="str">
        <f>IFERROR(__xludf.DUMMYFUNCTION("""COMPUTED_VALUE"""),"Batch 312")</f>
        <v>Batch 312</v>
      </c>
      <c r="B6638" s="9" t="str">
        <f>IFERROR(__xludf.DUMMYFUNCTION("""COMPUTED_VALUE"""),"KomalC12")</f>
        <v>KomalC12</v>
      </c>
      <c r="C6638" s="8">
        <f>IFERROR(__xludf.DUMMYFUNCTION("""COMPUTED_VALUE"""),0.0)</f>
        <v>0</v>
      </c>
      <c r="D6638" s="8"/>
    </row>
    <row r="6639">
      <c r="A6639" s="9" t="str">
        <f>IFERROR(__xludf.DUMMYFUNCTION("""COMPUTED_VALUE"""),"Batch 312")</f>
        <v>Batch 312</v>
      </c>
      <c r="B6639" s="9" t="str">
        <f>IFERROR(__xludf.DUMMYFUNCTION("""COMPUTED_VALUE"""),"SudershanC12")</f>
        <v>SudershanC12</v>
      </c>
      <c r="C6639" s="8">
        <f>IFERROR(__xludf.DUMMYFUNCTION("""COMPUTED_VALUE"""),0.0)</f>
        <v>0</v>
      </c>
      <c r="D6639" s="8"/>
    </row>
    <row r="6640">
      <c r="A6640" s="9" t="str">
        <f>IFERROR(__xludf.DUMMYFUNCTION("""COMPUTED_VALUE"""),"Batch 312")</f>
        <v>Batch 312</v>
      </c>
      <c r="B6640" s="9" t="str">
        <f>IFERROR(__xludf.DUMMYFUNCTION("""COMPUTED_VALUE"""),"LakshC12")</f>
        <v>LakshC12</v>
      </c>
      <c r="C6640" s="8">
        <f>IFERROR(__xludf.DUMMYFUNCTION("""COMPUTED_VALUE"""),30.0)</f>
        <v>30</v>
      </c>
      <c r="D6640" s="8">
        <f>IFERROR(__xludf.DUMMYFUNCTION("""COMPUTED_VALUE"""),18.0)</f>
        <v>18</v>
      </c>
    </row>
    <row r="6641">
      <c r="A6641" s="9" t="str">
        <f>IFERROR(__xludf.DUMMYFUNCTION("""COMPUTED_VALUE"""),"Batch 312")</f>
        <v>Batch 312</v>
      </c>
      <c r="B6641" s="9" t="str">
        <f>IFERROR(__xludf.DUMMYFUNCTION("""COMPUTED_VALUE"""),"ShreyaC12")</f>
        <v>ShreyaC12</v>
      </c>
      <c r="C6641" s="8">
        <f>IFERROR(__xludf.DUMMYFUNCTION("""COMPUTED_VALUE"""),3.0)</f>
        <v>3</v>
      </c>
      <c r="D6641" s="8"/>
    </row>
    <row r="6642">
      <c r="A6642" s="9" t="str">
        <f>IFERROR(__xludf.DUMMYFUNCTION("""COMPUTED_VALUE"""),"Batch 312")</f>
        <v>Batch 312</v>
      </c>
      <c r="B6642" s="9" t="str">
        <f>IFERROR(__xludf.DUMMYFUNCTION("""COMPUTED_VALUE"""),"BhartiC12")</f>
        <v>BhartiC12</v>
      </c>
      <c r="C6642" s="8">
        <f>IFERROR(__xludf.DUMMYFUNCTION("""COMPUTED_VALUE"""),7.0)</f>
        <v>7</v>
      </c>
      <c r="D6642" s="8"/>
    </row>
    <row r="6643">
      <c r="A6643" s="9" t="str">
        <f>IFERROR(__xludf.DUMMYFUNCTION("""COMPUTED_VALUE"""),"Batch 312")</f>
        <v>Batch 312</v>
      </c>
      <c r="B6643" s="9" t="str">
        <f>IFERROR(__xludf.DUMMYFUNCTION("""COMPUTED_VALUE"""),"CharishmaC12")</f>
        <v>CharishmaC12</v>
      </c>
      <c r="C6643" s="8">
        <f>IFERROR(__xludf.DUMMYFUNCTION("""COMPUTED_VALUE"""),0.0)</f>
        <v>0</v>
      </c>
      <c r="D6643" s="8"/>
    </row>
    <row r="6644">
      <c r="A6644" s="9" t="str">
        <f>IFERROR(__xludf.DUMMYFUNCTION("""COMPUTED_VALUE"""),"Batch 312")</f>
        <v>Batch 312</v>
      </c>
      <c r="B6644" s="9" t="str">
        <f>IFERROR(__xludf.DUMMYFUNCTION("""COMPUTED_VALUE"""),"RutikaC12")</f>
        <v>RutikaC12</v>
      </c>
      <c r="C6644" s="8">
        <f>IFERROR(__xludf.DUMMYFUNCTION("""COMPUTED_VALUE"""),0.0)</f>
        <v>0</v>
      </c>
      <c r="D6644" s="8"/>
    </row>
    <row r="6645">
      <c r="A6645" s="9" t="str">
        <f>IFERROR(__xludf.DUMMYFUNCTION("""COMPUTED_VALUE"""),"Batch 312")</f>
        <v>Batch 312</v>
      </c>
      <c r="B6645" s="9" t="str">
        <f>IFERROR(__xludf.DUMMYFUNCTION("""COMPUTED_VALUE"""),"AshishC12")</f>
        <v>AshishC12</v>
      </c>
      <c r="C6645" s="8">
        <f>IFERROR(__xludf.DUMMYFUNCTION("""COMPUTED_VALUE"""),0.0)</f>
        <v>0</v>
      </c>
      <c r="D6645" s="8"/>
    </row>
    <row r="6646">
      <c r="A6646" s="9" t="str">
        <f>IFERROR(__xludf.DUMMYFUNCTION("""COMPUTED_VALUE"""),"Batch 312")</f>
        <v>Batch 312</v>
      </c>
      <c r="B6646" s="9" t="str">
        <f>IFERROR(__xludf.DUMMYFUNCTION("""COMPUTED_VALUE"""),"SaniyaC12")</f>
        <v>SaniyaC12</v>
      </c>
      <c r="C6646" s="8">
        <f>IFERROR(__xludf.DUMMYFUNCTION("""COMPUTED_VALUE"""),38.0)</f>
        <v>38</v>
      </c>
      <c r="D6646" s="8">
        <f>IFERROR(__xludf.DUMMYFUNCTION("""COMPUTED_VALUE"""),8.0)</f>
        <v>8</v>
      </c>
    </row>
    <row r="6647">
      <c r="A6647" s="9" t="str">
        <f>IFERROR(__xludf.DUMMYFUNCTION("""COMPUTED_VALUE"""),"Batch 312")</f>
        <v>Batch 312</v>
      </c>
      <c r="B6647" s="9" t="str">
        <f>IFERROR(__xludf.DUMMYFUNCTION("""COMPUTED_VALUE"""),"IshitaC12")</f>
        <v>IshitaC12</v>
      </c>
      <c r="C6647" s="8">
        <f>IFERROR(__xludf.DUMMYFUNCTION("""COMPUTED_VALUE"""),31.0)</f>
        <v>31</v>
      </c>
      <c r="D6647" s="8">
        <f>IFERROR(__xludf.DUMMYFUNCTION("""COMPUTED_VALUE"""),12.0)</f>
        <v>12</v>
      </c>
    </row>
    <row r="6648">
      <c r="A6648" s="9" t="str">
        <f>IFERROR(__xludf.DUMMYFUNCTION("""COMPUTED_VALUE"""),"Batch 312")</f>
        <v>Batch 312</v>
      </c>
      <c r="B6648" s="9" t="str">
        <f>IFERROR(__xludf.DUMMYFUNCTION("""COMPUTED_VALUE"""),"JAYESHC12")</f>
        <v>JAYESHC12</v>
      </c>
      <c r="C6648" s="8">
        <f>IFERROR(__xludf.DUMMYFUNCTION("""COMPUTED_VALUE"""),0.0)</f>
        <v>0</v>
      </c>
      <c r="D6648" s="8"/>
    </row>
    <row r="6649">
      <c r="A6649" s="9" t="str">
        <f>IFERROR(__xludf.DUMMYFUNCTION("""COMPUTED_VALUE"""),"Batch 312")</f>
        <v>Batch 312</v>
      </c>
      <c r="B6649" s="9" t="str">
        <f>IFERROR(__xludf.DUMMYFUNCTION("""COMPUTED_VALUE"""),"PalakC12")</f>
        <v>PalakC12</v>
      </c>
      <c r="C6649" s="8">
        <f>IFERROR(__xludf.DUMMYFUNCTION("""COMPUTED_VALUE"""),10.0)</f>
        <v>10</v>
      </c>
      <c r="D6649" s="8">
        <f>IFERROR(__xludf.DUMMYFUNCTION("""COMPUTED_VALUE"""),1.0)</f>
        <v>1</v>
      </c>
    </row>
    <row r="6650">
      <c r="A6650" s="9" t="str">
        <f>IFERROR(__xludf.DUMMYFUNCTION("""COMPUTED_VALUE"""),"Batch 312")</f>
        <v>Batch 312</v>
      </c>
      <c r="B6650" s="9" t="str">
        <f>IFERROR(__xludf.DUMMYFUNCTION("""COMPUTED_VALUE"""),"AMANC12")</f>
        <v>AMANC12</v>
      </c>
      <c r="C6650" s="8">
        <f>IFERROR(__xludf.DUMMYFUNCTION("""COMPUTED_VALUE"""),0.0)</f>
        <v>0</v>
      </c>
      <c r="D6650" s="8"/>
    </row>
    <row r="6651">
      <c r="A6651" s="9" t="str">
        <f>IFERROR(__xludf.DUMMYFUNCTION("""COMPUTED_VALUE"""),"Batch 312")</f>
        <v>Batch 312</v>
      </c>
      <c r="B6651" s="9" t="str">
        <f>IFERROR(__xludf.DUMMYFUNCTION("""COMPUTED_VALUE"""),"SwethaC12")</f>
        <v>SwethaC12</v>
      </c>
      <c r="C6651" s="8">
        <f>IFERROR(__xludf.DUMMYFUNCTION("""COMPUTED_VALUE"""),0.0)</f>
        <v>0</v>
      </c>
      <c r="D6651" s="8"/>
    </row>
    <row r="6652">
      <c r="A6652" s="9" t="str">
        <f>IFERROR(__xludf.DUMMYFUNCTION("""COMPUTED_VALUE"""),"Batch 312")</f>
        <v>Batch 312</v>
      </c>
      <c r="B6652" s="9" t="str">
        <f>IFERROR(__xludf.DUMMYFUNCTION("""COMPUTED_VALUE"""),"UditC12")</f>
        <v>UditC12</v>
      </c>
      <c r="C6652" s="8">
        <f>IFERROR(__xludf.DUMMYFUNCTION("""COMPUTED_VALUE"""),17.0)</f>
        <v>17</v>
      </c>
      <c r="D6652" s="8">
        <f>IFERROR(__xludf.DUMMYFUNCTION("""COMPUTED_VALUE"""),4.0)</f>
        <v>4</v>
      </c>
    </row>
    <row r="6653">
      <c r="A6653" s="9" t="str">
        <f>IFERROR(__xludf.DUMMYFUNCTION("""COMPUTED_VALUE"""),"Batch 312")</f>
        <v>Batch 312</v>
      </c>
      <c r="B6653" s="9" t="str">
        <f>IFERROR(__xludf.DUMMYFUNCTION("""COMPUTED_VALUE"""),"AbhijeetC12")</f>
        <v>AbhijeetC12</v>
      </c>
      <c r="C6653" s="8">
        <f>IFERROR(__xludf.DUMMYFUNCTION("""COMPUTED_VALUE"""),0.0)</f>
        <v>0</v>
      </c>
      <c r="D6653" s="8"/>
    </row>
    <row r="6654">
      <c r="A6654" s="9" t="str">
        <f>IFERROR(__xludf.DUMMYFUNCTION("""COMPUTED_VALUE"""),"Batch 312")</f>
        <v>Batch 312</v>
      </c>
      <c r="B6654" s="9" t="str">
        <f>IFERROR(__xludf.DUMMYFUNCTION("""COMPUTED_VALUE"""),"PhaniC12")</f>
        <v>PhaniC12</v>
      </c>
      <c r="C6654" s="8">
        <f>IFERROR(__xludf.DUMMYFUNCTION("""COMPUTED_VALUE"""),0.0)</f>
        <v>0</v>
      </c>
      <c r="D6654" s="8"/>
    </row>
    <row r="6655">
      <c r="A6655" s="9" t="str">
        <f>IFERROR(__xludf.DUMMYFUNCTION("""COMPUTED_VALUE"""),"Batch 312")</f>
        <v>Batch 312</v>
      </c>
      <c r="B6655" s="9" t="str">
        <f>IFERROR(__xludf.DUMMYFUNCTION("""COMPUTED_VALUE"""),"AnishaC12")</f>
        <v>AnishaC12</v>
      </c>
      <c r="C6655" s="8">
        <f>IFERROR(__xludf.DUMMYFUNCTION("""COMPUTED_VALUE"""),0.0)</f>
        <v>0</v>
      </c>
      <c r="D6655" s="8"/>
    </row>
    <row r="6656">
      <c r="A6656" s="9" t="str">
        <f>IFERROR(__xludf.DUMMYFUNCTION("""COMPUTED_VALUE"""),"Batch 312")</f>
        <v>Batch 312</v>
      </c>
      <c r="B6656" s="9" t="str">
        <f>IFERROR(__xludf.DUMMYFUNCTION("""COMPUTED_VALUE"""),"AnushkaC12")</f>
        <v>AnushkaC12</v>
      </c>
      <c r="C6656" s="8">
        <f>IFERROR(__xludf.DUMMYFUNCTION("""COMPUTED_VALUE"""),0.0)</f>
        <v>0</v>
      </c>
      <c r="D6656" s="8"/>
    </row>
    <row r="6657">
      <c r="A6657" s="9" t="str">
        <f>IFERROR(__xludf.DUMMYFUNCTION("""COMPUTED_VALUE"""),"Batch 312")</f>
        <v>Batch 312</v>
      </c>
      <c r="B6657" s="9" t="str">
        <f>IFERROR(__xludf.DUMMYFUNCTION("""COMPUTED_VALUE"""),"vidhyanC12")</f>
        <v>vidhyanC12</v>
      </c>
      <c r="C6657" s="8">
        <f>IFERROR(__xludf.DUMMYFUNCTION("""COMPUTED_VALUE"""),0.0)</f>
        <v>0</v>
      </c>
      <c r="D6657" s="8"/>
    </row>
    <row r="6658">
      <c r="A6658" s="9" t="str">
        <f>IFERROR(__xludf.DUMMYFUNCTION("""COMPUTED_VALUE"""),"Batch 312")</f>
        <v>Batch 312</v>
      </c>
      <c r="B6658" s="9" t="str">
        <f>IFERROR(__xludf.DUMMYFUNCTION("""COMPUTED_VALUE"""),"IrfanC12")</f>
        <v>IrfanC12</v>
      </c>
      <c r="C6658" s="8">
        <f>IFERROR(__xludf.DUMMYFUNCTION("""COMPUTED_VALUE"""),2.0)</f>
        <v>2</v>
      </c>
      <c r="D6658" s="8"/>
    </row>
    <row r="6659">
      <c r="A6659" s="9" t="str">
        <f>IFERROR(__xludf.DUMMYFUNCTION("""COMPUTED_VALUE"""),"Batch 312")</f>
        <v>Batch 312</v>
      </c>
      <c r="B6659" s="9" t="str">
        <f>IFERROR(__xludf.DUMMYFUNCTION("""COMPUTED_VALUE"""),"UjjwalC12")</f>
        <v>UjjwalC12</v>
      </c>
      <c r="C6659" s="8">
        <f>IFERROR(__xludf.DUMMYFUNCTION("""COMPUTED_VALUE"""),0.0)</f>
        <v>0</v>
      </c>
      <c r="D6659" s="8"/>
    </row>
    <row r="6660">
      <c r="A6660" s="9" t="str">
        <f>IFERROR(__xludf.DUMMYFUNCTION("""COMPUTED_VALUE"""),"Batch 312")</f>
        <v>Batch 312</v>
      </c>
      <c r="B6660" s="9" t="str">
        <f>IFERROR(__xludf.DUMMYFUNCTION("""COMPUTED_VALUE"""),"PavanC12")</f>
        <v>PavanC12</v>
      </c>
      <c r="C6660" s="8">
        <f>IFERROR(__xludf.DUMMYFUNCTION("""COMPUTED_VALUE"""),1.0)</f>
        <v>1</v>
      </c>
      <c r="D6660" s="8"/>
    </row>
    <row r="6661">
      <c r="A6661" s="9" t="str">
        <f>IFERROR(__xludf.DUMMYFUNCTION("""COMPUTED_VALUE"""),"Batch 312")</f>
        <v>Batch 312</v>
      </c>
      <c r="B6661" s="9" t="str">
        <f>IFERROR(__xludf.DUMMYFUNCTION("""COMPUTED_VALUE"""),"MunishC12")</f>
        <v>MunishC12</v>
      </c>
      <c r="C6661" s="8">
        <f>IFERROR(__xludf.DUMMYFUNCTION("""COMPUTED_VALUE"""),0.0)</f>
        <v>0</v>
      </c>
      <c r="D6661" s="8"/>
    </row>
    <row r="6662">
      <c r="A6662" s="9" t="str">
        <f>IFERROR(__xludf.DUMMYFUNCTION("""COMPUTED_VALUE"""),"Batch 312")</f>
        <v>Batch 312</v>
      </c>
      <c r="B6662" s="9" t="str">
        <f>IFERROR(__xludf.DUMMYFUNCTION("""COMPUTED_VALUE"""),"SameerC12")</f>
        <v>SameerC12</v>
      </c>
      <c r="C6662" s="8">
        <f>IFERROR(__xludf.DUMMYFUNCTION("""COMPUTED_VALUE"""),0.0)</f>
        <v>0</v>
      </c>
      <c r="D6662" s="8"/>
    </row>
    <row r="6663">
      <c r="A6663" s="9" t="str">
        <f>IFERROR(__xludf.DUMMYFUNCTION("""COMPUTED_VALUE"""),"Batch 312")</f>
        <v>Batch 312</v>
      </c>
      <c r="B6663" s="9" t="str">
        <f>IFERROR(__xludf.DUMMYFUNCTION("""COMPUTED_VALUE"""),"AyanC12")</f>
        <v>AyanC12</v>
      </c>
      <c r="C6663" s="8">
        <f>IFERROR(__xludf.DUMMYFUNCTION("""COMPUTED_VALUE"""),7.0)</f>
        <v>7</v>
      </c>
      <c r="D6663" s="8"/>
    </row>
    <row r="6664">
      <c r="A6664" s="9" t="str">
        <f>IFERROR(__xludf.DUMMYFUNCTION("""COMPUTED_VALUE"""),"Batch 312")</f>
        <v>Batch 312</v>
      </c>
      <c r="B6664" s="9" t="str">
        <f>IFERROR(__xludf.DUMMYFUNCTION("""COMPUTED_VALUE"""),"AnuradhaC12")</f>
        <v>AnuradhaC12</v>
      </c>
      <c r="C6664" s="8">
        <f>IFERROR(__xludf.DUMMYFUNCTION("""COMPUTED_VALUE"""),0.0)</f>
        <v>0</v>
      </c>
      <c r="D6664" s="8"/>
    </row>
    <row r="6665">
      <c r="A6665" s="9" t="str">
        <f>IFERROR(__xludf.DUMMYFUNCTION("""COMPUTED_VALUE"""),"Batch 312")</f>
        <v>Batch 312</v>
      </c>
      <c r="B6665" s="9" t="str">
        <f>IFERROR(__xludf.DUMMYFUNCTION("""COMPUTED_VALUE"""),"SnehaC12")</f>
        <v>SnehaC12</v>
      </c>
      <c r="C6665" s="8">
        <f>IFERROR(__xludf.DUMMYFUNCTION("""COMPUTED_VALUE"""),0.0)</f>
        <v>0</v>
      </c>
      <c r="D6665" s="8"/>
    </row>
    <row r="6666">
      <c r="A6666" s="9" t="str">
        <f>IFERROR(__xludf.DUMMYFUNCTION("""COMPUTED_VALUE"""),"Batch 312")</f>
        <v>Batch 312</v>
      </c>
      <c r="B6666" s="9" t="str">
        <f>IFERROR(__xludf.DUMMYFUNCTION("""COMPUTED_VALUE"""),"JaruplaC12")</f>
        <v>JaruplaC12</v>
      </c>
      <c r="C6666" s="8">
        <f>IFERROR(__xludf.DUMMYFUNCTION("""COMPUTED_VALUE"""),1.0)</f>
        <v>1</v>
      </c>
      <c r="D6666" s="8"/>
    </row>
    <row r="6667">
      <c r="A6667" s="9" t="str">
        <f>IFERROR(__xludf.DUMMYFUNCTION("""COMPUTED_VALUE"""),"Batch 312")</f>
        <v>Batch 312</v>
      </c>
      <c r="B6667" s="9" t="str">
        <f>IFERROR(__xludf.DUMMYFUNCTION("""COMPUTED_VALUE"""),"SammvridhiC12")</f>
        <v>SammvridhiC12</v>
      </c>
      <c r="C6667" s="8">
        <f>IFERROR(__xludf.DUMMYFUNCTION("""COMPUTED_VALUE"""),0.0)</f>
        <v>0</v>
      </c>
      <c r="D6667" s="8"/>
    </row>
    <row r="6668">
      <c r="A6668" s="9"/>
      <c r="B6668" s="9"/>
      <c r="C6668" s="8">
        <f>IFERROR(__xludf.DUMMYFUNCTION("""COMPUTED_VALUE"""),0.0)</f>
        <v>0</v>
      </c>
      <c r="D6668" s="8"/>
    </row>
    <row r="6669">
      <c r="A6669" s="9" t="str">
        <f>IFERROR(__xludf.DUMMYFUNCTION("""COMPUTED_VALUE"""),"Batch 313")</f>
        <v>Batch 313</v>
      </c>
      <c r="B6669" s="9" t="str">
        <f>IFERROR(__xludf.DUMMYFUNCTION("""COMPUTED_VALUE"""),"JunaidC13")</f>
        <v>JunaidC13</v>
      </c>
      <c r="C6669" s="8">
        <f>IFERROR(__xludf.DUMMYFUNCTION("""COMPUTED_VALUE"""),0.0)</f>
        <v>0</v>
      </c>
      <c r="D6669" s="8"/>
    </row>
    <row r="6670">
      <c r="A6670" s="9" t="str">
        <f>IFERROR(__xludf.DUMMYFUNCTION("""COMPUTED_VALUE"""),"Batch 313")</f>
        <v>Batch 313</v>
      </c>
      <c r="B6670" s="9" t="str">
        <f>IFERROR(__xludf.DUMMYFUNCTION("""COMPUTED_VALUE"""),"SuvamitaC13")</f>
        <v>SuvamitaC13</v>
      </c>
      <c r="C6670" s="8">
        <f>IFERROR(__xludf.DUMMYFUNCTION("""COMPUTED_VALUE"""),0.0)</f>
        <v>0</v>
      </c>
      <c r="D6670" s="8"/>
    </row>
    <row r="6671">
      <c r="A6671" s="9" t="str">
        <f>IFERROR(__xludf.DUMMYFUNCTION("""COMPUTED_VALUE"""),"Batch 313")</f>
        <v>Batch 313</v>
      </c>
      <c r="B6671" s="9" t="str">
        <f>IFERROR(__xludf.DUMMYFUNCTION("""COMPUTED_VALUE"""),"PrashanthC13")</f>
        <v>PrashanthC13</v>
      </c>
      <c r="C6671" s="8">
        <f>IFERROR(__xludf.DUMMYFUNCTION("""COMPUTED_VALUE"""),0.0)</f>
        <v>0</v>
      </c>
      <c r="D6671" s="8"/>
    </row>
    <row r="6672">
      <c r="A6672" s="9" t="str">
        <f>IFERROR(__xludf.DUMMYFUNCTION("""COMPUTED_VALUE"""),"Batch 313")</f>
        <v>Batch 313</v>
      </c>
      <c r="B6672" s="9" t="str">
        <f>IFERROR(__xludf.DUMMYFUNCTION("""COMPUTED_VALUE"""),"DhaneshC13")</f>
        <v>DhaneshC13</v>
      </c>
      <c r="C6672" s="8">
        <f>IFERROR(__xludf.DUMMYFUNCTION("""COMPUTED_VALUE"""),0.0)</f>
        <v>0</v>
      </c>
      <c r="D6672" s="8"/>
    </row>
    <row r="6673">
      <c r="A6673" s="9" t="str">
        <f>IFERROR(__xludf.DUMMYFUNCTION("""COMPUTED_VALUE"""),"Batch 313")</f>
        <v>Batch 313</v>
      </c>
      <c r="B6673" s="9" t="str">
        <f>IFERROR(__xludf.DUMMYFUNCTION("""COMPUTED_VALUE"""),"AnushkaC13")</f>
        <v>AnushkaC13</v>
      </c>
      <c r="C6673" s="8">
        <f>IFERROR(__xludf.DUMMYFUNCTION("""COMPUTED_VALUE"""),0.0)</f>
        <v>0</v>
      </c>
      <c r="D6673" s="8"/>
    </row>
    <row r="6674">
      <c r="A6674" s="9" t="str">
        <f>IFERROR(__xludf.DUMMYFUNCTION("""COMPUTED_VALUE"""),"Batch 313")</f>
        <v>Batch 313</v>
      </c>
      <c r="B6674" s="9" t="str">
        <f>IFERROR(__xludf.DUMMYFUNCTION("""COMPUTED_VALUE"""),"SayeedC13")</f>
        <v>SayeedC13</v>
      </c>
      <c r="C6674" s="8">
        <f>IFERROR(__xludf.DUMMYFUNCTION("""COMPUTED_VALUE"""),0.0)</f>
        <v>0</v>
      </c>
      <c r="D6674" s="8"/>
    </row>
    <row r="6675">
      <c r="A6675" s="9" t="str">
        <f>IFERROR(__xludf.DUMMYFUNCTION("""COMPUTED_VALUE"""),"Batch 313")</f>
        <v>Batch 313</v>
      </c>
      <c r="B6675" s="9" t="str">
        <f>IFERROR(__xludf.DUMMYFUNCTION("""COMPUTED_VALUE"""),"RiyaC13")</f>
        <v>RiyaC13</v>
      </c>
      <c r="C6675" s="8">
        <f>IFERROR(__xludf.DUMMYFUNCTION("""COMPUTED_VALUE"""),0.0)</f>
        <v>0</v>
      </c>
      <c r="D6675" s="8"/>
    </row>
    <row r="6676">
      <c r="A6676" s="9" t="str">
        <f>IFERROR(__xludf.DUMMYFUNCTION("""COMPUTED_VALUE"""),"Batch 313")</f>
        <v>Batch 313</v>
      </c>
      <c r="B6676" s="9" t="str">
        <f>IFERROR(__xludf.DUMMYFUNCTION("""COMPUTED_VALUE"""),"LataC13")</f>
        <v>LataC13</v>
      </c>
      <c r="C6676" s="8">
        <f>IFERROR(__xludf.DUMMYFUNCTION("""COMPUTED_VALUE"""),0.0)</f>
        <v>0</v>
      </c>
      <c r="D6676" s="8"/>
    </row>
    <row r="6677">
      <c r="A6677" s="9" t="str">
        <f>IFERROR(__xludf.DUMMYFUNCTION("""COMPUTED_VALUE"""),"Batch 313")</f>
        <v>Batch 313</v>
      </c>
      <c r="B6677" s="9" t="str">
        <f>IFERROR(__xludf.DUMMYFUNCTION("""COMPUTED_VALUE"""),"SaaraC13")</f>
        <v>SaaraC13</v>
      </c>
      <c r="C6677" s="8">
        <f>IFERROR(__xludf.DUMMYFUNCTION("""COMPUTED_VALUE"""),0.0)</f>
        <v>0</v>
      </c>
      <c r="D6677" s="8"/>
    </row>
    <row r="6678">
      <c r="A6678" s="9" t="str">
        <f>IFERROR(__xludf.DUMMYFUNCTION("""COMPUTED_VALUE"""),"Batch 313")</f>
        <v>Batch 313</v>
      </c>
      <c r="B6678" s="9" t="str">
        <f>IFERROR(__xludf.DUMMYFUNCTION("""COMPUTED_VALUE"""),"MeeraC13")</f>
        <v>MeeraC13</v>
      </c>
      <c r="C6678" s="8">
        <f>IFERROR(__xludf.DUMMYFUNCTION("""COMPUTED_VALUE"""),0.0)</f>
        <v>0</v>
      </c>
      <c r="D6678" s="8"/>
    </row>
    <row r="6679">
      <c r="A6679" s="9" t="str">
        <f>IFERROR(__xludf.DUMMYFUNCTION("""COMPUTED_VALUE"""),"Batch 313")</f>
        <v>Batch 313</v>
      </c>
      <c r="B6679" s="9" t="str">
        <f>IFERROR(__xludf.DUMMYFUNCTION("""COMPUTED_VALUE"""),"AkshatC13")</f>
        <v>AkshatC13</v>
      </c>
      <c r="C6679" s="8">
        <f>IFERROR(__xludf.DUMMYFUNCTION("""COMPUTED_VALUE"""),1.0)</f>
        <v>1</v>
      </c>
      <c r="D6679" s="8"/>
    </row>
    <row r="6680">
      <c r="A6680" s="9" t="str">
        <f>IFERROR(__xludf.DUMMYFUNCTION("""COMPUTED_VALUE"""),"Batch 313")</f>
        <v>Batch 313</v>
      </c>
      <c r="B6680" s="9" t="str">
        <f>IFERROR(__xludf.DUMMYFUNCTION("""COMPUTED_VALUE"""),"NandaC13")</f>
        <v>NandaC13</v>
      </c>
      <c r="C6680" s="8">
        <f>IFERROR(__xludf.DUMMYFUNCTION("""COMPUTED_VALUE"""),0.0)</f>
        <v>0</v>
      </c>
      <c r="D6680" s="8"/>
    </row>
    <row r="6681">
      <c r="A6681" s="9" t="str">
        <f>IFERROR(__xludf.DUMMYFUNCTION("""COMPUTED_VALUE"""),"Batch 313")</f>
        <v>Batch 313</v>
      </c>
      <c r="B6681" s="9" t="str">
        <f>IFERROR(__xludf.DUMMYFUNCTION("""COMPUTED_VALUE"""),"VritikaC13")</f>
        <v>VritikaC13</v>
      </c>
      <c r="C6681" s="8">
        <f>IFERROR(__xludf.DUMMYFUNCTION("""COMPUTED_VALUE"""),0.0)</f>
        <v>0</v>
      </c>
      <c r="D6681" s="8"/>
    </row>
    <row r="6682">
      <c r="A6682" s="9" t="str">
        <f>IFERROR(__xludf.DUMMYFUNCTION("""COMPUTED_VALUE"""),"Batch 313")</f>
        <v>Batch 313</v>
      </c>
      <c r="B6682" s="9" t="str">
        <f>IFERROR(__xludf.DUMMYFUNCTION("""COMPUTED_VALUE"""),"AvneeshC13")</f>
        <v>AvneeshC13</v>
      </c>
      <c r="C6682" s="8">
        <f>IFERROR(__xludf.DUMMYFUNCTION("""COMPUTED_VALUE"""),0.0)</f>
        <v>0</v>
      </c>
      <c r="D6682" s="8"/>
    </row>
    <row r="6683">
      <c r="A6683" s="9" t="str">
        <f>IFERROR(__xludf.DUMMYFUNCTION("""COMPUTED_VALUE"""),"Batch 313")</f>
        <v>Batch 313</v>
      </c>
      <c r="B6683" s="9" t="str">
        <f>IFERROR(__xludf.DUMMYFUNCTION("""COMPUTED_VALUE"""),"VidhiC13")</f>
        <v>VidhiC13</v>
      </c>
      <c r="C6683" s="8">
        <f>IFERROR(__xludf.DUMMYFUNCTION("""COMPUTED_VALUE"""),0.0)</f>
        <v>0</v>
      </c>
      <c r="D6683" s="8"/>
    </row>
    <row r="6684">
      <c r="A6684" s="9" t="str">
        <f>IFERROR(__xludf.DUMMYFUNCTION("""COMPUTED_VALUE"""),"Batch 313")</f>
        <v>Batch 313</v>
      </c>
      <c r="B6684" s="9" t="str">
        <f>IFERROR(__xludf.DUMMYFUNCTION("""COMPUTED_VALUE"""),"SengayC13")</f>
        <v>SengayC13</v>
      </c>
      <c r="C6684" s="8">
        <f>IFERROR(__xludf.DUMMYFUNCTION("""COMPUTED_VALUE"""),0.0)</f>
        <v>0</v>
      </c>
      <c r="D6684" s="8"/>
    </row>
    <row r="6685">
      <c r="A6685" s="9" t="str">
        <f>IFERROR(__xludf.DUMMYFUNCTION("""COMPUTED_VALUE"""),"Batch 313")</f>
        <v>Batch 313</v>
      </c>
      <c r="B6685" s="9" t="str">
        <f>IFERROR(__xludf.DUMMYFUNCTION("""COMPUTED_VALUE"""),"HARIHARANC13")</f>
        <v>HARIHARANC13</v>
      </c>
      <c r="C6685" s="8">
        <f>IFERROR(__xludf.DUMMYFUNCTION("""COMPUTED_VALUE"""),5.0)</f>
        <v>5</v>
      </c>
      <c r="D6685" s="8"/>
    </row>
    <row r="6686">
      <c r="A6686" s="9" t="str">
        <f>IFERROR(__xludf.DUMMYFUNCTION("""COMPUTED_VALUE"""),"Batch 313")</f>
        <v>Batch 313</v>
      </c>
      <c r="B6686" s="9" t="str">
        <f>IFERROR(__xludf.DUMMYFUNCTION("""COMPUTED_VALUE"""),"SahilC13")</f>
        <v>SahilC13</v>
      </c>
      <c r="C6686" s="8">
        <f>IFERROR(__xludf.DUMMYFUNCTION("""COMPUTED_VALUE"""),0.0)</f>
        <v>0</v>
      </c>
      <c r="D6686" s="8"/>
    </row>
    <row r="6687">
      <c r="A6687" s="9" t="str">
        <f>IFERROR(__xludf.DUMMYFUNCTION("""COMPUTED_VALUE"""),"Batch 313")</f>
        <v>Batch 313</v>
      </c>
      <c r="B6687" s="9" t="str">
        <f>IFERROR(__xludf.DUMMYFUNCTION("""COMPUTED_VALUE"""),"IshikaC13")</f>
        <v>IshikaC13</v>
      </c>
      <c r="C6687" s="8">
        <f>IFERROR(__xludf.DUMMYFUNCTION("""COMPUTED_VALUE"""),0.0)</f>
        <v>0</v>
      </c>
      <c r="D6687" s="8"/>
    </row>
    <row r="6688">
      <c r="A6688" s="9" t="str">
        <f>IFERROR(__xludf.DUMMYFUNCTION("""COMPUTED_VALUE"""),"Batch 313")</f>
        <v>Batch 313</v>
      </c>
      <c r="B6688" s="9" t="str">
        <f>IFERROR(__xludf.DUMMYFUNCTION("""COMPUTED_VALUE"""),"YashasviC13")</f>
        <v>YashasviC13</v>
      </c>
      <c r="C6688" s="8">
        <f>IFERROR(__xludf.DUMMYFUNCTION("""COMPUTED_VALUE"""),0.0)</f>
        <v>0</v>
      </c>
      <c r="D6688" s="8"/>
    </row>
    <row r="6689">
      <c r="A6689" s="9" t="str">
        <f>IFERROR(__xludf.DUMMYFUNCTION("""COMPUTED_VALUE"""),"Batch 313")</f>
        <v>Batch 313</v>
      </c>
      <c r="B6689" s="9" t="str">
        <f>IFERROR(__xludf.DUMMYFUNCTION("""COMPUTED_VALUE"""),"SaranshC13")</f>
        <v>SaranshC13</v>
      </c>
      <c r="C6689" s="8">
        <f>IFERROR(__xludf.DUMMYFUNCTION("""COMPUTED_VALUE"""),0.0)</f>
        <v>0</v>
      </c>
      <c r="D6689" s="8"/>
    </row>
    <row r="6690">
      <c r="A6690" s="9" t="str">
        <f>IFERROR(__xludf.DUMMYFUNCTION("""COMPUTED_VALUE"""),"Batch 313")</f>
        <v>Batch 313</v>
      </c>
      <c r="B6690" s="9" t="str">
        <f>IFERROR(__xludf.DUMMYFUNCTION("""COMPUTED_VALUE"""),"AdhyayanC13")</f>
        <v>AdhyayanC13</v>
      </c>
      <c r="C6690" s="8">
        <f>IFERROR(__xludf.DUMMYFUNCTION("""COMPUTED_VALUE"""),0.0)</f>
        <v>0</v>
      </c>
      <c r="D6690" s="8"/>
    </row>
    <row r="6691">
      <c r="A6691" s="9" t="str">
        <f>IFERROR(__xludf.DUMMYFUNCTION("""COMPUTED_VALUE"""),"Batch 313")</f>
        <v>Batch 313</v>
      </c>
      <c r="B6691" s="9" t="str">
        <f>IFERROR(__xludf.DUMMYFUNCTION("""COMPUTED_VALUE"""),"LakshmiC13")</f>
        <v>LakshmiC13</v>
      </c>
      <c r="C6691" s="8">
        <f>IFERROR(__xludf.DUMMYFUNCTION("""COMPUTED_VALUE"""),1.0)</f>
        <v>1</v>
      </c>
      <c r="D6691" s="8">
        <f>IFERROR(__xludf.DUMMYFUNCTION("""COMPUTED_VALUE"""),3.0)</f>
        <v>3</v>
      </c>
    </row>
    <row r="6692">
      <c r="A6692" s="9" t="str">
        <f>IFERROR(__xludf.DUMMYFUNCTION("""COMPUTED_VALUE"""),"Batch 313")</f>
        <v>Batch 313</v>
      </c>
      <c r="B6692" s="9" t="str">
        <f>IFERROR(__xludf.DUMMYFUNCTION("""COMPUTED_VALUE"""),"HemungC13")</f>
        <v>HemungC13</v>
      </c>
      <c r="C6692" s="8">
        <f>IFERROR(__xludf.DUMMYFUNCTION("""COMPUTED_VALUE"""),0.0)</f>
        <v>0</v>
      </c>
      <c r="D6692" s="8"/>
    </row>
    <row r="6693">
      <c r="A6693" s="9" t="str">
        <f>IFERROR(__xludf.DUMMYFUNCTION("""COMPUTED_VALUE"""),"Batch 313")</f>
        <v>Batch 313</v>
      </c>
      <c r="B6693" s="9" t="str">
        <f>IFERROR(__xludf.DUMMYFUNCTION("""COMPUTED_VALUE"""),"TamannaC13")</f>
        <v>TamannaC13</v>
      </c>
      <c r="C6693" s="8">
        <f>IFERROR(__xludf.DUMMYFUNCTION("""COMPUTED_VALUE"""),0.0)</f>
        <v>0</v>
      </c>
      <c r="D6693" s="8"/>
    </row>
    <row r="6694">
      <c r="A6694" s="9" t="str">
        <f>IFERROR(__xludf.DUMMYFUNCTION("""COMPUTED_VALUE"""),"Batch 313")</f>
        <v>Batch 313</v>
      </c>
      <c r="B6694" s="9" t="str">
        <f>IFERROR(__xludf.DUMMYFUNCTION("""COMPUTED_VALUE"""),"RajC13")</f>
        <v>RajC13</v>
      </c>
      <c r="C6694" s="8">
        <f>IFERROR(__xludf.DUMMYFUNCTION("""COMPUTED_VALUE"""),0.0)</f>
        <v>0</v>
      </c>
      <c r="D6694" s="8"/>
    </row>
    <row r="6695">
      <c r="A6695" s="9" t="str">
        <f>IFERROR(__xludf.DUMMYFUNCTION("""COMPUTED_VALUE"""),"Batch 313")</f>
        <v>Batch 313</v>
      </c>
      <c r="B6695" s="9" t="str">
        <f>IFERROR(__xludf.DUMMYFUNCTION("""COMPUTED_VALUE"""),"KC13")</f>
        <v>KC13</v>
      </c>
      <c r="C6695" s="8">
        <f>IFERROR(__xludf.DUMMYFUNCTION("""COMPUTED_VALUE"""),9.0)</f>
        <v>9</v>
      </c>
      <c r="D6695" s="8">
        <f>IFERROR(__xludf.DUMMYFUNCTION("""COMPUTED_VALUE"""),2.0)</f>
        <v>2</v>
      </c>
    </row>
    <row r="6696">
      <c r="A6696" s="9" t="str">
        <f>IFERROR(__xludf.DUMMYFUNCTION("""COMPUTED_VALUE"""),"Batch 313")</f>
        <v>Batch 313</v>
      </c>
      <c r="B6696" s="9" t="str">
        <f>IFERROR(__xludf.DUMMYFUNCTION("""COMPUTED_VALUE"""),"AaryaC13")</f>
        <v>AaryaC13</v>
      </c>
      <c r="C6696" s="8">
        <f>IFERROR(__xludf.DUMMYFUNCTION("""COMPUTED_VALUE"""),0.0)</f>
        <v>0</v>
      </c>
      <c r="D6696" s="8"/>
    </row>
    <row r="6697">
      <c r="A6697" s="9" t="str">
        <f>IFERROR(__xludf.DUMMYFUNCTION("""COMPUTED_VALUE"""),"Batch 313")</f>
        <v>Batch 313</v>
      </c>
      <c r="B6697" s="9" t="str">
        <f>IFERROR(__xludf.DUMMYFUNCTION("""COMPUTED_VALUE"""),"RakshikaC13")</f>
        <v>RakshikaC13</v>
      </c>
      <c r="C6697" s="8">
        <f>IFERROR(__xludf.DUMMYFUNCTION("""COMPUTED_VALUE"""),0.0)</f>
        <v>0</v>
      </c>
      <c r="D6697" s="8"/>
    </row>
    <row r="6698">
      <c r="A6698" s="9" t="str">
        <f>IFERROR(__xludf.DUMMYFUNCTION("""COMPUTED_VALUE"""),"Batch 313")</f>
        <v>Batch 313</v>
      </c>
      <c r="B6698" s="9" t="str">
        <f>IFERROR(__xludf.DUMMYFUNCTION("""COMPUTED_VALUE"""),"MayankC13")</f>
        <v>MayankC13</v>
      </c>
      <c r="C6698" s="8">
        <f>IFERROR(__xludf.DUMMYFUNCTION("""COMPUTED_VALUE"""),0.0)</f>
        <v>0</v>
      </c>
      <c r="D6698" s="8"/>
    </row>
    <row r="6699">
      <c r="A6699" s="9" t="str">
        <f>IFERROR(__xludf.DUMMYFUNCTION("""COMPUTED_VALUE"""),"Batch 313")</f>
        <v>Batch 313</v>
      </c>
      <c r="B6699" s="9" t="str">
        <f>IFERROR(__xludf.DUMMYFUNCTION("""COMPUTED_VALUE"""),"TanishaC13")</f>
        <v>TanishaC13</v>
      </c>
      <c r="C6699" s="8">
        <f>IFERROR(__xludf.DUMMYFUNCTION("""COMPUTED_VALUE"""),1.0)</f>
        <v>1</v>
      </c>
      <c r="D6699" s="8"/>
    </row>
    <row r="6700">
      <c r="A6700" s="9" t="str">
        <f>IFERROR(__xludf.DUMMYFUNCTION("""COMPUTED_VALUE"""),"Batch 313")</f>
        <v>Batch 313</v>
      </c>
      <c r="B6700" s="9" t="str">
        <f>IFERROR(__xludf.DUMMYFUNCTION("""COMPUTED_VALUE"""),"SourabhC13")</f>
        <v>SourabhC13</v>
      </c>
      <c r="C6700" s="8">
        <f>IFERROR(__xludf.DUMMYFUNCTION("""COMPUTED_VALUE"""),0.0)</f>
        <v>0</v>
      </c>
      <c r="D6700" s="8"/>
    </row>
    <row r="6701">
      <c r="A6701" s="9" t="str">
        <f>IFERROR(__xludf.DUMMYFUNCTION("""COMPUTED_VALUE"""),"Batch 313")</f>
        <v>Batch 313</v>
      </c>
      <c r="B6701" s="9" t="str">
        <f>IFERROR(__xludf.DUMMYFUNCTION("""COMPUTED_VALUE"""),"MehulC13")</f>
        <v>MehulC13</v>
      </c>
      <c r="C6701" s="8">
        <f>IFERROR(__xludf.DUMMYFUNCTION("""COMPUTED_VALUE"""),0.0)</f>
        <v>0</v>
      </c>
      <c r="D6701" s="8"/>
    </row>
    <row r="6702">
      <c r="A6702" s="9" t="str">
        <f>IFERROR(__xludf.DUMMYFUNCTION("""COMPUTED_VALUE"""),"Batch 313")</f>
        <v>Batch 313</v>
      </c>
      <c r="B6702" s="9" t="str">
        <f>IFERROR(__xludf.DUMMYFUNCTION("""COMPUTED_VALUE"""),"AditC13")</f>
        <v>AditC13</v>
      </c>
      <c r="C6702" s="8">
        <f>IFERROR(__xludf.DUMMYFUNCTION("""COMPUTED_VALUE"""),0.0)</f>
        <v>0</v>
      </c>
      <c r="D6702" s="8"/>
    </row>
    <row r="6703">
      <c r="A6703" s="9" t="str">
        <f>IFERROR(__xludf.DUMMYFUNCTION("""COMPUTED_VALUE"""),"Batch 313")</f>
        <v>Batch 313</v>
      </c>
      <c r="B6703" s="9" t="str">
        <f>IFERROR(__xludf.DUMMYFUNCTION("""COMPUTED_VALUE"""),"RajeevC13")</f>
        <v>RajeevC13</v>
      </c>
      <c r="C6703" s="8">
        <f>IFERROR(__xludf.DUMMYFUNCTION("""COMPUTED_VALUE"""),0.0)</f>
        <v>0</v>
      </c>
      <c r="D6703" s="8"/>
    </row>
    <row r="6704">
      <c r="A6704" s="9" t="str">
        <f>IFERROR(__xludf.DUMMYFUNCTION("""COMPUTED_VALUE"""),"Batch 313")</f>
        <v>Batch 313</v>
      </c>
      <c r="B6704" s="9" t="str">
        <f>IFERROR(__xludf.DUMMYFUNCTION("""COMPUTED_VALUE"""),"SHIKSHAC13")</f>
        <v>SHIKSHAC13</v>
      </c>
      <c r="C6704" s="8">
        <f>IFERROR(__xludf.DUMMYFUNCTION("""COMPUTED_VALUE"""),0.0)</f>
        <v>0</v>
      </c>
      <c r="D6704" s="8"/>
    </row>
    <row r="6705">
      <c r="A6705" s="9" t="str">
        <f>IFERROR(__xludf.DUMMYFUNCTION("""COMPUTED_VALUE"""),"Batch 313")</f>
        <v>Batch 313</v>
      </c>
      <c r="B6705" s="9" t="str">
        <f>IFERROR(__xludf.DUMMYFUNCTION("""COMPUTED_VALUE"""),"KhushiC13")</f>
        <v>KhushiC13</v>
      </c>
      <c r="C6705" s="8">
        <f>IFERROR(__xludf.DUMMYFUNCTION("""COMPUTED_VALUE"""),1.0)</f>
        <v>1</v>
      </c>
      <c r="D6705" s="8"/>
    </row>
    <row r="6706">
      <c r="A6706" s="9" t="str">
        <f>IFERROR(__xludf.DUMMYFUNCTION("""COMPUTED_VALUE"""),"Batch 313")</f>
        <v>Batch 313</v>
      </c>
      <c r="B6706" s="9" t="str">
        <f>IFERROR(__xludf.DUMMYFUNCTION("""COMPUTED_VALUE"""),"ArunC13")</f>
        <v>ArunC13</v>
      </c>
      <c r="C6706" s="8">
        <f>IFERROR(__xludf.DUMMYFUNCTION("""COMPUTED_VALUE"""),0.0)</f>
        <v>0</v>
      </c>
      <c r="D6706" s="8"/>
    </row>
    <row r="6707">
      <c r="A6707" s="9" t="str">
        <f>IFERROR(__xludf.DUMMYFUNCTION("""COMPUTED_VALUE"""),"Batch 313")</f>
        <v>Batch 313</v>
      </c>
      <c r="B6707" s="9" t="str">
        <f>IFERROR(__xludf.DUMMYFUNCTION("""COMPUTED_VALUE"""),"KratikaC13")</f>
        <v>KratikaC13</v>
      </c>
      <c r="C6707" s="8">
        <f>IFERROR(__xludf.DUMMYFUNCTION("""COMPUTED_VALUE"""),0.0)</f>
        <v>0</v>
      </c>
      <c r="D6707" s="8"/>
    </row>
    <row r="6708">
      <c r="A6708" s="9" t="str">
        <f>IFERROR(__xludf.DUMMYFUNCTION("""COMPUTED_VALUE"""),"Batch 313")</f>
        <v>Batch 313</v>
      </c>
      <c r="B6708" s="9" t="str">
        <f>IFERROR(__xludf.DUMMYFUNCTION("""COMPUTED_VALUE"""),"BrahmjotC13")</f>
        <v>BrahmjotC13</v>
      </c>
      <c r="C6708" s="8">
        <f>IFERROR(__xludf.DUMMYFUNCTION("""COMPUTED_VALUE"""),0.0)</f>
        <v>0</v>
      </c>
      <c r="D6708" s="8"/>
    </row>
    <row r="6709">
      <c r="A6709" s="9" t="str">
        <f>IFERROR(__xludf.DUMMYFUNCTION("""COMPUTED_VALUE"""),"Batch 313")</f>
        <v>Batch 313</v>
      </c>
      <c r="B6709" s="9" t="str">
        <f>IFERROR(__xludf.DUMMYFUNCTION("""COMPUTED_VALUE"""),"DeepakC13")</f>
        <v>DeepakC13</v>
      </c>
      <c r="C6709" s="8">
        <f>IFERROR(__xludf.DUMMYFUNCTION("""COMPUTED_VALUE"""),0.0)</f>
        <v>0</v>
      </c>
      <c r="D6709" s="8"/>
    </row>
    <row r="6710">
      <c r="A6710" s="9" t="str">
        <f>IFERROR(__xludf.DUMMYFUNCTION("""COMPUTED_VALUE"""),"Batch 313")</f>
        <v>Batch 313</v>
      </c>
      <c r="B6710" s="9" t="str">
        <f>IFERROR(__xludf.DUMMYFUNCTION("""COMPUTED_VALUE"""),"edibilliC13")</f>
        <v>edibilliC13</v>
      </c>
      <c r="C6710" s="8">
        <f>IFERROR(__xludf.DUMMYFUNCTION("""COMPUTED_VALUE"""),0.0)</f>
        <v>0</v>
      </c>
      <c r="D6710" s="8"/>
    </row>
    <row r="6711">
      <c r="A6711" s="9" t="str">
        <f>IFERROR(__xludf.DUMMYFUNCTION("""COMPUTED_VALUE"""),"Batch 313")</f>
        <v>Batch 313</v>
      </c>
      <c r="B6711" s="9" t="str">
        <f>IFERROR(__xludf.DUMMYFUNCTION("""COMPUTED_VALUE"""),"MaheshwariC13")</f>
        <v>MaheshwariC13</v>
      </c>
      <c r="C6711" s="8">
        <f>IFERROR(__xludf.DUMMYFUNCTION("""COMPUTED_VALUE"""),0.0)</f>
        <v>0</v>
      </c>
      <c r="D6711" s="8"/>
    </row>
    <row r="6712">
      <c r="A6712" s="9" t="str">
        <f>IFERROR(__xludf.DUMMYFUNCTION("""COMPUTED_VALUE"""),"Batch 313")</f>
        <v>Batch 313</v>
      </c>
      <c r="B6712" s="9" t="str">
        <f>IFERROR(__xludf.DUMMYFUNCTION("""COMPUTED_VALUE"""),"RamyaC13")</f>
        <v>RamyaC13</v>
      </c>
      <c r="C6712" s="8">
        <f>IFERROR(__xludf.DUMMYFUNCTION("""COMPUTED_VALUE"""),0.0)</f>
        <v>0</v>
      </c>
      <c r="D6712" s="8"/>
    </row>
    <row r="6713">
      <c r="A6713" s="9" t="str">
        <f>IFERROR(__xludf.DUMMYFUNCTION("""COMPUTED_VALUE"""),"Batch 313")</f>
        <v>Batch 313</v>
      </c>
      <c r="B6713" s="9" t="str">
        <f>IFERROR(__xludf.DUMMYFUNCTION("""COMPUTED_VALUE"""),"HarshC13")</f>
        <v>HarshC13</v>
      </c>
      <c r="C6713" s="8">
        <f>IFERROR(__xludf.DUMMYFUNCTION("""COMPUTED_VALUE"""),0.0)</f>
        <v>0</v>
      </c>
      <c r="D6713" s="8"/>
    </row>
    <row r="6714">
      <c r="A6714" s="9" t="str">
        <f>IFERROR(__xludf.DUMMYFUNCTION("""COMPUTED_VALUE"""),"Batch 313")</f>
        <v>Batch 313</v>
      </c>
      <c r="B6714" s="9" t="str">
        <f>IFERROR(__xludf.DUMMYFUNCTION("""COMPUTED_VALUE"""),"AfraC13")</f>
        <v>AfraC13</v>
      </c>
      <c r="C6714" s="8">
        <f>IFERROR(__xludf.DUMMYFUNCTION("""COMPUTED_VALUE"""),0.0)</f>
        <v>0</v>
      </c>
      <c r="D6714" s="8"/>
    </row>
    <row r="6715">
      <c r="A6715" s="9" t="str">
        <f>IFERROR(__xludf.DUMMYFUNCTION("""COMPUTED_VALUE"""),"Batch 313")</f>
        <v>Batch 313</v>
      </c>
      <c r="B6715" s="9" t="str">
        <f>IFERROR(__xludf.DUMMYFUNCTION("""COMPUTED_VALUE"""),"ShreyaC13")</f>
        <v>ShreyaC13</v>
      </c>
      <c r="C6715" s="8">
        <f>IFERROR(__xludf.DUMMYFUNCTION("""COMPUTED_VALUE"""),0.0)</f>
        <v>0</v>
      </c>
      <c r="D6715" s="8"/>
    </row>
    <row r="6716">
      <c r="A6716" s="9" t="str">
        <f>IFERROR(__xludf.DUMMYFUNCTION("""COMPUTED_VALUE"""),"Batch 313")</f>
        <v>Batch 313</v>
      </c>
      <c r="B6716" s="9" t="str">
        <f>IFERROR(__xludf.DUMMYFUNCTION("""COMPUTED_VALUE"""),"TonmoiC13")</f>
        <v>TonmoiC13</v>
      </c>
      <c r="C6716" s="8">
        <f>IFERROR(__xludf.DUMMYFUNCTION("""COMPUTED_VALUE"""),5.0)</f>
        <v>5</v>
      </c>
      <c r="D6716" s="8">
        <f>IFERROR(__xludf.DUMMYFUNCTION("""COMPUTED_VALUE"""),2.0)</f>
        <v>2</v>
      </c>
    </row>
    <row r="6717">
      <c r="A6717" s="9" t="str">
        <f>IFERROR(__xludf.DUMMYFUNCTION("""COMPUTED_VALUE"""),"Batch 313")</f>
        <v>Batch 313</v>
      </c>
      <c r="B6717" s="9" t="str">
        <f>IFERROR(__xludf.DUMMYFUNCTION("""COMPUTED_VALUE"""),"KATULAC13")</f>
        <v>KATULAC13</v>
      </c>
      <c r="C6717" s="8">
        <f>IFERROR(__xludf.DUMMYFUNCTION("""COMPUTED_VALUE"""),0.0)</f>
        <v>0</v>
      </c>
      <c r="D6717" s="8"/>
    </row>
    <row r="6718">
      <c r="A6718" s="9" t="str">
        <f>IFERROR(__xludf.DUMMYFUNCTION("""COMPUTED_VALUE"""),"Batch 313")</f>
        <v>Batch 313</v>
      </c>
      <c r="B6718" s="9" t="str">
        <f>IFERROR(__xludf.DUMMYFUNCTION("""COMPUTED_VALUE"""),"LaxmanC13")</f>
        <v>LaxmanC13</v>
      </c>
      <c r="C6718" s="8">
        <f>IFERROR(__xludf.DUMMYFUNCTION("""COMPUTED_VALUE"""),0.0)</f>
        <v>0</v>
      </c>
      <c r="D6718" s="8"/>
    </row>
    <row r="6719">
      <c r="A6719" s="9" t="str">
        <f>IFERROR(__xludf.DUMMYFUNCTION("""COMPUTED_VALUE"""),"Batch 313")</f>
        <v>Batch 313</v>
      </c>
      <c r="B6719" s="9" t="str">
        <f>IFERROR(__xludf.DUMMYFUNCTION("""COMPUTED_VALUE"""),"NitzaC13")</f>
        <v>NitzaC13</v>
      </c>
      <c r="C6719" s="8">
        <f>IFERROR(__xludf.DUMMYFUNCTION("""COMPUTED_VALUE"""),0.0)</f>
        <v>0</v>
      </c>
      <c r="D6719" s="8"/>
    </row>
    <row r="6720">
      <c r="A6720" s="9" t="str">
        <f>IFERROR(__xludf.DUMMYFUNCTION("""COMPUTED_VALUE"""),"Batch 313")</f>
        <v>Batch 313</v>
      </c>
      <c r="B6720" s="9" t="str">
        <f>IFERROR(__xludf.DUMMYFUNCTION("""COMPUTED_VALUE"""),"SanojC13")</f>
        <v>SanojC13</v>
      </c>
      <c r="C6720" s="8">
        <f>IFERROR(__xludf.DUMMYFUNCTION("""COMPUTED_VALUE"""),0.0)</f>
        <v>0</v>
      </c>
      <c r="D6720" s="8"/>
    </row>
    <row r="6721">
      <c r="A6721" s="9" t="str">
        <f>IFERROR(__xludf.DUMMYFUNCTION("""COMPUTED_VALUE"""),"Batch 313")</f>
        <v>Batch 313</v>
      </c>
      <c r="B6721" s="9" t="str">
        <f>IFERROR(__xludf.DUMMYFUNCTION("""COMPUTED_VALUE"""),"AditiC13")</f>
        <v>AditiC13</v>
      </c>
      <c r="C6721" s="8">
        <f>IFERROR(__xludf.DUMMYFUNCTION("""COMPUTED_VALUE"""),0.0)</f>
        <v>0</v>
      </c>
      <c r="D6721" s="8"/>
    </row>
    <row r="6722">
      <c r="A6722" s="9" t="str">
        <f>IFERROR(__xludf.DUMMYFUNCTION("""COMPUTED_VALUE"""),"Batch 313")</f>
        <v>Batch 313</v>
      </c>
      <c r="B6722" s="9" t="str">
        <f>IFERROR(__xludf.DUMMYFUNCTION("""COMPUTED_VALUE"""),"RadhikaC13")</f>
        <v>RadhikaC13</v>
      </c>
      <c r="C6722" s="8">
        <f>IFERROR(__xludf.DUMMYFUNCTION("""COMPUTED_VALUE"""),0.0)</f>
        <v>0</v>
      </c>
      <c r="D6722" s="8"/>
    </row>
    <row r="6723">
      <c r="A6723" s="9" t="str">
        <f>IFERROR(__xludf.DUMMYFUNCTION("""COMPUTED_VALUE"""),"Batch 313")</f>
        <v>Batch 313</v>
      </c>
      <c r="B6723" s="9" t="str">
        <f>IFERROR(__xludf.DUMMYFUNCTION("""COMPUTED_VALUE"""),"KhushiC13")</f>
        <v>KhushiC13</v>
      </c>
      <c r="C6723" s="8">
        <f>IFERROR(__xludf.DUMMYFUNCTION("""COMPUTED_VALUE"""),0.0)</f>
        <v>0</v>
      </c>
      <c r="D6723" s="8"/>
    </row>
    <row r="6724">
      <c r="A6724" s="9" t="str">
        <f>IFERROR(__xludf.DUMMYFUNCTION("""COMPUTED_VALUE"""),"Batch 313")</f>
        <v>Batch 313</v>
      </c>
      <c r="B6724" s="9" t="str">
        <f>IFERROR(__xludf.DUMMYFUNCTION("""COMPUTED_VALUE"""),"NiranjanC13")</f>
        <v>NiranjanC13</v>
      </c>
      <c r="C6724" s="8">
        <f>IFERROR(__xludf.DUMMYFUNCTION("""COMPUTED_VALUE"""),0.0)</f>
        <v>0</v>
      </c>
      <c r="D6724" s="8"/>
    </row>
    <row r="6725">
      <c r="A6725" s="9" t="str">
        <f>IFERROR(__xludf.DUMMYFUNCTION("""COMPUTED_VALUE"""),"Batch 313")</f>
        <v>Batch 313</v>
      </c>
      <c r="B6725" s="9" t="str">
        <f>IFERROR(__xludf.DUMMYFUNCTION("""COMPUTED_VALUE"""),"SoumyaC13")</f>
        <v>SoumyaC13</v>
      </c>
      <c r="C6725" s="8">
        <f>IFERROR(__xludf.DUMMYFUNCTION("""COMPUTED_VALUE"""),0.0)</f>
        <v>0</v>
      </c>
      <c r="D6725" s="8"/>
    </row>
    <row r="6726">
      <c r="A6726" s="9" t="str">
        <f>IFERROR(__xludf.DUMMYFUNCTION("""COMPUTED_VALUE"""),"Batch 313")</f>
        <v>Batch 313</v>
      </c>
      <c r="B6726" s="9" t="str">
        <f>IFERROR(__xludf.DUMMYFUNCTION("""COMPUTED_VALUE"""),"SaumyaC13")</f>
        <v>SaumyaC13</v>
      </c>
      <c r="C6726" s="8">
        <f>IFERROR(__xludf.DUMMYFUNCTION("""COMPUTED_VALUE"""),0.0)</f>
        <v>0</v>
      </c>
      <c r="D6726" s="8"/>
    </row>
    <row r="6727">
      <c r="A6727" s="9" t="str">
        <f>IFERROR(__xludf.DUMMYFUNCTION("""COMPUTED_VALUE"""),"Batch 313")</f>
        <v>Batch 313</v>
      </c>
      <c r="B6727" s="9" t="str">
        <f>IFERROR(__xludf.DUMMYFUNCTION("""COMPUTED_VALUE"""),"MritunjayC13")</f>
        <v>MritunjayC13</v>
      </c>
      <c r="C6727" s="8">
        <f>IFERROR(__xludf.DUMMYFUNCTION("""COMPUTED_VALUE"""),0.0)</f>
        <v>0</v>
      </c>
      <c r="D6727" s="8"/>
    </row>
    <row r="6728">
      <c r="A6728" s="9" t="str">
        <f>IFERROR(__xludf.DUMMYFUNCTION("""COMPUTED_VALUE"""),"Batch 313")</f>
        <v>Batch 313</v>
      </c>
      <c r="B6728" s="9" t="str">
        <f>IFERROR(__xludf.DUMMYFUNCTION("""COMPUTED_VALUE"""),"KhushiC13")</f>
        <v>KhushiC13</v>
      </c>
      <c r="C6728" s="8">
        <f>IFERROR(__xludf.DUMMYFUNCTION("""COMPUTED_VALUE"""),0.0)</f>
        <v>0</v>
      </c>
      <c r="D6728" s="8"/>
    </row>
    <row r="6729">
      <c r="A6729" s="9" t="str">
        <f>IFERROR(__xludf.DUMMYFUNCTION("""COMPUTED_VALUE"""),"Batch 313")</f>
        <v>Batch 313</v>
      </c>
      <c r="B6729" s="9" t="str">
        <f>IFERROR(__xludf.DUMMYFUNCTION("""COMPUTED_VALUE"""),"PriyanshiC13")</f>
        <v>PriyanshiC13</v>
      </c>
      <c r="C6729" s="8">
        <f>IFERROR(__xludf.DUMMYFUNCTION("""COMPUTED_VALUE"""),0.0)</f>
        <v>0</v>
      </c>
      <c r="D6729" s="8"/>
    </row>
    <row r="6730">
      <c r="A6730" s="9" t="str">
        <f>IFERROR(__xludf.DUMMYFUNCTION("""COMPUTED_VALUE"""),"Batch 313")</f>
        <v>Batch 313</v>
      </c>
      <c r="B6730" s="9" t="str">
        <f>IFERROR(__xludf.DUMMYFUNCTION("""COMPUTED_VALUE"""),"GoduguC13")</f>
        <v>GoduguC13</v>
      </c>
      <c r="C6730" s="8">
        <f>IFERROR(__xludf.DUMMYFUNCTION("""COMPUTED_VALUE"""),0.0)</f>
        <v>0</v>
      </c>
      <c r="D6730" s="8"/>
    </row>
    <row r="6731">
      <c r="A6731" s="9" t="str">
        <f>IFERROR(__xludf.DUMMYFUNCTION("""COMPUTED_VALUE"""),"Batch 313")</f>
        <v>Batch 313</v>
      </c>
      <c r="B6731" s="9" t="str">
        <f>IFERROR(__xludf.DUMMYFUNCTION("""COMPUTED_VALUE"""),"AKSHYAC13")</f>
        <v>AKSHYAC13</v>
      </c>
      <c r="C6731" s="8">
        <f>IFERROR(__xludf.DUMMYFUNCTION("""COMPUTED_VALUE"""),0.0)</f>
        <v>0</v>
      </c>
      <c r="D6731" s="8"/>
    </row>
    <row r="6732">
      <c r="A6732" s="9" t="str">
        <f>IFERROR(__xludf.DUMMYFUNCTION("""COMPUTED_VALUE"""),"Batch 313")</f>
        <v>Batch 313</v>
      </c>
      <c r="B6732" s="9" t="str">
        <f>IFERROR(__xludf.DUMMYFUNCTION("""COMPUTED_VALUE"""),"MopuruC13")</f>
        <v>MopuruC13</v>
      </c>
      <c r="C6732" s="8">
        <f>IFERROR(__xludf.DUMMYFUNCTION("""COMPUTED_VALUE"""),0.0)</f>
        <v>0</v>
      </c>
      <c r="D6732" s="8"/>
    </row>
    <row r="6733">
      <c r="A6733" s="9" t="str">
        <f>IFERROR(__xludf.DUMMYFUNCTION("""COMPUTED_VALUE"""),"Batch 313")</f>
        <v>Batch 313</v>
      </c>
      <c r="B6733" s="9" t="str">
        <f>IFERROR(__xludf.DUMMYFUNCTION("""COMPUTED_VALUE"""),"HarpalC13")</f>
        <v>HarpalC13</v>
      </c>
      <c r="C6733" s="8">
        <f>IFERROR(__xludf.DUMMYFUNCTION("""COMPUTED_VALUE"""),0.0)</f>
        <v>0</v>
      </c>
      <c r="D6733" s="8"/>
    </row>
    <row r="6734">
      <c r="A6734" s="9" t="str">
        <f>IFERROR(__xludf.DUMMYFUNCTION("""COMPUTED_VALUE"""),"Batch 313")</f>
        <v>Batch 313</v>
      </c>
      <c r="B6734" s="9" t="str">
        <f>IFERROR(__xludf.DUMMYFUNCTION("""COMPUTED_VALUE"""),"SarthakC13")</f>
        <v>SarthakC13</v>
      </c>
      <c r="C6734" s="8">
        <f>IFERROR(__xludf.DUMMYFUNCTION("""COMPUTED_VALUE"""),0.0)</f>
        <v>0</v>
      </c>
      <c r="D6734" s="8"/>
    </row>
    <row r="6735">
      <c r="A6735" s="9" t="str">
        <f>IFERROR(__xludf.DUMMYFUNCTION("""COMPUTED_VALUE"""),"Batch 313")</f>
        <v>Batch 313</v>
      </c>
      <c r="B6735" s="9" t="str">
        <f>IFERROR(__xludf.DUMMYFUNCTION("""COMPUTED_VALUE"""),"ShagunC13")</f>
        <v>ShagunC13</v>
      </c>
      <c r="C6735" s="8">
        <f>IFERROR(__xludf.DUMMYFUNCTION("""COMPUTED_VALUE"""),0.0)</f>
        <v>0</v>
      </c>
      <c r="D6735" s="8"/>
    </row>
    <row r="6736">
      <c r="A6736" s="9" t="str">
        <f>IFERROR(__xludf.DUMMYFUNCTION("""COMPUTED_VALUE"""),"Batch 313")</f>
        <v>Batch 313</v>
      </c>
      <c r="B6736" s="9" t="str">
        <f>IFERROR(__xludf.DUMMYFUNCTION("""COMPUTED_VALUE"""),"AllamprabhuC13")</f>
        <v>AllamprabhuC13</v>
      </c>
      <c r="C6736" s="8">
        <f>IFERROR(__xludf.DUMMYFUNCTION("""COMPUTED_VALUE"""),0.0)</f>
        <v>0</v>
      </c>
      <c r="D6736" s="8"/>
    </row>
    <row r="6737">
      <c r="A6737" s="9" t="str">
        <f>IFERROR(__xludf.DUMMYFUNCTION("""COMPUTED_VALUE"""),"Batch 313")</f>
        <v>Batch 313</v>
      </c>
      <c r="B6737" s="9" t="str">
        <f>IFERROR(__xludf.DUMMYFUNCTION("""COMPUTED_VALUE"""),"AmanC13")</f>
        <v>AmanC13</v>
      </c>
      <c r="C6737" s="8">
        <f>IFERROR(__xludf.DUMMYFUNCTION("""COMPUTED_VALUE"""),0.0)</f>
        <v>0</v>
      </c>
      <c r="D6737" s="8"/>
    </row>
    <row r="6738">
      <c r="A6738" s="9" t="str">
        <f>IFERROR(__xludf.DUMMYFUNCTION("""COMPUTED_VALUE"""),"Batch 313")</f>
        <v>Batch 313</v>
      </c>
      <c r="B6738" s="9" t="str">
        <f>IFERROR(__xludf.DUMMYFUNCTION("""COMPUTED_VALUE"""),"AdityaC13")</f>
        <v>AdityaC13</v>
      </c>
      <c r="C6738" s="8">
        <f>IFERROR(__xludf.DUMMYFUNCTION("""COMPUTED_VALUE"""),11.0)</f>
        <v>11</v>
      </c>
      <c r="D6738" s="8">
        <f>IFERROR(__xludf.DUMMYFUNCTION("""COMPUTED_VALUE"""),8.0)</f>
        <v>8</v>
      </c>
    </row>
    <row r="6739">
      <c r="A6739" s="9" t="str">
        <f>IFERROR(__xludf.DUMMYFUNCTION("""COMPUTED_VALUE"""),"Batch 313")</f>
        <v>Batch 313</v>
      </c>
      <c r="B6739" s="9" t="str">
        <f>IFERROR(__xludf.DUMMYFUNCTION("""COMPUTED_VALUE"""),"AmanC13")</f>
        <v>AmanC13</v>
      </c>
      <c r="C6739" s="8">
        <f>IFERROR(__xludf.DUMMYFUNCTION("""COMPUTED_VALUE"""),0.0)</f>
        <v>0</v>
      </c>
      <c r="D6739" s="8"/>
    </row>
    <row r="6740">
      <c r="A6740" s="9" t="str">
        <f>IFERROR(__xludf.DUMMYFUNCTION("""COMPUTED_VALUE"""),"Batch 313")</f>
        <v>Batch 313</v>
      </c>
      <c r="B6740" s="9" t="str">
        <f>IFERROR(__xludf.DUMMYFUNCTION("""COMPUTED_VALUE"""),"AyanC13")</f>
        <v>AyanC13</v>
      </c>
      <c r="C6740" s="8">
        <f>IFERROR(__xludf.DUMMYFUNCTION("""COMPUTED_VALUE"""),0.0)</f>
        <v>0</v>
      </c>
      <c r="D6740" s="8"/>
    </row>
    <row r="6741">
      <c r="A6741" s="9" t="str">
        <f>IFERROR(__xludf.DUMMYFUNCTION("""COMPUTED_VALUE"""),"Batch 313")</f>
        <v>Batch 313</v>
      </c>
      <c r="B6741" s="9" t="str">
        <f>IFERROR(__xludf.DUMMYFUNCTION("""COMPUTED_VALUE"""),"AsmiC13")</f>
        <v>AsmiC13</v>
      </c>
      <c r="C6741" s="8">
        <f>IFERROR(__xludf.DUMMYFUNCTION("""COMPUTED_VALUE"""),9.0)</f>
        <v>9</v>
      </c>
      <c r="D6741" s="8">
        <f>IFERROR(__xludf.DUMMYFUNCTION("""COMPUTED_VALUE"""),5.0)</f>
        <v>5</v>
      </c>
    </row>
    <row r="6742">
      <c r="A6742" s="9" t="str">
        <f>IFERROR(__xludf.DUMMYFUNCTION("""COMPUTED_VALUE"""),"Batch 313")</f>
        <v>Batch 313</v>
      </c>
      <c r="B6742" s="9" t="str">
        <f>IFERROR(__xludf.DUMMYFUNCTION("""COMPUTED_VALUE"""),"SwayamC13")</f>
        <v>SwayamC13</v>
      </c>
      <c r="C6742" s="8">
        <f>IFERROR(__xludf.DUMMYFUNCTION("""COMPUTED_VALUE"""),0.0)</f>
        <v>0</v>
      </c>
      <c r="D6742" s="8"/>
    </row>
    <row r="6743">
      <c r="A6743" s="9" t="str">
        <f>IFERROR(__xludf.DUMMYFUNCTION("""COMPUTED_VALUE"""),"Batch 313")</f>
        <v>Batch 313</v>
      </c>
      <c r="B6743" s="9" t="str">
        <f>IFERROR(__xludf.DUMMYFUNCTION("""COMPUTED_VALUE"""),"AbhilashaC13")</f>
        <v>AbhilashaC13</v>
      </c>
      <c r="C6743" s="8">
        <f>IFERROR(__xludf.DUMMYFUNCTION("""COMPUTED_VALUE"""),0.0)</f>
        <v>0</v>
      </c>
      <c r="D6743" s="8"/>
    </row>
    <row r="6744">
      <c r="A6744" s="9" t="str">
        <f>IFERROR(__xludf.DUMMYFUNCTION("""COMPUTED_VALUE"""),"Batch 313")</f>
        <v>Batch 313</v>
      </c>
      <c r="B6744" s="9" t="str">
        <f>IFERROR(__xludf.DUMMYFUNCTION("""COMPUTED_VALUE"""),"SaniyaC13")</f>
        <v>SaniyaC13</v>
      </c>
      <c r="C6744" s="8">
        <f>IFERROR(__xludf.DUMMYFUNCTION("""COMPUTED_VALUE"""),0.0)</f>
        <v>0</v>
      </c>
      <c r="D6744" s="8"/>
    </row>
    <row r="6745">
      <c r="A6745" s="9" t="str">
        <f>IFERROR(__xludf.DUMMYFUNCTION("""COMPUTED_VALUE"""),"Batch 313")</f>
        <v>Batch 313</v>
      </c>
      <c r="B6745" s="9" t="str">
        <f>IFERROR(__xludf.DUMMYFUNCTION("""COMPUTED_VALUE"""),"MARNIC13")</f>
        <v>MARNIC13</v>
      </c>
      <c r="C6745" s="8">
        <f>IFERROR(__xludf.DUMMYFUNCTION("""COMPUTED_VALUE"""),0.0)</f>
        <v>0</v>
      </c>
      <c r="D6745" s="8"/>
    </row>
    <row r="6746">
      <c r="A6746" s="9"/>
      <c r="B6746" s="9"/>
      <c r="C6746" s="8">
        <f>IFERROR(__xludf.DUMMYFUNCTION("""COMPUTED_VALUE"""),0.0)</f>
        <v>0</v>
      </c>
      <c r="D6746" s="8"/>
    </row>
    <row r="6747">
      <c r="A6747" s="9" t="str">
        <f>IFERROR(__xludf.DUMMYFUNCTION("""COMPUTED_VALUE"""),"Batch 314")</f>
        <v>Batch 314</v>
      </c>
      <c r="B6747" s="9" t="str">
        <f>IFERROR(__xludf.DUMMYFUNCTION("""COMPUTED_VALUE"""),"manasC14")</f>
        <v>manasC14</v>
      </c>
      <c r="C6747" s="8">
        <f>IFERROR(__xludf.DUMMYFUNCTION("""COMPUTED_VALUE"""),0.0)</f>
        <v>0</v>
      </c>
      <c r="D6747" s="8"/>
    </row>
    <row r="6748">
      <c r="A6748" s="9" t="str">
        <f>IFERROR(__xludf.DUMMYFUNCTION("""COMPUTED_VALUE"""),"Batch 314")</f>
        <v>Batch 314</v>
      </c>
      <c r="B6748" s="9" t="str">
        <f>IFERROR(__xludf.DUMMYFUNCTION("""COMPUTED_VALUE"""),"SrinivasluC14")</f>
        <v>SrinivasluC14</v>
      </c>
      <c r="C6748" s="8">
        <f>IFERROR(__xludf.DUMMYFUNCTION("""COMPUTED_VALUE"""),0.0)</f>
        <v>0</v>
      </c>
      <c r="D6748" s="8"/>
    </row>
    <row r="6749">
      <c r="A6749" s="9" t="str">
        <f>IFERROR(__xludf.DUMMYFUNCTION("""COMPUTED_VALUE"""),"Batch 314")</f>
        <v>Batch 314</v>
      </c>
      <c r="B6749" s="9" t="str">
        <f>IFERROR(__xludf.DUMMYFUNCTION("""COMPUTED_VALUE"""),"IthabelengC14")</f>
        <v>IthabelengC14</v>
      </c>
      <c r="C6749" s="8">
        <f>IFERROR(__xludf.DUMMYFUNCTION("""COMPUTED_VALUE"""),0.0)</f>
        <v>0</v>
      </c>
      <c r="D6749" s="8"/>
    </row>
    <row r="6750">
      <c r="A6750" s="9" t="str">
        <f>IFERROR(__xludf.DUMMYFUNCTION("""COMPUTED_VALUE"""),"Batch 314")</f>
        <v>Batch 314</v>
      </c>
      <c r="B6750" s="9" t="str">
        <f>IFERROR(__xludf.DUMMYFUNCTION("""COMPUTED_VALUE"""),"AyushC14")</f>
        <v>AyushC14</v>
      </c>
      <c r="C6750" s="8">
        <f>IFERROR(__xludf.DUMMYFUNCTION("""COMPUTED_VALUE"""),17.0)</f>
        <v>17</v>
      </c>
      <c r="D6750" s="8"/>
    </row>
    <row r="6751">
      <c r="A6751" s="9" t="str">
        <f>IFERROR(__xludf.DUMMYFUNCTION("""COMPUTED_VALUE"""),"Batch 314")</f>
        <v>Batch 314</v>
      </c>
      <c r="B6751" s="9" t="str">
        <f>IFERROR(__xludf.DUMMYFUNCTION("""COMPUTED_VALUE"""),"AmanC14")</f>
        <v>AmanC14</v>
      </c>
      <c r="C6751" s="8">
        <f>IFERROR(__xludf.DUMMYFUNCTION("""COMPUTED_VALUE"""),0.0)</f>
        <v>0</v>
      </c>
      <c r="D6751" s="8"/>
    </row>
    <row r="6752">
      <c r="A6752" s="9" t="str">
        <f>IFERROR(__xludf.DUMMYFUNCTION("""COMPUTED_VALUE"""),"Batch 314")</f>
        <v>Batch 314</v>
      </c>
      <c r="B6752" s="9" t="str">
        <f>IFERROR(__xludf.DUMMYFUNCTION("""COMPUTED_VALUE"""),"SoumyaC14")</f>
        <v>SoumyaC14</v>
      </c>
      <c r="C6752" s="8">
        <f>IFERROR(__xludf.DUMMYFUNCTION("""COMPUTED_VALUE"""),0.0)</f>
        <v>0</v>
      </c>
      <c r="D6752" s="8"/>
    </row>
    <row r="6753">
      <c r="A6753" s="9" t="str">
        <f>IFERROR(__xludf.DUMMYFUNCTION("""COMPUTED_VALUE"""),"Batch 314")</f>
        <v>Batch 314</v>
      </c>
      <c r="B6753" s="9" t="str">
        <f>IFERROR(__xludf.DUMMYFUNCTION("""COMPUTED_VALUE"""),"NamanC14")</f>
        <v>NamanC14</v>
      </c>
      <c r="C6753" s="8">
        <f>IFERROR(__xludf.DUMMYFUNCTION("""COMPUTED_VALUE"""),0.0)</f>
        <v>0</v>
      </c>
      <c r="D6753" s="8"/>
    </row>
    <row r="6754">
      <c r="A6754" s="9" t="str">
        <f>IFERROR(__xludf.DUMMYFUNCTION("""COMPUTED_VALUE"""),"Batch 314")</f>
        <v>Batch 314</v>
      </c>
      <c r="B6754" s="9" t="str">
        <f>IFERROR(__xludf.DUMMYFUNCTION("""COMPUTED_VALUE"""),"AryanC14")</f>
        <v>AryanC14</v>
      </c>
      <c r="C6754" s="8">
        <f>IFERROR(__xludf.DUMMYFUNCTION("""COMPUTED_VALUE"""),5.0)</f>
        <v>5</v>
      </c>
      <c r="D6754" s="8">
        <f>IFERROR(__xludf.DUMMYFUNCTION("""COMPUTED_VALUE"""),3.0)</f>
        <v>3</v>
      </c>
    </row>
    <row r="6755">
      <c r="A6755" s="9" t="str">
        <f>IFERROR(__xludf.DUMMYFUNCTION("""COMPUTED_VALUE"""),"Batch 314")</f>
        <v>Batch 314</v>
      </c>
      <c r="B6755" s="9" t="str">
        <f>IFERROR(__xludf.DUMMYFUNCTION("""COMPUTED_VALUE"""),"ArchitaC14")</f>
        <v>ArchitaC14</v>
      </c>
      <c r="C6755" s="8">
        <f>IFERROR(__xludf.DUMMYFUNCTION("""COMPUTED_VALUE"""),4.0)</f>
        <v>4</v>
      </c>
      <c r="D6755" s="8"/>
    </row>
    <row r="6756">
      <c r="A6756" s="9" t="str">
        <f>IFERROR(__xludf.DUMMYFUNCTION("""COMPUTED_VALUE"""),"Batch 314")</f>
        <v>Batch 314</v>
      </c>
      <c r="B6756" s="9" t="str">
        <f>IFERROR(__xludf.DUMMYFUNCTION("""COMPUTED_VALUE"""),"KshitijaC14")</f>
        <v>KshitijaC14</v>
      </c>
      <c r="C6756" s="8">
        <f>IFERROR(__xludf.DUMMYFUNCTION("""COMPUTED_VALUE"""),0.0)</f>
        <v>0</v>
      </c>
      <c r="D6756" s="8"/>
    </row>
    <row r="6757">
      <c r="A6757" s="9" t="str">
        <f>IFERROR(__xludf.DUMMYFUNCTION("""COMPUTED_VALUE"""),"Batch 314")</f>
        <v>Batch 314</v>
      </c>
      <c r="B6757" s="9" t="str">
        <f>IFERROR(__xludf.DUMMYFUNCTION("""COMPUTED_VALUE"""),"SnehaC14")</f>
        <v>SnehaC14</v>
      </c>
      <c r="C6757" s="8">
        <f>IFERROR(__xludf.DUMMYFUNCTION("""COMPUTED_VALUE"""),0.0)</f>
        <v>0</v>
      </c>
      <c r="D6757" s="8"/>
    </row>
    <row r="6758">
      <c r="A6758" s="9" t="str">
        <f>IFERROR(__xludf.DUMMYFUNCTION("""COMPUTED_VALUE"""),"Batch 314")</f>
        <v>Batch 314</v>
      </c>
      <c r="B6758" s="9" t="str">
        <f>IFERROR(__xludf.DUMMYFUNCTION("""COMPUTED_VALUE"""),"RajpratapC14")</f>
        <v>RajpratapC14</v>
      </c>
      <c r="C6758" s="8">
        <f>IFERROR(__xludf.DUMMYFUNCTION("""COMPUTED_VALUE"""),0.0)</f>
        <v>0</v>
      </c>
      <c r="D6758" s="8"/>
    </row>
    <row r="6759">
      <c r="A6759" s="9" t="str">
        <f>IFERROR(__xludf.DUMMYFUNCTION("""COMPUTED_VALUE"""),"Batch 314")</f>
        <v>Batch 314</v>
      </c>
      <c r="B6759" s="9" t="str">
        <f>IFERROR(__xludf.DUMMYFUNCTION("""COMPUTED_VALUE"""),"PriyangvadaC14")</f>
        <v>PriyangvadaC14</v>
      </c>
      <c r="C6759" s="8">
        <f>IFERROR(__xludf.DUMMYFUNCTION("""COMPUTED_VALUE"""),0.0)</f>
        <v>0</v>
      </c>
      <c r="D6759" s="8"/>
    </row>
    <row r="6760">
      <c r="A6760" s="9" t="str">
        <f>IFERROR(__xludf.DUMMYFUNCTION("""COMPUTED_VALUE"""),"Batch 314")</f>
        <v>Batch 314</v>
      </c>
      <c r="B6760" s="9" t="str">
        <f>IFERROR(__xludf.DUMMYFUNCTION("""COMPUTED_VALUE"""),"SatyajeetC14")</f>
        <v>SatyajeetC14</v>
      </c>
      <c r="C6760" s="8">
        <f>IFERROR(__xludf.DUMMYFUNCTION("""COMPUTED_VALUE"""),2.0)</f>
        <v>2</v>
      </c>
      <c r="D6760" s="8">
        <f>IFERROR(__xludf.DUMMYFUNCTION("""COMPUTED_VALUE"""),1.0)</f>
        <v>1</v>
      </c>
    </row>
    <row r="6761">
      <c r="A6761" s="9" t="str">
        <f>IFERROR(__xludf.DUMMYFUNCTION("""COMPUTED_VALUE"""),"Batch 314")</f>
        <v>Batch 314</v>
      </c>
      <c r="B6761" s="9" t="str">
        <f>IFERROR(__xludf.DUMMYFUNCTION("""COMPUTED_VALUE"""),"KolakalapudiC14")</f>
        <v>KolakalapudiC14</v>
      </c>
      <c r="C6761" s="8">
        <f>IFERROR(__xludf.DUMMYFUNCTION("""COMPUTED_VALUE"""),0.0)</f>
        <v>0</v>
      </c>
      <c r="D6761" s="8"/>
    </row>
    <row r="6762">
      <c r="A6762" s="9" t="str">
        <f>IFERROR(__xludf.DUMMYFUNCTION("""COMPUTED_VALUE"""),"Batch 314")</f>
        <v>Batch 314</v>
      </c>
      <c r="B6762" s="9" t="str">
        <f>IFERROR(__xludf.DUMMYFUNCTION("""COMPUTED_VALUE"""),"VidushiC14")</f>
        <v>VidushiC14</v>
      </c>
      <c r="C6762" s="8">
        <f>IFERROR(__xludf.DUMMYFUNCTION("""COMPUTED_VALUE"""),0.0)</f>
        <v>0</v>
      </c>
      <c r="D6762" s="8"/>
    </row>
    <row r="6763">
      <c r="A6763" s="9" t="str">
        <f>IFERROR(__xludf.DUMMYFUNCTION("""COMPUTED_VALUE"""),"Batch 314")</f>
        <v>Batch 314</v>
      </c>
      <c r="B6763" s="9" t="str">
        <f>IFERROR(__xludf.DUMMYFUNCTION("""COMPUTED_VALUE"""),"KartikC14")</f>
        <v>KartikC14</v>
      </c>
      <c r="C6763" s="8">
        <f>IFERROR(__xludf.DUMMYFUNCTION("""COMPUTED_VALUE"""),0.0)</f>
        <v>0</v>
      </c>
      <c r="D6763" s="8"/>
    </row>
    <row r="6764">
      <c r="A6764" s="9" t="str">
        <f>IFERROR(__xludf.DUMMYFUNCTION("""COMPUTED_VALUE"""),"Batch 314")</f>
        <v>Batch 314</v>
      </c>
      <c r="B6764" s="9" t="str">
        <f>IFERROR(__xludf.DUMMYFUNCTION("""COMPUTED_VALUE"""),"PushpenderC14")</f>
        <v>PushpenderC14</v>
      </c>
      <c r="C6764" s="8">
        <f>IFERROR(__xludf.DUMMYFUNCTION("""COMPUTED_VALUE"""),1.0)</f>
        <v>1</v>
      </c>
      <c r="D6764" s="8"/>
    </row>
    <row r="6765">
      <c r="A6765" s="9" t="str">
        <f>IFERROR(__xludf.DUMMYFUNCTION("""COMPUTED_VALUE"""),"Batch 314")</f>
        <v>Batch 314</v>
      </c>
      <c r="B6765" s="9" t="str">
        <f>IFERROR(__xludf.DUMMYFUNCTION("""COMPUTED_VALUE"""),"PriyanshuC14")</f>
        <v>PriyanshuC14</v>
      </c>
      <c r="C6765" s="8">
        <f>IFERROR(__xludf.DUMMYFUNCTION("""COMPUTED_VALUE"""),1.0)</f>
        <v>1</v>
      </c>
      <c r="D6765" s="8"/>
    </row>
    <row r="6766">
      <c r="A6766" s="9" t="str">
        <f>IFERROR(__xludf.DUMMYFUNCTION("""COMPUTED_VALUE"""),"Batch 314")</f>
        <v>Batch 314</v>
      </c>
      <c r="B6766" s="9" t="str">
        <f>IFERROR(__xludf.DUMMYFUNCTION("""COMPUTED_VALUE"""),"UtkarshC14")</f>
        <v>UtkarshC14</v>
      </c>
      <c r="C6766" s="8">
        <f>IFERROR(__xludf.DUMMYFUNCTION("""COMPUTED_VALUE"""),0.0)</f>
        <v>0</v>
      </c>
      <c r="D6766" s="8"/>
    </row>
    <row r="6767">
      <c r="A6767" s="9" t="str">
        <f>IFERROR(__xludf.DUMMYFUNCTION("""COMPUTED_VALUE"""),"Batch 314")</f>
        <v>Batch 314</v>
      </c>
      <c r="B6767" s="9" t="str">
        <f>IFERROR(__xludf.DUMMYFUNCTION("""COMPUTED_VALUE"""),"AlinaC14")</f>
        <v>AlinaC14</v>
      </c>
      <c r="C6767" s="8">
        <f>IFERROR(__xludf.DUMMYFUNCTION("""COMPUTED_VALUE"""),0.0)</f>
        <v>0</v>
      </c>
      <c r="D6767" s="8"/>
    </row>
    <row r="6768">
      <c r="A6768" s="9" t="str">
        <f>IFERROR(__xludf.DUMMYFUNCTION("""COMPUTED_VALUE"""),"Batch 314")</f>
        <v>Batch 314</v>
      </c>
      <c r="B6768" s="9" t="str">
        <f>IFERROR(__xludf.DUMMYFUNCTION("""COMPUTED_VALUE"""),"TanyaC14")</f>
        <v>TanyaC14</v>
      </c>
      <c r="C6768" s="8">
        <f>IFERROR(__xludf.DUMMYFUNCTION("""COMPUTED_VALUE"""),0.0)</f>
        <v>0</v>
      </c>
      <c r="D6768" s="8"/>
    </row>
    <row r="6769">
      <c r="A6769" s="9" t="str">
        <f>IFERROR(__xludf.DUMMYFUNCTION("""COMPUTED_VALUE"""),"Batch 314")</f>
        <v>Batch 314</v>
      </c>
      <c r="B6769" s="9" t="str">
        <f>IFERROR(__xludf.DUMMYFUNCTION("""COMPUTED_VALUE"""),"AkanshaC14")</f>
        <v>AkanshaC14</v>
      </c>
      <c r="C6769" s="8">
        <f>IFERROR(__xludf.DUMMYFUNCTION("""COMPUTED_VALUE"""),0.0)</f>
        <v>0</v>
      </c>
      <c r="D6769" s="8"/>
    </row>
    <row r="6770">
      <c r="A6770" s="9" t="str">
        <f>IFERROR(__xludf.DUMMYFUNCTION("""COMPUTED_VALUE"""),"Batch 314")</f>
        <v>Batch 314</v>
      </c>
      <c r="B6770" s="9" t="str">
        <f>IFERROR(__xludf.DUMMYFUNCTION("""COMPUTED_VALUE"""),"AnshikaC14")</f>
        <v>AnshikaC14</v>
      </c>
      <c r="C6770" s="8">
        <f>IFERROR(__xludf.DUMMYFUNCTION("""COMPUTED_VALUE"""),0.0)</f>
        <v>0</v>
      </c>
      <c r="D6770" s="8"/>
    </row>
    <row r="6771">
      <c r="A6771" s="9" t="str">
        <f>IFERROR(__xludf.DUMMYFUNCTION("""COMPUTED_VALUE"""),"Batch 314")</f>
        <v>Batch 314</v>
      </c>
      <c r="B6771" s="9" t="str">
        <f>IFERROR(__xludf.DUMMYFUNCTION("""COMPUTED_VALUE"""),"PalakC14")</f>
        <v>PalakC14</v>
      </c>
      <c r="C6771" s="8">
        <f>IFERROR(__xludf.DUMMYFUNCTION("""COMPUTED_VALUE"""),0.0)</f>
        <v>0</v>
      </c>
      <c r="D6771" s="8"/>
    </row>
    <row r="6772">
      <c r="A6772" s="9" t="str">
        <f>IFERROR(__xludf.DUMMYFUNCTION("""COMPUTED_VALUE"""),"Batch 314")</f>
        <v>Batch 314</v>
      </c>
      <c r="B6772" s="9" t="str">
        <f>IFERROR(__xludf.DUMMYFUNCTION("""COMPUTED_VALUE"""),"DeepanshuC14")</f>
        <v>DeepanshuC14</v>
      </c>
      <c r="C6772" s="8">
        <f>IFERROR(__xludf.DUMMYFUNCTION("""COMPUTED_VALUE"""),0.0)</f>
        <v>0</v>
      </c>
      <c r="D6772" s="8"/>
    </row>
    <row r="6773">
      <c r="A6773" s="9" t="str">
        <f>IFERROR(__xludf.DUMMYFUNCTION("""COMPUTED_VALUE"""),"Batch 314")</f>
        <v>Batch 314</v>
      </c>
      <c r="B6773" s="9" t="str">
        <f>IFERROR(__xludf.DUMMYFUNCTION("""COMPUTED_VALUE"""),"AnshC14")</f>
        <v>AnshC14</v>
      </c>
      <c r="C6773" s="8">
        <f>IFERROR(__xludf.DUMMYFUNCTION("""COMPUTED_VALUE"""),0.0)</f>
        <v>0</v>
      </c>
      <c r="D6773" s="8"/>
    </row>
    <row r="6774">
      <c r="A6774" s="9" t="str">
        <f>IFERROR(__xludf.DUMMYFUNCTION("""COMPUTED_VALUE"""),"Batch 314")</f>
        <v>Batch 314</v>
      </c>
      <c r="B6774" s="9" t="str">
        <f>IFERROR(__xludf.DUMMYFUNCTION("""COMPUTED_VALUE"""),"YusraC14")</f>
        <v>YusraC14</v>
      </c>
      <c r="C6774" s="8">
        <f>IFERROR(__xludf.DUMMYFUNCTION("""COMPUTED_VALUE"""),0.0)</f>
        <v>0</v>
      </c>
      <c r="D6774" s="8"/>
    </row>
    <row r="6775">
      <c r="A6775" s="9"/>
      <c r="B6775" s="9"/>
      <c r="C6775" s="8">
        <f>IFERROR(__xludf.DUMMYFUNCTION("""COMPUTED_VALUE"""),0.0)</f>
        <v>0</v>
      </c>
      <c r="D6775" s="8"/>
    </row>
    <row r="6776">
      <c r="A6776" s="9" t="str">
        <f>IFERROR(__xludf.DUMMYFUNCTION("""COMPUTED_VALUE"""),"Batch 315")</f>
        <v>Batch 315</v>
      </c>
      <c r="B6776" s="9" t="str">
        <f>IFERROR(__xludf.DUMMYFUNCTION("""COMPUTED_VALUE"""),"RashiC15")</f>
        <v>RashiC15</v>
      </c>
      <c r="C6776" s="8">
        <f>IFERROR(__xludf.DUMMYFUNCTION("""COMPUTED_VALUE"""),0.0)</f>
        <v>0</v>
      </c>
      <c r="D6776" s="8"/>
    </row>
    <row r="6777">
      <c r="A6777" s="9" t="str">
        <f>IFERROR(__xludf.DUMMYFUNCTION("""COMPUTED_VALUE"""),"Batch 315")</f>
        <v>Batch 315</v>
      </c>
      <c r="B6777" s="9" t="str">
        <f>IFERROR(__xludf.DUMMYFUNCTION("""COMPUTED_VALUE"""),"PriyaC15")</f>
        <v>PriyaC15</v>
      </c>
      <c r="C6777" s="8">
        <f>IFERROR(__xludf.DUMMYFUNCTION("""COMPUTED_VALUE"""),0.0)</f>
        <v>0</v>
      </c>
      <c r="D6777" s="8"/>
    </row>
    <row r="6778">
      <c r="A6778" s="9" t="str">
        <f>IFERROR(__xludf.DUMMYFUNCTION("""COMPUTED_VALUE"""),"Batch 315")</f>
        <v>Batch 315</v>
      </c>
      <c r="B6778" s="9" t="str">
        <f>IFERROR(__xludf.DUMMYFUNCTION("""COMPUTED_VALUE"""),"VarunC15")</f>
        <v>VarunC15</v>
      </c>
      <c r="C6778" s="8">
        <f>IFERROR(__xludf.DUMMYFUNCTION("""COMPUTED_VALUE"""),2.0)</f>
        <v>2</v>
      </c>
      <c r="D6778" s="8">
        <f>IFERROR(__xludf.DUMMYFUNCTION("""COMPUTED_VALUE"""),1.0)</f>
        <v>1</v>
      </c>
    </row>
    <row r="6779">
      <c r="A6779" s="9" t="str">
        <f>IFERROR(__xludf.DUMMYFUNCTION("""COMPUTED_VALUE"""),"Batch 315")</f>
        <v>Batch 315</v>
      </c>
      <c r="B6779" s="9" t="str">
        <f>IFERROR(__xludf.DUMMYFUNCTION("""COMPUTED_VALUE"""),"RajC15")</f>
        <v>RajC15</v>
      </c>
      <c r="C6779" s="8">
        <f>IFERROR(__xludf.DUMMYFUNCTION("""COMPUTED_VALUE"""),0.0)</f>
        <v>0</v>
      </c>
      <c r="D6779" s="8"/>
    </row>
    <row r="6780">
      <c r="A6780" s="9" t="str">
        <f>IFERROR(__xludf.DUMMYFUNCTION("""COMPUTED_VALUE"""),"Batch 315")</f>
        <v>Batch 315</v>
      </c>
      <c r="B6780" s="9" t="str">
        <f>IFERROR(__xludf.DUMMYFUNCTION("""COMPUTED_VALUE"""),"AnokheeC15")</f>
        <v>AnokheeC15</v>
      </c>
      <c r="C6780" s="8">
        <f>IFERROR(__xludf.DUMMYFUNCTION("""COMPUTED_VALUE"""),0.0)</f>
        <v>0</v>
      </c>
      <c r="D6780" s="8"/>
    </row>
    <row r="6781">
      <c r="A6781" s="9" t="str">
        <f>IFERROR(__xludf.DUMMYFUNCTION("""COMPUTED_VALUE"""),"Batch 315")</f>
        <v>Batch 315</v>
      </c>
      <c r="B6781" s="9" t="str">
        <f>IFERROR(__xludf.DUMMYFUNCTION("""COMPUTED_VALUE"""),"AyushiC15")</f>
        <v>AyushiC15</v>
      </c>
      <c r="C6781" s="8">
        <f>IFERROR(__xludf.DUMMYFUNCTION("""COMPUTED_VALUE"""),0.0)</f>
        <v>0</v>
      </c>
      <c r="D6781" s="8"/>
    </row>
    <row r="6782">
      <c r="A6782" s="9" t="str">
        <f>IFERROR(__xludf.DUMMYFUNCTION("""COMPUTED_VALUE"""),"Batch 315")</f>
        <v>Batch 315</v>
      </c>
      <c r="B6782" s="9" t="str">
        <f>IFERROR(__xludf.DUMMYFUNCTION("""COMPUTED_VALUE"""),"JayantiC15")</f>
        <v>JayantiC15</v>
      </c>
      <c r="C6782" s="8">
        <f>IFERROR(__xludf.DUMMYFUNCTION("""COMPUTED_VALUE"""),0.0)</f>
        <v>0</v>
      </c>
      <c r="D6782" s="8"/>
    </row>
    <row r="6783">
      <c r="A6783" s="9" t="str">
        <f>IFERROR(__xludf.DUMMYFUNCTION("""COMPUTED_VALUE"""),"Batch 315")</f>
        <v>Batch 315</v>
      </c>
      <c r="B6783" s="9" t="str">
        <f>IFERROR(__xludf.DUMMYFUNCTION("""COMPUTED_VALUE"""),"VedC15")</f>
        <v>VedC15</v>
      </c>
      <c r="C6783" s="8">
        <f>IFERROR(__xludf.DUMMYFUNCTION("""COMPUTED_VALUE"""),0.0)</f>
        <v>0</v>
      </c>
      <c r="D6783" s="8"/>
    </row>
    <row r="6784">
      <c r="A6784" s="9" t="str">
        <f>IFERROR(__xludf.DUMMYFUNCTION("""COMPUTED_VALUE"""),"Batch 315")</f>
        <v>Batch 315</v>
      </c>
      <c r="B6784" s="9" t="str">
        <f>IFERROR(__xludf.DUMMYFUNCTION("""COMPUTED_VALUE"""),"NehaC15")</f>
        <v>NehaC15</v>
      </c>
      <c r="C6784" s="8">
        <f>IFERROR(__xludf.DUMMYFUNCTION("""COMPUTED_VALUE"""),0.0)</f>
        <v>0</v>
      </c>
      <c r="D6784" s="8"/>
    </row>
    <row r="6785">
      <c r="A6785" s="9" t="str">
        <f>IFERROR(__xludf.DUMMYFUNCTION("""COMPUTED_VALUE"""),"Batch 315")</f>
        <v>Batch 315</v>
      </c>
      <c r="B6785" s="9" t="str">
        <f>IFERROR(__xludf.DUMMYFUNCTION("""COMPUTED_VALUE"""),"AtharvC15")</f>
        <v>AtharvC15</v>
      </c>
      <c r="C6785" s="8">
        <f>IFERROR(__xludf.DUMMYFUNCTION("""COMPUTED_VALUE"""),0.0)</f>
        <v>0</v>
      </c>
      <c r="D6785" s="8"/>
    </row>
    <row r="6786">
      <c r="A6786" s="9" t="str">
        <f>IFERROR(__xludf.DUMMYFUNCTION("""COMPUTED_VALUE"""),"Batch 315")</f>
        <v>Batch 315</v>
      </c>
      <c r="B6786" s="9" t="str">
        <f>IFERROR(__xludf.DUMMYFUNCTION("""COMPUTED_VALUE"""),"KalyaniC15")</f>
        <v>KalyaniC15</v>
      </c>
      <c r="C6786" s="8">
        <f>IFERROR(__xludf.DUMMYFUNCTION("""COMPUTED_VALUE"""),0.0)</f>
        <v>0</v>
      </c>
      <c r="D6786" s="8"/>
    </row>
    <row r="6787">
      <c r="A6787" s="9" t="str">
        <f>IFERROR(__xludf.DUMMYFUNCTION("""COMPUTED_VALUE"""),"Batch 315")</f>
        <v>Batch 315</v>
      </c>
      <c r="B6787" s="9" t="str">
        <f>IFERROR(__xludf.DUMMYFUNCTION("""COMPUTED_VALUE"""),"SomisettiC15")</f>
        <v>SomisettiC15</v>
      </c>
      <c r="C6787" s="8">
        <f>IFERROR(__xludf.DUMMYFUNCTION("""COMPUTED_VALUE"""),0.0)</f>
        <v>0</v>
      </c>
      <c r="D6787" s="8"/>
    </row>
    <row r="6788">
      <c r="A6788" s="9" t="str">
        <f>IFERROR(__xludf.DUMMYFUNCTION("""COMPUTED_VALUE"""),"Batch 315")</f>
        <v>Batch 315</v>
      </c>
      <c r="B6788" s="9" t="str">
        <f>IFERROR(__xludf.DUMMYFUNCTION("""COMPUTED_VALUE"""),"RishitaC15")</f>
        <v>RishitaC15</v>
      </c>
      <c r="C6788" s="8">
        <f>IFERROR(__xludf.DUMMYFUNCTION("""COMPUTED_VALUE"""),0.0)</f>
        <v>0</v>
      </c>
      <c r="D6788" s="8"/>
    </row>
    <row r="6789">
      <c r="A6789" s="9" t="str">
        <f>IFERROR(__xludf.DUMMYFUNCTION("""COMPUTED_VALUE"""),"Batch 315")</f>
        <v>Batch 315</v>
      </c>
      <c r="B6789" s="9" t="str">
        <f>IFERROR(__xludf.DUMMYFUNCTION("""COMPUTED_VALUE"""),"SnehaC15")</f>
        <v>SnehaC15</v>
      </c>
      <c r="C6789" s="8">
        <f>IFERROR(__xludf.DUMMYFUNCTION("""COMPUTED_VALUE"""),0.0)</f>
        <v>0</v>
      </c>
      <c r="D6789" s="8"/>
    </row>
    <row r="6790">
      <c r="A6790" s="9" t="str">
        <f>IFERROR(__xludf.DUMMYFUNCTION("""COMPUTED_VALUE"""),"Batch 315")</f>
        <v>Batch 315</v>
      </c>
      <c r="B6790" s="9" t="str">
        <f>IFERROR(__xludf.DUMMYFUNCTION("""COMPUTED_VALUE"""),"ChetpatC15")</f>
        <v>ChetpatC15</v>
      </c>
      <c r="C6790" s="8">
        <f>IFERROR(__xludf.DUMMYFUNCTION("""COMPUTED_VALUE"""),1.0)</f>
        <v>1</v>
      </c>
      <c r="D6790" s="8"/>
    </row>
    <row r="6791">
      <c r="A6791" s="9" t="str">
        <f>IFERROR(__xludf.DUMMYFUNCTION("""COMPUTED_VALUE"""),"Batch 315")</f>
        <v>Batch 315</v>
      </c>
      <c r="B6791" s="9" t="str">
        <f>IFERROR(__xludf.DUMMYFUNCTION("""COMPUTED_VALUE"""),"VikasC15")</f>
        <v>VikasC15</v>
      </c>
      <c r="C6791" s="8">
        <f>IFERROR(__xludf.DUMMYFUNCTION("""COMPUTED_VALUE"""),0.0)</f>
        <v>0</v>
      </c>
      <c r="D6791" s="8"/>
    </row>
    <row r="6792">
      <c r="A6792" s="9" t="str">
        <f>IFERROR(__xludf.DUMMYFUNCTION("""COMPUTED_VALUE"""),"Batch 315")</f>
        <v>Batch 315</v>
      </c>
      <c r="B6792" s="9" t="str">
        <f>IFERROR(__xludf.DUMMYFUNCTION("""COMPUTED_VALUE"""),"KartikC15")</f>
        <v>KartikC15</v>
      </c>
      <c r="C6792" s="8">
        <f>IFERROR(__xludf.DUMMYFUNCTION("""COMPUTED_VALUE"""),0.0)</f>
        <v>0</v>
      </c>
      <c r="D6792" s="8"/>
    </row>
    <row r="6793">
      <c r="A6793" s="9" t="str">
        <f>IFERROR(__xludf.DUMMYFUNCTION("""COMPUTED_VALUE"""),"Batch 315")</f>
        <v>Batch 315</v>
      </c>
      <c r="B6793" s="9" t="str">
        <f>IFERROR(__xludf.DUMMYFUNCTION("""COMPUTED_VALUE"""),"KomalC15")</f>
        <v>KomalC15</v>
      </c>
      <c r="C6793" s="8">
        <f>IFERROR(__xludf.DUMMYFUNCTION("""COMPUTED_VALUE"""),0.0)</f>
        <v>0</v>
      </c>
      <c r="D6793" s="8"/>
    </row>
    <row r="6794">
      <c r="A6794" s="9" t="str">
        <f>IFERROR(__xludf.DUMMYFUNCTION("""COMPUTED_VALUE"""),"Batch 315")</f>
        <v>Batch 315</v>
      </c>
      <c r="B6794" s="9" t="str">
        <f>IFERROR(__xludf.DUMMYFUNCTION("""COMPUTED_VALUE"""),"VeerellaC15")</f>
        <v>VeerellaC15</v>
      </c>
      <c r="C6794" s="8">
        <f>IFERROR(__xludf.DUMMYFUNCTION("""COMPUTED_VALUE"""),30.0)</f>
        <v>30</v>
      </c>
      <c r="D6794" s="8">
        <f>IFERROR(__xludf.DUMMYFUNCTION("""COMPUTED_VALUE"""),9.0)</f>
        <v>9</v>
      </c>
    </row>
    <row r="6795">
      <c r="A6795" s="9" t="str">
        <f>IFERROR(__xludf.DUMMYFUNCTION("""COMPUTED_VALUE"""),"Batch 315")</f>
        <v>Batch 315</v>
      </c>
      <c r="B6795" s="9" t="str">
        <f>IFERROR(__xludf.DUMMYFUNCTION("""COMPUTED_VALUE"""),"AditiC15")</f>
        <v>AditiC15</v>
      </c>
      <c r="C6795" s="8">
        <f>IFERROR(__xludf.DUMMYFUNCTION("""COMPUTED_VALUE"""),0.0)</f>
        <v>0</v>
      </c>
      <c r="D6795" s="8"/>
    </row>
    <row r="6796">
      <c r="A6796" s="9" t="str">
        <f>IFERROR(__xludf.DUMMYFUNCTION("""COMPUTED_VALUE"""),"Batch 315")</f>
        <v>Batch 315</v>
      </c>
      <c r="B6796" s="9" t="str">
        <f>IFERROR(__xludf.DUMMYFUNCTION("""COMPUTED_VALUE"""),"ShivanandC15")</f>
        <v>ShivanandC15</v>
      </c>
      <c r="C6796" s="8">
        <f>IFERROR(__xludf.DUMMYFUNCTION("""COMPUTED_VALUE"""),0.0)</f>
        <v>0</v>
      </c>
      <c r="D6796" s="8"/>
    </row>
    <row r="6797">
      <c r="A6797" s="9" t="str">
        <f>IFERROR(__xludf.DUMMYFUNCTION("""COMPUTED_VALUE"""),"Batch 315")</f>
        <v>Batch 315</v>
      </c>
      <c r="B6797" s="9" t="str">
        <f>IFERROR(__xludf.DUMMYFUNCTION("""COMPUTED_VALUE"""),"PrateekC15")</f>
        <v>PrateekC15</v>
      </c>
      <c r="C6797" s="8">
        <f>IFERROR(__xludf.DUMMYFUNCTION("""COMPUTED_VALUE"""),0.0)</f>
        <v>0</v>
      </c>
      <c r="D6797" s="8"/>
    </row>
    <row r="6798">
      <c r="A6798" s="9" t="str">
        <f>IFERROR(__xludf.DUMMYFUNCTION("""COMPUTED_VALUE"""),"Batch 315")</f>
        <v>Batch 315</v>
      </c>
      <c r="B6798" s="9" t="str">
        <f>IFERROR(__xludf.DUMMYFUNCTION("""COMPUTED_VALUE"""),"MuzalahC15")</f>
        <v>MuzalahC15</v>
      </c>
      <c r="C6798" s="8">
        <f>IFERROR(__xludf.DUMMYFUNCTION("""COMPUTED_VALUE"""),0.0)</f>
        <v>0</v>
      </c>
      <c r="D6798" s="8"/>
    </row>
    <row r="6799">
      <c r="A6799" s="9" t="str">
        <f>IFERROR(__xludf.DUMMYFUNCTION("""COMPUTED_VALUE"""),"Batch 315")</f>
        <v>Batch 315</v>
      </c>
      <c r="B6799" s="9" t="str">
        <f>IFERROR(__xludf.DUMMYFUNCTION("""COMPUTED_VALUE"""),"SadafC15")</f>
        <v>SadafC15</v>
      </c>
      <c r="C6799" s="8">
        <f>IFERROR(__xludf.DUMMYFUNCTION("""COMPUTED_VALUE"""),0.0)</f>
        <v>0</v>
      </c>
      <c r="D6799" s="8"/>
    </row>
    <row r="6800">
      <c r="A6800" s="9" t="str">
        <f>IFERROR(__xludf.DUMMYFUNCTION("""COMPUTED_VALUE"""),"Batch 315")</f>
        <v>Batch 315</v>
      </c>
      <c r="B6800" s="9" t="str">
        <f>IFERROR(__xludf.DUMMYFUNCTION("""COMPUTED_VALUE"""),"SumayyaC15")</f>
        <v>SumayyaC15</v>
      </c>
      <c r="C6800" s="8">
        <f>IFERROR(__xludf.DUMMYFUNCTION("""COMPUTED_VALUE"""),0.0)</f>
        <v>0</v>
      </c>
      <c r="D6800" s="8"/>
    </row>
    <row r="6801">
      <c r="A6801" s="9" t="str">
        <f>IFERROR(__xludf.DUMMYFUNCTION("""COMPUTED_VALUE"""),"Batch 315")</f>
        <v>Batch 315</v>
      </c>
      <c r="B6801" s="9" t="str">
        <f>IFERROR(__xludf.DUMMYFUNCTION("""COMPUTED_VALUE"""),"DhirajC15")</f>
        <v>DhirajC15</v>
      </c>
      <c r="C6801" s="8">
        <f>IFERROR(__xludf.DUMMYFUNCTION("""COMPUTED_VALUE"""),0.0)</f>
        <v>0</v>
      </c>
      <c r="D6801" s="8"/>
    </row>
    <row r="6802">
      <c r="A6802" s="9" t="str">
        <f>IFERROR(__xludf.DUMMYFUNCTION("""COMPUTED_VALUE"""),"Batch 315")</f>
        <v>Batch 315</v>
      </c>
      <c r="B6802" s="9" t="str">
        <f>IFERROR(__xludf.DUMMYFUNCTION("""COMPUTED_VALUE"""),"MohmedC15")</f>
        <v>MohmedC15</v>
      </c>
      <c r="C6802" s="8">
        <f>IFERROR(__xludf.DUMMYFUNCTION("""COMPUTED_VALUE"""),0.0)</f>
        <v>0</v>
      </c>
      <c r="D6802" s="8"/>
    </row>
    <row r="6803">
      <c r="A6803" s="9" t="str">
        <f>IFERROR(__xludf.DUMMYFUNCTION("""COMPUTED_VALUE"""),"Batch 315")</f>
        <v>Batch 315</v>
      </c>
      <c r="B6803" s="9" t="str">
        <f>IFERROR(__xludf.DUMMYFUNCTION("""COMPUTED_VALUE"""),"MonalisaC15")</f>
        <v>MonalisaC15</v>
      </c>
      <c r="C6803" s="8">
        <f>IFERROR(__xludf.DUMMYFUNCTION("""COMPUTED_VALUE"""),0.0)</f>
        <v>0</v>
      </c>
      <c r="D6803" s="8"/>
    </row>
    <row r="6804">
      <c r="A6804" s="9" t="str">
        <f>IFERROR(__xludf.DUMMYFUNCTION("""COMPUTED_VALUE"""),"Batch 315")</f>
        <v>Batch 315</v>
      </c>
      <c r="B6804" s="9" t="str">
        <f>IFERROR(__xludf.DUMMYFUNCTION("""COMPUTED_VALUE"""),"AbhinashC15")</f>
        <v>AbhinashC15</v>
      </c>
      <c r="C6804" s="8">
        <f>IFERROR(__xludf.DUMMYFUNCTION("""COMPUTED_VALUE"""),1.0)</f>
        <v>1</v>
      </c>
      <c r="D6804" s="8"/>
    </row>
    <row r="6805">
      <c r="A6805" s="9" t="str">
        <f>IFERROR(__xludf.DUMMYFUNCTION("""COMPUTED_VALUE"""),"Batch 315")</f>
        <v>Batch 315</v>
      </c>
      <c r="B6805" s="9" t="str">
        <f>IFERROR(__xludf.DUMMYFUNCTION("""COMPUTED_VALUE"""),"PratikshaC15")</f>
        <v>PratikshaC15</v>
      </c>
      <c r="C6805" s="8">
        <f>IFERROR(__xludf.DUMMYFUNCTION("""COMPUTED_VALUE"""),0.0)</f>
        <v>0</v>
      </c>
      <c r="D6805" s="8"/>
    </row>
    <row r="6806">
      <c r="A6806" s="9" t="str">
        <f>IFERROR(__xludf.DUMMYFUNCTION("""COMPUTED_VALUE"""),"Batch 315")</f>
        <v>Batch 315</v>
      </c>
      <c r="B6806" s="9" t="str">
        <f>IFERROR(__xludf.DUMMYFUNCTION("""COMPUTED_VALUE"""),"KashishC15")</f>
        <v>KashishC15</v>
      </c>
      <c r="C6806" s="8">
        <f>IFERROR(__xludf.DUMMYFUNCTION("""COMPUTED_VALUE"""),0.0)</f>
        <v>0</v>
      </c>
      <c r="D6806" s="8"/>
    </row>
    <row r="6807">
      <c r="A6807" s="9" t="str">
        <f>IFERROR(__xludf.DUMMYFUNCTION("""COMPUTED_VALUE"""),"Batch 315")</f>
        <v>Batch 315</v>
      </c>
      <c r="B6807" s="9" t="str">
        <f>IFERROR(__xludf.DUMMYFUNCTION("""COMPUTED_VALUE"""),"ShriyaC15")</f>
        <v>ShriyaC15</v>
      </c>
      <c r="C6807" s="8">
        <f>IFERROR(__xludf.DUMMYFUNCTION("""COMPUTED_VALUE"""),0.0)</f>
        <v>0</v>
      </c>
      <c r="D6807" s="8"/>
    </row>
    <row r="6808">
      <c r="A6808" s="9" t="str">
        <f>IFERROR(__xludf.DUMMYFUNCTION("""COMPUTED_VALUE"""),"Batch 315")</f>
        <v>Batch 315</v>
      </c>
      <c r="B6808" s="9" t="str">
        <f>IFERROR(__xludf.DUMMYFUNCTION("""COMPUTED_VALUE"""),"yasC15")</f>
        <v>yasC15</v>
      </c>
      <c r="C6808" s="8">
        <f>IFERROR(__xludf.DUMMYFUNCTION("""COMPUTED_VALUE"""),3.0)</f>
        <v>3</v>
      </c>
      <c r="D6808" s="8">
        <f>IFERROR(__xludf.DUMMYFUNCTION("""COMPUTED_VALUE"""),4.0)</f>
        <v>4</v>
      </c>
    </row>
    <row r="6809">
      <c r="A6809" s="9" t="str">
        <f>IFERROR(__xludf.DUMMYFUNCTION("""COMPUTED_VALUE"""),"Batch 315")</f>
        <v>Batch 315</v>
      </c>
      <c r="B6809" s="9" t="str">
        <f>IFERROR(__xludf.DUMMYFUNCTION("""COMPUTED_VALUE"""),"SanjyotC15")</f>
        <v>SanjyotC15</v>
      </c>
      <c r="C6809" s="8">
        <f>IFERROR(__xludf.DUMMYFUNCTION("""COMPUTED_VALUE"""),0.0)</f>
        <v>0</v>
      </c>
      <c r="D6809" s="8"/>
    </row>
    <row r="6810">
      <c r="A6810" s="9" t="str">
        <f>IFERROR(__xludf.DUMMYFUNCTION("""COMPUTED_VALUE"""),"Batch 315")</f>
        <v>Batch 315</v>
      </c>
      <c r="B6810" s="9" t="str">
        <f>IFERROR(__xludf.DUMMYFUNCTION("""COMPUTED_VALUE"""),"AsmaC15")</f>
        <v>AsmaC15</v>
      </c>
      <c r="C6810" s="8">
        <f>IFERROR(__xludf.DUMMYFUNCTION("""COMPUTED_VALUE"""),0.0)</f>
        <v>0</v>
      </c>
      <c r="D6810" s="8"/>
    </row>
    <row r="6811">
      <c r="A6811" s="9"/>
      <c r="B6811" s="9"/>
      <c r="C6811" s="8">
        <f>IFERROR(__xludf.DUMMYFUNCTION("""COMPUTED_VALUE"""),0.0)</f>
        <v>0</v>
      </c>
      <c r="D6811" s="8"/>
    </row>
    <row r="6812">
      <c r="A6812" s="9" t="str">
        <f>IFERROR(__xludf.DUMMYFUNCTION("""COMPUTED_VALUE"""),"Batch 316")</f>
        <v>Batch 316</v>
      </c>
      <c r="B6812" s="9" t="str">
        <f>IFERROR(__xludf.DUMMYFUNCTION("""COMPUTED_VALUE"""),"SatyajitC16")</f>
        <v>SatyajitC16</v>
      </c>
      <c r="C6812" s="8">
        <f>IFERROR(__xludf.DUMMYFUNCTION("""COMPUTED_VALUE"""),0.0)</f>
        <v>0</v>
      </c>
      <c r="D6812" s="8"/>
    </row>
    <row r="6813">
      <c r="A6813" s="9" t="str">
        <f>IFERROR(__xludf.DUMMYFUNCTION("""COMPUTED_VALUE"""),"Batch 316")</f>
        <v>Batch 316</v>
      </c>
      <c r="B6813" s="9" t="str">
        <f>IFERROR(__xludf.DUMMYFUNCTION("""COMPUTED_VALUE"""),"PriyanshuC16")</f>
        <v>PriyanshuC16</v>
      </c>
      <c r="C6813" s="8">
        <f>IFERROR(__xludf.DUMMYFUNCTION("""COMPUTED_VALUE"""),0.0)</f>
        <v>0</v>
      </c>
      <c r="D6813" s="8"/>
    </row>
    <row r="6814">
      <c r="A6814" s="9" t="str">
        <f>IFERROR(__xludf.DUMMYFUNCTION("""COMPUTED_VALUE"""),"Batch 316")</f>
        <v>Batch 316</v>
      </c>
      <c r="B6814" s="9" t="str">
        <f>IFERROR(__xludf.DUMMYFUNCTION("""COMPUTED_VALUE"""),"SanyamC16")</f>
        <v>SanyamC16</v>
      </c>
      <c r="C6814" s="8">
        <f>IFERROR(__xludf.DUMMYFUNCTION("""COMPUTED_VALUE"""),4.0)</f>
        <v>4</v>
      </c>
      <c r="D6814" s="8">
        <f>IFERROR(__xludf.DUMMYFUNCTION("""COMPUTED_VALUE"""),3.0)</f>
        <v>3</v>
      </c>
    </row>
    <row r="6815">
      <c r="A6815" s="9" t="str">
        <f>IFERROR(__xludf.DUMMYFUNCTION("""COMPUTED_VALUE"""),"Batch 316")</f>
        <v>Batch 316</v>
      </c>
      <c r="B6815" s="9" t="str">
        <f>IFERROR(__xludf.DUMMYFUNCTION("""COMPUTED_VALUE"""),"OjasC16")</f>
        <v>OjasC16</v>
      </c>
      <c r="C6815" s="8">
        <f>IFERROR(__xludf.DUMMYFUNCTION("""COMPUTED_VALUE"""),3.0)</f>
        <v>3</v>
      </c>
      <c r="D6815" s="8">
        <f>IFERROR(__xludf.DUMMYFUNCTION("""COMPUTED_VALUE"""),1.0)</f>
        <v>1</v>
      </c>
    </row>
    <row r="6816">
      <c r="A6816" s="9" t="str">
        <f>IFERROR(__xludf.DUMMYFUNCTION("""COMPUTED_VALUE"""),"Batch 316")</f>
        <v>Batch 316</v>
      </c>
      <c r="B6816" s="9" t="str">
        <f>IFERROR(__xludf.DUMMYFUNCTION("""COMPUTED_VALUE"""),"SujitC16")</f>
        <v>SujitC16</v>
      </c>
      <c r="C6816" s="8">
        <f>IFERROR(__xludf.DUMMYFUNCTION("""COMPUTED_VALUE"""),0.0)</f>
        <v>0</v>
      </c>
      <c r="D6816" s="8"/>
    </row>
    <row r="6817">
      <c r="A6817" s="9" t="str">
        <f>IFERROR(__xludf.DUMMYFUNCTION("""COMPUTED_VALUE"""),"Batch 316")</f>
        <v>Batch 316</v>
      </c>
      <c r="B6817" s="9" t="str">
        <f>IFERROR(__xludf.DUMMYFUNCTION("""COMPUTED_VALUE"""),"SOMANOLLAC16")</f>
        <v>SOMANOLLAC16</v>
      </c>
      <c r="C6817" s="8">
        <f>IFERROR(__xludf.DUMMYFUNCTION("""COMPUTED_VALUE"""),0.0)</f>
        <v>0</v>
      </c>
      <c r="D6817" s="8"/>
    </row>
    <row r="6818">
      <c r="A6818" s="9" t="str">
        <f>IFERROR(__xludf.DUMMYFUNCTION("""COMPUTED_VALUE"""),"Batch 316")</f>
        <v>Batch 316</v>
      </c>
      <c r="B6818" s="9" t="str">
        <f>IFERROR(__xludf.DUMMYFUNCTION("""COMPUTED_VALUE"""),"KushagraC16")</f>
        <v>KushagraC16</v>
      </c>
      <c r="C6818" s="8">
        <f>IFERROR(__xludf.DUMMYFUNCTION("""COMPUTED_VALUE"""),0.0)</f>
        <v>0</v>
      </c>
      <c r="D6818" s="8"/>
    </row>
    <row r="6819">
      <c r="A6819" s="9" t="str">
        <f>IFERROR(__xludf.DUMMYFUNCTION("""COMPUTED_VALUE"""),"Batch 316")</f>
        <v>Batch 316</v>
      </c>
      <c r="B6819" s="9" t="str">
        <f>IFERROR(__xludf.DUMMYFUNCTION("""COMPUTED_VALUE"""),"SanjayC16")</f>
        <v>SanjayC16</v>
      </c>
      <c r="C6819" s="8">
        <f>IFERROR(__xludf.DUMMYFUNCTION("""COMPUTED_VALUE"""),0.0)</f>
        <v>0</v>
      </c>
      <c r="D6819" s="8"/>
    </row>
    <row r="6820">
      <c r="A6820" s="9" t="str">
        <f>IFERROR(__xludf.DUMMYFUNCTION("""COMPUTED_VALUE"""),"Batch 316")</f>
        <v>Batch 316</v>
      </c>
      <c r="B6820" s="9" t="str">
        <f>IFERROR(__xludf.DUMMYFUNCTION("""COMPUTED_VALUE"""),"saatwikaC16")</f>
        <v>saatwikaC16</v>
      </c>
      <c r="C6820" s="8">
        <f>IFERROR(__xludf.DUMMYFUNCTION("""COMPUTED_VALUE"""),0.0)</f>
        <v>0</v>
      </c>
      <c r="D6820" s="8"/>
    </row>
    <row r="6821">
      <c r="A6821" s="9" t="str">
        <f>IFERROR(__xludf.DUMMYFUNCTION("""COMPUTED_VALUE"""),"Batch 316")</f>
        <v>Batch 316</v>
      </c>
      <c r="B6821" s="9" t="str">
        <f>IFERROR(__xludf.DUMMYFUNCTION("""COMPUTED_VALUE"""),"HarshdeepC16")</f>
        <v>HarshdeepC16</v>
      </c>
      <c r="C6821" s="8">
        <f>IFERROR(__xludf.DUMMYFUNCTION("""COMPUTED_VALUE"""),1.0)</f>
        <v>1</v>
      </c>
      <c r="D6821" s="8"/>
    </row>
    <row r="6822">
      <c r="A6822" s="9" t="str">
        <f>IFERROR(__xludf.DUMMYFUNCTION("""COMPUTED_VALUE"""),"Batch 316")</f>
        <v>Batch 316</v>
      </c>
      <c r="B6822" s="9" t="str">
        <f>IFERROR(__xludf.DUMMYFUNCTION("""COMPUTED_VALUE"""),"AmishaC16")</f>
        <v>AmishaC16</v>
      </c>
      <c r="C6822" s="8">
        <f>IFERROR(__xludf.DUMMYFUNCTION("""COMPUTED_VALUE"""),0.0)</f>
        <v>0</v>
      </c>
      <c r="D6822" s="8"/>
    </row>
    <row r="6823">
      <c r="A6823" s="9" t="str">
        <f>IFERROR(__xludf.DUMMYFUNCTION("""COMPUTED_VALUE"""),"Batch 316")</f>
        <v>Batch 316</v>
      </c>
      <c r="B6823" s="9" t="str">
        <f>IFERROR(__xludf.DUMMYFUNCTION("""COMPUTED_VALUE"""),"SuryanshC16")</f>
        <v>SuryanshC16</v>
      </c>
      <c r="C6823" s="8">
        <f>IFERROR(__xludf.DUMMYFUNCTION("""COMPUTED_VALUE"""),1.0)</f>
        <v>1</v>
      </c>
      <c r="D6823" s="8"/>
    </row>
    <row r="6824">
      <c r="A6824" s="9" t="str">
        <f>IFERROR(__xludf.DUMMYFUNCTION("""COMPUTED_VALUE"""),"Batch 316")</f>
        <v>Batch 316</v>
      </c>
      <c r="B6824" s="9" t="str">
        <f>IFERROR(__xludf.DUMMYFUNCTION("""COMPUTED_VALUE"""),"AnilC16")</f>
        <v>AnilC16</v>
      </c>
      <c r="C6824" s="8">
        <f>IFERROR(__xludf.DUMMYFUNCTION("""COMPUTED_VALUE"""),0.0)</f>
        <v>0</v>
      </c>
      <c r="D6824" s="8"/>
    </row>
    <row r="6825">
      <c r="A6825" s="9" t="str">
        <f>IFERROR(__xludf.DUMMYFUNCTION("""COMPUTED_VALUE"""),"Batch 316")</f>
        <v>Batch 316</v>
      </c>
      <c r="B6825" s="9" t="str">
        <f>IFERROR(__xludf.DUMMYFUNCTION("""COMPUTED_VALUE"""),"RohanC16")</f>
        <v>RohanC16</v>
      </c>
      <c r="C6825" s="8">
        <f>IFERROR(__xludf.DUMMYFUNCTION("""COMPUTED_VALUE"""),0.0)</f>
        <v>0</v>
      </c>
      <c r="D6825" s="8"/>
    </row>
    <row r="6826">
      <c r="A6826" s="9" t="str">
        <f>IFERROR(__xludf.DUMMYFUNCTION("""COMPUTED_VALUE"""),"Batch 316")</f>
        <v>Batch 316</v>
      </c>
      <c r="B6826" s="9" t="str">
        <f>IFERROR(__xludf.DUMMYFUNCTION("""COMPUTED_VALUE"""),"RuchiC16")</f>
        <v>RuchiC16</v>
      </c>
      <c r="C6826" s="8">
        <f>IFERROR(__xludf.DUMMYFUNCTION("""COMPUTED_VALUE"""),0.0)</f>
        <v>0</v>
      </c>
      <c r="D6826" s="8"/>
    </row>
    <row r="6827">
      <c r="A6827" s="9" t="str">
        <f>IFERROR(__xludf.DUMMYFUNCTION("""COMPUTED_VALUE"""),"Batch 316")</f>
        <v>Batch 316</v>
      </c>
      <c r="B6827" s="9" t="str">
        <f>IFERROR(__xludf.DUMMYFUNCTION("""COMPUTED_VALUE"""),"MaheshC16")</f>
        <v>MaheshC16</v>
      </c>
      <c r="C6827" s="8">
        <f>IFERROR(__xludf.DUMMYFUNCTION("""COMPUTED_VALUE"""),1.0)</f>
        <v>1</v>
      </c>
      <c r="D6827" s="8"/>
    </row>
    <row r="6828">
      <c r="A6828" s="9" t="str">
        <f>IFERROR(__xludf.DUMMYFUNCTION("""COMPUTED_VALUE"""),"Batch 316")</f>
        <v>Batch 316</v>
      </c>
      <c r="B6828" s="9" t="str">
        <f>IFERROR(__xludf.DUMMYFUNCTION("""COMPUTED_VALUE"""),"RiteshC16")</f>
        <v>RiteshC16</v>
      </c>
      <c r="C6828" s="8">
        <f>IFERROR(__xludf.DUMMYFUNCTION("""COMPUTED_VALUE"""),2.0)</f>
        <v>2</v>
      </c>
      <c r="D6828" s="8"/>
    </row>
    <row r="6829">
      <c r="A6829" s="9" t="str">
        <f>IFERROR(__xludf.DUMMYFUNCTION("""COMPUTED_VALUE"""),"Batch 316")</f>
        <v>Batch 316</v>
      </c>
      <c r="B6829" s="9" t="str">
        <f>IFERROR(__xludf.DUMMYFUNCTION("""COMPUTED_VALUE"""),"PranjalC16")</f>
        <v>PranjalC16</v>
      </c>
      <c r="C6829" s="8">
        <f>IFERROR(__xludf.DUMMYFUNCTION("""COMPUTED_VALUE"""),0.0)</f>
        <v>0</v>
      </c>
      <c r="D6829" s="8"/>
    </row>
    <row r="6830">
      <c r="A6830" s="9" t="str">
        <f>IFERROR(__xludf.DUMMYFUNCTION("""COMPUTED_VALUE"""),"Batch 316")</f>
        <v>Batch 316</v>
      </c>
      <c r="B6830" s="9" t="str">
        <f>IFERROR(__xludf.DUMMYFUNCTION("""COMPUTED_VALUE"""),"MounikaC16")</f>
        <v>MounikaC16</v>
      </c>
      <c r="C6830" s="8">
        <f>IFERROR(__xludf.DUMMYFUNCTION("""COMPUTED_VALUE"""),1.0)</f>
        <v>1</v>
      </c>
      <c r="D6830" s="8"/>
    </row>
    <row r="6831">
      <c r="A6831" s="9" t="str">
        <f>IFERROR(__xludf.DUMMYFUNCTION("""COMPUTED_VALUE"""),"Batch 316")</f>
        <v>Batch 316</v>
      </c>
      <c r="B6831" s="9" t="str">
        <f>IFERROR(__xludf.DUMMYFUNCTION("""COMPUTED_VALUE"""),"MeetC16")</f>
        <v>MeetC16</v>
      </c>
      <c r="C6831" s="8">
        <f>IFERROR(__xludf.DUMMYFUNCTION("""COMPUTED_VALUE"""),0.0)</f>
        <v>0</v>
      </c>
      <c r="D6831" s="8"/>
    </row>
    <row r="6832">
      <c r="A6832" s="9" t="str">
        <f>IFERROR(__xludf.DUMMYFUNCTION("""COMPUTED_VALUE"""),"Batch 316")</f>
        <v>Batch 316</v>
      </c>
      <c r="B6832" s="9" t="str">
        <f>IFERROR(__xludf.DUMMYFUNCTION("""COMPUTED_VALUE"""),"HardhikC16")</f>
        <v>HardhikC16</v>
      </c>
      <c r="C6832" s="8">
        <f>IFERROR(__xludf.DUMMYFUNCTION("""COMPUTED_VALUE"""),0.0)</f>
        <v>0</v>
      </c>
      <c r="D6832" s="8"/>
    </row>
    <row r="6833">
      <c r="A6833" s="9" t="str">
        <f>IFERROR(__xludf.DUMMYFUNCTION("""COMPUTED_VALUE"""),"Batch 316")</f>
        <v>Batch 316</v>
      </c>
      <c r="B6833" s="9" t="str">
        <f>IFERROR(__xludf.DUMMYFUNCTION("""COMPUTED_VALUE"""),"RiddhiC16")</f>
        <v>RiddhiC16</v>
      </c>
      <c r="C6833" s="8">
        <f>IFERROR(__xludf.DUMMYFUNCTION("""COMPUTED_VALUE"""),0.0)</f>
        <v>0</v>
      </c>
      <c r="D6833" s="8"/>
    </row>
    <row r="6834">
      <c r="A6834" s="9" t="str">
        <f>IFERROR(__xludf.DUMMYFUNCTION("""COMPUTED_VALUE"""),"Batch 316")</f>
        <v>Batch 316</v>
      </c>
      <c r="B6834" s="9" t="str">
        <f>IFERROR(__xludf.DUMMYFUNCTION("""COMPUTED_VALUE"""),"PalakC16")</f>
        <v>PalakC16</v>
      </c>
      <c r="C6834" s="8">
        <f>IFERROR(__xludf.DUMMYFUNCTION("""COMPUTED_VALUE"""),0.0)</f>
        <v>0</v>
      </c>
      <c r="D6834" s="8"/>
    </row>
    <row r="6835">
      <c r="A6835" s="9" t="str">
        <f>IFERROR(__xludf.DUMMYFUNCTION("""COMPUTED_VALUE"""),"Batch 316")</f>
        <v>Batch 316</v>
      </c>
      <c r="B6835" s="9" t="str">
        <f>IFERROR(__xludf.DUMMYFUNCTION("""COMPUTED_VALUE"""),"PranamC16")</f>
        <v>PranamC16</v>
      </c>
      <c r="C6835" s="8">
        <f>IFERROR(__xludf.DUMMYFUNCTION("""COMPUTED_VALUE"""),0.0)</f>
        <v>0</v>
      </c>
      <c r="D6835" s="8"/>
    </row>
    <row r="6836">
      <c r="A6836" s="9" t="str">
        <f>IFERROR(__xludf.DUMMYFUNCTION("""COMPUTED_VALUE"""),"Batch 316")</f>
        <v>Batch 316</v>
      </c>
      <c r="B6836" s="9" t="str">
        <f>IFERROR(__xludf.DUMMYFUNCTION("""COMPUTED_VALUE"""),"SupriyaC16")</f>
        <v>SupriyaC16</v>
      </c>
      <c r="C6836" s="8">
        <f>IFERROR(__xludf.DUMMYFUNCTION("""COMPUTED_VALUE"""),0.0)</f>
        <v>0</v>
      </c>
      <c r="D6836" s="8"/>
    </row>
    <row r="6837">
      <c r="A6837" s="9" t="str">
        <f>IFERROR(__xludf.DUMMYFUNCTION("""COMPUTED_VALUE"""),"Batch 316")</f>
        <v>Batch 316</v>
      </c>
      <c r="B6837" s="9" t="str">
        <f>IFERROR(__xludf.DUMMYFUNCTION("""COMPUTED_VALUE"""),"SomisettiC16")</f>
        <v>SomisettiC16</v>
      </c>
      <c r="C6837" s="8">
        <f>IFERROR(__xludf.DUMMYFUNCTION("""COMPUTED_VALUE"""),0.0)</f>
        <v>0</v>
      </c>
      <c r="D6837" s="8"/>
    </row>
    <row r="6838">
      <c r="A6838" s="9" t="str">
        <f>IFERROR(__xludf.DUMMYFUNCTION("""COMPUTED_VALUE"""),"Batch 316")</f>
        <v>Batch 316</v>
      </c>
      <c r="B6838" s="9" t="str">
        <f>IFERROR(__xludf.DUMMYFUNCTION("""COMPUTED_VALUE"""),"RakeshC16")</f>
        <v>RakeshC16</v>
      </c>
      <c r="C6838" s="8">
        <f>IFERROR(__xludf.DUMMYFUNCTION("""COMPUTED_VALUE"""),0.0)</f>
        <v>0</v>
      </c>
      <c r="D6838" s="8"/>
    </row>
    <row r="6839">
      <c r="A6839" s="9" t="str">
        <f>IFERROR(__xludf.DUMMYFUNCTION("""COMPUTED_VALUE"""),"Batch 316")</f>
        <v>Batch 316</v>
      </c>
      <c r="B6839" s="9" t="str">
        <f>IFERROR(__xludf.DUMMYFUNCTION("""COMPUTED_VALUE"""),"ShalluC16")</f>
        <v>ShalluC16</v>
      </c>
      <c r="C6839" s="8">
        <f>IFERROR(__xludf.DUMMYFUNCTION("""COMPUTED_VALUE"""),0.0)</f>
        <v>0</v>
      </c>
      <c r="D6839" s="8"/>
    </row>
    <row r="6840">
      <c r="A6840" s="9" t="str">
        <f>IFERROR(__xludf.DUMMYFUNCTION("""COMPUTED_VALUE"""),"Batch 316")</f>
        <v>Batch 316</v>
      </c>
      <c r="B6840" s="9" t="str">
        <f>IFERROR(__xludf.DUMMYFUNCTION("""COMPUTED_VALUE"""),"sujalC16")</f>
        <v>sujalC16</v>
      </c>
      <c r="C6840" s="8">
        <f>IFERROR(__xludf.DUMMYFUNCTION("""COMPUTED_VALUE"""),0.0)</f>
        <v>0</v>
      </c>
      <c r="D6840" s="8"/>
    </row>
    <row r="6841">
      <c r="A6841" s="9" t="str">
        <f>IFERROR(__xludf.DUMMYFUNCTION("""COMPUTED_VALUE"""),"Batch 316")</f>
        <v>Batch 316</v>
      </c>
      <c r="B6841" s="9" t="str">
        <f>IFERROR(__xludf.DUMMYFUNCTION("""COMPUTED_VALUE"""),"JatinC16")</f>
        <v>JatinC16</v>
      </c>
      <c r="C6841" s="8">
        <f>IFERROR(__xludf.DUMMYFUNCTION("""COMPUTED_VALUE"""),0.0)</f>
        <v>0</v>
      </c>
      <c r="D6841" s="8"/>
    </row>
    <row r="6842">
      <c r="A6842" s="9" t="str">
        <f>IFERROR(__xludf.DUMMYFUNCTION("""COMPUTED_VALUE"""),"Batch 316")</f>
        <v>Batch 316</v>
      </c>
      <c r="B6842" s="9" t="str">
        <f>IFERROR(__xludf.DUMMYFUNCTION("""COMPUTED_VALUE"""),"NandaniC16")</f>
        <v>NandaniC16</v>
      </c>
      <c r="C6842" s="8">
        <f>IFERROR(__xludf.DUMMYFUNCTION("""COMPUTED_VALUE"""),1.0)</f>
        <v>1</v>
      </c>
      <c r="D6842" s="8">
        <f>IFERROR(__xludf.DUMMYFUNCTION("""COMPUTED_VALUE"""),1.0)</f>
        <v>1</v>
      </c>
    </row>
    <row r="6843">
      <c r="A6843" s="9" t="str">
        <f>IFERROR(__xludf.DUMMYFUNCTION("""COMPUTED_VALUE"""),"Batch 316")</f>
        <v>Batch 316</v>
      </c>
      <c r="B6843" s="9" t="str">
        <f>IFERROR(__xludf.DUMMYFUNCTION("""COMPUTED_VALUE"""),"SoumenC16")</f>
        <v>SoumenC16</v>
      </c>
      <c r="C6843" s="8">
        <f>IFERROR(__xludf.DUMMYFUNCTION("""COMPUTED_VALUE"""),0.0)</f>
        <v>0</v>
      </c>
      <c r="D6843" s="8"/>
    </row>
    <row r="6844">
      <c r="A6844" s="9" t="str">
        <f>IFERROR(__xludf.DUMMYFUNCTION("""COMPUTED_VALUE"""),"Batch 316")</f>
        <v>Batch 316</v>
      </c>
      <c r="B6844" s="9" t="str">
        <f>IFERROR(__xludf.DUMMYFUNCTION("""COMPUTED_VALUE"""),"PC16")</f>
        <v>PC16</v>
      </c>
      <c r="C6844" s="8">
        <f>IFERROR(__xludf.DUMMYFUNCTION("""COMPUTED_VALUE"""),0.0)</f>
        <v>0</v>
      </c>
      <c r="D6844" s="8"/>
    </row>
    <row r="6845">
      <c r="A6845" s="9" t="str">
        <f>IFERROR(__xludf.DUMMYFUNCTION("""COMPUTED_VALUE"""),"Batch 316")</f>
        <v>Batch 316</v>
      </c>
      <c r="B6845" s="9" t="str">
        <f>IFERROR(__xludf.DUMMYFUNCTION("""COMPUTED_VALUE"""),"ShayanC16")</f>
        <v>ShayanC16</v>
      </c>
      <c r="C6845" s="8">
        <f>IFERROR(__xludf.DUMMYFUNCTION("""COMPUTED_VALUE"""),0.0)</f>
        <v>0</v>
      </c>
      <c r="D6845" s="8"/>
    </row>
    <row r="6846">
      <c r="A6846" s="9" t="str">
        <f>IFERROR(__xludf.DUMMYFUNCTION("""COMPUTED_VALUE"""),"Batch 316")</f>
        <v>Batch 316</v>
      </c>
      <c r="B6846" s="9" t="str">
        <f>IFERROR(__xludf.DUMMYFUNCTION("""COMPUTED_VALUE"""),"RahulC16")</f>
        <v>RahulC16</v>
      </c>
      <c r="C6846" s="8">
        <f>IFERROR(__xludf.DUMMYFUNCTION("""COMPUTED_VALUE"""),0.0)</f>
        <v>0</v>
      </c>
      <c r="D6846" s="8"/>
    </row>
    <row r="6847">
      <c r="A6847" s="9" t="str">
        <f>IFERROR(__xludf.DUMMYFUNCTION("""COMPUTED_VALUE"""),"Batch 316")</f>
        <v>Batch 316</v>
      </c>
      <c r="B6847" s="9" t="str">
        <f>IFERROR(__xludf.DUMMYFUNCTION("""COMPUTED_VALUE"""),"KinjalC16")</f>
        <v>KinjalC16</v>
      </c>
      <c r="C6847" s="8">
        <f>IFERROR(__xludf.DUMMYFUNCTION("""COMPUTED_VALUE"""),0.0)</f>
        <v>0</v>
      </c>
      <c r="D6847" s="8"/>
    </row>
    <row r="6848">
      <c r="A6848" s="9" t="str">
        <f>IFERROR(__xludf.DUMMYFUNCTION("""COMPUTED_VALUE"""),"Batch 316")</f>
        <v>Batch 316</v>
      </c>
      <c r="B6848" s="9" t="str">
        <f>IFERROR(__xludf.DUMMYFUNCTION("""COMPUTED_VALUE"""),"HASINIC16")</f>
        <v>HASINIC16</v>
      </c>
      <c r="C6848" s="8">
        <f>IFERROR(__xludf.DUMMYFUNCTION("""COMPUTED_VALUE"""),0.0)</f>
        <v>0</v>
      </c>
      <c r="D6848" s="8">
        <f>IFERROR(__xludf.DUMMYFUNCTION("""COMPUTED_VALUE"""),2.0)</f>
        <v>2</v>
      </c>
    </row>
    <row r="6849">
      <c r="A6849" s="9" t="str">
        <f>IFERROR(__xludf.DUMMYFUNCTION("""COMPUTED_VALUE"""),"Batch 316")</f>
        <v>Batch 316</v>
      </c>
      <c r="B6849" s="9" t="str">
        <f>IFERROR(__xludf.DUMMYFUNCTION("""COMPUTED_VALUE"""),"UrvishC16")</f>
        <v>UrvishC16</v>
      </c>
      <c r="C6849" s="8">
        <f>IFERROR(__xludf.DUMMYFUNCTION("""COMPUTED_VALUE"""),0.0)</f>
        <v>0</v>
      </c>
      <c r="D6849" s="8"/>
    </row>
    <row r="6850">
      <c r="A6850" s="9" t="str">
        <f>IFERROR(__xludf.DUMMYFUNCTION("""COMPUTED_VALUE"""),"Batch 316")</f>
        <v>Batch 316</v>
      </c>
      <c r="B6850" s="9" t="str">
        <f>IFERROR(__xludf.DUMMYFUNCTION("""COMPUTED_VALUE"""),"PULLAGURAC16")</f>
        <v>PULLAGURAC16</v>
      </c>
      <c r="C6850" s="8">
        <f>IFERROR(__xludf.DUMMYFUNCTION("""COMPUTED_VALUE"""),12.0)</f>
        <v>12</v>
      </c>
      <c r="D6850" s="8">
        <f>IFERROR(__xludf.DUMMYFUNCTION("""COMPUTED_VALUE"""),31.0)</f>
        <v>31</v>
      </c>
    </row>
    <row r="6851">
      <c r="A6851" s="9" t="str">
        <f>IFERROR(__xludf.DUMMYFUNCTION("""COMPUTED_VALUE"""),"Batch 316")</f>
        <v>Batch 316</v>
      </c>
      <c r="B6851" s="9" t="str">
        <f>IFERROR(__xludf.DUMMYFUNCTION("""COMPUTED_VALUE"""),"SaboorC16")</f>
        <v>SaboorC16</v>
      </c>
      <c r="C6851" s="8">
        <f>IFERROR(__xludf.DUMMYFUNCTION("""COMPUTED_VALUE"""),0.0)</f>
        <v>0</v>
      </c>
      <c r="D6851" s="8"/>
    </row>
    <row r="6852">
      <c r="A6852" s="9" t="str">
        <f>IFERROR(__xludf.DUMMYFUNCTION("""COMPUTED_VALUE"""),"Batch 316")</f>
        <v>Batch 316</v>
      </c>
      <c r="B6852" s="9" t="str">
        <f>IFERROR(__xludf.DUMMYFUNCTION("""COMPUTED_VALUE"""),"HimalayarajC16")</f>
        <v>HimalayarajC16</v>
      </c>
      <c r="C6852" s="8">
        <f>IFERROR(__xludf.DUMMYFUNCTION("""COMPUTED_VALUE"""),0.0)</f>
        <v>0</v>
      </c>
      <c r="D6852" s="8"/>
    </row>
    <row r="6853">
      <c r="A6853" s="9" t="str">
        <f>IFERROR(__xludf.DUMMYFUNCTION("""COMPUTED_VALUE"""),"Batch 316")</f>
        <v>Batch 316</v>
      </c>
      <c r="B6853" s="9" t="str">
        <f>IFERROR(__xludf.DUMMYFUNCTION("""COMPUTED_VALUE"""),"GoneC16")</f>
        <v>GoneC16</v>
      </c>
      <c r="C6853" s="8">
        <f>IFERROR(__xludf.DUMMYFUNCTION("""COMPUTED_VALUE"""),0.0)</f>
        <v>0</v>
      </c>
      <c r="D6853" s="8"/>
    </row>
    <row r="6854">
      <c r="A6854" s="9" t="str">
        <f>IFERROR(__xludf.DUMMYFUNCTION("""COMPUTED_VALUE"""),"Batch 316")</f>
        <v>Batch 316</v>
      </c>
      <c r="B6854" s="9" t="str">
        <f>IFERROR(__xludf.DUMMYFUNCTION("""COMPUTED_VALUE"""),"ObaidurC16")</f>
        <v>ObaidurC16</v>
      </c>
      <c r="C6854" s="8">
        <f>IFERROR(__xludf.DUMMYFUNCTION("""COMPUTED_VALUE"""),0.0)</f>
        <v>0</v>
      </c>
      <c r="D6854" s="8"/>
    </row>
    <row r="6855">
      <c r="A6855" s="9" t="str">
        <f>IFERROR(__xludf.DUMMYFUNCTION("""COMPUTED_VALUE"""),"Batch 316")</f>
        <v>Batch 316</v>
      </c>
      <c r="B6855" s="9" t="str">
        <f>IFERROR(__xludf.DUMMYFUNCTION("""COMPUTED_VALUE"""),"ParulC16")</f>
        <v>ParulC16</v>
      </c>
      <c r="C6855" s="8">
        <f>IFERROR(__xludf.DUMMYFUNCTION("""COMPUTED_VALUE"""),31.0)</f>
        <v>31</v>
      </c>
      <c r="D6855" s="8">
        <f>IFERROR(__xludf.DUMMYFUNCTION("""COMPUTED_VALUE"""),4.0)</f>
        <v>4</v>
      </c>
    </row>
    <row r="6856">
      <c r="A6856" s="9" t="str">
        <f>IFERROR(__xludf.DUMMYFUNCTION("""COMPUTED_VALUE"""),"Batch 316")</f>
        <v>Batch 316</v>
      </c>
      <c r="B6856" s="9" t="str">
        <f>IFERROR(__xludf.DUMMYFUNCTION("""COMPUTED_VALUE"""),"LaveshC16")</f>
        <v>LaveshC16</v>
      </c>
      <c r="C6856" s="8">
        <f>IFERROR(__xludf.DUMMYFUNCTION("""COMPUTED_VALUE"""),1.0)</f>
        <v>1</v>
      </c>
      <c r="D6856" s="8"/>
    </row>
    <row r="6857">
      <c r="A6857" s="9" t="str">
        <f>IFERROR(__xludf.DUMMYFUNCTION("""COMPUTED_VALUE"""),"Batch 316")</f>
        <v>Batch 316</v>
      </c>
      <c r="B6857" s="9" t="str">
        <f>IFERROR(__xludf.DUMMYFUNCTION("""COMPUTED_VALUE"""),"SumitC16")</f>
        <v>SumitC16</v>
      </c>
      <c r="C6857" s="8">
        <f>IFERROR(__xludf.DUMMYFUNCTION("""COMPUTED_VALUE"""),0.0)</f>
        <v>0</v>
      </c>
      <c r="D6857" s="8"/>
    </row>
    <row r="6858">
      <c r="A6858" s="9" t="str">
        <f>IFERROR(__xludf.DUMMYFUNCTION("""COMPUTED_VALUE"""),"Batch 316")</f>
        <v>Batch 316</v>
      </c>
      <c r="B6858" s="9" t="str">
        <f>IFERROR(__xludf.DUMMYFUNCTION("""COMPUTED_VALUE"""),"AkshuC16")</f>
        <v>AkshuC16</v>
      </c>
      <c r="C6858" s="8">
        <f>IFERROR(__xludf.DUMMYFUNCTION("""COMPUTED_VALUE"""),0.0)</f>
        <v>0</v>
      </c>
      <c r="D6858" s="8">
        <f>IFERROR(__xludf.DUMMYFUNCTION("""COMPUTED_VALUE"""),1.0)</f>
        <v>1</v>
      </c>
    </row>
    <row r="6859">
      <c r="A6859" s="9" t="str">
        <f>IFERROR(__xludf.DUMMYFUNCTION("""COMPUTED_VALUE"""),"Batch 316")</f>
        <v>Batch 316</v>
      </c>
      <c r="B6859" s="9" t="str">
        <f>IFERROR(__xludf.DUMMYFUNCTION("""COMPUTED_VALUE"""),"AanyaC16")</f>
        <v>AanyaC16</v>
      </c>
      <c r="C6859" s="8">
        <f>IFERROR(__xludf.DUMMYFUNCTION("""COMPUTED_VALUE"""),0.0)</f>
        <v>0</v>
      </c>
      <c r="D6859" s="8"/>
    </row>
    <row r="6860">
      <c r="A6860" s="9" t="str">
        <f>IFERROR(__xludf.DUMMYFUNCTION("""COMPUTED_VALUE"""),"Batch 316")</f>
        <v>Batch 316</v>
      </c>
      <c r="B6860" s="9" t="str">
        <f>IFERROR(__xludf.DUMMYFUNCTION("""COMPUTED_VALUE"""),"ABHISHEKC16")</f>
        <v>ABHISHEKC16</v>
      </c>
      <c r="C6860" s="8">
        <f>IFERROR(__xludf.DUMMYFUNCTION("""COMPUTED_VALUE"""),0.0)</f>
        <v>0</v>
      </c>
      <c r="D6860" s="8"/>
    </row>
    <row r="6861">
      <c r="A6861" s="9" t="str">
        <f>IFERROR(__xludf.DUMMYFUNCTION("""COMPUTED_VALUE"""),"Batch 316")</f>
        <v>Batch 316</v>
      </c>
      <c r="B6861" s="9" t="str">
        <f>IFERROR(__xludf.DUMMYFUNCTION("""COMPUTED_VALUE"""),"GauravC16")</f>
        <v>GauravC16</v>
      </c>
      <c r="C6861" s="8">
        <f>IFERROR(__xludf.DUMMYFUNCTION("""COMPUTED_VALUE"""),0.0)</f>
        <v>0</v>
      </c>
      <c r="D6861" s="8"/>
    </row>
    <row r="6862">
      <c r="A6862" s="9" t="str">
        <f>IFERROR(__xludf.DUMMYFUNCTION("""COMPUTED_VALUE"""),"Batch 316")</f>
        <v>Batch 316</v>
      </c>
      <c r="B6862" s="9" t="str">
        <f>IFERROR(__xludf.DUMMYFUNCTION("""COMPUTED_VALUE"""),"VaishnaviC16")</f>
        <v>VaishnaviC16</v>
      </c>
      <c r="C6862" s="8">
        <f>IFERROR(__xludf.DUMMYFUNCTION("""COMPUTED_VALUE"""),0.0)</f>
        <v>0</v>
      </c>
      <c r="D6862" s="8"/>
    </row>
    <row r="6863">
      <c r="A6863" s="9" t="str">
        <f>IFERROR(__xludf.DUMMYFUNCTION("""COMPUTED_VALUE"""),"Batch 316")</f>
        <v>Batch 316</v>
      </c>
      <c r="B6863" s="9" t="str">
        <f>IFERROR(__xludf.DUMMYFUNCTION("""COMPUTED_VALUE"""),"SamayC16")</f>
        <v>SamayC16</v>
      </c>
      <c r="C6863" s="8">
        <f>IFERROR(__xludf.DUMMYFUNCTION("""COMPUTED_VALUE"""),3.0)</f>
        <v>3</v>
      </c>
      <c r="D6863" s="8">
        <f>IFERROR(__xludf.DUMMYFUNCTION("""COMPUTED_VALUE"""),3.0)</f>
        <v>3</v>
      </c>
    </row>
    <row r="6864">
      <c r="A6864" s="9" t="str">
        <f>IFERROR(__xludf.DUMMYFUNCTION("""COMPUTED_VALUE"""),"Batch 316")</f>
        <v>Batch 316</v>
      </c>
      <c r="B6864" s="9" t="str">
        <f>IFERROR(__xludf.DUMMYFUNCTION("""COMPUTED_VALUE"""),"PriyanshuC16")</f>
        <v>PriyanshuC16</v>
      </c>
      <c r="C6864" s="8">
        <f>IFERROR(__xludf.DUMMYFUNCTION("""COMPUTED_VALUE"""),0.0)</f>
        <v>0</v>
      </c>
      <c r="D6864" s="8"/>
    </row>
    <row r="6865">
      <c r="A6865" s="9" t="str">
        <f>IFERROR(__xludf.DUMMYFUNCTION("""COMPUTED_VALUE"""),"Batch 316")</f>
        <v>Batch 316</v>
      </c>
      <c r="B6865" s="9" t="str">
        <f>IFERROR(__xludf.DUMMYFUNCTION("""COMPUTED_VALUE"""),"KhuleC16")</f>
        <v>KhuleC16</v>
      </c>
      <c r="C6865" s="8">
        <f>IFERROR(__xludf.DUMMYFUNCTION("""COMPUTED_VALUE"""),0.0)</f>
        <v>0</v>
      </c>
      <c r="D6865" s="8"/>
    </row>
    <row r="6866">
      <c r="A6866" s="9" t="str">
        <f>IFERROR(__xludf.DUMMYFUNCTION("""COMPUTED_VALUE"""),"Batch 316")</f>
        <v>Batch 316</v>
      </c>
      <c r="B6866" s="9" t="str">
        <f>IFERROR(__xludf.DUMMYFUNCTION("""COMPUTED_VALUE"""),"AyushC16")</f>
        <v>AyushC16</v>
      </c>
      <c r="C6866" s="8">
        <f>IFERROR(__xludf.DUMMYFUNCTION("""COMPUTED_VALUE"""),0.0)</f>
        <v>0</v>
      </c>
      <c r="D6866" s="8"/>
    </row>
    <row r="6867">
      <c r="A6867" s="9" t="str">
        <f>IFERROR(__xludf.DUMMYFUNCTION("""COMPUTED_VALUE"""),"Batch 316")</f>
        <v>Batch 316</v>
      </c>
      <c r="B6867" s="9" t="str">
        <f>IFERROR(__xludf.DUMMYFUNCTION("""COMPUTED_VALUE"""),"AryanC16")</f>
        <v>AryanC16</v>
      </c>
      <c r="C6867" s="8">
        <f>IFERROR(__xludf.DUMMYFUNCTION("""COMPUTED_VALUE"""),0.0)</f>
        <v>0</v>
      </c>
      <c r="D6867" s="8"/>
    </row>
    <row r="6868">
      <c r="A6868" s="9" t="str">
        <f>IFERROR(__xludf.DUMMYFUNCTION("""COMPUTED_VALUE"""),"Batch 316")</f>
        <v>Batch 316</v>
      </c>
      <c r="B6868" s="9" t="str">
        <f>IFERROR(__xludf.DUMMYFUNCTION("""COMPUTED_VALUE"""),"AnanyaC16")</f>
        <v>AnanyaC16</v>
      </c>
      <c r="C6868" s="8">
        <f>IFERROR(__xludf.DUMMYFUNCTION("""COMPUTED_VALUE"""),0.0)</f>
        <v>0</v>
      </c>
      <c r="D6868" s="8"/>
    </row>
    <row r="6869">
      <c r="A6869" s="9" t="str">
        <f>IFERROR(__xludf.DUMMYFUNCTION("""COMPUTED_VALUE"""),"Batch 316")</f>
        <v>Batch 316</v>
      </c>
      <c r="B6869" s="9" t="str">
        <f>IFERROR(__xludf.DUMMYFUNCTION("""COMPUTED_VALUE"""),"SayeedC16")</f>
        <v>SayeedC16</v>
      </c>
      <c r="C6869" s="8">
        <f>IFERROR(__xludf.DUMMYFUNCTION("""COMPUTED_VALUE"""),0.0)</f>
        <v>0</v>
      </c>
      <c r="D6869" s="8"/>
    </row>
    <row r="6870">
      <c r="A6870" s="9" t="str">
        <f>IFERROR(__xludf.DUMMYFUNCTION("""COMPUTED_VALUE"""),"Batch 316")</f>
        <v>Batch 316</v>
      </c>
      <c r="B6870" s="9" t="str">
        <f>IFERROR(__xludf.DUMMYFUNCTION("""COMPUTED_VALUE"""),"ApoorvC16")</f>
        <v>ApoorvC16</v>
      </c>
      <c r="C6870" s="8">
        <f>IFERROR(__xludf.DUMMYFUNCTION("""COMPUTED_VALUE"""),0.0)</f>
        <v>0</v>
      </c>
      <c r="D6870" s="8"/>
    </row>
    <row r="6871">
      <c r="A6871" s="9"/>
      <c r="B6871" s="9"/>
      <c r="C6871" s="8">
        <f>IFERROR(__xludf.DUMMYFUNCTION("""COMPUTED_VALUE"""),0.0)</f>
        <v>0</v>
      </c>
      <c r="D6871" s="8"/>
    </row>
    <row r="6872">
      <c r="A6872" s="9" t="str">
        <f>IFERROR(__xludf.DUMMYFUNCTION("""COMPUTED_VALUE"""),"Batch 317")</f>
        <v>Batch 317</v>
      </c>
      <c r="B6872" s="9" t="str">
        <f>IFERROR(__xludf.DUMMYFUNCTION("""COMPUTED_VALUE"""),"DevanshC17")</f>
        <v>DevanshC17</v>
      </c>
      <c r="C6872" s="8">
        <f>IFERROR(__xludf.DUMMYFUNCTION("""COMPUTED_VALUE"""),0.0)</f>
        <v>0</v>
      </c>
      <c r="D6872" s="8"/>
    </row>
    <row r="6873">
      <c r="A6873" s="9" t="str">
        <f>IFERROR(__xludf.DUMMYFUNCTION("""COMPUTED_VALUE"""),"Batch 317")</f>
        <v>Batch 317</v>
      </c>
      <c r="B6873" s="9" t="str">
        <f>IFERROR(__xludf.DUMMYFUNCTION("""COMPUTED_VALUE"""),"ARCHITAAC17")</f>
        <v>ARCHITAAC17</v>
      </c>
      <c r="C6873" s="8">
        <f>IFERROR(__xludf.DUMMYFUNCTION("""COMPUTED_VALUE"""),0.0)</f>
        <v>0</v>
      </c>
      <c r="D6873" s="8"/>
    </row>
    <row r="6874">
      <c r="A6874" s="9" t="str">
        <f>IFERROR(__xludf.DUMMYFUNCTION("""COMPUTED_VALUE"""),"Batch 317")</f>
        <v>Batch 317</v>
      </c>
      <c r="B6874" s="9" t="str">
        <f>IFERROR(__xludf.DUMMYFUNCTION("""COMPUTED_VALUE"""),"NaincyC17")</f>
        <v>NaincyC17</v>
      </c>
      <c r="C6874" s="8">
        <f>IFERROR(__xludf.DUMMYFUNCTION("""COMPUTED_VALUE"""),0.0)</f>
        <v>0</v>
      </c>
      <c r="D6874" s="8"/>
    </row>
    <row r="6875">
      <c r="A6875" s="9" t="str">
        <f>IFERROR(__xludf.DUMMYFUNCTION("""COMPUTED_VALUE"""),"Batch 317")</f>
        <v>Batch 317</v>
      </c>
      <c r="B6875" s="9" t="str">
        <f>IFERROR(__xludf.DUMMYFUNCTION("""COMPUTED_VALUE"""),"NiharikaC17")</f>
        <v>NiharikaC17</v>
      </c>
      <c r="C6875" s="8">
        <f>IFERROR(__xludf.DUMMYFUNCTION("""COMPUTED_VALUE"""),7.0)</f>
        <v>7</v>
      </c>
      <c r="D6875" s="8">
        <f>IFERROR(__xludf.DUMMYFUNCTION("""COMPUTED_VALUE"""),7.0)</f>
        <v>7</v>
      </c>
    </row>
    <row r="6876">
      <c r="A6876" s="9" t="str">
        <f>IFERROR(__xludf.DUMMYFUNCTION("""COMPUTED_VALUE"""),"Batch 317")</f>
        <v>Batch 317</v>
      </c>
      <c r="B6876" s="9" t="str">
        <f>IFERROR(__xludf.DUMMYFUNCTION("""COMPUTED_VALUE"""),"DimpleC17")</f>
        <v>DimpleC17</v>
      </c>
      <c r="C6876" s="8">
        <f>IFERROR(__xludf.DUMMYFUNCTION("""COMPUTED_VALUE"""),0.0)</f>
        <v>0</v>
      </c>
      <c r="D6876" s="8"/>
    </row>
    <row r="6877">
      <c r="A6877" s="9" t="str">
        <f>IFERROR(__xludf.DUMMYFUNCTION("""COMPUTED_VALUE"""),"Batch 317")</f>
        <v>Batch 317</v>
      </c>
      <c r="B6877" s="9" t="str">
        <f>IFERROR(__xludf.DUMMYFUNCTION("""COMPUTED_VALUE"""),"MehulC17")</f>
        <v>MehulC17</v>
      </c>
      <c r="C6877" s="8">
        <f>IFERROR(__xludf.DUMMYFUNCTION("""COMPUTED_VALUE"""),0.0)</f>
        <v>0</v>
      </c>
      <c r="D6877" s="8"/>
    </row>
    <row r="6878">
      <c r="A6878" s="9" t="str">
        <f>IFERROR(__xludf.DUMMYFUNCTION("""COMPUTED_VALUE"""),"Batch 317")</f>
        <v>Batch 317</v>
      </c>
      <c r="B6878" s="9" t="str">
        <f>IFERROR(__xludf.DUMMYFUNCTION("""COMPUTED_VALUE"""),"TayyabC17")</f>
        <v>TayyabC17</v>
      </c>
      <c r="C6878" s="8">
        <f>IFERROR(__xludf.DUMMYFUNCTION("""COMPUTED_VALUE"""),0.0)</f>
        <v>0</v>
      </c>
      <c r="D6878" s="8"/>
    </row>
    <row r="6879">
      <c r="A6879" s="9" t="str">
        <f>IFERROR(__xludf.DUMMYFUNCTION("""COMPUTED_VALUE"""),"Batch 317")</f>
        <v>Batch 317</v>
      </c>
      <c r="B6879" s="9" t="str">
        <f>IFERROR(__xludf.DUMMYFUNCTION("""COMPUTED_VALUE"""),"AshishC17")</f>
        <v>AshishC17</v>
      </c>
      <c r="C6879" s="8">
        <f>IFERROR(__xludf.DUMMYFUNCTION("""COMPUTED_VALUE"""),0.0)</f>
        <v>0</v>
      </c>
      <c r="D6879" s="8"/>
    </row>
    <row r="6880">
      <c r="A6880" s="9" t="str">
        <f>IFERROR(__xludf.DUMMYFUNCTION("""COMPUTED_VALUE"""),"Batch 317")</f>
        <v>Batch 317</v>
      </c>
      <c r="B6880" s="9" t="str">
        <f>IFERROR(__xludf.DUMMYFUNCTION("""COMPUTED_VALUE"""),"AamosC17")</f>
        <v>AamosC17</v>
      </c>
      <c r="C6880" s="8">
        <f>IFERROR(__xludf.DUMMYFUNCTION("""COMPUTED_VALUE"""),0.0)</f>
        <v>0</v>
      </c>
      <c r="D6880" s="8"/>
    </row>
    <row r="6881">
      <c r="A6881" s="9" t="str">
        <f>IFERROR(__xludf.DUMMYFUNCTION("""COMPUTED_VALUE"""),"Batch 317")</f>
        <v>Batch 317</v>
      </c>
      <c r="B6881" s="9" t="str">
        <f>IFERROR(__xludf.DUMMYFUNCTION("""COMPUTED_VALUE"""),"AnkushC17")</f>
        <v>AnkushC17</v>
      </c>
      <c r="C6881" s="8">
        <f>IFERROR(__xludf.DUMMYFUNCTION("""COMPUTED_VALUE"""),0.0)</f>
        <v>0</v>
      </c>
      <c r="D6881" s="8"/>
    </row>
    <row r="6882">
      <c r="A6882" s="9" t="str">
        <f>IFERROR(__xludf.DUMMYFUNCTION("""COMPUTED_VALUE"""),"Batch 317")</f>
        <v>Batch 317</v>
      </c>
      <c r="B6882" s="9" t="str">
        <f>IFERROR(__xludf.DUMMYFUNCTION("""COMPUTED_VALUE"""),"VanshC17")</f>
        <v>VanshC17</v>
      </c>
      <c r="C6882" s="8">
        <f>IFERROR(__xludf.DUMMYFUNCTION("""COMPUTED_VALUE"""),0.0)</f>
        <v>0</v>
      </c>
      <c r="D6882" s="8"/>
    </row>
    <row r="6883">
      <c r="A6883" s="9" t="str">
        <f>IFERROR(__xludf.DUMMYFUNCTION("""COMPUTED_VALUE"""),"Batch 317")</f>
        <v>Batch 317</v>
      </c>
      <c r="B6883" s="9" t="str">
        <f>IFERROR(__xludf.DUMMYFUNCTION("""COMPUTED_VALUE"""),"AbiyugC17")</f>
        <v>AbiyugC17</v>
      </c>
      <c r="C6883" s="8">
        <f>IFERROR(__xludf.DUMMYFUNCTION("""COMPUTED_VALUE"""),0.0)</f>
        <v>0</v>
      </c>
      <c r="D6883" s="8"/>
    </row>
    <row r="6884">
      <c r="A6884" s="9" t="str">
        <f>IFERROR(__xludf.DUMMYFUNCTION("""COMPUTED_VALUE"""),"Batch 317")</f>
        <v>Batch 317</v>
      </c>
      <c r="B6884" s="9" t="str">
        <f>IFERROR(__xludf.DUMMYFUNCTION("""COMPUTED_VALUE"""),"AshishC17")</f>
        <v>AshishC17</v>
      </c>
      <c r="C6884" s="8">
        <f>IFERROR(__xludf.DUMMYFUNCTION("""COMPUTED_VALUE"""),0.0)</f>
        <v>0</v>
      </c>
      <c r="D6884" s="8"/>
    </row>
    <row r="6885">
      <c r="A6885" s="9" t="str">
        <f>IFERROR(__xludf.DUMMYFUNCTION("""COMPUTED_VALUE"""),"Batch 317")</f>
        <v>Batch 317</v>
      </c>
      <c r="B6885" s="9" t="str">
        <f>IFERROR(__xludf.DUMMYFUNCTION("""COMPUTED_VALUE"""),"VishalC17")</f>
        <v>VishalC17</v>
      </c>
      <c r="C6885" s="8">
        <f>IFERROR(__xludf.DUMMYFUNCTION("""COMPUTED_VALUE"""),0.0)</f>
        <v>0</v>
      </c>
      <c r="D6885" s="8"/>
    </row>
    <row r="6886">
      <c r="A6886" s="9" t="str">
        <f>IFERROR(__xludf.DUMMYFUNCTION("""COMPUTED_VALUE"""),"Batch 317")</f>
        <v>Batch 317</v>
      </c>
      <c r="B6886" s="9" t="str">
        <f>IFERROR(__xludf.DUMMYFUNCTION("""COMPUTED_VALUE"""),"KajalC17")</f>
        <v>KajalC17</v>
      </c>
      <c r="C6886" s="8">
        <f>IFERROR(__xludf.DUMMYFUNCTION("""COMPUTED_VALUE"""),17.0)</f>
        <v>17</v>
      </c>
      <c r="D6886" s="8">
        <f>IFERROR(__xludf.DUMMYFUNCTION("""COMPUTED_VALUE"""),38.0)</f>
        <v>38</v>
      </c>
    </row>
    <row r="6887">
      <c r="A6887" s="9" t="str">
        <f>IFERROR(__xludf.DUMMYFUNCTION("""COMPUTED_VALUE"""),"Batch 317")</f>
        <v>Batch 317</v>
      </c>
      <c r="B6887" s="9" t="str">
        <f>IFERROR(__xludf.DUMMYFUNCTION("""COMPUTED_VALUE"""),"NikitaC17")</f>
        <v>NikitaC17</v>
      </c>
      <c r="C6887" s="8">
        <f>IFERROR(__xludf.DUMMYFUNCTION("""COMPUTED_VALUE"""),0.0)</f>
        <v>0</v>
      </c>
      <c r="D6887" s="8"/>
    </row>
    <row r="6888">
      <c r="A6888" s="9" t="str">
        <f>IFERROR(__xludf.DUMMYFUNCTION("""COMPUTED_VALUE"""),"Batch 317")</f>
        <v>Batch 317</v>
      </c>
      <c r="B6888" s="9" t="str">
        <f>IFERROR(__xludf.DUMMYFUNCTION("""COMPUTED_VALUE"""),"MANASC17")</f>
        <v>MANASC17</v>
      </c>
      <c r="C6888" s="8">
        <f>IFERROR(__xludf.DUMMYFUNCTION("""COMPUTED_VALUE"""),0.0)</f>
        <v>0</v>
      </c>
      <c r="D6888" s="8"/>
    </row>
    <row r="6889">
      <c r="A6889" s="9" t="str">
        <f>IFERROR(__xludf.DUMMYFUNCTION("""COMPUTED_VALUE"""),"Batch 317")</f>
        <v>Batch 317</v>
      </c>
      <c r="B6889" s="9" t="str">
        <f>IFERROR(__xludf.DUMMYFUNCTION("""COMPUTED_VALUE"""),"IshikaC17")</f>
        <v>IshikaC17</v>
      </c>
      <c r="C6889" s="8">
        <f>IFERROR(__xludf.DUMMYFUNCTION("""COMPUTED_VALUE"""),0.0)</f>
        <v>0</v>
      </c>
      <c r="D6889" s="8"/>
    </row>
    <row r="6890">
      <c r="A6890" s="9" t="str">
        <f>IFERROR(__xludf.DUMMYFUNCTION("""COMPUTED_VALUE"""),"Batch 317")</f>
        <v>Batch 317</v>
      </c>
      <c r="B6890" s="9" t="str">
        <f>IFERROR(__xludf.DUMMYFUNCTION("""COMPUTED_VALUE"""),"SameerC17")</f>
        <v>SameerC17</v>
      </c>
      <c r="C6890" s="8">
        <f>IFERROR(__xludf.DUMMYFUNCTION("""COMPUTED_VALUE"""),0.0)</f>
        <v>0</v>
      </c>
      <c r="D6890" s="8"/>
    </row>
    <row r="6891">
      <c r="A6891" s="9" t="str">
        <f>IFERROR(__xludf.DUMMYFUNCTION("""COMPUTED_VALUE"""),"Batch 317")</f>
        <v>Batch 317</v>
      </c>
      <c r="B6891" s="9" t="str">
        <f>IFERROR(__xludf.DUMMYFUNCTION("""COMPUTED_VALUE"""),"MediniC17")</f>
        <v>MediniC17</v>
      </c>
      <c r="C6891" s="8">
        <f>IFERROR(__xludf.DUMMYFUNCTION("""COMPUTED_VALUE"""),0.0)</f>
        <v>0</v>
      </c>
      <c r="D6891" s="8"/>
    </row>
    <row r="6892">
      <c r="A6892" s="9" t="str">
        <f>IFERROR(__xludf.DUMMYFUNCTION("""COMPUTED_VALUE"""),"Batch 317")</f>
        <v>Batch 317</v>
      </c>
      <c r="B6892" s="9" t="str">
        <f>IFERROR(__xludf.DUMMYFUNCTION("""COMPUTED_VALUE"""),"AnujaC17")</f>
        <v>AnujaC17</v>
      </c>
      <c r="C6892" s="8">
        <f>IFERROR(__xludf.DUMMYFUNCTION("""COMPUTED_VALUE"""),4.0)</f>
        <v>4</v>
      </c>
      <c r="D6892" s="8">
        <f>IFERROR(__xludf.DUMMYFUNCTION("""COMPUTED_VALUE"""),1.0)</f>
        <v>1</v>
      </c>
    </row>
    <row r="6893">
      <c r="A6893" s="9" t="str">
        <f>IFERROR(__xludf.DUMMYFUNCTION("""COMPUTED_VALUE"""),"Batch 317")</f>
        <v>Batch 317</v>
      </c>
      <c r="B6893" s="9" t="str">
        <f>IFERROR(__xludf.DUMMYFUNCTION("""COMPUTED_VALUE"""),"AdityaC17")</f>
        <v>AdityaC17</v>
      </c>
      <c r="C6893" s="8">
        <f>IFERROR(__xludf.DUMMYFUNCTION("""COMPUTED_VALUE"""),0.0)</f>
        <v>0</v>
      </c>
      <c r="D6893" s="8"/>
    </row>
    <row r="6894">
      <c r="A6894" s="9" t="str">
        <f>IFERROR(__xludf.DUMMYFUNCTION("""COMPUTED_VALUE"""),"Batch 317")</f>
        <v>Batch 317</v>
      </c>
      <c r="B6894" s="9" t="str">
        <f>IFERROR(__xludf.DUMMYFUNCTION("""COMPUTED_VALUE"""),"MenakC17")</f>
        <v>MenakC17</v>
      </c>
      <c r="C6894" s="8">
        <f>IFERROR(__xludf.DUMMYFUNCTION("""COMPUTED_VALUE"""),0.0)</f>
        <v>0</v>
      </c>
      <c r="D6894" s="8"/>
    </row>
    <row r="6895">
      <c r="A6895" s="9" t="str">
        <f>IFERROR(__xludf.DUMMYFUNCTION("""COMPUTED_VALUE"""),"Batch 317")</f>
        <v>Batch 317</v>
      </c>
      <c r="B6895" s="9" t="str">
        <f>IFERROR(__xludf.DUMMYFUNCTION("""COMPUTED_VALUE"""),"ANWESHAC17")</f>
        <v>ANWESHAC17</v>
      </c>
      <c r="C6895" s="8">
        <f>IFERROR(__xludf.DUMMYFUNCTION("""COMPUTED_VALUE"""),0.0)</f>
        <v>0</v>
      </c>
      <c r="D6895" s="8"/>
    </row>
    <row r="6896">
      <c r="A6896" s="9" t="str">
        <f>IFERROR(__xludf.DUMMYFUNCTION("""COMPUTED_VALUE"""),"Batch 317")</f>
        <v>Batch 317</v>
      </c>
      <c r="B6896" s="9" t="str">
        <f>IFERROR(__xludf.DUMMYFUNCTION("""COMPUTED_VALUE"""),"JostinC17")</f>
        <v>JostinC17</v>
      </c>
      <c r="C6896" s="8">
        <f>IFERROR(__xludf.DUMMYFUNCTION("""COMPUTED_VALUE"""),0.0)</f>
        <v>0</v>
      </c>
      <c r="D6896" s="8"/>
    </row>
    <row r="6897">
      <c r="A6897" s="9" t="str">
        <f>IFERROR(__xludf.DUMMYFUNCTION("""COMPUTED_VALUE"""),"Batch 317")</f>
        <v>Batch 317</v>
      </c>
      <c r="B6897" s="9" t="str">
        <f>IFERROR(__xludf.DUMMYFUNCTION("""COMPUTED_VALUE"""),"AnushkaC17")</f>
        <v>AnushkaC17</v>
      </c>
      <c r="C6897" s="8">
        <f>IFERROR(__xludf.DUMMYFUNCTION("""COMPUTED_VALUE"""),2.0)</f>
        <v>2</v>
      </c>
      <c r="D6897" s="8">
        <f>IFERROR(__xludf.DUMMYFUNCTION("""COMPUTED_VALUE"""),1.0)</f>
        <v>1</v>
      </c>
    </row>
    <row r="6898">
      <c r="A6898" s="9" t="str">
        <f>IFERROR(__xludf.DUMMYFUNCTION("""COMPUTED_VALUE"""),"Batch 317")</f>
        <v>Batch 317</v>
      </c>
      <c r="B6898" s="9" t="str">
        <f>IFERROR(__xludf.DUMMYFUNCTION("""COMPUTED_VALUE"""),"SumantC17")</f>
        <v>SumantC17</v>
      </c>
      <c r="C6898" s="8">
        <f>IFERROR(__xludf.DUMMYFUNCTION("""COMPUTED_VALUE"""),0.0)</f>
        <v>0</v>
      </c>
      <c r="D6898" s="8"/>
    </row>
    <row r="6899">
      <c r="A6899" s="9" t="str">
        <f>IFERROR(__xludf.DUMMYFUNCTION("""COMPUTED_VALUE"""),"Batch 317")</f>
        <v>Batch 317</v>
      </c>
      <c r="B6899" s="9" t="str">
        <f>IFERROR(__xludf.DUMMYFUNCTION("""COMPUTED_VALUE"""),"RupeshC17")</f>
        <v>RupeshC17</v>
      </c>
      <c r="C6899" s="8">
        <f>IFERROR(__xludf.DUMMYFUNCTION("""COMPUTED_VALUE"""),0.0)</f>
        <v>0</v>
      </c>
      <c r="D6899" s="8"/>
    </row>
    <row r="6900">
      <c r="A6900" s="9" t="str">
        <f>IFERROR(__xludf.DUMMYFUNCTION("""COMPUTED_VALUE"""),"Batch 317")</f>
        <v>Batch 317</v>
      </c>
      <c r="B6900" s="9" t="str">
        <f>IFERROR(__xludf.DUMMYFUNCTION("""COMPUTED_VALUE"""),"HarkiratC17")</f>
        <v>HarkiratC17</v>
      </c>
      <c r="C6900" s="8">
        <f>IFERROR(__xludf.DUMMYFUNCTION("""COMPUTED_VALUE"""),0.0)</f>
        <v>0</v>
      </c>
      <c r="D6900" s="8"/>
    </row>
    <row r="6901">
      <c r="A6901" s="9" t="str">
        <f>IFERROR(__xludf.DUMMYFUNCTION("""COMPUTED_VALUE"""),"Batch 317")</f>
        <v>Batch 317</v>
      </c>
      <c r="B6901" s="9" t="str">
        <f>IFERROR(__xludf.DUMMYFUNCTION("""COMPUTED_VALUE"""),"LENKALAPALLYC17")</f>
        <v>LENKALAPALLYC17</v>
      </c>
      <c r="C6901" s="8">
        <f>IFERROR(__xludf.DUMMYFUNCTION("""COMPUTED_VALUE"""),0.0)</f>
        <v>0</v>
      </c>
      <c r="D6901" s="8"/>
    </row>
    <row r="6902">
      <c r="A6902" s="9" t="str">
        <f>IFERROR(__xludf.DUMMYFUNCTION("""COMPUTED_VALUE"""),"Batch 317")</f>
        <v>Batch 317</v>
      </c>
      <c r="B6902" s="9" t="str">
        <f>IFERROR(__xludf.DUMMYFUNCTION("""COMPUTED_VALUE"""),"ShreshthaC17")</f>
        <v>ShreshthaC17</v>
      </c>
      <c r="C6902" s="8">
        <f>IFERROR(__xludf.DUMMYFUNCTION("""COMPUTED_VALUE"""),0.0)</f>
        <v>0</v>
      </c>
      <c r="D6902" s="8"/>
    </row>
    <row r="6903">
      <c r="A6903" s="9" t="str">
        <f>IFERROR(__xludf.DUMMYFUNCTION("""COMPUTED_VALUE"""),"Batch 317")</f>
        <v>Batch 317</v>
      </c>
      <c r="B6903" s="9" t="str">
        <f>IFERROR(__xludf.DUMMYFUNCTION("""COMPUTED_VALUE"""),"NITINC17")</f>
        <v>NITINC17</v>
      </c>
      <c r="C6903" s="8">
        <f>IFERROR(__xludf.DUMMYFUNCTION("""COMPUTED_VALUE"""),36.0)</f>
        <v>36</v>
      </c>
      <c r="D6903" s="8">
        <f>IFERROR(__xludf.DUMMYFUNCTION("""COMPUTED_VALUE"""),9.0)</f>
        <v>9</v>
      </c>
    </row>
    <row r="6904">
      <c r="A6904" s="9" t="str">
        <f>IFERROR(__xludf.DUMMYFUNCTION("""COMPUTED_VALUE"""),"Batch 317")</f>
        <v>Batch 317</v>
      </c>
      <c r="B6904" s="9" t="str">
        <f>IFERROR(__xludf.DUMMYFUNCTION("""COMPUTED_VALUE"""),"JayaC17")</f>
        <v>JayaC17</v>
      </c>
      <c r="C6904" s="8">
        <f>IFERROR(__xludf.DUMMYFUNCTION("""COMPUTED_VALUE"""),5.0)</f>
        <v>5</v>
      </c>
      <c r="D6904" s="8"/>
    </row>
    <row r="6905">
      <c r="A6905" s="9" t="str">
        <f>IFERROR(__xludf.DUMMYFUNCTION("""COMPUTED_VALUE"""),"Batch 317")</f>
        <v>Batch 317</v>
      </c>
      <c r="B6905" s="9" t="str">
        <f>IFERROR(__xludf.DUMMYFUNCTION("""COMPUTED_VALUE"""),"JiyaC17")</f>
        <v>JiyaC17</v>
      </c>
      <c r="C6905" s="8">
        <f>IFERROR(__xludf.DUMMYFUNCTION("""COMPUTED_VALUE"""),0.0)</f>
        <v>0</v>
      </c>
      <c r="D6905" s="8"/>
    </row>
    <row r="6906">
      <c r="A6906" s="9" t="str">
        <f>IFERROR(__xludf.DUMMYFUNCTION("""COMPUTED_VALUE"""),"Batch 317")</f>
        <v>Batch 317</v>
      </c>
      <c r="B6906" s="9" t="str">
        <f>IFERROR(__xludf.DUMMYFUNCTION("""COMPUTED_VALUE"""),"CHAHAKC17")</f>
        <v>CHAHAKC17</v>
      </c>
      <c r="C6906" s="8">
        <f>IFERROR(__xludf.DUMMYFUNCTION("""COMPUTED_VALUE"""),0.0)</f>
        <v>0</v>
      </c>
      <c r="D6906" s="8"/>
    </row>
    <row r="6907">
      <c r="A6907" s="9" t="str">
        <f>IFERROR(__xludf.DUMMYFUNCTION("""COMPUTED_VALUE"""),"Batch 317")</f>
        <v>Batch 317</v>
      </c>
      <c r="B6907" s="9" t="str">
        <f>IFERROR(__xludf.DUMMYFUNCTION("""COMPUTED_VALUE"""),"MuskanC17")</f>
        <v>MuskanC17</v>
      </c>
      <c r="C6907" s="8">
        <f>IFERROR(__xludf.DUMMYFUNCTION("""COMPUTED_VALUE"""),0.0)</f>
        <v>0</v>
      </c>
      <c r="D6907" s="8"/>
    </row>
    <row r="6908">
      <c r="A6908" s="9" t="str">
        <f>IFERROR(__xludf.DUMMYFUNCTION("""COMPUTED_VALUE"""),"Batch 317")</f>
        <v>Batch 317</v>
      </c>
      <c r="B6908" s="9" t="str">
        <f>IFERROR(__xludf.DUMMYFUNCTION("""COMPUTED_VALUE"""),"VikramC17")</f>
        <v>VikramC17</v>
      </c>
      <c r="C6908" s="8">
        <f>IFERROR(__xludf.DUMMYFUNCTION("""COMPUTED_VALUE"""),0.0)</f>
        <v>0</v>
      </c>
      <c r="D6908" s="8"/>
    </row>
    <row r="6909">
      <c r="A6909" s="9" t="str">
        <f>IFERROR(__xludf.DUMMYFUNCTION("""COMPUTED_VALUE"""),"Batch 317")</f>
        <v>Batch 317</v>
      </c>
      <c r="B6909" s="9" t="str">
        <f>IFERROR(__xludf.DUMMYFUNCTION("""COMPUTED_VALUE"""),"KabirC17")</f>
        <v>KabirC17</v>
      </c>
      <c r="C6909" s="8">
        <f>IFERROR(__xludf.DUMMYFUNCTION("""COMPUTED_VALUE"""),0.0)</f>
        <v>0</v>
      </c>
      <c r="D6909" s="8"/>
    </row>
    <row r="6910">
      <c r="A6910" s="9" t="str">
        <f>IFERROR(__xludf.DUMMYFUNCTION("""COMPUTED_VALUE"""),"Batch 317")</f>
        <v>Batch 317</v>
      </c>
      <c r="B6910" s="9" t="str">
        <f>IFERROR(__xludf.DUMMYFUNCTION("""COMPUTED_VALUE"""),"MITTAC17")</f>
        <v>MITTAC17</v>
      </c>
      <c r="C6910" s="8">
        <f>IFERROR(__xludf.DUMMYFUNCTION("""COMPUTED_VALUE"""),0.0)</f>
        <v>0</v>
      </c>
      <c r="D6910" s="8"/>
    </row>
    <row r="6911">
      <c r="A6911" s="9" t="str">
        <f>IFERROR(__xludf.DUMMYFUNCTION("""COMPUTED_VALUE"""),"Batch 317")</f>
        <v>Batch 317</v>
      </c>
      <c r="B6911" s="9" t="str">
        <f>IFERROR(__xludf.DUMMYFUNCTION("""COMPUTED_VALUE"""),"RitikaC17")</f>
        <v>RitikaC17</v>
      </c>
      <c r="C6911" s="8">
        <f>IFERROR(__xludf.DUMMYFUNCTION("""COMPUTED_VALUE"""),0.0)</f>
        <v>0</v>
      </c>
      <c r="D6911" s="8"/>
    </row>
    <row r="6912">
      <c r="A6912" s="9" t="str">
        <f>IFERROR(__xludf.DUMMYFUNCTION("""COMPUTED_VALUE"""),"Batch 317")</f>
        <v>Batch 317</v>
      </c>
      <c r="B6912" s="9" t="str">
        <f>IFERROR(__xludf.DUMMYFUNCTION("""COMPUTED_VALUE"""),"NivruttiC17")</f>
        <v>NivruttiC17</v>
      </c>
      <c r="C6912" s="8">
        <f>IFERROR(__xludf.DUMMYFUNCTION("""COMPUTED_VALUE"""),0.0)</f>
        <v>0</v>
      </c>
      <c r="D6912" s="8"/>
    </row>
    <row r="6913">
      <c r="A6913" s="9" t="str">
        <f>IFERROR(__xludf.DUMMYFUNCTION("""COMPUTED_VALUE"""),"Batch 317")</f>
        <v>Batch 317</v>
      </c>
      <c r="B6913" s="9" t="str">
        <f>IFERROR(__xludf.DUMMYFUNCTION("""COMPUTED_VALUE"""),"ShivaniC17")</f>
        <v>ShivaniC17</v>
      </c>
      <c r="C6913" s="8">
        <f>IFERROR(__xludf.DUMMYFUNCTION("""COMPUTED_VALUE"""),0.0)</f>
        <v>0</v>
      </c>
      <c r="D6913" s="8"/>
    </row>
    <row r="6914">
      <c r="A6914" s="9" t="str">
        <f>IFERROR(__xludf.DUMMYFUNCTION("""COMPUTED_VALUE"""),"Batch 317")</f>
        <v>Batch 317</v>
      </c>
      <c r="B6914" s="9" t="str">
        <f>IFERROR(__xludf.DUMMYFUNCTION("""COMPUTED_VALUE"""),"PushpanjaliC17")</f>
        <v>PushpanjaliC17</v>
      </c>
      <c r="C6914" s="8">
        <f>IFERROR(__xludf.DUMMYFUNCTION("""COMPUTED_VALUE"""),18.0)</f>
        <v>18</v>
      </c>
      <c r="D6914" s="8"/>
    </row>
    <row r="6915">
      <c r="A6915" s="9" t="str">
        <f>IFERROR(__xludf.DUMMYFUNCTION("""COMPUTED_VALUE"""),"Batch 317")</f>
        <v>Batch 317</v>
      </c>
      <c r="B6915" s="9" t="str">
        <f>IFERROR(__xludf.DUMMYFUNCTION("""COMPUTED_VALUE"""),"PriyaC17")</f>
        <v>PriyaC17</v>
      </c>
      <c r="C6915" s="8">
        <f>IFERROR(__xludf.DUMMYFUNCTION("""COMPUTED_VALUE"""),0.0)</f>
        <v>0</v>
      </c>
      <c r="D6915" s="8"/>
    </row>
    <row r="6916">
      <c r="A6916" s="9" t="str">
        <f>IFERROR(__xludf.DUMMYFUNCTION("""COMPUTED_VALUE"""),"Batch 317")</f>
        <v>Batch 317</v>
      </c>
      <c r="B6916" s="9" t="str">
        <f>IFERROR(__xludf.DUMMYFUNCTION("""COMPUTED_VALUE"""),"varunC17")</f>
        <v>varunC17</v>
      </c>
      <c r="C6916" s="8">
        <f>IFERROR(__xludf.DUMMYFUNCTION("""COMPUTED_VALUE"""),0.0)</f>
        <v>0</v>
      </c>
      <c r="D6916" s="8"/>
    </row>
    <row r="6917">
      <c r="A6917" s="9" t="str">
        <f>IFERROR(__xludf.DUMMYFUNCTION("""COMPUTED_VALUE"""),"Batch 317")</f>
        <v>Batch 317</v>
      </c>
      <c r="B6917" s="9" t="str">
        <f>IFERROR(__xludf.DUMMYFUNCTION("""COMPUTED_VALUE"""),"SushantC17")</f>
        <v>SushantC17</v>
      </c>
      <c r="C6917" s="8">
        <f>IFERROR(__xludf.DUMMYFUNCTION("""COMPUTED_VALUE"""),0.0)</f>
        <v>0</v>
      </c>
      <c r="D6917" s="8"/>
    </row>
    <row r="6918">
      <c r="A6918" s="9" t="str">
        <f>IFERROR(__xludf.DUMMYFUNCTION("""COMPUTED_VALUE"""),"Batch 317")</f>
        <v>Batch 317</v>
      </c>
      <c r="B6918" s="9" t="str">
        <f>IFERROR(__xludf.DUMMYFUNCTION("""COMPUTED_VALUE"""),"NityaC17")</f>
        <v>NityaC17</v>
      </c>
      <c r="C6918" s="8">
        <f>IFERROR(__xludf.DUMMYFUNCTION("""COMPUTED_VALUE"""),0.0)</f>
        <v>0</v>
      </c>
      <c r="D6918" s="8"/>
    </row>
    <row r="6919">
      <c r="A6919" s="9" t="str">
        <f>IFERROR(__xludf.DUMMYFUNCTION("""COMPUTED_VALUE"""),"Batch 317")</f>
        <v>Batch 317</v>
      </c>
      <c r="B6919" s="9" t="str">
        <f>IFERROR(__xludf.DUMMYFUNCTION("""COMPUTED_VALUE"""),"PolimatiC17")</f>
        <v>PolimatiC17</v>
      </c>
      <c r="C6919" s="8">
        <f>IFERROR(__xludf.DUMMYFUNCTION("""COMPUTED_VALUE"""),0.0)</f>
        <v>0</v>
      </c>
      <c r="D6919" s="8">
        <f>IFERROR(__xludf.DUMMYFUNCTION("""COMPUTED_VALUE"""),2.0)</f>
        <v>2</v>
      </c>
    </row>
    <row r="6920">
      <c r="A6920" s="9" t="str">
        <f>IFERROR(__xludf.DUMMYFUNCTION("""COMPUTED_VALUE"""),"Batch 317")</f>
        <v>Batch 317</v>
      </c>
      <c r="B6920" s="9" t="str">
        <f>IFERROR(__xludf.DUMMYFUNCTION("""COMPUTED_VALUE"""),"KubendraC17")</f>
        <v>KubendraC17</v>
      </c>
      <c r="C6920" s="8">
        <f>IFERROR(__xludf.DUMMYFUNCTION("""COMPUTED_VALUE"""),0.0)</f>
        <v>0</v>
      </c>
      <c r="D6920" s="8"/>
    </row>
    <row r="6921">
      <c r="A6921" s="9" t="str">
        <f>IFERROR(__xludf.DUMMYFUNCTION("""COMPUTED_VALUE"""),"Batch 317")</f>
        <v>Batch 317</v>
      </c>
      <c r="B6921" s="9" t="str">
        <f>IFERROR(__xludf.DUMMYFUNCTION("""COMPUTED_VALUE"""),"FalaqC17")</f>
        <v>FalaqC17</v>
      </c>
      <c r="C6921" s="8">
        <f>IFERROR(__xludf.DUMMYFUNCTION("""COMPUTED_VALUE"""),0.0)</f>
        <v>0</v>
      </c>
      <c r="D6921" s="8"/>
    </row>
    <row r="6922">
      <c r="A6922" s="9" t="str">
        <f>IFERROR(__xludf.DUMMYFUNCTION("""COMPUTED_VALUE"""),"Batch 317")</f>
        <v>Batch 317</v>
      </c>
      <c r="B6922" s="9" t="str">
        <f>IFERROR(__xludf.DUMMYFUNCTION("""COMPUTED_VALUE"""),"JhalakC17")</f>
        <v>JhalakC17</v>
      </c>
      <c r="C6922" s="8">
        <f>IFERROR(__xludf.DUMMYFUNCTION("""COMPUTED_VALUE"""),0.0)</f>
        <v>0</v>
      </c>
      <c r="D6922" s="8"/>
    </row>
    <row r="6923">
      <c r="A6923" s="9" t="str">
        <f>IFERROR(__xludf.DUMMYFUNCTION("""COMPUTED_VALUE"""),"Batch 317")</f>
        <v>Batch 317</v>
      </c>
      <c r="B6923" s="9" t="str">
        <f>IFERROR(__xludf.DUMMYFUNCTION("""COMPUTED_VALUE"""),"HARIC17")</f>
        <v>HARIC17</v>
      </c>
      <c r="C6923" s="8">
        <f>IFERROR(__xludf.DUMMYFUNCTION("""COMPUTED_VALUE"""),0.0)</f>
        <v>0</v>
      </c>
      <c r="D6923" s="8"/>
    </row>
    <row r="6924">
      <c r="A6924" s="9" t="str">
        <f>IFERROR(__xludf.DUMMYFUNCTION("""COMPUTED_VALUE"""),"Batch 317")</f>
        <v>Batch 317</v>
      </c>
      <c r="B6924" s="9" t="str">
        <f>IFERROR(__xludf.DUMMYFUNCTION("""COMPUTED_VALUE"""),"MahuliC17")</f>
        <v>MahuliC17</v>
      </c>
      <c r="C6924" s="8">
        <f>IFERROR(__xludf.DUMMYFUNCTION("""COMPUTED_VALUE"""),0.0)</f>
        <v>0</v>
      </c>
      <c r="D6924" s="8"/>
    </row>
    <row r="6925">
      <c r="A6925" s="9" t="str">
        <f>IFERROR(__xludf.DUMMYFUNCTION("""COMPUTED_VALUE"""),"Batch 317")</f>
        <v>Batch 317</v>
      </c>
      <c r="B6925" s="9" t="str">
        <f>IFERROR(__xludf.DUMMYFUNCTION("""COMPUTED_VALUE"""),"ArnabC17")</f>
        <v>ArnabC17</v>
      </c>
      <c r="C6925" s="8">
        <f>IFERROR(__xludf.DUMMYFUNCTION("""COMPUTED_VALUE"""),5.0)</f>
        <v>5</v>
      </c>
      <c r="D6925" s="8"/>
    </row>
    <row r="6926">
      <c r="A6926" s="9"/>
      <c r="B6926" s="9"/>
      <c r="C6926" s="8">
        <f>IFERROR(__xludf.DUMMYFUNCTION("""COMPUTED_VALUE"""),0.0)</f>
        <v>0</v>
      </c>
      <c r="D6926" s="8"/>
    </row>
    <row r="6927">
      <c r="A6927" s="9" t="str">
        <f>IFERROR(__xludf.DUMMYFUNCTION("""COMPUTED_VALUE"""),"Batch 318")</f>
        <v>Batch 318</v>
      </c>
      <c r="B6927" s="9" t="str">
        <f>IFERROR(__xludf.DUMMYFUNCTION("""COMPUTED_VALUE"""),"VikneshwaranC18")</f>
        <v>VikneshwaranC18</v>
      </c>
      <c r="C6927" s="8">
        <f>IFERROR(__xludf.DUMMYFUNCTION("""COMPUTED_VALUE"""),0.0)</f>
        <v>0</v>
      </c>
      <c r="D6927" s="8"/>
    </row>
    <row r="6928">
      <c r="A6928" s="9" t="str">
        <f>IFERROR(__xludf.DUMMYFUNCTION("""COMPUTED_VALUE"""),"Batch 318")</f>
        <v>Batch 318</v>
      </c>
      <c r="B6928" s="9" t="str">
        <f>IFERROR(__xludf.DUMMYFUNCTION("""COMPUTED_VALUE"""),"AbhishekC18")</f>
        <v>AbhishekC18</v>
      </c>
      <c r="C6928" s="8">
        <f>IFERROR(__xludf.DUMMYFUNCTION("""COMPUTED_VALUE"""),0.0)</f>
        <v>0</v>
      </c>
      <c r="D6928" s="8"/>
    </row>
    <row r="6929">
      <c r="A6929" s="9" t="str">
        <f>IFERROR(__xludf.DUMMYFUNCTION("""COMPUTED_VALUE"""),"Batch 318")</f>
        <v>Batch 318</v>
      </c>
      <c r="B6929" s="9" t="str">
        <f>IFERROR(__xludf.DUMMYFUNCTION("""COMPUTED_VALUE"""),"YashikaC18")</f>
        <v>YashikaC18</v>
      </c>
      <c r="C6929" s="8">
        <f>IFERROR(__xludf.DUMMYFUNCTION("""COMPUTED_VALUE"""),17.0)</f>
        <v>17</v>
      </c>
      <c r="D6929" s="8">
        <f>IFERROR(__xludf.DUMMYFUNCTION("""COMPUTED_VALUE"""),5.0)</f>
        <v>5</v>
      </c>
    </row>
    <row r="6930">
      <c r="A6930" s="9" t="str">
        <f>IFERROR(__xludf.DUMMYFUNCTION("""COMPUTED_VALUE"""),"Batch 318")</f>
        <v>Batch 318</v>
      </c>
      <c r="B6930" s="9" t="str">
        <f>IFERROR(__xludf.DUMMYFUNCTION("""COMPUTED_VALUE"""),"MEYAPPANC18")</f>
        <v>MEYAPPANC18</v>
      </c>
      <c r="C6930" s="8">
        <f>IFERROR(__xludf.DUMMYFUNCTION("""COMPUTED_VALUE"""),0.0)</f>
        <v>0</v>
      </c>
      <c r="D6930" s="8"/>
    </row>
    <row r="6931">
      <c r="A6931" s="9" t="str">
        <f>IFERROR(__xludf.DUMMYFUNCTION("""COMPUTED_VALUE"""),"Batch 318")</f>
        <v>Batch 318</v>
      </c>
      <c r="B6931" s="9" t="str">
        <f>IFERROR(__xludf.DUMMYFUNCTION("""COMPUTED_VALUE"""),"TayyabC18")</f>
        <v>TayyabC18</v>
      </c>
      <c r="C6931" s="8">
        <f>IFERROR(__xludf.DUMMYFUNCTION("""COMPUTED_VALUE"""),0.0)</f>
        <v>0</v>
      </c>
      <c r="D6931" s="8"/>
    </row>
    <row r="6932">
      <c r="A6932" s="9" t="str">
        <f>IFERROR(__xludf.DUMMYFUNCTION("""COMPUTED_VALUE"""),"Batch 318")</f>
        <v>Batch 318</v>
      </c>
      <c r="B6932" s="9" t="str">
        <f>IFERROR(__xludf.DUMMYFUNCTION("""COMPUTED_VALUE"""),"DiyaC18")</f>
        <v>DiyaC18</v>
      </c>
      <c r="C6932" s="8">
        <f>IFERROR(__xludf.DUMMYFUNCTION("""COMPUTED_VALUE"""),0.0)</f>
        <v>0</v>
      </c>
      <c r="D6932" s="8"/>
    </row>
    <row r="6933">
      <c r="A6933" s="9" t="str">
        <f>IFERROR(__xludf.DUMMYFUNCTION("""COMPUTED_VALUE"""),"Batch 318")</f>
        <v>Batch 318</v>
      </c>
      <c r="B6933" s="9" t="str">
        <f>IFERROR(__xludf.DUMMYFUNCTION("""COMPUTED_VALUE"""),"TejuC18")</f>
        <v>TejuC18</v>
      </c>
      <c r="C6933" s="8">
        <f>IFERROR(__xludf.DUMMYFUNCTION("""COMPUTED_VALUE"""),0.0)</f>
        <v>0</v>
      </c>
      <c r="D6933" s="8">
        <f>IFERROR(__xludf.DUMMYFUNCTION("""COMPUTED_VALUE"""),1.0)</f>
        <v>1</v>
      </c>
    </row>
    <row r="6934">
      <c r="A6934" s="9" t="str">
        <f>IFERROR(__xludf.DUMMYFUNCTION("""COMPUTED_VALUE"""),"Batch 318")</f>
        <v>Batch 318</v>
      </c>
      <c r="B6934" s="9" t="str">
        <f>IFERROR(__xludf.DUMMYFUNCTION("""COMPUTED_VALUE"""),"DhruvC18")</f>
        <v>DhruvC18</v>
      </c>
      <c r="C6934" s="8">
        <f>IFERROR(__xludf.DUMMYFUNCTION("""COMPUTED_VALUE"""),0.0)</f>
        <v>0</v>
      </c>
      <c r="D6934" s="8"/>
    </row>
    <row r="6935">
      <c r="A6935" s="9" t="str">
        <f>IFERROR(__xludf.DUMMYFUNCTION("""COMPUTED_VALUE"""),"Batch 318")</f>
        <v>Batch 318</v>
      </c>
      <c r="B6935" s="9" t="str">
        <f>IFERROR(__xludf.DUMMYFUNCTION("""COMPUTED_VALUE"""),"ChandaniC18")</f>
        <v>ChandaniC18</v>
      </c>
      <c r="C6935" s="8">
        <f>IFERROR(__xludf.DUMMYFUNCTION("""COMPUTED_VALUE"""),0.0)</f>
        <v>0</v>
      </c>
      <c r="D6935" s="8"/>
    </row>
    <row r="6936">
      <c r="A6936" s="9" t="str">
        <f>IFERROR(__xludf.DUMMYFUNCTION("""COMPUTED_VALUE"""),"Batch 318")</f>
        <v>Batch 318</v>
      </c>
      <c r="B6936" s="9" t="str">
        <f>IFERROR(__xludf.DUMMYFUNCTION("""COMPUTED_VALUE"""),"Keerthi.DC18")</f>
        <v>Keerthi.DC18</v>
      </c>
      <c r="C6936" s="8">
        <f>IFERROR(__xludf.DUMMYFUNCTION("""COMPUTED_VALUE"""),1.0)</f>
        <v>1</v>
      </c>
      <c r="D6936" s="8">
        <f>IFERROR(__xludf.DUMMYFUNCTION("""COMPUTED_VALUE"""),2.0)</f>
        <v>2</v>
      </c>
    </row>
    <row r="6937">
      <c r="A6937" s="9" t="str">
        <f>IFERROR(__xludf.DUMMYFUNCTION("""COMPUTED_VALUE"""),"Batch 318")</f>
        <v>Batch 318</v>
      </c>
      <c r="B6937" s="9" t="str">
        <f>IFERROR(__xludf.DUMMYFUNCTION("""COMPUTED_VALUE"""),"PriyanshiC18")</f>
        <v>PriyanshiC18</v>
      </c>
      <c r="C6937" s="8">
        <f>IFERROR(__xludf.DUMMYFUNCTION("""COMPUTED_VALUE"""),2.0)</f>
        <v>2</v>
      </c>
      <c r="D6937" s="8"/>
    </row>
    <row r="6938">
      <c r="A6938" s="9" t="str">
        <f>IFERROR(__xludf.DUMMYFUNCTION("""COMPUTED_VALUE"""),"Batch 318")</f>
        <v>Batch 318</v>
      </c>
      <c r="B6938" s="9" t="str">
        <f>IFERROR(__xludf.DUMMYFUNCTION("""COMPUTED_VALUE"""),"HeliC18")</f>
        <v>HeliC18</v>
      </c>
      <c r="C6938" s="8">
        <f>IFERROR(__xludf.DUMMYFUNCTION("""COMPUTED_VALUE"""),0.0)</f>
        <v>0</v>
      </c>
      <c r="D6938" s="8"/>
    </row>
    <row r="6939">
      <c r="A6939" s="9" t="str">
        <f>IFERROR(__xludf.DUMMYFUNCTION("""COMPUTED_VALUE"""),"Batch 318")</f>
        <v>Batch 318</v>
      </c>
      <c r="B6939" s="9" t="str">
        <f>IFERROR(__xludf.DUMMYFUNCTION("""COMPUTED_VALUE"""),"KunalC18")</f>
        <v>KunalC18</v>
      </c>
      <c r="C6939" s="8">
        <f>IFERROR(__xludf.DUMMYFUNCTION("""COMPUTED_VALUE"""),0.0)</f>
        <v>0</v>
      </c>
      <c r="D6939" s="8"/>
    </row>
    <row r="6940">
      <c r="A6940" s="9" t="str">
        <f>IFERROR(__xludf.DUMMYFUNCTION("""COMPUTED_VALUE"""),"Batch 318")</f>
        <v>Batch 318</v>
      </c>
      <c r="B6940" s="9" t="str">
        <f>IFERROR(__xludf.DUMMYFUNCTION("""COMPUTED_VALUE"""),"SanjaiC18")</f>
        <v>SanjaiC18</v>
      </c>
      <c r="C6940" s="8">
        <f>IFERROR(__xludf.DUMMYFUNCTION("""COMPUTED_VALUE"""),0.0)</f>
        <v>0</v>
      </c>
      <c r="D6940" s="8"/>
    </row>
    <row r="6941">
      <c r="A6941" s="9" t="str">
        <f>IFERROR(__xludf.DUMMYFUNCTION("""COMPUTED_VALUE"""),"Batch 318")</f>
        <v>Batch 318</v>
      </c>
      <c r="B6941" s="9" t="str">
        <f>IFERROR(__xludf.DUMMYFUNCTION("""COMPUTED_VALUE"""),"AnuradhaC18")</f>
        <v>AnuradhaC18</v>
      </c>
      <c r="C6941" s="8">
        <f>IFERROR(__xludf.DUMMYFUNCTION("""COMPUTED_VALUE"""),0.0)</f>
        <v>0</v>
      </c>
      <c r="D6941" s="8"/>
    </row>
    <row r="6942">
      <c r="A6942" s="9" t="str">
        <f>IFERROR(__xludf.DUMMYFUNCTION("""COMPUTED_VALUE"""),"Batch 318")</f>
        <v>Batch 318</v>
      </c>
      <c r="B6942" s="9" t="str">
        <f>IFERROR(__xludf.DUMMYFUNCTION("""COMPUTED_VALUE"""),"aarohiC18")</f>
        <v>aarohiC18</v>
      </c>
      <c r="C6942" s="8">
        <f>IFERROR(__xludf.DUMMYFUNCTION("""COMPUTED_VALUE"""),5.0)</f>
        <v>5</v>
      </c>
      <c r="D6942" s="8"/>
    </row>
    <row r="6943">
      <c r="A6943" s="9" t="str">
        <f>IFERROR(__xludf.DUMMYFUNCTION("""COMPUTED_VALUE"""),"Batch 318")</f>
        <v>Batch 318</v>
      </c>
      <c r="B6943" s="9" t="str">
        <f>IFERROR(__xludf.DUMMYFUNCTION("""COMPUTED_VALUE"""),"JayaC18")</f>
        <v>JayaC18</v>
      </c>
      <c r="C6943" s="8">
        <f>IFERROR(__xludf.DUMMYFUNCTION("""COMPUTED_VALUE"""),0.0)</f>
        <v>0</v>
      </c>
      <c r="D6943" s="8"/>
    </row>
    <row r="6944">
      <c r="A6944" s="9" t="str">
        <f>IFERROR(__xludf.DUMMYFUNCTION("""COMPUTED_VALUE"""),"Batch 318")</f>
        <v>Batch 318</v>
      </c>
      <c r="B6944" s="9" t="str">
        <f>IFERROR(__xludf.DUMMYFUNCTION("""COMPUTED_VALUE"""),"GouravC18")</f>
        <v>GouravC18</v>
      </c>
      <c r="C6944" s="8">
        <f>IFERROR(__xludf.DUMMYFUNCTION("""COMPUTED_VALUE"""),0.0)</f>
        <v>0</v>
      </c>
      <c r="D6944" s="8"/>
    </row>
    <row r="6945">
      <c r="A6945" s="9"/>
      <c r="B6945" s="9"/>
      <c r="C6945" s="8">
        <f>IFERROR(__xludf.DUMMYFUNCTION("""COMPUTED_VALUE"""),0.0)</f>
        <v>0</v>
      </c>
      <c r="D6945" s="8"/>
    </row>
    <row r="6946">
      <c r="A6946" s="9" t="str">
        <f>IFERROR(__xludf.DUMMYFUNCTION("""COMPUTED_VALUE"""),"Batch 319")</f>
        <v>Batch 319</v>
      </c>
      <c r="B6946" s="9" t="str">
        <f>IFERROR(__xludf.DUMMYFUNCTION("""COMPUTED_VALUE"""),"AkshitaC19")</f>
        <v>AkshitaC19</v>
      </c>
      <c r="C6946" s="8">
        <f>IFERROR(__xludf.DUMMYFUNCTION("""COMPUTED_VALUE"""),0.0)</f>
        <v>0</v>
      </c>
      <c r="D6946" s="8"/>
    </row>
    <row r="6947">
      <c r="A6947" s="9" t="str">
        <f>IFERROR(__xludf.DUMMYFUNCTION("""COMPUTED_VALUE"""),"Batch 319")</f>
        <v>Batch 319</v>
      </c>
      <c r="B6947" s="9" t="str">
        <f>IFERROR(__xludf.DUMMYFUNCTION("""COMPUTED_VALUE"""),"dhruvC19")</f>
        <v>dhruvC19</v>
      </c>
      <c r="C6947" s="8">
        <f>IFERROR(__xludf.DUMMYFUNCTION("""COMPUTED_VALUE"""),0.0)</f>
        <v>0</v>
      </c>
      <c r="D6947" s="8"/>
    </row>
    <row r="6948">
      <c r="A6948" s="9" t="str">
        <f>IFERROR(__xludf.DUMMYFUNCTION("""COMPUTED_VALUE"""),"Batch 319")</f>
        <v>Batch 319</v>
      </c>
      <c r="B6948" s="9" t="str">
        <f>IFERROR(__xludf.DUMMYFUNCTION("""COMPUTED_VALUE"""),"KhushbooC19")</f>
        <v>KhushbooC19</v>
      </c>
      <c r="C6948" s="8">
        <f>IFERROR(__xludf.DUMMYFUNCTION("""COMPUTED_VALUE"""),0.0)</f>
        <v>0</v>
      </c>
      <c r="D6948" s="8"/>
    </row>
    <row r="6949">
      <c r="A6949" s="9" t="str">
        <f>IFERROR(__xludf.DUMMYFUNCTION("""COMPUTED_VALUE"""),"Batch 319")</f>
        <v>Batch 319</v>
      </c>
      <c r="B6949" s="9" t="str">
        <f>IFERROR(__xludf.DUMMYFUNCTION("""COMPUTED_VALUE"""),"TC19")</f>
        <v>TC19</v>
      </c>
      <c r="C6949" s="8">
        <f>IFERROR(__xludf.DUMMYFUNCTION("""COMPUTED_VALUE"""),3.0)</f>
        <v>3</v>
      </c>
      <c r="D6949" s="8">
        <f>IFERROR(__xludf.DUMMYFUNCTION("""COMPUTED_VALUE"""),2.0)</f>
        <v>2</v>
      </c>
    </row>
    <row r="6950">
      <c r="A6950" s="9" t="str">
        <f>IFERROR(__xludf.DUMMYFUNCTION("""COMPUTED_VALUE"""),"Batch 319")</f>
        <v>Batch 319</v>
      </c>
      <c r="B6950" s="9" t="str">
        <f>IFERROR(__xludf.DUMMYFUNCTION("""COMPUTED_VALUE"""),"RahulC19")</f>
        <v>RahulC19</v>
      </c>
      <c r="C6950" s="8">
        <f>IFERROR(__xludf.DUMMYFUNCTION("""COMPUTED_VALUE"""),0.0)</f>
        <v>0</v>
      </c>
      <c r="D6950" s="8"/>
    </row>
    <row r="6951">
      <c r="A6951" s="9" t="str">
        <f>IFERROR(__xludf.DUMMYFUNCTION("""COMPUTED_VALUE"""),"Batch 319")</f>
        <v>Batch 319</v>
      </c>
      <c r="B6951" s="9" t="str">
        <f>IFERROR(__xludf.DUMMYFUNCTION("""COMPUTED_VALUE"""),"KshitijC19")</f>
        <v>KshitijC19</v>
      </c>
      <c r="C6951" s="8">
        <f>IFERROR(__xludf.DUMMYFUNCTION("""COMPUTED_VALUE"""),0.0)</f>
        <v>0</v>
      </c>
      <c r="D6951" s="8"/>
    </row>
    <row r="6952">
      <c r="A6952" s="9" t="str">
        <f>IFERROR(__xludf.DUMMYFUNCTION("""COMPUTED_VALUE"""),"Batch 319")</f>
        <v>Batch 319</v>
      </c>
      <c r="B6952" s="9" t="str">
        <f>IFERROR(__xludf.DUMMYFUNCTION("""COMPUTED_VALUE"""),"IshanC19")</f>
        <v>IshanC19</v>
      </c>
      <c r="C6952" s="8">
        <f>IFERROR(__xludf.DUMMYFUNCTION("""COMPUTED_VALUE"""),2.0)</f>
        <v>2</v>
      </c>
      <c r="D6952" s="8">
        <f>IFERROR(__xludf.DUMMYFUNCTION("""COMPUTED_VALUE"""),1.0)</f>
        <v>1</v>
      </c>
    </row>
    <row r="6953">
      <c r="A6953" s="9" t="str">
        <f>IFERROR(__xludf.DUMMYFUNCTION("""COMPUTED_VALUE"""),"Batch 319")</f>
        <v>Batch 319</v>
      </c>
      <c r="B6953" s="9" t="str">
        <f>IFERROR(__xludf.DUMMYFUNCTION("""COMPUTED_VALUE"""),"KaranC19")</f>
        <v>KaranC19</v>
      </c>
      <c r="C6953" s="8">
        <f>IFERROR(__xludf.DUMMYFUNCTION("""COMPUTED_VALUE"""),0.0)</f>
        <v>0</v>
      </c>
      <c r="D6953" s="8"/>
    </row>
    <row r="6954">
      <c r="A6954" s="9" t="str">
        <f>IFERROR(__xludf.DUMMYFUNCTION("""COMPUTED_VALUE"""),"Batch 319")</f>
        <v>Batch 319</v>
      </c>
      <c r="B6954" s="9" t="str">
        <f>IFERROR(__xludf.DUMMYFUNCTION("""COMPUTED_VALUE"""),"SanuC19")</f>
        <v>SanuC19</v>
      </c>
      <c r="C6954" s="8">
        <f>IFERROR(__xludf.DUMMYFUNCTION("""COMPUTED_VALUE"""),0.0)</f>
        <v>0</v>
      </c>
      <c r="D6954" s="8"/>
    </row>
    <row r="6955">
      <c r="A6955" s="9" t="str">
        <f>IFERROR(__xludf.DUMMYFUNCTION("""COMPUTED_VALUE"""),"Batch 319")</f>
        <v>Batch 319</v>
      </c>
      <c r="B6955" s="9" t="str">
        <f>IFERROR(__xludf.DUMMYFUNCTION("""COMPUTED_VALUE"""),"NaveenC19")</f>
        <v>NaveenC19</v>
      </c>
      <c r="C6955" s="8">
        <f>IFERROR(__xludf.DUMMYFUNCTION("""COMPUTED_VALUE"""),0.0)</f>
        <v>0</v>
      </c>
      <c r="D6955" s="8"/>
    </row>
    <row r="6956">
      <c r="A6956" s="9" t="str">
        <f>IFERROR(__xludf.DUMMYFUNCTION("""COMPUTED_VALUE"""),"Batch 319")</f>
        <v>Batch 319</v>
      </c>
      <c r="B6956" s="9" t="str">
        <f>IFERROR(__xludf.DUMMYFUNCTION("""COMPUTED_VALUE"""),"KhushiC19")</f>
        <v>KhushiC19</v>
      </c>
      <c r="C6956" s="8">
        <f>IFERROR(__xludf.DUMMYFUNCTION("""COMPUTED_VALUE"""),0.0)</f>
        <v>0</v>
      </c>
      <c r="D6956" s="8"/>
    </row>
    <row r="6957">
      <c r="A6957" s="9" t="str">
        <f>IFERROR(__xludf.DUMMYFUNCTION("""COMPUTED_VALUE"""),"Batch 319")</f>
        <v>Batch 319</v>
      </c>
      <c r="B6957" s="9" t="str">
        <f>IFERROR(__xludf.DUMMYFUNCTION("""COMPUTED_VALUE"""),"JashmenC19")</f>
        <v>JashmenC19</v>
      </c>
      <c r="C6957" s="8">
        <f>IFERROR(__xludf.DUMMYFUNCTION("""COMPUTED_VALUE"""),0.0)</f>
        <v>0</v>
      </c>
      <c r="D6957" s="8"/>
    </row>
    <row r="6958">
      <c r="A6958" s="9" t="str">
        <f>IFERROR(__xludf.DUMMYFUNCTION("""COMPUTED_VALUE"""),"Batch 319")</f>
        <v>Batch 319</v>
      </c>
      <c r="B6958" s="9" t="str">
        <f>IFERROR(__xludf.DUMMYFUNCTION("""COMPUTED_VALUE"""),"PrashantC19")</f>
        <v>PrashantC19</v>
      </c>
      <c r="C6958" s="8">
        <f>IFERROR(__xludf.DUMMYFUNCTION("""COMPUTED_VALUE"""),0.0)</f>
        <v>0</v>
      </c>
      <c r="D6958" s="8"/>
    </row>
    <row r="6959">
      <c r="A6959" s="9" t="str">
        <f>IFERROR(__xludf.DUMMYFUNCTION("""COMPUTED_VALUE"""),"Batch 319")</f>
        <v>Batch 319</v>
      </c>
      <c r="B6959" s="9" t="str">
        <f>IFERROR(__xludf.DUMMYFUNCTION("""COMPUTED_VALUE"""),"SwarnaC19")</f>
        <v>SwarnaC19</v>
      </c>
      <c r="C6959" s="8">
        <f>IFERROR(__xludf.DUMMYFUNCTION("""COMPUTED_VALUE"""),0.0)</f>
        <v>0</v>
      </c>
      <c r="D6959" s="8"/>
    </row>
    <row r="6960">
      <c r="A6960" s="9" t="str">
        <f>IFERROR(__xludf.DUMMYFUNCTION("""COMPUTED_VALUE"""),"Batch 319")</f>
        <v>Batch 319</v>
      </c>
      <c r="B6960" s="9" t="str">
        <f>IFERROR(__xludf.DUMMYFUNCTION("""COMPUTED_VALUE"""),"PriyaranjanC19")</f>
        <v>PriyaranjanC19</v>
      </c>
      <c r="C6960" s="8">
        <f>IFERROR(__xludf.DUMMYFUNCTION("""COMPUTED_VALUE"""),0.0)</f>
        <v>0</v>
      </c>
      <c r="D6960" s="8"/>
    </row>
    <row r="6961">
      <c r="A6961" s="9" t="str">
        <f>IFERROR(__xludf.DUMMYFUNCTION("""COMPUTED_VALUE"""),"Batch 319")</f>
        <v>Batch 319</v>
      </c>
      <c r="B6961" s="9" t="str">
        <f>IFERROR(__xludf.DUMMYFUNCTION("""COMPUTED_VALUE"""),"JatindraC19")</f>
        <v>JatindraC19</v>
      </c>
      <c r="C6961" s="8">
        <f>IFERROR(__xludf.DUMMYFUNCTION("""COMPUTED_VALUE"""),0.0)</f>
        <v>0</v>
      </c>
      <c r="D6961" s="8"/>
    </row>
    <row r="6962">
      <c r="A6962" s="9" t="str">
        <f>IFERROR(__xludf.DUMMYFUNCTION("""COMPUTED_VALUE"""),"Batch 319")</f>
        <v>Batch 319</v>
      </c>
      <c r="B6962" s="9" t="str">
        <f>IFERROR(__xludf.DUMMYFUNCTION("""COMPUTED_VALUE"""),"MADHAVC19")</f>
        <v>MADHAVC19</v>
      </c>
      <c r="C6962" s="8">
        <f>IFERROR(__xludf.DUMMYFUNCTION("""COMPUTED_VALUE"""),0.0)</f>
        <v>0</v>
      </c>
      <c r="D6962" s="8"/>
    </row>
    <row r="6963">
      <c r="A6963" s="9" t="str">
        <f>IFERROR(__xludf.DUMMYFUNCTION("""COMPUTED_VALUE"""),"Batch 319")</f>
        <v>Batch 319</v>
      </c>
      <c r="B6963" s="9" t="str">
        <f>IFERROR(__xludf.DUMMYFUNCTION("""COMPUTED_VALUE"""),"EshaC19")</f>
        <v>EshaC19</v>
      </c>
      <c r="C6963" s="8">
        <f>IFERROR(__xludf.DUMMYFUNCTION("""COMPUTED_VALUE"""),0.0)</f>
        <v>0</v>
      </c>
      <c r="D6963" s="8"/>
    </row>
    <row r="6964">
      <c r="A6964" s="9" t="str">
        <f>IFERROR(__xludf.DUMMYFUNCTION("""COMPUTED_VALUE"""),"Batch 319")</f>
        <v>Batch 319</v>
      </c>
      <c r="B6964" s="9" t="str">
        <f>IFERROR(__xludf.DUMMYFUNCTION("""COMPUTED_VALUE"""),"BanipreetC19")</f>
        <v>BanipreetC19</v>
      </c>
      <c r="C6964" s="8">
        <f>IFERROR(__xludf.DUMMYFUNCTION("""COMPUTED_VALUE"""),3.0)</f>
        <v>3</v>
      </c>
      <c r="D6964" s="8"/>
    </row>
    <row r="6965">
      <c r="A6965" s="9" t="str">
        <f>IFERROR(__xludf.DUMMYFUNCTION("""COMPUTED_VALUE"""),"Batch 319")</f>
        <v>Batch 319</v>
      </c>
      <c r="B6965" s="9" t="str">
        <f>IFERROR(__xludf.DUMMYFUNCTION("""COMPUTED_VALUE"""),"DurbaC19")</f>
        <v>DurbaC19</v>
      </c>
      <c r="C6965" s="8">
        <f>IFERROR(__xludf.DUMMYFUNCTION("""COMPUTED_VALUE"""),0.0)</f>
        <v>0</v>
      </c>
      <c r="D6965" s="8"/>
    </row>
    <row r="6966">
      <c r="A6966" s="9" t="str">
        <f>IFERROR(__xludf.DUMMYFUNCTION("""COMPUTED_VALUE"""),"Batch 319")</f>
        <v>Batch 319</v>
      </c>
      <c r="B6966" s="9" t="str">
        <f>IFERROR(__xludf.DUMMYFUNCTION("""COMPUTED_VALUE"""),"NikitaC19")</f>
        <v>NikitaC19</v>
      </c>
      <c r="C6966" s="8">
        <f>IFERROR(__xludf.DUMMYFUNCTION("""COMPUTED_VALUE"""),60.0)</f>
        <v>60</v>
      </c>
      <c r="D6966" s="8">
        <f>IFERROR(__xludf.DUMMYFUNCTION("""COMPUTED_VALUE"""),19.0)</f>
        <v>19</v>
      </c>
    </row>
    <row r="6967">
      <c r="A6967" s="9" t="str">
        <f>IFERROR(__xludf.DUMMYFUNCTION("""COMPUTED_VALUE"""),"Batch 319")</f>
        <v>Batch 319</v>
      </c>
      <c r="B6967" s="9" t="str">
        <f>IFERROR(__xludf.DUMMYFUNCTION("""COMPUTED_VALUE"""),"SanyaC19")</f>
        <v>SanyaC19</v>
      </c>
      <c r="C6967" s="8">
        <f>IFERROR(__xludf.DUMMYFUNCTION("""COMPUTED_VALUE"""),0.0)</f>
        <v>0</v>
      </c>
      <c r="D6967" s="8"/>
    </row>
    <row r="6968">
      <c r="A6968" s="9" t="str">
        <f>IFERROR(__xludf.DUMMYFUNCTION("""COMPUTED_VALUE"""),"Batch 319")</f>
        <v>Batch 319</v>
      </c>
      <c r="B6968" s="9" t="str">
        <f>IFERROR(__xludf.DUMMYFUNCTION("""COMPUTED_VALUE"""),"KhoisnamC19")</f>
        <v>KhoisnamC19</v>
      </c>
      <c r="C6968" s="8">
        <f>IFERROR(__xludf.DUMMYFUNCTION("""COMPUTED_VALUE"""),0.0)</f>
        <v>0</v>
      </c>
      <c r="D6968" s="8"/>
    </row>
    <row r="6969">
      <c r="A6969" s="9" t="str">
        <f>IFERROR(__xludf.DUMMYFUNCTION("""COMPUTED_VALUE"""),"Batch 319")</f>
        <v>Batch 319</v>
      </c>
      <c r="B6969" s="9" t="str">
        <f>IFERROR(__xludf.DUMMYFUNCTION("""COMPUTED_VALUE"""),"KINNARIC19")</f>
        <v>KINNARIC19</v>
      </c>
      <c r="C6969" s="8">
        <f>IFERROR(__xludf.DUMMYFUNCTION("""COMPUTED_VALUE"""),0.0)</f>
        <v>0</v>
      </c>
      <c r="D6969" s="8"/>
    </row>
    <row r="6970">
      <c r="A6970" s="9" t="str">
        <f>IFERROR(__xludf.DUMMYFUNCTION("""COMPUTED_VALUE"""),"Batch 319")</f>
        <v>Batch 319</v>
      </c>
      <c r="B6970" s="9" t="str">
        <f>IFERROR(__xludf.DUMMYFUNCTION("""COMPUTED_VALUE"""),"PavaniC19")</f>
        <v>PavaniC19</v>
      </c>
      <c r="C6970" s="8">
        <f>IFERROR(__xludf.DUMMYFUNCTION("""COMPUTED_VALUE"""),0.0)</f>
        <v>0</v>
      </c>
      <c r="D6970" s="8"/>
    </row>
    <row r="6971">
      <c r="A6971" s="9" t="str">
        <f>IFERROR(__xludf.DUMMYFUNCTION("""COMPUTED_VALUE"""),"Batch 319")</f>
        <v>Batch 319</v>
      </c>
      <c r="B6971" s="9" t="str">
        <f>IFERROR(__xludf.DUMMYFUNCTION("""COMPUTED_VALUE"""),"PULKITC19")</f>
        <v>PULKITC19</v>
      </c>
      <c r="C6971" s="8">
        <f>IFERROR(__xludf.DUMMYFUNCTION("""COMPUTED_VALUE"""),0.0)</f>
        <v>0</v>
      </c>
      <c r="D6971" s="8"/>
    </row>
    <row r="6972">
      <c r="A6972" s="9" t="str">
        <f>IFERROR(__xludf.DUMMYFUNCTION("""COMPUTED_VALUE"""),"Batch 319")</f>
        <v>Batch 319</v>
      </c>
      <c r="B6972" s="9" t="str">
        <f>IFERROR(__xludf.DUMMYFUNCTION("""COMPUTED_VALUE"""),"MahathyC19")</f>
        <v>MahathyC19</v>
      </c>
      <c r="C6972" s="8">
        <f>IFERROR(__xludf.DUMMYFUNCTION("""COMPUTED_VALUE"""),3.0)</f>
        <v>3</v>
      </c>
      <c r="D6972" s="8">
        <f>IFERROR(__xludf.DUMMYFUNCTION("""COMPUTED_VALUE"""),2.0)</f>
        <v>2</v>
      </c>
    </row>
    <row r="6973">
      <c r="A6973" s="9" t="str">
        <f>IFERROR(__xludf.DUMMYFUNCTION("""COMPUTED_VALUE"""),"Batch 319")</f>
        <v>Batch 319</v>
      </c>
      <c r="B6973" s="9" t="str">
        <f>IFERROR(__xludf.DUMMYFUNCTION("""COMPUTED_VALUE"""),"YashwanthC19")</f>
        <v>YashwanthC19</v>
      </c>
      <c r="C6973" s="8">
        <f>IFERROR(__xludf.DUMMYFUNCTION("""COMPUTED_VALUE"""),0.0)</f>
        <v>0</v>
      </c>
      <c r="D6973" s="8"/>
    </row>
    <row r="6974">
      <c r="A6974" s="9" t="str">
        <f>IFERROR(__xludf.DUMMYFUNCTION("""COMPUTED_VALUE"""),"Batch 319")</f>
        <v>Batch 319</v>
      </c>
      <c r="B6974" s="9" t="str">
        <f>IFERROR(__xludf.DUMMYFUNCTION("""COMPUTED_VALUE"""),"AnjaliC19")</f>
        <v>AnjaliC19</v>
      </c>
      <c r="C6974" s="8">
        <f>IFERROR(__xludf.DUMMYFUNCTION("""COMPUTED_VALUE"""),8.0)</f>
        <v>8</v>
      </c>
      <c r="D6974" s="8"/>
    </row>
    <row r="6975">
      <c r="A6975" s="9" t="str">
        <f>IFERROR(__xludf.DUMMYFUNCTION("""COMPUTED_VALUE"""),"Batch 319")</f>
        <v>Batch 319</v>
      </c>
      <c r="B6975" s="9" t="str">
        <f>IFERROR(__xludf.DUMMYFUNCTION("""COMPUTED_VALUE"""),"JanhaviC19")</f>
        <v>JanhaviC19</v>
      </c>
      <c r="C6975" s="8">
        <f>IFERROR(__xludf.DUMMYFUNCTION("""COMPUTED_VALUE"""),0.0)</f>
        <v>0</v>
      </c>
      <c r="D6975" s="8"/>
    </row>
    <row r="6976">
      <c r="A6976" s="9" t="str">
        <f>IFERROR(__xludf.DUMMYFUNCTION("""COMPUTED_VALUE"""),"Batch 319")</f>
        <v>Batch 319</v>
      </c>
      <c r="B6976" s="9" t="str">
        <f>IFERROR(__xludf.DUMMYFUNCTION("""COMPUTED_VALUE"""),"AbdulC19")</f>
        <v>AbdulC19</v>
      </c>
      <c r="C6976" s="8">
        <f>IFERROR(__xludf.DUMMYFUNCTION("""COMPUTED_VALUE"""),0.0)</f>
        <v>0</v>
      </c>
      <c r="D6976" s="8"/>
    </row>
    <row r="6977">
      <c r="A6977" s="9" t="str">
        <f>IFERROR(__xludf.DUMMYFUNCTION("""COMPUTED_VALUE"""),"Batch 319")</f>
        <v>Batch 319</v>
      </c>
      <c r="B6977" s="9" t="str">
        <f>IFERROR(__xludf.DUMMYFUNCTION("""COMPUTED_VALUE"""),"AmitC19")</f>
        <v>AmitC19</v>
      </c>
      <c r="C6977" s="8">
        <f>IFERROR(__xludf.DUMMYFUNCTION("""COMPUTED_VALUE"""),0.0)</f>
        <v>0</v>
      </c>
      <c r="D6977" s="8"/>
    </row>
    <row r="6978">
      <c r="A6978" s="9" t="str">
        <f>IFERROR(__xludf.DUMMYFUNCTION("""COMPUTED_VALUE"""),"Batch 319")</f>
        <v>Batch 319</v>
      </c>
      <c r="B6978" s="9" t="str">
        <f>IFERROR(__xludf.DUMMYFUNCTION("""COMPUTED_VALUE"""),"ArnavC19")</f>
        <v>ArnavC19</v>
      </c>
      <c r="C6978" s="8">
        <f>IFERROR(__xludf.DUMMYFUNCTION("""COMPUTED_VALUE"""),0.0)</f>
        <v>0</v>
      </c>
      <c r="D6978" s="8"/>
    </row>
    <row r="6979">
      <c r="A6979" s="9" t="str">
        <f>IFERROR(__xludf.DUMMYFUNCTION("""COMPUTED_VALUE"""),"Batch 319")</f>
        <v>Batch 319</v>
      </c>
      <c r="B6979" s="9" t="str">
        <f>IFERROR(__xludf.DUMMYFUNCTION("""COMPUTED_VALUE"""),"TagallamudiC19")</f>
        <v>TagallamudiC19</v>
      </c>
      <c r="C6979" s="8">
        <f>IFERROR(__xludf.DUMMYFUNCTION("""COMPUTED_VALUE"""),0.0)</f>
        <v>0</v>
      </c>
      <c r="D6979" s="8"/>
    </row>
    <row r="6980">
      <c r="A6980" s="9" t="str">
        <f>IFERROR(__xludf.DUMMYFUNCTION("""COMPUTED_VALUE"""),"Batch 319")</f>
        <v>Batch 319</v>
      </c>
      <c r="B6980" s="9" t="str">
        <f>IFERROR(__xludf.DUMMYFUNCTION("""COMPUTED_VALUE"""),"SC19")</f>
        <v>SC19</v>
      </c>
      <c r="C6980" s="8">
        <f>IFERROR(__xludf.DUMMYFUNCTION("""COMPUTED_VALUE"""),1.0)</f>
        <v>1</v>
      </c>
      <c r="D6980" s="8"/>
    </row>
    <row r="6981">
      <c r="A6981" s="9" t="str">
        <f>IFERROR(__xludf.DUMMYFUNCTION("""COMPUTED_VALUE"""),"Batch 319")</f>
        <v>Batch 319</v>
      </c>
      <c r="B6981" s="9" t="str">
        <f>IFERROR(__xludf.DUMMYFUNCTION("""COMPUTED_VALUE"""),"ReynaC19")</f>
        <v>ReynaC19</v>
      </c>
      <c r="C6981" s="8">
        <f>IFERROR(__xludf.DUMMYFUNCTION("""COMPUTED_VALUE"""),0.0)</f>
        <v>0</v>
      </c>
      <c r="D6981" s="8"/>
    </row>
    <row r="6982">
      <c r="A6982" s="9" t="str">
        <f>IFERROR(__xludf.DUMMYFUNCTION("""COMPUTED_VALUE"""),"Batch 319")</f>
        <v>Batch 319</v>
      </c>
      <c r="B6982" s="9" t="str">
        <f>IFERROR(__xludf.DUMMYFUNCTION("""COMPUTED_VALUE"""),"MariyamC19")</f>
        <v>MariyamC19</v>
      </c>
      <c r="C6982" s="8">
        <f>IFERROR(__xludf.DUMMYFUNCTION("""COMPUTED_VALUE"""),0.0)</f>
        <v>0</v>
      </c>
      <c r="D6982" s="8"/>
    </row>
    <row r="6983">
      <c r="A6983" s="9" t="str">
        <f>IFERROR(__xludf.DUMMYFUNCTION("""COMPUTED_VALUE"""),"Batch 319")</f>
        <v>Batch 319</v>
      </c>
      <c r="B6983" s="9" t="str">
        <f>IFERROR(__xludf.DUMMYFUNCTION("""COMPUTED_VALUE"""),"SakshiC19")</f>
        <v>SakshiC19</v>
      </c>
      <c r="C6983" s="8">
        <f>IFERROR(__xludf.DUMMYFUNCTION("""COMPUTED_VALUE"""),0.0)</f>
        <v>0</v>
      </c>
      <c r="D6983" s="8"/>
    </row>
    <row r="6984">
      <c r="A6984" s="9" t="str">
        <f>IFERROR(__xludf.DUMMYFUNCTION("""COMPUTED_VALUE"""),"Batch 319")</f>
        <v>Batch 319</v>
      </c>
      <c r="B6984" s="9" t="str">
        <f>IFERROR(__xludf.DUMMYFUNCTION("""COMPUTED_VALUE"""),"DevC19")</f>
        <v>DevC19</v>
      </c>
      <c r="C6984" s="8">
        <f>IFERROR(__xludf.DUMMYFUNCTION("""COMPUTED_VALUE"""),0.0)</f>
        <v>0</v>
      </c>
      <c r="D6984" s="8"/>
    </row>
    <row r="6985">
      <c r="A6985" s="9" t="str">
        <f>IFERROR(__xludf.DUMMYFUNCTION("""COMPUTED_VALUE"""),"Batch 319")</f>
        <v>Batch 319</v>
      </c>
      <c r="B6985" s="9" t="str">
        <f>IFERROR(__xludf.DUMMYFUNCTION("""COMPUTED_VALUE"""),"SejalC19")</f>
        <v>SejalC19</v>
      </c>
      <c r="C6985" s="8">
        <f>IFERROR(__xludf.DUMMYFUNCTION("""COMPUTED_VALUE"""),8.0)</f>
        <v>8</v>
      </c>
      <c r="D6985" s="8"/>
    </row>
    <row r="6986">
      <c r="A6986" s="9" t="str">
        <f>IFERROR(__xludf.DUMMYFUNCTION("""COMPUTED_VALUE"""),"Batch 319")</f>
        <v>Batch 319</v>
      </c>
      <c r="B6986" s="9" t="str">
        <f>IFERROR(__xludf.DUMMYFUNCTION("""COMPUTED_VALUE"""),"AyushC19")</f>
        <v>AyushC19</v>
      </c>
      <c r="C6986" s="8">
        <f>IFERROR(__xludf.DUMMYFUNCTION("""COMPUTED_VALUE"""),1.0)</f>
        <v>1</v>
      </c>
      <c r="D6986" s="8">
        <f>IFERROR(__xludf.DUMMYFUNCTION("""COMPUTED_VALUE"""),1.0)</f>
        <v>1</v>
      </c>
    </row>
    <row r="6987">
      <c r="A6987" s="9" t="str">
        <f>IFERROR(__xludf.DUMMYFUNCTION("""COMPUTED_VALUE"""),"Batch 319")</f>
        <v>Batch 319</v>
      </c>
      <c r="B6987" s="9" t="str">
        <f>IFERROR(__xludf.DUMMYFUNCTION("""COMPUTED_VALUE"""),"BhumikaC19")</f>
        <v>BhumikaC19</v>
      </c>
      <c r="C6987" s="8">
        <f>IFERROR(__xludf.DUMMYFUNCTION("""COMPUTED_VALUE"""),0.0)</f>
        <v>0</v>
      </c>
      <c r="D6987" s="8"/>
    </row>
    <row r="6988">
      <c r="A6988" s="9" t="str">
        <f>IFERROR(__xludf.DUMMYFUNCTION("""COMPUTED_VALUE"""),"Batch 319")</f>
        <v>Batch 319</v>
      </c>
      <c r="B6988" s="9" t="str">
        <f>IFERROR(__xludf.DUMMYFUNCTION("""COMPUTED_VALUE"""),"ArchiC19")</f>
        <v>ArchiC19</v>
      </c>
      <c r="C6988" s="8">
        <f>IFERROR(__xludf.DUMMYFUNCTION("""COMPUTED_VALUE"""),0.0)</f>
        <v>0</v>
      </c>
      <c r="D6988" s="8"/>
    </row>
    <row r="6989">
      <c r="A6989" s="9" t="str">
        <f>IFERROR(__xludf.DUMMYFUNCTION("""COMPUTED_VALUE"""),"Batch 319")</f>
        <v>Batch 319</v>
      </c>
      <c r="B6989" s="9" t="str">
        <f>IFERROR(__xludf.DUMMYFUNCTION("""COMPUTED_VALUE"""),"VarunC19")</f>
        <v>VarunC19</v>
      </c>
      <c r="C6989" s="8">
        <f>IFERROR(__xludf.DUMMYFUNCTION("""COMPUTED_VALUE"""),62.0)</f>
        <v>62</v>
      </c>
      <c r="D6989" s="8">
        <f>IFERROR(__xludf.DUMMYFUNCTION("""COMPUTED_VALUE"""),5.0)</f>
        <v>5</v>
      </c>
    </row>
    <row r="6990">
      <c r="A6990" s="9"/>
      <c r="B6990" s="9"/>
      <c r="C6990" s="8">
        <f>IFERROR(__xludf.DUMMYFUNCTION("""COMPUTED_VALUE"""),0.0)</f>
        <v>0</v>
      </c>
      <c r="D6990" s="8"/>
    </row>
    <row r="6991">
      <c r="A6991" s="9" t="str">
        <f>IFERROR(__xludf.DUMMYFUNCTION("""COMPUTED_VALUE"""),"Batch 320")</f>
        <v>Batch 320</v>
      </c>
      <c r="B6991" s="9" t="str">
        <f>IFERROR(__xludf.DUMMYFUNCTION("""COMPUTED_VALUE"""),"punyaC20")</f>
        <v>punyaC20</v>
      </c>
      <c r="C6991" s="8">
        <f>IFERROR(__xludf.DUMMYFUNCTION("""COMPUTED_VALUE"""),3.0)</f>
        <v>3</v>
      </c>
      <c r="D6991" s="8">
        <f>IFERROR(__xludf.DUMMYFUNCTION("""COMPUTED_VALUE"""),1.0)</f>
        <v>1</v>
      </c>
    </row>
    <row r="6992">
      <c r="A6992" s="9" t="str">
        <f>IFERROR(__xludf.DUMMYFUNCTION("""COMPUTED_VALUE"""),"Batch 320")</f>
        <v>Batch 320</v>
      </c>
      <c r="B6992" s="9" t="str">
        <f>IFERROR(__xludf.DUMMYFUNCTION("""COMPUTED_VALUE"""),"HarshC20")</f>
        <v>HarshC20</v>
      </c>
      <c r="C6992" s="8">
        <f>IFERROR(__xludf.DUMMYFUNCTION("""COMPUTED_VALUE"""),1.0)</f>
        <v>1</v>
      </c>
      <c r="D6992" s="8"/>
    </row>
    <row r="6993">
      <c r="A6993" s="9" t="str">
        <f>IFERROR(__xludf.DUMMYFUNCTION("""COMPUTED_VALUE"""),"Batch 320")</f>
        <v>Batch 320</v>
      </c>
      <c r="B6993" s="9" t="str">
        <f>IFERROR(__xludf.DUMMYFUNCTION("""COMPUTED_VALUE"""),"RohithC20")</f>
        <v>RohithC20</v>
      </c>
      <c r="C6993" s="8">
        <f>IFERROR(__xludf.DUMMYFUNCTION("""COMPUTED_VALUE"""),0.0)</f>
        <v>0</v>
      </c>
      <c r="D6993" s="8"/>
    </row>
    <row r="6994">
      <c r="A6994" s="9" t="str">
        <f>IFERROR(__xludf.DUMMYFUNCTION("""COMPUTED_VALUE"""),"Batch 320")</f>
        <v>Batch 320</v>
      </c>
      <c r="B6994" s="9" t="str">
        <f>IFERROR(__xludf.DUMMYFUNCTION("""COMPUTED_VALUE"""),"DivyanshiC20")</f>
        <v>DivyanshiC20</v>
      </c>
      <c r="C6994" s="8">
        <f>IFERROR(__xludf.DUMMYFUNCTION("""COMPUTED_VALUE"""),4.0)</f>
        <v>4</v>
      </c>
      <c r="D6994" s="8"/>
    </row>
    <row r="6995">
      <c r="A6995" s="9" t="str">
        <f>IFERROR(__xludf.DUMMYFUNCTION("""COMPUTED_VALUE"""),"Batch 320")</f>
        <v>Batch 320</v>
      </c>
      <c r="B6995" s="9" t="str">
        <f>IFERROR(__xludf.DUMMYFUNCTION("""COMPUTED_VALUE"""),"AkashC20")</f>
        <v>AkashC20</v>
      </c>
      <c r="C6995" s="8">
        <f>IFERROR(__xludf.DUMMYFUNCTION("""COMPUTED_VALUE"""),7.0)</f>
        <v>7</v>
      </c>
      <c r="D6995" s="8">
        <f>IFERROR(__xludf.DUMMYFUNCTION("""COMPUTED_VALUE"""),3.0)</f>
        <v>3</v>
      </c>
    </row>
    <row r="6996">
      <c r="A6996" s="9" t="str">
        <f>IFERROR(__xludf.DUMMYFUNCTION("""COMPUTED_VALUE"""),"Batch 320")</f>
        <v>Batch 320</v>
      </c>
      <c r="B6996" s="9" t="str">
        <f>IFERROR(__xludf.DUMMYFUNCTION("""COMPUTED_VALUE"""),"kudipudiC20")</f>
        <v>kudipudiC20</v>
      </c>
      <c r="C6996" s="8">
        <f>IFERROR(__xludf.DUMMYFUNCTION("""COMPUTED_VALUE"""),5.0)</f>
        <v>5</v>
      </c>
      <c r="D6996" s="8">
        <f>IFERROR(__xludf.DUMMYFUNCTION("""COMPUTED_VALUE"""),5.0)</f>
        <v>5</v>
      </c>
    </row>
    <row r="6997">
      <c r="A6997" s="9" t="str">
        <f>IFERROR(__xludf.DUMMYFUNCTION("""COMPUTED_VALUE"""),"Batch 320")</f>
        <v>Batch 320</v>
      </c>
      <c r="B6997" s="9" t="str">
        <f>IFERROR(__xludf.DUMMYFUNCTION("""COMPUTED_VALUE"""),"RAJAVARAPUC20")</f>
        <v>RAJAVARAPUC20</v>
      </c>
      <c r="C6997" s="8">
        <f>IFERROR(__xludf.DUMMYFUNCTION("""COMPUTED_VALUE"""),0.0)</f>
        <v>0</v>
      </c>
      <c r="D6997" s="8">
        <f>IFERROR(__xludf.DUMMYFUNCTION("""COMPUTED_VALUE"""),3.0)</f>
        <v>3</v>
      </c>
    </row>
    <row r="6998">
      <c r="A6998" s="9" t="str">
        <f>IFERROR(__xludf.DUMMYFUNCTION("""COMPUTED_VALUE"""),"Batch 320")</f>
        <v>Batch 320</v>
      </c>
      <c r="B6998" s="9" t="str">
        <f>IFERROR(__xludf.DUMMYFUNCTION("""COMPUTED_VALUE"""),"YashC20")</f>
        <v>YashC20</v>
      </c>
      <c r="C6998" s="8">
        <f>IFERROR(__xludf.DUMMYFUNCTION("""COMPUTED_VALUE"""),0.0)</f>
        <v>0</v>
      </c>
      <c r="D6998" s="8"/>
    </row>
    <row r="6999">
      <c r="A6999" s="9" t="str">
        <f>IFERROR(__xludf.DUMMYFUNCTION("""COMPUTED_VALUE"""),"Batch 320")</f>
        <v>Batch 320</v>
      </c>
      <c r="B6999" s="9" t="str">
        <f>IFERROR(__xludf.DUMMYFUNCTION("""COMPUTED_VALUE"""),"ArpanC20")</f>
        <v>ArpanC20</v>
      </c>
      <c r="C6999" s="8">
        <f>IFERROR(__xludf.DUMMYFUNCTION("""COMPUTED_VALUE"""),0.0)</f>
        <v>0</v>
      </c>
      <c r="D6999" s="8"/>
    </row>
    <row r="7000">
      <c r="A7000" s="9" t="str">
        <f>IFERROR(__xludf.DUMMYFUNCTION("""COMPUTED_VALUE"""),"Batch 320")</f>
        <v>Batch 320</v>
      </c>
      <c r="B7000" s="9" t="str">
        <f>IFERROR(__xludf.DUMMYFUNCTION("""COMPUTED_VALUE"""),"HarshC20")</f>
        <v>HarshC20</v>
      </c>
      <c r="C7000" s="8">
        <f>IFERROR(__xludf.DUMMYFUNCTION("""COMPUTED_VALUE"""),0.0)</f>
        <v>0</v>
      </c>
      <c r="D7000" s="8"/>
    </row>
    <row r="7001">
      <c r="A7001" s="9" t="str">
        <f>IFERROR(__xludf.DUMMYFUNCTION("""COMPUTED_VALUE"""),"Batch 320")</f>
        <v>Batch 320</v>
      </c>
      <c r="B7001" s="9" t="str">
        <f>IFERROR(__xludf.DUMMYFUNCTION("""COMPUTED_VALUE"""),"ISHANC20")</f>
        <v>ISHANC20</v>
      </c>
      <c r="C7001" s="8">
        <f>IFERROR(__xludf.DUMMYFUNCTION("""COMPUTED_VALUE"""),0.0)</f>
        <v>0</v>
      </c>
      <c r="D7001" s="8"/>
    </row>
    <row r="7002">
      <c r="A7002" s="9" t="str">
        <f>IFERROR(__xludf.DUMMYFUNCTION("""COMPUTED_VALUE"""),"Batch 320")</f>
        <v>Batch 320</v>
      </c>
      <c r="B7002" s="9" t="str">
        <f>IFERROR(__xludf.DUMMYFUNCTION("""COMPUTED_VALUE"""),"ShwetaC20")</f>
        <v>ShwetaC20</v>
      </c>
      <c r="C7002" s="8">
        <f>IFERROR(__xludf.DUMMYFUNCTION("""COMPUTED_VALUE"""),0.0)</f>
        <v>0</v>
      </c>
      <c r="D7002" s="8"/>
    </row>
    <row r="7003">
      <c r="A7003" s="9" t="str">
        <f>IFERROR(__xludf.DUMMYFUNCTION("""COMPUTED_VALUE"""),"Batch 320")</f>
        <v>Batch 320</v>
      </c>
      <c r="B7003" s="9" t="str">
        <f>IFERROR(__xludf.DUMMYFUNCTION("""COMPUTED_VALUE"""),"SrikrithiC20")</f>
        <v>SrikrithiC20</v>
      </c>
      <c r="C7003" s="8">
        <f>IFERROR(__xludf.DUMMYFUNCTION("""COMPUTED_VALUE"""),0.0)</f>
        <v>0</v>
      </c>
      <c r="D7003" s="8"/>
    </row>
    <row r="7004">
      <c r="A7004" s="9" t="str">
        <f>IFERROR(__xludf.DUMMYFUNCTION("""COMPUTED_VALUE"""),"Batch 320")</f>
        <v>Batch 320</v>
      </c>
      <c r="B7004" s="9" t="str">
        <f>IFERROR(__xludf.DUMMYFUNCTION("""COMPUTED_VALUE"""),"PriyanshC20")</f>
        <v>PriyanshC20</v>
      </c>
      <c r="C7004" s="8">
        <f>IFERROR(__xludf.DUMMYFUNCTION("""COMPUTED_VALUE"""),0.0)</f>
        <v>0</v>
      </c>
      <c r="D7004" s="8"/>
    </row>
    <row r="7005">
      <c r="A7005" s="9" t="str">
        <f>IFERROR(__xludf.DUMMYFUNCTION("""COMPUTED_VALUE"""),"Batch 320")</f>
        <v>Batch 320</v>
      </c>
      <c r="B7005" s="9" t="str">
        <f>IFERROR(__xludf.DUMMYFUNCTION("""COMPUTED_VALUE"""),"KritikaC20")</f>
        <v>KritikaC20</v>
      </c>
      <c r="C7005" s="8">
        <f>IFERROR(__xludf.DUMMYFUNCTION("""COMPUTED_VALUE"""),0.0)</f>
        <v>0</v>
      </c>
      <c r="D7005" s="8"/>
    </row>
    <row r="7006">
      <c r="A7006" s="9" t="str">
        <f>IFERROR(__xludf.DUMMYFUNCTION("""COMPUTED_VALUE"""),"Batch 320")</f>
        <v>Batch 320</v>
      </c>
      <c r="B7006" s="9" t="str">
        <f>IFERROR(__xludf.DUMMYFUNCTION("""COMPUTED_VALUE"""),"DolfiC20")</f>
        <v>DolfiC20</v>
      </c>
      <c r="C7006" s="8">
        <f>IFERROR(__xludf.DUMMYFUNCTION("""COMPUTED_VALUE"""),25.0)</f>
        <v>25</v>
      </c>
      <c r="D7006" s="8"/>
    </row>
    <row r="7007">
      <c r="A7007" s="9" t="str">
        <f>IFERROR(__xludf.DUMMYFUNCTION("""COMPUTED_VALUE"""),"Batch 320")</f>
        <v>Batch 320</v>
      </c>
      <c r="B7007" s="9" t="str">
        <f>IFERROR(__xludf.DUMMYFUNCTION("""COMPUTED_VALUE"""),"NandiniC20")</f>
        <v>NandiniC20</v>
      </c>
      <c r="C7007" s="8">
        <f>IFERROR(__xludf.DUMMYFUNCTION("""COMPUTED_VALUE"""),0.0)</f>
        <v>0</v>
      </c>
      <c r="D7007" s="8"/>
    </row>
    <row r="7008">
      <c r="A7008" s="9" t="str">
        <f>IFERROR(__xludf.DUMMYFUNCTION("""COMPUTED_VALUE"""),"Batch 320")</f>
        <v>Batch 320</v>
      </c>
      <c r="B7008" s="9" t="str">
        <f>IFERROR(__xludf.DUMMYFUNCTION("""COMPUTED_VALUE"""),"TusharC20")</f>
        <v>TusharC20</v>
      </c>
      <c r="C7008" s="8">
        <f>IFERROR(__xludf.DUMMYFUNCTION("""COMPUTED_VALUE"""),0.0)</f>
        <v>0</v>
      </c>
      <c r="D7008" s="8"/>
    </row>
    <row r="7009">
      <c r="A7009" s="9" t="str">
        <f>IFERROR(__xludf.DUMMYFUNCTION("""COMPUTED_VALUE"""),"Batch 320")</f>
        <v>Batch 320</v>
      </c>
      <c r="B7009" s="9" t="str">
        <f>IFERROR(__xludf.DUMMYFUNCTION("""COMPUTED_VALUE"""),"RohanC20")</f>
        <v>RohanC20</v>
      </c>
      <c r="C7009" s="8">
        <f>IFERROR(__xludf.DUMMYFUNCTION("""COMPUTED_VALUE"""),0.0)</f>
        <v>0</v>
      </c>
      <c r="D7009" s="8"/>
    </row>
    <row r="7010">
      <c r="A7010" s="9" t="str">
        <f>IFERROR(__xludf.DUMMYFUNCTION("""COMPUTED_VALUE"""),"Batch 320")</f>
        <v>Batch 320</v>
      </c>
      <c r="B7010" s="9" t="str">
        <f>IFERROR(__xludf.DUMMYFUNCTION("""COMPUTED_VALUE"""),"AdityaC20")</f>
        <v>AdityaC20</v>
      </c>
      <c r="C7010" s="8">
        <f>IFERROR(__xludf.DUMMYFUNCTION("""COMPUTED_VALUE"""),0.0)</f>
        <v>0</v>
      </c>
      <c r="D7010" s="8"/>
    </row>
    <row r="7011">
      <c r="A7011" s="9" t="str">
        <f>IFERROR(__xludf.DUMMYFUNCTION("""COMPUTED_VALUE"""),"Batch 320")</f>
        <v>Batch 320</v>
      </c>
      <c r="B7011" s="9" t="str">
        <f>IFERROR(__xludf.DUMMYFUNCTION("""COMPUTED_VALUE"""),"SudipC20")</f>
        <v>SudipC20</v>
      </c>
      <c r="C7011" s="8">
        <f>IFERROR(__xludf.DUMMYFUNCTION("""COMPUTED_VALUE"""),1.0)</f>
        <v>1</v>
      </c>
      <c r="D7011" s="8"/>
    </row>
    <row r="7012">
      <c r="A7012" s="9" t="str">
        <f>IFERROR(__xludf.DUMMYFUNCTION("""COMPUTED_VALUE"""),"Batch 320")</f>
        <v>Batch 320</v>
      </c>
      <c r="B7012" s="9" t="str">
        <f>IFERROR(__xludf.DUMMYFUNCTION("""COMPUTED_VALUE"""),"AbhishekC20")</f>
        <v>AbhishekC20</v>
      </c>
      <c r="C7012" s="8">
        <f>IFERROR(__xludf.DUMMYFUNCTION("""COMPUTED_VALUE"""),0.0)</f>
        <v>0</v>
      </c>
      <c r="D7012" s="8"/>
    </row>
    <row r="7013">
      <c r="A7013" s="9" t="str">
        <f>IFERROR(__xludf.DUMMYFUNCTION("""COMPUTED_VALUE"""),"Batch 320")</f>
        <v>Batch 320</v>
      </c>
      <c r="B7013" s="9" t="str">
        <f>IFERROR(__xludf.DUMMYFUNCTION("""COMPUTED_VALUE"""),"UPPALAC20")</f>
        <v>UPPALAC20</v>
      </c>
      <c r="C7013" s="8">
        <f>IFERROR(__xludf.DUMMYFUNCTION("""COMPUTED_VALUE"""),0.0)</f>
        <v>0</v>
      </c>
      <c r="D7013" s="8"/>
    </row>
    <row r="7014">
      <c r="A7014" s="9" t="str">
        <f>IFERROR(__xludf.DUMMYFUNCTION("""COMPUTED_VALUE"""),"Batch 320")</f>
        <v>Batch 320</v>
      </c>
      <c r="B7014" s="9" t="str">
        <f>IFERROR(__xludf.DUMMYFUNCTION("""COMPUTED_VALUE"""),"MayankC20")</f>
        <v>MayankC20</v>
      </c>
      <c r="C7014" s="8">
        <f>IFERROR(__xludf.DUMMYFUNCTION("""COMPUTED_VALUE"""),0.0)</f>
        <v>0</v>
      </c>
      <c r="D7014" s="8"/>
    </row>
    <row r="7015">
      <c r="A7015" s="9" t="str">
        <f>IFERROR(__xludf.DUMMYFUNCTION("""COMPUTED_VALUE"""),"Batch 320")</f>
        <v>Batch 320</v>
      </c>
      <c r="B7015" s="9" t="str">
        <f>IFERROR(__xludf.DUMMYFUNCTION("""COMPUTED_VALUE"""),"GaureeC20")</f>
        <v>GaureeC20</v>
      </c>
      <c r="C7015" s="8">
        <f>IFERROR(__xludf.DUMMYFUNCTION("""COMPUTED_VALUE"""),0.0)</f>
        <v>0</v>
      </c>
      <c r="D7015" s="8"/>
    </row>
    <row r="7016">
      <c r="A7016" s="9" t="str">
        <f>IFERROR(__xludf.DUMMYFUNCTION("""COMPUTED_VALUE"""),"Batch 320")</f>
        <v>Batch 320</v>
      </c>
      <c r="B7016" s="9" t="str">
        <f>IFERROR(__xludf.DUMMYFUNCTION("""COMPUTED_VALUE"""),"SayaniC20")</f>
        <v>SayaniC20</v>
      </c>
      <c r="C7016" s="8">
        <f>IFERROR(__xludf.DUMMYFUNCTION("""COMPUTED_VALUE"""),0.0)</f>
        <v>0</v>
      </c>
      <c r="D7016" s="8"/>
    </row>
    <row r="7017">
      <c r="A7017" s="9" t="str">
        <f>IFERROR(__xludf.DUMMYFUNCTION("""COMPUTED_VALUE"""),"Batch 320")</f>
        <v>Batch 320</v>
      </c>
      <c r="B7017" s="9" t="str">
        <f>IFERROR(__xludf.DUMMYFUNCTION("""COMPUTED_VALUE"""),"vamsiC20")</f>
        <v>vamsiC20</v>
      </c>
      <c r="C7017" s="8">
        <f>IFERROR(__xludf.DUMMYFUNCTION("""COMPUTED_VALUE"""),1.0)</f>
        <v>1</v>
      </c>
      <c r="D7017" s="8">
        <f>IFERROR(__xludf.DUMMYFUNCTION("""COMPUTED_VALUE"""),2.0)</f>
        <v>2</v>
      </c>
    </row>
    <row r="7018">
      <c r="A7018" s="9" t="str">
        <f>IFERROR(__xludf.DUMMYFUNCTION("""COMPUTED_VALUE"""),"Batch 320")</f>
        <v>Batch 320</v>
      </c>
      <c r="B7018" s="9" t="str">
        <f>IFERROR(__xludf.DUMMYFUNCTION("""COMPUTED_VALUE"""),"SonaliC20")</f>
        <v>SonaliC20</v>
      </c>
      <c r="C7018" s="8">
        <f>IFERROR(__xludf.DUMMYFUNCTION("""COMPUTED_VALUE"""),1.0)</f>
        <v>1</v>
      </c>
      <c r="D7018" s="8"/>
    </row>
    <row r="7019">
      <c r="A7019" s="9" t="str">
        <f>IFERROR(__xludf.DUMMYFUNCTION("""COMPUTED_VALUE"""),"Batch 320")</f>
        <v>Batch 320</v>
      </c>
      <c r="B7019" s="9" t="str">
        <f>IFERROR(__xludf.DUMMYFUNCTION("""COMPUTED_VALUE"""),"SanuC20")</f>
        <v>SanuC20</v>
      </c>
      <c r="C7019" s="8">
        <f>IFERROR(__xludf.DUMMYFUNCTION("""COMPUTED_VALUE"""),0.0)</f>
        <v>0</v>
      </c>
      <c r="D7019" s="8"/>
    </row>
    <row r="7020">
      <c r="A7020" s="9" t="str">
        <f>IFERROR(__xludf.DUMMYFUNCTION("""COMPUTED_VALUE"""),"Batch 320")</f>
        <v>Batch 320</v>
      </c>
      <c r="B7020" s="9" t="str">
        <f>IFERROR(__xludf.DUMMYFUNCTION("""COMPUTED_VALUE"""),"AbishakeC20")</f>
        <v>AbishakeC20</v>
      </c>
      <c r="C7020" s="8">
        <f>IFERROR(__xludf.DUMMYFUNCTION("""COMPUTED_VALUE"""),1.0)</f>
        <v>1</v>
      </c>
      <c r="D7020" s="8"/>
    </row>
    <row r="7021">
      <c r="A7021" s="9" t="str">
        <f>IFERROR(__xludf.DUMMYFUNCTION("""COMPUTED_VALUE"""),"Batch 320")</f>
        <v>Batch 320</v>
      </c>
      <c r="B7021" s="9" t="str">
        <f>IFERROR(__xludf.DUMMYFUNCTION("""COMPUTED_VALUE"""),"BhumikaC20")</f>
        <v>BhumikaC20</v>
      </c>
      <c r="C7021" s="8">
        <f>IFERROR(__xludf.DUMMYFUNCTION("""COMPUTED_VALUE"""),0.0)</f>
        <v>0</v>
      </c>
      <c r="D7021" s="8"/>
    </row>
    <row r="7022">
      <c r="A7022" s="9" t="str">
        <f>IFERROR(__xludf.DUMMYFUNCTION("""COMPUTED_VALUE"""),"Batch 320")</f>
        <v>Batch 320</v>
      </c>
      <c r="B7022" s="9" t="str">
        <f>IFERROR(__xludf.DUMMYFUNCTION("""COMPUTED_VALUE"""),"RichaC20")</f>
        <v>RichaC20</v>
      </c>
      <c r="C7022" s="8">
        <f>IFERROR(__xludf.DUMMYFUNCTION("""COMPUTED_VALUE"""),0.0)</f>
        <v>0</v>
      </c>
      <c r="D7022" s="8"/>
    </row>
    <row r="7023">
      <c r="A7023" s="9" t="str">
        <f>IFERROR(__xludf.DUMMYFUNCTION("""COMPUTED_VALUE"""),"Batch 320")</f>
        <v>Batch 320</v>
      </c>
      <c r="B7023" s="9" t="str">
        <f>IFERROR(__xludf.DUMMYFUNCTION("""COMPUTED_VALUE"""),"DakshC20")</f>
        <v>DakshC20</v>
      </c>
      <c r="C7023" s="8">
        <f>IFERROR(__xludf.DUMMYFUNCTION("""COMPUTED_VALUE"""),7.0)</f>
        <v>7</v>
      </c>
      <c r="D7023" s="8">
        <f>IFERROR(__xludf.DUMMYFUNCTION("""COMPUTED_VALUE"""),9.0)</f>
        <v>9</v>
      </c>
    </row>
    <row r="7024">
      <c r="A7024" s="9" t="str">
        <f>IFERROR(__xludf.DUMMYFUNCTION("""COMPUTED_VALUE"""),"Batch 320")</f>
        <v>Batch 320</v>
      </c>
      <c r="B7024" s="9" t="str">
        <f>IFERROR(__xludf.DUMMYFUNCTION("""COMPUTED_VALUE"""),"TambeC20")</f>
        <v>TambeC20</v>
      </c>
      <c r="C7024" s="8">
        <f>IFERROR(__xludf.DUMMYFUNCTION("""COMPUTED_VALUE"""),0.0)</f>
        <v>0</v>
      </c>
      <c r="D7024" s="8"/>
    </row>
    <row r="7025">
      <c r="A7025" s="9" t="str">
        <f>IFERROR(__xludf.DUMMYFUNCTION("""COMPUTED_VALUE"""),"Batch 320")</f>
        <v>Batch 320</v>
      </c>
      <c r="B7025" s="9" t="str">
        <f>IFERROR(__xludf.DUMMYFUNCTION("""COMPUTED_VALUE"""),"TarunC20")</f>
        <v>TarunC20</v>
      </c>
      <c r="C7025" s="8">
        <f>IFERROR(__xludf.DUMMYFUNCTION("""COMPUTED_VALUE"""),0.0)</f>
        <v>0</v>
      </c>
      <c r="D7025" s="8"/>
    </row>
    <row r="7026">
      <c r="A7026" s="9" t="str">
        <f>IFERROR(__xludf.DUMMYFUNCTION("""COMPUTED_VALUE"""),"Batch 320")</f>
        <v>Batch 320</v>
      </c>
      <c r="B7026" s="9" t="str">
        <f>IFERROR(__xludf.DUMMYFUNCTION("""COMPUTED_VALUE"""),"AnushkaC20")</f>
        <v>AnushkaC20</v>
      </c>
      <c r="C7026" s="8">
        <f>IFERROR(__xludf.DUMMYFUNCTION("""COMPUTED_VALUE"""),0.0)</f>
        <v>0</v>
      </c>
      <c r="D7026" s="8"/>
    </row>
    <row r="7027">
      <c r="A7027" s="9" t="str">
        <f>IFERROR(__xludf.DUMMYFUNCTION("""COMPUTED_VALUE"""),"Batch 320")</f>
        <v>Batch 320</v>
      </c>
      <c r="B7027" s="9" t="str">
        <f>IFERROR(__xludf.DUMMYFUNCTION("""COMPUTED_VALUE"""),"kartikC20")</f>
        <v>kartikC20</v>
      </c>
      <c r="C7027" s="8">
        <f>IFERROR(__xludf.DUMMYFUNCTION("""COMPUTED_VALUE"""),1.0)</f>
        <v>1</v>
      </c>
      <c r="D7027" s="8"/>
    </row>
    <row r="7028">
      <c r="A7028" s="9" t="str">
        <f>IFERROR(__xludf.DUMMYFUNCTION("""COMPUTED_VALUE"""),"Batch 320")</f>
        <v>Batch 320</v>
      </c>
      <c r="B7028" s="9" t="str">
        <f>IFERROR(__xludf.DUMMYFUNCTION("""COMPUTED_VALUE"""),"MDC20")</f>
        <v>MDC20</v>
      </c>
      <c r="C7028" s="8">
        <f>IFERROR(__xludf.DUMMYFUNCTION("""COMPUTED_VALUE"""),20.0)</f>
        <v>20</v>
      </c>
      <c r="D7028" s="8">
        <f>IFERROR(__xludf.DUMMYFUNCTION("""COMPUTED_VALUE"""),17.0)</f>
        <v>17</v>
      </c>
    </row>
    <row r="7029">
      <c r="A7029" s="9" t="str">
        <f>IFERROR(__xludf.DUMMYFUNCTION("""COMPUTED_VALUE"""),"Batch 320")</f>
        <v>Batch 320</v>
      </c>
      <c r="B7029" s="9" t="str">
        <f>IFERROR(__xludf.DUMMYFUNCTION("""COMPUTED_VALUE"""),"YugC20")</f>
        <v>YugC20</v>
      </c>
      <c r="C7029" s="8">
        <f>IFERROR(__xludf.DUMMYFUNCTION("""COMPUTED_VALUE"""),1.0)</f>
        <v>1</v>
      </c>
      <c r="D7029" s="8"/>
    </row>
    <row r="7030">
      <c r="A7030" s="9" t="str">
        <f>IFERROR(__xludf.DUMMYFUNCTION("""COMPUTED_VALUE"""),"Batch 320")</f>
        <v>Batch 320</v>
      </c>
      <c r="B7030" s="9" t="str">
        <f>IFERROR(__xludf.DUMMYFUNCTION("""COMPUTED_VALUE"""),"AnjaliC20")</f>
        <v>AnjaliC20</v>
      </c>
      <c r="C7030" s="8">
        <f>IFERROR(__xludf.DUMMYFUNCTION("""COMPUTED_VALUE"""),0.0)</f>
        <v>0</v>
      </c>
      <c r="D7030" s="8"/>
    </row>
    <row r="7031">
      <c r="A7031" s="9" t="str">
        <f>IFERROR(__xludf.DUMMYFUNCTION("""COMPUTED_VALUE"""),"Batch 320")</f>
        <v>Batch 320</v>
      </c>
      <c r="B7031" s="9" t="str">
        <f>IFERROR(__xludf.DUMMYFUNCTION("""COMPUTED_VALUE"""),"AryanC20")</f>
        <v>AryanC20</v>
      </c>
      <c r="C7031" s="8">
        <f>IFERROR(__xludf.DUMMYFUNCTION("""COMPUTED_VALUE"""),2.0)</f>
        <v>2</v>
      </c>
      <c r="D7031" s="8"/>
    </row>
    <row r="7032">
      <c r="A7032" s="9" t="str">
        <f>IFERROR(__xludf.DUMMYFUNCTION("""COMPUTED_VALUE"""),"Batch 320")</f>
        <v>Batch 320</v>
      </c>
      <c r="B7032" s="9" t="str">
        <f>IFERROR(__xludf.DUMMYFUNCTION("""COMPUTED_VALUE"""),"SuryasnataC20")</f>
        <v>SuryasnataC20</v>
      </c>
      <c r="C7032" s="8">
        <f>IFERROR(__xludf.DUMMYFUNCTION("""COMPUTED_VALUE"""),0.0)</f>
        <v>0</v>
      </c>
      <c r="D7032" s="8"/>
    </row>
    <row r="7033">
      <c r="A7033" s="9" t="str">
        <f>IFERROR(__xludf.DUMMYFUNCTION("""COMPUTED_VALUE"""),"Batch 320")</f>
        <v>Batch 320</v>
      </c>
      <c r="B7033" s="9" t="str">
        <f>IFERROR(__xludf.DUMMYFUNCTION("""COMPUTED_VALUE"""),"SwatiC20")</f>
        <v>SwatiC20</v>
      </c>
      <c r="C7033" s="8">
        <f>IFERROR(__xludf.DUMMYFUNCTION("""COMPUTED_VALUE"""),0.0)</f>
        <v>0</v>
      </c>
      <c r="D7033" s="8"/>
    </row>
    <row r="7034">
      <c r="A7034" s="9" t="str">
        <f>IFERROR(__xludf.DUMMYFUNCTION("""COMPUTED_VALUE"""),"Batch 320")</f>
        <v>Batch 320</v>
      </c>
      <c r="B7034" s="9" t="str">
        <f>IFERROR(__xludf.DUMMYFUNCTION("""COMPUTED_VALUE"""),"HarshitC20")</f>
        <v>HarshitC20</v>
      </c>
      <c r="C7034" s="8">
        <f>IFERROR(__xludf.DUMMYFUNCTION("""COMPUTED_VALUE"""),0.0)</f>
        <v>0</v>
      </c>
      <c r="D7034" s="8"/>
    </row>
    <row r="7035">
      <c r="A7035" s="9" t="str">
        <f>IFERROR(__xludf.DUMMYFUNCTION("""COMPUTED_VALUE"""),"Batch 320")</f>
        <v>Batch 320</v>
      </c>
      <c r="B7035" s="9" t="str">
        <f>IFERROR(__xludf.DUMMYFUNCTION("""COMPUTED_VALUE"""),"NC20")</f>
        <v>NC20</v>
      </c>
      <c r="C7035" s="8">
        <f>IFERROR(__xludf.DUMMYFUNCTION("""COMPUTED_VALUE"""),0.0)</f>
        <v>0</v>
      </c>
      <c r="D7035" s="8"/>
    </row>
    <row r="7036">
      <c r="A7036" s="9" t="str">
        <f>IFERROR(__xludf.DUMMYFUNCTION("""COMPUTED_VALUE"""),"Batch 320")</f>
        <v>Batch 320</v>
      </c>
      <c r="B7036" s="9" t="str">
        <f>IFERROR(__xludf.DUMMYFUNCTION("""COMPUTED_VALUE"""),"ShrutiC20")</f>
        <v>ShrutiC20</v>
      </c>
      <c r="C7036" s="8">
        <f>IFERROR(__xludf.DUMMYFUNCTION("""COMPUTED_VALUE"""),0.0)</f>
        <v>0</v>
      </c>
      <c r="D7036" s="8"/>
    </row>
    <row r="7037">
      <c r="A7037" s="9" t="str">
        <f>IFERROR(__xludf.DUMMYFUNCTION("""COMPUTED_VALUE"""),"Batch 320")</f>
        <v>Batch 320</v>
      </c>
      <c r="B7037" s="9" t="str">
        <f>IFERROR(__xludf.DUMMYFUNCTION("""COMPUTED_VALUE"""),"NikitaC20")</f>
        <v>NikitaC20</v>
      </c>
      <c r="C7037" s="8">
        <f>IFERROR(__xludf.DUMMYFUNCTION("""COMPUTED_VALUE"""),0.0)</f>
        <v>0</v>
      </c>
      <c r="D7037" s="8"/>
    </row>
    <row r="7038">
      <c r="A7038" s="9" t="str">
        <f>IFERROR(__xludf.DUMMYFUNCTION("""COMPUTED_VALUE"""),"Batch 320")</f>
        <v>Batch 320</v>
      </c>
      <c r="B7038" s="9" t="str">
        <f>IFERROR(__xludf.DUMMYFUNCTION("""COMPUTED_VALUE"""),"ANMOLC20")</f>
        <v>ANMOLC20</v>
      </c>
      <c r="C7038" s="8">
        <f>IFERROR(__xludf.DUMMYFUNCTION("""COMPUTED_VALUE"""),0.0)</f>
        <v>0</v>
      </c>
      <c r="D7038" s="8"/>
    </row>
    <row r="7039">
      <c r="A7039" s="9" t="str">
        <f>IFERROR(__xludf.DUMMYFUNCTION("""COMPUTED_VALUE"""),"Batch 320")</f>
        <v>Batch 320</v>
      </c>
      <c r="B7039" s="9" t="str">
        <f>IFERROR(__xludf.DUMMYFUNCTION("""COMPUTED_VALUE"""),"MahiC20")</f>
        <v>MahiC20</v>
      </c>
      <c r="C7039" s="8">
        <f>IFERROR(__xludf.DUMMYFUNCTION("""COMPUTED_VALUE"""),0.0)</f>
        <v>0</v>
      </c>
      <c r="D7039" s="8"/>
    </row>
    <row r="7040">
      <c r="A7040" s="9" t="str">
        <f>IFERROR(__xludf.DUMMYFUNCTION("""COMPUTED_VALUE"""),"Batch 320")</f>
        <v>Batch 320</v>
      </c>
      <c r="B7040" s="9" t="str">
        <f>IFERROR(__xludf.DUMMYFUNCTION("""COMPUTED_VALUE"""),"MohdC20")</f>
        <v>MohdC20</v>
      </c>
      <c r="C7040" s="8">
        <f>IFERROR(__xludf.DUMMYFUNCTION("""COMPUTED_VALUE"""),0.0)</f>
        <v>0</v>
      </c>
      <c r="D7040" s="8"/>
    </row>
    <row r="7041">
      <c r="A7041" s="9" t="str">
        <f>IFERROR(__xludf.DUMMYFUNCTION("""COMPUTED_VALUE"""),"Batch 320")</f>
        <v>Batch 320</v>
      </c>
      <c r="B7041" s="9" t="str">
        <f>IFERROR(__xludf.DUMMYFUNCTION("""COMPUTED_VALUE"""),"SaniaC20")</f>
        <v>SaniaC20</v>
      </c>
      <c r="C7041" s="8">
        <f>IFERROR(__xludf.DUMMYFUNCTION("""COMPUTED_VALUE"""),3.0)</f>
        <v>3</v>
      </c>
      <c r="D7041" s="8"/>
    </row>
    <row r="7042">
      <c r="A7042" s="9" t="str">
        <f>IFERROR(__xludf.DUMMYFUNCTION("""COMPUTED_VALUE"""),"Batch 320")</f>
        <v>Batch 320</v>
      </c>
      <c r="B7042" s="9" t="str">
        <f>IFERROR(__xludf.DUMMYFUNCTION("""COMPUTED_VALUE"""),"ShashankC20")</f>
        <v>ShashankC20</v>
      </c>
      <c r="C7042" s="8">
        <f>IFERROR(__xludf.DUMMYFUNCTION("""COMPUTED_VALUE"""),0.0)</f>
        <v>0</v>
      </c>
      <c r="D7042" s="8"/>
    </row>
    <row r="7043">
      <c r="A7043" s="9" t="str">
        <f>IFERROR(__xludf.DUMMYFUNCTION("""COMPUTED_VALUE"""),"Batch 320")</f>
        <v>Batch 320</v>
      </c>
      <c r="B7043" s="9" t="str">
        <f>IFERROR(__xludf.DUMMYFUNCTION("""COMPUTED_VALUE"""),"AkshitC20")</f>
        <v>AkshitC20</v>
      </c>
      <c r="C7043" s="8">
        <f>IFERROR(__xludf.DUMMYFUNCTION("""COMPUTED_VALUE"""),0.0)</f>
        <v>0</v>
      </c>
      <c r="D7043" s="8"/>
    </row>
    <row r="7044">
      <c r="A7044" s="9" t="str">
        <f>IFERROR(__xludf.DUMMYFUNCTION("""COMPUTED_VALUE"""),"Batch 320")</f>
        <v>Batch 320</v>
      </c>
      <c r="B7044" s="9" t="str">
        <f>IFERROR(__xludf.DUMMYFUNCTION("""COMPUTED_VALUE"""),"UNGARALAC20")</f>
        <v>UNGARALAC20</v>
      </c>
      <c r="C7044" s="8">
        <f>IFERROR(__xludf.DUMMYFUNCTION("""COMPUTED_VALUE"""),0.0)</f>
        <v>0</v>
      </c>
      <c r="D7044" s="8"/>
    </row>
    <row r="7045">
      <c r="A7045" s="9" t="str">
        <f>IFERROR(__xludf.DUMMYFUNCTION("""COMPUTED_VALUE"""),"Batch 320")</f>
        <v>Batch 320</v>
      </c>
      <c r="B7045" s="9" t="str">
        <f>IFERROR(__xludf.DUMMYFUNCTION("""COMPUTED_VALUE"""),"PriyanciC20")</f>
        <v>PriyanciC20</v>
      </c>
      <c r="C7045" s="8">
        <f>IFERROR(__xludf.DUMMYFUNCTION("""COMPUTED_VALUE"""),0.0)</f>
        <v>0</v>
      </c>
      <c r="D7045" s="8"/>
    </row>
    <row r="7046">
      <c r="A7046" s="9" t="str">
        <f>IFERROR(__xludf.DUMMYFUNCTION("""COMPUTED_VALUE"""),"Batch 320")</f>
        <v>Batch 320</v>
      </c>
      <c r="B7046" s="9" t="str">
        <f>IFERROR(__xludf.DUMMYFUNCTION("""COMPUTED_VALUE"""),"AyanC20")</f>
        <v>AyanC20</v>
      </c>
      <c r="C7046" s="8">
        <f>IFERROR(__xludf.DUMMYFUNCTION("""COMPUTED_VALUE"""),0.0)</f>
        <v>0</v>
      </c>
      <c r="D7046" s="8"/>
    </row>
    <row r="7047">
      <c r="A7047" s="9" t="str">
        <f>IFERROR(__xludf.DUMMYFUNCTION("""COMPUTED_VALUE"""),"Batch 320")</f>
        <v>Batch 320</v>
      </c>
      <c r="B7047" s="9" t="str">
        <f>IFERROR(__xludf.DUMMYFUNCTION("""COMPUTED_VALUE"""),"PaavniC20")</f>
        <v>PaavniC20</v>
      </c>
      <c r="C7047" s="8">
        <f>IFERROR(__xludf.DUMMYFUNCTION("""COMPUTED_VALUE"""),0.0)</f>
        <v>0</v>
      </c>
      <c r="D7047" s="8"/>
    </row>
    <row r="7048">
      <c r="A7048" s="9" t="str">
        <f>IFERROR(__xludf.DUMMYFUNCTION("""COMPUTED_VALUE"""),"Batch 320")</f>
        <v>Batch 320</v>
      </c>
      <c r="B7048" s="9" t="str">
        <f>IFERROR(__xludf.DUMMYFUNCTION("""COMPUTED_VALUE"""),"AshiC20")</f>
        <v>AshiC20</v>
      </c>
      <c r="C7048" s="8">
        <f>IFERROR(__xludf.DUMMYFUNCTION("""COMPUTED_VALUE"""),0.0)</f>
        <v>0</v>
      </c>
      <c r="D7048" s="8"/>
    </row>
    <row r="7049">
      <c r="A7049" s="9" t="str">
        <f>IFERROR(__xludf.DUMMYFUNCTION("""COMPUTED_VALUE"""),"Batch 320")</f>
        <v>Batch 320</v>
      </c>
      <c r="B7049" s="9" t="str">
        <f>IFERROR(__xludf.DUMMYFUNCTION("""COMPUTED_VALUE"""),"reshamC20")</f>
        <v>reshamC20</v>
      </c>
      <c r="C7049" s="8">
        <f>IFERROR(__xludf.DUMMYFUNCTION("""COMPUTED_VALUE"""),0.0)</f>
        <v>0</v>
      </c>
      <c r="D7049" s="8"/>
    </row>
    <row r="7050">
      <c r="A7050" s="9"/>
      <c r="B7050" s="9"/>
      <c r="C7050" s="8">
        <f>IFERROR(__xludf.DUMMYFUNCTION("""COMPUTED_VALUE"""),0.0)</f>
        <v>0</v>
      </c>
      <c r="D7050" s="8"/>
    </row>
    <row r="7051">
      <c r="A7051" s="9" t="str">
        <f>IFERROR(__xludf.DUMMYFUNCTION("""COMPUTED_VALUE"""),"Batch 321")</f>
        <v>Batch 321</v>
      </c>
      <c r="B7051" s="9" t="str">
        <f>IFERROR(__xludf.DUMMYFUNCTION("""COMPUTED_VALUE"""),"shivamSC21")</f>
        <v>shivamSC21</v>
      </c>
      <c r="C7051" s="8">
        <f>IFERROR(__xludf.DUMMYFUNCTION("""COMPUTED_VALUE"""),0.0)</f>
        <v>0</v>
      </c>
      <c r="D7051" s="8"/>
    </row>
    <row r="7052">
      <c r="A7052" s="9" t="str">
        <f>IFERROR(__xludf.DUMMYFUNCTION("""COMPUTED_VALUE"""),"Batch 321")</f>
        <v>Batch 321</v>
      </c>
      <c r="B7052" s="9" t="str">
        <f>IFERROR(__xludf.DUMMYFUNCTION("""COMPUTED_VALUE"""),"AayushC21")</f>
        <v>AayushC21</v>
      </c>
      <c r="C7052" s="8">
        <f>IFERROR(__xludf.DUMMYFUNCTION("""COMPUTED_VALUE"""),0.0)</f>
        <v>0</v>
      </c>
      <c r="D7052" s="8"/>
    </row>
    <row r="7053">
      <c r="A7053" s="9" t="str">
        <f>IFERROR(__xludf.DUMMYFUNCTION("""COMPUTED_VALUE"""),"Batch 321")</f>
        <v>Batch 321</v>
      </c>
      <c r="B7053" s="9" t="str">
        <f>IFERROR(__xludf.DUMMYFUNCTION("""COMPUTED_VALUE"""),"RudrabhaC21")</f>
        <v>RudrabhaC21</v>
      </c>
      <c r="C7053" s="8">
        <f>IFERROR(__xludf.DUMMYFUNCTION("""COMPUTED_VALUE"""),0.0)</f>
        <v>0</v>
      </c>
      <c r="D7053" s="8"/>
    </row>
    <row r="7054">
      <c r="A7054" s="9" t="str">
        <f>IFERROR(__xludf.DUMMYFUNCTION("""COMPUTED_VALUE"""),"Batch 321")</f>
        <v>Batch 321</v>
      </c>
      <c r="B7054" s="9" t="str">
        <f>IFERROR(__xludf.DUMMYFUNCTION("""COMPUTED_VALUE"""),"SatyaharshitC21")</f>
        <v>SatyaharshitC21</v>
      </c>
      <c r="C7054" s="8">
        <f>IFERROR(__xludf.DUMMYFUNCTION("""COMPUTED_VALUE"""),0.0)</f>
        <v>0</v>
      </c>
      <c r="D7054" s="8"/>
    </row>
    <row r="7055">
      <c r="A7055" s="9" t="str">
        <f>IFERROR(__xludf.DUMMYFUNCTION("""COMPUTED_VALUE"""),"Batch 321")</f>
        <v>Batch 321</v>
      </c>
      <c r="B7055" s="9" t="str">
        <f>IFERROR(__xludf.DUMMYFUNCTION("""COMPUTED_VALUE"""),"AnmolC21")</f>
        <v>AnmolC21</v>
      </c>
      <c r="C7055" s="8">
        <f>IFERROR(__xludf.DUMMYFUNCTION("""COMPUTED_VALUE"""),2.0)</f>
        <v>2</v>
      </c>
      <c r="D7055" s="8"/>
    </row>
    <row r="7056">
      <c r="A7056" s="9" t="str">
        <f>IFERROR(__xludf.DUMMYFUNCTION("""COMPUTED_VALUE"""),"Batch 321")</f>
        <v>Batch 321</v>
      </c>
      <c r="B7056" s="9" t="str">
        <f>IFERROR(__xludf.DUMMYFUNCTION("""COMPUTED_VALUE"""),"MattrikaC21")</f>
        <v>MattrikaC21</v>
      </c>
      <c r="C7056" s="8">
        <f>IFERROR(__xludf.DUMMYFUNCTION("""COMPUTED_VALUE"""),0.0)</f>
        <v>0</v>
      </c>
      <c r="D7056" s="8"/>
    </row>
    <row r="7057">
      <c r="A7057" s="9" t="str">
        <f>IFERROR(__xludf.DUMMYFUNCTION("""COMPUTED_VALUE"""),"Batch 321")</f>
        <v>Batch 321</v>
      </c>
      <c r="B7057" s="9" t="str">
        <f>IFERROR(__xludf.DUMMYFUNCTION("""COMPUTED_VALUE"""),"SUDIPTAC21")</f>
        <v>SUDIPTAC21</v>
      </c>
      <c r="C7057" s="8">
        <f>IFERROR(__xludf.DUMMYFUNCTION("""COMPUTED_VALUE"""),0.0)</f>
        <v>0</v>
      </c>
      <c r="D7057" s="8"/>
    </row>
    <row r="7058">
      <c r="A7058" s="9" t="str">
        <f>IFERROR(__xludf.DUMMYFUNCTION("""COMPUTED_VALUE"""),"Batch 321")</f>
        <v>Batch 321</v>
      </c>
      <c r="B7058" s="9" t="str">
        <f>IFERROR(__xludf.DUMMYFUNCTION("""COMPUTED_VALUE"""),"ArpitC21")</f>
        <v>ArpitC21</v>
      </c>
      <c r="C7058" s="8">
        <f>IFERROR(__xludf.DUMMYFUNCTION("""COMPUTED_VALUE"""),0.0)</f>
        <v>0</v>
      </c>
      <c r="D7058" s="8"/>
    </row>
    <row r="7059">
      <c r="A7059" s="9" t="str">
        <f>IFERROR(__xludf.DUMMYFUNCTION("""COMPUTED_VALUE"""),"Batch 321")</f>
        <v>Batch 321</v>
      </c>
      <c r="B7059" s="9" t="str">
        <f>IFERROR(__xludf.DUMMYFUNCTION("""COMPUTED_VALUE"""),"ManasaC21")</f>
        <v>ManasaC21</v>
      </c>
      <c r="C7059" s="8">
        <f>IFERROR(__xludf.DUMMYFUNCTION("""COMPUTED_VALUE"""),0.0)</f>
        <v>0</v>
      </c>
      <c r="D7059" s="8"/>
    </row>
    <row r="7060">
      <c r="A7060" s="9" t="str">
        <f>IFERROR(__xludf.DUMMYFUNCTION("""COMPUTED_VALUE"""),"Batch 321")</f>
        <v>Batch 321</v>
      </c>
      <c r="B7060" s="9" t="str">
        <f>IFERROR(__xludf.DUMMYFUNCTION("""COMPUTED_VALUE"""),"PradoshC21")</f>
        <v>PradoshC21</v>
      </c>
      <c r="C7060" s="8">
        <f>IFERROR(__xludf.DUMMYFUNCTION("""COMPUTED_VALUE"""),0.0)</f>
        <v>0</v>
      </c>
      <c r="D7060" s="8"/>
    </row>
    <row r="7061">
      <c r="A7061" s="9" t="str">
        <f>IFERROR(__xludf.DUMMYFUNCTION("""COMPUTED_VALUE"""),"Batch 321")</f>
        <v>Batch 321</v>
      </c>
      <c r="B7061" s="9" t="str">
        <f>IFERROR(__xludf.DUMMYFUNCTION("""COMPUTED_VALUE"""),"AnkitC21")</f>
        <v>AnkitC21</v>
      </c>
      <c r="C7061" s="8">
        <f>IFERROR(__xludf.DUMMYFUNCTION("""COMPUTED_VALUE"""),1.0)</f>
        <v>1</v>
      </c>
      <c r="D7061" s="8"/>
    </row>
    <row r="7062">
      <c r="A7062" s="9" t="str">
        <f>IFERROR(__xludf.DUMMYFUNCTION("""COMPUTED_VALUE"""),"Batch 321")</f>
        <v>Batch 321</v>
      </c>
      <c r="B7062" s="9" t="str">
        <f>IFERROR(__xludf.DUMMYFUNCTION("""COMPUTED_VALUE"""),"VikashC21")</f>
        <v>VikashC21</v>
      </c>
      <c r="C7062" s="8">
        <f>IFERROR(__xludf.DUMMYFUNCTION("""COMPUTED_VALUE"""),0.0)</f>
        <v>0</v>
      </c>
      <c r="D7062" s="8"/>
    </row>
    <row r="7063">
      <c r="A7063" s="9" t="str">
        <f>IFERROR(__xludf.DUMMYFUNCTION("""COMPUTED_VALUE"""),"Batch 321")</f>
        <v>Batch 321</v>
      </c>
      <c r="B7063" s="9" t="str">
        <f>IFERROR(__xludf.DUMMYFUNCTION("""COMPUTED_VALUE"""),"AC21")</f>
        <v>AC21</v>
      </c>
      <c r="C7063" s="8">
        <f>IFERROR(__xludf.DUMMYFUNCTION("""COMPUTED_VALUE"""),0.0)</f>
        <v>0</v>
      </c>
      <c r="D7063" s="8"/>
    </row>
    <row r="7064">
      <c r="A7064" s="9" t="str">
        <f>IFERROR(__xludf.DUMMYFUNCTION("""COMPUTED_VALUE"""),"Batch 321")</f>
        <v>Batch 321</v>
      </c>
      <c r="B7064" s="9" t="str">
        <f>IFERROR(__xludf.DUMMYFUNCTION("""COMPUTED_VALUE"""),"ShrijaC21")</f>
        <v>ShrijaC21</v>
      </c>
      <c r="C7064" s="8">
        <f>IFERROR(__xludf.DUMMYFUNCTION("""COMPUTED_VALUE"""),0.0)</f>
        <v>0</v>
      </c>
      <c r="D7064" s="8"/>
    </row>
    <row r="7065">
      <c r="A7065" s="9" t="str">
        <f>IFERROR(__xludf.DUMMYFUNCTION("""COMPUTED_VALUE"""),"Batch 321")</f>
        <v>Batch 321</v>
      </c>
      <c r="B7065" s="9" t="str">
        <f>IFERROR(__xludf.DUMMYFUNCTION("""COMPUTED_VALUE"""),"TinishaC21")</f>
        <v>TinishaC21</v>
      </c>
      <c r="C7065" s="8">
        <f>IFERROR(__xludf.DUMMYFUNCTION("""COMPUTED_VALUE"""),0.0)</f>
        <v>0</v>
      </c>
      <c r="D7065" s="8"/>
    </row>
    <row r="7066">
      <c r="A7066" s="9" t="str">
        <f>IFERROR(__xludf.DUMMYFUNCTION("""COMPUTED_VALUE"""),"Batch 321")</f>
        <v>Batch 321</v>
      </c>
      <c r="B7066" s="9" t="str">
        <f>IFERROR(__xludf.DUMMYFUNCTION("""COMPUTED_VALUE"""),"MihikaC21")</f>
        <v>MihikaC21</v>
      </c>
      <c r="C7066" s="8">
        <f>IFERROR(__xludf.DUMMYFUNCTION("""COMPUTED_VALUE"""),0.0)</f>
        <v>0</v>
      </c>
      <c r="D7066" s="8"/>
    </row>
    <row r="7067">
      <c r="A7067" s="9" t="str">
        <f>IFERROR(__xludf.DUMMYFUNCTION("""COMPUTED_VALUE"""),"Batch 321")</f>
        <v>Batch 321</v>
      </c>
      <c r="B7067" s="9" t="str">
        <f>IFERROR(__xludf.DUMMYFUNCTION("""COMPUTED_VALUE"""),"TanpreetC21")</f>
        <v>TanpreetC21</v>
      </c>
      <c r="C7067" s="8">
        <f>IFERROR(__xludf.DUMMYFUNCTION("""COMPUTED_VALUE"""),0.0)</f>
        <v>0</v>
      </c>
      <c r="D7067" s="8">
        <f>IFERROR(__xludf.DUMMYFUNCTION("""COMPUTED_VALUE"""),5.0)</f>
        <v>5</v>
      </c>
    </row>
    <row r="7068">
      <c r="A7068" s="9" t="str">
        <f>IFERROR(__xludf.DUMMYFUNCTION("""COMPUTED_VALUE"""),"Batch 321")</f>
        <v>Batch 321</v>
      </c>
      <c r="B7068" s="9" t="str">
        <f>IFERROR(__xludf.DUMMYFUNCTION("""COMPUTED_VALUE"""),"ChaitaliC21")</f>
        <v>ChaitaliC21</v>
      </c>
      <c r="C7068" s="8">
        <f>IFERROR(__xludf.DUMMYFUNCTION("""COMPUTED_VALUE"""),0.0)</f>
        <v>0</v>
      </c>
      <c r="D7068" s="8"/>
    </row>
    <row r="7069">
      <c r="A7069" s="9" t="str">
        <f>IFERROR(__xludf.DUMMYFUNCTION("""COMPUTED_VALUE"""),"Batch 321")</f>
        <v>Batch 321</v>
      </c>
      <c r="B7069" s="9" t="str">
        <f>IFERROR(__xludf.DUMMYFUNCTION("""COMPUTED_VALUE"""),"DevC21")</f>
        <v>DevC21</v>
      </c>
      <c r="C7069" s="8">
        <f>IFERROR(__xludf.DUMMYFUNCTION("""COMPUTED_VALUE"""),0.0)</f>
        <v>0</v>
      </c>
      <c r="D7069" s="8"/>
    </row>
    <row r="7070">
      <c r="A7070" s="9" t="str">
        <f>IFERROR(__xludf.DUMMYFUNCTION("""COMPUTED_VALUE"""),"Batch 321")</f>
        <v>Batch 321</v>
      </c>
      <c r="B7070" s="9" t="str">
        <f>IFERROR(__xludf.DUMMYFUNCTION("""COMPUTED_VALUE"""),"BC21")</f>
        <v>BC21</v>
      </c>
      <c r="C7070" s="8">
        <f>IFERROR(__xludf.DUMMYFUNCTION("""COMPUTED_VALUE"""),0.0)</f>
        <v>0</v>
      </c>
      <c r="D7070" s="8"/>
    </row>
    <row r="7071">
      <c r="A7071" s="9" t="str">
        <f>IFERROR(__xludf.DUMMYFUNCTION("""COMPUTED_VALUE"""),"Batch 321")</f>
        <v>Batch 321</v>
      </c>
      <c r="B7071" s="9" t="str">
        <f>IFERROR(__xludf.DUMMYFUNCTION("""COMPUTED_VALUE"""),"AayushiC21")</f>
        <v>AayushiC21</v>
      </c>
      <c r="C7071" s="8">
        <f>IFERROR(__xludf.DUMMYFUNCTION("""COMPUTED_VALUE"""),0.0)</f>
        <v>0</v>
      </c>
      <c r="D7071" s="8"/>
    </row>
    <row r="7072">
      <c r="A7072" s="9" t="str">
        <f>IFERROR(__xludf.DUMMYFUNCTION("""COMPUTED_VALUE"""),"Batch 321")</f>
        <v>Batch 321</v>
      </c>
      <c r="B7072" s="9" t="str">
        <f>IFERROR(__xludf.DUMMYFUNCTION("""COMPUTED_VALUE"""),"AnimeshC21")</f>
        <v>AnimeshC21</v>
      </c>
      <c r="C7072" s="8">
        <f>IFERROR(__xludf.DUMMYFUNCTION("""COMPUTED_VALUE"""),0.0)</f>
        <v>0</v>
      </c>
      <c r="D7072" s="8"/>
    </row>
    <row r="7073">
      <c r="A7073" s="9" t="str">
        <f>IFERROR(__xludf.DUMMYFUNCTION("""COMPUTED_VALUE"""),"Batch 321")</f>
        <v>Batch 321</v>
      </c>
      <c r="B7073" s="9" t="str">
        <f>IFERROR(__xludf.DUMMYFUNCTION("""COMPUTED_VALUE"""),"KrishnaC21")</f>
        <v>KrishnaC21</v>
      </c>
      <c r="C7073" s="8">
        <f>IFERROR(__xludf.DUMMYFUNCTION("""COMPUTED_VALUE"""),0.0)</f>
        <v>0</v>
      </c>
      <c r="D7073" s="8"/>
    </row>
    <row r="7074">
      <c r="A7074" s="9" t="str">
        <f>IFERROR(__xludf.DUMMYFUNCTION("""COMPUTED_VALUE"""),"Batch 321")</f>
        <v>Batch 321</v>
      </c>
      <c r="B7074" s="9" t="str">
        <f>IFERROR(__xludf.DUMMYFUNCTION("""COMPUTED_VALUE"""),"SharanyaC21")</f>
        <v>SharanyaC21</v>
      </c>
      <c r="C7074" s="8">
        <f>IFERROR(__xludf.DUMMYFUNCTION("""COMPUTED_VALUE"""),9.0)</f>
        <v>9</v>
      </c>
      <c r="D7074" s="8"/>
    </row>
    <row r="7075">
      <c r="A7075" s="9" t="str">
        <f>IFERROR(__xludf.DUMMYFUNCTION("""COMPUTED_VALUE"""),"Batch 321")</f>
        <v>Batch 321</v>
      </c>
      <c r="B7075" s="9" t="str">
        <f>IFERROR(__xludf.DUMMYFUNCTION("""COMPUTED_VALUE"""),"NikitaC21")</f>
        <v>NikitaC21</v>
      </c>
      <c r="C7075" s="8">
        <f>IFERROR(__xludf.DUMMYFUNCTION("""COMPUTED_VALUE"""),0.0)</f>
        <v>0</v>
      </c>
      <c r="D7075" s="8"/>
    </row>
    <row r="7076">
      <c r="A7076" s="9" t="str">
        <f>IFERROR(__xludf.DUMMYFUNCTION("""COMPUTED_VALUE"""),"Batch 321")</f>
        <v>Batch 321</v>
      </c>
      <c r="B7076" s="9" t="str">
        <f>IFERROR(__xludf.DUMMYFUNCTION("""COMPUTED_VALUE"""),"SaumyaC21")</f>
        <v>SaumyaC21</v>
      </c>
      <c r="C7076" s="8">
        <f>IFERROR(__xludf.DUMMYFUNCTION("""COMPUTED_VALUE"""),0.0)</f>
        <v>0</v>
      </c>
      <c r="D7076" s="8"/>
    </row>
    <row r="7077">
      <c r="A7077" s="9" t="str">
        <f>IFERROR(__xludf.DUMMYFUNCTION("""COMPUTED_VALUE"""),"Batch 321")</f>
        <v>Batch 321</v>
      </c>
      <c r="B7077" s="9" t="str">
        <f>IFERROR(__xludf.DUMMYFUNCTION("""COMPUTED_VALUE"""),"AnuragC21")</f>
        <v>AnuragC21</v>
      </c>
      <c r="C7077" s="8">
        <f>IFERROR(__xludf.DUMMYFUNCTION("""COMPUTED_VALUE"""),1.0)</f>
        <v>1</v>
      </c>
      <c r="D7077" s="8"/>
    </row>
    <row r="7078">
      <c r="A7078" s="9" t="str">
        <f>IFERROR(__xludf.DUMMYFUNCTION("""COMPUTED_VALUE"""),"Batch 321")</f>
        <v>Batch 321</v>
      </c>
      <c r="B7078" s="9" t="str">
        <f>IFERROR(__xludf.DUMMYFUNCTION("""COMPUTED_VALUE"""),"VivekC21")</f>
        <v>VivekC21</v>
      </c>
      <c r="C7078" s="8">
        <f>IFERROR(__xludf.DUMMYFUNCTION("""COMPUTED_VALUE"""),0.0)</f>
        <v>0</v>
      </c>
      <c r="D7078" s="8"/>
    </row>
    <row r="7079">
      <c r="A7079" s="9" t="str">
        <f>IFERROR(__xludf.DUMMYFUNCTION("""COMPUTED_VALUE"""),"Batch 321")</f>
        <v>Batch 321</v>
      </c>
      <c r="B7079" s="9" t="str">
        <f>IFERROR(__xludf.DUMMYFUNCTION("""COMPUTED_VALUE"""),"HarshC21")</f>
        <v>HarshC21</v>
      </c>
      <c r="C7079" s="8">
        <f>IFERROR(__xludf.DUMMYFUNCTION("""COMPUTED_VALUE"""),0.0)</f>
        <v>0</v>
      </c>
      <c r="D7079" s="8"/>
    </row>
    <row r="7080">
      <c r="A7080" s="9" t="str">
        <f>IFERROR(__xludf.DUMMYFUNCTION("""COMPUTED_VALUE"""),"Batch 321")</f>
        <v>Batch 321</v>
      </c>
      <c r="B7080" s="9" t="str">
        <f>IFERROR(__xludf.DUMMYFUNCTION("""COMPUTED_VALUE"""),"AshokC21")</f>
        <v>AshokC21</v>
      </c>
      <c r="C7080" s="8">
        <f>IFERROR(__xludf.DUMMYFUNCTION("""COMPUTED_VALUE"""),0.0)</f>
        <v>0</v>
      </c>
      <c r="D7080" s="8"/>
    </row>
    <row r="7081">
      <c r="A7081" s="9" t="str">
        <f>IFERROR(__xludf.DUMMYFUNCTION("""COMPUTED_VALUE"""),"Batch 321")</f>
        <v>Batch 321</v>
      </c>
      <c r="B7081" s="9" t="str">
        <f>IFERROR(__xludf.DUMMYFUNCTION("""COMPUTED_VALUE"""),"JananíC21")</f>
        <v>JananíC21</v>
      </c>
      <c r="C7081" s="8">
        <f>IFERROR(__xludf.DUMMYFUNCTION("""COMPUTED_VALUE"""),12.0)</f>
        <v>12</v>
      </c>
      <c r="D7081" s="8">
        <f>IFERROR(__xludf.DUMMYFUNCTION("""COMPUTED_VALUE"""),2.0)</f>
        <v>2</v>
      </c>
    </row>
    <row r="7082">
      <c r="A7082" s="9" t="str">
        <f>IFERROR(__xludf.DUMMYFUNCTION("""COMPUTED_VALUE"""),"Batch 321")</f>
        <v>Batch 321</v>
      </c>
      <c r="B7082" s="9" t="str">
        <f>IFERROR(__xludf.DUMMYFUNCTION("""COMPUTED_VALUE"""),"MeghanaC21")</f>
        <v>MeghanaC21</v>
      </c>
      <c r="C7082" s="8">
        <f>IFERROR(__xludf.DUMMYFUNCTION("""COMPUTED_VALUE"""),1.0)</f>
        <v>1</v>
      </c>
      <c r="D7082" s="8"/>
    </row>
    <row r="7083">
      <c r="A7083" s="9" t="str">
        <f>IFERROR(__xludf.DUMMYFUNCTION("""COMPUTED_VALUE"""),"Batch 321")</f>
        <v>Batch 321</v>
      </c>
      <c r="B7083" s="9" t="str">
        <f>IFERROR(__xludf.DUMMYFUNCTION("""COMPUTED_VALUE"""),"SupriyaC21")</f>
        <v>SupriyaC21</v>
      </c>
      <c r="C7083" s="8">
        <f>IFERROR(__xludf.DUMMYFUNCTION("""COMPUTED_VALUE"""),0.0)</f>
        <v>0</v>
      </c>
      <c r="D7083" s="8"/>
    </row>
    <row r="7084">
      <c r="A7084" s="9" t="str">
        <f>IFERROR(__xludf.DUMMYFUNCTION("""COMPUTED_VALUE"""),"Batch 321")</f>
        <v>Batch 321</v>
      </c>
      <c r="B7084" s="9" t="str">
        <f>IFERROR(__xludf.DUMMYFUNCTION("""COMPUTED_VALUE"""),"JalakkumarC21")</f>
        <v>JalakkumarC21</v>
      </c>
      <c r="C7084" s="8">
        <f>IFERROR(__xludf.DUMMYFUNCTION("""COMPUTED_VALUE"""),0.0)</f>
        <v>0</v>
      </c>
      <c r="D7084" s="8"/>
    </row>
    <row r="7085">
      <c r="A7085" s="9" t="str">
        <f>IFERROR(__xludf.DUMMYFUNCTION("""COMPUTED_VALUE"""),"Batch 321")</f>
        <v>Batch 321</v>
      </c>
      <c r="B7085" s="9" t="str">
        <f>IFERROR(__xludf.DUMMYFUNCTION("""COMPUTED_VALUE"""),"ShreyashC21")</f>
        <v>ShreyashC21</v>
      </c>
      <c r="C7085" s="8">
        <f>IFERROR(__xludf.DUMMYFUNCTION("""COMPUTED_VALUE"""),0.0)</f>
        <v>0</v>
      </c>
      <c r="D7085" s="8"/>
    </row>
    <row r="7086">
      <c r="A7086" s="9" t="str">
        <f>IFERROR(__xludf.DUMMYFUNCTION("""COMPUTED_VALUE"""),"Batch 321")</f>
        <v>Batch 321</v>
      </c>
      <c r="B7086" s="9" t="str">
        <f>IFERROR(__xludf.DUMMYFUNCTION("""COMPUTED_VALUE"""),"GuruprasadC21")</f>
        <v>GuruprasadC21</v>
      </c>
      <c r="C7086" s="8">
        <f>IFERROR(__xludf.DUMMYFUNCTION("""COMPUTED_VALUE"""),0.0)</f>
        <v>0</v>
      </c>
      <c r="D7086" s="8"/>
    </row>
    <row r="7087">
      <c r="A7087" s="9" t="str">
        <f>IFERROR(__xludf.DUMMYFUNCTION("""COMPUTED_VALUE"""),"Batch 321")</f>
        <v>Batch 321</v>
      </c>
      <c r="B7087" s="9" t="str">
        <f>IFERROR(__xludf.DUMMYFUNCTION("""COMPUTED_VALUE"""),"AnasC21")</f>
        <v>AnasC21</v>
      </c>
      <c r="C7087" s="8">
        <f>IFERROR(__xludf.DUMMYFUNCTION("""COMPUTED_VALUE"""),0.0)</f>
        <v>0</v>
      </c>
      <c r="D7087" s="8"/>
    </row>
    <row r="7088">
      <c r="A7088" s="9" t="str">
        <f>IFERROR(__xludf.DUMMYFUNCTION("""COMPUTED_VALUE"""),"Batch 321")</f>
        <v>Batch 321</v>
      </c>
      <c r="B7088" s="9" t="str">
        <f>IFERROR(__xludf.DUMMYFUNCTION("""COMPUTED_VALUE"""),"ShivamC21")</f>
        <v>ShivamC21</v>
      </c>
      <c r="C7088" s="8">
        <f>IFERROR(__xludf.DUMMYFUNCTION("""COMPUTED_VALUE"""),0.0)</f>
        <v>0</v>
      </c>
      <c r="D7088" s="8"/>
    </row>
    <row r="7089">
      <c r="A7089" s="9"/>
      <c r="B7089" s="9"/>
      <c r="C7089" s="8">
        <f>IFERROR(__xludf.DUMMYFUNCTION("""COMPUTED_VALUE"""),0.0)</f>
        <v>0</v>
      </c>
      <c r="D7089" s="8"/>
    </row>
    <row r="7090">
      <c r="A7090" s="9" t="str">
        <f>IFERROR(__xludf.DUMMYFUNCTION("""COMPUTED_VALUE"""),"Batch 322")</f>
        <v>Batch 322</v>
      </c>
      <c r="B7090" s="9" t="str">
        <f>IFERROR(__xludf.DUMMYFUNCTION("""COMPUTED_VALUE"""),"VivekC22")</f>
        <v>VivekC22</v>
      </c>
      <c r="C7090" s="8">
        <f>IFERROR(__xludf.DUMMYFUNCTION("""COMPUTED_VALUE"""),0.0)</f>
        <v>0</v>
      </c>
      <c r="D7090" s="8"/>
    </row>
    <row r="7091">
      <c r="A7091" s="9" t="str">
        <f>IFERROR(__xludf.DUMMYFUNCTION("""COMPUTED_VALUE"""),"Batch 322")</f>
        <v>Batch 322</v>
      </c>
      <c r="B7091" s="9" t="str">
        <f>IFERROR(__xludf.DUMMYFUNCTION("""COMPUTED_VALUE"""),"BhumikaC22")</f>
        <v>BhumikaC22</v>
      </c>
      <c r="C7091" s="8">
        <f>IFERROR(__xludf.DUMMYFUNCTION("""COMPUTED_VALUE"""),0.0)</f>
        <v>0</v>
      </c>
      <c r="D7091" s="8"/>
    </row>
    <row r="7092">
      <c r="A7092" s="9" t="str">
        <f>IFERROR(__xludf.DUMMYFUNCTION("""COMPUTED_VALUE"""),"Batch 322")</f>
        <v>Batch 322</v>
      </c>
      <c r="B7092" s="9" t="str">
        <f>IFERROR(__xludf.DUMMYFUNCTION("""COMPUTED_VALUE"""),"VanshC22")</f>
        <v>VanshC22</v>
      </c>
      <c r="C7092" s="8">
        <f>IFERROR(__xludf.DUMMYFUNCTION("""COMPUTED_VALUE"""),0.0)</f>
        <v>0</v>
      </c>
      <c r="D7092" s="8"/>
    </row>
    <row r="7093">
      <c r="A7093" s="9" t="str">
        <f>IFERROR(__xludf.DUMMYFUNCTION("""COMPUTED_VALUE"""),"Batch 322")</f>
        <v>Batch 322</v>
      </c>
      <c r="B7093" s="9" t="str">
        <f>IFERROR(__xludf.DUMMYFUNCTION("""COMPUTED_VALUE"""),"TarunC22")</f>
        <v>TarunC22</v>
      </c>
      <c r="C7093" s="8">
        <f>IFERROR(__xludf.DUMMYFUNCTION("""COMPUTED_VALUE"""),0.0)</f>
        <v>0</v>
      </c>
      <c r="D7093" s="8"/>
    </row>
    <row r="7094">
      <c r="A7094" s="9" t="str">
        <f>IFERROR(__xludf.DUMMYFUNCTION("""COMPUTED_VALUE"""),"Batch 322")</f>
        <v>Batch 322</v>
      </c>
      <c r="B7094" s="9" t="str">
        <f>IFERROR(__xludf.DUMMYFUNCTION("""COMPUTED_VALUE"""),"SENTHILC22")</f>
        <v>SENTHILC22</v>
      </c>
      <c r="C7094" s="8">
        <f>IFERROR(__xludf.DUMMYFUNCTION("""COMPUTED_VALUE"""),0.0)</f>
        <v>0</v>
      </c>
      <c r="D7094" s="8"/>
    </row>
    <row r="7095">
      <c r="A7095" s="9" t="str">
        <f>IFERROR(__xludf.DUMMYFUNCTION("""COMPUTED_VALUE"""),"Batch 322")</f>
        <v>Batch 322</v>
      </c>
      <c r="B7095" s="9" t="str">
        <f>IFERROR(__xludf.DUMMYFUNCTION("""COMPUTED_VALUE"""),"SRIDHARC22")</f>
        <v>SRIDHARC22</v>
      </c>
      <c r="C7095" s="8">
        <f>IFERROR(__xludf.DUMMYFUNCTION("""COMPUTED_VALUE"""),0.0)</f>
        <v>0</v>
      </c>
      <c r="D7095" s="8"/>
    </row>
    <row r="7096">
      <c r="A7096" s="9" t="str">
        <f>IFERROR(__xludf.DUMMYFUNCTION("""COMPUTED_VALUE"""),"Batch 322")</f>
        <v>Batch 322</v>
      </c>
      <c r="B7096" s="9" t="str">
        <f>IFERROR(__xludf.DUMMYFUNCTION("""COMPUTED_VALUE"""),"AkshC22")</f>
        <v>AkshC22</v>
      </c>
      <c r="C7096" s="8">
        <f>IFERROR(__xludf.DUMMYFUNCTION("""COMPUTED_VALUE"""),0.0)</f>
        <v>0</v>
      </c>
      <c r="D7096" s="8"/>
    </row>
    <row r="7097">
      <c r="A7097" s="9" t="str">
        <f>IFERROR(__xludf.DUMMYFUNCTION("""COMPUTED_VALUE"""),"Batch 322")</f>
        <v>Batch 322</v>
      </c>
      <c r="B7097" s="9" t="str">
        <f>IFERROR(__xludf.DUMMYFUNCTION("""COMPUTED_VALUE"""),"KishoreC22")</f>
        <v>KishoreC22</v>
      </c>
      <c r="C7097" s="8">
        <f>IFERROR(__xludf.DUMMYFUNCTION("""COMPUTED_VALUE"""),0.0)</f>
        <v>0</v>
      </c>
      <c r="D7097" s="8"/>
    </row>
    <row r="7098">
      <c r="A7098" s="9" t="str">
        <f>IFERROR(__xludf.DUMMYFUNCTION("""COMPUTED_VALUE"""),"Batch 322")</f>
        <v>Batch 322</v>
      </c>
      <c r="B7098" s="9" t="str">
        <f>IFERROR(__xludf.DUMMYFUNCTION("""COMPUTED_VALUE"""),"PrasheelaC22")</f>
        <v>PrasheelaC22</v>
      </c>
      <c r="C7098" s="8">
        <f>IFERROR(__xludf.DUMMYFUNCTION("""COMPUTED_VALUE"""),0.0)</f>
        <v>0</v>
      </c>
      <c r="D7098" s="8"/>
    </row>
    <row r="7099">
      <c r="A7099" s="9" t="str">
        <f>IFERROR(__xludf.DUMMYFUNCTION("""COMPUTED_VALUE"""),"Batch 322")</f>
        <v>Batch 322</v>
      </c>
      <c r="B7099" s="9" t="str">
        <f>IFERROR(__xludf.DUMMYFUNCTION("""COMPUTED_VALUE"""),"SiftiC22")</f>
        <v>SiftiC22</v>
      </c>
      <c r="C7099" s="8">
        <f>IFERROR(__xludf.DUMMYFUNCTION("""COMPUTED_VALUE"""),0.0)</f>
        <v>0</v>
      </c>
      <c r="D7099" s="8"/>
    </row>
    <row r="7100">
      <c r="A7100" s="9" t="str">
        <f>IFERROR(__xludf.DUMMYFUNCTION("""COMPUTED_VALUE"""),"Batch 322")</f>
        <v>Batch 322</v>
      </c>
      <c r="B7100" s="9" t="str">
        <f>IFERROR(__xludf.DUMMYFUNCTION("""COMPUTED_VALUE"""),"RahulC22")</f>
        <v>RahulC22</v>
      </c>
      <c r="C7100" s="8">
        <f>IFERROR(__xludf.DUMMYFUNCTION("""COMPUTED_VALUE"""),0.0)</f>
        <v>0</v>
      </c>
      <c r="D7100" s="8"/>
    </row>
    <row r="7101">
      <c r="A7101" s="9" t="str">
        <f>IFERROR(__xludf.DUMMYFUNCTION("""COMPUTED_VALUE"""),"Batch 322")</f>
        <v>Batch 322</v>
      </c>
      <c r="B7101" s="9" t="str">
        <f>IFERROR(__xludf.DUMMYFUNCTION("""COMPUTED_VALUE"""),"SachinC22")</f>
        <v>SachinC22</v>
      </c>
      <c r="C7101" s="8">
        <f>IFERROR(__xludf.DUMMYFUNCTION("""COMPUTED_VALUE"""),0.0)</f>
        <v>0</v>
      </c>
      <c r="D7101" s="8"/>
    </row>
    <row r="7102">
      <c r="A7102" s="9" t="str">
        <f>IFERROR(__xludf.DUMMYFUNCTION("""COMPUTED_VALUE"""),"Batch 322")</f>
        <v>Batch 322</v>
      </c>
      <c r="B7102" s="9" t="str">
        <f>IFERROR(__xludf.DUMMYFUNCTION("""COMPUTED_VALUE"""),"KhushiC22")</f>
        <v>KhushiC22</v>
      </c>
      <c r="C7102" s="8">
        <f>IFERROR(__xludf.DUMMYFUNCTION("""COMPUTED_VALUE"""),0.0)</f>
        <v>0</v>
      </c>
      <c r="D7102" s="8"/>
    </row>
    <row r="7103">
      <c r="A7103" s="9" t="str">
        <f>IFERROR(__xludf.DUMMYFUNCTION("""COMPUTED_VALUE"""),"Batch 322")</f>
        <v>Batch 322</v>
      </c>
      <c r="B7103" s="9" t="str">
        <f>IFERROR(__xludf.DUMMYFUNCTION("""COMPUTED_VALUE"""),"VisheshC22")</f>
        <v>VisheshC22</v>
      </c>
      <c r="C7103" s="8">
        <f>IFERROR(__xludf.DUMMYFUNCTION("""COMPUTED_VALUE"""),0.0)</f>
        <v>0</v>
      </c>
      <c r="D7103" s="8"/>
    </row>
    <row r="7104">
      <c r="A7104" s="9" t="str">
        <f>IFERROR(__xludf.DUMMYFUNCTION("""COMPUTED_VALUE"""),"Batch 322")</f>
        <v>Batch 322</v>
      </c>
      <c r="B7104" s="9" t="str">
        <f>IFERROR(__xludf.DUMMYFUNCTION("""COMPUTED_VALUE"""),"SanjanaC22")</f>
        <v>SanjanaC22</v>
      </c>
      <c r="C7104" s="8">
        <f>IFERROR(__xludf.DUMMYFUNCTION("""COMPUTED_VALUE"""),0.0)</f>
        <v>0</v>
      </c>
      <c r="D7104" s="8"/>
    </row>
    <row r="7105">
      <c r="A7105" s="9" t="str">
        <f>IFERROR(__xludf.DUMMYFUNCTION("""COMPUTED_VALUE"""),"Batch 322")</f>
        <v>Batch 322</v>
      </c>
      <c r="B7105" s="9" t="str">
        <f>IFERROR(__xludf.DUMMYFUNCTION("""COMPUTED_VALUE"""),"KshitijC22")</f>
        <v>KshitijC22</v>
      </c>
      <c r="C7105" s="8">
        <f>IFERROR(__xludf.DUMMYFUNCTION("""COMPUTED_VALUE"""),0.0)</f>
        <v>0</v>
      </c>
      <c r="D7105" s="8"/>
    </row>
    <row r="7106">
      <c r="A7106" s="9" t="str">
        <f>IFERROR(__xludf.DUMMYFUNCTION("""COMPUTED_VALUE"""),"Batch 322")</f>
        <v>Batch 322</v>
      </c>
      <c r="B7106" s="9" t="str">
        <f>IFERROR(__xludf.DUMMYFUNCTION("""COMPUTED_VALUE"""),"VishuC22")</f>
        <v>VishuC22</v>
      </c>
      <c r="C7106" s="8">
        <f>IFERROR(__xludf.DUMMYFUNCTION("""COMPUTED_VALUE"""),0.0)</f>
        <v>0</v>
      </c>
      <c r="D7106" s="8"/>
    </row>
    <row r="7107">
      <c r="A7107" s="9" t="str">
        <f>IFERROR(__xludf.DUMMYFUNCTION("""COMPUTED_VALUE"""),"Batch 322")</f>
        <v>Batch 322</v>
      </c>
      <c r="B7107" s="9" t="str">
        <f>IFERROR(__xludf.DUMMYFUNCTION("""COMPUTED_VALUE"""),"SaiamC22")</f>
        <v>SaiamC22</v>
      </c>
      <c r="C7107" s="8">
        <f>IFERROR(__xludf.DUMMYFUNCTION("""COMPUTED_VALUE"""),0.0)</f>
        <v>0</v>
      </c>
      <c r="D7107" s="8"/>
    </row>
    <row r="7108">
      <c r="A7108" s="9" t="str">
        <f>IFERROR(__xludf.DUMMYFUNCTION("""COMPUTED_VALUE"""),"Batch 322")</f>
        <v>Batch 322</v>
      </c>
      <c r="B7108" s="9" t="str">
        <f>IFERROR(__xludf.DUMMYFUNCTION("""COMPUTED_VALUE"""),"RiddhiC22")</f>
        <v>RiddhiC22</v>
      </c>
      <c r="C7108" s="8">
        <f>IFERROR(__xludf.DUMMYFUNCTION("""COMPUTED_VALUE"""),0.0)</f>
        <v>0</v>
      </c>
      <c r="D7108" s="8"/>
    </row>
    <row r="7109">
      <c r="A7109" s="9" t="str">
        <f>IFERROR(__xludf.DUMMYFUNCTION("""COMPUTED_VALUE"""),"Batch 322")</f>
        <v>Batch 322</v>
      </c>
      <c r="B7109" s="9" t="str">
        <f>IFERROR(__xludf.DUMMYFUNCTION("""COMPUTED_VALUE"""),"VismayaC22")</f>
        <v>VismayaC22</v>
      </c>
      <c r="C7109" s="8">
        <f>IFERROR(__xludf.DUMMYFUNCTION("""COMPUTED_VALUE"""),0.0)</f>
        <v>0</v>
      </c>
      <c r="D7109" s="8"/>
    </row>
    <row r="7110">
      <c r="A7110" s="9" t="str">
        <f>IFERROR(__xludf.DUMMYFUNCTION("""COMPUTED_VALUE"""),"Batch 322")</f>
        <v>Batch 322</v>
      </c>
      <c r="B7110" s="9" t="str">
        <f>IFERROR(__xludf.DUMMYFUNCTION("""COMPUTED_VALUE"""),"ShrejalC22")</f>
        <v>ShrejalC22</v>
      </c>
      <c r="C7110" s="8">
        <f>IFERROR(__xludf.DUMMYFUNCTION("""COMPUTED_VALUE"""),0.0)</f>
        <v>0</v>
      </c>
      <c r="D7110" s="8"/>
    </row>
    <row r="7111">
      <c r="A7111" s="9" t="str">
        <f>IFERROR(__xludf.DUMMYFUNCTION("""COMPUTED_VALUE"""),"Batch 322")</f>
        <v>Batch 322</v>
      </c>
      <c r="B7111" s="9" t="str">
        <f>IFERROR(__xludf.DUMMYFUNCTION("""COMPUTED_VALUE"""),"SubhalaxmiC22")</f>
        <v>SubhalaxmiC22</v>
      </c>
      <c r="C7111" s="8">
        <f>IFERROR(__xludf.DUMMYFUNCTION("""COMPUTED_VALUE"""),0.0)</f>
        <v>0</v>
      </c>
      <c r="D7111" s="8"/>
    </row>
    <row r="7112">
      <c r="A7112" s="9" t="str">
        <f>IFERROR(__xludf.DUMMYFUNCTION("""COMPUTED_VALUE"""),"Batch 322")</f>
        <v>Batch 322</v>
      </c>
      <c r="B7112" s="9" t="str">
        <f>IFERROR(__xludf.DUMMYFUNCTION("""COMPUTED_VALUE"""),"DhruvC22")</f>
        <v>DhruvC22</v>
      </c>
      <c r="C7112" s="8">
        <f>IFERROR(__xludf.DUMMYFUNCTION("""COMPUTED_VALUE"""),0.0)</f>
        <v>0</v>
      </c>
      <c r="D7112" s="8"/>
    </row>
    <row r="7113">
      <c r="A7113" s="9" t="str">
        <f>IFERROR(__xludf.DUMMYFUNCTION("""COMPUTED_VALUE"""),"Batch 322")</f>
        <v>Batch 322</v>
      </c>
      <c r="B7113" s="9" t="str">
        <f>IFERROR(__xludf.DUMMYFUNCTION("""COMPUTED_VALUE"""),"AryanC22")</f>
        <v>AryanC22</v>
      </c>
      <c r="C7113" s="8">
        <f>IFERROR(__xludf.DUMMYFUNCTION("""COMPUTED_VALUE"""),0.0)</f>
        <v>0</v>
      </c>
      <c r="D7113" s="8"/>
    </row>
    <row r="7114">
      <c r="A7114" s="9" t="str">
        <f>IFERROR(__xludf.DUMMYFUNCTION("""COMPUTED_VALUE"""),"Batch 322")</f>
        <v>Batch 322</v>
      </c>
      <c r="B7114" s="9" t="str">
        <f>IFERROR(__xludf.DUMMYFUNCTION("""COMPUTED_VALUE"""),"PariC22")</f>
        <v>PariC22</v>
      </c>
      <c r="C7114" s="8">
        <f>IFERROR(__xludf.DUMMYFUNCTION("""COMPUTED_VALUE"""),0.0)</f>
        <v>0</v>
      </c>
      <c r="D7114" s="8"/>
    </row>
    <row r="7115">
      <c r="A7115" s="9"/>
      <c r="B7115" s="9"/>
      <c r="C7115" s="8">
        <f>IFERROR(__xludf.DUMMYFUNCTION("""COMPUTED_VALUE"""),0.0)</f>
        <v>0</v>
      </c>
      <c r="D7115" s="8"/>
    </row>
    <row r="7116">
      <c r="A7116" s="9" t="str">
        <f>IFERROR(__xludf.DUMMYFUNCTION("""COMPUTED_VALUE"""),"Batch 323")</f>
        <v>Batch 323</v>
      </c>
      <c r="B7116" s="9" t="str">
        <f>IFERROR(__xludf.DUMMYFUNCTION("""COMPUTED_VALUE"""),"PulkitC23")</f>
        <v>PulkitC23</v>
      </c>
      <c r="C7116" s="8">
        <f>IFERROR(__xludf.DUMMYFUNCTION("""COMPUTED_VALUE"""),0.0)</f>
        <v>0</v>
      </c>
      <c r="D7116" s="8">
        <f>IFERROR(__xludf.DUMMYFUNCTION("""COMPUTED_VALUE"""),2.0)</f>
        <v>2</v>
      </c>
    </row>
    <row r="7117">
      <c r="A7117" s="9" t="str">
        <f>IFERROR(__xludf.DUMMYFUNCTION("""COMPUTED_VALUE"""),"Batch 323")</f>
        <v>Batch 323</v>
      </c>
      <c r="B7117" s="9" t="str">
        <f>IFERROR(__xludf.DUMMYFUNCTION("""COMPUTED_VALUE"""),"ShivamC23")</f>
        <v>ShivamC23</v>
      </c>
      <c r="C7117" s="8">
        <f>IFERROR(__xludf.DUMMYFUNCTION("""COMPUTED_VALUE"""),0.0)</f>
        <v>0</v>
      </c>
      <c r="D7117" s="8"/>
    </row>
    <row r="7118">
      <c r="A7118" s="9" t="str">
        <f>IFERROR(__xludf.DUMMYFUNCTION("""COMPUTED_VALUE"""),"Batch 323")</f>
        <v>Batch 323</v>
      </c>
      <c r="B7118" s="9" t="str">
        <f>IFERROR(__xludf.DUMMYFUNCTION("""COMPUTED_VALUE"""),"ManviC23")</f>
        <v>ManviC23</v>
      </c>
      <c r="C7118" s="8">
        <f>IFERROR(__xludf.DUMMYFUNCTION("""COMPUTED_VALUE"""),0.0)</f>
        <v>0</v>
      </c>
      <c r="D7118" s="8">
        <f>IFERROR(__xludf.DUMMYFUNCTION("""COMPUTED_VALUE"""),1.0)</f>
        <v>1</v>
      </c>
    </row>
    <row r="7119">
      <c r="A7119" s="9" t="str">
        <f>IFERROR(__xludf.DUMMYFUNCTION("""COMPUTED_VALUE"""),"Batch 323")</f>
        <v>Batch 323</v>
      </c>
      <c r="B7119" s="9" t="str">
        <f>IFERROR(__xludf.DUMMYFUNCTION("""COMPUTED_VALUE"""),"GentemC23")</f>
        <v>GentemC23</v>
      </c>
      <c r="C7119" s="8">
        <f>IFERROR(__xludf.DUMMYFUNCTION("""COMPUTED_VALUE"""),0.0)</f>
        <v>0</v>
      </c>
      <c r="D7119" s="8"/>
    </row>
    <row r="7120">
      <c r="A7120" s="9" t="str">
        <f>IFERROR(__xludf.DUMMYFUNCTION("""COMPUTED_VALUE"""),"Batch 323")</f>
        <v>Batch 323</v>
      </c>
      <c r="B7120" s="9" t="str">
        <f>IFERROR(__xludf.DUMMYFUNCTION("""COMPUTED_VALUE"""),"RajdeepC23")</f>
        <v>RajdeepC23</v>
      </c>
      <c r="C7120" s="8">
        <f>IFERROR(__xludf.DUMMYFUNCTION("""COMPUTED_VALUE"""),1.0)</f>
        <v>1</v>
      </c>
      <c r="D7120" s="8"/>
    </row>
    <row r="7121">
      <c r="A7121" s="9" t="str">
        <f>IFERROR(__xludf.DUMMYFUNCTION("""COMPUTED_VALUE"""),"Batch 323")</f>
        <v>Batch 323</v>
      </c>
      <c r="B7121" s="9" t="str">
        <f>IFERROR(__xludf.DUMMYFUNCTION("""COMPUTED_VALUE"""),"AditiC23")</f>
        <v>AditiC23</v>
      </c>
      <c r="C7121" s="8">
        <f>IFERROR(__xludf.DUMMYFUNCTION("""COMPUTED_VALUE"""),0.0)</f>
        <v>0</v>
      </c>
      <c r="D7121" s="8"/>
    </row>
    <row r="7122">
      <c r="A7122" s="9" t="str">
        <f>IFERROR(__xludf.DUMMYFUNCTION("""COMPUTED_VALUE"""),"Batch 323")</f>
        <v>Batch 323</v>
      </c>
      <c r="B7122" s="9" t="str">
        <f>IFERROR(__xludf.DUMMYFUNCTION("""COMPUTED_VALUE"""),"SrushtyC23")</f>
        <v>SrushtyC23</v>
      </c>
      <c r="C7122" s="8">
        <f>IFERROR(__xludf.DUMMYFUNCTION("""COMPUTED_VALUE"""),0.0)</f>
        <v>0</v>
      </c>
      <c r="D7122" s="8"/>
    </row>
    <row r="7123">
      <c r="A7123" s="9" t="str">
        <f>IFERROR(__xludf.DUMMYFUNCTION("""COMPUTED_VALUE"""),"Batch 323")</f>
        <v>Batch 323</v>
      </c>
      <c r="B7123" s="9" t="str">
        <f>IFERROR(__xludf.DUMMYFUNCTION("""COMPUTED_VALUE"""),"JayatiC23")</f>
        <v>JayatiC23</v>
      </c>
      <c r="C7123" s="8">
        <f>IFERROR(__xludf.DUMMYFUNCTION("""COMPUTED_VALUE"""),0.0)</f>
        <v>0</v>
      </c>
      <c r="D7123" s="8"/>
    </row>
    <row r="7124">
      <c r="A7124" s="9" t="str">
        <f>IFERROR(__xludf.DUMMYFUNCTION("""COMPUTED_VALUE"""),"Batch 323")</f>
        <v>Batch 323</v>
      </c>
      <c r="B7124" s="9" t="str">
        <f>IFERROR(__xludf.DUMMYFUNCTION("""COMPUTED_VALUE"""),"PurviC23")</f>
        <v>PurviC23</v>
      </c>
      <c r="C7124" s="8">
        <f>IFERROR(__xludf.DUMMYFUNCTION("""COMPUTED_VALUE"""),6.0)</f>
        <v>6</v>
      </c>
      <c r="D7124" s="8"/>
    </row>
    <row r="7125">
      <c r="A7125" s="9" t="str">
        <f>IFERROR(__xludf.DUMMYFUNCTION("""COMPUTED_VALUE"""),"Batch 323")</f>
        <v>Batch 323</v>
      </c>
      <c r="B7125" s="9" t="str">
        <f>IFERROR(__xludf.DUMMYFUNCTION("""COMPUTED_VALUE"""),"ShubhamC23")</f>
        <v>ShubhamC23</v>
      </c>
      <c r="C7125" s="8">
        <f>IFERROR(__xludf.DUMMYFUNCTION("""COMPUTED_VALUE"""),0.0)</f>
        <v>0</v>
      </c>
      <c r="D7125" s="8"/>
    </row>
    <row r="7126">
      <c r="A7126" s="9" t="str">
        <f>IFERROR(__xludf.DUMMYFUNCTION("""COMPUTED_VALUE"""),"Batch 323")</f>
        <v>Batch 323</v>
      </c>
      <c r="B7126" s="9" t="str">
        <f>IFERROR(__xludf.DUMMYFUNCTION("""COMPUTED_VALUE"""),"AadityaPC23")</f>
        <v>AadityaPC23</v>
      </c>
      <c r="C7126" s="8">
        <f>IFERROR(__xludf.DUMMYFUNCTION("""COMPUTED_VALUE"""),0.0)</f>
        <v>0</v>
      </c>
      <c r="D7126" s="8"/>
    </row>
    <row r="7127">
      <c r="A7127" s="9" t="str">
        <f>IFERROR(__xludf.DUMMYFUNCTION("""COMPUTED_VALUE"""),"Batch 323")</f>
        <v>Batch 323</v>
      </c>
      <c r="B7127" s="9" t="str">
        <f>IFERROR(__xludf.DUMMYFUNCTION("""COMPUTED_VALUE"""),"SakshiC23")</f>
        <v>SakshiC23</v>
      </c>
      <c r="C7127" s="8">
        <f>IFERROR(__xludf.DUMMYFUNCTION("""COMPUTED_VALUE"""),0.0)</f>
        <v>0</v>
      </c>
      <c r="D7127" s="8"/>
    </row>
    <row r="7128">
      <c r="A7128" s="9" t="str">
        <f>IFERROR(__xludf.DUMMYFUNCTION("""COMPUTED_VALUE"""),"Batch 323")</f>
        <v>Batch 323</v>
      </c>
      <c r="B7128" s="9" t="str">
        <f>IFERROR(__xludf.DUMMYFUNCTION("""COMPUTED_VALUE"""),"AadityaC23")</f>
        <v>AadityaC23</v>
      </c>
      <c r="C7128" s="8">
        <f>IFERROR(__xludf.DUMMYFUNCTION("""COMPUTED_VALUE"""),0.0)</f>
        <v>0</v>
      </c>
      <c r="D7128" s="8"/>
    </row>
    <row r="7129">
      <c r="A7129" s="9" t="str">
        <f>IFERROR(__xludf.DUMMYFUNCTION("""COMPUTED_VALUE"""),"Batch 323")</f>
        <v>Batch 323</v>
      </c>
      <c r="B7129" s="9" t="str">
        <f>IFERROR(__xludf.DUMMYFUNCTION("""COMPUTED_VALUE"""),"AyushC23")</f>
        <v>AyushC23</v>
      </c>
      <c r="C7129" s="8">
        <f>IFERROR(__xludf.DUMMYFUNCTION("""COMPUTED_VALUE"""),0.0)</f>
        <v>0</v>
      </c>
      <c r="D7129" s="8"/>
    </row>
    <row r="7130">
      <c r="A7130" s="9" t="str">
        <f>IFERROR(__xludf.DUMMYFUNCTION("""COMPUTED_VALUE"""),"Batch 323")</f>
        <v>Batch 323</v>
      </c>
      <c r="B7130" s="9" t="str">
        <f>IFERROR(__xludf.DUMMYFUNCTION("""COMPUTED_VALUE"""),"SanjushreeC23")</f>
        <v>SanjushreeC23</v>
      </c>
      <c r="C7130" s="8">
        <f>IFERROR(__xludf.DUMMYFUNCTION("""COMPUTED_VALUE"""),0.0)</f>
        <v>0</v>
      </c>
      <c r="D7130" s="8"/>
    </row>
    <row r="7131">
      <c r="A7131" s="9" t="str">
        <f>IFERROR(__xludf.DUMMYFUNCTION("""COMPUTED_VALUE"""),"Batch 323")</f>
        <v>Batch 323</v>
      </c>
      <c r="B7131" s="9" t="str">
        <f>IFERROR(__xludf.DUMMYFUNCTION("""COMPUTED_VALUE"""),"RishavC23")</f>
        <v>RishavC23</v>
      </c>
      <c r="C7131" s="8">
        <f>IFERROR(__xludf.DUMMYFUNCTION("""COMPUTED_VALUE"""),0.0)</f>
        <v>0</v>
      </c>
      <c r="D7131" s="8"/>
    </row>
    <row r="7132">
      <c r="A7132" s="9" t="str">
        <f>IFERROR(__xludf.DUMMYFUNCTION("""COMPUTED_VALUE"""),"Batch 323")</f>
        <v>Batch 323</v>
      </c>
      <c r="B7132" s="9" t="str">
        <f>IFERROR(__xludf.DUMMYFUNCTION("""COMPUTED_VALUE"""),"NenavathC23")</f>
        <v>NenavathC23</v>
      </c>
      <c r="C7132" s="8">
        <f>IFERROR(__xludf.DUMMYFUNCTION("""COMPUTED_VALUE"""),0.0)</f>
        <v>0</v>
      </c>
      <c r="D7132" s="8"/>
    </row>
    <row r="7133">
      <c r="A7133" s="9" t="str">
        <f>IFERROR(__xludf.DUMMYFUNCTION("""COMPUTED_VALUE"""),"Batch 323")</f>
        <v>Batch 323</v>
      </c>
      <c r="B7133" s="9" t="str">
        <f>IFERROR(__xludf.DUMMYFUNCTION("""COMPUTED_VALUE"""),"LingarajC23")</f>
        <v>LingarajC23</v>
      </c>
      <c r="C7133" s="8">
        <f>IFERROR(__xludf.DUMMYFUNCTION("""COMPUTED_VALUE"""),0.0)</f>
        <v>0</v>
      </c>
      <c r="D7133" s="8"/>
    </row>
    <row r="7134">
      <c r="A7134" s="9" t="str">
        <f>IFERROR(__xludf.DUMMYFUNCTION("""COMPUTED_VALUE"""),"Batch 323")</f>
        <v>Batch 323</v>
      </c>
      <c r="B7134" s="9" t="str">
        <f>IFERROR(__xludf.DUMMYFUNCTION("""COMPUTED_VALUE"""),"AmulyaC23")</f>
        <v>AmulyaC23</v>
      </c>
      <c r="C7134" s="8">
        <f>IFERROR(__xludf.DUMMYFUNCTION("""COMPUTED_VALUE"""),1.0)</f>
        <v>1</v>
      </c>
      <c r="D7134" s="8"/>
    </row>
    <row r="7135">
      <c r="A7135" s="9" t="str">
        <f>IFERROR(__xludf.DUMMYFUNCTION("""COMPUTED_VALUE"""),"Batch 323")</f>
        <v>Batch 323</v>
      </c>
      <c r="B7135" s="9" t="str">
        <f>IFERROR(__xludf.DUMMYFUNCTION("""COMPUTED_VALUE"""),"LankalapalliC23")</f>
        <v>LankalapalliC23</v>
      </c>
      <c r="C7135" s="8">
        <f>IFERROR(__xludf.DUMMYFUNCTION("""COMPUTED_VALUE"""),10.0)</f>
        <v>10</v>
      </c>
      <c r="D7135" s="8">
        <f>IFERROR(__xludf.DUMMYFUNCTION("""COMPUTED_VALUE"""),16.0)</f>
        <v>16</v>
      </c>
    </row>
    <row r="7136">
      <c r="A7136" s="9" t="str">
        <f>IFERROR(__xludf.DUMMYFUNCTION("""COMPUTED_VALUE"""),"Batch 323")</f>
        <v>Batch 323</v>
      </c>
      <c r="B7136" s="9" t="str">
        <f>IFERROR(__xludf.DUMMYFUNCTION("""COMPUTED_VALUE"""),"PriyanshuC23")</f>
        <v>PriyanshuC23</v>
      </c>
      <c r="C7136" s="8">
        <f>IFERROR(__xludf.DUMMYFUNCTION("""COMPUTED_VALUE"""),5.0)</f>
        <v>5</v>
      </c>
      <c r="D7136" s="8"/>
    </row>
    <row r="7137">
      <c r="A7137" s="9"/>
      <c r="B7137" s="9"/>
      <c r="C7137" s="8">
        <f>IFERROR(__xludf.DUMMYFUNCTION("""COMPUTED_VALUE"""),0.0)</f>
        <v>0</v>
      </c>
      <c r="D7137" s="8"/>
    </row>
    <row r="7138">
      <c r="A7138" s="9" t="str">
        <f>IFERROR(__xludf.DUMMYFUNCTION("""COMPUTED_VALUE"""),"Batch 324")</f>
        <v>Batch 324</v>
      </c>
      <c r="B7138" s="9" t="str">
        <f>IFERROR(__xludf.DUMMYFUNCTION("""COMPUTED_VALUE"""),"SarveshC24")</f>
        <v>SarveshC24</v>
      </c>
      <c r="C7138" s="8">
        <f>IFERROR(__xludf.DUMMYFUNCTION("""COMPUTED_VALUE"""),0.0)</f>
        <v>0</v>
      </c>
      <c r="D7138" s="8"/>
    </row>
    <row r="7139">
      <c r="A7139" s="9" t="str">
        <f>IFERROR(__xludf.DUMMYFUNCTION("""COMPUTED_VALUE"""),"Batch 324")</f>
        <v>Batch 324</v>
      </c>
      <c r="B7139" s="9" t="str">
        <f>IFERROR(__xludf.DUMMYFUNCTION("""COMPUTED_VALUE"""),"AshitaC24")</f>
        <v>AshitaC24</v>
      </c>
      <c r="C7139" s="8">
        <f>IFERROR(__xludf.DUMMYFUNCTION("""COMPUTED_VALUE"""),0.0)</f>
        <v>0</v>
      </c>
      <c r="D7139" s="8"/>
    </row>
    <row r="7140">
      <c r="A7140" s="9" t="str">
        <f>IFERROR(__xludf.DUMMYFUNCTION("""COMPUTED_VALUE"""),"Batch 324")</f>
        <v>Batch 324</v>
      </c>
      <c r="B7140" s="9" t="str">
        <f>IFERROR(__xludf.DUMMYFUNCTION("""COMPUTED_VALUE"""),"NandiniC24")</f>
        <v>NandiniC24</v>
      </c>
      <c r="C7140" s="8">
        <f>IFERROR(__xludf.DUMMYFUNCTION("""COMPUTED_VALUE"""),0.0)</f>
        <v>0</v>
      </c>
      <c r="D7140" s="8"/>
    </row>
    <row r="7141">
      <c r="A7141" s="9" t="str">
        <f>IFERROR(__xludf.DUMMYFUNCTION("""COMPUTED_VALUE"""),"Batch 324")</f>
        <v>Batch 324</v>
      </c>
      <c r="B7141" s="9" t="str">
        <f>IFERROR(__xludf.DUMMYFUNCTION("""COMPUTED_VALUE"""),"VatsalC24")</f>
        <v>VatsalC24</v>
      </c>
      <c r="C7141" s="8">
        <f>IFERROR(__xludf.DUMMYFUNCTION("""COMPUTED_VALUE"""),0.0)</f>
        <v>0</v>
      </c>
      <c r="D7141" s="8"/>
    </row>
    <row r="7142">
      <c r="A7142" s="9" t="str">
        <f>IFERROR(__xludf.DUMMYFUNCTION("""COMPUTED_VALUE"""),"Batch 324")</f>
        <v>Batch 324</v>
      </c>
      <c r="B7142" s="9" t="str">
        <f>IFERROR(__xludf.DUMMYFUNCTION("""COMPUTED_VALUE"""),"ShivamC24")</f>
        <v>ShivamC24</v>
      </c>
      <c r="C7142" s="8">
        <f>IFERROR(__xludf.DUMMYFUNCTION("""COMPUTED_VALUE"""),0.0)</f>
        <v>0</v>
      </c>
      <c r="D7142" s="8"/>
    </row>
    <row r="7143">
      <c r="A7143" s="9" t="str">
        <f>IFERROR(__xludf.DUMMYFUNCTION("""COMPUTED_VALUE"""),"Batch 324")</f>
        <v>Batch 324</v>
      </c>
      <c r="B7143" s="9" t="str">
        <f>IFERROR(__xludf.DUMMYFUNCTION("""COMPUTED_VALUE"""),"NiharikaC24")</f>
        <v>NiharikaC24</v>
      </c>
      <c r="C7143" s="8">
        <f>IFERROR(__xludf.DUMMYFUNCTION("""COMPUTED_VALUE"""),5.0)</f>
        <v>5</v>
      </c>
      <c r="D7143" s="8">
        <f>IFERROR(__xludf.DUMMYFUNCTION("""COMPUTED_VALUE"""),2.0)</f>
        <v>2</v>
      </c>
    </row>
    <row r="7144">
      <c r="A7144" s="9" t="str">
        <f>IFERROR(__xludf.DUMMYFUNCTION("""COMPUTED_VALUE"""),"Batch 324")</f>
        <v>Batch 324</v>
      </c>
      <c r="B7144" s="9" t="str">
        <f>IFERROR(__xludf.DUMMYFUNCTION("""COMPUTED_VALUE"""),"khyatiC24")</f>
        <v>khyatiC24</v>
      </c>
      <c r="C7144" s="8">
        <f>IFERROR(__xludf.DUMMYFUNCTION("""COMPUTED_VALUE"""),0.0)</f>
        <v>0</v>
      </c>
      <c r="D7144" s="8"/>
    </row>
    <row r="7145">
      <c r="A7145" s="9" t="str">
        <f>IFERROR(__xludf.DUMMYFUNCTION("""COMPUTED_VALUE"""),"Batch 324")</f>
        <v>Batch 324</v>
      </c>
      <c r="B7145" s="9" t="str">
        <f>IFERROR(__xludf.DUMMYFUNCTION("""COMPUTED_VALUE"""),"UjjwalC24")</f>
        <v>UjjwalC24</v>
      </c>
      <c r="C7145" s="8">
        <f>IFERROR(__xludf.DUMMYFUNCTION("""COMPUTED_VALUE"""),4.0)</f>
        <v>4</v>
      </c>
      <c r="D7145" s="8"/>
    </row>
    <row r="7146">
      <c r="A7146" s="9" t="str">
        <f>IFERROR(__xludf.DUMMYFUNCTION("""COMPUTED_VALUE"""),"Batch 324")</f>
        <v>Batch 324</v>
      </c>
      <c r="B7146" s="9" t="str">
        <f>IFERROR(__xludf.DUMMYFUNCTION("""COMPUTED_VALUE"""),"AdityaC24")</f>
        <v>AdityaC24</v>
      </c>
      <c r="C7146" s="8">
        <f>IFERROR(__xludf.DUMMYFUNCTION("""COMPUTED_VALUE"""),0.0)</f>
        <v>0</v>
      </c>
      <c r="D7146" s="8"/>
    </row>
    <row r="7147">
      <c r="A7147" s="9" t="str">
        <f>IFERROR(__xludf.DUMMYFUNCTION("""COMPUTED_VALUE"""),"Batch 324")</f>
        <v>Batch 324</v>
      </c>
      <c r="B7147" s="9" t="str">
        <f>IFERROR(__xludf.DUMMYFUNCTION("""COMPUTED_VALUE"""),"YugamC24")</f>
        <v>YugamC24</v>
      </c>
      <c r="C7147" s="8">
        <f>IFERROR(__xludf.DUMMYFUNCTION("""COMPUTED_VALUE"""),0.0)</f>
        <v>0</v>
      </c>
      <c r="D7147" s="8"/>
    </row>
    <row r="7148">
      <c r="A7148" s="9" t="str">
        <f>IFERROR(__xludf.DUMMYFUNCTION("""COMPUTED_VALUE"""),"Batch 324")</f>
        <v>Batch 324</v>
      </c>
      <c r="B7148" s="9" t="str">
        <f>IFERROR(__xludf.DUMMYFUNCTION("""COMPUTED_VALUE"""),"ShashankC24")</f>
        <v>ShashankC24</v>
      </c>
      <c r="C7148" s="8">
        <f>IFERROR(__xludf.DUMMYFUNCTION("""COMPUTED_VALUE"""),0.0)</f>
        <v>0</v>
      </c>
      <c r="D7148" s="8"/>
    </row>
    <row r="7149">
      <c r="A7149" s="9" t="str">
        <f>IFERROR(__xludf.DUMMYFUNCTION("""COMPUTED_VALUE"""),"Batch 324")</f>
        <v>Batch 324</v>
      </c>
      <c r="B7149" s="9" t="str">
        <f>IFERROR(__xludf.DUMMYFUNCTION("""COMPUTED_VALUE"""),"AditiC24")</f>
        <v>AditiC24</v>
      </c>
      <c r="C7149" s="8">
        <f>IFERROR(__xludf.DUMMYFUNCTION("""COMPUTED_VALUE"""),0.0)</f>
        <v>0</v>
      </c>
      <c r="D7149" s="8"/>
    </row>
    <row r="7150">
      <c r="A7150" s="9" t="str">
        <f>IFERROR(__xludf.DUMMYFUNCTION("""COMPUTED_VALUE"""),"Batch 324")</f>
        <v>Batch 324</v>
      </c>
      <c r="B7150" s="9" t="str">
        <f>IFERROR(__xludf.DUMMYFUNCTION("""COMPUTED_VALUE"""),"BhaktiC24")</f>
        <v>BhaktiC24</v>
      </c>
      <c r="C7150" s="8">
        <f>IFERROR(__xludf.DUMMYFUNCTION("""COMPUTED_VALUE"""),0.0)</f>
        <v>0</v>
      </c>
      <c r="D7150" s="8"/>
    </row>
    <row r="7151">
      <c r="A7151" s="9" t="str">
        <f>IFERROR(__xludf.DUMMYFUNCTION("""COMPUTED_VALUE"""),"Batch 324")</f>
        <v>Batch 324</v>
      </c>
      <c r="B7151" s="9" t="str">
        <f>IFERROR(__xludf.DUMMYFUNCTION("""COMPUTED_VALUE"""),"SaumyaC24")</f>
        <v>SaumyaC24</v>
      </c>
      <c r="C7151" s="8">
        <f>IFERROR(__xludf.DUMMYFUNCTION("""COMPUTED_VALUE"""),0.0)</f>
        <v>0</v>
      </c>
      <c r="D7151" s="8"/>
    </row>
    <row r="7152">
      <c r="A7152" s="9" t="str">
        <f>IFERROR(__xludf.DUMMYFUNCTION("""COMPUTED_VALUE"""),"Batch 324")</f>
        <v>Batch 324</v>
      </c>
      <c r="B7152" s="9" t="str">
        <f>IFERROR(__xludf.DUMMYFUNCTION("""COMPUTED_VALUE"""),"RisheshC24")</f>
        <v>RisheshC24</v>
      </c>
      <c r="C7152" s="8">
        <f>IFERROR(__xludf.DUMMYFUNCTION("""COMPUTED_VALUE"""),0.0)</f>
        <v>0</v>
      </c>
      <c r="D7152" s="8"/>
    </row>
    <row r="7153">
      <c r="A7153" s="9" t="str">
        <f>IFERROR(__xludf.DUMMYFUNCTION("""COMPUTED_VALUE"""),"Batch 324")</f>
        <v>Batch 324</v>
      </c>
      <c r="B7153" s="9" t="str">
        <f>IFERROR(__xludf.DUMMYFUNCTION("""COMPUTED_VALUE"""),"ShubhankarC24")</f>
        <v>ShubhankarC24</v>
      </c>
      <c r="C7153" s="8">
        <f>IFERROR(__xludf.DUMMYFUNCTION("""COMPUTED_VALUE"""),0.0)</f>
        <v>0</v>
      </c>
      <c r="D7153" s="8"/>
    </row>
    <row r="7154">
      <c r="A7154" s="9" t="str">
        <f>IFERROR(__xludf.DUMMYFUNCTION("""COMPUTED_VALUE"""),"Batch 324")</f>
        <v>Batch 324</v>
      </c>
      <c r="B7154" s="9" t="str">
        <f>IFERROR(__xludf.DUMMYFUNCTION("""COMPUTED_VALUE"""),"PriyanshuC24")</f>
        <v>PriyanshuC24</v>
      </c>
      <c r="C7154" s="8">
        <f>IFERROR(__xludf.DUMMYFUNCTION("""COMPUTED_VALUE"""),0.0)</f>
        <v>0</v>
      </c>
      <c r="D7154" s="8"/>
    </row>
    <row r="7155">
      <c r="A7155" s="9" t="str">
        <f>IFERROR(__xludf.DUMMYFUNCTION("""COMPUTED_VALUE"""),"Batch 324")</f>
        <v>Batch 324</v>
      </c>
      <c r="B7155" s="9" t="str">
        <f>IFERROR(__xludf.DUMMYFUNCTION("""COMPUTED_VALUE"""),"VanshikaC24")</f>
        <v>VanshikaC24</v>
      </c>
      <c r="C7155" s="8">
        <f>IFERROR(__xludf.DUMMYFUNCTION("""COMPUTED_VALUE"""),0.0)</f>
        <v>0</v>
      </c>
      <c r="D7155" s="8"/>
    </row>
    <row r="7156">
      <c r="A7156" s="9" t="str">
        <f>IFERROR(__xludf.DUMMYFUNCTION("""COMPUTED_VALUE"""),"Batch 324")</f>
        <v>Batch 324</v>
      </c>
      <c r="B7156" s="9" t="str">
        <f>IFERROR(__xludf.DUMMYFUNCTION("""COMPUTED_VALUE"""),"LasyaC24")</f>
        <v>LasyaC24</v>
      </c>
      <c r="C7156" s="8">
        <f>IFERROR(__xludf.DUMMYFUNCTION("""COMPUTED_VALUE"""),0.0)</f>
        <v>0</v>
      </c>
      <c r="D7156" s="8"/>
    </row>
    <row r="7157">
      <c r="A7157" s="9" t="str">
        <f>IFERROR(__xludf.DUMMYFUNCTION("""COMPUTED_VALUE"""),"Batch 324")</f>
        <v>Batch 324</v>
      </c>
      <c r="B7157" s="9" t="str">
        <f>IFERROR(__xludf.DUMMYFUNCTION("""COMPUTED_VALUE"""),"SnehaC24")</f>
        <v>SnehaC24</v>
      </c>
      <c r="C7157" s="8">
        <f>IFERROR(__xludf.DUMMYFUNCTION("""COMPUTED_VALUE"""),0.0)</f>
        <v>0</v>
      </c>
      <c r="D7157" s="8"/>
    </row>
    <row r="7158">
      <c r="A7158" s="9"/>
      <c r="B7158" s="9"/>
      <c r="C7158" s="8">
        <f>IFERROR(__xludf.DUMMYFUNCTION("""COMPUTED_VALUE"""),0.0)</f>
        <v>0</v>
      </c>
      <c r="D7158" s="8"/>
    </row>
    <row r="7159">
      <c r="A7159" s="9" t="str">
        <f>IFERROR(__xludf.DUMMYFUNCTION("""COMPUTED_VALUE"""),"Batch 325")</f>
        <v>Batch 325</v>
      </c>
      <c r="B7159" s="9" t="str">
        <f>IFERROR(__xludf.DUMMYFUNCTION("""COMPUTED_VALUE"""),"PriyanshuC25")</f>
        <v>PriyanshuC25</v>
      </c>
      <c r="C7159" s="8">
        <f>IFERROR(__xludf.DUMMYFUNCTION("""COMPUTED_VALUE"""),0.0)</f>
        <v>0</v>
      </c>
      <c r="D7159" s="8"/>
    </row>
    <row r="7160">
      <c r="A7160" s="9" t="str">
        <f>IFERROR(__xludf.DUMMYFUNCTION("""COMPUTED_VALUE"""),"Batch 325")</f>
        <v>Batch 325</v>
      </c>
      <c r="B7160" s="9" t="str">
        <f>IFERROR(__xludf.DUMMYFUNCTION("""COMPUTED_VALUE"""),"SaniyaC25")</f>
        <v>SaniyaC25</v>
      </c>
      <c r="C7160" s="8">
        <f>IFERROR(__xludf.DUMMYFUNCTION("""COMPUTED_VALUE"""),0.0)</f>
        <v>0</v>
      </c>
      <c r="D7160" s="8"/>
    </row>
    <row r="7161">
      <c r="A7161" s="9" t="str">
        <f>IFERROR(__xludf.DUMMYFUNCTION("""COMPUTED_VALUE"""),"Batch 325")</f>
        <v>Batch 325</v>
      </c>
      <c r="B7161" s="9" t="str">
        <f>IFERROR(__xludf.DUMMYFUNCTION("""COMPUTED_VALUE"""),"SejalC25")</f>
        <v>SejalC25</v>
      </c>
      <c r="C7161" s="8">
        <f>IFERROR(__xludf.DUMMYFUNCTION("""COMPUTED_VALUE"""),0.0)</f>
        <v>0</v>
      </c>
      <c r="D7161" s="8"/>
    </row>
    <row r="7162">
      <c r="A7162" s="9" t="str">
        <f>IFERROR(__xludf.DUMMYFUNCTION("""COMPUTED_VALUE"""),"Batch 325")</f>
        <v>Batch 325</v>
      </c>
      <c r="B7162" s="9" t="str">
        <f>IFERROR(__xludf.DUMMYFUNCTION("""COMPUTED_VALUE"""),"RiyaC25")</f>
        <v>RiyaC25</v>
      </c>
      <c r="C7162" s="8">
        <f>IFERROR(__xludf.DUMMYFUNCTION("""COMPUTED_VALUE"""),0.0)</f>
        <v>0</v>
      </c>
      <c r="D7162" s="8"/>
    </row>
    <row r="7163">
      <c r="A7163" s="9" t="str">
        <f>IFERROR(__xludf.DUMMYFUNCTION("""COMPUTED_VALUE"""),"Batch 325")</f>
        <v>Batch 325</v>
      </c>
      <c r="B7163" s="9" t="str">
        <f>IFERROR(__xludf.DUMMYFUNCTION("""COMPUTED_VALUE"""),"KunshikaC25")</f>
        <v>KunshikaC25</v>
      </c>
      <c r="C7163" s="8">
        <f>IFERROR(__xludf.DUMMYFUNCTION("""COMPUTED_VALUE"""),0.0)</f>
        <v>0</v>
      </c>
      <c r="D7163" s="8"/>
    </row>
    <row r="7164">
      <c r="A7164" s="9" t="str">
        <f>IFERROR(__xludf.DUMMYFUNCTION("""COMPUTED_VALUE"""),"Batch 325")</f>
        <v>Batch 325</v>
      </c>
      <c r="B7164" s="9" t="str">
        <f>IFERROR(__xludf.DUMMYFUNCTION("""COMPUTED_VALUE"""),"RajeshC25")</f>
        <v>RajeshC25</v>
      </c>
      <c r="C7164" s="8">
        <f>IFERROR(__xludf.DUMMYFUNCTION("""COMPUTED_VALUE"""),0.0)</f>
        <v>0</v>
      </c>
      <c r="D7164" s="8"/>
    </row>
    <row r="7165">
      <c r="A7165" s="9" t="str">
        <f>IFERROR(__xludf.DUMMYFUNCTION("""COMPUTED_VALUE"""),"Batch 325")</f>
        <v>Batch 325</v>
      </c>
      <c r="B7165" s="9" t="str">
        <f>IFERROR(__xludf.DUMMYFUNCTION("""COMPUTED_VALUE"""),"NupurC25")</f>
        <v>NupurC25</v>
      </c>
      <c r="C7165" s="8">
        <f>IFERROR(__xludf.DUMMYFUNCTION("""COMPUTED_VALUE"""),0.0)</f>
        <v>0</v>
      </c>
      <c r="D7165" s="8"/>
    </row>
    <row r="7166">
      <c r="A7166" s="9" t="str">
        <f>IFERROR(__xludf.DUMMYFUNCTION("""COMPUTED_VALUE"""),"Batch 325")</f>
        <v>Batch 325</v>
      </c>
      <c r="B7166" s="9" t="str">
        <f>IFERROR(__xludf.DUMMYFUNCTION("""COMPUTED_VALUE"""),"ShubhamC25")</f>
        <v>ShubhamC25</v>
      </c>
      <c r="C7166" s="8">
        <f>IFERROR(__xludf.DUMMYFUNCTION("""COMPUTED_VALUE"""),1.0)</f>
        <v>1</v>
      </c>
      <c r="D7166" s="8"/>
    </row>
    <row r="7167">
      <c r="A7167" s="9" t="str">
        <f>IFERROR(__xludf.DUMMYFUNCTION("""COMPUTED_VALUE"""),"Batch 325")</f>
        <v>Batch 325</v>
      </c>
      <c r="B7167" s="9" t="str">
        <f>IFERROR(__xludf.DUMMYFUNCTION("""COMPUTED_VALUE"""),"AdityaC25")</f>
        <v>AdityaC25</v>
      </c>
      <c r="C7167" s="8">
        <f>IFERROR(__xludf.DUMMYFUNCTION("""COMPUTED_VALUE"""),12.0)</f>
        <v>12</v>
      </c>
      <c r="D7167" s="8"/>
    </row>
    <row r="7168">
      <c r="A7168" s="9" t="str">
        <f>IFERROR(__xludf.DUMMYFUNCTION("""COMPUTED_VALUE"""),"Batch 325")</f>
        <v>Batch 325</v>
      </c>
      <c r="B7168" s="9" t="str">
        <f>IFERROR(__xludf.DUMMYFUNCTION("""COMPUTED_VALUE"""),"DhaneshC25")</f>
        <v>DhaneshC25</v>
      </c>
      <c r="C7168" s="8">
        <f>IFERROR(__xludf.DUMMYFUNCTION("""COMPUTED_VALUE"""),0.0)</f>
        <v>0</v>
      </c>
      <c r="D7168" s="8"/>
    </row>
    <row r="7169">
      <c r="A7169" s="9" t="str">
        <f>IFERROR(__xludf.DUMMYFUNCTION("""COMPUTED_VALUE"""),"Batch 325")</f>
        <v>Batch 325</v>
      </c>
      <c r="B7169" s="9" t="str">
        <f>IFERROR(__xludf.DUMMYFUNCTION("""COMPUTED_VALUE"""),"RimzimC25")</f>
        <v>RimzimC25</v>
      </c>
      <c r="C7169" s="8">
        <f>IFERROR(__xludf.DUMMYFUNCTION("""COMPUTED_VALUE"""),0.0)</f>
        <v>0</v>
      </c>
      <c r="D7169" s="8"/>
    </row>
    <row r="7170">
      <c r="A7170" s="9" t="str">
        <f>IFERROR(__xludf.DUMMYFUNCTION("""COMPUTED_VALUE"""),"Batch 325")</f>
        <v>Batch 325</v>
      </c>
      <c r="B7170" s="9" t="str">
        <f>IFERROR(__xludf.DUMMYFUNCTION("""COMPUTED_VALUE"""),"DeekshaC25")</f>
        <v>DeekshaC25</v>
      </c>
      <c r="C7170" s="8">
        <f>IFERROR(__xludf.DUMMYFUNCTION("""COMPUTED_VALUE"""),0.0)</f>
        <v>0</v>
      </c>
      <c r="D7170" s="8"/>
    </row>
    <row r="7171">
      <c r="A7171" s="9" t="str">
        <f>IFERROR(__xludf.DUMMYFUNCTION("""COMPUTED_VALUE"""),"Batch 325")</f>
        <v>Batch 325</v>
      </c>
      <c r="B7171" s="9" t="str">
        <f>IFERROR(__xludf.DUMMYFUNCTION("""COMPUTED_VALUE"""),"MuskanC25")</f>
        <v>MuskanC25</v>
      </c>
      <c r="C7171" s="8">
        <f>IFERROR(__xludf.DUMMYFUNCTION("""COMPUTED_VALUE"""),0.0)</f>
        <v>0</v>
      </c>
      <c r="D7171" s="8"/>
    </row>
    <row r="7172">
      <c r="A7172" s="9" t="str">
        <f>IFERROR(__xludf.DUMMYFUNCTION("""COMPUTED_VALUE"""),"Batch 325")</f>
        <v>Batch 325</v>
      </c>
      <c r="B7172" s="9" t="str">
        <f>IFERROR(__xludf.DUMMYFUNCTION("""COMPUTED_VALUE"""),"ShashankC25")</f>
        <v>ShashankC25</v>
      </c>
      <c r="C7172" s="8">
        <f>IFERROR(__xludf.DUMMYFUNCTION("""COMPUTED_VALUE"""),0.0)</f>
        <v>0</v>
      </c>
      <c r="D7172" s="8"/>
    </row>
    <row r="7173">
      <c r="A7173" s="9" t="str">
        <f>IFERROR(__xludf.DUMMYFUNCTION("""COMPUTED_VALUE"""),"Batch 325")</f>
        <v>Batch 325</v>
      </c>
      <c r="B7173" s="9" t="str">
        <f>IFERROR(__xludf.DUMMYFUNCTION("""COMPUTED_VALUE"""),"DhruvC25")</f>
        <v>DhruvC25</v>
      </c>
      <c r="C7173" s="8">
        <f>IFERROR(__xludf.DUMMYFUNCTION("""COMPUTED_VALUE"""),0.0)</f>
        <v>0</v>
      </c>
      <c r="D7173" s="8"/>
    </row>
    <row r="7174">
      <c r="A7174" s="9" t="str">
        <f>IFERROR(__xludf.DUMMYFUNCTION("""COMPUTED_VALUE"""),"Batch 325")</f>
        <v>Batch 325</v>
      </c>
      <c r="B7174" s="9" t="str">
        <f>IFERROR(__xludf.DUMMYFUNCTION("""COMPUTED_VALUE"""),"VanshikaC25")</f>
        <v>VanshikaC25</v>
      </c>
      <c r="C7174" s="8">
        <f>IFERROR(__xludf.DUMMYFUNCTION("""COMPUTED_VALUE"""),0.0)</f>
        <v>0</v>
      </c>
      <c r="D7174" s="8"/>
    </row>
    <row r="7175">
      <c r="A7175" s="9" t="str">
        <f>IFERROR(__xludf.DUMMYFUNCTION("""COMPUTED_VALUE"""),"Batch 325")</f>
        <v>Batch 325</v>
      </c>
      <c r="B7175" s="9" t="str">
        <f>IFERROR(__xludf.DUMMYFUNCTION("""COMPUTED_VALUE"""),"BhumiC25")</f>
        <v>BhumiC25</v>
      </c>
      <c r="C7175" s="8">
        <f>IFERROR(__xludf.DUMMYFUNCTION("""COMPUTED_VALUE"""),0.0)</f>
        <v>0</v>
      </c>
      <c r="D7175" s="8"/>
    </row>
    <row r="7176">
      <c r="A7176" s="9" t="str">
        <f>IFERROR(__xludf.DUMMYFUNCTION("""COMPUTED_VALUE"""),"Batch 325")</f>
        <v>Batch 325</v>
      </c>
      <c r="B7176" s="9" t="str">
        <f>IFERROR(__xludf.DUMMYFUNCTION("""COMPUTED_VALUE"""),"ChaitaliC25")</f>
        <v>ChaitaliC25</v>
      </c>
      <c r="C7176" s="8">
        <f>IFERROR(__xludf.DUMMYFUNCTION("""COMPUTED_VALUE"""),0.0)</f>
        <v>0</v>
      </c>
      <c r="D7176" s="8"/>
    </row>
    <row r="7177">
      <c r="A7177" s="9" t="str">
        <f>IFERROR(__xludf.DUMMYFUNCTION("""COMPUTED_VALUE"""),"Batch 325")</f>
        <v>Batch 325</v>
      </c>
      <c r="B7177" s="9" t="str">
        <f>IFERROR(__xludf.DUMMYFUNCTION("""COMPUTED_VALUE"""),"KonapalaC25")</f>
        <v>KonapalaC25</v>
      </c>
      <c r="C7177" s="8">
        <f>IFERROR(__xludf.DUMMYFUNCTION("""COMPUTED_VALUE"""),0.0)</f>
        <v>0</v>
      </c>
      <c r="D7177" s="8"/>
    </row>
    <row r="7178">
      <c r="A7178" s="9" t="str">
        <f>IFERROR(__xludf.DUMMYFUNCTION("""COMPUTED_VALUE"""),"Batch 325")</f>
        <v>Batch 325</v>
      </c>
      <c r="B7178" s="9" t="str">
        <f>IFERROR(__xludf.DUMMYFUNCTION("""COMPUTED_VALUE"""),"MohitC25")</f>
        <v>MohitC25</v>
      </c>
      <c r="C7178" s="8">
        <f>IFERROR(__xludf.DUMMYFUNCTION("""COMPUTED_VALUE"""),0.0)</f>
        <v>0</v>
      </c>
      <c r="D7178" s="8"/>
    </row>
    <row r="7179">
      <c r="A7179" s="9" t="str">
        <f>IFERROR(__xludf.DUMMYFUNCTION("""COMPUTED_VALUE"""),"Batch 325")</f>
        <v>Batch 325</v>
      </c>
      <c r="B7179" s="9" t="str">
        <f>IFERROR(__xludf.DUMMYFUNCTION("""COMPUTED_VALUE"""),"PratikanshC25")</f>
        <v>PratikanshC25</v>
      </c>
      <c r="C7179" s="8">
        <f>IFERROR(__xludf.DUMMYFUNCTION("""COMPUTED_VALUE"""),0.0)</f>
        <v>0</v>
      </c>
      <c r="D7179" s="8"/>
    </row>
    <row r="7180">
      <c r="A7180" s="9" t="str">
        <f>IFERROR(__xludf.DUMMYFUNCTION("""COMPUTED_VALUE"""),"Batch 325")</f>
        <v>Batch 325</v>
      </c>
      <c r="B7180" s="9" t="str">
        <f>IFERROR(__xludf.DUMMYFUNCTION("""COMPUTED_VALUE"""),"DurgaC25")</f>
        <v>DurgaC25</v>
      </c>
      <c r="C7180" s="8">
        <f>IFERROR(__xludf.DUMMYFUNCTION("""COMPUTED_VALUE"""),4.0)</f>
        <v>4</v>
      </c>
      <c r="D7180" s="8"/>
    </row>
    <row r="7181">
      <c r="A7181" s="9" t="str">
        <f>IFERROR(__xludf.DUMMYFUNCTION("""COMPUTED_VALUE"""),"Batch 325")</f>
        <v>Batch 325</v>
      </c>
      <c r="B7181" s="9" t="str">
        <f>IFERROR(__xludf.DUMMYFUNCTION("""COMPUTED_VALUE"""),"AnujaC25")</f>
        <v>AnujaC25</v>
      </c>
      <c r="C7181" s="8">
        <f>IFERROR(__xludf.DUMMYFUNCTION("""COMPUTED_VALUE"""),0.0)</f>
        <v>0</v>
      </c>
      <c r="D7181" s="8"/>
    </row>
    <row r="7182">
      <c r="A7182" s="9" t="str">
        <f>IFERROR(__xludf.DUMMYFUNCTION("""COMPUTED_VALUE"""),"Batch 325")</f>
        <v>Batch 325</v>
      </c>
      <c r="B7182" s="9" t="str">
        <f>IFERROR(__xludf.DUMMYFUNCTION("""COMPUTED_VALUE"""),"AbhijeetC25")</f>
        <v>AbhijeetC25</v>
      </c>
      <c r="C7182" s="8">
        <f>IFERROR(__xludf.DUMMYFUNCTION("""COMPUTED_VALUE"""),0.0)</f>
        <v>0</v>
      </c>
      <c r="D7182" s="8"/>
    </row>
    <row r="7183">
      <c r="A7183" s="9" t="str">
        <f>IFERROR(__xludf.DUMMYFUNCTION("""COMPUTED_VALUE"""),"Batch 325")</f>
        <v>Batch 325</v>
      </c>
      <c r="B7183" s="9" t="str">
        <f>IFERROR(__xludf.DUMMYFUNCTION("""COMPUTED_VALUE"""),"AkashC25")</f>
        <v>AkashC25</v>
      </c>
      <c r="C7183" s="8">
        <f>IFERROR(__xludf.DUMMYFUNCTION("""COMPUTED_VALUE"""),7.0)</f>
        <v>7</v>
      </c>
      <c r="D7183" s="8"/>
    </row>
    <row r="7184">
      <c r="A7184" s="9" t="str">
        <f>IFERROR(__xludf.DUMMYFUNCTION("""COMPUTED_VALUE"""),"Batch 325")</f>
        <v>Batch 325</v>
      </c>
      <c r="B7184" s="9" t="str">
        <f>IFERROR(__xludf.DUMMYFUNCTION("""COMPUTED_VALUE"""),"BhumiTC25")</f>
        <v>BhumiTC25</v>
      </c>
      <c r="C7184" s="8">
        <f>IFERROR(__xludf.DUMMYFUNCTION("""COMPUTED_VALUE"""),0.0)</f>
        <v>0</v>
      </c>
      <c r="D7184" s="8"/>
    </row>
    <row r="7185">
      <c r="A7185" s="9" t="str">
        <f>IFERROR(__xludf.DUMMYFUNCTION("""COMPUTED_VALUE"""),"Batch 325")</f>
        <v>Batch 325</v>
      </c>
      <c r="B7185" s="9" t="str">
        <f>IFERROR(__xludf.DUMMYFUNCTION("""COMPUTED_VALUE"""),"MoravineniC25")</f>
        <v>MoravineniC25</v>
      </c>
      <c r="C7185" s="8">
        <f>IFERROR(__xludf.DUMMYFUNCTION("""COMPUTED_VALUE"""),0.0)</f>
        <v>0</v>
      </c>
      <c r="D7185" s="8"/>
    </row>
    <row r="7186">
      <c r="A7186" s="9" t="str">
        <f>IFERROR(__xludf.DUMMYFUNCTION("""COMPUTED_VALUE"""),"Batch 325")</f>
        <v>Batch 325</v>
      </c>
      <c r="B7186" s="9" t="str">
        <f>IFERROR(__xludf.DUMMYFUNCTION("""COMPUTED_VALUE"""),"ShoryaC25")</f>
        <v>ShoryaC25</v>
      </c>
      <c r="C7186" s="8">
        <f>IFERROR(__xludf.DUMMYFUNCTION("""COMPUTED_VALUE"""),0.0)</f>
        <v>0</v>
      </c>
      <c r="D7186" s="8"/>
    </row>
    <row r="7187">
      <c r="A7187" s="9" t="str">
        <f>IFERROR(__xludf.DUMMYFUNCTION("""COMPUTED_VALUE"""),"Batch 325")</f>
        <v>Batch 325</v>
      </c>
      <c r="B7187" s="9" t="str">
        <f>IFERROR(__xludf.DUMMYFUNCTION("""COMPUTED_VALUE"""),"KartikC25")</f>
        <v>KartikC25</v>
      </c>
      <c r="C7187" s="8">
        <f>IFERROR(__xludf.DUMMYFUNCTION("""COMPUTED_VALUE"""),0.0)</f>
        <v>0</v>
      </c>
      <c r="D7187" s="8"/>
    </row>
    <row r="7188">
      <c r="A7188" s="9" t="str">
        <f>IFERROR(__xludf.DUMMYFUNCTION("""COMPUTED_VALUE"""),"Batch 325")</f>
        <v>Batch 325</v>
      </c>
      <c r="B7188" s="9" t="str">
        <f>IFERROR(__xludf.DUMMYFUNCTION("""COMPUTED_VALUE"""),"AbhiC25")</f>
        <v>AbhiC25</v>
      </c>
      <c r="C7188" s="8">
        <f>IFERROR(__xludf.DUMMYFUNCTION("""COMPUTED_VALUE"""),0.0)</f>
        <v>0</v>
      </c>
      <c r="D7188" s="8"/>
    </row>
    <row r="7189">
      <c r="A7189" s="9" t="str">
        <f>IFERROR(__xludf.DUMMYFUNCTION("""COMPUTED_VALUE"""),"Batch 325")</f>
        <v>Batch 325</v>
      </c>
      <c r="B7189" s="9" t="str">
        <f>IFERROR(__xludf.DUMMYFUNCTION("""COMPUTED_VALUE"""),"BapunukaC25")</f>
        <v>BapunukaC25</v>
      </c>
      <c r="C7189" s="8">
        <f>IFERROR(__xludf.DUMMYFUNCTION("""COMPUTED_VALUE"""),0.0)</f>
        <v>0</v>
      </c>
      <c r="D7189" s="8"/>
    </row>
    <row r="7190">
      <c r="A7190" s="9" t="str">
        <f>IFERROR(__xludf.DUMMYFUNCTION("""COMPUTED_VALUE"""),"Batch 325")</f>
        <v>Batch 325</v>
      </c>
      <c r="B7190" s="9" t="str">
        <f>IFERROR(__xludf.DUMMYFUNCTION("""COMPUTED_VALUE"""),"VikrantC25")</f>
        <v>VikrantC25</v>
      </c>
      <c r="C7190" s="8">
        <f>IFERROR(__xludf.DUMMYFUNCTION("""COMPUTED_VALUE"""),0.0)</f>
        <v>0</v>
      </c>
      <c r="D7190" s="8"/>
    </row>
    <row r="7191">
      <c r="A7191" s="9" t="str">
        <f>IFERROR(__xludf.DUMMYFUNCTION("""COMPUTED_VALUE"""),"Batch 325")</f>
        <v>Batch 325</v>
      </c>
      <c r="B7191" s="9" t="str">
        <f>IFERROR(__xludf.DUMMYFUNCTION("""COMPUTED_VALUE"""),"GandheC25")</f>
        <v>GandheC25</v>
      </c>
      <c r="C7191" s="8">
        <f>IFERROR(__xludf.DUMMYFUNCTION("""COMPUTED_VALUE"""),1.0)</f>
        <v>1</v>
      </c>
      <c r="D7191" s="8"/>
    </row>
    <row r="7192">
      <c r="A7192" s="9" t="str">
        <f>IFERROR(__xludf.DUMMYFUNCTION("""COMPUTED_VALUE"""),"Batch 325")</f>
        <v>Batch 325</v>
      </c>
      <c r="B7192" s="9" t="str">
        <f>IFERROR(__xludf.DUMMYFUNCTION("""COMPUTED_VALUE"""),"APURVC25")</f>
        <v>APURVC25</v>
      </c>
      <c r="C7192" s="8">
        <f>IFERROR(__xludf.DUMMYFUNCTION("""COMPUTED_VALUE"""),44.0)</f>
        <v>44</v>
      </c>
      <c r="D7192" s="8">
        <f>IFERROR(__xludf.DUMMYFUNCTION("""COMPUTED_VALUE"""),13.0)</f>
        <v>13</v>
      </c>
    </row>
    <row r="7193">
      <c r="A7193" s="9" t="str">
        <f>IFERROR(__xludf.DUMMYFUNCTION("""COMPUTED_VALUE"""),"Batch 325")</f>
        <v>Batch 325</v>
      </c>
      <c r="B7193" s="9" t="str">
        <f>IFERROR(__xludf.DUMMYFUNCTION("""COMPUTED_VALUE"""),"AmanC25")</f>
        <v>AmanC25</v>
      </c>
      <c r="C7193" s="8">
        <f>IFERROR(__xludf.DUMMYFUNCTION("""COMPUTED_VALUE"""),7.0)</f>
        <v>7</v>
      </c>
      <c r="D7193" s="8"/>
    </row>
    <row r="7194">
      <c r="A7194" s="9" t="str">
        <f>IFERROR(__xludf.DUMMYFUNCTION("""COMPUTED_VALUE"""),"Batch 325")</f>
        <v>Batch 325</v>
      </c>
      <c r="B7194" s="9" t="str">
        <f>IFERROR(__xludf.DUMMYFUNCTION("""COMPUTED_VALUE"""),"SudharsanC25")</f>
        <v>SudharsanC25</v>
      </c>
      <c r="C7194" s="8">
        <f>IFERROR(__xludf.DUMMYFUNCTION("""COMPUTED_VALUE"""),0.0)</f>
        <v>0</v>
      </c>
      <c r="D7194" s="8"/>
    </row>
    <row r="7195">
      <c r="A7195" s="9" t="str">
        <f>IFERROR(__xludf.DUMMYFUNCTION("""COMPUTED_VALUE"""),"Batch 325")</f>
        <v>Batch 325</v>
      </c>
      <c r="B7195" s="9" t="str">
        <f>IFERROR(__xludf.DUMMYFUNCTION("""COMPUTED_VALUE"""),"ArunimaC25")</f>
        <v>ArunimaC25</v>
      </c>
      <c r="C7195" s="8">
        <f>IFERROR(__xludf.DUMMYFUNCTION("""COMPUTED_VALUE"""),0.0)</f>
        <v>0</v>
      </c>
      <c r="D7195" s="8"/>
    </row>
    <row r="7196">
      <c r="A7196" s="9" t="str">
        <f>IFERROR(__xludf.DUMMYFUNCTION("""COMPUTED_VALUE"""),"Batch 325")</f>
        <v>Batch 325</v>
      </c>
      <c r="B7196" s="9" t="str">
        <f>IFERROR(__xludf.DUMMYFUNCTION("""COMPUTED_VALUE"""),"AkanshaC25")</f>
        <v>AkanshaC25</v>
      </c>
      <c r="C7196" s="8">
        <f>IFERROR(__xludf.DUMMYFUNCTION("""COMPUTED_VALUE"""),1.0)</f>
        <v>1</v>
      </c>
      <c r="D7196" s="8"/>
    </row>
    <row r="7197">
      <c r="A7197" s="9" t="str">
        <f>IFERROR(__xludf.DUMMYFUNCTION("""COMPUTED_VALUE"""),"Batch 325")</f>
        <v>Batch 325</v>
      </c>
      <c r="B7197" s="9" t="str">
        <f>IFERROR(__xludf.DUMMYFUNCTION("""COMPUTED_VALUE"""),"DishaC25")</f>
        <v>DishaC25</v>
      </c>
      <c r="C7197" s="8">
        <f>IFERROR(__xludf.DUMMYFUNCTION("""COMPUTED_VALUE"""),2.0)</f>
        <v>2</v>
      </c>
      <c r="D7197" s="8"/>
    </row>
    <row r="7198">
      <c r="A7198" s="9" t="str">
        <f>IFERROR(__xludf.DUMMYFUNCTION("""COMPUTED_VALUE"""),"Batch 325")</f>
        <v>Batch 325</v>
      </c>
      <c r="B7198" s="9" t="str">
        <f>IFERROR(__xludf.DUMMYFUNCTION("""COMPUTED_VALUE"""),"AdityaPC25")</f>
        <v>AdityaPC25</v>
      </c>
      <c r="C7198" s="8">
        <f>IFERROR(__xludf.DUMMYFUNCTION("""COMPUTED_VALUE"""),21.0)</f>
        <v>21</v>
      </c>
      <c r="D7198" s="8">
        <f>IFERROR(__xludf.DUMMYFUNCTION("""COMPUTED_VALUE"""),10.0)</f>
        <v>10</v>
      </c>
    </row>
    <row r="7199">
      <c r="A7199" s="9" t="str">
        <f>IFERROR(__xludf.DUMMYFUNCTION("""COMPUTED_VALUE"""),"Batch 325")</f>
        <v>Batch 325</v>
      </c>
      <c r="B7199" s="9" t="str">
        <f>IFERROR(__xludf.DUMMYFUNCTION("""COMPUTED_VALUE"""),"T.C25")</f>
        <v>T.C25</v>
      </c>
      <c r="C7199" s="8">
        <f>IFERROR(__xludf.DUMMYFUNCTION("""COMPUTED_VALUE"""),0.0)</f>
        <v>0</v>
      </c>
      <c r="D7199" s="8"/>
    </row>
    <row r="7200">
      <c r="A7200" s="9" t="str">
        <f>IFERROR(__xludf.DUMMYFUNCTION("""COMPUTED_VALUE"""),"Batch 325")</f>
        <v>Batch 325</v>
      </c>
      <c r="B7200" s="9" t="str">
        <f>IFERROR(__xludf.DUMMYFUNCTION("""COMPUTED_VALUE"""),"AkashSC25")</f>
        <v>AkashSC25</v>
      </c>
      <c r="C7200" s="8">
        <f>IFERROR(__xludf.DUMMYFUNCTION("""COMPUTED_VALUE"""),0.0)</f>
        <v>0</v>
      </c>
      <c r="D7200" s="8"/>
    </row>
    <row r="7201">
      <c r="A7201" s="9" t="str">
        <f>IFERROR(__xludf.DUMMYFUNCTION("""COMPUTED_VALUE"""),"Batch 325")</f>
        <v>Batch 325</v>
      </c>
      <c r="B7201" s="9" t="str">
        <f>IFERROR(__xludf.DUMMYFUNCTION("""COMPUTED_VALUE"""),"himanshiC25")</f>
        <v>himanshiC25</v>
      </c>
      <c r="C7201" s="8">
        <f>IFERROR(__xludf.DUMMYFUNCTION("""COMPUTED_VALUE"""),0.0)</f>
        <v>0</v>
      </c>
      <c r="D7201" s="8"/>
    </row>
    <row r="7202">
      <c r="A7202" s="9" t="str">
        <f>IFERROR(__xludf.DUMMYFUNCTION("""COMPUTED_VALUE"""),"Batch 325")</f>
        <v>Batch 325</v>
      </c>
      <c r="B7202" s="9" t="str">
        <f>IFERROR(__xludf.DUMMYFUNCTION("""COMPUTED_VALUE"""),"K.HansiniC25")</f>
        <v>K.HansiniC25</v>
      </c>
      <c r="C7202" s="8">
        <f>IFERROR(__xludf.DUMMYFUNCTION("""COMPUTED_VALUE"""),0.0)</f>
        <v>0</v>
      </c>
      <c r="D7202" s="8"/>
    </row>
    <row r="7203">
      <c r="A7203" s="9" t="str">
        <f>IFERROR(__xludf.DUMMYFUNCTION("""COMPUTED_VALUE"""),"Batch 325")</f>
        <v>Batch 325</v>
      </c>
      <c r="B7203" s="9" t="str">
        <f>IFERROR(__xludf.DUMMYFUNCTION("""COMPUTED_VALUE"""),"M.PadmajaC25")</f>
        <v>M.PadmajaC25</v>
      </c>
      <c r="C7203" s="8">
        <f>IFERROR(__xludf.DUMMYFUNCTION("""COMPUTED_VALUE"""),0.0)</f>
        <v>0</v>
      </c>
      <c r="D7203" s="8"/>
    </row>
    <row r="7204">
      <c r="A7204" s="9" t="str">
        <f>IFERROR(__xludf.DUMMYFUNCTION("""COMPUTED_VALUE"""),"Batch 325")</f>
        <v>Batch 325</v>
      </c>
      <c r="B7204" s="9" t="str">
        <f>IFERROR(__xludf.DUMMYFUNCTION("""COMPUTED_VALUE"""),"GhanchiC25")</f>
        <v>GhanchiC25</v>
      </c>
      <c r="C7204" s="8">
        <f>IFERROR(__xludf.DUMMYFUNCTION("""COMPUTED_VALUE"""),6.0)</f>
        <v>6</v>
      </c>
      <c r="D7204" s="8">
        <f>IFERROR(__xludf.DUMMYFUNCTION("""COMPUTED_VALUE"""),1.0)</f>
        <v>1</v>
      </c>
    </row>
    <row r="7205">
      <c r="A7205" s="9"/>
      <c r="B7205" s="9"/>
      <c r="C7205" s="8">
        <f>IFERROR(__xludf.DUMMYFUNCTION("""COMPUTED_VALUE"""),0.0)</f>
        <v>0</v>
      </c>
      <c r="D7205" s="8"/>
    </row>
    <row r="7206">
      <c r="A7206" s="9" t="str">
        <f>IFERROR(__xludf.DUMMYFUNCTION("""COMPUTED_VALUE"""),"Batch 326")</f>
        <v>Batch 326</v>
      </c>
      <c r="B7206" s="9" t="str">
        <f>IFERROR(__xludf.DUMMYFUNCTION("""COMPUTED_VALUE"""),"himanshiC326")</f>
        <v>himanshiC326</v>
      </c>
      <c r="C7206" s="8">
        <f>IFERROR(__xludf.DUMMYFUNCTION("""COMPUTED_VALUE"""),1.0)</f>
        <v>1</v>
      </c>
      <c r="D7206" s="8"/>
    </row>
    <row r="7207">
      <c r="A7207" s="9" t="str">
        <f>IFERROR(__xludf.DUMMYFUNCTION("""COMPUTED_VALUE"""),"Batch 326")</f>
        <v>Batch 326</v>
      </c>
      <c r="B7207" s="9" t="str">
        <f>IFERROR(__xludf.DUMMYFUNCTION("""COMPUTED_VALUE"""),"PalakC326")</f>
        <v>PalakC326</v>
      </c>
      <c r="C7207" s="8">
        <f>IFERROR(__xludf.DUMMYFUNCTION("""COMPUTED_VALUE"""),0.0)</f>
        <v>0</v>
      </c>
      <c r="D7207" s="8"/>
    </row>
    <row r="7208">
      <c r="A7208" s="9" t="str">
        <f>IFERROR(__xludf.DUMMYFUNCTION("""COMPUTED_VALUE"""),"Batch 326")</f>
        <v>Batch 326</v>
      </c>
      <c r="B7208" s="9" t="str">
        <f>IFERROR(__xludf.DUMMYFUNCTION("""COMPUTED_VALUE"""),"RisheshC326")</f>
        <v>RisheshC326</v>
      </c>
      <c r="C7208" s="8">
        <f>IFERROR(__xludf.DUMMYFUNCTION("""COMPUTED_VALUE"""),0.0)</f>
        <v>0</v>
      </c>
      <c r="D7208" s="8"/>
    </row>
    <row r="7209">
      <c r="A7209" s="9" t="str">
        <f>IFERROR(__xludf.DUMMYFUNCTION("""COMPUTED_VALUE"""),"Batch 326")</f>
        <v>Batch 326</v>
      </c>
      <c r="B7209" s="9" t="str">
        <f>IFERROR(__xludf.DUMMYFUNCTION("""COMPUTED_VALUE"""),"KatyayiniC326")</f>
        <v>KatyayiniC326</v>
      </c>
      <c r="C7209" s="8">
        <f>IFERROR(__xludf.DUMMYFUNCTION("""COMPUTED_VALUE"""),0.0)</f>
        <v>0</v>
      </c>
      <c r="D7209" s="8"/>
    </row>
    <row r="7210">
      <c r="A7210" s="9" t="str">
        <f>IFERROR(__xludf.DUMMYFUNCTION("""COMPUTED_VALUE"""),"Batch 326")</f>
        <v>Batch 326</v>
      </c>
      <c r="B7210" s="9" t="str">
        <f>IFERROR(__xludf.DUMMYFUNCTION("""COMPUTED_VALUE"""),"LavanyaC326")</f>
        <v>LavanyaC326</v>
      </c>
      <c r="C7210" s="8">
        <f>IFERROR(__xludf.DUMMYFUNCTION("""COMPUTED_VALUE"""),0.0)</f>
        <v>0</v>
      </c>
      <c r="D7210" s="8"/>
    </row>
    <row r="7211">
      <c r="A7211" s="9" t="str">
        <f>IFERROR(__xludf.DUMMYFUNCTION("""COMPUTED_VALUE"""),"Batch 326")</f>
        <v>Batch 326</v>
      </c>
      <c r="B7211" s="9" t="str">
        <f>IFERROR(__xludf.DUMMYFUNCTION("""COMPUTED_VALUE"""),"KhyatiC326")</f>
        <v>KhyatiC326</v>
      </c>
      <c r="C7211" s="8">
        <f>IFERROR(__xludf.DUMMYFUNCTION("""COMPUTED_VALUE"""),0.0)</f>
        <v>0</v>
      </c>
      <c r="D7211" s="8"/>
    </row>
    <row r="7212">
      <c r="A7212" s="9" t="str">
        <f>IFERROR(__xludf.DUMMYFUNCTION("""COMPUTED_VALUE"""),"Batch 326")</f>
        <v>Batch 326</v>
      </c>
      <c r="B7212" s="9" t="str">
        <f>IFERROR(__xludf.DUMMYFUNCTION("""COMPUTED_VALUE"""),"TrishaC326")</f>
        <v>TrishaC326</v>
      </c>
      <c r="C7212" s="8">
        <f>IFERROR(__xludf.DUMMYFUNCTION("""COMPUTED_VALUE"""),0.0)</f>
        <v>0</v>
      </c>
      <c r="D7212" s="8"/>
    </row>
    <row r="7213">
      <c r="A7213" s="9" t="str">
        <f>IFERROR(__xludf.DUMMYFUNCTION("""COMPUTED_VALUE"""),"Batch 326")</f>
        <v>Batch 326</v>
      </c>
      <c r="B7213" s="9" t="str">
        <f>IFERROR(__xludf.DUMMYFUNCTION("""COMPUTED_VALUE"""),"ShivangiC326")</f>
        <v>ShivangiC326</v>
      </c>
      <c r="C7213" s="8">
        <f>IFERROR(__xludf.DUMMYFUNCTION("""COMPUTED_VALUE"""),0.0)</f>
        <v>0</v>
      </c>
      <c r="D7213" s="8"/>
    </row>
    <row r="7214">
      <c r="A7214" s="9" t="str">
        <f>IFERROR(__xludf.DUMMYFUNCTION("""COMPUTED_VALUE"""),"Batch 326")</f>
        <v>Batch 326</v>
      </c>
      <c r="B7214" s="9" t="str">
        <f>IFERROR(__xludf.DUMMYFUNCTION("""COMPUTED_VALUE"""),"KhushiC326")</f>
        <v>KhushiC326</v>
      </c>
      <c r="C7214" s="8">
        <f>IFERROR(__xludf.DUMMYFUNCTION("""COMPUTED_VALUE"""),0.0)</f>
        <v>0</v>
      </c>
      <c r="D7214" s="8"/>
    </row>
    <row r="7215">
      <c r="A7215" s="9" t="str">
        <f>IFERROR(__xludf.DUMMYFUNCTION("""COMPUTED_VALUE"""),"Batch 326")</f>
        <v>Batch 326</v>
      </c>
      <c r="B7215" s="9" t="str">
        <f>IFERROR(__xludf.DUMMYFUNCTION("""COMPUTED_VALUE"""),"PriyaC326")</f>
        <v>PriyaC326</v>
      </c>
      <c r="C7215" s="8">
        <f>IFERROR(__xludf.DUMMYFUNCTION("""COMPUTED_VALUE"""),0.0)</f>
        <v>0</v>
      </c>
      <c r="D7215" s="8"/>
    </row>
    <row r="7216">
      <c r="A7216" s="9" t="str">
        <f>IFERROR(__xludf.DUMMYFUNCTION("""COMPUTED_VALUE"""),"Batch 326")</f>
        <v>Batch 326</v>
      </c>
      <c r="B7216" s="9" t="str">
        <f>IFERROR(__xludf.DUMMYFUNCTION("""COMPUTED_VALUE"""),"shishirC326")</f>
        <v>shishirC326</v>
      </c>
      <c r="C7216" s="8">
        <f>IFERROR(__xludf.DUMMYFUNCTION("""COMPUTED_VALUE"""),0.0)</f>
        <v>0</v>
      </c>
      <c r="D7216" s="8"/>
    </row>
    <row r="7217">
      <c r="A7217" s="9" t="str">
        <f>IFERROR(__xludf.DUMMYFUNCTION("""COMPUTED_VALUE"""),"Batch 326")</f>
        <v>Batch 326</v>
      </c>
      <c r="B7217" s="9" t="str">
        <f>IFERROR(__xludf.DUMMYFUNCTION("""COMPUTED_VALUE"""),"SaloniC326")</f>
        <v>SaloniC326</v>
      </c>
      <c r="C7217" s="8">
        <f>IFERROR(__xludf.DUMMYFUNCTION("""COMPUTED_VALUE"""),0.0)</f>
        <v>0</v>
      </c>
      <c r="D7217" s="8"/>
    </row>
    <row r="7218">
      <c r="A7218" s="9" t="str">
        <f>IFERROR(__xludf.DUMMYFUNCTION("""COMPUTED_VALUE"""),"Batch 326")</f>
        <v>Batch 326</v>
      </c>
      <c r="B7218" s="9" t="str">
        <f>IFERROR(__xludf.DUMMYFUNCTION("""COMPUTED_VALUE"""),"KirtiC326")</f>
        <v>KirtiC326</v>
      </c>
      <c r="C7218" s="8">
        <f>IFERROR(__xludf.DUMMYFUNCTION("""COMPUTED_VALUE"""),0.0)</f>
        <v>0</v>
      </c>
      <c r="D7218" s="8"/>
    </row>
    <row r="7219">
      <c r="A7219" s="9" t="str">
        <f>IFERROR(__xludf.DUMMYFUNCTION("""COMPUTED_VALUE"""),"Batch 326")</f>
        <v>Batch 326</v>
      </c>
      <c r="B7219" s="9" t="str">
        <f>IFERROR(__xludf.DUMMYFUNCTION("""COMPUTED_VALUE"""),"ChetnaC326")</f>
        <v>ChetnaC326</v>
      </c>
      <c r="C7219" s="8">
        <f>IFERROR(__xludf.DUMMYFUNCTION("""COMPUTED_VALUE"""),0.0)</f>
        <v>0</v>
      </c>
      <c r="D7219" s="8"/>
    </row>
    <row r="7220">
      <c r="A7220" s="9" t="str">
        <f>IFERROR(__xludf.DUMMYFUNCTION("""COMPUTED_VALUE"""),"Batch 326")</f>
        <v>Batch 326</v>
      </c>
      <c r="B7220" s="9" t="str">
        <f>IFERROR(__xludf.DUMMYFUNCTION("""COMPUTED_VALUE"""),"HarshaC326")</f>
        <v>HarshaC326</v>
      </c>
      <c r="C7220" s="8">
        <f>IFERROR(__xludf.DUMMYFUNCTION("""COMPUTED_VALUE"""),4.0)</f>
        <v>4</v>
      </c>
      <c r="D7220" s="8">
        <f>IFERROR(__xludf.DUMMYFUNCTION("""COMPUTED_VALUE"""),1.0)</f>
        <v>1</v>
      </c>
    </row>
    <row r="7221">
      <c r="A7221" s="9" t="str">
        <f>IFERROR(__xludf.DUMMYFUNCTION("""COMPUTED_VALUE"""),"Batch 326")</f>
        <v>Batch 326</v>
      </c>
      <c r="B7221" s="9" t="str">
        <f>IFERROR(__xludf.DUMMYFUNCTION("""COMPUTED_VALUE"""),"BhagvathiC326")</f>
        <v>BhagvathiC326</v>
      </c>
      <c r="C7221" s="8">
        <f>IFERROR(__xludf.DUMMYFUNCTION("""COMPUTED_VALUE"""),0.0)</f>
        <v>0</v>
      </c>
      <c r="D7221" s="8"/>
    </row>
    <row r="7222">
      <c r="A7222" s="9" t="str">
        <f>IFERROR(__xludf.DUMMYFUNCTION("""COMPUTED_VALUE"""),"Batch 326")</f>
        <v>Batch 326</v>
      </c>
      <c r="B7222" s="9" t="str">
        <f>IFERROR(__xludf.DUMMYFUNCTION("""COMPUTED_VALUE"""),"SimpyC326")</f>
        <v>SimpyC326</v>
      </c>
      <c r="C7222" s="8">
        <f>IFERROR(__xludf.DUMMYFUNCTION("""COMPUTED_VALUE"""),1.0)</f>
        <v>1</v>
      </c>
      <c r="D7222" s="8"/>
    </row>
    <row r="7223">
      <c r="A7223" s="9" t="str">
        <f>IFERROR(__xludf.DUMMYFUNCTION("""COMPUTED_VALUE"""),"Batch 326")</f>
        <v>Batch 326</v>
      </c>
      <c r="B7223" s="9" t="str">
        <f>IFERROR(__xludf.DUMMYFUNCTION("""COMPUTED_VALUE"""),"KripaC326")</f>
        <v>KripaC326</v>
      </c>
      <c r="C7223" s="8">
        <f>IFERROR(__xludf.DUMMYFUNCTION("""COMPUTED_VALUE"""),100.0)</f>
        <v>100</v>
      </c>
      <c r="D7223" s="8">
        <f>IFERROR(__xludf.DUMMYFUNCTION("""COMPUTED_VALUE"""),25.0)</f>
        <v>25</v>
      </c>
    </row>
    <row r="7224">
      <c r="A7224" s="9"/>
      <c r="B7224" s="9"/>
      <c r="C7224" s="8">
        <f>IFERROR(__xludf.DUMMYFUNCTION("""COMPUTED_VALUE"""),0.0)</f>
        <v>0</v>
      </c>
      <c r="D7224" s="8"/>
    </row>
    <row r="7225">
      <c r="A7225" s="9" t="str">
        <f>IFERROR(__xludf.DUMMYFUNCTION("""COMPUTED_VALUE"""),"Batch 327")</f>
        <v>Batch 327</v>
      </c>
      <c r="B7225" s="9" t="str">
        <f>IFERROR(__xludf.DUMMYFUNCTION("""COMPUTED_VALUE"""),"DivyaC327")</f>
        <v>DivyaC327</v>
      </c>
      <c r="C7225" s="8">
        <f>IFERROR(__xludf.DUMMYFUNCTION("""COMPUTED_VALUE"""),0.0)</f>
        <v>0</v>
      </c>
      <c r="D7225" s="8"/>
    </row>
    <row r="7226">
      <c r="A7226" s="9" t="str">
        <f>IFERROR(__xludf.DUMMYFUNCTION("""COMPUTED_VALUE"""),"Batch 327")</f>
        <v>Batch 327</v>
      </c>
      <c r="B7226" s="9" t="str">
        <f>IFERROR(__xludf.DUMMYFUNCTION("""COMPUTED_VALUE"""),"HardikC327")</f>
        <v>HardikC327</v>
      </c>
      <c r="C7226" s="8">
        <f>IFERROR(__xludf.DUMMYFUNCTION("""COMPUTED_VALUE"""),1.0)</f>
        <v>1</v>
      </c>
      <c r="D7226" s="8"/>
    </row>
    <row r="7227">
      <c r="A7227" s="9" t="str">
        <f>IFERROR(__xludf.DUMMYFUNCTION("""COMPUTED_VALUE"""),"Batch 327")</f>
        <v>Batch 327</v>
      </c>
      <c r="B7227" s="9" t="str">
        <f>IFERROR(__xludf.DUMMYFUNCTION("""COMPUTED_VALUE"""),"YeshithaC327")</f>
        <v>YeshithaC327</v>
      </c>
      <c r="C7227" s="8">
        <f>IFERROR(__xludf.DUMMYFUNCTION("""COMPUTED_VALUE"""),1.0)</f>
        <v>1</v>
      </c>
      <c r="D7227" s="8"/>
    </row>
    <row r="7228">
      <c r="A7228" s="9" t="str">
        <f>IFERROR(__xludf.DUMMYFUNCTION("""COMPUTED_VALUE"""),"Batch 327")</f>
        <v>Batch 327</v>
      </c>
      <c r="B7228" s="9" t="str">
        <f>IFERROR(__xludf.DUMMYFUNCTION("""COMPUTED_VALUE"""),"SaptakiC327")</f>
        <v>SaptakiC327</v>
      </c>
      <c r="C7228" s="8">
        <f>IFERROR(__xludf.DUMMYFUNCTION("""COMPUTED_VALUE"""),0.0)</f>
        <v>0</v>
      </c>
      <c r="D7228" s="8"/>
    </row>
    <row r="7229">
      <c r="A7229" s="9" t="str">
        <f>IFERROR(__xludf.DUMMYFUNCTION("""COMPUTED_VALUE"""),"Batch 327")</f>
        <v>Batch 327</v>
      </c>
      <c r="B7229" s="9" t="str">
        <f>IFERROR(__xludf.DUMMYFUNCTION("""COMPUTED_VALUE"""),"ishaC327")</f>
        <v>ishaC327</v>
      </c>
      <c r="C7229" s="8">
        <f>IFERROR(__xludf.DUMMYFUNCTION("""COMPUTED_VALUE"""),0.0)</f>
        <v>0</v>
      </c>
      <c r="D7229" s="8"/>
    </row>
    <row r="7230">
      <c r="A7230" s="9" t="str">
        <f>IFERROR(__xludf.DUMMYFUNCTION("""COMPUTED_VALUE"""),"Batch 327")</f>
        <v>Batch 327</v>
      </c>
      <c r="B7230" s="9" t="str">
        <f>IFERROR(__xludf.DUMMYFUNCTION("""COMPUTED_VALUE"""),"LovedeepC327")</f>
        <v>LovedeepC327</v>
      </c>
      <c r="C7230" s="8">
        <f>IFERROR(__xludf.DUMMYFUNCTION("""COMPUTED_VALUE"""),0.0)</f>
        <v>0</v>
      </c>
      <c r="D7230" s="8"/>
    </row>
    <row r="7231">
      <c r="A7231" s="9" t="str">
        <f>IFERROR(__xludf.DUMMYFUNCTION("""COMPUTED_VALUE"""),"Batch 327")</f>
        <v>Batch 327</v>
      </c>
      <c r="B7231" s="9" t="str">
        <f>IFERROR(__xludf.DUMMYFUNCTION("""COMPUTED_VALUE"""),"TadimallaC327")</f>
        <v>TadimallaC327</v>
      </c>
      <c r="C7231" s="8">
        <f>IFERROR(__xludf.DUMMYFUNCTION("""COMPUTED_VALUE"""),0.0)</f>
        <v>0</v>
      </c>
      <c r="D7231" s="8"/>
    </row>
    <row r="7232">
      <c r="A7232" s="9" t="str">
        <f>IFERROR(__xludf.DUMMYFUNCTION("""COMPUTED_VALUE"""),"Batch 327")</f>
        <v>Batch 327</v>
      </c>
      <c r="B7232" s="9" t="str">
        <f>IFERROR(__xludf.DUMMYFUNCTION("""COMPUTED_VALUE"""),"RiteshC327")</f>
        <v>RiteshC327</v>
      </c>
      <c r="C7232" s="8">
        <f>IFERROR(__xludf.DUMMYFUNCTION("""COMPUTED_VALUE"""),0.0)</f>
        <v>0</v>
      </c>
      <c r="D7232" s="8"/>
    </row>
    <row r="7233">
      <c r="A7233" s="9" t="str">
        <f>IFERROR(__xludf.DUMMYFUNCTION("""COMPUTED_VALUE"""),"Batch 327")</f>
        <v>Batch 327</v>
      </c>
      <c r="B7233" s="9" t="str">
        <f>IFERROR(__xludf.DUMMYFUNCTION("""COMPUTED_VALUE"""),"KartikC327")</f>
        <v>KartikC327</v>
      </c>
      <c r="C7233" s="8">
        <f>IFERROR(__xludf.DUMMYFUNCTION("""COMPUTED_VALUE"""),0.0)</f>
        <v>0</v>
      </c>
      <c r="D7233" s="8"/>
    </row>
    <row r="7234">
      <c r="A7234" s="9" t="str">
        <f>IFERROR(__xludf.DUMMYFUNCTION("""COMPUTED_VALUE"""),"Batch 327")</f>
        <v>Batch 327</v>
      </c>
      <c r="B7234" s="9" t="str">
        <f>IFERROR(__xludf.DUMMYFUNCTION("""COMPUTED_VALUE"""),"NishanthC327")</f>
        <v>NishanthC327</v>
      </c>
      <c r="C7234" s="8">
        <f>IFERROR(__xludf.DUMMYFUNCTION("""COMPUTED_VALUE"""),0.0)</f>
        <v>0</v>
      </c>
      <c r="D7234" s="8"/>
    </row>
    <row r="7235">
      <c r="A7235" s="9" t="str">
        <f>IFERROR(__xludf.DUMMYFUNCTION("""COMPUTED_VALUE"""),"Batch 327")</f>
        <v>Batch 327</v>
      </c>
      <c r="B7235" s="9" t="str">
        <f>IFERROR(__xludf.DUMMYFUNCTION("""COMPUTED_VALUE"""),"DishipC327")</f>
        <v>DishipC327</v>
      </c>
      <c r="C7235" s="8">
        <f>IFERROR(__xludf.DUMMYFUNCTION("""COMPUTED_VALUE"""),0.0)</f>
        <v>0</v>
      </c>
      <c r="D7235" s="8"/>
    </row>
    <row r="7236">
      <c r="A7236" s="9" t="str">
        <f>IFERROR(__xludf.DUMMYFUNCTION("""COMPUTED_VALUE"""),"Batch 327")</f>
        <v>Batch 327</v>
      </c>
      <c r="B7236" s="9" t="str">
        <f>IFERROR(__xludf.DUMMYFUNCTION("""COMPUTED_VALUE"""),"DEVSHYAC327")</f>
        <v>DEVSHYAC327</v>
      </c>
      <c r="C7236" s="8">
        <f>IFERROR(__xludf.DUMMYFUNCTION("""COMPUTED_VALUE"""),4.0)</f>
        <v>4</v>
      </c>
      <c r="D7236" s="8">
        <f>IFERROR(__xludf.DUMMYFUNCTION("""COMPUTED_VALUE"""),2.0)</f>
        <v>2</v>
      </c>
    </row>
    <row r="7237">
      <c r="A7237" s="9" t="str">
        <f>IFERROR(__xludf.DUMMYFUNCTION("""COMPUTED_VALUE"""),"Batch 327")</f>
        <v>Batch 327</v>
      </c>
      <c r="B7237" s="9" t="str">
        <f>IFERROR(__xludf.DUMMYFUNCTION("""COMPUTED_VALUE"""),"JahanaviC327")</f>
        <v>JahanaviC327</v>
      </c>
      <c r="C7237" s="8">
        <f>IFERROR(__xludf.DUMMYFUNCTION("""COMPUTED_VALUE"""),0.0)</f>
        <v>0</v>
      </c>
      <c r="D7237" s="8"/>
    </row>
    <row r="7238">
      <c r="A7238" s="9" t="str">
        <f>IFERROR(__xludf.DUMMYFUNCTION("""COMPUTED_VALUE"""),"Batch 327")</f>
        <v>Batch 327</v>
      </c>
      <c r="B7238" s="9" t="str">
        <f>IFERROR(__xludf.DUMMYFUNCTION("""COMPUTED_VALUE"""),"DhruvC327")</f>
        <v>DhruvC327</v>
      </c>
      <c r="C7238" s="8">
        <f>IFERROR(__xludf.DUMMYFUNCTION("""COMPUTED_VALUE"""),0.0)</f>
        <v>0</v>
      </c>
      <c r="D7238" s="8"/>
    </row>
    <row r="7239">
      <c r="A7239" s="9" t="str">
        <f>IFERROR(__xludf.DUMMYFUNCTION("""COMPUTED_VALUE"""),"Batch 327")</f>
        <v>Batch 327</v>
      </c>
      <c r="B7239" s="9" t="str">
        <f>IFERROR(__xludf.DUMMYFUNCTION("""COMPUTED_VALUE"""),"AarushiC327")</f>
        <v>AarushiC327</v>
      </c>
      <c r="C7239" s="8">
        <f>IFERROR(__xludf.DUMMYFUNCTION("""COMPUTED_VALUE"""),0.0)</f>
        <v>0</v>
      </c>
      <c r="D7239" s="8"/>
    </row>
    <row r="7240">
      <c r="A7240" s="9" t="str">
        <f>IFERROR(__xludf.DUMMYFUNCTION("""COMPUTED_VALUE"""),"Batch 327")</f>
        <v>Batch 327</v>
      </c>
      <c r="B7240" s="9" t="str">
        <f>IFERROR(__xludf.DUMMYFUNCTION("""COMPUTED_VALUE"""),"SahilC327")</f>
        <v>SahilC327</v>
      </c>
      <c r="C7240" s="8">
        <f>IFERROR(__xludf.DUMMYFUNCTION("""COMPUTED_VALUE"""),0.0)</f>
        <v>0</v>
      </c>
      <c r="D7240" s="8"/>
    </row>
    <row r="7241">
      <c r="A7241" s="9" t="str">
        <f>IFERROR(__xludf.DUMMYFUNCTION("""COMPUTED_VALUE"""),"Batch 327")</f>
        <v>Batch 327</v>
      </c>
      <c r="B7241" s="9" t="str">
        <f>IFERROR(__xludf.DUMMYFUNCTION("""COMPUTED_VALUE"""),"LavanyaC327")</f>
        <v>LavanyaC327</v>
      </c>
      <c r="C7241" s="8">
        <f>IFERROR(__xludf.DUMMYFUNCTION("""COMPUTED_VALUE"""),0.0)</f>
        <v>0</v>
      </c>
      <c r="D7241" s="8"/>
    </row>
    <row r="7242">
      <c r="A7242" s="9" t="str">
        <f>IFERROR(__xludf.DUMMYFUNCTION("""COMPUTED_VALUE"""),"Batch 327")</f>
        <v>Batch 327</v>
      </c>
      <c r="B7242" s="9" t="str">
        <f>IFERROR(__xludf.DUMMYFUNCTION("""COMPUTED_VALUE"""),"KashishC327")</f>
        <v>KashishC327</v>
      </c>
      <c r="C7242" s="8">
        <f>IFERROR(__xludf.DUMMYFUNCTION("""COMPUTED_VALUE"""),0.0)</f>
        <v>0</v>
      </c>
      <c r="D7242" s="8"/>
    </row>
    <row r="7243">
      <c r="A7243" s="9" t="str">
        <f>IFERROR(__xludf.DUMMYFUNCTION("""COMPUTED_VALUE"""),"Batch 327")</f>
        <v>Batch 327</v>
      </c>
      <c r="B7243" s="9" t="str">
        <f>IFERROR(__xludf.DUMMYFUNCTION("""COMPUTED_VALUE"""),"BhumikaC327")</f>
        <v>BhumikaC327</v>
      </c>
      <c r="C7243" s="8">
        <f>IFERROR(__xludf.DUMMYFUNCTION("""COMPUTED_VALUE"""),0.0)</f>
        <v>0</v>
      </c>
      <c r="D7243" s="8"/>
    </row>
    <row r="7244">
      <c r="A7244" s="9" t="str">
        <f>IFERROR(__xludf.DUMMYFUNCTION("""COMPUTED_VALUE"""),"Batch 327")</f>
        <v>Batch 327</v>
      </c>
      <c r="B7244" s="9" t="str">
        <f>IFERROR(__xludf.DUMMYFUNCTION("""COMPUTED_VALUE"""),"AnshulC327")</f>
        <v>AnshulC327</v>
      </c>
      <c r="C7244" s="8">
        <f>IFERROR(__xludf.DUMMYFUNCTION("""COMPUTED_VALUE"""),0.0)</f>
        <v>0</v>
      </c>
      <c r="D7244" s="8"/>
    </row>
    <row r="7245">
      <c r="A7245" s="9"/>
      <c r="B7245" s="9"/>
      <c r="C7245" s="8">
        <f>IFERROR(__xludf.DUMMYFUNCTION("""COMPUTED_VALUE"""),0.0)</f>
        <v>0</v>
      </c>
      <c r="D7245" s="8"/>
    </row>
    <row r="7246">
      <c r="A7246" s="9" t="str">
        <f>IFERROR(__xludf.DUMMYFUNCTION("""COMPUTED_VALUE"""),"Batch 328")</f>
        <v>Batch 328</v>
      </c>
      <c r="B7246" s="9" t="str">
        <f>IFERROR(__xludf.DUMMYFUNCTION("""COMPUTED_VALUE"""),"JayaC328")</f>
        <v>JayaC328</v>
      </c>
      <c r="C7246" s="8">
        <f>IFERROR(__xludf.DUMMYFUNCTION("""COMPUTED_VALUE"""),0.0)</f>
        <v>0</v>
      </c>
      <c r="D7246" s="8"/>
    </row>
    <row r="7247">
      <c r="A7247" s="9" t="str">
        <f>IFERROR(__xludf.DUMMYFUNCTION("""COMPUTED_VALUE"""),"Batch 328")</f>
        <v>Batch 328</v>
      </c>
      <c r="B7247" s="9" t="str">
        <f>IFERROR(__xludf.DUMMYFUNCTION("""COMPUTED_VALUE"""),"AravindC328")</f>
        <v>AravindC328</v>
      </c>
      <c r="C7247" s="8">
        <f>IFERROR(__xludf.DUMMYFUNCTION("""COMPUTED_VALUE"""),0.0)</f>
        <v>0</v>
      </c>
      <c r="D7247" s="8"/>
    </row>
    <row r="7248">
      <c r="A7248" s="9" t="str">
        <f>IFERROR(__xludf.DUMMYFUNCTION("""COMPUTED_VALUE"""),"Batch 328")</f>
        <v>Batch 328</v>
      </c>
      <c r="B7248" s="9" t="str">
        <f>IFERROR(__xludf.DUMMYFUNCTION("""COMPUTED_VALUE"""),"HarshitaC328")</f>
        <v>HarshitaC328</v>
      </c>
      <c r="C7248" s="8">
        <f>IFERROR(__xludf.DUMMYFUNCTION("""COMPUTED_VALUE"""),0.0)</f>
        <v>0</v>
      </c>
      <c r="D7248" s="8"/>
    </row>
    <row r="7249">
      <c r="A7249" s="9" t="str">
        <f>IFERROR(__xludf.DUMMYFUNCTION("""COMPUTED_VALUE"""),"Batch 328")</f>
        <v>Batch 328</v>
      </c>
      <c r="B7249" s="9" t="str">
        <f>IFERROR(__xludf.DUMMYFUNCTION("""COMPUTED_VALUE"""),"KavyaC328")</f>
        <v>KavyaC328</v>
      </c>
      <c r="C7249" s="8">
        <f>IFERROR(__xludf.DUMMYFUNCTION("""COMPUTED_VALUE"""),0.0)</f>
        <v>0</v>
      </c>
      <c r="D7249" s="8"/>
    </row>
    <row r="7250">
      <c r="A7250" s="9" t="str">
        <f>IFERROR(__xludf.DUMMYFUNCTION("""COMPUTED_VALUE"""),"Batch 328")</f>
        <v>Batch 328</v>
      </c>
      <c r="B7250" s="9" t="str">
        <f>IFERROR(__xludf.DUMMYFUNCTION("""COMPUTED_VALUE"""),"AdityaC328")</f>
        <v>AdityaC328</v>
      </c>
      <c r="C7250" s="8">
        <f>IFERROR(__xludf.DUMMYFUNCTION("""COMPUTED_VALUE"""),0.0)</f>
        <v>0</v>
      </c>
      <c r="D7250" s="8"/>
    </row>
    <row r="7251">
      <c r="A7251" s="9" t="str">
        <f>IFERROR(__xludf.DUMMYFUNCTION("""COMPUTED_VALUE"""),"Batch 328")</f>
        <v>Batch 328</v>
      </c>
      <c r="B7251" s="9" t="str">
        <f>IFERROR(__xludf.DUMMYFUNCTION("""COMPUTED_VALUE"""),"deepaC328")</f>
        <v>deepaC328</v>
      </c>
      <c r="C7251" s="8">
        <f>IFERROR(__xludf.DUMMYFUNCTION("""COMPUTED_VALUE"""),0.0)</f>
        <v>0</v>
      </c>
      <c r="D7251" s="8"/>
    </row>
    <row r="7252">
      <c r="A7252" s="9" t="str">
        <f>IFERROR(__xludf.DUMMYFUNCTION("""COMPUTED_VALUE"""),"Batch 328")</f>
        <v>Batch 328</v>
      </c>
      <c r="B7252" s="9" t="str">
        <f>IFERROR(__xludf.DUMMYFUNCTION("""COMPUTED_VALUE"""),"SheetalC328")</f>
        <v>SheetalC328</v>
      </c>
      <c r="C7252" s="8">
        <f>IFERROR(__xludf.DUMMYFUNCTION("""COMPUTED_VALUE"""),0.0)</f>
        <v>0</v>
      </c>
      <c r="D7252" s="8"/>
    </row>
    <row r="7253">
      <c r="A7253" s="9" t="str">
        <f>IFERROR(__xludf.DUMMYFUNCTION("""COMPUTED_VALUE"""),"Batch 328")</f>
        <v>Batch 328</v>
      </c>
      <c r="B7253" s="9" t="str">
        <f>IFERROR(__xludf.DUMMYFUNCTION("""COMPUTED_VALUE"""),"KeshavC328")</f>
        <v>KeshavC328</v>
      </c>
      <c r="C7253" s="8">
        <f>IFERROR(__xludf.DUMMYFUNCTION("""COMPUTED_VALUE"""),0.0)</f>
        <v>0</v>
      </c>
      <c r="D7253" s="8"/>
    </row>
    <row r="7254">
      <c r="A7254" s="9" t="str">
        <f>IFERROR(__xludf.DUMMYFUNCTION("""COMPUTED_VALUE"""),"Batch 328")</f>
        <v>Batch 328</v>
      </c>
      <c r="B7254" s="9" t="str">
        <f>IFERROR(__xludf.DUMMYFUNCTION("""COMPUTED_VALUE"""),"AagamC328")</f>
        <v>AagamC328</v>
      </c>
      <c r="C7254" s="8">
        <f>IFERROR(__xludf.DUMMYFUNCTION("""COMPUTED_VALUE"""),0.0)</f>
        <v>0</v>
      </c>
      <c r="D7254" s="8"/>
    </row>
    <row r="7255">
      <c r="A7255" s="9" t="str">
        <f>IFERROR(__xludf.DUMMYFUNCTION("""COMPUTED_VALUE"""),"Batch 328")</f>
        <v>Batch 328</v>
      </c>
      <c r="B7255" s="9" t="str">
        <f>IFERROR(__xludf.DUMMYFUNCTION("""COMPUTED_VALUE"""),"RupamC328")</f>
        <v>RupamC328</v>
      </c>
      <c r="C7255" s="8">
        <f>IFERROR(__xludf.DUMMYFUNCTION("""COMPUTED_VALUE"""),0.0)</f>
        <v>0</v>
      </c>
      <c r="D7255" s="8"/>
    </row>
    <row r="7256">
      <c r="A7256" s="9" t="str">
        <f>IFERROR(__xludf.DUMMYFUNCTION("""COMPUTED_VALUE"""),"Batch 328")</f>
        <v>Batch 328</v>
      </c>
      <c r="B7256" s="9" t="str">
        <f>IFERROR(__xludf.DUMMYFUNCTION("""COMPUTED_VALUE"""),"Manasa.G.VC328")</f>
        <v>Manasa.G.VC328</v>
      </c>
      <c r="C7256" s="8">
        <f>IFERROR(__xludf.DUMMYFUNCTION("""COMPUTED_VALUE"""),0.0)</f>
        <v>0</v>
      </c>
      <c r="D7256" s="8"/>
    </row>
    <row r="7257">
      <c r="A7257" s="9" t="str">
        <f>IFERROR(__xludf.DUMMYFUNCTION("""COMPUTED_VALUE"""),"Batch 328")</f>
        <v>Batch 328</v>
      </c>
      <c r="B7257" s="9" t="str">
        <f>IFERROR(__xludf.DUMMYFUNCTION("""COMPUTED_VALUE"""),"NehaC328")</f>
        <v>NehaC328</v>
      </c>
      <c r="C7257" s="8">
        <f>IFERROR(__xludf.DUMMYFUNCTION("""COMPUTED_VALUE"""),0.0)</f>
        <v>0</v>
      </c>
      <c r="D7257" s="8"/>
    </row>
    <row r="7258">
      <c r="A7258" s="9" t="str">
        <f>IFERROR(__xludf.DUMMYFUNCTION("""COMPUTED_VALUE"""),"Batch 328")</f>
        <v>Batch 328</v>
      </c>
      <c r="B7258" s="9" t="str">
        <f>IFERROR(__xludf.DUMMYFUNCTION("""COMPUTED_VALUE"""),"PriyanshuC328")</f>
        <v>PriyanshuC328</v>
      </c>
      <c r="C7258" s="8">
        <f>IFERROR(__xludf.DUMMYFUNCTION("""COMPUTED_VALUE"""),0.0)</f>
        <v>0</v>
      </c>
      <c r="D7258" s="8"/>
    </row>
    <row r="7259">
      <c r="A7259" s="9" t="str">
        <f>IFERROR(__xludf.DUMMYFUNCTION("""COMPUTED_VALUE"""),"Batch 328")</f>
        <v>Batch 328</v>
      </c>
      <c r="B7259" s="9" t="str">
        <f>IFERROR(__xludf.DUMMYFUNCTION("""COMPUTED_VALUE"""),"RiheenC328")</f>
        <v>RiheenC328</v>
      </c>
      <c r="C7259" s="8">
        <f>IFERROR(__xludf.DUMMYFUNCTION("""COMPUTED_VALUE"""),0.0)</f>
        <v>0</v>
      </c>
      <c r="D7259" s="8"/>
    </row>
    <row r="7260">
      <c r="A7260" s="9" t="str">
        <f>IFERROR(__xludf.DUMMYFUNCTION("""COMPUTED_VALUE"""),"Batch 328")</f>
        <v>Batch 328</v>
      </c>
      <c r="B7260" s="9" t="str">
        <f>IFERROR(__xludf.DUMMYFUNCTION("""COMPUTED_VALUE"""),"SuhaniC328")</f>
        <v>SuhaniC328</v>
      </c>
      <c r="C7260" s="8">
        <f>IFERROR(__xludf.DUMMYFUNCTION("""COMPUTED_VALUE"""),31.0)</f>
        <v>31</v>
      </c>
      <c r="D7260" s="8">
        <f>IFERROR(__xludf.DUMMYFUNCTION("""COMPUTED_VALUE"""),12.0)</f>
        <v>12</v>
      </c>
    </row>
    <row r="7261">
      <c r="A7261" s="9" t="str">
        <f>IFERROR(__xludf.DUMMYFUNCTION("""COMPUTED_VALUE"""),"Batch 328")</f>
        <v>Batch 328</v>
      </c>
      <c r="B7261" s="9" t="str">
        <f>IFERROR(__xludf.DUMMYFUNCTION("""COMPUTED_VALUE"""),"VanshajC328")</f>
        <v>VanshajC328</v>
      </c>
      <c r="C7261" s="8">
        <f>IFERROR(__xludf.DUMMYFUNCTION("""COMPUTED_VALUE"""),0.0)</f>
        <v>0</v>
      </c>
      <c r="D7261" s="8"/>
    </row>
    <row r="7262">
      <c r="A7262" s="9" t="str">
        <f>IFERROR(__xludf.DUMMYFUNCTION("""COMPUTED_VALUE"""),"Batch 328")</f>
        <v>Batch 328</v>
      </c>
      <c r="B7262" s="9" t="str">
        <f>IFERROR(__xludf.DUMMYFUNCTION("""COMPUTED_VALUE"""),"SalsajeetC328")</f>
        <v>SalsajeetC328</v>
      </c>
      <c r="C7262" s="8">
        <f>IFERROR(__xludf.DUMMYFUNCTION("""COMPUTED_VALUE"""),0.0)</f>
        <v>0</v>
      </c>
      <c r="D7262" s="8"/>
    </row>
    <row r="7263">
      <c r="A7263" s="9" t="str">
        <f>IFERROR(__xludf.DUMMYFUNCTION("""COMPUTED_VALUE"""),"Batch 328")</f>
        <v>Batch 328</v>
      </c>
      <c r="B7263" s="9" t="str">
        <f>IFERROR(__xludf.DUMMYFUNCTION("""COMPUTED_VALUE"""),"ShreyaC328")</f>
        <v>ShreyaC328</v>
      </c>
      <c r="C7263" s="8">
        <f>IFERROR(__xludf.DUMMYFUNCTION("""COMPUTED_VALUE"""),0.0)</f>
        <v>0</v>
      </c>
      <c r="D7263" s="8"/>
    </row>
    <row r="7264">
      <c r="A7264" s="9" t="str">
        <f>IFERROR(__xludf.DUMMYFUNCTION("""COMPUTED_VALUE"""),"Batch 328")</f>
        <v>Batch 328</v>
      </c>
      <c r="B7264" s="9" t="str">
        <f>IFERROR(__xludf.DUMMYFUNCTION("""COMPUTED_VALUE"""),"MitanshiC328")</f>
        <v>MitanshiC328</v>
      </c>
      <c r="C7264" s="8">
        <f>IFERROR(__xludf.DUMMYFUNCTION("""COMPUTED_VALUE"""),2.0)</f>
        <v>2</v>
      </c>
      <c r="D7264" s="8">
        <f>IFERROR(__xludf.DUMMYFUNCTION("""COMPUTED_VALUE"""),1.0)</f>
        <v>1</v>
      </c>
    </row>
    <row r="7265">
      <c r="A7265" s="9" t="str">
        <f>IFERROR(__xludf.DUMMYFUNCTION("""COMPUTED_VALUE"""),"Batch 328")</f>
        <v>Batch 328</v>
      </c>
      <c r="B7265" s="9" t="str">
        <f>IFERROR(__xludf.DUMMYFUNCTION("""COMPUTED_VALUE"""),"KhushiC328")</f>
        <v>KhushiC328</v>
      </c>
      <c r="C7265" s="8">
        <f>IFERROR(__xludf.DUMMYFUNCTION("""COMPUTED_VALUE"""),0.0)</f>
        <v>0</v>
      </c>
      <c r="D7265" s="8"/>
    </row>
    <row r="7266">
      <c r="A7266" s="9" t="str">
        <f>IFERROR(__xludf.DUMMYFUNCTION("""COMPUTED_VALUE"""),"Batch 328")</f>
        <v>Batch 328</v>
      </c>
      <c r="B7266" s="9" t="str">
        <f>IFERROR(__xludf.DUMMYFUNCTION("""COMPUTED_VALUE"""),"BhavarajuC328")</f>
        <v>BhavarajuC328</v>
      </c>
      <c r="C7266" s="8">
        <f>IFERROR(__xludf.DUMMYFUNCTION("""COMPUTED_VALUE"""),0.0)</f>
        <v>0</v>
      </c>
      <c r="D7266" s="8"/>
    </row>
    <row r="7267">
      <c r="A7267" s="9" t="str">
        <f>IFERROR(__xludf.DUMMYFUNCTION("""COMPUTED_VALUE"""),"Batch 328")</f>
        <v>Batch 328</v>
      </c>
      <c r="B7267" s="9" t="str">
        <f>IFERROR(__xludf.DUMMYFUNCTION("""COMPUTED_VALUE"""),"NMDC328")</f>
        <v>NMDC328</v>
      </c>
      <c r="C7267" s="8">
        <f>IFERROR(__xludf.DUMMYFUNCTION("""COMPUTED_VALUE"""),0.0)</f>
        <v>0</v>
      </c>
      <c r="D7267" s="8"/>
    </row>
    <row r="7268">
      <c r="A7268" s="9" t="str">
        <f>IFERROR(__xludf.DUMMYFUNCTION("""COMPUTED_VALUE"""),"Batch 328")</f>
        <v>Batch 328</v>
      </c>
      <c r="B7268" s="9" t="str">
        <f>IFERROR(__xludf.DUMMYFUNCTION("""COMPUTED_VALUE"""),"SaiC328")</f>
        <v>SaiC328</v>
      </c>
      <c r="C7268" s="8">
        <f>IFERROR(__xludf.DUMMYFUNCTION("""COMPUTED_VALUE"""),0.0)</f>
        <v>0</v>
      </c>
      <c r="D7268" s="8"/>
    </row>
    <row r="7269">
      <c r="A7269" s="9" t="str">
        <f>IFERROR(__xludf.DUMMYFUNCTION("""COMPUTED_VALUE"""),"Batch 328")</f>
        <v>Batch 328</v>
      </c>
      <c r="B7269" s="9" t="str">
        <f>IFERROR(__xludf.DUMMYFUNCTION("""COMPUTED_VALUE"""),"SamikshaC328")</f>
        <v>SamikshaC328</v>
      </c>
      <c r="C7269" s="8">
        <f>IFERROR(__xludf.DUMMYFUNCTION("""COMPUTED_VALUE"""),0.0)</f>
        <v>0</v>
      </c>
      <c r="D7269" s="8"/>
    </row>
    <row r="7270">
      <c r="A7270" s="9" t="str">
        <f>IFERROR(__xludf.DUMMYFUNCTION("""COMPUTED_VALUE"""),"Batch 328")</f>
        <v>Batch 328</v>
      </c>
      <c r="B7270" s="9" t="str">
        <f>IFERROR(__xludf.DUMMYFUNCTION("""COMPUTED_VALUE"""),"AkritiC328")</f>
        <v>AkritiC328</v>
      </c>
      <c r="C7270" s="8">
        <f>IFERROR(__xludf.DUMMYFUNCTION("""COMPUTED_VALUE"""),0.0)</f>
        <v>0</v>
      </c>
      <c r="D7270" s="8"/>
    </row>
    <row r="7271">
      <c r="A7271" s="9" t="str">
        <f>IFERROR(__xludf.DUMMYFUNCTION("""COMPUTED_VALUE"""),"Batch 328")</f>
        <v>Batch 328</v>
      </c>
      <c r="B7271" s="9" t="str">
        <f>IFERROR(__xludf.DUMMYFUNCTION("""COMPUTED_VALUE"""),"BhumikaC328")</f>
        <v>BhumikaC328</v>
      </c>
      <c r="C7271" s="8">
        <f>IFERROR(__xludf.DUMMYFUNCTION("""COMPUTED_VALUE"""),0.0)</f>
        <v>0</v>
      </c>
      <c r="D7271" s="8"/>
    </row>
    <row r="7272">
      <c r="A7272" s="9" t="str">
        <f>IFERROR(__xludf.DUMMYFUNCTION("""COMPUTED_VALUE"""),"Batch 328")</f>
        <v>Batch 328</v>
      </c>
      <c r="B7272" s="9" t="str">
        <f>IFERROR(__xludf.DUMMYFUNCTION("""COMPUTED_VALUE"""),"SumanC328")</f>
        <v>SumanC328</v>
      </c>
      <c r="C7272" s="8">
        <f>IFERROR(__xludf.DUMMYFUNCTION("""COMPUTED_VALUE"""),0.0)</f>
        <v>0</v>
      </c>
      <c r="D7272" s="8"/>
    </row>
    <row r="7273">
      <c r="A7273" s="9" t="str">
        <f>IFERROR(__xludf.DUMMYFUNCTION("""COMPUTED_VALUE"""),"Batch 328")</f>
        <v>Batch 328</v>
      </c>
      <c r="B7273" s="9" t="str">
        <f>IFERROR(__xludf.DUMMYFUNCTION("""COMPUTED_VALUE"""),"YugdarshanC328")</f>
        <v>YugdarshanC328</v>
      </c>
      <c r="C7273" s="8">
        <f>IFERROR(__xludf.DUMMYFUNCTION("""COMPUTED_VALUE"""),1.0)</f>
        <v>1</v>
      </c>
      <c r="D7273" s="8"/>
    </row>
    <row r="7274">
      <c r="A7274" s="9" t="str">
        <f>IFERROR(__xludf.DUMMYFUNCTION("""COMPUTED_VALUE"""),"Batch 328")</f>
        <v>Batch 328</v>
      </c>
      <c r="B7274" s="9" t="str">
        <f>IFERROR(__xludf.DUMMYFUNCTION("""COMPUTED_VALUE"""),"roushanC328")</f>
        <v>roushanC328</v>
      </c>
      <c r="C7274" s="8">
        <f>IFERROR(__xludf.DUMMYFUNCTION("""COMPUTED_VALUE"""),0.0)</f>
        <v>0</v>
      </c>
      <c r="D7274" s="8"/>
    </row>
    <row r="7275">
      <c r="A7275" s="9" t="str">
        <f>IFERROR(__xludf.DUMMYFUNCTION("""COMPUTED_VALUE"""),"Batch 328")</f>
        <v>Batch 328</v>
      </c>
      <c r="B7275" s="9" t="str">
        <f>IFERROR(__xludf.DUMMYFUNCTION("""COMPUTED_VALUE"""),"SahilC328")</f>
        <v>SahilC328</v>
      </c>
      <c r="C7275" s="8">
        <f>IFERROR(__xludf.DUMMYFUNCTION("""COMPUTED_VALUE"""),0.0)</f>
        <v>0</v>
      </c>
      <c r="D7275" s="8"/>
    </row>
    <row r="7276">
      <c r="A7276" s="9" t="str">
        <f>IFERROR(__xludf.DUMMYFUNCTION("""COMPUTED_VALUE"""),"Batch 328")</f>
        <v>Batch 328</v>
      </c>
      <c r="B7276" s="9" t="str">
        <f>IFERROR(__xludf.DUMMYFUNCTION("""COMPUTED_VALUE"""),"PrernaC328")</f>
        <v>PrernaC328</v>
      </c>
      <c r="C7276" s="8">
        <f>IFERROR(__xludf.DUMMYFUNCTION("""COMPUTED_VALUE"""),0.0)</f>
        <v>0</v>
      </c>
      <c r="D7276" s="8"/>
    </row>
    <row r="7277">
      <c r="A7277" s="9" t="str">
        <f>IFERROR(__xludf.DUMMYFUNCTION("""COMPUTED_VALUE"""),"Batch 328")</f>
        <v>Batch 328</v>
      </c>
      <c r="B7277" s="9" t="str">
        <f>IFERROR(__xludf.DUMMYFUNCTION("""COMPUTED_VALUE"""),"KeshviC328")</f>
        <v>KeshviC328</v>
      </c>
      <c r="C7277" s="8">
        <f>IFERROR(__xludf.DUMMYFUNCTION("""COMPUTED_VALUE"""),0.0)</f>
        <v>0</v>
      </c>
      <c r="D7277" s="8"/>
    </row>
    <row r="7278">
      <c r="A7278" s="9" t="str">
        <f>IFERROR(__xludf.DUMMYFUNCTION("""COMPUTED_VALUE"""),"Batch 328")</f>
        <v>Batch 328</v>
      </c>
      <c r="B7278" s="9" t="str">
        <f>IFERROR(__xludf.DUMMYFUNCTION("""COMPUTED_VALUE"""),"DivyanshuC328")</f>
        <v>DivyanshuC328</v>
      </c>
      <c r="C7278" s="8">
        <f>IFERROR(__xludf.DUMMYFUNCTION("""COMPUTED_VALUE"""),0.0)</f>
        <v>0</v>
      </c>
      <c r="D7278" s="8"/>
    </row>
    <row r="7279">
      <c r="A7279" s="9" t="str">
        <f>IFERROR(__xludf.DUMMYFUNCTION("""COMPUTED_VALUE"""),"Batch 328")</f>
        <v>Batch 328</v>
      </c>
      <c r="B7279" s="9" t="str">
        <f>IFERROR(__xludf.DUMMYFUNCTION("""COMPUTED_VALUE"""),"NayeemC328")</f>
        <v>NayeemC328</v>
      </c>
      <c r="C7279" s="8">
        <f>IFERROR(__xludf.DUMMYFUNCTION("""COMPUTED_VALUE"""),2.0)</f>
        <v>2</v>
      </c>
      <c r="D7279" s="8"/>
    </row>
    <row r="7280">
      <c r="A7280" s="9" t="str">
        <f>IFERROR(__xludf.DUMMYFUNCTION("""COMPUTED_VALUE"""),"Batch 328")</f>
        <v>Batch 328</v>
      </c>
      <c r="B7280" s="9" t="str">
        <f>IFERROR(__xludf.DUMMYFUNCTION("""COMPUTED_VALUE"""),"KhushiC328")</f>
        <v>KhushiC328</v>
      </c>
      <c r="C7280" s="8">
        <f>IFERROR(__xludf.DUMMYFUNCTION("""COMPUTED_VALUE"""),0.0)</f>
        <v>0</v>
      </c>
      <c r="D7280" s="8"/>
    </row>
    <row r="7281">
      <c r="A7281" s="9" t="str">
        <f>IFERROR(__xludf.DUMMYFUNCTION("""COMPUTED_VALUE"""),"Batch 328")</f>
        <v>Batch 328</v>
      </c>
      <c r="B7281" s="9" t="str">
        <f>IFERROR(__xludf.DUMMYFUNCTION("""COMPUTED_VALUE"""),"jesikaC328")</f>
        <v>jesikaC328</v>
      </c>
      <c r="C7281" s="8">
        <f>IFERROR(__xludf.DUMMYFUNCTION("""COMPUTED_VALUE"""),0.0)</f>
        <v>0</v>
      </c>
      <c r="D7281" s="8"/>
    </row>
    <row r="7282">
      <c r="A7282" s="9" t="str">
        <f>IFERROR(__xludf.DUMMYFUNCTION("""COMPUTED_VALUE"""),"Batch 328")</f>
        <v>Batch 328</v>
      </c>
      <c r="B7282" s="9" t="str">
        <f>IFERROR(__xludf.DUMMYFUNCTION("""COMPUTED_VALUE"""),"UrviRoyC328")</f>
        <v>UrviRoyC328</v>
      </c>
      <c r="C7282" s="8">
        <f>IFERROR(__xludf.DUMMYFUNCTION("""COMPUTED_VALUE"""),0.0)</f>
        <v>0</v>
      </c>
      <c r="D7282" s="8"/>
    </row>
    <row r="7283">
      <c r="A7283" s="9" t="str">
        <f>IFERROR(__xludf.DUMMYFUNCTION("""COMPUTED_VALUE"""),"Batch 328")</f>
        <v>Batch 328</v>
      </c>
      <c r="B7283" s="9" t="str">
        <f>IFERROR(__xludf.DUMMYFUNCTION("""COMPUTED_VALUE"""),"SaadC328")</f>
        <v>SaadC328</v>
      </c>
      <c r="C7283" s="8">
        <f>IFERROR(__xludf.DUMMYFUNCTION("""COMPUTED_VALUE"""),0.0)</f>
        <v>0</v>
      </c>
      <c r="D7283" s="8"/>
    </row>
    <row r="7284">
      <c r="A7284" s="9" t="str">
        <f>IFERROR(__xludf.DUMMYFUNCTION("""COMPUTED_VALUE"""),"Batch 328")</f>
        <v>Batch 328</v>
      </c>
      <c r="B7284" s="9" t="str">
        <f>IFERROR(__xludf.DUMMYFUNCTION("""COMPUTED_VALUE"""),"AryanC328")</f>
        <v>AryanC328</v>
      </c>
      <c r="C7284" s="8">
        <f>IFERROR(__xludf.DUMMYFUNCTION("""COMPUTED_VALUE"""),0.0)</f>
        <v>0</v>
      </c>
      <c r="D7284" s="8"/>
    </row>
    <row r="7285">
      <c r="A7285" s="9" t="str">
        <f>IFERROR(__xludf.DUMMYFUNCTION("""COMPUTED_VALUE"""),"Batch 328")</f>
        <v>Batch 328</v>
      </c>
      <c r="B7285" s="9" t="str">
        <f>IFERROR(__xludf.DUMMYFUNCTION("""COMPUTED_VALUE"""),"KhushbooC328")</f>
        <v>KhushbooC328</v>
      </c>
      <c r="C7285" s="8">
        <f>IFERROR(__xludf.DUMMYFUNCTION("""COMPUTED_VALUE"""),0.0)</f>
        <v>0</v>
      </c>
      <c r="D7285" s="8"/>
    </row>
    <row r="7286">
      <c r="A7286" s="9" t="str">
        <f>IFERROR(__xludf.DUMMYFUNCTION("""COMPUTED_VALUE"""),"Batch 328")</f>
        <v>Batch 328</v>
      </c>
      <c r="B7286" s="9" t="str">
        <f>IFERROR(__xludf.DUMMYFUNCTION("""COMPUTED_VALUE"""),"VaniC328")</f>
        <v>VaniC328</v>
      </c>
      <c r="C7286" s="8">
        <f>IFERROR(__xludf.DUMMYFUNCTION("""COMPUTED_VALUE"""),0.0)</f>
        <v>0</v>
      </c>
      <c r="D7286" s="8"/>
    </row>
    <row r="7287">
      <c r="A7287" s="9" t="str">
        <f>IFERROR(__xludf.DUMMYFUNCTION("""COMPUTED_VALUE"""),"Batch 328")</f>
        <v>Batch 328</v>
      </c>
      <c r="B7287" s="9" t="str">
        <f>IFERROR(__xludf.DUMMYFUNCTION("""COMPUTED_VALUE"""),"DakshaC328")</f>
        <v>DakshaC328</v>
      </c>
      <c r="C7287" s="8">
        <f>IFERROR(__xludf.DUMMYFUNCTION("""COMPUTED_VALUE"""),0.0)</f>
        <v>0</v>
      </c>
      <c r="D7287" s="8"/>
    </row>
    <row r="7288">
      <c r="A7288" s="9" t="str">
        <f>IFERROR(__xludf.DUMMYFUNCTION("""COMPUTED_VALUE"""),"Batch 328")</f>
        <v>Batch 328</v>
      </c>
      <c r="B7288" s="9" t="str">
        <f>IFERROR(__xludf.DUMMYFUNCTION("""COMPUTED_VALUE"""),"RibhuC328")</f>
        <v>RibhuC328</v>
      </c>
      <c r="C7288" s="8">
        <f>IFERROR(__xludf.DUMMYFUNCTION("""COMPUTED_VALUE"""),0.0)</f>
        <v>0</v>
      </c>
      <c r="D7288" s="8"/>
    </row>
    <row r="7289">
      <c r="A7289" s="9" t="str">
        <f>IFERROR(__xludf.DUMMYFUNCTION("""COMPUTED_VALUE"""),"Batch 328")</f>
        <v>Batch 328</v>
      </c>
      <c r="B7289" s="9" t="str">
        <f>IFERROR(__xludf.DUMMYFUNCTION("""COMPUTED_VALUE"""),"AryanC328")</f>
        <v>AryanC328</v>
      </c>
      <c r="C7289" s="8">
        <f>IFERROR(__xludf.DUMMYFUNCTION("""COMPUTED_VALUE"""),0.0)</f>
        <v>0</v>
      </c>
      <c r="D7289" s="8"/>
    </row>
    <row r="7290">
      <c r="A7290" s="9" t="str">
        <f>IFERROR(__xludf.DUMMYFUNCTION("""COMPUTED_VALUE"""),"Batch 328")</f>
        <v>Batch 328</v>
      </c>
      <c r="B7290" s="9" t="str">
        <f>IFERROR(__xludf.DUMMYFUNCTION("""COMPUTED_VALUE"""),"AkashC328")</f>
        <v>AkashC328</v>
      </c>
      <c r="C7290" s="8">
        <f>IFERROR(__xludf.DUMMYFUNCTION("""COMPUTED_VALUE"""),0.0)</f>
        <v>0</v>
      </c>
      <c r="D7290" s="8"/>
    </row>
    <row r="7291">
      <c r="A7291" s="9" t="str">
        <f>IFERROR(__xludf.DUMMYFUNCTION("""COMPUTED_VALUE"""),"Batch 328")</f>
        <v>Batch 328</v>
      </c>
      <c r="B7291" s="9" t="str">
        <f>IFERROR(__xludf.DUMMYFUNCTION("""COMPUTED_VALUE"""),"UrviC328")</f>
        <v>UrviC328</v>
      </c>
      <c r="C7291" s="8">
        <f>IFERROR(__xludf.DUMMYFUNCTION("""COMPUTED_VALUE"""),0.0)</f>
        <v>0</v>
      </c>
      <c r="D7291" s="8"/>
    </row>
    <row r="7292">
      <c r="A7292" s="9" t="str">
        <f>IFERROR(__xludf.DUMMYFUNCTION("""COMPUTED_VALUE"""),"Batch 328")</f>
        <v>Batch 328</v>
      </c>
      <c r="B7292" s="9" t="str">
        <f>IFERROR(__xludf.DUMMYFUNCTION("""COMPUTED_VALUE"""),"ANAYC328")</f>
        <v>ANAYC328</v>
      </c>
      <c r="C7292" s="8">
        <f>IFERROR(__xludf.DUMMYFUNCTION("""COMPUTED_VALUE"""),0.0)</f>
        <v>0</v>
      </c>
      <c r="D7292" s="8"/>
    </row>
    <row r="7293">
      <c r="A7293" s="9" t="str">
        <f>IFERROR(__xludf.DUMMYFUNCTION("""COMPUTED_VALUE"""),"Batch 328")</f>
        <v>Batch 328</v>
      </c>
      <c r="B7293" s="9" t="str">
        <f>IFERROR(__xludf.DUMMYFUNCTION("""COMPUTED_VALUE"""),"AdityaC328")</f>
        <v>AdityaC328</v>
      </c>
      <c r="C7293" s="8">
        <f>IFERROR(__xludf.DUMMYFUNCTION("""COMPUTED_VALUE"""),0.0)</f>
        <v>0</v>
      </c>
      <c r="D7293" s="8"/>
    </row>
    <row r="7294">
      <c r="A7294" s="9" t="str">
        <f>IFERROR(__xludf.DUMMYFUNCTION("""COMPUTED_VALUE"""),"Batch 328")</f>
        <v>Batch 328</v>
      </c>
      <c r="B7294" s="9" t="str">
        <f>IFERROR(__xludf.DUMMYFUNCTION("""COMPUTED_VALUE"""),"ROHITC328")</f>
        <v>ROHITC328</v>
      </c>
      <c r="C7294" s="8">
        <f>IFERROR(__xludf.DUMMYFUNCTION("""COMPUTED_VALUE"""),0.0)</f>
        <v>0</v>
      </c>
      <c r="D7294" s="8"/>
    </row>
    <row r="7295">
      <c r="A7295" s="9" t="str">
        <f>IFERROR(__xludf.DUMMYFUNCTION("""COMPUTED_VALUE"""),"Batch 328")</f>
        <v>Batch 328</v>
      </c>
      <c r="B7295" s="9" t="str">
        <f>IFERROR(__xludf.DUMMYFUNCTION("""COMPUTED_VALUE"""),"RishC328")</f>
        <v>RishC328</v>
      </c>
      <c r="C7295" s="8">
        <f>IFERROR(__xludf.DUMMYFUNCTION("""COMPUTED_VALUE"""),0.0)</f>
        <v>0</v>
      </c>
      <c r="D7295" s="8"/>
    </row>
    <row r="7296">
      <c r="A7296" s="9" t="str">
        <f>IFERROR(__xludf.DUMMYFUNCTION("""COMPUTED_VALUE"""),"Batch 328")</f>
        <v>Batch 328</v>
      </c>
      <c r="B7296" s="9" t="str">
        <f>IFERROR(__xludf.DUMMYFUNCTION("""COMPUTED_VALUE"""),"TanviC328")</f>
        <v>TanviC328</v>
      </c>
      <c r="C7296" s="8">
        <f>IFERROR(__xludf.DUMMYFUNCTION("""COMPUTED_VALUE"""),0.0)</f>
        <v>0</v>
      </c>
      <c r="D7296" s="8"/>
    </row>
    <row r="7297">
      <c r="A7297" s="9" t="str">
        <f>IFERROR(__xludf.DUMMYFUNCTION("""COMPUTED_VALUE"""),"Batch 328")</f>
        <v>Batch 328</v>
      </c>
      <c r="B7297" s="9" t="str">
        <f>IFERROR(__xludf.DUMMYFUNCTION("""COMPUTED_VALUE"""),"VanshikaC328")</f>
        <v>VanshikaC328</v>
      </c>
      <c r="C7297" s="8">
        <f>IFERROR(__xludf.DUMMYFUNCTION("""COMPUTED_VALUE"""),0.0)</f>
        <v>0</v>
      </c>
      <c r="D7297" s="8"/>
    </row>
    <row r="7298">
      <c r="A7298" s="9" t="str">
        <f>IFERROR(__xludf.DUMMYFUNCTION("""COMPUTED_VALUE"""),"Batch 328")</f>
        <v>Batch 328</v>
      </c>
      <c r="B7298" s="9" t="str">
        <f>IFERROR(__xludf.DUMMYFUNCTION("""COMPUTED_VALUE"""),"SwethaC328")</f>
        <v>SwethaC328</v>
      </c>
      <c r="C7298" s="8">
        <f>IFERROR(__xludf.DUMMYFUNCTION("""COMPUTED_VALUE"""),0.0)</f>
        <v>0</v>
      </c>
      <c r="D7298" s="8"/>
    </row>
    <row r="7299">
      <c r="A7299" s="9" t="str">
        <f>IFERROR(__xludf.DUMMYFUNCTION("""COMPUTED_VALUE"""),"Batch 328")</f>
        <v>Batch 328</v>
      </c>
      <c r="B7299" s="9" t="str">
        <f>IFERROR(__xludf.DUMMYFUNCTION("""COMPUTED_VALUE"""),"SakshiC328")</f>
        <v>SakshiC328</v>
      </c>
      <c r="C7299" s="8">
        <f>IFERROR(__xludf.DUMMYFUNCTION("""COMPUTED_VALUE"""),0.0)</f>
        <v>0</v>
      </c>
      <c r="D7299" s="8"/>
    </row>
    <row r="7300">
      <c r="A7300" s="9" t="str">
        <f>IFERROR(__xludf.DUMMYFUNCTION("""COMPUTED_VALUE"""),"Batch 328")</f>
        <v>Batch 328</v>
      </c>
      <c r="B7300" s="9" t="str">
        <f>IFERROR(__xludf.DUMMYFUNCTION("""COMPUTED_VALUE"""),"SaadC328")</f>
        <v>SaadC328</v>
      </c>
      <c r="C7300" s="8">
        <f>IFERROR(__xludf.DUMMYFUNCTION("""COMPUTED_VALUE"""),0.0)</f>
        <v>0</v>
      </c>
      <c r="D7300" s="8"/>
    </row>
    <row r="7301">
      <c r="A7301" s="9" t="str">
        <f>IFERROR(__xludf.DUMMYFUNCTION("""COMPUTED_VALUE"""),"Batch 328")</f>
        <v>Batch 328</v>
      </c>
      <c r="B7301" s="9" t="str">
        <f>IFERROR(__xludf.DUMMYFUNCTION("""COMPUTED_VALUE"""),"AadityaC328")</f>
        <v>AadityaC328</v>
      </c>
      <c r="C7301" s="8">
        <f>IFERROR(__xludf.DUMMYFUNCTION("""COMPUTED_VALUE"""),0.0)</f>
        <v>0</v>
      </c>
      <c r="D7301" s="8"/>
    </row>
    <row r="7302">
      <c r="A7302" s="9" t="str">
        <f>IFERROR(__xludf.DUMMYFUNCTION("""COMPUTED_VALUE"""),"Batch 328")</f>
        <v>Batch 328</v>
      </c>
      <c r="B7302" s="9" t="str">
        <f>IFERROR(__xludf.DUMMYFUNCTION("""COMPUTED_VALUE"""),"PriyanshiC328")</f>
        <v>PriyanshiC328</v>
      </c>
      <c r="C7302" s="8">
        <f>IFERROR(__xludf.DUMMYFUNCTION("""COMPUTED_VALUE"""),0.0)</f>
        <v>0</v>
      </c>
      <c r="D7302" s="8"/>
    </row>
    <row r="7303">
      <c r="A7303" s="9" t="str">
        <f>IFERROR(__xludf.DUMMYFUNCTION("""COMPUTED_VALUE"""),"Batch 328")</f>
        <v>Batch 328</v>
      </c>
      <c r="B7303" s="9" t="str">
        <f>IFERROR(__xludf.DUMMYFUNCTION("""COMPUTED_VALUE"""),"RavuruC328")</f>
        <v>RavuruC328</v>
      </c>
      <c r="C7303" s="8">
        <f>IFERROR(__xludf.DUMMYFUNCTION("""COMPUTED_VALUE"""),0.0)</f>
        <v>0</v>
      </c>
      <c r="D7303" s="8"/>
    </row>
    <row r="7304">
      <c r="A7304" s="9" t="str">
        <f>IFERROR(__xludf.DUMMYFUNCTION("""COMPUTED_VALUE"""),"Batch 328")</f>
        <v>Batch 328</v>
      </c>
      <c r="B7304" s="9" t="str">
        <f>IFERROR(__xludf.DUMMYFUNCTION("""COMPUTED_VALUE"""),"KaparaveniC328")</f>
        <v>KaparaveniC328</v>
      </c>
      <c r="C7304" s="8">
        <f>IFERROR(__xludf.DUMMYFUNCTION("""COMPUTED_VALUE"""),0.0)</f>
        <v>0</v>
      </c>
      <c r="D7304" s="8"/>
    </row>
    <row r="7305">
      <c r="A7305" s="9" t="str">
        <f>IFERROR(__xludf.DUMMYFUNCTION("""COMPUTED_VALUE"""),"Batch 328")</f>
        <v>Batch 328</v>
      </c>
      <c r="B7305" s="9" t="str">
        <f>IFERROR(__xludf.DUMMYFUNCTION("""COMPUTED_VALUE"""),"Dr.C328")</f>
        <v>Dr.C328</v>
      </c>
      <c r="C7305" s="8">
        <f>IFERROR(__xludf.DUMMYFUNCTION("""COMPUTED_VALUE"""),0.0)</f>
        <v>0</v>
      </c>
      <c r="D7305" s="8"/>
    </row>
    <row r="7306">
      <c r="A7306" s="9" t="str">
        <f>IFERROR(__xludf.DUMMYFUNCTION("""COMPUTED_VALUE"""),"Batch 328")</f>
        <v>Batch 328</v>
      </c>
      <c r="B7306" s="9" t="str">
        <f>IFERROR(__xludf.DUMMYFUNCTION("""COMPUTED_VALUE"""),"RozyC328")</f>
        <v>RozyC328</v>
      </c>
      <c r="C7306" s="8">
        <f>IFERROR(__xludf.DUMMYFUNCTION("""COMPUTED_VALUE"""),0.0)</f>
        <v>0</v>
      </c>
      <c r="D7306" s="8"/>
    </row>
    <row r="7307">
      <c r="A7307" s="9" t="str">
        <f>IFERROR(__xludf.DUMMYFUNCTION("""COMPUTED_VALUE"""),"Batch 328")</f>
        <v>Batch 328</v>
      </c>
      <c r="B7307" s="9" t="str">
        <f>IFERROR(__xludf.DUMMYFUNCTION("""COMPUTED_VALUE"""),"harshC328")</f>
        <v>harshC328</v>
      </c>
      <c r="C7307" s="8">
        <f>IFERROR(__xludf.DUMMYFUNCTION("""COMPUTED_VALUE"""),0.0)</f>
        <v>0</v>
      </c>
      <c r="D7307" s="8"/>
    </row>
    <row r="7308">
      <c r="A7308" s="9" t="str">
        <f>IFERROR(__xludf.DUMMYFUNCTION("""COMPUTED_VALUE"""),"Batch 328")</f>
        <v>Batch 328</v>
      </c>
      <c r="B7308" s="9" t="str">
        <f>IFERROR(__xludf.DUMMYFUNCTION("""COMPUTED_VALUE"""),"ujjwalC328")</f>
        <v>ujjwalC328</v>
      </c>
      <c r="C7308" s="8">
        <f>IFERROR(__xludf.DUMMYFUNCTION("""COMPUTED_VALUE"""),0.0)</f>
        <v>0</v>
      </c>
      <c r="D7308" s="8">
        <f>IFERROR(__xludf.DUMMYFUNCTION("""COMPUTED_VALUE"""),1.0)</f>
        <v>1</v>
      </c>
    </row>
    <row r="7309">
      <c r="A7309" s="9" t="str">
        <f>IFERROR(__xludf.DUMMYFUNCTION("""COMPUTED_VALUE"""),"Batch 328")</f>
        <v>Batch 328</v>
      </c>
      <c r="B7309" s="9" t="str">
        <f>IFERROR(__xludf.DUMMYFUNCTION("""COMPUTED_VALUE"""),"DivyaC328")</f>
        <v>DivyaC328</v>
      </c>
      <c r="C7309" s="8">
        <f>IFERROR(__xludf.DUMMYFUNCTION("""COMPUTED_VALUE"""),2.0)</f>
        <v>2</v>
      </c>
      <c r="D7309" s="8">
        <f>IFERROR(__xludf.DUMMYFUNCTION("""COMPUTED_VALUE"""),4.0)</f>
        <v>4</v>
      </c>
    </row>
    <row r="7310">
      <c r="A7310" s="9" t="str">
        <f>IFERROR(__xludf.DUMMYFUNCTION("""COMPUTED_VALUE"""),"Batch 328")</f>
        <v>Batch 328</v>
      </c>
      <c r="B7310" s="9" t="str">
        <f>IFERROR(__xludf.DUMMYFUNCTION("""COMPUTED_VALUE"""),"RaghavC328")</f>
        <v>RaghavC328</v>
      </c>
      <c r="C7310" s="8">
        <f>IFERROR(__xludf.DUMMYFUNCTION("""COMPUTED_VALUE"""),85.0)</f>
        <v>85</v>
      </c>
      <c r="D7310" s="8">
        <f>IFERROR(__xludf.DUMMYFUNCTION("""COMPUTED_VALUE"""),28.0)</f>
        <v>28</v>
      </c>
    </row>
    <row r="7311">
      <c r="A7311" s="9" t="str">
        <f>IFERROR(__xludf.DUMMYFUNCTION("""COMPUTED_VALUE"""),"Batch 328")</f>
        <v>Batch 328</v>
      </c>
      <c r="B7311" s="9" t="str">
        <f>IFERROR(__xludf.DUMMYFUNCTION("""COMPUTED_VALUE"""),"AasthaC328")</f>
        <v>AasthaC328</v>
      </c>
      <c r="C7311" s="8">
        <f>IFERROR(__xludf.DUMMYFUNCTION("""COMPUTED_VALUE"""),0.0)</f>
        <v>0</v>
      </c>
      <c r="D7311" s="8"/>
    </row>
    <row r="7312">
      <c r="A7312" s="9" t="str">
        <f>IFERROR(__xludf.DUMMYFUNCTION("""COMPUTED_VALUE"""),"Batch 328")</f>
        <v>Batch 328</v>
      </c>
      <c r="B7312" s="9" t="str">
        <f>IFERROR(__xludf.DUMMYFUNCTION("""COMPUTED_VALUE"""),"IshaC328")</f>
        <v>IshaC328</v>
      </c>
      <c r="C7312" s="8">
        <f>IFERROR(__xludf.DUMMYFUNCTION("""COMPUTED_VALUE"""),0.0)</f>
        <v>0</v>
      </c>
      <c r="D7312" s="8"/>
    </row>
    <row r="7313">
      <c r="A7313" s="9"/>
      <c r="B7313" s="9"/>
      <c r="C7313" s="8">
        <f>IFERROR(__xludf.DUMMYFUNCTION("""COMPUTED_VALUE"""),0.0)</f>
        <v>0</v>
      </c>
      <c r="D7313" s="8"/>
    </row>
    <row r="7314">
      <c r="A7314" s="9" t="str">
        <f>IFERROR(__xludf.DUMMYFUNCTION("""COMPUTED_VALUE"""),"Batch 329")</f>
        <v>Batch 329</v>
      </c>
      <c r="B7314" s="9" t="str">
        <f>IFERROR(__xludf.DUMMYFUNCTION("""COMPUTED_VALUE"""),"BurraC329")</f>
        <v>BurraC329</v>
      </c>
      <c r="C7314" s="8">
        <f>IFERROR(__xludf.DUMMYFUNCTION("""COMPUTED_VALUE"""),0.0)</f>
        <v>0</v>
      </c>
      <c r="D7314" s="8"/>
    </row>
    <row r="7315">
      <c r="A7315" s="9" t="str">
        <f>IFERROR(__xludf.DUMMYFUNCTION("""COMPUTED_VALUE"""),"Batch 329")</f>
        <v>Batch 329</v>
      </c>
      <c r="B7315" s="9" t="str">
        <f>IFERROR(__xludf.DUMMYFUNCTION("""COMPUTED_VALUE"""),"RiyaC329")</f>
        <v>RiyaC329</v>
      </c>
      <c r="C7315" s="8">
        <f>IFERROR(__xludf.DUMMYFUNCTION("""COMPUTED_VALUE"""),0.0)</f>
        <v>0</v>
      </c>
      <c r="D7315" s="8"/>
    </row>
    <row r="7316">
      <c r="A7316" s="9" t="str">
        <f>IFERROR(__xludf.DUMMYFUNCTION("""COMPUTED_VALUE"""),"Batch 329")</f>
        <v>Batch 329</v>
      </c>
      <c r="B7316" s="9" t="str">
        <f>IFERROR(__xludf.DUMMYFUNCTION("""COMPUTED_VALUE"""),"PrashamC329")</f>
        <v>PrashamC329</v>
      </c>
      <c r="C7316" s="8">
        <f>IFERROR(__xludf.DUMMYFUNCTION("""COMPUTED_VALUE"""),0.0)</f>
        <v>0</v>
      </c>
      <c r="D7316" s="8"/>
    </row>
    <row r="7317">
      <c r="A7317" s="9" t="str">
        <f>IFERROR(__xludf.DUMMYFUNCTION("""COMPUTED_VALUE"""),"Batch 329")</f>
        <v>Batch 329</v>
      </c>
      <c r="B7317" s="9" t="str">
        <f>IFERROR(__xludf.DUMMYFUNCTION("""COMPUTED_VALUE"""),"BellamkondaC329")</f>
        <v>BellamkondaC329</v>
      </c>
      <c r="C7317" s="8">
        <f>IFERROR(__xludf.DUMMYFUNCTION("""COMPUTED_VALUE"""),0.0)</f>
        <v>0</v>
      </c>
      <c r="D7317" s="8"/>
    </row>
    <row r="7318">
      <c r="A7318" s="9" t="str">
        <f>IFERROR(__xludf.DUMMYFUNCTION("""COMPUTED_VALUE"""),"Batch 329")</f>
        <v>Batch 329</v>
      </c>
      <c r="B7318" s="9" t="str">
        <f>IFERROR(__xludf.DUMMYFUNCTION("""COMPUTED_VALUE"""),"BantanahalC329")</f>
        <v>BantanahalC329</v>
      </c>
      <c r="C7318" s="8">
        <f>IFERROR(__xludf.DUMMYFUNCTION("""COMPUTED_VALUE"""),0.0)</f>
        <v>0</v>
      </c>
      <c r="D7318" s="8"/>
    </row>
    <row r="7319">
      <c r="A7319" s="9" t="str">
        <f>IFERROR(__xludf.DUMMYFUNCTION("""COMPUTED_VALUE"""),"Batch 329")</f>
        <v>Batch 329</v>
      </c>
      <c r="B7319" s="9" t="str">
        <f>IFERROR(__xludf.DUMMYFUNCTION("""COMPUTED_VALUE"""),"SoumyadipC329")</f>
        <v>SoumyadipC329</v>
      </c>
      <c r="C7319" s="8">
        <f>IFERROR(__xludf.DUMMYFUNCTION("""COMPUTED_VALUE"""),0.0)</f>
        <v>0</v>
      </c>
      <c r="D7319" s="8"/>
    </row>
    <row r="7320">
      <c r="A7320" s="9" t="str">
        <f>IFERROR(__xludf.DUMMYFUNCTION("""COMPUTED_VALUE"""),"Batch 329")</f>
        <v>Batch 329</v>
      </c>
      <c r="B7320" s="9" t="str">
        <f>IFERROR(__xludf.DUMMYFUNCTION("""COMPUTED_VALUE"""),"ShannonC329")</f>
        <v>ShannonC329</v>
      </c>
      <c r="C7320" s="8">
        <f>IFERROR(__xludf.DUMMYFUNCTION("""COMPUTED_VALUE"""),0.0)</f>
        <v>0</v>
      </c>
      <c r="D7320" s="8"/>
    </row>
    <row r="7321">
      <c r="A7321" s="9" t="str">
        <f>IFERROR(__xludf.DUMMYFUNCTION("""COMPUTED_VALUE"""),"Batch 329")</f>
        <v>Batch 329</v>
      </c>
      <c r="B7321" s="9" t="str">
        <f>IFERROR(__xludf.DUMMYFUNCTION("""COMPUTED_VALUE"""),"SinghC329")</f>
        <v>SinghC329</v>
      </c>
      <c r="C7321" s="8">
        <f>IFERROR(__xludf.DUMMYFUNCTION("""COMPUTED_VALUE"""),0.0)</f>
        <v>0</v>
      </c>
      <c r="D7321" s="8"/>
    </row>
    <row r="7322">
      <c r="A7322" s="9" t="str">
        <f>IFERROR(__xludf.DUMMYFUNCTION("""COMPUTED_VALUE"""),"Batch 329")</f>
        <v>Batch 329</v>
      </c>
      <c r="B7322" s="9" t="str">
        <f>IFERROR(__xludf.DUMMYFUNCTION("""COMPUTED_VALUE"""),"MedhaC329")</f>
        <v>MedhaC329</v>
      </c>
      <c r="C7322" s="8">
        <f>IFERROR(__xludf.DUMMYFUNCTION("""COMPUTED_VALUE"""),0.0)</f>
        <v>0</v>
      </c>
      <c r="D7322" s="8"/>
    </row>
    <row r="7323">
      <c r="A7323" s="9" t="str">
        <f>IFERROR(__xludf.DUMMYFUNCTION("""COMPUTED_VALUE"""),"Batch 329")</f>
        <v>Batch 329</v>
      </c>
      <c r="B7323" s="9" t="str">
        <f>IFERROR(__xludf.DUMMYFUNCTION("""COMPUTED_VALUE"""),"AlenaC329")</f>
        <v>AlenaC329</v>
      </c>
      <c r="C7323" s="8">
        <f>IFERROR(__xludf.DUMMYFUNCTION("""COMPUTED_VALUE"""),0.0)</f>
        <v>0</v>
      </c>
      <c r="D7323" s="8"/>
    </row>
    <row r="7324">
      <c r="A7324" s="9" t="str">
        <f>IFERROR(__xludf.DUMMYFUNCTION("""COMPUTED_VALUE"""),"Batch 329")</f>
        <v>Batch 329</v>
      </c>
      <c r="B7324" s="9" t="str">
        <f>IFERROR(__xludf.DUMMYFUNCTION("""COMPUTED_VALUE"""),"AvinashC329")</f>
        <v>AvinashC329</v>
      </c>
      <c r="C7324" s="8">
        <f>IFERROR(__xludf.DUMMYFUNCTION("""COMPUTED_VALUE"""),0.0)</f>
        <v>0</v>
      </c>
      <c r="D7324" s="8"/>
    </row>
    <row r="7325">
      <c r="A7325" s="9" t="str">
        <f>IFERROR(__xludf.DUMMYFUNCTION("""COMPUTED_VALUE"""),"Batch 329")</f>
        <v>Batch 329</v>
      </c>
      <c r="B7325" s="9" t="str">
        <f>IFERROR(__xludf.DUMMYFUNCTION("""COMPUTED_VALUE"""),"VidhiC329")</f>
        <v>VidhiC329</v>
      </c>
      <c r="C7325" s="8">
        <f>IFERROR(__xludf.DUMMYFUNCTION("""COMPUTED_VALUE"""),0.0)</f>
        <v>0</v>
      </c>
      <c r="D7325" s="8"/>
    </row>
    <row r="7326">
      <c r="A7326" s="9" t="str">
        <f>IFERROR(__xludf.DUMMYFUNCTION("""COMPUTED_VALUE"""),"Batch 329")</f>
        <v>Batch 329</v>
      </c>
      <c r="B7326" s="9" t="str">
        <f>IFERROR(__xludf.DUMMYFUNCTION("""COMPUTED_VALUE"""),"SahilC329")</f>
        <v>SahilC329</v>
      </c>
      <c r="C7326" s="8">
        <f>IFERROR(__xludf.DUMMYFUNCTION("""COMPUTED_VALUE"""),0.0)</f>
        <v>0</v>
      </c>
      <c r="D7326" s="8"/>
    </row>
    <row r="7327">
      <c r="A7327" s="9" t="str">
        <f>IFERROR(__xludf.DUMMYFUNCTION("""COMPUTED_VALUE"""),"Batch 329")</f>
        <v>Batch 329</v>
      </c>
      <c r="B7327" s="9" t="str">
        <f>IFERROR(__xludf.DUMMYFUNCTION("""COMPUTED_VALUE"""),"RiddhiC329")</f>
        <v>RiddhiC329</v>
      </c>
      <c r="C7327" s="8">
        <f>IFERROR(__xludf.DUMMYFUNCTION("""COMPUTED_VALUE"""),0.0)</f>
        <v>0</v>
      </c>
      <c r="D7327" s="8"/>
    </row>
    <row r="7328">
      <c r="A7328" s="9" t="str">
        <f>IFERROR(__xludf.DUMMYFUNCTION("""COMPUTED_VALUE"""),"Batch 329")</f>
        <v>Batch 329</v>
      </c>
      <c r="B7328" s="9" t="str">
        <f>IFERROR(__xludf.DUMMYFUNCTION("""COMPUTED_VALUE"""),"AdelliC329")</f>
        <v>AdelliC329</v>
      </c>
      <c r="C7328" s="8">
        <f>IFERROR(__xludf.DUMMYFUNCTION("""COMPUTED_VALUE"""),0.0)</f>
        <v>0</v>
      </c>
      <c r="D7328" s="8"/>
    </row>
    <row r="7329">
      <c r="A7329" s="9" t="str">
        <f>IFERROR(__xludf.DUMMYFUNCTION("""COMPUTED_VALUE"""),"Batch 329")</f>
        <v>Batch 329</v>
      </c>
      <c r="B7329" s="9" t="str">
        <f>IFERROR(__xludf.DUMMYFUNCTION("""COMPUTED_VALUE"""),"SANGHAMITRAC329")</f>
        <v>SANGHAMITRAC329</v>
      </c>
      <c r="C7329" s="8">
        <f>IFERROR(__xludf.DUMMYFUNCTION("""COMPUTED_VALUE"""),0.0)</f>
        <v>0</v>
      </c>
      <c r="D7329" s="8"/>
    </row>
    <row r="7330">
      <c r="A7330" s="9" t="str">
        <f>IFERROR(__xludf.DUMMYFUNCTION("""COMPUTED_VALUE"""),"Batch 329")</f>
        <v>Batch 329</v>
      </c>
      <c r="B7330" s="9" t="str">
        <f>IFERROR(__xludf.DUMMYFUNCTION("""COMPUTED_VALUE"""),"KrishnaC329")</f>
        <v>KrishnaC329</v>
      </c>
      <c r="C7330" s="8">
        <f>IFERROR(__xludf.DUMMYFUNCTION("""COMPUTED_VALUE"""),0.0)</f>
        <v>0</v>
      </c>
      <c r="D7330" s="8"/>
    </row>
    <row r="7331">
      <c r="A7331" s="9" t="str">
        <f>IFERROR(__xludf.DUMMYFUNCTION("""COMPUTED_VALUE"""),"Batch 329")</f>
        <v>Batch 329</v>
      </c>
      <c r="B7331" s="9" t="str">
        <f>IFERROR(__xludf.DUMMYFUNCTION("""COMPUTED_VALUE"""),"RudraC329")</f>
        <v>RudraC329</v>
      </c>
      <c r="C7331" s="8">
        <f>IFERROR(__xludf.DUMMYFUNCTION("""COMPUTED_VALUE"""),0.0)</f>
        <v>0</v>
      </c>
      <c r="D7331" s="8"/>
    </row>
    <row r="7332">
      <c r="A7332" s="9" t="str">
        <f>IFERROR(__xludf.DUMMYFUNCTION("""COMPUTED_VALUE"""),"Batch 329")</f>
        <v>Batch 329</v>
      </c>
      <c r="B7332" s="9" t="str">
        <f>IFERROR(__xludf.DUMMYFUNCTION("""COMPUTED_VALUE"""),"KhushiC329")</f>
        <v>KhushiC329</v>
      </c>
      <c r="C7332" s="8">
        <f>IFERROR(__xludf.DUMMYFUNCTION("""COMPUTED_VALUE"""),0.0)</f>
        <v>0</v>
      </c>
      <c r="D7332" s="8"/>
    </row>
    <row r="7333">
      <c r="A7333" s="9" t="str">
        <f>IFERROR(__xludf.DUMMYFUNCTION("""COMPUTED_VALUE"""),"Batch 329")</f>
        <v>Batch 329</v>
      </c>
      <c r="B7333" s="9" t="str">
        <f>IFERROR(__xludf.DUMMYFUNCTION("""COMPUTED_VALUE"""),"KhushiC329")</f>
        <v>KhushiC329</v>
      </c>
      <c r="C7333" s="8">
        <f>IFERROR(__xludf.DUMMYFUNCTION("""COMPUTED_VALUE"""),0.0)</f>
        <v>0</v>
      </c>
      <c r="D7333" s="8"/>
    </row>
    <row r="7334">
      <c r="A7334" s="9" t="str">
        <f>IFERROR(__xludf.DUMMYFUNCTION("""COMPUTED_VALUE"""),"Batch 329")</f>
        <v>Batch 329</v>
      </c>
      <c r="B7334" s="9" t="str">
        <f>IFERROR(__xludf.DUMMYFUNCTION("""COMPUTED_VALUE"""),"ChinmayC329")</f>
        <v>ChinmayC329</v>
      </c>
      <c r="C7334" s="8">
        <f>IFERROR(__xludf.DUMMYFUNCTION("""COMPUTED_VALUE"""),4.0)</f>
        <v>4</v>
      </c>
      <c r="D7334" s="8">
        <f>IFERROR(__xludf.DUMMYFUNCTION("""COMPUTED_VALUE"""),1.0)</f>
        <v>1</v>
      </c>
    </row>
    <row r="7335">
      <c r="A7335" s="9" t="str">
        <f>IFERROR(__xludf.DUMMYFUNCTION("""COMPUTED_VALUE"""),"Batch 329")</f>
        <v>Batch 329</v>
      </c>
      <c r="B7335" s="9" t="str">
        <f>IFERROR(__xludf.DUMMYFUNCTION("""COMPUTED_VALUE"""),"AnanyaC329")</f>
        <v>AnanyaC329</v>
      </c>
      <c r="C7335" s="8">
        <f>IFERROR(__xludf.DUMMYFUNCTION("""COMPUTED_VALUE"""),0.0)</f>
        <v>0</v>
      </c>
      <c r="D7335" s="8"/>
    </row>
    <row r="7336">
      <c r="A7336" s="9" t="str">
        <f>IFERROR(__xludf.DUMMYFUNCTION("""COMPUTED_VALUE"""),"Batch 329")</f>
        <v>Batch 329</v>
      </c>
      <c r="B7336" s="9" t="str">
        <f>IFERROR(__xludf.DUMMYFUNCTION("""COMPUTED_VALUE"""),"KritikaC329")</f>
        <v>KritikaC329</v>
      </c>
      <c r="C7336" s="8">
        <f>IFERROR(__xludf.DUMMYFUNCTION("""COMPUTED_VALUE"""),0.0)</f>
        <v>0</v>
      </c>
      <c r="D7336" s="8"/>
    </row>
    <row r="7337">
      <c r="A7337" s="9" t="str">
        <f>IFERROR(__xludf.DUMMYFUNCTION("""COMPUTED_VALUE"""),"Batch 329")</f>
        <v>Batch 329</v>
      </c>
      <c r="B7337" s="9" t="str">
        <f>IFERROR(__xludf.DUMMYFUNCTION("""COMPUTED_VALUE"""),"NihashiniC329")</f>
        <v>NihashiniC329</v>
      </c>
      <c r="C7337" s="8">
        <f>IFERROR(__xludf.DUMMYFUNCTION("""COMPUTED_VALUE"""),0.0)</f>
        <v>0</v>
      </c>
      <c r="D7337" s="8"/>
    </row>
    <row r="7338">
      <c r="A7338" s="9" t="str">
        <f>IFERROR(__xludf.DUMMYFUNCTION("""COMPUTED_VALUE"""),"Batch 329")</f>
        <v>Batch 329</v>
      </c>
      <c r="B7338" s="9" t="str">
        <f>IFERROR(__xludf.DUMMYFUNCTION("""COMPUTED_VALUE"""),"AnamikaC329")</f>
        <v>AnamikaC329</v>
      </c>
      <c r="C7338" s="8">
        <f>IFERROR(__xludf.DUMMYFUNCTION("""COMPUTED_VALUE"""),0.0)</f>
        <v>0</v>
      </c>
      <c r="D7338" s="8"/>
    </row>
    <row r="7339">
      <c r="A7339" s="9" t="str">
        <f>IFERROR(__xludf.DUMMYFUNCTION("""COMPUTED_VALUE"""),"Batch 329")</f>
        <v>Batch 329</v>
      </c>
      <c r="B7339" s="9" t="str">
        <f>IFERROR(__xludf.DUMMYFUNCTION("""COMPUTED_VALUE"""),"ROHANC329")</f>
        <v>ROHANC329</v>
      </c>
      <c r="C7339" s="8">
        <f>IFERROR(__xludf.DUMMYFUNCTION("""COMPUTED_VALUE"""),0.0)</f>
        <v>0</v>
      </c>
      <c r="D7339" s="8"/>
    </row>
    <row r="7340">
      <c r="A7340" s="9" t="str">
        <f>IFERROR(__xludf.DUMMYFUNCTION("""COMPUTED_VALUE"""),"Batch 329")</f>
        <v>Batch 329</v>
      </c>
      <c r="B7340" s="9" t="str">
        <f>IFERROR(__xludf.DUMMYFUNCTION("""COMPUTED_VALUE"""),"CharinaC329")</f>
        <v>CharinaC329</v>
      </c>
      <c r="C7340" s="8">
        <f>IFERROR(__xludf.DUMMYFUNCTION("""COMPUTED_VALUE"""),0.0)</f>
        <v>0</v>
      </c>
      <c r="D7340" s="8"/>
    </row>
    <row r="7341">
      <c r="A7341" s="9" t="str">
        <f>IFERROR(__xludf.DUMMYFUNCTION("""COMPUTED_VALUE"""),"Batch 329")</f>
        <v>Batch 329</v>
      </c>
      <c r="B7341" s="9" t="str">
        <f>IFERROR(__xludf.DUMMYFUNCTION("""COMPUTED_VALUE"""),"ShubhikaC329")</f>
        <v>ShubhikaC329</v>
      </c>
      <c r="C7341" s="8">
        <f>IFERROR(__xludf.DUMMYFUNCTION("""COMPUTED_VALUE"""),0.0)</f>
        <v>0</v>
      </c>
      <c r="D7341" s="8"/>
    </row>
    <row r="7342">
      <c r="A7342" s="9" t="str">
        <f>IFERROR(__xludf.DUMMYFUNCTION("""COMPUTED_VALUE"""),"Batch 329")</f>
        <v>Batch 329</v>
      </c>
      <c r="B7342" s="9" t="str">
        <f>IFERROR(__xludf.DUMMYFUNCTION("""COMPUTED_VALUE"""),"SimranC329")</f>
        <v>SimranC329</v>
      </c>
      <c r="C7342" s="8">
        <f>IFERROR(__xludf.DUMMYFUNCTION("""COMPUTED_VALUE"""),0.0)</f>
        <v>0</v>
      </c>
      <c r="D7342" s="8"/>
    </row>
    <row r="7343">
      <c r="A7343" s="9" t="str">
        <f>IFERROR(__xludf.DUMMYFUNCTION("""COMPUTED_VALUE"""),"Batch 329")</f>
        <v>Batch 329</v>
      </c>
      <c r="B7343" s="9" t="str">
        <f>IFERROR(__xludf.DUMMYFUNCTION("""COMPUTED_VALUE"""),"SuryaC329")</f>
        <v>SuryaC329</v>
      </c>
      <c r="C7343" s="8">
        <f>IFERROR(__xludf.DUMMYFUNCTION("""COMPUTED_VALUE"""),0.0)</f>
        <v>0</v>
      </c>
      <c r="D7343" s="8"/>
    </row>
    <row r="7344">
      <c r="A7344" s="9" t="str">
        <f>IFERROR(__xludf.DUMMYFUNCTION("""COMPUTED_VALUE"""),"Batch 329")</f>
        <v>Batch 329</v>
      </c>
      <c r="B7344" s="9" t="str">
        <f>IFERROR(__xludf.DUMMYFUNCTION("""COMPUTED_VALUE"""),"AnshikaC329")</f>
        <v>AnshikaC329</v>
      </c>
      <c r="C7344" s="8">
        <f>IFERROR(__xludf.DUMMYFUNCTION("""COMPUTED_VALUE"""),0.0)</f>
        <v>0</v>
      </c>
      <c r="D7344" s="8"/>
    </row>
    <row r="7345">
      <c r="A7345" s="9" t="str">
        <f>IFERROR(__xludf.DUMMYFUNCTION("""COMPUTED_VALUE"""),"Batch 329")</f>
        <v>Batch 329</v>
      </c>
      <c r="B7345" s="9" t="str">
        <f>IFERROR(__xludf.DUMMYFUNCTION("""COMPUTED_VALUE"""),"PoojaC329")</f>
        <v>PoojaC329</v>
      </c>
      <c r="C7345" s="8">
        <f>IFERROR(__xludf.DUMMYFUNCTION("""COMPUTED_VALUE"""),0.0)</f>
        <v>0</v>
      </c>
      <c r="D7345" s="8"/>
    </row>
    <row r="7346">
      <c r="A7346" s="9" t="str">
        <f>IFERROR(__xludf.DUMMYFUNCTION("""COMPUTED_VALUE"""),"Batch 329")</f>
        <v>Batch 329</v>
      </c>
      <c r="B7346" s="9" t="str">
        <f>IFERROR(__xludf.DUMMYFUNCTION("""COMPUTED_VALUE"""),"ParokshC329")</f>
        <v>ParokshC329</v>
      </c>
      <c r="C7346" s="8">
        <f>IFERROR(__xludf.DUMMYFUNCTION("""COMPUTED_VALUE"""),29.0)</f>
        <v>29</v>
      </c>
      <c r="D7346" s="8">
        <f>IFERROR(__xludf.DUMMYFUNCTION("""COMPUTED_VALUE"""),3.0)</f>
        <v>3</v>
      </c>
    </row>
    <row r="7347">
      <c r="A7347" s="9" t="str">
        <f>IFERROR(__xludf.DUMMYFUNCTION("""COMPUTED_VALUE"""),"Batch 329")</f>
        <v>Batch 329</v>
      </c>
      <c r="B7347" s="9" t="str">
        <f>IFERROR(__xludf.DUMMYFUNCTION("""COMPUTED_VALUE"""),"PrachiC329")</f>
        <v>PrachiC329</v>
      </c>
      <c r="C7347" s="8">
        <f>IFERROR(__xludf.DUMMYFUNCTION("""COMPUTED_VALUE"""),0.0)</f>
        <v>0</v>
      </c>
      <c r="D7347" s="8"/>
    </row>
    <row r="7348">
      <c r="A7348" s="9" t="str">
        <f>IFERROR(__xludf.DUMMYFUNCTION("""COMPUTED_VALUE"""),"Batch 329")</f>
        <v>Batch 329</v>
      </c>
      <c r="B7348" s="9" t="str">
        <f>IFERROR(__xludf.DUMMYFUNCTION("""COMPUTED_VALUE"""),"IshitaC329")</f>
        <v>IshitaC329</v>
      </c>
      <c r="C7348" s="8">
        <f>IFERROR(__xludf.DUMMYFUNCTION("""COMPUTED_VALUE"""),0.0)</f>
        <v>0</v>
      </c>
      <c r="D7348" s="8"/>
    </row>
    <row r="7349">
      <c r="A7349" s="9" t="str">
        <f>IFERROR(__xludf.DUMMYFUNCTION("""COMPUTED_VALUE"""),"Batch 329")</f>
        <v>Batch 329</v>
      </c>
      <c r="B7349" s="9" t="str">
        <f>IFERROR(__xludf.DUMMYFUNCTION("""COMPUTED_VALUE"""),"RajveerC329")</f>
        <v>RajveerC329</v>
      </c>
      <c r="C7349" s="8">
        <f>IFERROR(__xludf.DUMMYFUNCTION("""COMPUTED_VALUE"""),5.0)</f>
        <v>5</v>
      </c>
      <c r="D7349" s="8"/>
    </row>
    <row r="7350">
      <c r="A7350" s="9" t="str">
        <f>IFERROR(__xludf.DUMMYFUNCTION("""COMPUTED_VALUE"""),"Batch 329")</f>
        <v>Batch 329</v>
      </c>
      <c r="B7350" s="9" t="str">
        <f>IFERROR(__xludf.DUMMYFUNCTION("""COMPUTED_VALUE"""),"BhandaruC329")</f>
        <v>BhandaruC329</v>
      </c>
      <c r="C7350" s="8">
        <f>IFERROR(__xludf.DUMMYFUNCTION("""COMPUTED_VALUE"""),0.0)</f>
        <v>0</v>
      </c>
      <c r="D7350" s="8"/>
    </row>
    <row r="7351">
      <c r="A7351" s="9" t="str">
        <f>IFERROR(__xludf.DUMMYFUNCTION("""COMPUTED_VALUE"""),"Batch 329")</f>
        <v>Batch 329</v>
      </c>
      <c r="B7351" s="9" t="str">
        <f>IFERROR(__xludf.DUMMYFUNCTION("""COMPUTED_VALUE"""),"RohanC329")</f>
        <v>RohanC329</v>
      </c>
      <c r="C7351" s="8">
        <f>IFERROR(__xludf.DUMMYFUNCTION("""COMPUTED_VALUE"""),0.0)</f>
        <v>0</v>
      </c>
      <c r="D7351" s="8"/>
    </row>
    <row r="7352">
      <c r="A7352" s="9" t="str">
        <f>IFERROR(__xludf.DUMMYFUNCTION("""COMPUTED_VALUE"""),"Batch 329")</f>
        <v>Batch 329</v>
      </c>
      <c r="B7352" s="9" t="str">
        <f>IFERROR(__xludf.DUMMYFUNCTION("""COMPUTED_VALUE"""),"KathilaC329")</f>
        <v>KathilaC329</v>
      </c>
      <c r="C7352" s="8">
        <f>IFERROR(__xludf.DUMMYFUNCTION("""COMPUTED_VALUE"""),0.0)</f>
        <v>0</v>
      </c>
      <c r="D7352" s="8"/>
    </row>
    <row r="7353">
      <c r="A7353" s="9" t="str">
        <f>IFERROR(__xludf.DUMMYFUNCTION("""COMPUTED_VALUE"""),"Batch 329")</f>
        <v>Batch 329</v>
      </c>
      <c r="B7353" s="9" t="str">
        <f>IFERROR(__xludf.DUMMYFUNCTION("""COMPUTED_VALUE"""),"RishiC329")</f>
        <v>RishiC329</v>
      </c>
      <c r="C7353" s="8">
        <f>IFERROR(__xludf.DUMMYFUNCTION("""COMPUTED_VALUE"""),1.0)</f>
        <v>1</v>
      </c>
      <c r="D7353" s="8"/>
    </row>
    <row r="7354">
      <c r="A7354" s="9" t="str">
        <f>IFERROR(__xludf.DUMMYFUNCTION("""COMPUTED_VALUE"""),"Batch 329")</f>
        <v>Batch 329</v>
      </c>
      <c r="B7354" s="9" t="str">
        <f>IFERROR(__xludf.DUMMYFUNCTION("""COMPUTED_VALUE"""),"ManvendraC329")</f>
        <v>ManvendraC329</v>
      </c>
      <c r="C7354" s="8">
        <f>IFERROR(__xludf.DUMMYFUNCTION("""COMPUTED_VALUE"""),0.0)</f>
        <v>0</v>
      </c>
      <c r="D7354" s="8"/>
    </row>
    <row r="7355">
      <c r="A7355" s="9" t="str">
        <f>IFERROR(__xludf.DUMMYFUNCTION("""COMPUTED_VALUE"""),"Batch 329")</f>
        <v>Batch 329</v>
      </c>
      <c r="B7355" s="9" t="str">
        <f>IFERROR(__xludf.DUMMYFUNCTION("""COMPUTED_VALUE"""),"DeepanjaliC329")</f>
        <v>DeepanjaliC329</v>
      </c>
      <c r="C7355" s="8">
        <f>IFERROR(__xludf.DUMMYFUNCTION("""COMPUTED_VALUE"""),0.0)</f>
        <v>0</v>
      </c>
      <c r="D7355" s="8"/>
    </row>
    <row r="7356">
      <c r="A7356" s="9" t="str">
        <f>IFERROR(__xludf.DUMMYFUNCTION("""COMPUTED_VALUE"""),"Batch 329")</f>
        <v>Batch 329</v>
      </c>
      <c r="B7356" s="9" t="str">
        <f>IFERROR(__xludf.DUMMYFUNCTION("""COMPUTED_VALUE"""),"priyanshiC329")</f>
        <v>priyanshiC329</v>
      </c>
      <c r="C7356" s="8">
        <f>IFERROR(__xludf.DUMMYFUNCTION("""COMPUTED_VALUE"""),0.0)</f>
        <v>0</v>
      </c>
      <c r="D7356" s="8"/>
    </row>
    <row r="7357">
      <c r="A7357" s="9" t="str">
        <f>IFERROR(__xludf.DUMMYFUNCTION("""COMPUTED_VALUE"""),"Batch 329")</f>
        <v>Batch 329</v>
      </c>
      <c r="B7357" s="9" t="str">
        <f>IFERROR(__xludf.DUMMYFUNCTION("""COMPUTED_VALUE"""),"ShubhikaC329")</f>
        <v>ShubhikaC329</v>
      </c>
      <c r="C7357" s="8">
        <f>IFERROR(__xludf.DUMMYFUNCTION("""COMPUTED_VALUE"""),0.0)</f>
        <v>0</v>
      </c>
      <c r="D7357" s="8"/>
    </row>
    <row r="7358">
      <c r="A7358" s="9" t="str">
        <f>IFERROR(__xludf.DUMMYFUNCTION("""COMPUTED_VALUE"""),"Batch 329")</f>
        <v>Batch 329</v>
      </c>
      <c r="B7358" s="9" t="str">
        <f>IFERROR(__xludf.DUMMYFUNCTION("""COMPUTED_VALUE"""),"ArindamC329")</f>
        <v>ArindamC329</v>
      </c>
      <c r="C7358" s="8">
        <f>IFERROR(__xludf.DUMMYFUNCTION("""COMPUTED_VALUE"""),0.0)</f>
        <v>0</v>
      </c>
      <c r="D7358" s="8"/>
    </row>
    <row r="7359">
      <c r="A7359" s="9" t="str">
        <f>IFERROR(__xludf.DUMMYFUNCTION("""COMPUTED_VALUE"""),"Batch 329")</f>
        <v>Batch 329</v>
      </c>
      <c r="B7359" s="9" t="str">
        <f>IFERROR(__xludf.DUMMYFUNCTION("""COMPUTED_VALUE"""),"FaizanC329")</f>
        <v>FaizanC329</v>
      </c>
      <c r="C7359" s="8">
        <f>IFERROR(__xludf.DUMMYFUNCTION("""COMPUTED_VALUE"""),0.0)</f>
        <v>0</v>
      </c>
      <c r="D7359" s="8"/>
    </row>
    <row r="7360">
      <c r="A7360" s="9" t="str">
        <f>IFERROR(__xludf.DUMMYFUNCTION("""COMPUTED_VALUE"""),"Batch 329")</f>
        <v>Batch 329</v>
      </c>
      <c r="B7360" s="9" t="str">
        <f>IFERROR(__xludf.DUMMYFUNCTION("""COMPUTED_VALUE"""),"RuchiC329")</f>
        <v>RuchiC329</v>
      </c>
      <c r="C7360" s="8">
        <f>IFERROR(__xludf.DUMMYFUNCTION("""COMPUTED_VALUE"""),0.0)</f>
        <v>0</v>
      </c>
      <c r="D7360" s="8"/>
    </row>
    <row r="7361">
      <c r="A7361" s="9" t="str">
        <f>IFERROR(__xludf.DUMMYFUNCTION("""COMPUTED_VALUE"""),"Batch 329")</f>
        <v>Batch 329</v>
      </c>
      <c r="B7361" s="9" t="str">
        <f>IFERROR(__xludf.DUMMYFUNCTION("""COMPUTED_VALUE"""),"poojaTC329")</f>
        <v>poojaTC329</v>
      </c>
      <c r="C7361" s="8">
        <f>IFERROR(__xludf.DUMMYFUNCTION("""COMPUTED_VALUE"""),0.0)</f>
        <v>0</v>
      </c>
      <c r="D7361" s="8"/>
    </row>
    <row r="7362">
      <c r="A7362" s="9" t="str">
        <f>IFERROR(__xludf.DUMMYFUNCTION("""COMPUTED_VALUE"""),"Batch 329")</f>
        <v>Batch 329</v>
      </c>
      <c r="B7362" s="9" t="str">
        <f>IFERROR(__xludf.DUMMYFUNCTION("""COMPUTED_VALUE"""),"ArnavC329")</f>
        <v>ArnavC329</v>
      </c>
      <c r="C7362" s="8">
        <f>IFERROR(__xludf.DUMMYFUNCTION("""COMPUTED_VALUE"""),0.0)</f>
        <v>0</v>
      </c>
      <c r="D7362" s="8"/>
    </row>
    <row r="7363">
      <c r="A7363" s="9" t="str">
        <f>IFERROR(__xludf.DUMMYFUNCTION("""COMPUTED_VALUE"""),"Batch 329")</f>
        <v>Batch 329</v>
      </c>
      <c r="B7363" s="9" t="str">
        <f>IFERROR(__xludf.DUMMYFUNCTION("""COMPUTED_VALUE"""),"AvniC329")</f>
        <v>AvniC329</v>
      </c>
      <c r="C7363" s="8">
        <f>IFERROR(__xludf.DUMMYFUNCTION("""COMPUTED_VALUE"""),0.0)</f>
        <v>0</v>
      </c>
      <c r="D7363" s="8"/>
    </row>
    <row r="7364">
      <c r="A7364" s="9" t="str">
        <f>IFERROR(__xludf.DUMMYFUNCTION("""COMPUTED_VALUE"""),"Batch 329")</f>
        <v>Batch 329</v>
      </c>
      <c r="B7364" s="9" t="str">
        <f>IFERROR(__xludf.DUMMYFUNCTION("""COMPUTED_VALUE"""),"AadyaC329")</f>
        <v>AadyaC329</v>
      </c>
      <c r="C7364" s="8">
        <f>IFERROR(__xludf.DUMMYFUNCTION("""COMPUTED_VALUE"""),1.0)</f>
        <v>1</v>
      </c>
      <c r="D7364" s="8"/>
    </row>
    <row r="7365">
      <c r="A7365" s="9" t="str">
        <f>IFERROR(__xludf.DUMMYFUNCTION("""COMPUTED_VALUE"""),"Batch 329")</f>
        <v>Batch 329</v>
      </c>
      <c r="B7365" s="9" t="str">
        <f>IFERROR(__xludf.DUMMYFUNCTION("""COMPUTED_VALUE"""),"ShreyaC329")</f>
        <v>ShreyaC329</v>
      </c>
      <c r="C7365" s="8">
        <f>IFERROR(__xludf.DUMMYFUNCTION("""COMPUTED_VALUE"""),0.0)</f>
        <v>0</v>
      </c>
      <c r="D7365" s="8"/>
    </row>
    <row r="7366">
      <c r="A7366" s="9" t="str">
        <f>IFERROR(__xludf.DUMMYFUNCTION("""COMPUTED_VALUE"""),"Batch 329")</f>
        <v>Batch 329</v>
      </c>
      <c r="B7366" s="9" t="str">
        <f>IFERROR(__xludf.DUMMYFUNCTION("""COMPUTED_VALUE"""),"AntraC329")</f>
        <v>AntraC329</v>
      </c>
      <c r="C7366" s="8">
        <f>IFERROR(__xludf.DUMMYFUNCTION("""COMPUTED_VALUE"""),0.0)</f>
        <v>0</v>
      </c>
      <c r="D7366" s="8"/>
    </row>
    <row r="7367">
      <c r="A7367" s="9" t="str">
        <f>IFERROR(__xludf.DUMMYFUNCTION("""COMPUTED_VALUE"""),"Batch 329")</f>
        <v>Batch 329</v>
      </c>
      <c r="B7367" s="9" t="str">
        <f>IFERROR(__xludf.DUMMYFUNCTION("""COMPUTED_VALUE"""),"VedantC329")</f>
        <v>VedantC329</v>
      </c>
      <c r="C7367" s="8">
        <f>IFERROR(__xludf.DUMMYFUNCTION("""COMPUTED_VALUE"""),0.0)</f>
        <v>0</v>
      </c>
      <c r="D7367" s="8"/>
    </row>
    <row r="7368">
      <c r="A7368" s="9" t="str">
        <f>IFERROR(__xludf.DUMMYFUNCTION("""COMPUTED_VALUE"""),"Batch 329")</f>
        <v>Batch 329</v>
      </c>
      <c r="B7368" s="9" t="str">
        <f>IFERROR(__xludf.DUMMYFUNCTION("""COMPUTED_VALUE"""),"ShashankC329")</f>
        <v>ShashankC329</v>
      </c>
      <c r="C7368" s="8">
        <f>IFERROR(__xludf.DUMMYFUNCTION("""COMPUTED_VALUE"""),0.0)</f>
        <v>0</v>
      </c>
      <c r="D7368" s="8"/>
    </row>
    <row r="7369">
      <c r="A7369" s="9" t="str">
        <f>IFERROR(__xludf.DUMMYFUNCTION("""COMPUTED_VALUE"""),"Batch 329")</f>
        <v>Batch 329</v>
      </c>
      <c r="B7369" s="9" t="str">
        <f>IFERROR(__xludf.DUMMYFUNCTION("""COMPUTED_VALUE"""),"EkakshiC329")</f>
        <v>EkakshiC329</v>
      </c>
      <c r="C7369" s="8">
        <f>IFERROR(__xludf.DUMMYFUNCTION("""COMPUTED_VALUE"""),5.0)</f>
        <v>5</v>
      </c>
      <c r="D7369" s="8"/>
    </row>
    <row r="7370">
      <c r="A7370" s="9" t="str">
        <f>IFERROR(__xludf.DUMMYFUNCTION("""COMPUTED_VALUE"""),"Batch 329")</f>
        <v>Batch 329</v>
      </c>
      <c r="B7370" s="9" t="str">
        <f>IFERROR(__xludf.DUMMYFUNCTION("""COMPUTED_VALUE"""),"SukeerthC329")</f>
        <v>SukeerthC329</v>
      </c>
      <c r="C7370" s="8">
        <f>IFERROR(__xludf.DUMMYFUNCTION("""COMPUTED_VALUE"""),0.0)</f>
        <v>0</v>
      </c>
      <c r="D7370" s="8"/>
    </row>
    <row r="7371">
      <c r="A7371" s="9" t="str">
        <f>IFERROR(__xludf.DUMMYFUNCTION("""COMPUTED_VALUE"""),"Batch 329")</f>
        <v>Batch 329</v>
      </c>
      <c r="B7371" s="9" t="str">
        <f>IFERROR(__xludf.DUMMYFUNCTION("""COMPUTED_VALUE"""),"RiyaC329")</f>
        <v>RiyaC329</v>
      </c>
      <c r="C7371" s="8">
        <f>IFERROR(__xludf.DUMMYFUNCTION("""COMPUTED_VALUE"""),0.0)</f>
        <v>0</v>
      </c>
      <c r="D7371" s="8"/>
    </row>
    <row r="7372">
      <c r="A7372" s="9" t="str">
        <f>IFERROR(__xludf.DUMMYFUNCTION("""COMPUTED_VALUE"""),"Batch 329")</f>
        <v>Batch 329</v>
      </c>
      <c r="B7372" s="9" t="str">
        <f>IFERROR(__xludf.DUMMYFUNCTION("""COMPUTED_VALUE"""),"SonalikaC329")</f>
        <v>SonalikaC329</v>
      </c>
      <c r="C7372" s="8">
        <f>IFERROR(__xludf.DUMMYFUNCTION("""COMPUTED_VALUE"""),0.0)</f>
        <v>0</v>
      </c>
      <c r="D7372" s="8"/>
    </row>
    <row r="7373">
      <c r="A7373" s="9" t="str">
        <f>IFERROR(__xludf.DUMMYFUNCTION("""COMPUTED_VALUE"""),"Batch 329")</f>
        <v>Batch 329</v>
      </c>
      <c r="B7373" s="9" t="str">
        <f>IFERROR(__xludf.DUMMYFUNCTION("""COMPUTED_VALUE"""),"chandanC329")</f>
        <v>chandanC329</v>
      </c>
      <c r="C7373" s="8">
        <f>IFERROR(__xludf.DUMMYFUNCTION("""COMPUTED_VALUE"""),0.0)</f>
        <v>0</v>
      </c>
      <c r="D7373" s="8"/>
    </row>
    <row r="7374">
      <c r="A7374" s="9" t="str">
        <f>IFERROR(__xludf.DUMMYFUNCTION("""COMPUTED_VALUE"""),"Batch 329")</f>
        <v>Batch 329</v>
      </c>
      <c r="B7374" s="9" t="str">
        <f>IFERROR(__xludf.DUMMYFUNCTION("""COMPUTED_VALUE"""),"RishabhC329")</f>
        <v>RishabhC329</v>
      </c>
      <c r="C7374" s="8">
        <f>IFERROR(__xludf.DUMMYFUNCTION("""COMPUTED_VALUE"""),0.0)</f>
        <v>0</v>
      </c>
      <c r="D7374" s="8"/>
    </row>
    <row r="7375">
      <c r="A7375" s="9" t="str">
        <f>IFERROR(__xludf.DUMMYFUNCTION("""COMPUTED_VALUE"""),"Batch 329")</f>
        <v>Batch 329</v>
      </c>
      <c r="B7375" s="9" t="str">
        <f>IFERROR(__xludf.DUMMYFUNCTION("""COMPUTED_VALUE"""),"rishabhC329")</f>
        <v>rishabhC329</v>
      </c>
      <c r="C7375" s="8">
        <f>IFERROR(__xludf.DUMMYFUNCTION("""COMPUTED_VALUE"""),0.0)</f>
        <v>0</v>
      </c>
      <c r="D7375" s="8"/>
    </row>
    <row r="7376">
      <c r="A7376" s="9" t="str">
        <f>IFERROR(__xludf.DUMMYFUNCTION("""COMPUTED_VALUE"""),"Batch 329")</f>
        <v>Batch 329</v>
      </c>
      <c r="B7376" s="9" t="str">
        <f>IFERROR(__xludf.DUMMYFUNCTION("""COMPUTED_VALUE"""),"JaiminC329")</f>
        <v>JaiminC329</v>
      </c>
      <c r="C7376" s="8">
        <f>IFERROR(__xludf.DUMMYFUNCTION("""COMPUTED_VALUE"""),0.0)</f>
        <v>0</v>
      </c>
      <c r="D7376" s="8"/>
    </row>
    <row r="7377">
      <c r="A7377" s="9" t="str">
        <f>IFERROR(__xludf.DUMMYFUNCTION("""COMPUTED_VALUE"""),"Batch 329")</f>
        <v>Batch 329</v>
      </c>
      <c r="B7377" s="9" t="str">
        <f>IFERROR(__xludf.DUMMYFUNCTION("""COMPUTED_VALUE"""),"NamanC329")</f>
        <v>NamanC329</v>
      </c>
      <c r="C7377" s="8">
        <f>IFERROR(__xludf.DUMMYFUNCTION("""COMPUTED_VALUE"""),0.0)</f>
        <v>0</v>
      </c>
      <c r="D7377" s="8"/>
    </row>
    <row r="7378">
      <c r="A7378" s="9" t="str">
        <f>IFERROR(__xludf.DUMMYFUNCTION("""COMPUTED_VALUE"""),"Batch 329")</f>
        <v>Batch 329</v>
      </c>
      <c r="B7378" s="9" t="str">
        <f>IFERROR(__xludf.DUMMYFUNCTION("""COMPUTED_VALUE"""),"BhuneshC329")</f>
        <v>BhuneshC329</v>
      </c>
      <c r="C7378" s="8">
        <f>IFERROR(__xludf.DUMMYFUNCTION("""COMPUTED_VALUE"""),0.0)</f>
        <v>0</v>
      </c>
      <c r="D7378" s="8"/>
    </row>
    <row r="7379">
      <c r="A7379" s="9" t="str">
        <f>IFERROR(__xludf.DUMMYFUNCTION("""COMPUTED_VALUE"""),"Batch 329")</f>
        <v>Batch 329</v>
      </c>
      <c r="B7379" s="9" t="str">
        <f>IFERROR(__xludf.DUMMYFUNCTION("""COMPUTED_VALUE"""),"ZameerC329")</f>
        <v>ZameerC329</v>
      </c>
      <c r="C7379" s="8">
        <f>IFERROR(__xludf.DUMMYFUNCTION("""COMPUTED_VALUE"""),0.0)</f>
        <v>0</v>
      </c>
      <c r="D7379" s="8"/>
    </row>
    <row r="7380">
      <c r="A7380" s="9" t="str">
        <f>IFERROR(__xludf.DUMMYFUNCTION("""COMPUTED_VALUE"""),"Batch 329")</f>
        <v>Batch 329</v>
      </c>
      <c r="B7380" s="9" t="str">
        <f>IFERROR(__xludf.DUMMYFUNCTION("""COMPUTED_VALUE"""),"TanishC329")</f>
        <v>TanishC329</v>
      </c>
      <c r="C7380" s="8">
        <f>IFERROR(__xludf.DUMMYFUNCTION("""COMPUTED_VALUE"""),0.0)</f>
        <v>0</v>
      </c>
      <c r="D7380" s="8"/>
    </row>
    <row r="7381">
      <c r="A7381" s="9" t="str">
        <f>IFERROR(__xludf.DUMMYFUNCTION("""COMPUTED_VALUE"""),"Batch 329")</f>
        <v>Batch 329</v>
      </c>
      <c r="B7381" s="9" t="str">
        <f>IFERROR(__xludf.DUMMYFUNCTION("""COMPUTED_VALUE"""),"RidaC329")</f>
        <v>RidaC329</v>
      </c>
      <c r="C7381" s="8">
        <f>IFERROR(__xludf.DUMMYFUNCTION("""COMPUTED_VALUE"""),0.0)</f>
        <v>0</v>
      </c>
      <c r="D7381" s="8"/>
    </row>
    <row r="7382">
      <c r="A7382" s="9" t="str">
        <f>IFERROR(__xludf.DUMMYFUNCTION("""COMPUTED_VALUE"""),"Batch 329")</f>
        <v>Batch 329</v>
      </c>
      <c r="B7382" s="9" t="str">
        <f>IFERROR(__xludf.DUMMYFUNCTION("""COMPUTED_VALUE"""),"ShivaniC329")</f>
        <v>ShivaniC329</v>
      </c>
      <c r="C7382" s="8">
        <f>IFERROR(__xludf.DUMMYFUNCTION("""COMPUTED_VALUE"""),1.0)</f>
        <v>1</v>
      </c>
      <c r="D7382" s="8"/>
    </row>
    <row r="7383">
      <c r="A7383" s="9" t="str">
        <f>IFERROR(__xludf.DUMMYFUNCTION("""COMPUTED_VALUE"""),"Batch 329")</f>
        <v>Batch 329</v>
      </c>
      <c r="B7383" s="9" t="str">
        <f>IFERROR(__xludf.DUMMYFUNCTION("""COMPUTED_VALUE"""),"PrachiC329")</f>
        <v>PrachiC329</v>
      </c>
      <c r="C7383" s="8">
        <f>IFERROR(__xludf.DUMMYFUNCTION("""COMPUTED_VALUE"""),0.0)</f>
        <v>0</v>
      </c>
      <c r="D7383" s="8"/>
    </row>
    <row r="7384">
      <c r="A7384" s="9" t="str">
        <f>IFERROR(__xludf.DUMMYFUNCTION("""COMPUTED_VALUE"""),"Batch 329")</f>
        <v>Batch 329</v>
      </c>
      <c r="B7384" s="9" t="str">
        <f>IFERROR(__xludf.DUMMYFUNCTION("""COMPUTED_VALUE"""),"KushC329")</f>
        <v>KushC329</v>
      </c>
      <c r="C7384" s="8">
        <f>IFERROR(__xludf.DUMMYFUNCTION("""COMPUTED_VALUE"""),0.0)</f>
        <v>0</v>
      </c>
      <c r="D7384" s="8"/>
    </row>
    <row r="7385">
      <c r="A7385" s="9" t="str">
        <f>IFERROR(__xludf.DUMMYFUNCTION("""COMPUTED_VALUE"""),"Batch 329")</f>
        <v>Batch 329</v>
      </c>
      <c r="B7385" s="9" t="str">
        <f>IFERROR(__xludf.DUMMYFUNCTION("""COMPUTED_VALUE"""),"PrastutiC329")</f>
        <v>PrastutiC329</v>
      </c>
      <c r="C7385" s="8">
        <f>IFERROR(__xludf.DUMMYFUNCTION("""COMPUTED_VALUE"""),0.0)</f>
        <v>0</v>
      </c>
      <c r="D7385" s="8"/>
    </row>
    <row r="7386">
      <c r="A7386" s="9" t="str">
        <f>IFERROR(__xludf.DUMMYFUNCTION("""COMPUTED_VALUE"""),"Batch 329")</f>
        <v>Batch 329</v>
      </c>
      <c r="B7386" s="9" t="str">
        <f>IFERROR(__xludf.DUMMYFUNCTION("""COMPUTED_VALUE"""),"JyotiC329")</f>
        <v>JyotiC329</v>
      </c>
      <c r="C7386" s="8">
        <f>IFERROR(__xludf.DUMMYFUNCTION("""COMPUTED_VALUE"""),0.0)</f>
        <v>0</v>
      </c>
      <c r="D7386" s="8"/>
    </row>
    <row r="7387">
      <c r="A7387" s="9" t="str">
        <f>IFERROR(__xludf.DUMMYFUNCTION("""COMPUTED_VALUE"""),"Batch 329")</f>
        <v>Batch 329</v>
      </c>
      <c r="B7387" s="9" t="str">
        <f>IFERROR(__xludf.DUMMYFUNCTION("""COMPUTED_VALUE"""),"AditiC329")</f>
        <v>AditiC329</v>
      </c>
      <c r="C7387" s="8">
        <f>IFERROR(__xludf.DUMMYFUNCTION("""COMPUTED_VALUE"""),0.0)</f>
        <v>0</v>
      </c>
      <c r="D7387" s="8"/>
    </row>
    <row r="7388">
      <c r="A7388" s="9" t="str">
        <f>IFERROR(__xludf.DUMMYFUNCTION("""COMPUTED_VALUE"""),"Batch 329")</f>
        <v>Batch 329</v>
      </c>
      <c r="B7388" s="9" t="str">
        <f>IFERROR(__xludf.DUMMYFUNCTION("""COMPUTED_VALUE"""),"HimikaC329")</f>
        <v>HimikaC329</v>
      </c>
      <c r="C7388" s="8">
        <f>IFERROR(__xludf.DUMMYFUNCTION("""COMPUTED_VALUE"""),14.0)</f>
        <v>14</v>
      </c>
      <c r="D7388" s="8"/>
    </row>
    <row r="7389">
      <c r="A7389" s="9" t="str">
        <f>IFERROR(__xludf.DUMMYFUNCTION("""COMPUTED_VALUE"""),"Batch 329")</f>
        <v>Batch 329</v>
      </c>
      <c r="B7389" s="9" t="str">
        <f>IFERROR(__xludf.DUMMYFUNCTION("""COMPUTED_VALUE"""),"ShreyaC329")</f>
        <v>ShreyaC329</v>
      </c>
      <c r="C7389" s="8">
        <f>IFERROR(__xludf.DUMMYFUNCTION("""COMPUTED_VALUE"""),0.0)</f>
        <v>0</v>
      </c>
      <c r="D7389" s="8"/>
    </row>
    <row r="7390">
      <c r="A7390" s="9" t="str">
        <f>IFERROR(__xludf.DUMMYFUNCTION("""COMPUTED_VALUE"""),"Batch 329")</f>
        <v>Batch 329</v>
      </c>
      <c r="B7390" s="9" t="str">
        <f>IFERROR(__xludf.DUMMYFUNCTION("""COMPUTED_VALUE"""),"IkshaC329")</f>
        <v>IkshaC329</v>
      </c>
      <c r="C7390" s="8">
        <f>IFERROR(__xludf.DUMMYFUNCTION("""COMPUTED_VALUE"""),0.0)</f>
        <v>0</v>
      </c>
      <c r="D7390" s="8"/>
    </row>
    <row r="7391">
      <c r="A7391" s="9" t="str">
        <f>IFERROR(__xludf.DUMMYFUNCTION("""COMPUTED_VALUE"""),"Batch 329")</f>
        <v>Batch 329</v>
      </c>
      <c r="B7391" s="9" t="str">
        <f>IFERROR(__xludf.DUMMYFUNCTION("""COMPUTED_VALUE"""),"PranathC329")</f>
        <v>PranathC329</v>
      </c>
      <c r="C7391" s="8">
        <f>IFERROR(__xludf.DUMMYFUNCTION("""COMPUTED_VALUE"""),0.0)</f>
        <v>0</v>
      </c>
      <c r="D7391" s="8"/>
    </row>
    <row r="7392">
      <c r="A7392" s="9" t="str">
        <f>IFERROR(__xludf.DUMMYFUNCTION("""COMPUTED_VALUE"""),"Batch 329")</f>
        <v>Batch 329</v>
      </c>
      <c r="B7392" s="9" t="str">
        <f>IFERROR(__xludf.DUMMYFUNCTION("""COMPUTED_VALUE"""),"ANUJC329")</f>
        <v>ANUJC329</v>
      </c>
      <c r="C7392" s="8">
        <f>IFERROR(__xludf.DUMMYFUNCTION("""COMPUTED_VALUE"""),3.0)</f>
        <v>3</v>
      </c>
      <c r="D7392" s="8"/>
    </row>
    <row r="7393">
      <c r="A7393" s="9" t="str">
        <f>IFERROR(__xludf.DUMMYFUNCTION("""COMPUTED_VALUE"""),"Batch 329")</f>
        <v>Batch 329</v>
      </c>
      <c r="B7393" s="9" t="str">
        <f>IFERROR(__xludf.DUMMYFUNCTION("""COMPUTED_VALUE"""),"SamyakC329")</f>
        <v>SamyakC329</v>
      </c>
      <c r="C7393" s="8">
        <f>IFERROR(__xludf.DUMMYFUNCTION("""COMPUTED_VALUE"""),0.0)</f>
        <v>0</v>
      </c>
      <c r="D7393" s="8"/>
    </row>
    <row r="7394">
      <c r="A7394" s="9" t="str">
        <f>IFERROR(__xludf.DUMMYFUNCTION("""COMPUTED_VALUE"""),"Batch 329")</f>
        <v>Batch 329</v>
      </c>
      <c r="B7394" s="9" t="str">
        <f>IFERROR(__xludf.DUMMYFUNCTION("""COMPUTED_VALUE"""),"SiddhiC329")</f>
        <v>SiddhiC329</v>
      </c>
      <c r="C7394" s="8">
        <f>IFERROR(__xludf.DUMMYFUNCTION("""COMPUTED_VALUE"""),0.0)</f>
        <v>0</v>
      </c>
      <c r="D7394" s="8"/>
    </row>
    <row r="7395">
      <c r="A7395" s="9" t="str">
        <f>IFERROR(__xludf.DUMMYFUNCTION("""COMPUTED_VALUE"""),"Batch 329")</f>
        <v>Batch 329</v>
      </c>
      <c r="B7395" s="9" t="str">
        <f>IFERROR(__xludf.DUMMYFUNCTION("""COMPUTED_VALUE"""),"VaaniC329")</f>
        <v>VaaniC329</v>
      </c>
      <c r="C7395" s="8">
        <f>IFERROR(__xludf.DUMMYFUNCTION("""COMPUTED_VALUE"""),0.0)</f>
        <v>0</v>
      </c>
      <c r="D7395" s="8"/>
    </row>
    <row r="7396">
      <c r="A7396" s="9" t="str">
        <f>IFERROR(__xludf.DUMMYFUNCTION("""COMPUTED_VALUE"""),"Batch 329")</f>
        <v>Batch 329</v>
      </c>
      <c r="B7396" s="9" t="str">
        <f>IFERROR(__xludf.DUMMYFUNCTION("""COMPUTED_VALUE"""),"AdityaC329")</f>
        <v>AdityaC329</v>
      </c>
      <c r="C7396" s="8">
        <f>IFERROR(__xludf.DUMMYFUNCTION("""COMPUTED_VALUE"""),0.0)</f>
        <v>0</v>
      </c>
      <c r="D7396" s="8"/>
    </row>
    <row r="7397">
      <c r="A7397" s="9" t="str">
        <f>IFERROR(__xludf.DUMMYFUNCTION("""COMPUTED_VALUE"""),"Batch 329")</f>
        <v>Batch 329</v>
      </c>
      <c r="B7397" s="9" t="str">
        <f>IFERROR(__xludf.DUMMYFUNCTION("""COMPUTED_VALUE"""),"YogitaC329")</f>
        <v>YogitaC329</v>
      </c>
      <c r="C7397" s="8">
        <f>IFERROR(__xludf.DUMMYFUNCTION("""COMPUTED_VALUE"""),0.0)</f>
        <v>0</v>
      </c>
      <c r="D7397" s="8"/>
    </row>
    <row r="7398">
      <c r="A7398" s="9" t="str">
        <f>IFERROR(__xludf.DUMMYFUNCTION("""COMPUTED_VALUE"""),"Batch 329")</f>
        <v>Batch 329</v>
      </c>
      <c r="B7398" s="9" t="str">
        <f>IFERROR(__xludf.DUMMYFUNCTION("""COMPUTED_VALUE"""),"ChelsiC329")</f>
        <v>ChelsiC329</v>
      </c>
      <c r="C7398" s="8">
        <f>IFERROR(__xludf.DUMMYFUNCTION("""COMPUTED_VALUE"""),0.0)</f>
        <v>0</v>
      </c>
      <c r="D7398" s="8"/>
    </row>
    <row r="7399">
      <c r="A7399" s="9" t="str">
        <f>IFERROR(__xludf.DUMMYFUNCTION("""COMPUTED_VALUE"""),"Batch 329")</f>
        <v>Batch 329</v>
      </c>
      <c r="B7399" s="9" t="str">
        <f>IFERROR(__xludf.DUMMYFUNCTION("""COMPUTED_VALUE"""),"AnjanC329")</f>
        <v>AnjanC329</v>
      </c>
      <c r="C7399" s="8">
        <f>IFERROR(__xludf.DUMMYFUNCTION("""COMPUTED_VALUE"""),0.0)</f>
        <v>0</v>
      </c>
      <c r="D7399" s="8"/>
    </row>
    <row r="7400">
      <c r="A7400" s="9" t="str">
        <f>IFERROR(__xludf.DUMMYFUNCTION("""COMPUTED_VALUE"""),"Batch 329")</f>
        <v>Batch 329</v>
      </c>
      <c r="B7400" s="9" t="str">
        <f>IFERROR(__xludf.DUMMYFUNCTION("""COMPUTED_VALUE"""),"AjayC329")</f>
        <v>AjayC329</v>
      </c>
      <c r="C7400" s="8">
        <f>IFERROR(__xludf.DUMMYFUNCTION("""COMPUTED_VALUE"""),0.0)</f>
        <v>0</v>
      </c>
      <c r="D7400" s="8"/>
    </row>
    <row r="7401">
      <c r="A7401" s="9" t="str">
        <f>IFERROR(__xludf.DUMMYFUNCTION("""COMPUTED_VALUE"""),"Batch 329")</f>
        <v>Batch 329</v>
      </c>
      <c r="B7401" s="9" t="str">
        <f>IFERROR(__xludf.DUMMYFUNCTION("""COMPUTED_VALUE"""),"SuryaC329")</f>
        <v>SuryaC329</v>
      </c>
      <c r="C7401" s="8">
        <f>IFERROR(__xludf.DUMMYFUNCTION("""COMPUTED_VALUE"""),0.0)</f>
        <v>0</v>
      </c>
      <c r="D7401" s="8"/>
    </row>
    <row r="7402">
      <c r="A7402" s="9" t="str">
        <f>IFERROR(__xludf.DUMMYFUNCTION("""COMPUTED_VALUE"""),"Batch 329")</f>
        <v>Batch 329</v>
      </c>
      <c r="B7402" s="9" t="str">
        <f>IFERROR(__xludf.DUMMYFUNCTION("""COMPUTED_VALUE"""),"DevC329")</f>
        <v>DevC329</v>
      </c>
      <c r="C7402" s="8">
        <f>IFERROR(__xludf.DUMMYFUNCTION("""COMPUTED_VALUE"""),0.0)</f>
        <v>0</v>
      </c>
      <c r="D7402" s="8"/>
    </row>
    <row r="7403">
      <c r="A7403" s="9" t="str">
        <f>IFERROR(__xludf.DUMMYFUNCTION("""COMPUTED_VALUE"""),"Batch 329")</f>
        <v>Batch 329</v>
      </c>
      <c r="B7403" s="9" t="str">
        <f>IFERROR(__xludf.DUMMYFUNCTION("""COMPUTED_VALUE"""),"SobiyaC329")</f>
        <v>SobiyaC329</v>
      </c>
      <c r="C7403" s="8">
        <f>IFERROR(__xludf.DUMMYFUNCTION("""COMPUTED_VALUE"""),0.0)</f>
        <v>0</v>
      </c>
      <c r="D7403" s="8"/>
    </row>
    <row r="7404">
      <c r="A7404" s="9" t="str">
        <f>IFERROR(__xludf.DUMMYFUNCTION("""COMPUTED_VALUE"""),"Batch 329")</f>
        <v>Batch 329</v>
      </c>
      <c r="B7404" s="9" t="str">
        <f>IFERROR(__xludf.DUMMYFUNCTION("""COMPUTED_VALUE"""),"AadeshC329")</f>
        <v>AadeshC329</v>
      </c>
      <c r="C7404" s="8">
        <f>IFERROR(__xludf.DUMMYFUNCTION("""COMPUTED_VALUE"""),0.0)</f>
        <v>0</v>
      </c>
      <c r="D7404" s="8"/>
    </row>
    <row r="7405">
      <c r="A7405" s="9" t="str">
        <f>IFERROR(__xludf.DUMMYFUNCTION("""COMPUTED_VALUE"""),"Batch 329")</f>
        <v>Batch 329</v>
      </c>
      <c r="B7405" s="9" t="str">
        <f>IFERROR(__xludf.DUMMYFUNCTION("""COMPUTED_VALUE"""),"PayalC329")</f>
        <v>PayalC329</v>
      </c>
      <c r="C7405" s="8">
        <f>IFERROR(__xludf.DUMMYFUNCTION("""COMPUTED_VALUE"""),0.0)</f>
        <v>0</v>
      </c>
      <c r="D7405" s="8"/>
    </row>
    <row r="7406">
      <c r="A7406" s="9" t="str">
        <f>IFERROR(__xludf.DUMMYFUNCTION("""COMPUTED_VALUE"""),"Batch 329")</f>
        <v>Batch 329</v>
      </c>
      <c r="B7406" s="9" t="str">
        <f>IFERROR(__xludf.DUMMYFUNCTION("""COMPUTED_VALUE"""),"tanishaC329")</f>
        <v>tanishaC329</v>
      </c>
      <c r="C7406" s="8">
        <f>IFERROR(__xludf.DUMMYFUNCTION("""COMPUTED_VALUE"""),3.0)</f>
        <v>3</v>
      </c>
      <c r="D7406" s="8"/>
    </row>
    <row r="7407">
      <c r="A7407" s="9" t="str">
        <f>IFERROR(__xludf.DUMMYFUNCTION("""COMPUTED_VALUE"""),"Batch 329")</f>
        <v>Batch 329</v>
      </c>
      <c r="B7407" s="9" t="str">
        <f>IFERROR(__xludf.DUMMYFUNCTION("""COMPUTED_VALUE"""),"NoorC329")</f>
        <v>NoorC329</v>
      </c>
      <c r="C7407" s="8">
        <f>IFERROR(__xludf.DUMMYFUNCTION("""COMPUTED_VALUE"""),0.0)</f>
        <v>0</v>
      </c>
      <c r="D7407" s="8"/>
    </row>
    <row r="7408">
      <c r="A7408" s="9" t="str">
        <f>IFERROR(__xludf.DUMMYFUNCTION("""COMPUTED_VALUE"""),"Batch 329")</f>
        <v>Batch 329</v>
      </c>
      <c r="B7408" s="9" t="str">
        <f>IFERROR(__xludf.DUMMYFUNCTION("""COMPUTED_VALUE"""),"YaminiC329")</f>
        <v>YaminiC329</v>
      </c>
      <c r="C7408" s="8">
        <f>IFERROR(__xludf.DUMMYFUNCTION("""COMPUTED_VALUE"""),0.0)</f>
        <v>0</v>
      </c>
      <c r="D7408" s="8"/>
    </row>
    <row r="7409">
      <c r="A7409" s="9"/>
      <c r="B7409" s="9"/>
      <c r="C7409" s="8">
        <f>IFERROR(__xludf.DUMMYFUNCTION("""COMPUTED_VALUE"""),0.0)</f>
        <v>0</v>
      </c>
      <c r="D7409" s="8"/>
    </row>
    <row r="7410">
      <c r="A7410" s="9" t="str">
        <f>IFERROR(__xludf.DUMMYFUNCTION("""COMPUTED_VALUE"""),"Batch 330")</f>
        <v>Batch 330</v>
      </c>
      <c r="B7410" s="9" t="str">
        <f>IFERROR(__xludf.DUMMYFUNCTION("""COMPUTED_VALUE"""),"AayushiC330")</f>
        <v>AayushiC330</v>
      </c>
      <c r="C7410" s="8">
        <f>IFERROR(__xludf.DUMMYFUNCTION("""COMPUTED_VALUE"""),0.0)</f>
        <v>0</v>
      </c>
      <c r="D7410" s="8"/>
    </row>
    <row r="7411">
      <c r="A7411" s="9" t="str">
        <f>IFERROR(__xludf.DUMMYFUNCTION("""COMPUTED_VALUE"""),"Batch 330")</f>
        <v>Batch 330</v>
      </c>
      <c r="B7411" s="9" t="str">
        <f>IFERROR(__xludf.DUMMYFUNCTION("""COMPUTED_VALUE"""),"DivyamC330")</f>
        <v>DivyamC330</v>
      </c>
      <c r="C7411" s="8">
        <f>IFERROR(__xludf.DUMMYFUNCTION("""COMPUTED_VALUE"""),0.0)</f>
        <v>0</v>
      </c>
      <c r="D7411" s="8"/>
    </row>
    <row r="7412">
      <c r="A7412" s="9" t="str">
        <f>IFERROR(__xludf.DUMMYFUNCTION("""COMPUTED_VALUE"""),"Batch 330")</f>
        <v>Batch 330</v>
      </c>
      <c r="B7412" s="9" t="str">
        <f>IFERROR(__xludf.DUMMYFUNCTION("""COMPUTED_VALUE"""),"KashwiC330")</f>
        <v>KashwiC330</v>
      </c>
      <c r="C7412" s="8">
        <f>IFERROR(__xludf.DUMMYFUNCTION("""COMPUTED_VALUE"""),0.0)</f>
        <v>0</v>
      </c>
      <c r="D7412" s="8"/>
    </row>
    <row r="7413">
      <c r="A7413" s="9" t="str">
        <f>IFERROR(__xludf.DUMMYFUNCTION("""COMPUTED_VALUE"""),"Batch 330")</f>
        <v>Batch 330</v>
      </c>
      <c r="B7413" s="9" t="str">
        <f>IFERROR(__xludf.DUMMYFUNCTION("""COMPUTED_VALUE"""),"ShriyaC330")</f>
        <v>ShriyaC330</v>
      </c>
      <c r="C7413" s="8">
        <f>IFERROR(__xludf.DUMMYFUNCTION("""COMPUTED_VALUE"""),0.0)</f>
        <v>0</v>
      </c>
      <c r="D7413" s="8"/>
    </row>
    <row r="7414">
      <c r="A7414" s="9" t="str">
        <f>IFERROR(__xludf.DUMMYFUNCTION("""COMPUTED_VALUE"""),"Batch 330")</f>
        <v>Batch 330</v>
      </c>
      <c r="B7414" s="9" t="str">
        <f>IFERROR(__xludf.DUMMYFUNCTION("""COMPUTED_VALUE"""),"SameerC330")</f>
        <v>SameerC330</v>
      </c>
      <c r="C7414" s="8">
        <f>IFERROR(__xludf.DUMMYFUNCTION("""COMPUTED_VALUE"""),0.0)</f>
        <v>0</v>
      </c>
      <c r="D7414" s="8"/>
    </row>
    <row r="7415">
      <c r="A7415" s="9" t="str">
        <f>IFERROR(__xludf.DUMMYFUNCTION("""COMPUTED_VALUE"""),"Batch 330")</f>
        <v>Batch 330</v>
      </c>
      <c r="B7415" s="9" t="str">
        <f>IFERROR(__xludf.DUMMYFUNCTION("""COMPUTED_VALUE"""),"PranavC330")</f>
        <v>PranavC330</v>
      </c>
      <c r="C7415" s="8">
        <f>IFERROR(__xludf.DUMMYFUNCTION("""COMPUTED_VALUE"""),100.0)</f>
        <v>100</v>
      </c>
      <c r="D7415" s="8">
        <f>IFERROR(__xludf.DUMMYFUNCTION("""COMPUTED_VALUE"""),29.0)</f>
        <v>29</v>
      </c>
    </row>
    <row r="7416">
      <c r="A7416" s="9" t="str">
        <f>IFERROR(__xludf.DUMMYFUNCTION("""COMPUTED_VALUE"""),"Batch 330")</f>
        <v>Batch 330</v>
      </c>
      <c r="B7416" s="9" t="str">
        <f>IFERROR(__xludf.DUMMYFUNCTION("""COMPUTED_VALUE"""),"VC330")</f>
        <v>VC330</v>
      </c>
      <c r="C7416" s="8">
        <f>IFERROR(__xludf.DUMMYFUNCTION("""COMPUTED_VALUE"""),0.0)</f>
        <v>0</v>
      </c>
      <c r="D7416" s="8"/>
    </row>
    <row r="7417">
      <c r="A7417" s="9" t="str">
        <f>IFERROR(__xludf.DUMMYFUNCTION("""COMPUTED_VALUE"""),"Batch 330")</f>
        <v>Batch 330</v>
      </c>
      <c r="B7417" s="9" t="str">
        <f>IFERROR(__xludf.DUMMYFUNCTION("""COMPUTED_VALUE"""),"AyushC330")</f>
        <v>AyushC330</v>
      </c>
      <c r="C7417" s="8">
        <f>IFERROR(__xludf.DUMMYFUNCTION("""COMPUTED_VALUE"""),1.0)</f>
        <v>1</v>
      </c>
      <c r="D7417" s="8"/>
    </row>
    <row r="7418">
      <c r="A7418" s="9" t="str">
        <f>IFERROR(__xludf.DUMMYFUNCTION("""COMPUTED_VALUE"""),"Batch 330")</f>
        <v>Batch 330</v>
      </c>
      <c r="B7418" s="9" t="str">
        <f>IFERROR(__xludf.DUMMYFUNCTION("""COMPUTED_VALUE"""),"JatinC330")</f>
        <v>JatinC330</v>
      </c>
      <c r="C7418" s="8">
        <f>IFERROR(__xludf.DUMMYFUNCTION("""COMPUTED_VALUE"""),0.0)</f>
        <v>0</v>
      </c>
      <c r="D7418" s="8"/>
    </row>
    <row r="7419">
      <c r="A7419" s="9" t="str">
        <f>IFERROR(__xludf.DUMMYFUNCTION("""COMPUTED_VALUE"""),"Batch 330")</f>
        <v>Batch 330</v>
      </c>
      <c r="B7419" s="9" t="str">
        <f>IFERROR(__xludf.DUMMYFUNCTION("""COMPUTED_VALUE"""),"PragatiC330")</f>
        <v>PragatiC330</v>
      </c>
      <c r="C7419" s="8">
        <f>IFERROR(__xludf.DUMMYFUNCTION("""COMPUTED_VALUE"""),0.0)</f>
        <v>0</v>
      </c>
      <c r="D7419" s="8"/>
    </row>
    <row r="7420">
      <c r="A7420" s="9" t="str">
        <f>IFERROR(__xludf.DUMMYFUNCTION("""COMPUTED_VALUE"""),"Batch 330")</f>
        <v>Batch 330</v>
      </c>
      <c r="B7420" s="9" t="str">
        <f>IFERROR(__xludf.DUMMYFUNCTION("""COMPUTED_VALUE"""),"KashishC330")</f>
        <v>KashishC330</v>
      </c>
      <c r="C7420" s="8">
        <f>IFERROR(__xludf.DUMMYFUNCTION("""COMPUTED_VALUE"""),0.0)</f>
        <v>0</v>
      </c>
      <c r="D7420" s="8"/>
    </row>
    <row r="7421">
      <c r="A7421" s="9" t="str">
        <f>IFERROR(__xludf.DUMMYFUNCTION("""COMPUTED_VALUE"""),"Batch 330")</f>
        <v>Batch 330</v>
      </c>
      <c r="B7421" s="9" t="str">
        <f>IFERROR(__xludf.DUMMYFUNCTION("""COMPUTED_VALUE"""),"SagarC330")</f>
        <v>SagarC330</v>
      </c>
      <c r="C7421" s="8">
        <f>IFERROR(__xludf.DUMMYFUNCTION("""COMPUTED_VALUE"""),0.0)</f>
        <v>0</v>
      </c>
      <c r="D7421" s="8"/>
    </row>
    <row r="7422">
      <c r="A7422" s="9" t="str">
        <f>IFERROR(__xludf.DUMMYFUNCTION("""COMPUTED_VALUE"""),"Batch 330")</f>
        <v>Batch 330</v>
      </c>
      <c r="B7422" s="9" t="str">
        <f>IFERROR(__xludf.DUMMYFUNCTION("""COMPUTED_VALUE"""),"PriyaC330")</f>
        <v>PriyaC330</v>
      </c>
      <c r="C7422" s="8">
        <f>IFERROR(__xludf.DUMMYFUNCTION("""COMPUTED_VALUE"""),0.0)</f>
        <v>0</v>
      </c>
      <c r="D7422" s="8"/>
    </row>
    <row r="7423">
      <c r="A7423" s="9" t="str">
        <f>IFERROR(__xludf.DUMMYFUNCTION("""COMPUTED_VALUE"""),"Batch 330")</f>
        <v>Batch 330</v>
      </c>
      <c r="B7423" s="9" t="str">
        <f>IFERROR(__xludf.DUMMYFUNCTION("""COMPUTED_VALUE"""),"AnshikaC330")</f>
        <v>AnshikaC330</v>
      </c>
      <c r="C7423" s="8">
        <f>IFERROR(__xludf.DUMMYFUNCTION("""COMPUTED_VALUE"""),0.0)</f>
        <v>0</v>
      </c>
      <c r="D7423" s="8"/>
    </row>
    <row r="7424">
      <c r="A7424" s="9" t="str">
        <f>IFERROR(__xludf.DUMMYFUNCTION("""COMPUTED_VALUE"""),"Batch 330")</f>
        <v>Batch 330</v>
      </c>
      <c r="B7424" s="9" t="str">
        <f>IFERROR(__xludf.DUMMYFUNCTION("""COMPUTED_VALUE"""),"HARSHILC330")</f>
        <v>HARSHILC330</v>
      </c>
      <c r="C7424" s="8">
        <f>IFERROR(__xludf.DUMMYFUNCTION("""COMPUTED_VALUE"""),0.0)</f>
        <v>0</v>
      </c>
      <c r="D7424" s="8"/>
    </row>
    <row r="7425">
      <c r="A7425" s="9" t="str">
        <f>IFERROR(__xludf.DUMMYFUNCTION("""COMPUTED_VALUE"""),"Batch 330")</f>
        <v>Batch 330</v>
      </c>
      <c r="B7425" s="9" t="str">
        <f>IFERROR(__xludf.DUMMYFUNCTION("""COMPUTED_VALUE"""),"VrajC330")</f>
        <v>VrajC330</v>
      </c>
      <c r="C7425" s="8">
        <f>IFERROR(__xludf.DUMMYFUNCTION("""COMPUTED_VALUE"""),0.0)</f>
        <v>0</v>
      </c>
      <c r="D7425" s="8"/>
    </row>
    <row r="7426">
      <c r="A7426" s="9" t="str">
        <f>IFERROR(__xludf.DUMMYFUNCTION("""COMPUTED_VALUE"""),"Batch 330")</f>
        <v>Batch 330</v>
      </c>
      <c r="B7426" s="9" t="str">
        <f>IFERROR(__xludf.DUMMYFUNCTION("""COMPUTED_VALUE"""),"SagarC330")</f>
        <v>SagarC330</v>
      </c>
      <c r="C7426" s="8">
        <f>IFERROR(__xludf.DUMMYFUNCTION("""COMPUTED_VALUE"""),0.0)</f>
        <v>0</v>
      </c>
      <c r="D7426" s="8"/>
    </row>
    <row r="7427">
      <c r="A7427" s="9" t="str">
        <f>IFERROR(__xludf.DUMMYFUNCTION("""COMPUTED_VALUE"""),"Batch 330")</f>
        <v>Batch 330</v>
      </c>
      <c r="B7427" s="9" t="str">
        <f>IFERROR(__xludf.DUMMYFUNCTION("""COMPUTED_VALUE"""),"SirisettiC330")</f>
        <v>SirisettiC330</v>
      </c>
      <c r="C7427" s="8">
        <f>IFERROR(__xludf.DUMMYFUNCTION("""COMPUTED_VALUE"""),0.0)</f>
        <v>0</v>
      </c>
      <c r="D7427" s="8"/>
    </row>
    <row r="7428">
      <c r="A7428" s="9" t="str">
        <f>IFERROR(__xludf.DUMMYFUNCTION("""COMPUTED_VALUE"""),"Batch 330")</f>
        <v>Batch 330</v>
      </c>
      <c r="B7428" s="9" t="str">
        <f>IFERROR(__xludf.DUMMYFUNCTION("""COMPUTED_VALUE"""),"ShivangiC330")</f>
        <v>ShivangiC330</v>
      </c>
      <c r="C7428" s="8">
        <f>IFERROR(__xludf.DUMMYFUNCTION("""COMPUTED_VALUE"""),0.0)</f>
        <v>0</v>
      </c>
      <c r="D7428" s="8"/>
    </row>
    <row r="7429">
      <c r="A7429" s="9" t="str">
        <f>IFERROR(__xludf.DUMMYFUNCTION("""COMPUTED_VALUE"""),"Batch 330")</f>
        <v>Batch 330</v>
      </c>
      <c r="B7429" s="9" t="str">
        <f>IFERROR(__xludf.DUMMYFUNCTION("""COMPUTED_VALUE"""),"RiyaC330")</f>
        <v>RiyaC330</v>
      </c>
      <c r="C7429" s="8">
        <f>IFERROR(__xludf.DUMMYFUNCTION("""COMPUTED_VALUE"""),0.0)</f>
        <v>0</v>
      </c>
      <c r="D7429" s="8"/>
    </row>
    <row r="7430">
      <c r="A7430" s="9" t="str">
        <f>IFERROR(__xludf.DUMMYFUNCTION("""COMPUTED_VALUE"""),"Batch 330")</f>
        <v>Batch 330</v>
      </c>
      <c r="B7430" s="9" t="str">
        <f>IFERROR(__xludf.DUMMYFUNCTION("""COMPUTED_VALUE"""),"ShivaniC330")</f>
        <v>ShivaniC330</v>
      </c>
      <c r="C7430" s="8">
        <f>IFERROR(__xludf.DUMMYFUNCTION("""COMPUTED_VALUE"""),0.0)</f>
        <v>0</v>
      </c>
      <c r="D7430" s="8"/>
    </row>
    <row r="7431">
      <c r="A7431" s="9" t="str">
        <f>IFERROR(__xludf.DUMMYFUNCTION("""COMPUTED_VALUE"""),"Batch 330")</f>
        <v>Batch 330</v>
      </c>
      <c r="B7431" s="9" t="str">
        <f>IFERROR(__xludf.DUMMYFUNCTION("""COMPUTED_VALUE"""),"vijayC330")</f>
        <v>vijayC330</v>
      </c>
      <c r="C7431" s="8">
        <f>IFERROR(__xludf.DUMMYFUNCTION("""COMPUTED_VALUE"""),0.0)</f>
        <v>0</v>
      </c>
      <c r="D7431" s="8"/>
    </row>
    <row r="7432">
      <c r="A7432" s="9"/>
      <c r="B7432" s="9"/>
      <c r="C7432" s="8">
        <f>IFERROR(__xludf.DUMMYFUNCTION("""COMPUTED_VALUE"""),0.0)</f>
        <v>0</v>
      </c>
      <c r="D7432" s="8"/>
    </row>
    <row r="7433">
      <c r="A7433" s="9" t="str">
        <f>IFERROR(__xludf.DUMMYFUNCTION("""COMPUTED_VALUE"""),"Batch 331")</f>
        <v>Batch 331</v>
      </c>
      <c r="B7433" s="9" t="str">
        <f>IFERROR(__xludf.DUMMYFUNCTION("""COMPUTED_VALUE"""),"DharyaC331")</f>
        <v>DharyaC331</v>
      </c>
      <c r="C7433" s="8">
        <f>IFERROR(__xludf.DUMMYFUNCTION("""COMPUTED_VALUE"""),0.0)</f>
        <v>0</v>
      </c>
      <c r="D7433" s="8"/>
    </row>
    <row r="7434">
      <c r="A7434" s="9" t="str">
        <f>IFERROR(__xludf.DUMMYFUNCTION("""COMPUTED_VALUE"""),"Batch 331")</f>
        <v>Batch 331</v>
      </c>
      <c r="B7434" s="9" t="str">
        <f>IFERROR(__xludf.DUMMYFUNCTION("""COMPUTED_VALUE"""),"AnchalC331")</f>
        <v>AnchalC331</v>
      </c>
      <c r="C7434" s="8">
        <f>IFERROR(__xludf.DUMMYFUNCTION("""COMPUTED_VALUE"""),0.0)</f>
        <v>0</v>
      </c>
      <c r="D7434" s="8"/>
    </row>
    <row r="7435">
      <c r="A7435" s="9" t="str">
        <f>IFERROR(__xludf.DUMMYFUNCTION("""COMPUTED_VALUE"""),"Batch 331")</f>
        <v>Batch 331</v>
      </c>
      <c r="B7435" s="9" t="str">
        <f>IFERROR(__xludf.DUMMYFUNCTION("""COMPUTED_VALUE"""),"TanviC331")</f>
        <v>TanviC331</v>
      </c>
      <c r="C7435" s="8">
        <f>IFERROR(__xludf.DUMMYFUNCTION("""COMPUTED_VALUE"""),0.0)</f>
        <v>0</v>
      </c>
      <c r="D7435" s="8"/>
    </row>
    <row r="7436">
      <c r="A7436" s="9" t="str">
        <f>IFERROR(__xludf.DUMMYFUNCTION("""COMPUTED_VALUE"""),"Batch 331")</f>
        <v>Batch 331</v>
      </c>
      <c r="B7436" s="9" t="str">
        <f>IFERROR(__xludf.DUMMYFUNCTION("""COMPUTED_VALUE"""),"BhavnaC331")</f>
        <v>BhavnaC331</v>
      </c>
      <c r="C7436" s="8">
        <f>IFERROR(__xludf.DUMMYFUNCTION("""COMPUTED_VALUE"""),0.0)</f>
        <v>0</v>
      </c>
      <c r="D7436" s="8"/>
    </row>
    <row r="7437">
      <c r="A7437" s="9" t="str">
        <f>IFERROR(__xludf.DUMMYFUNCTION("""COMPUTED_VALUE"""),"Batch 331")</f>
        <v>Batch 331</v>
      </c>
      <c r="B7437" s="9" t="str">
        <f>IFERROR(__xludf.DUMMYFUNCTION("""COMPUTED_VALUE"""),"SidhikshaC331")</f>
        <v>SidhikshaC331</v>
      </c>
      <c r="C7437" s="8">
        <f>IFERROR(__xludf.DUMMYFUNCTION("""COMPUTED_VALUE"""),0.0)</f>
        <v>0</v>
      </c>
      <c r="D7437" s="8"/>
    </row>
    <row r="7438">
      <c r="A7438" s="9" t="str">
        <f>IFERROR(__xludf.DUMMYFUNCTION("""COMPUTED_VALUE"""),"Batch 331")</f>
        <v>Batch 331</v>
      </c>
      <c r="B7438" s="9" t="str">
        <f>IFERROR(__xludf.DUMMYFUNCTION("""COMPUTED_VALUE"""),"DevC331")</f>
        <v>DevC331</v>
      </c>
      <c r="C7438" s="8">
        <f>IFERROR(__xludf.DUMMYFUNCTION("""COMPUTED_VALUE"""),0.0)</f>
        <v>0</v>
      </c>
      <c r="D7438" s="8"/>
    </row>
    <row r="7439">
      <c r="A7439" s="9" t="str">
        <f>IFERROR(__xludf.DUMMYFUNCTION("""COMPUTED_VALUE"""),"Batch 331")</f>
        <v>Batch 331</v>
      </c>
      <c r="B7439" s="9" t="str">
        <f>IFERROR(__xludf.DUMMYFUNCTION("""COMPUTED_VALUE"""),"ShravaniC331")</f>
        <v>ShravaniC331</v>
      </c>
      <c r="C7439" s="8">
        <f>IFERROR(__xludf.DUMMYFUNCTION("""COMPUTED_VALUE"""),0.0)</f>
        <v>0</v>
      </c>
      <c r="D7439" s="8"/>
    </row>
    <row r="7440">
      <c r="A7440" s="9" t="str">
        <f>IFERROR(__xludf.DUMMYFUNCTION("""COMPUTED_VALUE"""),"Batch 331")</f>
        <v>Batch 331</v>
      </c>
      <c r="B7440" s="9" t="str">
        <f>IFERROR(__xludf.DUMMYFUNCTION("""COMPUTED_VALUE"""),"ShlokC331")</f>
        <v>ShlokC331</v>
      </c>
      <c r="C7440" s="8">
        <f>IFERROR(__xludf.DUMMYFUNCTION("""COMPUTED_VALUE"""),0.0)</f>
        <v>0</v>
      </c>
      <c r="D7440" s="8"/>
    </row>
    <row r="7441">
      <c r="A7441" s="9" t="str">
        <f>IFERROR(__xludf.DUMMYFUNCTION("""COMPUTED_VALUE"""),"Batch 331")</f>
        <v>Batch 331</v>
      </c>
      <c r="B7441" s="9" t="str">
        <f>IFERROR(__xludf.DUMMYFUNCTION("""COMPUTED_VALUE"""),"HibaC331")</f>
        <v>HibaC331</v>
      </c>
      <c r="C7441" s="8">
        <f>IFERROR(__xludf.DUMMYFUNCTION("""COMPUTED_VALUE"""),0.0)</f>
        <v>0</v>
      </c>
      <c r="D7441" s="8"/>
    </row>
    <row r="7442">
      <c r="A7442" s="9" t="str">
        <f>IFERROR(__xludf.DUMMYFUNCTION("""COMPUTED_VALUE"""),"Batch 331")</f>
        <v>Batch 331</v>
      </c>
      <c r="B7442" s="9" t="str">
        <f>IFERROR(__xludf.DUMMYFUNCTION("""COMPUTED_VALUE"""),"RajeevC331")</f>
        <v>RajeevC331</v>
      </c>
      <c r="C7442" s="8">
        <f>IFERROR(__xludf.DUMMYFUNCTION("""COMPUTED_VALUE"""),0.0)</f>
        <v>0</v>
      </c>
      <c r="D7442" s="8"/>
    </row>
    <row r="7443">
      <c r="A7443" s="9" t="str">
        <f>IFERROR(__xludf.DUMMYFUNCTION("""COMPUTED_VALUE"""),"Batch 331")</f>
        <v>Batch 331</v>
      </c>
      <c r="B7443" s="9" t="str">
        <f>IFERROR(__xludf.DUMMYFUNCTION("""COMPUTED_VALUE"""),"PawanC331")</f>
        <v>PawanC331</v>
      </c>
      <c r="C7443" s="8">
        <f>IFERROR(__xludf.DUMMYFUNCTION("""COMPUTED_VALUE"""),0.0)</f>
        <v>0</v>
      </c>
      <c r="D7443" s="8"/>
    </row>
    <row r="7444">
      <c r="A7444" s="9" t="str">
        <f>IFERROR(__xludf.DUMMYFUNCTION("""COMPUTED_VALUE"""),"Batch 331")</f>
        <v>Batch 331</v>
      </c>
      <c r="B7444" s="9" t="str">
        <f>IFERROR(__xludf.DUMMYFUNCTION("""COMPUTED_VALUE"""),"VikalpC331")</f>
        <v>VikalpC331</v>
      </c>
      <c r="C7444" s="8">
        <f>IFERROR(__xludf.DUMMYFUNCTION("""COMPUTED_VALUE"""),0.0)</f>
        <v>0</v>
      </c>
      <c r="D7444" s="8"/>
    </row>
    <row r="7445">
      <c r="A7445" s="9" t="str">
        <f>IFERROR(__xludf.DUMMYFUNCTION("""COMPUTED_VALUE"""),"Batch 331")</f>
        <v>Batch 331</v>
      </c>
      <c r="B7445" s="9" t="str">
        <f>IFERROR(__xludf.DUMMYFUNCTION("""COMPUTED_VALUE"""),"DileswarC331")</f>
        <v>DileswarC331</v>
      </c>
      <c r="C7445" s="8">
        <f>IFERROR(__xludf.DUMMYFUNCTION("""COMPUTED_VALUE"""),0.0)</f>
        <v>0</v>
      </c>
      <c r="D7445" s="8"/>
    </row>
    <row r="7446">
      <c r="A7446" s="9" t="str">
        <f>IFERROR(__xludf.DUMMYFUNCTION("""COMPUTED_VALUE"""),"Batch 331")</f>
        <v>Batch 331</v>
      </c>
      <c r="B7446" s="9" t="str">
        <f>IFERROR(__xludf.DUMMYFUNCTION("""COMPUTED_VALUE"""),"KirtiC331")</f>
        <v>KirtiC331</v>
      </c>
      <c r="C7446" s="8">
        <f>IFERROR(__xludf.DUMMYFUNCTION("""COMPUTED_VALUE"""),0.0)</f>
        <v>0</v>
      </c>
      <c r="D7446" s="8"/>
    </row>
    <row r="7447">
      <c r="A7447" s="9" t="str">
        <f>IFERROR(__xludf.DUMMYFUNCTION("""COMPUTED_VALUE"""),"Batch 331")</f>
        <v>Batch 331</v>
      </c>
      <c r="B7447" s="9" t="str">
        <f>IFERROR(__xludf.DUMMYFUNCTION("""COMPUTED_VALUE"""),"SaraC331")</f>
        <v>SaraC331</v>
      </c>
      <c r="C7447" s="8">
        <f>IFERROR(__xludf.DUMMYFUNCTION("""COMPUTED_VALUE"""),0.0)</f>
        <v>0</v>
      </c>
      <c r="D7447" s="8"/>
    </row>
    <row r="7448">
      <c r="A7448" s="9" t="str">
        <f>IFERROR(__xludf.DUMMYFUNCTION("""COMPUTED_VALUE"""),"Batch 331")</f>
        <v>Batch 331</v>
      </c>
      <c r="B7448" s="9" t="str">
        <f>IFERROR(__xludf.DUMMYFUNCTION("""COMPUTED_VALUE"""),"AamodC331")</f>
        <v>AamodC331</v>
      </c>
      <c r="C7448" s="8">
        <f>IFERROR(__xludf.DUMMYFUNCTION("""COMPUTED_VALUE"""),0.0)</f>
        <v>0</v>
      </c>
      <c r="D7448" s="8"/>
    </row>
    <row r="7449">
      <c r="A7449" s="9" t="str">
        <f>IFERROR(__xludf.DUMMYFUNCTION("""COMPUTED_VALUE"""),"Batch 331")</f>
        <v>Batch 331</v>
      </c>
      <c r="B7449" s="9" t="str">
        <f>IFERROR(__xludf.DUMMYFUNCTION("""COMPUTED_VALUE"""),"TanishkaC331")</f>
        <v>TanishkaC331</v>
      </c>
      <c r="C7449" s="8">
        <f>IFERROR(__xludf.DUMMYFUNCTION("""COMPUTED_VALUE"""),0.0)</f>
        <v>0</v>
      </c>
      <c r="D7449" s="8"/>
    </row>
    <row r="7450">
      <c r="A7450" s="9" t="str">
        <f>IFERROR(__xludf.DUMMYFUNCTION("""COMPUTED_VALUE"""),"Batch 331")</f>
        <v>Batch 331</v>
      </c>
      <c r="B7450" s="9" t="str">
        <f>IFERROR(__xludf.DUMMYFUNCTION("""COMPUTED_VALUE"""),"BandaruC331")</f>
        <v>BandaruC331</v>
      </c>
      <c r="C7450" s="8">
        <f>IFERROR(__xludf.DUMMYFUNCTION("""COMPUTED_VALUE"""),0.0)</f>
        <v>0</v>
      </c>
      <c r="D7450" s="8"/>
    </row>
    <row r="7451">
      <c r="A7451" s="9" t="str">
        <f>IFERROR(__xludf.DUMMYFUNCTION("""COMPUTED_VALUE"""),"Batch 331")</f>
        <v>Batch 331</v>
      </c>
      <c r="B7451" s="9" t="str">
        <f>IFERROR(__xludf.DUMMYFUNCTION("""COMPUTED_VALUE"""),"NandiniC331")</f>
        <v>NandiniC331</v>
      </c>
      <c r="C7451" s="8">
        <f>IFERROR(__xludf.DUMMYFUNCTION("""COMPUTED_VALUE"""),0.0)</f>
        <v>0</v>
      </c>
      <c r="D7451" s="8"/>
    </row>
    <row r="7452">
      <c r="A7452" s="9" t="str">
        <f>IFERROR(__xludf.DUMMYFUNCTION("""COMPUTED_VALUE"""),"Batch 331")</f>
        <v>Batch 331</v>
      </c>
      <c r="B7452" s="9" t="str">
        <f>IFERROR(__xludf.DUMMYFUNCTION("""COMPUTED_VALUE"""),"HiteshC331")</f>
        <v>HiteshC331</v>
      </c>
      <c r="C7452" s="8">
        <f>IFERROR(__xludf.DUMMYFUNCTION("""COMPUTED_VALUE"""),0.0)</f>
        <v>0</v>
      </c>
      <c r="D7452" s="8"/>
    </row>
    <row r="7453">
      <c r="A7453" s="9" t="str">
        <f>IFERROR(__xludf.DUMMYFUNCTION("""COMPUTED_VALUE"""),"Batch 331")</f>
        <v>Batch 331</v>
      </c>
      <c r="B7453" s="9" t="str">
        <f>IFERROR(__xludf.DUMMYFUNCTION("""COMPUTED_VALUE"""),"DeepC331")</f>
        <v>DeepC331</v>
      </c>
      <c r="C7453" s="8">
        <f>IFERROR(__xludf.DUMMYFUNCTION("""COMPUTED_VALUE"""),0.0)</f>
        <v>0</v>
      </c>
      <c r="D7453" s="8"/>
    </row>
    <row r="7454">
      <c r="A7454" s="9" t="str">
        <f>IFERROR(__xludf.DUMMYFUNCTION("""COMPUTED_VALUE"""),"Batch 331")</f>
        <v>Batch 331</v>
      </c>
      <c r="B7454" s="9" t="str">
        <f>IFERROR(__xludf.DUMMYFUNCTION("""COMPUTED_VALUE"""),"BarshaC331")</f>
        <v>BarshaC331</v>
      </c>
      <c r="C7454" s="8">
        <f>IFERROR(__xludf.DUMMYFUNCTION("""COMPUTED_VALUE"""),6.0)</f>
        <v>6</v>
      </c>
      <c r="D7454" s="8"/>
    </row>
    <row r="7455">
      <c r="A7455" s="9" t="str">
        <f>IFERROR(__xludf.DUMMYFUNCTION("""COMPUTED_VALUE"""),"Batch 331")</f>
        <v>Batch 331</v>
      </c>
      <c r="B7455" s="9" t="str">
        <f>IFERROR(__xludf.DUMMYFUNCTION("""COMPUTED_VALUE"""),"KrishaC331")</f>
        <v>KrishaC331</v>
      </c>
      <c r="C7455" s="8">
        <f>IFERROR(__xludf.DUMMYFUNCTION("""COMPUTED_VALUE"""),1.0)</f>
        <v>1</v>
      </c>
      <c r="D7455" s="8"/>
    </row>
    <row r="7456">
      <c r="A7456" s="9" t="str">
        <f>IFERROR(__xludf.DUMMYFUNCTION("""COMPUTED_VALUE"""),"Batch 331")</f>
        <v>Batch 331</v>
      </c>
      <c r="B7456" s="9" t="str">
        <f>IFERROR(__xludf.DUMMYFUNCTION("""COMPUTED_VALUE"""),"PronitC331")</f>
        <v>PronitC331</v>
      </c>
      <c r="C7456" s="8">
        <f>IFERROR(__xludf.DUMMYFUNCTION("""COMPUTED_VALUE"""),0.0)</f>
        <v>0</v>
      </c>
      <c r="D7456" s="8"/>
    </row>
    <row r="7457">
      <c r="A7457" s="9" t="str">
        <f>IFERROR(__xludf.DUMMYFUNCTION("""COMPUTED_VALUE"""),"Batch 331")</f>
        <v>Batch 331</v>
      </c>
      <c r="B7457" s="9" t="str">
        <f>IFERROR(__xludf.DUMMYFUNCTION("""COMPUTED_VALUE"""),"SahasraC331")</f>
        <v>SahasraC331</v>
      </c>
      <c r="C7457" s="8">
        <f>IFERROR(__xludf.DUMMYFUNCTION("""COMPUTED_VALUE"""),0.0)</f>
        <v>0</v>
      </c>
      <c r="D7457" s="8"/>
    </row>
    <row r="7458">
      <c r="A7458" s="9" t="str">
        <f>IFERROR(__xludf.DUMMYFUNCTION("""COMPUTED_VALUE"""),"Batch 331")</f>
        <v>Batch 331</v>
      </c>
      <c r="B7458" s="9" t="str">
        <f>IFERROR(__xludf.DUMMYFUNCTION("""COMPUTED_VALUE"""),"MC331")</f>
        <v>MC331</v>
      </c>
      <c r="C7458" s="8">
        <f>IFERROR(__xludf.DUMMYFUNCTION("""COMPUTED_VALUE"""),0.0)</f>
        <v>0</v>
      </c>
      <c r="D7458" s="8"/>
    </row>
    <row r="7459">
      <c r="A7459" s="9" t="str">
        <f>IFERROR(__xludf.DUMMYFUNCTION("""COMPUTED_VALUE"""),"Batch 331")</f>
        <v>Batch 331</v>
      </c>
      <c r="B7459" s="9" t="str">
        <f>IFERROR(__xludf.DUMMYFUNCTION("""COMPUTED_VALUE"""),"ShreyaC331")</f>
        <v>ShreyaC331</v>
      </c>
      <c r="C7459" s="8">
        <f>IFERROR(__xludf.DUMMYFUNCTION("""COMPUTED_VALUE"""),0.0)</f>
        <v>0</v>
      </c>
      <c r="D7459" s="8"/>
    </row>
    <row r="7460">
      <c r="A7460" s="9" t="str">
        <f>IFERROR(__xludf.DUMMYFUNCTION("""COMPUTED_VALUE"""),"Batch 331")</f>
        <v>Batch 331</v>
      </c>
      <c r="B7460" s="9" t="str">
        <f>IFERROR(__xludf.DUMMYFUNCTION("""COMPUTED_VALUE"""),"KritiC331")</f>
        <v>KritiC331</v>
      </c>
      <c r="C7460" s="8">
        <f>IFERROR(__xludf.DUMMYFUNCTION("""COMPUTED_VALUE"""),0.0)</f>
        <v>0</v>
      </c>
      <c r="D7460" s="8"/>
    </row>
    <row r="7461">
      <c r="A7461" s="9" t="str">
        <f>IFERROR(__xludf.DUMMYFUNCTION("""COMPUTED_VALUE"""),"Batch 331")</f>
        <v>Batch 331</v>
      </c>
      <c r="B7461" s="9" t="str">
        <f>IFERROR(__xludf.DUMMYFUNCTION("""COMPUTED_VALUE"""),"SayaliC331")</f>
        <v>SayaliC331</v>
      </c>
      <c r="C7461" s="8">
        <f>IFERROR(__xludf.DUMMYFUNCTION("""COMPUTED_VALUE"""),0.0)</f>
        <v>0</v>
      </c>
      <c r="D7461" s="8"/>
    </row>
    <row r="7462">
      <c r="A7462" s="9" t="str">
        <f>IFERROR(__xludf.DUMMYFUNCTION("""COMPUTED_VALUE"""),"Batch 331")</f>
        <v>Batch 331</v>
      </c>
      <c r="B7462" s="9" t="str">
        <f>IFERROR(__xludf.DUMMYFUNCTION("""COMPUTED_VALUE"""),"BhawnaC331")</f>
        <v>BhawnaC331</v>
      </c>
      <c r="C7462" s="8">
        <f>IFERROR(__xludf.DUMMYFUNCTION("""COMPUTED_VALUE"""),0.0)</f>
        <v>0</v>
      </c>
      <c r="D7462" s="8"/>
    </row>
    <row r="7463">
      <c r="A7463" s="9" t="str">
        <f>IFERROR(__xludf.DUMMYFUNCTION("""COMPUTED_VALUE"""),"Batch 331")</f>
        <v>Batch 331</v>
      </c>
      <c r="B7463" s="9" t="str">
        <f>IFERROR(__xludf.DUMMYFUNCTION("""COMPUTED_VALUE"""),"PragatiC331")</f>
        <v>PragatiC331</v>
      </c>
      <c r="C7463" s="8">
        <f>IFERROR(__xludf.DUMMYFUNCTION("""COMPUTED_VALUE"""),0.0)</f>
        <v>0</v>
      </c>
      <c r="D7463" s="8"/>
    </row>
    <row r="7464">
      <c r="A7464" s="9" t="str">
        <f>IFERROR(__xludf.DUMMYFUNCTION("""COMPUTED_VALUE"""),"Batch 331")</f>
        <v>Batch 331</v>
      </c>
      <c r="B7464" s="9" t="str">
        <f>IFERROR(__xludf.DUMMYFUNCTION("""COMPUTED_VALUE"""),"KaruneshC331")</f>
        <v>KaruneshC331</v>
      </c>
      <c r="C7464" s="8">
        <f>IFERROR(__xludf.DUMMYFUNCTION("""COMPUTED_VALUE"""),0.0)</f>
        <v>0</v>
      </c>
      <c r="D7464" s="8"/>
    </row>
    <row r="7465">
      <c r="A7465" s="9" t="str">
        <f>IFERROR(__xludf.DUMMYFUNCTION("""COMPUTED_VALUE"""),"Batch 331")</f>
        <v>Batch 331</v>
      </c>
      <c r="B7465" s="9" t="str">
        <f>IFERROR(__xludf.DUMMYFUNCTION("""COMPUTED_VALUE"""),"RishankC331")</f>
        <v>RishankC331</v>
      </c>
      <c r="C7465" s="8">
        <f>IFERROR(__xludf.DUMMYFUNCTION("""COMPUTED_VALUE"""),0.0)</f>
        <v>0</v>
      </c>
      <c r="D7465" s="8"/>
    </row>
    <row r="7466">
      <c r="A7466" s="9" t="str">
        <f>IFERROR(__xludf.DUMMYFUNCTION("""COMPUTED_VALUE"""),"Batch 331")</f>
        <v>Batch 331</v>
      </c>
      <c r="B7466" s="9" t="str">
        <f>IFERROR(__xludf.DUMMYFUNCTION("""COMPUTED_VALUE"""),"GaneshC331")</f>
        <v>GaneshC331</v>
      </c>
      <c r="C7466" s="8">
        <f>IFERROR(__xludf.DUMMYFUNCTION("""COMPUTED_VALUE"""),0.0)</f>
        <v>0</v>
      </c>
      <c r="D7466" s="8"/>
    </row>
    <row r="7467">
      <c r="A7467" s="9" t="str">
        <f>IFERROR(__xludf.DUMMYFUNCTION("""COMPUTED_VALUE"""),"Batch 331")</f>
        <v>Batch 331</v>
      </c>
      <c r="B7467" s="9" t="str">
        <f>IFERROR(__xludf.DUMMYFUNCTION("""COMPUTED_VALUE"""),"VishnuC331")</f>
        <v>VishnuC331</v>
      </c>
      <c r="C7467" s="8">
        <f>IFERROR(__xludf.DUMMYFUNCTION("""COMPUTED_VALUE"""),0.0)</f>
        <v>0</v>
      </c>
      <c r="D7467" s="8"/>
    </row>
    <row r="7468">
      <c r="A7468" s="9" t="str">
        <f>IFERROR(__xludf.DUMMYFUNCTION("""COMPUTED_VALUE"""),"Batch 331")</f>
        <v>Batch 331</v>
      </c>
      <c r="B7468" s="9" t="str">
        <f>IFERROR(__xludf.DUMMYFUNCTION("""COMPUTED_VALUE"""),"YASHWANTC331")</f>
        <v>YASHWANTC331</v>
      </c>
      <c r="C7468" s="8">
        <f>IFERROR(__xludf.DUMMYFUNCTION("""COMPUTED_VALUE"""),0.0)</f>
        <v>0</v>
      </c>
      <c r="D7468" s="8"/>
    </row>
    <row r="7469">
      <c r="A7469" s="9" t="str">
        <f>IFERROR(__xludf.DUMMYFUNCTION("""COMPUTED_VALUE"""),"Batch 331")</f>
        <v>Batch 331</v>
      </c>
      <c r="B7469" s="9" t="str">
        <f>IFERROR(__xludf.DUMMYFUNCTION("""COMPUTED_VALUE"""),"NaveenaC331")</f>
        <v>NaveenaC331</v>
      </c>
      <c r="C7469" s="8">
        <f>IFERROR(__xludf.DUMMYFUNCTION("""COMPUTED_VALUE"""),1.0)</f>
        <v>1</v>
      </c>
      <c r="D7469" s="8">
        <f>IFERROR(__xludf.DUMMYFUNCTION("""COMPUTED_VALUE"""),6.0)</f>
        <v>6</v>
      </c>
    </row>
    <row r="7470">
      <c r="A7470" s="9" t="str">
        <f>IFERROR(__xludf.DUMMYFUNCTION("""COMPUTED_VALUE"""),"Batch 331")</f>
        <v>Batch 331</v>
      </c>
      <c r="B7470" s="9" t="str">
        <f>IFERROR(__xludf.DUMMYFUNCTION("""COMPUTED_VALUE"""),"AyushC331")</f>
        <v>AyushC331</v>
      </c>
      <c r="C7470" s="8">
        <f>IFERROR(__xludf.DUMMYFUNCTION("""COMPUTED_VALUE"""),0.0)</f>
        <v>0</v>
      </c>
      <c r="D7470" s="8"/>
    </row>
    <row r="7471">
      <c r="A7471" s="9" t="str">
        <f>IFERROR(__xludf.DUMMYFUNCTION("""COMPUTED_VALUE"""),"Batch 331")</f>
        <v>Batch 331</v>
      </c>
      <c r="B7471" s="9" t="str">
        <f>IFERROR(__xludf.DUMMYFUNCTION("""COMPUTED_VALUE"""),"SagarC331")</f>
        <v>SagarC331</v>
      </c>
      <c r="C7471" s="8">
        <f>IFERROR(__xludf.DUMMYFUNCTION("""COMPUTED_VALUE"""),0.0)</f>
        <v>0</v>
      </c>
      <c r="D7471" s="8"/>
    </row>
    <row r="7472">
      <c r="A7472" s="9" t="str">
        <f>IFERROR(__xludf.DUMMYFUNCTION("""COMPUTED_VALUE"""),"Batch 331")</f>
        <v>Batch 331</v>
      </c>
      <c r="B7472" s="9" t="str">
        <f>IFERROR(__xludf.DUMMYFUNCTION("""COMPUTED_VALUE"""),"vanshC331")</f>
        <v>vanshC331</v>
      </c>
      <c r="C7472" s="8">
        <f>IFERROR(__xludf.DUMMYFUNCTION("""COMPUTED_VALUE"""),0.0)</f>
        <v>0</v>
      </c>
      <c r="D7472" s="8"/>
    </row>
    <row r="7473">
      <c r="A7473" s="9" t="str">
        <f>IFERROR(__xludf.DUMMYFUNCTION("""COMPUTED_VALUE"""),"Batch 331")</f>
        <v>Batch 331</v>
      </c>
      <c r="B7473" s="9" t="str">
        <f>IFERROR(__xludf.DUMMYFUNCTION("""COMPUTED_VALUE"""),"MatliC331")</f>
        <v>MatliC331</v>
      </c>
      <c r="C7473" s="8">
        <f>IFERROR(__xludf.DUMMYFUNCTION("""COMPUTED_VALUE"""),11.0)</f>
        <v>11</v>
      </c>
      <c r="D7473" s="8">
        <f>IFERROR(__xludf.DUMMYFUNCTION("""COMPUTED_VALUE"""),1.0)</f>
        <v>1</v>
      </c>
    </row>
    <row r="7474">
      <c r="A7474" s="9" t="str">
        <f>IFERROR(__xludf.DUMMYFUNCTION("""COMPUTED_VALUE"""),"Batch 331")</f>
        <v>Batch 331</v>
      </c>
      <c r="B7474" s="9" t="str">
        <f>IFERROR(__xludf.DUMMYFUNCTION("""COMPUTED_VALUE"""),"ParkaviC331")</f>
        <v>ParkaviC331</v>
      </c>
      <c r="C7474" s="8">
        <f>IFERROR(__xludf.DUMMYFUNCTION("""COMPUTED_VALUE"""),0.0)</f>
        <v>0</v>
      </c>
      <c r="D7474" s="8"/>
    </row>
    <row r="7475">
      <c r="A7475" s="9" t="str">
        <f>IFERROR(__xludf.DUMMYFUNCTION("""COMPUTED_VALUE"""),"Batch 331")</f>
        <v>Batch 331</v>
      </c>
      <c r="B7475" s="9" t="str">
        <f>IFERROR(__xludf.DUMMYFUNCTION("""COMPUTED_VALUE"""),"AnsitC331")</f>
        <v>AnsitC331</v>
      </c>
      <c r="C7475" s="8">
        <f>IFERROR(__xludf.DUMMYFUNCTION("""COMPUTED_VALUE"""),0.0)</f>
        <v>0</v>
      </c>
      <c r="D7475" s="8"/>
    </row>
    <row r="7476">
      <c r="A7476" s="9" t="str">
        <f>IFERROR(__xludf.DUMMYFUNCTION("""COMPUTED_VALUE"""),"Batch 331")</f>
        <v>Batch 331</v>
      </c>
      <c r="B7476" s="9" t="str">
        <f>IFERROR(__xludf.DUMMYFUNCTION("""COMPUTED_VALUE"""),"RishuC331")</f>
        <v>RishuC331</v>
      </c>
      <c r="C7476" s="8">
        <f>IFERROR(__xludf.DUMMYFUNCTION("""COMPUTED_VALUE"""),0.0)</f>
        <v>0</v>
      </c>
      <c r="D7476" s="8"/>
    </row>
    <row r="7477">
      <c r="A7477" s="9" t="str">
        <f>IFERROR(__xludf.DUMMYFUNCTION("""COMPUTED_VALUE"""),"Batch 331")</f>
        <v>Batch 331</v>
      </c>
      <c r="B7477" s="9" t="str">
        <f>IFERROR(__xludf.DUMMYFUNCTION("""COMPUTED_VALUE"""),"kartikC331")</f>
        <v>kartikC331</v>
      </c>
      <c r="C7477" s="8">
        <f>IFERROR(__xludf.DUMMYFUNCTION("""COMPUTED_VALUE"""),0.0)</f>
        <v>0</v>
      </c>
      <c r="D7477" s="8"/>
    </row>
    <row r="7478">
      <c r="A7478" s="9" t="str">
        <f>IFERROR(__xludf.DUMMYFUNCTION("""COMPUTED_VALUE"""),"Batch 331")</f>
        <v>Batch 331</v>
      </c>
      <c r="B7478" s="9" t="str">
        <f>IFERROR(__xludf.DUMMYFUNCTION("""COMPUTED_VALUE"""),"HarshC331")</f>
        <v>HarshC331</v>
      </c>
      <c r="C7478" s="8">
        <f>IFERROR(__xludf.DUMMYFUNCTION("""COMPUTED_VALUE"""),0.0)</f>
        <v>0</v>
      </c>
      <c r="D7478" s="8"/>
    </row>
    <row r="7479">
      <c r="A7479" s="9" t="str">
        <f>IFERROR(__xludf.DUMMYFUNCTION("""COMPUTED_VALUE"""),"Batch 331")</f>
        <v>Batch 331</v>
      </c>
      <c r="B7479" s="9" t="str">
        <f>IFERROR(__xludf.DUMMYFUNCTION("""COMPUTED_VALUE"""),"BENECIAC331")</f>
        <v>BENECIAC331</v>
      </c>
      <c r="C7479" s="8">
        <f>IFERROR(__xludf.DUMMYFUNCTION("""COMPUTED_VALUE"""),0.0)</f>
        <v>0</v>
      </c>
      <c r="D7479" s="8"/>
    </row>
    <row r="7480">
      <c r="A7480" s="9" t="str">
        <f>IFERROR(__xludf.DUMMYFUNCTION("""COMPUTED_VALUE"""),"Batch 331")</f>
        <v>Batch 331</v>
      </c>
      <c r="B7480" s="9" t="str">
        <f>IFERROR(__xludf.DUMMYFUNCTION("""COMPUTED_VALUE"""),"ShubhiC331")</f>
        <v>ShubhiC331</v>
      </c>
      <c r="C7480" s="8">
        <f>IFERROR(__xludf.DUMMYFUNCTION("""COMPUTED_VALUE"""),0.0)</f>
        <v>0</v>
      </c>
      <c r="D7480" s="8"/>
    </row>
    <row r="7481">
      <c r="A7481" s="9" t="str">
        <f>IFERROR(__xludf.DUMMYFUNCTION("""COMPUTED_VALUE"""),"Batch 331")</f>
        <v>Batch 331</v>
      </c>
      <c r="B7481" s="9" t="str">
        <f>IFERROR(__xludf.DUMMYFUNCTION("""COMPUTED_VALUE"""),"VijayC331")</f>
        <v>VijayC331</v>
      </c>
      <c r="C7481" s="8">
        <f>IFERROR(__xludf.DUMMYFUNCTION("""COMPUTED_VALUE"""),0.0)</f>
        <v>0</v>
      </c>
      <c r="D7481" s="8"/>
    </row>
    <row r="7482">
      <c r="A7482" s="9" t="str">
        <f>IFERROR(__xludf.DUMMYFUNCTION("""COMPUTED_VALUE"""),"Batch 331")</f>
        <v>Batch 331</v>
      </c>
      <c r="B7482" s="9" t="str">
        <f>IFERROR(__xludf.DUMMYFUNCTION("""COMPUTED_VALUE"""),"ShubhiC331")</f>
        <v>ShubhiC331</v>
      </c>
      <c r="C7482" s="8">
        <f>IFERROR(__xludf.DUMMYFUNCTION("""COMPUTED_VALUE"""),0.0)</f>
        <v>0</v>
      </c>
      <c r="D7482" s="8"/>
    </row>
    <row r="7483">
      <c r="A7483" s="9" t="str">
        <f>IFERROR(__xludf.DUMMYFUNCTION("""COMPUTED_VALUE"""),"Batch 331")</f>
        <v>Batch 331</v>
      </c>
      <c r="B7483" s="9" t="str">
        <f>IFERROR(__xludf.DUMMYFUNCTION("""COMPUTED_VALUE"""),"SanjivaniC331")</f>
        <v>SanjivaniC331</v>
      </c>
      <c r="C7483" s="8">
        <f>IFERROR(__xludf.DUMMYFUNCTION("""COMPUTED_VALUE"""),2.0)</f>
        <v>2</v>
      </c>
      <c r="D7483" s="8"/>
    </row>
    <row r="7484">
      <c r="A7484" s="9" t="str">
        <f>IFERROR(__xludf.DUMMYFUNCTION("""COMPUTED_VALUE"""),"Batch 331")</f>
        <v>Batch 331</v>
      </c>
      <c r="B7484" s="9" t="str">
        <f>IFERROR(__xludf.DUMMYFUNCTION("""COMPUTED_VALUE"""),"KalyaniC331")</f>
        <v>KalyaniC331</v>
      </c>
      <c r="C7484" s="8">
        <f>IFERROR(__xludf.DUMMYFUNCTION("""COMPUTED_VALUE"""),0.0)</f>
        <v>0</v>
      </c>
      <c r="D7484" s="8"/>
    </row>
    <row r="7485">
      <c r="A7485" s="9" t="str">
        <f>IFERROR(__xludf.DUMMYFUNCTION("""COMPUTED_VALUE"""),"Batch 331")</f>
        <v>Batch 331</v>
      </c>
      <c r="B7485" s="9" t="str">
        <f>IFERROR(__xludf.DUMMYFUNCTION("""COMPUTED_VALUE"""),"PriyankaC331")</f>
        <v>PriyankaC331</v>
      </c>
      <c r="C7485" s="8">
        <f>IFERROR(__xludf.DUMMYFUNCTION("""COMPUTED_VALUE"""),0.0)</f>
        <v>0</v>
      </c>
      <c r="D7485" s="8"/>
    </row>
    <row r="7486">
      <c r="A7486" s="9" t="str">
        <f>IFERROR(__xludf.DUMMYFUNCTION("""COMPUTED_VALUE"""),"Batch 331")</f>
        <v>Batch 331</v>
      </c>
      <c r="B7486" s="9" t="str">
        <f>IFERROR(__xludf.DUMMYFUNCTION("""COMPUTED_VALUE"""),"AnkitC331")</f>
        <v>AnkitC331</v>
      </c>
      <c r="C7486" s="8">
        <f>IFERROR(__xludf.DUMMYFUNCTION("""COMPUTED_VALUE"""),0.0)</f>
        <v>0</v>
      </c>
      <c r="D7486" s="8"/>
    </row>
    <row r="7487">
      <c r="A7487" s="9" t="str">
        <f>IFERROR(__xludf.DUMMYFUNCTION("""COMPUTED_VALUE"""),"Batch 331")</f>
        <v>Batch 331</v>
      </c>
      <c r="B7487" s="9" t="str">
        <f>IFERROR(__xludf.DUMMYFUNCTION("""COMPUTED_VALUE"""),"AmanC331")</f>
        <v>AmanC331</v>
      </c>
      <c r="C7487" s="8">
        <f>IFERROR(__xludf.DUMMYFUNCTION("""COMPUTED_VALUE"""),0.0)</f>
        <v>0</v>
      </c>
      <c r="D7487" s="8"/>
    </row>
    <row r="7488">
      <c r="A7488" s="9" t="str">
        <f>IFERROR(__xludf.DUMMYFUNCTION("""COMPUTED_VALUE"""),"Batch 331")</f>
        <v>Batch 331</v>
      </c>
      <c r="B7488" s="9" t="str">
        <f>IFERROR(__xludf.DUMMYFUNCTION("""COMPUTED_VALUE"""),"UttamC331")</f>
        <v>UttamC331</v>
      </c>
      <c r="C7488" s="8">
        <f>IFERROR(__xludf.DUMMYFUNCTION("""COMPUTED_VALUE"""),0.0)</f>
        <v>0</v>
      </c>
      <c r="D7488" s="8"/>
    </row>
    <row r="7489">
      <c r="A7489" s="9" t="str">
        <f>IFERROR(__xludf.DUMMYFUNCTION("""COMPUTED_VALUE"""),"Batch 331")</f>
        <v>Batch 331</v>
      </c>
      <c r="B7489" s="9" t="str">
        <f>IFERROR(__xludf.DUMMYFUNCTION("""COMPUTED_VALUE"""),"RasiyaC331")</f>
        <v>RasiyaC331</v>
      </c>
      <c r="C7489" s="8">
        <f>IFERROR(__xludf.DUMMYFUNCTION("""COMPUTED_VALUE"""),0.0)</f>
        <v>0</v>
      </c>
      <c r="D7489" s="8"/>
    </row>
    <row r="7490">
      <c r="A7490" s="9" t="str">
        <f>IFERROR(__xludf.DUMMYFUNCTION("""COMPUTED_VALUE"""),"Batch 331")</f>
        <v>Batch 331</v>
      </c>
      <c r="B7490" s="9" t="str">
        <f>IFERROR(__xludf.DUMMYFUNCTION("""COMPUTED_VALUE"""),"TamizhiniC331")</f>
        <v>TamizhiniC331</v>
      </c>
      <c r="C7490" s="8">
        <f>IFERROR(__xludf.DUMMYFUNCTION("""COMPUTED_VALUE"""),0.0)</f>
        <v>0</v>
      </c>
      <c r="D7490" s="8"/>
    </row>
    <row r="7491">
      <c r="A7491" s="9" t="str">
        <f>IFERROR(__xludf.DUMMYFUNCTION("""COMPUTED_VALUE"""),"Batch 331")</f>
        <v>Batch 331</v>
      </c>
      <c r="B7491" s="9" t="str">
        <f>IFERROR(__xludf.DUMMYFUNCTION("""COMPUTED_VALUE"""),"PranchitC331")</f>
        <v>PranchitC331</v>
      </c>
      <c r="C7491" s="8">
        <f>IFERROR(__xludf.DUMMYFUNCTION("""COMPUTED_VALUE"""),0.0)</f>
        <v>0</v>
      </c>
      <c r="D7491" s="8"/>
    </row>
    <row r="7492">
      <c r="A7492" s="9" t="str">
        <f>IFERROR(__xludf.DUMMYFUNCTION("""COMPUTED_VALUE"""),"Batch 331")</f>
        <v>Batch 331</v>
      </c>
      <c r="B7492" s="9" t="str">
        <f>IFERROR(__xludf.DUMMYFUNCTION("""COMPUTED_VALUE"""),"HoneyC331")</f>
        <v>HoneyC331</v>
      </c>
      <c r="C7492" s="8">
        <f>IFERROR(__xludf.DUMMYFUNCTION("""COMPUTED_VALUE"""),0.0)</f>
        <v>0</v>
      </c>
      <c r="D7492" s="8"/>
    </row>
    <row r="7493">
      <c r="A7493" s="9" t="str">
        <f>IFERROR(__xludf.DUMMYFUNCTION("""COMPUTED_VALUE"""),"Batch 331")</f>
        <v>Batch 331</v>
      </c>
      <c r="B7493" s="9" t="str">
        <f>IFERROR(__xludf.DUMMYFUNCTION("""COMPUTED_VALUE"""),"SimranC331")</f>
        <v>SimranC331</v>
      </c>
      <c r="C7493" s="8">
        <f>IFERROR(__xludf.DUMMYFUNCTION("""COMPUTED_VALUE"""),0.0)</f>
        <v>0</v>
      </c>
      <c r="D7493" s="8"/>
    </row>
    <row r="7494">
      <c r="A7494" s="9" t="str">
        <f>IFERROR(__xludf.DUMMYFUNCTION("""COMPUTED_VALUE"""),"Batch 331")</f>
        <v>Batch 331</v>
      </c>
      <c r="B7494" s="9" t="str">
        <f>IFERROR(__xludf.DUMMYFUNCTION("""COMPUTED_VALUE"""),"MariyaC331")</f>
        <v>MariyaC331</v>
      </c>
      <c r="C7494" s="8">
        <f>IFERROR(__xludf.DUMMYFUNCTION("""COMPUTED_VALUE"""),2.0)</f>
        <v>2</v>
      </c>
      <c r="D7494" s="8"/>
    </row>
    <row r="7495">
      <c r="A7495" s="9" t="str">
        <f>IFERROR(__xludf.DUMMYFUNCTION("""COMPUTED_VALUE"""),"Batch 331")</f>
        <v>Batch 331</v>
      </c>
      <c r="B7495" s="9" t="str">
        <f>IFERROR(__xludf.DUMMYFUNCTION("""COMPUTED_VALUE"""),"KhushiC331")</f>
        <v>KhushiC331</v>
      </c>
      <c r="C7495" s="8">
        <f>IFERROR(__xludf.DUMMYFUNCTION("""COMPUTED_VALUE"""),0.0)</f>
        <v>0</v>
      </c>
      <c r="D7495" s="8"/>
    </row>
    <row r="7496">
      <c r="A7496" s="9" t="str">
        <f>IFERROR(__xludf.DUMMYFUNCTION("""COMPUTED_VALUE"""),"Batch 331")</f>
        <v>Batch 331</v>
      </c>
      <c r="B7496" s="9" t="str">
        <f>IFERROR(__xludf.DUMMYFUNCTION("""COMPUTED_VALUE"""),"AashnaC331")</f>
        <v>AashnaC331</v>
      </c>
      <c r="C7496" s="8">
        <f>IFERROR(__xludf.DUMMYFUNCTION("""COMPUTED_VALUE"""),0.0)</f>
        <v>0</v>
      </c>
      <c r="D7496" s="8"/>
    </row>
    <row r="7497">
      <c r="A7497" s="9" t="str">
        <f>IFERROR(__xludf.DUMMYFUNCTION("""COMPUTED_VALUE"""),"Batch 331")</f>
        <v>Batch 331</v>
      </c>
      <c r="B7497" s="9" t="str">
        <f>IFERROR(__xludf.DUMMYFUNCTION("""COMPUTED_VALUE"""),"NiveditaC331")</f>
        <v>NiveditaC331</v>
      </c>
      <c r="C7497" s="8">
        <f>IFERROR(__xludf.DUMMYFUNCTION("""COMPUTED_VALUE"""),0.0)</f>
        <v>0</v>
      </c>
      <c r="D7497" s="8"/>
    </row>
    <row r="7498">
      <c r="A7498" s="9" t="str">
        <f>IFERROR(__xludf.DUMMYFUNCTION("""COMPUTED_VALUE"""),"Batch 331")</f>
        <v>Batch 331</v>
      </c>
      <c r="B7498" s="9" t="str">
        <f>IFERROR(__xludf.DUMMYFUNCTION("""COMPUTED_VALUE"""),"PrithvirajsinhC331")</f>
        <v>PrithvirajsinhC331</v>
      </c>
      <c r="C7498" s="8">
        <f>IFERROR(__xludf.DUMMYFUNCTION("""COMPUTED_VALUE"""),0.0)</f>
        <v>0</v>
      </c>
      <c r="D7498" s="8"/>
    </row>
    <row r="7499">
      <c r="A7499" s="9" t="str">
        <f>IFERROR(__xludf.DUMMYFUNCTION("""COMPUTED_VALUE"""),"Batch 331")</f>
        <v>Batch 331</v>
      </c>
      <c r="B7499" s="9" t="str">
        <f>IFERROR(__xludf.DUMMYFUNCTION("""COMPUTED_VALUE"""),"kushalroopC331")</f>
        <v>kushalroopC331</v>
      </c>
      <c r="C7499" s="8">
        <f>IFERROR(__xludf.DUMMYFUNCTION("""COMPUTED_VALUE"""),0.0)</f>
        <v>0</v>
      </c>
      <c r="D7499" s="8"/>
    </row>
    <row r="7500">
      <c r="A7500" s="9" t="str">
        <f>IFERROR(__xludf.DUMMYFUNCTION("""COMPUTED_VALUE"""),"Batch 331")</f>
        <v>Batch 331</v>
      </c>
      <c r="B7500" s="9" t="str">
        <f>IFERROR(__xludf.DUMMYFUNCTION("""COMPUTED_VALUE"""),"ARNABC331")</f>
        <v>ARNABC331</v>
      </c>
      <c r="C7500" s="8">
        <f>IFERROR(__xludf.DUMMYFUNCTION("""COMPUTED_VALUE"""),0.0)</f>
        <v>0</v>
      </c>
      <c r="D7500" s="8"/>
    </row>
    <row r="7501">
      <c r="A7501" s="9" t="str">
        <f>IFERROR(__xludf.DUMMYFUNCTION("""COMPUTED_VALUE"""),"Batch 331")</f>
        <v>Batch 331</v>
      </c>
      <c r="B7501" s="9" t="str">
        <f>IFERROR(__xludf.DUMMYFUNCTION("""COMPUTED_VALUE"""),"ThangjamC331")</f>
        <v>ThangjamC331</v>
      </c>
      <c r="C7501" s="8">
        <f>IFERROR(__xludf.DUMMYFUNCTION("""COMPUTED_VALUE"""),0.0)</f>
        <v>0</v>
      </c>
      <c r="D7501" s="8"/>
    </row>
    <row r="7502">
      <c r="A7502" s="9" t="str">
        <f>IFERROR(__xludf.DUMMYFUNCTION("""COMPUTED_VALUE"""),"Batch 331")</f>
        <v>Batch 331</v>
      </c>
      <c r="B7502" s="9" t="str">
        <f>IFERROR(__xludf.DUMMYFUNCTION("""COMPUTED_VALUE"""),"ShivaniC331")</f>
        <v>ShivaniC331</v>
      </c>
      <c r="C7502" s="8">
        <f>IFERROR(__xludf.DUMMYFUNCTION("""COMPUTED_VALUE"""),0.0)</f>
        <v>0</v>
      </c>
      <c r="D7502" s="8"/>
    </row>
    <row r="7503">
      <c r="A7503" s="9" t="str">
        <f>IFERROR(__xludf.DUMMYFUNCTION("""COMPUTED_VALUE"""),"Batch 331")</f>
        <v>Batch 331</v>
      </c>
      <c r="B7503" s="9" t="str">
        <f>IFERROR(__xludf.DUMMYFUNCTION("""COMPUTED_VALUE"""),"AnjaliC331")</f>
        <v>AnjaliC331</v>
      </c>
      <c r="C7503" s="8">
        <f>IFERROR(__xludf.DUMMYFUNCTION("""COMPUTED_VALUE"""),0.0)</f>
        <v>0</v>
      </c>
      <c r="D7503" s="8"/>
    </row>
    <row r="7504">
      <c r="A7504" s="9" t="str">
        <f>IFERROR(__xludf.DUMMYFUNCTION("""COMPUTED_VALUE"""),"Batch 331")</f>
        <v>Batch 331</v>
      </c>
      <c r="B7504" s="9" t="str">
        <f>IFERROR(__xludf.DUMMYFUNCTION("""COMPUTED_VALUE"""),"SUSHREEC331")</f>
        <v>SUSHREEC331</v>
      </c>
      <c r="C7504" s="8">
        <f>IFERROR(__xludf.DUMMYFUNCTION("""COMPUTED_VALUE"""),0.0)</f>
        <v>0</v>
      </c>
      <c r="D7504" s="8"/>
    </row>
    <row r="7505">
      <c r="A7505" s="9" t="str">
        <f>IFERROR(__xludf.DUMMYFUNCTION("""COMPUTED_VALUE"""),"Batch 331")</f>
        <v>Batch 331</v>
      </c>
      <c r="B7505" s="9" t="str">
        <f>IFERROR(__xludf.DUMMYFUNCTION("""COMPUTED_VALUE"""),"ShravaniC331")</f>
        <v>ShravaniC331</v>
      </c>
      <c r="C7505" s="8">
        <f>IFERROR(__xludf.DUMMYFUNCTION("""COMPUTED_VALUE"""),0.0)</f>
        <v>0</v>
      </c>
      <c r="D7505" s="8"/>
    </row>
    <row r="7506">
      <c r="A7506" s="9" t="str">
        <f>IFERROR(__xludf.DUMMYFUNCTION("""COMPUTED_VALUE"""),"Batch 331")</f>
        <v>Batch 331</v>
      </c>
      <c r="B7506" s="9" t="str">
        <f>IFERROR(__xludf.DUMMYFUNCTION("""COMPUTED_VALUE"""),"AyushC331")</f>
        <v>AyushC331</v>
      </c>
      <c r="C7506" s="8">
        <f>IFERROR(__xludf.DUMMYFUNCTION("""COMPUTED_VALUE"""),0.0)</f>
        <v>0</v>
      </c>
      <c r="D7506" s="8"/>
    </row>
    <row r="7507">
      <c r="A7507" s="9" t="str">
        <f>IFERROR(__xludf.DUMMYFUNCTION("""COMPUTED_VALUE"""),"Batch 331")</f>
        <v>Batch 331</v>
      </c>
      <c r="B7507" s="9" t="str">
        <f>IFERROR(__xludf.DUMMYFUNCTION("""COMPUTED_VALUE"""),"YaichenbaC331")</f>
        <v>YaichenbaC331</v>
      </c>
      <c r="C7507" s="8">
        <f>IFERROR(__xludf.DUMMYFUNCTION("""COMPUTED_VALUE"""),0.0)</f>
        <v>0</v>
      </c>
      <c r="D7507" s="8"/>
    </row>
    <row r="7508">
      <c r="A7508" s="9" t="str">
        <f>IFERROR(__xludf.DUMMYFUNCTION("""COMPUTED_VALUE"""),"Batch 331")</f>
        <v>Batch 331</v>
      </c>
      <c r="B7508" s="9" t="str">
        <f>IFERROR(__xludf.DUMMYFUNCTION("""COMPUTED_VALUE"""),"BhanuC331")</f>
        <v>BhanuC331</v>
      </c>
      <c r="C7508" s="8">
        <f>IFERROR(__xludf.DUMMYFUNCTION("""COMPUTED_VALUE"""),0.0)</f>
        <v>0</v>
      </c>
      <c r="D7508" s="8"/>
    </row>
    <row r="7509">
      <c r="A7509" s="9" t="str">
        <f>IFERROR(__xludf.DUMMYFUNCTION("""COMPUTED_VALUE"""),"Batch 331")</f>
        <v>Batch 331</v>
      </c>
      <c r="B7509" s="9" t="str">
        <f>IFERROR(__xludf.DUMMYFUNCTION("""COMPUTED_VALUE"""),"AbhishekC331")</f>
        <v>AbhishekC331</v>
      </c>
      <c r="C7509" s="8">
        <f>IFERROR(__xludf.DUMMYFUNCTION("""COMPUTED_VALUE"""),0.0)</f>
        <v>0</v>
      </c>
      <c r="D7509" s="8"/>
    </row>
    <row r="7510">
      <c r="A7510" s="9" t="str">
        <f>IFERROR(__xludf.DUMMYFUNCTION("""COMPUTED_VALUE"""),"Batch 331")</f>
        <v>Batch 331</v>
      </c>
      <c r="B7510" s="9" t="str">
        <f>IFERROR(__xludf.DUMMYFUNCTION("""COMPUTED_VALUE"""),"priyanshuC331")</f>
        <v>priyanshuC331</v>
      </c>
      <c r="C7510" s="8">
        <f>IFERROR(__xludf.DUMMYFUNCTION("""COMPUTED_VALUE"""),0.0)</f>
        <v>0</v>
      </c>
      <c r="D7510" s="8"/>
    </row>
    <row r="7511">
      <c r="A7511" s="9" t="str">
        <f>IFERROR(__xludf.DUMMYFUNCTION("""COMPUTED_VALUE"""),"Batch 331")</f>
        <v>Batch 331</v>
      </c>
      <c r="B7511" s="9" t="str">
        <f>IFERROR(__xludf.DUMMYFUNCTION("""COMPUTED_VALUE"""),"AadityaC331")</f>
        <v>AadityaC331</v>
      </c>
      <c r="C7511" s="8">
        <f>IFERROR(__xludf.DUMMYFUNCTION("""COMPUTED_VALUE"""),0.0)</f>
        <v>0</v>
      </c>
      <c r="D7511" s="8"/>
    </row>
    <row r="7512">
      <c r="A7512" s="9" t="str">
        <f>IFERROR(__xludf.DUMMYFUNCTION("""COMPUTED_VALUE"""),"Batch 331")</f>
        <v>Batch 331</v>
      </c>
      <c r="B7512" s="9" t="str">
        <f>IFERROR(__xludf.DUMMYFUNCTION("""COMPUTED_VALUE"""),"M.MounikaC331")</f>
        <v>M.MounikaC331</v>
      </c>
      <c r="C7512" s="8">
        <f>IFERROR(__xludf.DUMMYFUNCTION("""COMPUTED_VALUE"""),0.0)</f>
        <v>0</v>
      </c>
      <c r="D7512" s="8"/>
    </row>
    <row r="7513">
      <c r="A7513" s="9" t="str">
        <f>IFERROR(__xludf.DUMMYFUNCTION("""COMPUTED_VALUE"""),"Batch 331")</f>
        <v>Batch 331</v>
      </c>
      <c r="B7513" s="9" t="str">
        <f>IFERROR(__xludf.DUMMYFUNCTION("""COMPUTED_VALUE"""),"ManishC331")</f>
        <v>ManishC331</v>
      </c>
      <c r="C7513" s="8">
        <f>IFERROR(__xludf.DUMMYFUNCTION("""COMPUTED_VALUE"""),0.0)</f>
        <v>0</v>
      </c>
      <c r="D7513" s="8"/>
    </row>
    <row r="7514">
      <c r="A7514" s="9"/>
      <c r="B7514" s="9"/>
      <c r="C7514" s="8">
        <f>IFERROR(__xludf.DUMMYFUNCTION("""COMPUTED_VALUE"""),0.0)</f>
        <v>0</v>
      </c>
      <c r="D7514" s="8"/>
    </row>
    <row r="7515">
      <c r="A7515" s="9" t="str">
        <f>IFERROR(__xludf.DUMMYFUNCTION("""COMPUTED_VALUE"""),"Batch 332")</f>
        <v>Batch 332</v>
      </c>
      <c r="B7515" s="9" t="str">
        <f>IFERROR(__xludf.DUMMYFUNCTION("""COMPUTED_VALUE"""),"ShaileshC332")</f>
        <v>ShaileshC332</v>
      </c>
      <c r="C7515" s="8">
        <f>IFERROR(__xludf.DUMMYFUNCTION("""COMPUTED_VALUE"""),0.0)</f>
        <v>0</v>
      </c>
      <c r="D7515" s="8"/>
    </row>
    <row r="7516">
      <c r="A7516" s="9" t="str">
        <f>IFERROR(__xludf.DUMMYFUNCTION("""COMPUTED_VALUE"""),"Batch 332")</f>
        <v>Batch 332</v>
      </c>
      <c r="B7516" s="9" t="str">
        <f>IFERROR(__xludf.DUMMYFUNCTION("""COMPUTED_VALUE"""),"TanviC332")</f>
        <v>TanviC332</v>
      </c>
      <c r="C7516" s="8">
        <f>IFERROR(__xludf.DUMMYFUNCTION("""COMPUTED_VALUE"""),7.0)</f>
        <v>7</v>
      </c>
      <c r="D7516" s="8">
        <f>IFERROR(__xludf.DUMMYFUNCTION("""COMPUTED_VALUE"""),4.0)</f>
        <v>4</v>
      </c>
    </row>
    <row r="7517">
      <c r="A7517" s="9" t="str">
        <f>IFERROR(__xludf.DUMMYFUNCTION("""COMPUTED_VALUE"""),"Batch 332")</f>
        <v>Batch 332</v>
      </c>
      <c r="B7517" s="9" t="str">
        <f>IFERROR(__xludf.DUMMYFUNCTION("""COMPUTED_VALUE"""),"ShreyaC332")</f>
        <v>ShreyaC332</v>
      </c>
      <c r="C7517" s="8">
        <f>IFERROR(__xludf.DUMMYFUNCTION("""COMPUTED_VALUE"""),0.0)</f>
        <v>0</v>
      </c>
      <c r="D7517" s="8"/>
    </row>
    <row r="7518">
      <c r="A7518" s="9" t="str">
        <f>IFERROR(__xludf.DUMMYFUNCTION("""COMPUTED_VALUE"""),"Batch 332")</f>
        <v>Batch 332</v>
      </c>
      <c r="B7518" s="9" t="str">
        <f>IFERROR(__xludf.DUMMYFUNCTION("""COMPUTED_VALUE"""),"palakC332")</f>
        <v>palakC332</v>
      </c>
      <c r="C7518" s="8">
        <f>IFERROR(__xludf.DUMMYFUNCTION("""COMPUTED_VALUE"""),0.0)</f>
        <v>0</v>
      </c>
      <c r="D7518" s="8">
        <f>IFERROR(__xludf.DUMMYFUNCTION("""COMPUTED_VALUE"""),1.0)</f>
        <v>1</v>
      </c>
    </row>
    <row r="7519">
      <c r="A7519" s="9" t="str">
        <f>IFERROR(__xludf.DUMMYFUNCTION("""COMPUTED_VALUE"""),"Batch 332")</f>
        <v>Batch 332</v>
      </c>
      <c r="B7519" s="9" t="str">
        <f>IFERROR(__xludf.DUMMYFUNCTION("""COMPUTED_VALUE"""),"PurvaC332")</f>
        <v>PurvaC332</v>
      </c>
      <c r="C7519" s="8">
        <f>IFERROR(__xludf.DUMMYFUNCTION("""COMPUTED_VALUE"""),1.0)</f>
        <v>1</v>
      </c>
      <c r="D7519" s="8"/>
    </row>
    <row r="7520">
      <c r="A7520" s="9" t="str">
        <f>IFERROR(__xludf.DUMMYFUNCTION("""COMPUTED_VALUE"""),"Batch 332")</f>
        <v>Batch 332</v>
      </c>
      <c r="B7520" s="9" t="str">
        <f>IFERROR(__xludf.DUMMYFUNCTION("""COMPUTED_VALUE"""),"ShreyaC332")</f>
        <v>ShreyaC332</v>
      </c>
      <c r="C7520" s="8">
        <f>IFERROR(__xludf.DUMMYFUNCTION("""COMPUTED_VALUE"""),0.0)</f>
        <v>0</v>
      </c>
      <c r="D7520" s="8"/>
    </row>
    <row r="7521">
      <c r="A7521" s="9" t="str">
        <f>IFERROR(__xludf.DUMMYFUNCTION("""COMPUTED_VALUE"""),"Batch 332")</f>
        <v>Batch 332</v>
      </c>
      <c r="B7521" s="9" t="str">
        <f>IFERROR(__xludf.DUMMYFUNCTION("""COMPUTED_VALUE"""),"SayaliC332")</f>
        <v>SayaliC332</v>
      </c>
      <c r="C7521" s="8">
        <f>IFERROR(__xludf.DUMMYFUNCTION("""COMPUTED_VALUE"""),0.0)</f>
        <v>0</v>
      </c>
      <c r="D7521" s="8"/>
    </row>
    <row r="7522">
      <c r="A7522" s="9" t="str">
        <f>IFERROR(__xludf.DUMMYFUNCTION("""COMPUTED_VALUE"""),"Batch 332")</f>
        <v>Batch 332</v>
      </c>
      <c r="B7522" s="9" t="str">
        <f>IFERROR(__xludf.DUMMYFUNCTION("""COMPUTED_VALUE"""),"KausarC332")</f>
        <v>KausarC332</v>
      </c>
      <c r="C7522" s="8">
        <f>IFERROR(__xludf.DUMMYFUNCTION("""COMPUTED_VALUE"""),0.0)</f>
        <v>0</v>
      </c>
      <c r="D7522" s="8"/>
    </row>
    <row r="7523">
      <c r="A7523" s="9" t="str">
        <f>IFERROR(__xludf.DUMMYFUNCTION("""COMPUTED_VALUE"""),"Batch 332")</f>
        <v>Batch 332</v>
      </c>
      <c r="B7523" s="9" t="str">
        <f>IFERROR(__xludf.DUMMYFUNCTION("""COMPUTED_VALUE"""),"TanishaC332")</f>
        <v>TanishaC332</v>
      </c>
      <c r="C7523" s="8">
        <f>IFERROR(__xludf.DUMMYFUNCTION("""COMPUTED_VALUE"""),0.0)</f>
        <v>0</v>
      </c>
      <c r="D7523" s="8"/>
    </row>
    <row r="7524">
      <c r="A7524" s="9" t="str">
        <f>IFERROR(__xludf.DUMMYFUNCTION("""COMPUTED_VALUE"""),"Batch 332")</f>
        <v>Batch 332</v>
      </c>
      <c r="B7524" s="9" t="str">
        <f>IFERROR(__xludf.DUMMYFUNCTION("""COMPUTED_VALUE"""),"JanviC332")</f>
        <v>JanviC332</v>
      </c>
      <c r="C7524" s="8">
        <f>IFERROR(__xludf.DUMMYFUNCTION("""COMPUTED_VALUE"""),0.0)</f>
        <v>0</v>
      </c>
      <c r="D7524" s="8"/>
    </row>
    <row r="7525">
      <c r="A7525" s="9" t="str">
        <f>IFERROR(__xludf.DUMMYFUNCTION("""COMPUTED_VALUE"""),"Batch 332")</f>
        <v>Batch 332</v>
      </c>
      <c r="B7525" s="9" t="str">
        <f>IFERROR(__xludf.DUMMYFUNCTION("""COMPUTED_VALUE"""),"VirajC332")</f>
        <v>VirajC332</v>
      </c>
      <c r="C7525" s="8">
        <f>IFERROR(__xludf.DUMMYFUNCTION("""COMPUTED_VALUE"""),0.0)</f>
        <v>0</v>
      </c>
      <c r="D7525" s="8"/>
    </row>
    <row r="7526">
      <c r="A7526" s="9" t="str">
        <f>IFERROR(__xludf.DUMMYFUNCTION("""COMPUTED_VALUE"""),"Batch 332")</f>
        <v>Batch 332</v>
      </c>
      <c r="B7526" s="9" t="str">
        <f>IFERROR(__xludf.DUMMYFUNCTION("""COMPUTED_VALUE"""),"TejasC332")</f>
        <v>TejasC332</v>
      </c>
      <c r="C7526" s="8">
        <f>IFERROR(__xludf.DUMMYFUNCTION("""COMPUTED_VALUE"""),0.0)</f>
        <v>0</v>
      </c>
      <c r="D7526" s="8"/>
    </row>
    <row r="7527">
      <c r="A7527" s="9" t="str">
        <f>IFERROR(__xludf.DUMMYFUNCTION("""COMPUTED_VALUE"""),"Batch 332")</f>
        <v>Batch 332</v>
      </c>
      <c r="B7527" s="9" t="str">
        <f>IFERROR(__xludf.DUMMYFUNCTION("""COMPUTED_VALUE"""),"RiddhiC332")</f>
        <v>RiddhiC332</v>
      </c>
      <c r="C7527" s="8">
        <f>IFERROR(__xludf.DUMMYFUNCTION("""COMPUTED_VALUE"""),0.0)</f>
        <v>0</v>
      </c>
      <c r="D7527" s="8"/>
    </row>
    <row r="7528">
      <c r="A7528" s="9" t="str">
        <f>IFERROR(__xludf.DUMMYFUNCTION("""COMPUTED_VALUE"""),"Batch 332")</f>
        <v>Batch 332</v>
      </c>
      <c r="B7528" s="9" t="str">
        <f>IFERROR(__xludf.DUMMYFUNCTION("""COMPUTED_VALUE"""),"V.HemaC332")</f>
        <v>V.HemaC332</v>
      </c>
      <c r="C7528" s="8">
        <f>IFERROR(__xludf.DUMMYFUNCTION("""COMPUTED_VALUE"""),0.0)</f>
        <v>0</v>
      </c>
      <c r="D7528" s="8"/>
    </row>
    <row r="7529">
      <c r="A7529" s="9" t="str">
        <f>IFERROR(__xludf.DUMMYFUNCTION("""COMPUTED_VALUE"""),"Batch 332")</f>
        <v>Batch 332</v>
      </c>
      <c r="B7529" s="9" t="str">
        <f>IFERROR(__xludf.DUMMYFUNCTION("""COMPUTED_VALUE"""),"RaunakC332")</f>
        <v>RaunakC332</v>
      </c>
      <c r="C7529" s="8">
        <f>IFERROR(__xludf.DUMMYFUNCTION("""COMPUTED_VALUE"""),0.0)</f>
        <v>0</v>
      </c>
      <c r="D7529" s="8"/>
    </row>
    <row r="7530">
      <c r="A7530" s="9" t="str">
        <f>IFERROR(__xludf.DUMMYFUNCTION("""COMPUTED_VALUE"""),"Batch 332")</f>
        <v>Batch 332</v>
      </c>
      <c r="B7530" s="9" t="str">
        <f>IFERROR(__xludf.DUMMYFUNCTION("""COMPUTED_VALUE"""),"LokeshC332")</f>
        <v>LokeshC332</v>
      </c>
      <c r="C7530" s="8">
        <f>IFERROR(__xludf.DUMMYFUNCTION("""COMPUTED_VALUE"""),0.0)</f>
        <v>0</v>
      </c>
      <c r="D7530" s="8"/>
    </row>
    <row r="7531">
      <c r="A7531" s="9" t="str">
        <f>IFERROR(__xludf.DUMMYFUNCTION("""COMPUTED_VALUE"""),"Batch 332")</f>
        <v>Batch 332</v>
      </c>
      <c r="B7531" s="9" t="str">
        <f>IFERROR(__xludf.DUMMYFUNCTION("""COMPUTED_VALUE"""),"KhushiC332")</f>
        <v>KhushiC332</v>
      </c>
      <c r="C7531" s="8">
        <f>IFERROR(__xludf.DUMMYFUNCTION("""COMPUTED_VALUE"""),0.0)</f>
        <v>0</v>
      </c>
      <c r="D7531" s="8"/>
    </row>
    <row r="7532">
      <c r="A7532" s="9" t="str">
        <f>IFERROR(__xludf.DUMMYFUNCTION("""COMPUTED_VALUE"""),"Batch 332")</f>
        <v>Batch 332</v>
      </c>
      <c r="B7532" s="9" t="str">
        <f>IFERROR(__xludf.DUMMYFUNCTION("""COMPUTED_VALUE"""),"ShaikC332")</f>
        <v>ShaikC332</v>
      </c>
      <c r="C7532" s="8">
        <f>IFERROR(__xludf.DUMMYFUNCTION("""COMPUTED_VALUE"""),22.0)</f>
        <v>22</v>
      </c>
      <c r="D7532" s="8">
        <f>IFERROR(__xludf.DUMMYFUNCTION("""COMPUTED_VALUE"""),11.0)</f>
        <v>11</v>
      </c>
    </row>
    <row r="7533">
      <c r="A7533" s="9" t="str">
        <f>IFERROR(__xludf.DUMMYFUNCTION("""COMPUTED_VALUE"""),"Batch 332")</f>
        <v>Batch 332</v>
      </c>
      <c r="B7533" s="9" t="str">
        <f>IFERROR(__xludf.DUMMYFUNCTION("""COMPUTED_VALUE"""),"SharonC332")</f>
        <v>SharonC332</v>
      </c>
      <c r="C7533" s="8">
        <f>IFERROR(__xludf.DUMMYFUNCTION("""COMPUTED_VALUE"""),0.0)</f>
        <v>0</v>
      </c>
      <c r="D7533" s="8"/>
    </row>
    <row r="7534">
      <c r="A7534" s="9" t="str">
        <f>IFERROR(__xludf.DUMMYFUNCTION("""COMPUTED_VALUE"""),"Batch 332")</f>
        <v>Batch 332</v>
      </c>
      <c r="B7534" s="9" t="str">
        <f>IFERROR(__xludf.DUMMYFUNCTION("""COMPUTED_VALUE"""),"AkshatC332")</f>
        <v>AkshatC332</v>
      </c>
      <c r="C7534" s="8">
        <f>IFERROR(__xludf.DUMMYFUNCTION("""COMPUTED_VALUE"""),0.0)</f>
        <v>0</v>
      </c>
      <c r="D7534" s="8"/>
    </row>
    <row r="7535">
      <c r="A7535" s="9" t="str">
        <f>IFERROR(__xludf.DUMMYFUNCTION("""COMPUTED_VALUE"""),"Batch 332")</f>
        <v>Batch 332</v>
      </c>
      <c r="B7535" s="9" t="str">
        <f>IFERROR(__xludf.DUMMYFUNCTION("""COMPUTED_VALUE"""),"Nikethana.C332")</f>
        <v>Nikethana.C332</v>
      </c>
      <c r="C7535" s="8">
        <f>IFERROR(__xludf.DUMMYFUNCTION("""COMPUTED_VALUE"""),0.0)</f>
        <v>0</v>
      </c>
      <c r="D7535" s="8"/>
    </row>
    <row r="7536">
      <c r="A7536" s="9" t="str">
        <f>IFERROR(__xludf.DUMMYFUNCTION("""COMPUTED_VALUE"""),"Batch 332")</f>
        <v>Batch 332</v>
      </c>
      <c r="B7536" s="9" t="str">
        <f>IFERROR(__xludf.DUMMYFUNCTION("""COMPUTED_VALUE"""),"KashishC332")</f>
        <v>KashishC332</v>
      </c>
      <c r="C7536" s="8">
        <f>IFERROR(__xludf.DUMMYFUNCTION("""COMPUTED_VALUE"""),0.0)</f>
        <v>0</v>
      </c>
      <c r="D7536" s="8"/>
    </row>
    <row r="7537">
      <c r="A7537" s="9" t="str">
        <f>IFERROR(__xludf.DUMMYFUNCTION("""COMPUTED_VALUE"""),"Batch 332")</f>
        <v>Batch 332</v>
      </c>
      <c r="B7537" s="9" t="str">
        <f>IFERROR(__xludf.DUMMYFUNCTION("""COMPUTED_VALUE"""),"ManyaC332")</f>
        <v>ManyaC332</v>
      </c>
      <c r="C7537" s="8">
        <f>IFERROR(__xludf.DUMMYFUNCTION("""COMPUTED_VALUE"""),5.0)</f>
        <v>5</v>
      </c>
      <c r="D7537" s="8"/>
    </row>
    <row r="7538">
      <c r="A7538" s="9" t="str">
        <f>IFERROR(__xludf.DUMMYFUNCTION("""COMPUTED_VALUE"""),"Batch 332")</f>
        <v>Batch 332</v>
      </c>
      <c r="B7538" s="9" t="str">
        <f>IFERROR(__xludf.DUMMYFUNCTION("""COMPUTED_VALUE"""),"KartikaC332")</f>
        <v>KartikaC332</v>
      </c>
      <c r="C7538" s="8">
        <f>IFERROR(__xludf.DUMMYFUNCTION("""COMPUTED_VALUE"""),0.0)</f>
        <v>0</v>
      </c>
      <c r="D7538" s="8"/>
    </row>
    <row r="7539">
      <c r="A7539" s="9" t="str">
        <f>IFERROR(__xludf.DUMMYFUNCTION("""COMPUTED_VALUE"""),"Batch 332")</f>
        <v>Batch 332</v>
      </c>
      <c r="B7539" s="9" t="str">
        <f>IFERROR(__xludf.DUMMYFUNCTION("""COMPUTED_VALUE"""),"MeeraC332")</f>
        <v>MeeraC332</v>
      </c>
      <c r="C7539" s="8">
        <f>IFERROR(__xludf.DUMMYFUNCTION("""COMPUTED_VALUE"""),1.0)</f>
        <v>1</v>
      </c>
      <c r="D7539" s="8"/>
    </row>
    <row r="7540">
      <c r="A7540" s="9" t="str">
        <f>IFERROR(__xludf.DUMMYFUNCTION("""COMPUTED_VALUE"""),"Batch 332")</f>
        <v>Batch 332</v>
      </c>
      <c r="B7540" s="9" t="str">
        <f>IFERROR(__xludf.DUMMYFUNCTION("""COMPUTED_VALUE"""),"JanviC332")</f>
        <v>JanviC332</v>
      </c>
      <c r="C7540" s="8">
        <f>IFERROR(__xludf.DUMMYFUNCTION("""COMPUTED_VALUE"""),0.0)</f>
        <v>0</v>
      </c>
      <c r="D7540" s="8"/>
    </row>
    <row r="7541">
      <c r="A7541" s="9" t="str">
        <f>IFERROR(__xludf.DUMMYFUNCTION("""COMPUTED_VALUE"""),"Batch 332")</f>
        <v>Batch 332</v>
      </c>
      <c r="B7541" s="9" t="str">
        <f>IFERROR(__xludf.DUMMYFUNCTION("""COMPUTED_VALUE"""),"KeerthiC332")</f>
        <v>KeerthiC332</v>
      </c>
      <c r="C7541" s="8">
        <f>IFERROR(__xludf.DUMMYFUNCTION("""COMPUTED_VALUE"""),0.0)</f>
        <v>0</v>
      </c>
      <c r="D7541" s="8"/>
    </row>
    <row r="7542">
      <c r="A7542" s="9"/>
      <c r="B7542" s="9"/>
      <c r="C7542" s="8">
        <f>IFERROR(__xludf.DUMMYFUNCTION("""COMPUTED_VALUE"""),0.0)</f>
        <v>0</v>
      </c>
      <c r="D7542" s="8"/>
    </row>
    <row r="7543">
      <c r="A7543" s="9" t="str">
        <f>IFERROR(__xludf.DUMMYFUNCTION("""COMPUTED_VALUE"""),"Batch 333")</f>
        <v>Batch 333</v>
      </c>
      <c r="B7543" s="9" t="str">
        <f>IFERROR(__xludf.DUMMYFUNCTION("""COMPUTED_VALUE"""),"GauravC333")</f>
        <v>GauravC333</v>
      </c>
      <c r="C7543" s="8">
        <f>IFERROR(__xludf.DUMMYFUNCTION("""COMPUTED_VALUE"""),0.0)</f>
        <v>0</v>
      </c>
      <c r="D7543" s="8"/>
    </row>
    <row r="7544">
      <c r="A7544" s="9" t="str">
        <f>IFERROR(__xludf.DUMMYFUNCTION("""COMPUTED_VALUE"""),"Batch 333")</f>
        <v>Batch 333</v>
      </c>
      <c r="B7544" s="9" t="str">
        <f>IFERROR(__xludf.DUMMYFUNCTION("""COMPUTED_VALUE"""),"MadhvaniC333")</f>
        <v>MadhvaniC333</v>
      </c>
      <c r="C7544" s="8">
        <f>IFERROR(__xludf.DUMMYFUNCTION("""COMPUTED_VALUE"""),0.0)</f>
        <v>0</v>
      </c>
      <c r="D7544" s="8"/>
    </row>
    <row r="7545">
      <c r="A7545" s="9" t="str">
        <f>IFERROR(__xludf.DUMMYFUNCTION("""COMPUTED_VALUE"""),"Batch 333")</f>
        <v>Batch 333</v>
      </c>
      <c r="B7545" s="9" t="str">
        <f>IFERROR(__xludf.DUMMYFUNCTION("""COMPUTED_VALUE"""),"poojaC333")</f>
        <v>poojaC333</v>
      </c>
      <c r="C7545" s="8">
        <f>IFERROR(__xludf.DUMMYFUNCTION("""COMPUTED_VALUE"""),0.0)</f>
        <v>0</v>
      </c>
      <c r="D7545" s="8"/>
    </row>
    <row r="7546">
      <c r="A7546" s="9" t="str">
        <f>IFERROR(__xludf.DUMMYFUNCTION("""COMPUTED_VALUE"""),"Batch 333")</f>
        <v>Batch 333</v>
      </c>
      <c r="B7546" s="9" t="str">
        <f>IFERROR(__xludf.DUMMYFUNCTION("""COMPUTED_VALUE"""),"NirelC333")</f>
        <v>NirelC333</v>
      </c>
      <c r="C7546" s="8">
        <f>IFERROR(__xludf.DUMMYFUNCTION("""COMPUTED_VALUE"""),0.0)</f>
        <v>0</v>
      </c>
      <c r="D7546" s="8"/>
    </row>
    <row r="7547">
      <c r="A7547" s="9" t="str">
        <f>IFERROR(__xludf.DUMMYFUNCTION("""COMPUTED_VALUE"""),"Batch 333")</f>
        <v>Batch 333</v>
      </c>
      <c r="B7547" s="9" t="str">
        <f>IFERROR(__xludf.DUMMYFUNCTION("""COMPUTED_VALUE"""),"DC333")</f>
        <v>DC333</v>
      </c>
      <c r="C7547" s="8">
        <f>IFERROR(__xludf.DUMMYFUNCTION("""COMPUTED_VALUE"""),0.0)</f>
        <v>0</v>
      </c>
      <c r="D7547" s="8"/>
    </row>
    <row r="7548">
      <c r="A7548" s="9" t="str">
        <f>IFERROR(__xludf.DUMMYFUNCTION("""COMPUTED_VALUE"""),"Batch 333")</f>
        <v>Batch 333</v>
      </c>
      <c r="B7548" s="9" t="str">
        <f>IFERROR(__xludf.DUMMYFUNCTION("""COMPUTED_VALUE"""),"VanshikaC333")</f>
        <v>VanshikaC333</v>
      </c>
      <c r="C7548" s="8">
        <f>IFERROR(__xludf.DUMMYFUNCTION("""COMPUTED_VALUE"""),0.0)</f>
        <v>0</v>
      </c>
      <c r="D7548" s="8"/>
    </row>
    <row r="7549">
      <c r="A7549" s="9" t="str">
        <f>IFERROR(__xludf.DUMMYFUNCTION("""COMPUTED_VALUE"""),"Batch 333")</f>
        <v>Batch 333</v>
      </c>
      <c r="B7549" s="9" t="str">
        <f>IFERROR(__xludf.DUMMYFUNCTION("""COMPUTED_VALUE"""),"DishaC333")</f>
        <v>DishaC333</v>
      </c>
      <c r="C7549" s="8">
        <f>IFERROR(__xludf.DUMMYFUNCTION("""COMPUTED_VALUE"""),0.0)</f>
        <v>0</v>
      </c>
      <c r="D7549" s="8"/>
    </row>
    <row r="7550">
      <c r="A7550" s="9" t="str">
        <f>IFERROR(__xludf.DUMMYFUNCTION("""COMPUTED_VALUE"""),"Batch 333")</f>
        <v>Batch 333</v>
      </c>
      <c r="B7550" s="9" t="str">
        <f>IFERROR(__xludf.DUMMYFUNCTION("""COMPUTED_VALUE"""),"SheetalC333")</f>
        <v>SheetalC333</v>
      </c>
      <c r="C7550" s="8">
        <f>IFERROR(__xludf.DUMMYFUNCTION("""COMPUTED_VALUE"""),2.0)</f>
        <v>2</v>
      </c>
      <c r="D7550" s="8">
        <f>IFERROR(__xludf.DUMMYFUNCTION("""COMPUTED_VALUE"""),3.0)</f>
        <v>3</v>
      </c>
    </row>
    <row r="7551">
      <c r="A7551" s="9" t="str">
        <f>IFERROR(__xludf.DUMMYFUNCTION("""COMPUTED_VALUE"""),"Batch 333")</f>
        <v>Batch 333</v>
      </c>
      <c r="B7551" s="9" t="str">
        <f>IFERROR(__xludf.DUMMYFUNCTION("""COMPUTED_VALUE"""),"AadityaC333")</f>
        <v>AadityaC333</v>
      </c>
      <c r="C7551" s="8">
        <f>IFERROR(__xludf.DUMMYFUNCTION("""COMPUTED_VALUE"""),0.0)</f>
        <v>0</v>
      </c>
      <c r="D7551" s="8"/>
    </row>
    <row r="7552">
      <c r="A7552" s="9" t="str">
        <f>IFERROR(__xludf.DUMMYFUNCTION("""COMPUTED_VALUE"""),"Batch 333")</f>
        <v>Batch 333</v>
      </c>
      <c r="B7552" s="9" t="str">
        <f>IFERROR(__xludf.DUMMYFUNCTION("""COMPUTED_VALUE"""),"SomyaC333")</f>
        <v>SomyaC333</v>
      </c>
      <c r="C7552" s="8">
        <f>IFERROR(__xludf.DUMMYFUNCTION("""COMPUTED_VALUE"""),3.0)</f>
        <v>3</v>
      </c>
      <c r="D7552" s="8"/>
    </row>
    <row r="7553">
      <c r="A7553" s="9" t="str">
        <f>IFERROR(__xludf.DUMMYFUNCTION("""COMPUTED_VALUE"""),"Batch 333")</f>
        <v>Batch 333</v>
      </c>
      <c r="B7553" s="9" t="str">
        <f>IFERROR(__xludf.DUMMYFUNCTION("""COMPUTED_VALUE"""),"AdityaC333")</f>
        <v>AdityaC333</v>
      </c>
      <c r="C7553" s="8">
        <f>IFERROR(__xludf.DUMMYFUNCTION("""COMPUTED_VALUE"""),0.0)</f>
        <v>0</v>
      </c>
      <c r="D7553" s="8"/>
    </row>
    <row r="7554">
      <c r="A7554" s="9" t="str">
        <f>IFERROR(__xludf.DUMMYFUNCTION("""COMPUTED_VALUE"""),"Batch 333")</f>
        <v>Batch 333</v>
      </c>
      <c r="B7554" s="9" t="str">
        <f>IFERROR(__xludf.DUMMYFUNCTION("""COMPUTED_VALUE"""),"AanshiC333")</f>
        <v>AanshiC333</v>
      </c>
      <c r="C7554" s="8">
        <f>IFERROR(__xludf.DUMMYFUNCTION("""COMPUTED_VALUE"""),0.0)</f>
        <v>0</v>
      </c>
      <c r="D7554" s="8"/>
    </row>
    <row r="7555">
      <c r="A7555" s="9" t="str">
        <f>IFERROR(__xludf.DUMMYFUNCTION("""COMPUTED_VALUE"""),"Batch 333")</f>
        <v>Batch 333</v>
      </c>
      <c r="B7555" s="9" t="str">
        <f>IFERROR(__xludf.DUMMYFUNCTION("""COMPUTED_VALUE"""),"SukhpreetC333")</f>
        <v>SukhpreetC333</v>
      </c>
      <c r="C7555" s="8">
        <f>IFERROR(__xludf.DUMMYFUNCTION("""COMPUTED_VALUE"""),0.0)</f>
        <v>0</v>
      </c>
      <c r="D7555" s="8"/>
    </row>
    <row r="7556">
      <c r="A7556" s="9" t="str">
        <f>IFERROR(__xludf.DUMMYFUNCTION("""COMPUTED_VALUE"""),"Batch 333")</f>
        <v>Batch 333</v>
      </c>
      <c r="B7556" s="9" t="str">
        <f>IFERROR(__xludf.DUMMYFUNCTION("""COMPUTED_VALUE"""),"SarthakC333")</f>
        <v>SarthakC333</v>
      </c>
      <c r="C7556" s="8">
        <f>IFERROR(__xludf.DUMMYFUNCTION("""COMPUTED_VALUE"""),0.0)</f>
        <v>0</v>
      </c>
      <c r="D7556" s="8"/>
    </row>
    <row r="7557">
      <c r="A7557" s="9" t="str">
        <f>IFERROR(__xludf.DUMMYFUNCTION("""COMPUTED_VALUE"""),"Batch 333")</f>
        <v>Batch 333</v>
      </c>
      <c r="B7557" s="9" t="str">
        <f>IFERROR(__xludf.DUMMYFUNCTION("""COMPUTED_VALUE"""),"AditiC333")</f>
        <v>AditiC333</v>
      </c>
      <c r="C7557" s="8">
        <f>IFERROR(__xludf.DUMMYFUNCTION("""COMPUTED_VALUE"""),0.0)</f>
        <v>0</v>
      </c>
      <c r="D7557" s="8"/>
    </row>
    <row r="7558">
      <c r="A7558" s="9" t="str">
        <f>IFERROR(__xludf.DUMMYFUNCTION("""COMPUTED_VALUE"""),"Batch 333")</f>
        <v>Batch 333</v>
      </c>
      <c r="B7558" s="9" t="str">
        <f>IFERROR(__xludf.DUMMYFUNCTION("""COMPUTED_VALUE"""),"AmardipC333")</f>
        <v>AmardipC333</v>
      </c>
      <c r="C7558" s="8">
        <f>IFERROR(__xludf.DUMMYFUNCTION("""COMPUTED_VALUE"""),0.0)</f>
        <v>0</v>
      </c>
      <c r="D7558" s="8"/>
    </row>
    <row r="7559">
      <c r="A7559" s="9" t="str">
        <f>IFERROR(__xludf.DUMMYFUNCTION("""COMPUTED_VALUE"""),"Batch 333")</f>
        <v>Batch 333</v>
      </c>
      <c r="B7559" s="9" t="str">
        <f>IFERROR(__xludf.DUMMYFUNCTION("""COMPUTED_VALUE"""),"MahakC333")</f>
        <v>MahakC333</v>
      </c>
      <c r="C7559" s="8">
        <f>IFERROR(__xludf.DUMMYFUNCTION("""COMPUTED_VALUE"""),1.0)</f>
        <v>1</v>
      </c>
      <c r="D7559" s="8"/>
    </row>
    <row r="7560">
      <c r="A7560" s="9" t="str">
        <f>IFERROR(__xludf.DUMMYFUNCTION("""COMPUTED_VALUE"""),"Batch 333")</f>
        <v>Batch 333</v>
      </c>
      <c r="B7560" s="9" t="str">
        <f>IFERROR(__xludf.DUMMYFUNCTION("""COMPUTED_VALUE"""),"AasthaC333")</f>
        <v>AasthaC333</v>
      </c>
      <c r="C7560" s="8">
        <f>IFERROR(__xludf.DUMMYFUNCTION("""COMPUTED_VALUE"""),0.0)</f>
        <v>0</v>
      </c>
      <c r="D7560" s="8"/>
    </row>
    <row r="7561">
      <c r="A7561" s="9" t="str">
        <f>IFERROR(__xludf.DUMMYFUNCTION("""COMPUTED_VALUE"""),"Batch 333")</f>
        <v>Batch 333</v>
      </c>
      <c r="B7561" s="9" t="str">
        <f>IFERROR(__xludf.DUMMYFUNCTION("""COMPUTED_VALUE"""),"ShreshthC333")</f>
        <v>ShreshthC333</v>
      </c>
      <c r="C7561" s="8">
        <f>IFERROR(__xludf.DUMMYFUNCTION("""COMPUTED_VALUE"""),0.0)</f>
        <v>0</v>
      </c>
      <c r="D7561" s="8"/>
    </row>
    <row r="7562">
      <c r="A7562" s="9" t="str">
        <f>IFERROR(__xludf.DUMMYFUNCTION("""COMPUTED_VALUE"""),"Batch 333")</f>
        <v>Batch 333</v>
      </c>
      <c r="B7562" s="9" t="str">
        <f>IFERROR(__xludf.DUMMYFUNCTION("""COMPUTED_VALUE"""),"KratishC333")</f>
        <v>KratishC333</v>
      </c>
      <c r="C7562" s="8">
        <f>IFERROR(__xludf.DUMMYFUNCTION("""COMPUTED_VALUE"""),0.0)</f>
        <v>0</v>
      </c>
      <c r="D7562" s="8"/>
    </row>
    <row r="7563">
      <c r="A7563" s="9" t="str">
        <f>IFERROR(__xludf.DUMMYFUNCTION("""COMPUTED_VALUE"""),"Batch 333")</f>
        <v>Batch 333</v>
      </c>
      <c r="B7563" s="9" t="str">
        <f>IFERROR(__xludf.DUMMYFUNCTION("""COMPUTED_VALUE"""),"AadarshC333")</f>
        <v>AadarshC333</v>
      </c>
      <c r="C7563" s="8">
        <f>IFERROR(__xludf.DUMMYFUNCTION("""COMPUTED_VALUE"""),0.0)</f>
        <v>0</v>
      </c>
      <c r="D7563" s="8"/>
    </row>
    <row r="7564">
      <c r="A7564" s="9" t="str">
        <f>IFERROR(__xludf.DUMMYFUNCTION("""COMPUTED_VALUE"""),"Batch 333")</f>
        <v>Batch 333</v>
      </c>
      <c r="B7564" s="9" t="str">
        <f>IFERROR(__xludf.DUMMYFUNCTION("""COMPUTED_VALUE"""),"DarshithaC333")</f>
        <v>DarshithaC333</v>
      </c>
      <c r="C7564" s="8">
        <f>IFERROR(__xludf.DUMMYFUNCTION("""COMPUTED_VALUE"""),0.0)</f>
        <v>0</v>
      </c>
      <c r="D7564" s="8"/>
    </row>
    <row r="7565">
      <c r="A7565" s="9" t="str">
        <f>IFERROR(__xludf.DUMMYFUNCTION("""COMPUTED_VALUE"""),"Batch 333")</f>
        <v>Batch 333</v>
      </c>
      <c r="B7565" s="9" t="str">
        <f>IFERROR(__xludf.DUMMYFUNCTION("""COMPUTED_VALUE"""),"KiranC333")</f>
        <v>KiranC333</v>
      </c>
      <c r="C7565" s="8">
        <f>IFERROR(__xludf.DUMMYFUNCTION("""COMPUTED_VALUE"""),0.0)</f>
        <v>0</v>
      </c>
      <c r="D7565" s="8"/>
    </row>
    <row r="7566">
      <c r="A7566" s="9" t="str">
        <f>IFERROR(__xludf.DUMMYFUNCTION("""COMPUTED_VALUE"""),"Batch 333")</f>
        <v>Batch 333</v>
      </c>
      <c r="B7566" s="9" t="str">
        <f>IFERROR(__xludf.DUMMYFUNCTION("""COMPUTED_VALUE"""),"AbhinavC333")</f>
        <v>AbhinavC333</v>
      </c>
      <c r="C7566" s="8">
        <f>IFERROR(__xludf.DUMMYFUNCTION("""COMPUTED_VALUE"""),0.0)</f>
        <v>0</v>
      </c>
      <c r="D7566" s="8"/>
    </row>
    <row r="7567">
      <c r="A7567" s="9" t="str">
        <f>IFERROR(__xludf.DUMMYFUNCTION("""COMPUTED_VALUE"""),"Batch 333")</f>
        <v>Batch 333</v>
      </c>
      <c r="B7567" s="9" t="str">
        <f>IFERROR(__xludf.DUMMYFUNCTION("""COMPUTED_VALUE"""),"SomyaC333")</f>
        <v>SomyaC333</v>
      </c>
      <c r="C7567" s="8">
        <f>IFERROR(__xludf.DUMMYFUNCTION("""COMPUTED_VALUE"""),0.0)</f>
        <v>0</v>
      </c>
      <c r="D7567" s="8"/>
    </row>
    <row r="7568">
      <c r="A7568" s="9" t="str">
        <f>IFERROR(__xludf.DUMMYFUNCTION("""COMPUTED_VALUE"""),"Batch 333")</f>
        <v>Batch 333</v>
      </c>
      <c r="B7568" s="9" t="str">
        <f>IFERROR(__xludf.DUMMYFUNCTION("""COMPUTED_VALUE"""),"PiyushC333")</f>
        <v>PiyushC333</v>
      </c>
      <c r="C7568" s="8">
        <f>IFERROR(__xludf.DUMMYFUNCTION("""COMPUTED_VALUE"""),0.0)</f>
        <v>0</v>
      </c>
      <c r="D7568" s="8"/>
    </row>
    <row r="7569">
      <c r="A7569" s="9" t="str">
        <f>IFERROR(__xludf.DUMMYFUNCTION("""COMPUTED_VALUE"""),"Batch 333")</f>
        <v>Batch 333</v>
      </c>
      <c r="B7569" s="9" t="str">
        <f>IFERROR(__xludf.DUMMYFUNCTION("""COMPUTED_VALUE"""),"AshwintC333")</f>
        <v>AshwintC333</v>
      </c>
      <c r="C7569" s="8">
        <f>IFERROR(__xludf.DUMMYFUNCTION("""COMPUTED_VALUE"""),0.0)</f>
        <v>0</v>
      </c>
      <c r="D7569" s="8"/>
    </row>
    <row r="7570">
      <c r="A7570" s="9" t="str">
        <f>IFERROR(__xludf.DUMMYFUNCTION("""COMPUTED_VALUE"""),"Batch 333")</f>
        <v>Batch 333</v>
      </c>
      <c r="B7570" s="9" t="str">
        <f>IFERROR(__xludf.DUMMYFUNCTION("""COMPUTED_VALUE"""),"AnanyaC333")</f>
        <v>AnanyaC333</v>
      </c>
      <c r="C7570" s="8">
        <f>IFERROR(__xludf.DUMMYFUNCTION("""COMPUTED_VALUE"""),0.0)</f>
        <v>0</v>
      </c>
      <c r="D7570" s="8"/>
    </row>
    <row r="7571">
      <c r="A7571" s="9" t="str">
        <f>IFERROR(__xludf.DUMMYFUNCTION("""COMPUTED_VALUE"""),"Batch 333")</f>
        <v>Batch 333</v>
      </c>
      <c r="B7571" s="9" t="str">
        <f>IFERROR(__xludf.DUMMYFUNCTION("""COMPUTED_VALUE"""),"DiyaC333")</f>
        <v>DiyaC333</v>
      </c>
      <c r="C7571" s="8">
        <f>IFERROR(__xludf.DUMMYFUNCTION("""COMPUTED_VALUE"""),0.0)</f>
        <v>0</v>
      </c>
      <c r="D7571" s="8"/>
    </row>
    <row r="7572">
      <c r="A7572" s="9" t="str">
        <f>IFERROR(__xludf.DUMMYFUNCTION("""COMPUTED_VALUE"""),"Batch 333")</f>
        <v>Batch 333</v>
      </c>
      <c r="B7572" s="9" t="str">
        <f>IFERROR(__xludf.DUMMYFUNCTION("""COMPUTED_VALUE"""),"ShradhaC333")</f>
        <v>ShradhaC333</v>
      </c>
      <c r="C7572" s="8">
        <f>IFERROR(__xludf.DUMMYFUNCTION("""COMPUTED_VALUE"""),0.0)</f>
        <v>0</v>
      </c>
      <c r="D7572" s="8"/>
    </row>
    <row r="7573">
      <c r="A7573" s="9" t="str">
        <f>IFERROR(__xludf.DUMMYFUNCTION("""COMPUTED_VALUE"""),"Batch 333")</f>
        <v>Batch 333</v>
      </c>
      <c r="B7573" s="9" t="str">
        <f>IFERROR(__xludf.DUMMYFUNCTION("""COMPUTED_VALUE"""),"AnjanaC333")</f>
        <v>AnjanaC333</v>
      </c>
      <c r="C7573" s="8">
        <f>IFERROR(__xludf.DUMMYFUNCTION("""COMPUTED_VALUE"""),0.0)</f>
        <v>0</v>
      </c>
      <c r="D7573" s="8"/>
    </row>
    <row r="7574">
      <c r="A7574" s="9" t="str">
        <f>IFERROR(__xludf.DUMMYFUNCTION("""COMPUTED_VALUE"""),"Batch 333")</f>
        <v>Batch 333</v>
      </c>
      <c r="B7574" s="9" t="str">
        <f>IFERROR(__xludf.DUMMYFUNCTION("""COMPUTED_VALUE"""),"SamiraC333")</f>
        <v>SamiraC333</v>
      </c>
      <c r="C7574" s="8">
        <f>IFERROR(__xludf.DUMMYFUNCTION("""COMPUTED_VALUE"""),0.0)</f>
        <v>0</v>
      </c>
      <c r="D7574" s="8"/>
    </row>
    <row r="7575">
      <c r="A7575" s="9" t="str">
        <f>IFERROR(__xludf.DUMMYFUNCTION("""COMPUTED_VALUE"""),"Batch 333")</f>
        <v>Batch 333</v>
      </c>
      <c r="B7575" s="9" t="str">
        <f>IFERROR(__xludf.DUMMYFUNCTION("""COMPUTED_VALUE"""),"JayaC333")</f>
        <v>JayaC333</v>
      </c>
      <c r="C7575" s="8">
        <f>IFERROR(__xludf.DUMMYFUNCTION("""COMPUTED_VALUE"""),0.0)</f>
        <v>0</v>
      </c>
      <c r="D7575" s="8"/>
    </row>
    <row r="7576">
      <c r="A7576" s="9" t="str">
        <f>IFERROR(__xludf.DUMMYFUNCTION("""COMPUTED_VALUE"""),"Batch 333")</f>
        <v>Batch 333</v>
      </c>
      <c r="B7576" s="9" t="str">
        <f>IFERROR(__xludf.DUMMYFUNCTION("""COMPUTED_VALUE"""),"PankajC333")</f>
        <v>PankajC333</v>
      </c>
      <c r="C7576" s="8">
        <f>IFERROR(__xludf.DUMMYFUNCTION("""COMPUTED_VALUE"""),0.0)</f>
        <v>0</v>
      </c>
      <c r="D7576" s="8"/>
    </row>
    <row r="7577">
      <c r="A7577" s="9" t="str">
        <f>IFERROR(__xludf.DUMMYFUNCTION("""COMPUTED_VALUE"""),"Batch 333")</f>
        <v>Batch 333</v>
      </c>
      <c r="B7577" s="9" t="str">
        <f>IFERROR(__xludf.DUMMYFUNCTION("""COMPUTED_VALUE"""),"JanhviC333")</f>
        <v>JanhviC333</v>
      </c>
      <c r="C7577" s="8">
        <f>IFERROR(__xludf.DUMMYFUNCTION("""COMPUTED_VALUE"""),0.0)</f>
        <v>0</v>
      </c>
      <c r="D7577" s="8"/>
    </row>
    <row r="7578">
      <c r="A7578" s="9" t="str">
        <f>IFERROR(__xludf.DUMMYFUNCTION("""COMPUTED_VALUE"""),"Batch 333")</f>
        <v>Batch 333</v>
      </c>
      <c r="B7578" s="9" t="str">
        <f>IFERROR(__xludf.DUMMYFUNCTION("""COMPUTED_VALUE"""),"anmolC333")</f>
        <v>anmolC333</v>
      </c>
      <c r="C7578" s="8">
        <f>IFERROR(__xludf.DUMMYFUNCTION("""COMPUTED_VALUE"""),0.0)</f>
        <v>0</v>
      </c>
      <c r="D7578" s="8"/>
    </row>
    <row r="7579">
      <c r="A7579" s="9" t="str">
        <f>IFERROR(__xludf.DUMMYFUNCTION("""COMPUTED_VALUE"""),"Batch 333")</f>
        <v>Batch 333</v>
      </c>
      <c r="B7579" s="9" t="str">
        <f>IFERROR(__xludf.DUMMYFUNCTION("""COMPUTED_VALUE"""),"ManishC333")</f>
        <v>ManishC333</v>
      </c>
      <c r="C7579" s="8">
        <f>IFERROR(__xludf.DUMMYFUNCTION("""COMPUTED_VALUE"""),2.0)</f>
        <v>2</v>
      </c>
      <c r="D7579" s="8">
        <f>IFERROR(__xludf.DUMMYFUNCTION("""COMPUTED_VALUE"""),1.0)</f>
        <v>1</v>
      </c>
    </row>
    <row r="7580">
      <c r="A7580" s="9" t="str">
        <f>IFERROR(__xludf.DUMMYFUNCTION("""COMPUTED_VALUE"""),"Batch 333")</f>
        <v>Batch 333</v>
      </c>
      <c r="B7580" s="9" t="str">
        <f>IFERROR(__xludf.DUMMYFUNCTION("""COMPUTED_VALUE"""),"SUDHIRC333")</f>
        <v>SUDHIRC333</v>
      </c>
      <c r="C7580" s="8">
        <f>IFERROR(__xludf.DUMMYFUNCTION("""COMPUTED_VALUE"""),0.0)</f>
        <v>0</v>
      </c>
      <c r="D7580" s="8"/>
    </row>
    <row r="7581">
      <c r="A7581" s="9" t="str">
        <f>IFERROR(__xludf.DUMMYFUNCTION("""COMPUTED_VALUE"""),"Batch 333")</f>
        <v>Batch 333</v>
      </c>
      <c r="B7581" s="9" t="str">
        <f>IFERROR(__xludf.DUMMYFUNCTION("""COMPUTED_VALUE"""),"B.SriC333")</f>
        <v>B.SriC333</v>
      </c>
      <c r="C7581" s="8">
        <f>IFERROR(__xludf.DUMMYFUNCTION("""COMPUTED_VALUE"""),0.0)</f>
        <v>0</v>
      </c>
      <c r="D7581" s="8"/>
    </row>
    <row r="7582">
      <c r="A7582" s="9" t="str">
        <f>IFERROR(__xludf.DUMMYFUNCTION("""COMPUTED_VALUE"""),"Batch 333")</f>
        <v>Batch 333</v>
      </c>
      <c r="B7582" s="9" t="str">
        <f>IFERROR(__xludf.DUMMYFUNCTION("""COMPUTED_VALUE"""),"RajC333")</f>
        <v>RajC333</v>
      </c>
      <c r="C7582" s="8">
        <f>IFERROR(__xludf.DUMMYFUNCTION("""COMPUTED_VALUE"""),0.0)</f>
        <v>0</v>
      </c>
      <c r="D7582" s="8"/>
    </row>
    <row r="7583">
      <c r="A7583" s="9" t="str">
        <f>IFERROR(__xludf.DUMMYFUNCTION("""COMPUTED_VALUE"""),"Batch 333")</f>
        <v>Batch 333</v>
      </c>
      <c r="B7583" s="9" t="str">
        <f>IFERROR(__xludf.DUMMYFUNCTION("""COMPUTED_VALUE"""),"SiyaC333")</f>
        <v>SiyaC333</v>
      </c>
      <c r="C7583" s="8">
        <f>IFERROR(__xludf.DUMMYFUNCTION("""COMPUTED_VALUE"""),0.0)</f>
        <v>0</v>
      </c>
      <c r="D7583" s="8"/>
    </row>
    <row r="7584">
      <c r="A7584" s="9" t="str">
        <f>IFERROR(__xludf.DUMMYFUNCTION("""COMPUTED_VALUE"""),"Batch 333")</f>
        <v>Batch 333</v>
      </c>
      <c r="B7584" s="9" t="str">
        <f>IFERROR(__xludf.DUMMYFUNCTION("""COMPUTED_VALUE"""),"AshishC333")</f>
        <v>AshishC333</v>
      </c>
      <c r="C7584" s="8">
        <f>IFERROR(__xludf.DUMMYFUNCTION("""COMPUTED_VALUE"""),0.0)</f>
        <v>0</v>
      </c>
      <c r="D7584" s="8"/>
    </row>
    <row r="7585">
      <c r="A7585" s="9"/>
      <c r="B7585" s="9"/>
      <c r="C7585" s="8">
        <f>IFERROR(__xludf.DUMMYFUNCTION("""COMPUTED_VALUE"""),0.0)</f>
        <v>0</v>
      </c>
      <c r="D7585" s="8"/>
    </row>
    <row r="7586">
      <c r="A7586" s="9" t="str">
        <f>IFERROR(__xludf.DUMMYFUNCTION("""COMPUTED_VALUE"""),"Batch 334")</f>
        <v>Batch 334</v>
      </c>
      <c r="B7586" s="9" t="str">
        <f>IFERROR(__xludf.DUMMYFUNCTION("""COMPUTED_VALUE"""),"HarshC334")</f>
        <v>HarshC334</v>
      </c>
      <c r="C7586" s="8">
        <f>IFERROR(__xludf.DUMMYFUNCTION("""COMPUTED_VALUE"""),0.0)</f>
        <v>0</v>
      </c>
      <c r="D7586" s="8"/>
    </row>
    <row r="7587">
      <c r="A7587" s="9" t="str">
        <f>IFERROR(__xludf.DUMMYFUNCTION("""COMPUTED_VALUE"""),"Batch 334")</f>
        <v>Batch 334</v>
      </c>
      <c r="B7587" s="9" t="str">
        <f>IFERROR(__xludf.DUMMYFUNCTION("""COMPUTED_VALUE"""),"sameeraC334")</f>
        <v>sameeraC334</v>
      </c>
      <c r="C7587" s="8">
        <f>IFERROR(__xludf.DUMMYFUNCTION("""COMPUTED_VALUE"""),0.0)</f>
        <v>0</v>
      </c>
      <c r="D7587" s="8"/>
    </row>
    <row r="7588">
      <c r="A7588" s="9" t="str">
        <f>IFERROR(__xludf.DUMMYFUNCTION("""COMPUTED_VALUE"""),"Batch 334")</f>
        <v>Batch 334</v>
      </c>
      <c r="B7588" s="9" t="str">
        <f>IFERROR(__xludf.DUMMYFUNCTION("""COMPUTED_VALUE"""),"AlminaC334")</f>
        <v>AlminaC334</v>
      </c>
      <c r="C7588" s="8">
        <f>IFERROR(__xludf.DUMMYFUNCTION("""COMPUTED_VALUE"""),0.0)</f>
        <v>0</v>
      </c>
      <c r="D7588" s="8"/>
    </row>
    <row r="7589">
      <c r="A7589" s="9" t="str">
        <f>IFERROR(__xludf.DUMMYFUNCTION("""COMPUTED_VALUE"""),"Batch 334")</f>
        <v>Batch 334</v>
      </c>
      <c r="B7589" s="9" t="str">
        <f>IFERROR(__xludf.DUMMYFUNCTION("""COMPUTED_VALUE"""),"MeghC334")</f>
        <v>MeghC334</v>
      </c>
      <c r="C7589" s="8">
        <f>IFERROR(__xludf.DUMMYFUNCTION("""COMPUTED_VALUE"""),0.0)</f>
        <v>0</v>
      </c>
      <c r="D7589" s="8"/>
    </row>
    <row r="7590">
      <c r="A7590" s="9" t="str">
        <f>IFERROR(__xludf.DUMMYFUNCTION("""COMPUTED_VALUE"""),"Batch 334")</f>
        <v>Batch 334</v>
      </c>
      <c r="B7590" s="9" t="str">
        <f>IFERROR(__xludf.DUMMYFUNCTION("""COMPUTED_VALUE"""),"SagarC334")</f>
        <v>SagarC334</v>
      </c>
      <c r="C7590" s="8">
        <f>IFERROR(__xludf.DUMMYFUNCTION("""COMPUTED_VALUE"""),0.0)</f>
        <v>0</v>
      </c>
      <c r="D7590" s="8"/>
    </row>
    <row r="7591">
      <c r="A7591" s="9" t="str">
        <f>IFERROR(__xludf.DUMMYFUNCTION("""COMPUTED_VALUE"""),"Batch 334")</f>
        <v>Batch 334</v>
      </c>
      <c r="B7591" s="9" t="str">
        <f>IFERROR(__xludf.DUMMYFUNCTION("""COMPUTED_VALUE"""),"SyedC334")</f>
        <v>SyedC334</v>
      </c>
      <c r="C7591" s="8">
        <f>IFERROR(__xludf.DUMMYFUNCTION("""COMPUTED_VALUE"""),0.0)</f>
        <v>0</v>
      </c>
      <c r="D7591" s="8"/>
    </row>
    <row r="7592">
      <c r="A7592" s="9" t="str">
        <f>IFERROR(__xludf.DUMMYFUNCTION("""COMPUTED_VALUE"""),"Batch 334")</f>
        <v>Batch 334</v>
      </c>
      <c r="B7592" s="9" t="str">
        <f>IFERROR(__xludf.DUMMYFUNCTION("""COMPUTED_VALUE"""),"RAJKUMARC334")</f>
        <v>RAJKUMARC334</v>
      </c>
      <c r="C7592" s="8">
        <f>IFERROR(__xludf.DUMMYFUNCTION("""COMPUTED_VALUE"""),0.0)</f>
        <v>0</v>
      </c>
      <c r="D7592" s="8"/>
    </row>
    <row r="7593">
      <c r="A7593" s="9" t="str">
        <f>IFERROR(__xludf.DUMMYFUNCTION("""COMPUTED_VALUE"""),"Batch 334")</f>
        <v>Batch 334</v>
      </c>
      <c r="B7593" s="9" t="str">
        <f>IFERROR(__xludf.DUMMYFUNCTION("""COMPUTED_VALUE"""),"KC334")</f>
        <v>KC334</v>
      </c>
      <c r="C7593" s="8">
        <f>IFERROR(__xludf.DUMMYFUNCTION("""COMPUTED_VALUE"""),0.0)</f>
        <v>0</v>
      </c>
      <c r="D7593" s="8"/>
    </row>
    <row r="7594">
      <c r="A7594" s="9" t="str">
        <f>IFERROR(__xludf.DUMMYFUNCTION("""COMPUTED_VALUE"""),"Batch 334")</f>
        <v>Batch 334</v>
      </c>
      <c r="B7594" s="9" t="str">
        <f>IFERROR(__xludf.DUMMYFUNCTION("""COMPUTED_VALUE"""),"GajjelaC334")</f>
        <v>GajjelaC334</v>
      </c>
      <c r="C7594" s="8">
        <f>IFERROR(__xludf.DUMMYFUNCTION("""COMPUTED_VALUE"""),2.0)</f>
        <v>2</v>
      </c>
      <c r="D7594" s="8"/>
    </row>
    <row r="7595">
      <c r="A7595" s="9" t="str">
        <f>IFERROR(__xludf.DUMMYFUNCTION("""COMPUTED_VALUE"""),"Batch 334")</f>
        <v>Batch 334</v>
      </c>
      <c r="B7595" s="9" t="str">
        <f>IFERROR(__xludf.DUMMYFUNCTION("""COMPUTED_VALUE"""),"KoyelC334")</f>
        <v>KoyelC334</v>
      </c>
      <c r="C7595" s="8">
        <f>IFERROR(__xludf.DUMMYFUNCTION("""COMPUTED_VALUE"""),32.0)</f>
        <v>32</v>
      </c>
      <c r="D7595" s="8">
        <f>IFERROR(__xludf.DUMMYFUNCTION("""COMPUTED_VALUE"""),2.0)</f>
        <v>2</v>
      </c>
    </row>
    <row r="7596">
      <c r="A7596" s="9" t="str">
        <f>IFERROR(__xludf.DUMMYFUNCTION("""COMPUTED_VALUE"""),"Batch 334")</f>
        <v>Batch 334</v>
      </c>
      <c r="B7596" s="9" t="str">
        <f>IFERROR(__xludf.DUMMYFUNCTION("""COMPUTED_VALUE"""),"PriyaC334")</f>
        <v>PriyaC334</v>
      </c>
      <c r="C7596" s="8">
        <f>IFERROR(__xludf.DUMMYFUNCTION("""COMPUTED_VALUE"""),0.0)</f>
        <v>0</v>
      </c>
      <c r="D7596" s="8"/>
    </row>
    <row r="7597">
      <c r="A7597" s="9" t="str">
        <f>IFERROR(__xludf.DUMMYFUNCTION("""COMPUTED_VALUE"""),"Batch 334")</f>
        <v>Batch 334</v>
      </c>
      <c r="B7597" s="9" t="str">
        <f>IFERROR(__xludf.DUMMYFUNCTION("""COMPUTED_VALUE"""),"PALAKC334")</f>
        <v>PALAKC334</v>
      </c>
      <c r="C7597" s="8">
        <f>IFERROR(__xludf.DUMMYFUNCTION("""COMPUTED_VALUE"""),0.0)</f>
        <v>0</v>
      </c>
      <c r="D7597" s="8"/>
    </row>
    <row r="7598">
      <c r="A7598" s="9" t="str">
        <f>IFERROR(__xludf.DUMMYFUNCTION("""COMPUTED_VALUE"""),"Batch 334")</f>
        <v>Batch 334</v>
      </c>
      <c r="B7598" s="9" t="str">
        <f>IFERROR(__xludf.DUMMYFUNCTION("""COMPUTED_VALUE"""),"AshishC334")</f>
        <v>AshishC334</v>
      </c>
      <c r="C7598" s="8">
        <f>IFERROR(__xludf.DUMMYFUNCTION("""COMPUTED_VALUE"""),0.0)</f>
        <v>0</v>
      </c>
      <c r="D7598" s="8"/>
    </row>
    <row r="7599">
      <c r="A7599" s="9" t="str">
        <f>IFERROR(__xludf.DUMMYFUNCTION("""COMPUTED_VALUE"""),"Batch 334")</f>
        <v>Batch 334</v>
      </c>
      <c r="B7599" s="9" t="str">
        <f>IFERROR(__xludf.DUMMYFUNCTION("""COMPUTED_VALUE"""),"AgrimaC334")</f>
        <v>AgrimaC334</v>
      </c>
      <c r="C7599" s="8">
        <f>IFERROR(__xludf.DUMMYFUNCTION("""COMPUTED_VALUE"""),0.0)</f>
        <v>0</v>
      </c>
      <c r="D7599" s="8"/>
    </row>
    <row r="7600">
      <c r="A7600" s="9" t="str">
        <f>IFERROR(__xludf.DUMMYFUNCTION("""COMPUTED_VALUE"""),"Batch 334")</f>
        <v>Batch 334</v>
      </c>
      <c r="B7600" s="9" t="str">
        <f>IFERROR(__xludf.DUMMYFUNCTION("""COMPUTED_VALUE"""),"VaishnaviC334")</f>
        <v>VaishnaviC334</v>
      </c>
      <c r="C7600" s="8">
        <f>IFERROR(__xludf.DUMMYFUNCTION("""COMPUTED_VALUE"""),0.0)</f>
        <v>0</v>
      </c>
      <c r="D7600" s="8"/>
    </row>
    <row r="7601">
      <c r="A7601" s="9" t="str">
        <f>IFERROR(__xludf.DUMMYFUNCTION("""COMPUTED_VALUE"""),"Batch 334")</f>
        <v>Batch 334</v>
      </c>
      <c r="B7601" s="9" t="str">
        <f>IFERROR(__xludf.DUMMYFUNCTION("""COMPUTED_VALUE"""),"YuvaC334")</f>
        <v>YuvaC334</v>
      </c>
      <c r="C7601" s="8">
        <f>IFERROR(__xludf.DUMMYFUNCTION("""COMPUTED_VALUE"""),1.0)</f>
        <v>1</v>
      </c>
      <c r="D7601" s="8"/>
    </row>
    <row r="7602">
      <c r="A7602" s="9" t="str">
        <f>IFERROR(__xludf.DUMMYFUNCTION("""COMPUTED_VALUE"""),"Batch 334")</f>
        <v>Batch 334</v>
      </c>
      <c r="B7602" s="9" t="str">
        <f>IFERROR(__xludf.DUMMYFUNCTION("""COMPUTED_VALUE"""),"SahidC334")</f>
        <v>SahidC334</v>
      </c>
      <c r="C7602" s="8">
        <f>IFERROR(__xludf.DUMMYFUNCTION("""COMPUTED_VALUE"""),0.0)</f>
        <v>0</v>
      </c>
      <c r="D7602" s="8"/>
    </row>
    <row r="7603">
      <c r="A7603" s="9"/>
      <c r="B7603" s="9"/>
      <c r="C7603" s="8">
        <f>IFERROR(__xludf.DUMMYFUNCTION("""COMPUTED_VALUE"""),0.0)</f>
        <v>0</v>
      </c>
      <c r="D7603" s="8"/>
    </row>
    <row r="7604">
      <c r="A7604" s="9" t="str">
        <f>IFERROR(__xludf.DUMMYFUNCTION("""COMPUTED_VALUE"""),"Batch 335")</f>
        <v>Batch 335</v>
      </c>
      <c r="B7604" s="9" t="str">
        <f>IFERROR(__xludf.DUMMYFUNCTION("""COMPUTED_VALUE"""),"AbhishekC335")</f>
        <v>AbhishekC335</v>
      </c>
      <c r="C7604" s="8">
        <f>IFERROR(__xludf.DUMMYFUNCTION("""COMPUTED_VALUE"""),0.0)</f>
        <v>0</v>
      </c>
      <c r="D7604" s="8"/>
    </row>
    <row r="7605">
      <c r="A7605" s="9" t="str">
        <f>IFERROR(__xludf.DUMMYFUNCTION("""COMPUTED_VALUE"""),"Batch 335")</f>
        <v>Batch 335</v>
      </c>
      <c r="B7605" s="9" t="str">
        <f>IFERROR(__xludf.DUMMYFUNCTION("""COMPUTED_VALUE"""),"DivyankaC335")</f>
        <v>DivyankaC335</v>
      </c>
      <c r="C7605" s="8">
        <f>IFERROR(__xludf.DUMMYFUNCTION("""COMPUTED_VALUE"""),0.0)</f>
        <v>0</v>
      </c>
      <c r="D7605" s="8"/>
    </row>
    <row r="7606">
      <c r="A7606" s="9" t="str">
        <f>IFERROR(__xludf.DUMMYFUNCTION("""COMPUTED_VALUE"""),"Batch 335")</f>
        <v>Batch 335</v>
      </c>
      <c r="B7606" s="9" t="str">
        <f>IFERROR(__xludf.DUMMYFUNCTION("""COMPUTED_VALUE"""),"HarshC335")</f>
        <v>HarshC335</v>
      </c>
      <c r="C7606" s="8">
        <f>IFERROR(__xludf.DUMMYFUNCTION("""COMPUTED_VALUE"""),0.0)</f>
        <v>0</v>
      </c>
      <c r="D7606" s="8"/>
    </row>
    <row r="7607">
      <c r="A7607" s="9" t="str">
        <f>IFERROR(__xludf.DUMMYFUNCTION("""COMPUTED_VALUE"""),"Batch 335")</f>
        <v>Batch 335</v>
      </c>
      <c r="B7607" s="9" t="str">
        <f>IFERROR(__xludf.DUMMYFUNCTION("""COMPUTED_VALUE"""),"NikhilC335")</f>
        <v>NikhilC335</v>
      </c>
      <c r="C7607" s="8">
        <f>IFERROR(__xludf.DUMMYFUNCTION("""COMPUTED_VALUE"""),0.0)</f>
        <v>0</v>
      </c>
      <c r="D7607" s="8"/>
    </row>
    <row r="7608">
      <c r="A7608" s="9" t="str">
        <f>IFERROR(__xludf.DUMMYFUNCTION("""COMPUTED_VALUE"""),"Batch 335")</f>
        <v>Batch 335</v>
      </c>
      <c r="B7608" s="9" t="str">
        <f>IFERROR(__xludf.DUMMYFUNCTION("""COMPUTED_VALUE"""),"BaroojC335")</f>
        <v>BaroojC335</v>
      </c>
      <c r="C7608" s="8">
        <f>IFERROR(__xludf.DUMMYFUNCTION("""COMPUTED_VALUE"""),0.0)</f>
        <v>0</v>
      </c>
      <c r="D7608" s="8"/>
    </row>
    <row r="7609">
      <c r="A7609" s="9" t="str">
        <f>IFERROR(__xludf.DUMMYFUNCTION("""COMPUTED_VALUE"""),"Batch 335")</f>
        <v>Batch 335</v>
      </c>
      <c r="B7609" s="9" t="str">
        <f>IFERROR(__xludf.DUMMYFUNCTION("""COMPUTED_VALUE"""),"ShivaniC335")</f>
        <v>ShivaniC335</v>
      </c>
      <c r="C7609" s="8">
        <f>IFERROR(__xludf.DUMMYFUNCTION("""COMPUTED_VALUE"""),0.0)</f>
        <v>0</v>
      </c>
      <c r="D7609" s="8"/>
    </row>
    <row r="7610">
      <c r="A7610" s="9" t="str">
        <f>IFERROR(__xludf.DUMMYFUNCTION("""COMPUTED_VALUE"""),"Batch 335")</f>
        <v>Batch 335</v>
      </c>
      <c r="B7610" s="9" t="str">
        <f>IFERROR(__xludf.DUMMYFUNCTION("""COMPUTED_VALUE"""),"ShreyaC335")</f>
        <v>ShreyaC335</v>
      </c>
      <c r="C7610" s="8">
        <f>IFERROR(__xludf.DUMMYFUNCTION("""COMPUTED_VALUE"""),0.0)</f>
        <v>0</v>
      </c>
      <c r="D7610" s="8"/>
    </row>
    <row r="7611">
      <c r="A7611" s="9" t="str">
        <f>IFERROR(__xludf.DUMMYFUNCTION("""COMPUTED_VALUE"""),"Batch 335")</f>
        <v>Batch 335</v>
      </c>
      <c r="B7611" s="9" t="str">
        <f>IFERROR(__xludf.DUMMYFUNCTION("""COMPUTED_VALUE"""),"NirmalC335")</f>
        <v>NirmalC335</v>
      </c>
      <c r="C7611" s="8">
        <f>IFERROR(__xludf.DUMMYFUNCTION("""COMPUTED_VALUE"""),0.0)</f>
        <v>0</v>
      </c>
      <c r="D7611" s="8"/>
    </row>
    <row r="7612">
      <c r="A7612" s="9" t="str">
        <f>IFERROR(__xludf.DUMMYFUNCTION("""COMPUTED_VALUE"""),"Batch 335")</f>
        <v>Batch 335</v>
      </c>
      <c r="B7612" s="9" t="str">
        <f>IFERROR(__xludf.DUMMYFUNCTION("""COMPUTED_VALUE"""),"TasneemC335")</f>
        <v>TasneemC335</v>
      </c>
      <c r="C7612" s="8">
        <f>IFERROR(__xludf.DUMMYFUNCTION("""COMPUTED_VALUE"""),0.0)</f>
        <v>0</v>
      </c>
      <c r="D7612" s="8"/>
    </row>
    <row r="7613">
      <c r="A7613" s="9" t="str">
        <f>IFERROR(__xludf.DUMMYFUNCTION("""COMPUTED_VALUE"""),"Batch 335")</f>
        <v>Batch 335</v>
      </c>
      <c r="B7613" s="9" t="str">
        <f>IFERROR(__xludf.DUMMYFUNCTION("""COMPUTED_VALUE"""),"QansaC335")</f>
        <v>QansaC335</v>
      </c>
      <c r="C7613" s="8">
        <f>IFERROR(__xludf.DUMMYFUNCTION("""COMPUTED_VALUE"""),0.0)</f>
        <v>0</v>
      </c>
      <c r="D7613" s="8"/>
    </row>
    <row r="7614">
      <c r="A7614" s="9" t="str">
        <f>IFERROR(__xludf.DUMMYFUNCTION("""COMPUTED_VALUE"""),"Batch 335")</f>
        <v>Batch 335</v>
      </c>
      <c r="B7614" s="9" t="str">
        <f>IFERROR(__xludf.DUMMYFUNCTION("""COMPUTED_VALUE"""),"KrishC335")</f>
        <v>KrishC335</v>
      </c>
      <c r="C7614" s="8">
        <f>IFERROR(__xludf.DUMMYFUNCTION("""COMPUTED_VALUE"""),0.0)</f>
        <v>0</v>
      </c>
      <c r="D7614" s="8"/>
    </row>
    <row r="7615">
      <c r="A7615" s="9" t="str">
        <f>IFERROR(__xludf.DUMMYFUNCTION("""COMPUTED_VALUE"""),"Batch 335")</f>
        <v>Batch 335</v>
      </c>
      <c r="B7615" s="9" t="str">
        <f>IFERROR(__xludf.DUMMYFUNCTION("""COMPUTED_VALUE"""),"ROUNAKC335")</f>
        <v>ROUNAKC335</v>
      </c>
      <c r="C7615" s="8">
        <f>IFERROR(__xludf.DUMMYFUNCTION("""COMPUTED_VALUE"""),0.0)</f>
        <v>0</v>
      </c>
      <c r="D7615" s="8"/>
    </row>
    <row r="7616">
      <c r="A7616" s="9" t="str">
        <f>IFERROR(__xludf.DUMMYFUNCTION("""COMPUTED_VALUE"""),"Batch 335")</f>
        <v>Batch 335</v>
      </c>
      <c r="B7616" s="9" t="str">
        <f>IFERROR(__xludf.DUMMYFUNCTION("""COMPUTED_VALUE"""),"HemaC335")</f>
        <v>HemaC335</v>
      </c>
      <c r="C7616" s="8">
        <f>IFERROR(__xludf.DUMMYFUNCTION("""COMPUTED_VALUE"""),0.0)</f>
        <v>0</v>
      </c>
      <c r="D7616" s="8"/>
    </row>
    <row r="7617">
      <c r="A7617" s="9" t="str">
        <f>IFERROR(__xludf.DUMMYFUNCTION("""COMPUTED_VALUE"""),"Batch 335")</f>
        <v>Batch 335</v>
      </c>
      <c r="B7617" s="9" t="str">
        <f>IFERROR(__xludf.DUMMYFUNCTION("""COMPUTED_VALUE"""),"IshaC335")</f>
        <v>IshaC335</v>
      </c>
      <c r="C7617" s="8">
        <f>IFERROR(__xludf.DUMMYFUNCTION("""COMPUTED_VALUE"""),0.0)</f>
        <v>0</v>
      </c>
      <c r="D7617" s="8"/>
    </row>
    <row r="7618">
      <c r="A7618" s="9" t="str">
        <f>IFERROR(__xludf.DUMMYFUNCTION("""COMPUTED_VALUE"""),"Batch 335")</f>
        <v>Batch 335</v>
      </c>
      <c r="B7618" s="9" t="str">
        <f>IFERROR(__xludf.DUMMYFUNCTION("""COMPUTED_VALUE"""),"SanjanaC335")</f>
        <v>SanjanaC335</v>
      </c>
      <c r="C7618" s="8">
        <f>IFERROR(__xludf.DUMMYFUNCTION("""COMPUTED_VALUE"""),0.0)</f>
        <v>0</v>
      </c>
      <c r="D7618" s="8"/>
    </row>
    <row r="7619">
      <c r="A7619" s="9" t="str">
        <f>IFERROR(__xludf.DUMMYFUNCTION("""COMPUTED_VALUE"""),"Batch 335")</f>
        <v>Batch 335</v>
      </c>
      <c r="B7619" s="9" t="str">
        <f>IFERROR(__xludf.DUMMYFUNCTION("""COMPUTED_VALUE"""),"AryanC335")</f>
        <v>AryanC335</v>
      </c>
      <c r="C7619" s="8">
        <f>IFERROR(__xludf.DUMMYFUNCTION("""COMPUTED_VALUE"""),0.0)</f>
        <v>0</v>
      </c>
      <c r="D7619" s="8"/>
    </row>
    <row r="7620">
      <c r="A7620" s="9" t="str">
        <f>IFERROR(__xludf.DUMMYFUNCTION("""COMPUTED_VALUE"""),"Batch 335")</f>
        <v>Batch 335</v>
      </c>
      <c r="B7620" s="9" t="str">
        <f>IFERROR(__xludf.DUMMYFUNCTION("""COMPUTED_VALUE"""),"YugC335")</f>
        <v>YugC335</v>
      </c>
      <c r="C7620" s="8">
        <f>IFERROR(__xludf.DUMMYFUNCTION("""COMPUTED_VALUE"""),0.0)</f>
        <v>0</v>
      </c>
      <c r="D7620" s="8"/>
    </row>
    <row r="7621">
      <c r="A7621" s="9" t="str">
        <f>IFERROR(__xludf.DUMMYFUNCTION("""COMPUTED_VALUE"""),"Batch 335")</f>
        <v>Batch 335</v>
      </c>
      <c r="B7621" s="9" t="str">
        <f>IFERROR(__xludf.DUMMYFUNCTION("""COMPUTED_VALUE"""),"TirthaC335")</f>
        <v>TirthaC335</v>
      </c>
      <c r="C7621" s="8">
        <f>IFERROR(__xludf.DUMMYFUNCTION("""COMPUTED_VALUE"""),2.0)</f>
        <v>2</v>
      </c>
      <c r="D7621" s="8"/>
    </row>
    <row r="7622">
      <c r="A7622" s="9" t="str">
        <f>IFERROR(__xludf.DUMMYFUNCTION("""COMPUTED_VALUE"""),"Batch 335")</f>
        <v>Batch 335</v>
      </c>
      <c r="B7622" s="9" t="str">
        <f>IFERROR(__xludf.DUMMYFUNCTION("""COMPUTED_VALUE"""),"KrithC335")</f>
        <v>KrithC335</v>
      </c>
      <c r="C7622" s="8">
        <f>IFERROR(__xludf.DUMMYFUNCTION("""COMPUTED_VALUE"""),0.0)</f>
        <v>0</v>
      </c>
      <c r="D7622" s="8"/>
    </row>
    <row r="7623">
      <c r="A7623" s="9" t="str">
        <f>IFERROR(__xludf.DUMMYFUNCTION("""COMPUTED_VALUE"""),"Batch 335")</f>
        <v>Batch 335</v>
      </c>
      <c r="B7623" s="9" t="str">
        <f>IFERROR(__xludf.DUMMYFUNCTION("""COMPUTED_VALUE"""),"ShainaC335")</f>
        <v>ShainaC335</v>
      </c>
      <c r="C7623" s="8">
        <f>IFERROR(__xludf.DUMMYFUNCTION("""COMPUTED_VALUE"""),0.0)</f>
        <v>0</v>
      </c>
      <c r="D7623" s="8"/>
    </row>
    <row r="7624">
      <c r="A7624" s="9" t="str">
        <f>IFERROR(__xludf.DUMMYFUNCTION("""COMPUTED_VALUE"""),"Batch 335")</f>
        <v>Batch 335</v>
      </c>
      <c r="B7624" s="9" t="str">
        <f>IFERROR(__xludf.DUMMYFUNCTION("""COMPUTED_VALUE"""),"PakshalC335")</f>
        <v>PakshalC335</v>
      </c>
      <c r="C7624" s="8">
        <f>IFERROR(__xludf.DUMMYFUNCTION("""COMPUTED_VALUE"""),0.0)</f>
        <v>0</v>
      </c>
      <c r="D7624" s="8"/>
    </row>
    <row r="7625">
      <c r="A7625" s="9" t="str">
        <f>IFERROR(__xludf.DUMMYFUNCTION("""COMPUTED_VALUE"""),"Batch 335")</f>
        <v>Batch 335</v>
      </c>
      <c r="B7625" s="9" t="str">
        <f>IFERROR(__xludf.DUMMYFUNCTION("""COMPUTED_VALUE"""),"DevanshiC335")</f>
        <v>DevanshiC335</v>
      </c>
      <c r="C7625" s="8">
        <f>IFERROR(__xludf.DUMMYFUNCTION("""COMPUTED_VALUE"""),2.0)</f>
        <v>2</v>
      </c>
      <c r="D7625" s="8"/>
    </row>
    <row r="7626">
      <c r="A7626" s="9" t="str">
        <f>IFERROR(__xludf.DUMMYFUNCTION("""COMPUTED_VALUE"""),"Batch 335")</f>
        <v>Batch 335</v>
      </c>
      <c r="B7626" s="9" t="str">
        <f>IFERROR(__xludf.DUMMYFUNCTION("""COMPUTED_VALUE"""),"VidhiC335")</f>
        <v>VidhiC335</v>
      </c>
      <c r="C7626" s="8">
        <f>IFERROR(__xludf.DUMMYFUNCTION("""COMPUTED_VALUE"""),0.0)</f>
        <v>0</v>
      </c>
      <c r="D7626" s="8"/>
    </row>
    <row r="7627">
      <c r="A7627" s="9" t="str">
        <f>IFERROR(__xludf.DUMMYFUNCTION("""COMPUTED_VALUE"""),"Batch 335")</f>
        <v>Batch 335</v>
      </c>
      <c r="B7627" s="9" t="str">
        <f>IFERROR(__xludf.DUMMYFUNCTION("""COMPUTED_VALUE"""),"SiddharthaC335")</f>
        <v>SiddharthaC335</v>
      </c>
      <c r="C7627" s="8">
        <f>IFERROR(__xludf.DUMMYFUNCTION("""COMPUTED_VALUE"""),0.0)</f>
        <v>0</v>
      </c>
      <c r="D7627" s="8"/>
    </row>
    <row r="7628">
      <c r="A7628" s="9" t="str">
        <f>IFERROR(__xludf.DUMMYFUNCTION("""COMPUTED_VALUE"""),"Batch 335")</f>
        <v>Batch 335</v>
      </c>
      <c r="B7628" s="9" t="str">
        <f>IFERROR(__xludf.DUMMYFUNCTION("""COMPUTED_VALUE"""),"RahulC335")</f>
        <v>RahulC335</v>
      </c>
      <c r="C7628" s="8">
        <f>IFERROR(__xludf.DUMMYFUNCTION("""COMPUTED_VALUE"""),5.0)</f>
        <v>5</v>
      </c>
      <c r="D7628" s="8"/>
    </row>
    <row r="7629">
      <c r="A7629" s="9" t="str">
        <f>IFERROR(__xludf.DUMMYFUNCTION("""COMPUTED_VALUE"""),"Batch 335")</f>
        <v>Batch 335</v>
      </c>
      <c r="B7629" s="9" t="str">
        <f>IFERROR(__xludf.DUMMYFUNCTION("""COMPUTED_VALUE"""),"ShraddhaaC335")</f>
        <v>ShraddhaaC335</v>
      </c>
      <c r="C7629" s="8">
        <f>IFERROR(__xludf.DUMMYFUNCTION("""COMPUTED_VALUE"""),0.0)</f>
        <v>0</v>
      </c>
      <c r="D7629" s="8"/>
    </row>
    <row r="7630">
      <c r="A7630" s="9" t="str">
        <f>IFERROR(__xludf.DUMMYFUNCTION("""COMPUTED_VALUE"""),"Batch 335")</f>
        <v>Batch 335</v>
      </c>
      <c r="B7630" s="9" t="str">
        <f>IFERROR(__xludf.DUMMYFUNCTION("""COMPUTED_VALUE"""),"ChinmoyC335")</f>
        <v>ChinmoyC335</v>
      </c>
      <c r="C7630" s="8">
        <f>IFERROR(__xludf.DUMMYFUNCTION("""COMPUTED_VALUE"""),2.0)</f>
        <v>2</v>
      </c>
      <c r="D7630" s="8"/>
    </row>
    <row r="7631">
      <c r="A7631" s="9" t="str">
        <f>IFERROR(__xludf.DUMMYFUNCTION("""COMPUTED_VALUE"""),"Batch 335")</f>
        <v>Batch 335</v>
      </c>
      <c r="B7631" s="9" t="str">
        <f>IFERROR(__xludf.DUMMYFUNCTION("""COMPUTED_VALUE"""),"SaloniC335")</f>
        <v>SaloniC335</v>
      </c>
      <c r="C7631" s="8">
        <f>IFERROR(__xludf.DUMMYFUNCTION("""COMPUTED_VALUE"""),0.0)</f>
        <v>0</v>
      </c>
      <c r="D7631" s="8"/>
    </row>
    <row r="7632">
      <c r="A7632" s="9" t="str">
        <f>IFERROR(__xludf.DUMMYFUNCTION("""COMPUTED_VALUE"""),"Batch 335")</f>
        <v>Batch 335</v>
      </c>
      <c r="B7632" s="9" t="str">
        <f>IFERROR(__xludf.DUMMYFUNCTION("""COMPUTED_VALUE"""),"VanshikaSC335")</f>
        <v>VanshikaSC335</v>
      </c>
      <c r="C7632" s="8">
        <f>IFERROR(__xludf.DUMMYFUNCTION("""COMPUTED_VALUE"""),0.0)</f>
        <v>0</v>
      </c>
      <c r="D7632" s="8"/>
    </row>
    <row r="7633">
      <c r="A7633" s="9" t="str">
        <f>IFERROR(__xludf.DUMMYFUNCTION("""COMPUTED_VALUE"""),"Batch 335")</f>
        <v>Batch 335</v>
      </c>
      <c r="B7633" s="9" t="str">
        <f>IFERROR(__xludf.DUMMYFUNCTION("""COMPUTED_VALUE"""),"UpasanaC335")</f>
        <v>UpasanaC335</v>
      </c>
      <c r="C7633" s="8">
        <f>IFERROR(__xludf.DUMMYFUNCTION("""COMPUTED_VALUE"""),0.0)</f>
        <v>0</v>
      </c>
      <c r="D7633" s="8"/>
    </row>
    <row r="7634">
      <c r="A7634" s="9" t="str">
        <f>IFERROR(__xludf.DUMMYFUNCTION("""COMPUTED_VALUE"""),"Batch 335")</f>
        <v>Batch 335</v>
      </c>
      <c r="B7634" s="9" t="str">
        <f>IFERROR(__xludf.DUMMYFUNCTION("""COMPUTED_VALUE"""),"NoorC335")</f>
        <v>NoorC335</v>
      </c>
      <c r="C7634" s="8">
        <f>IFERROR(__xludf.DUMMYFUNCTION("""COMPUTED_VALUE"""),0.0)</f>
        <v>0</v>
      </c>
      <c r="D7634" s="8"/>
    </row>
    <row r="7635">
      <c r="A7635" s="9" t="str">
        <f>IFERROR(__xludf.DUMMYFUNCTION("""COMPUTED_VALUE"""),"Batch 335")</f>
        <v>Batch 335</v>
      </c>
      <c r="B7635" s="9" t="str">
        <f>IFERROR(__xludf.DUMMYFUNCTION("""COMPUTED_VALUE"""),"PriyanandiniC335")</f>
        <v>PriyanandiniC335</v>
      </c>
      <c r="C7635" s="8">
        <f>IFERROR(__xludf.DUMMYFUNCTION("""COMPUTED_VALUE"""),0.0)</f>
        <v>0</v>
      </c>
      <c r="D7635" s="8"/>
    </row>
    <row r="7636">
      <c r="A7636" s="9" t="str">
        <f>IFERROR(__xludf.DUMMYFUNCTION("""COMPUTED_VALUE"""),"Batch 335")</f>
        <v>Batch 335</v>
      </c>
      <c r="B7636" s="9" t="str">
        <f>IFERROR(__xludf.DUMMYFUNCTION("""COMPUTED_VALUE"""),"AqsaC335")</f>
        <v>AqsaC335</v>
      </c>
      <c r="C7636" s="8">
        <f>IFERROR(__xludf.DUMMYFUNCTION("""COMPUTED_VALUE"""),0.0)</f>
        <v>0</v>
      </c>
      <c r="D7636" s="8"/>
    </row>
    <row r="7637">
      <c r="A7637" s="9" t="str">
        <f>IFERROR(__xludf.DUMMYFUNCTION("""COMPUTED_VALUE"""),"Batch 335")</f>
        <v>Batch 335</v>
      </c>
      <c r="B7637" s="9" t="str">
        <f>IFERROR(__xludf.DUMMYFUNCTION("""COMPUTED_VALUE"""),"P.AkshithaC335")</f>
        <v>P.AkshithaC335</v>
      </c>
      <c r="C7637" s="8">
        <f>IFERROR(__xludf.DUMMYFUNCTION("""COMPUTED_VALUE"""),1.0)</f>
        <v>1</v>
      </c>
      <c r="D7637" s="8">
        <f>IFERROR(__xludf.DUMMYFUNCTION("""COMPUTED_VALUE"""),6.0)</f>
        <v>6</v>
      </c>
    </row>
    <row r="7638">
      <c r="A7638" s="9" t="str">
        <f>IFERROR(__xludf.DUMMYFUNCTION("""COMPUTED_VALUE"""),"Batch 335")</f>
        <v>Batch 335</v>
      </c>
      <c r="B7638" s="9" t="str">
        <f>IFERROR(__xludf.DUMMYFUNCTION("""COMPUTED_VALUE"""),"SumiranC335")</f>
        <v>SumiranC335</v>
      </c>
      <c r="C7638" s="8">
        <f>IFERROR(__xludf.DUMMYFUNCTION("""COMPUTED_VALUE"""),1.0)</f>
        <v>1</v>
      </c>
      <c r="D7638" s="8">
        <f>IFERROR(__xludf.DUMMYFUNCTION("""COMPUTED_VALUE"""),1.0)</f>
        <v>1</v>
      </c>
    </row>
    <row r="7639">
      <c r="A7639" s="9" t="str">
        <f>IFERROR(__xludf.DUMMYFUNCTION("""COMPUTED_VALUE"""),"Batch 335")</f>
        <v>Batch 335</v>
      </c>
      <c r="B7639" s="9" t="str">
        <f>IFERROR(__xludf.DUMMYFUNCTION("""COMPUTED_VALUE"""),"VEDC335")</f>
        <v>VEDC335</v>
      </c>
      <c r="C7639" s="8">
        <f>IFERROR(__xludf.DUMMYFUNCTION("""COMPUTED_VALUE"""),0.0)</f>
        <v>0</v>
      </c>
      <c r="D7639" s="8"/>
    </row>
    <row r="7640">
      <c r="A7640" s="9" t="str">
        <f>IFERROR(__xludf.DUMMYFUNCTION("""COMPUTED_VALUE"""),"Batch 335")</f>
        <v>Batch 335</v>
      </c>
      <c r="B7640" s="9" t="str">
        <f>IFERROR(__xludf.DUMMYFUNCTION("""COMPUTED_VALUE"""),"RavindharC335")</f>
        <v>RavindharC335</v>
      </c>
      <c r="C7640" s="8">
        <f>IFERROR(__xludf.DUMMYFUNCTION("""COMPUTED_VALUE"""),3.0)</f>
        <v>3</v>
      </c>
      <c r="D7640" s="8">
        <f>IFERROR(__xludf.DUMMYFUNCTION("""COMPUTED_VALUE"""),1.0)</f>
        <v>1</v>
      </c>
    </row>
    <row r="7641">
      <c r="A7641" s="9" t="str">
        <f>IFERROR(__xludf.DUMMYFUNCTION("""COMPUTED_VALUE"""),"Batch 335")</f>
        <v>Batch 335</v>
      </c>
      <c r="B7641" s="9" t="str">
        <f>IFERROR(__xludf.DUMMYFUNCTION("""COMPUTED_VALUE"""),"SyedC335")</f>
        <v>SyedC335</v>
      </c>
      <c r="C7641" s="8">
        <f>IFERROR(__xludf.DUMMYFUNCTION("""COMPUTED_VALUE"""),0.0)</f>
        <v>0</v>
      </c>
      <c r="D7641" s="8"/>
    </row>
    <row r="7642">
      <c r="A7642" s="9" t="str">
        <f>IFERROR(__xludf.DUMMYFUNCTION("""COMPUTED_VALUE"""),"Batch 335")</f>
        <v>Batch 335</v>
      </c>
      <c r="B7642" s="9" t="str">
        <f>IFERROR(__xludf.DUMMYFUNCTION("""COMPUTED_VALUE"""),"KanishkaC335")</f>
        <v>KanishkaC335</v>
      </c>
      <c r="C7642" s="8">
        <f>IFERROR(__xludf.DUMMYFUNCTION("""COMPUTED_VALUE"""),0.0)</f>
        <v>0</v>
      </c>
      <c r="D7642" s="8"/>
    </row>
    <row r="7643">
      <c r="A7643" s="9" t="str">
        <f>IFERROR(__xludf.DUMMYFUNCTION("""COMPUTED_VALUE"""),"Batch 335")</f>
        <v>Batch 335</v>
      </c>
      <c r="B7643" s="9" t="str">
        <f>IFERROR(__xludf.DUMMYFUNCTION("""COMPUTED_VALUE"""),"VanshikaC335")</f>
        <v>VanshikaC335</v>
      </c>
      <c r="C7643" s="8">
        <f>IFERROR(__xludf.DUMMYFUNCTION("""COMPUTED_VALUE"""),2.0)</f>
        <v>2</v>
      </c>
      <c r="D7643" s="8">
        <f>IFERROR(__xludf.DUMMYFUNCTION("""COMPUTED_VALUE"""),1.0)</f>
        <v>1</v>
      </c>
    </row>
    <row r="7644">
      <c r="A7644" s="9" t="str">
        <f>IFERROR(__xludf.DUMMYFUNCTION("""COMPUTED_VALUE"""),"Batch 335")</f>
        <v>Batch 335</v>
      </c>
      <c r="B7644" s="9" t="str">
        <f>IFERROR(__xludf.DUMMYFUNCTION("""COMPUTED_VALUE"""),"VanshikaHC335")</f>
        <v>VanshikaHC335</v>
      </c>
      <c r="C7644" s="8">
        <f>IFERROR(__xludf.DUMMYFUNCTION("""COMPUTED_VALUE"""),0.0)</f>
        <v>0</v>
      </c>
      <c r="D7644" s="8"/>
    </row>
    <row r="7645">
      <c r="A7645" s="9" t="str">
        <f>IFERROR(__xludf.DUMMYFUNCTION("""COMPUTED_VALUE"""),"Batch 335")</f>
        <v>Batch 335</v>
      </c>
      <c r="B7645" s="9" t="str">
        <f>IFERROR(__xludf.DUMMYFUNCTION("""COMPUTED_VALUE"""),"RakeshC335")</f>
        <v>RakeshC335</v>
      </c>
      <c r="C7645" s="8">
        <f>IFERROR(__xludf.DUMMYFUNCTION("""COMPUTED_VALUE"""),0.0)</f>
        <v>0</v>
      </c>
      <c r="D7645" s="8"/>
    </row>
    <row r="7646">
      <c r="A7646" s="9" t="str">
        <f>IFERROR(__xludf.DUMMYFUNCTION("""COMPUTED_VALUE"""),"Batch 335")</f>
        <v>Batch 335</v>
      </c>
      <c r="B7646" s="9" t="str">
        <f>IFERROR(__xludf.DUMMYFUNCTION("""COMPUTED_VALUE"""),"nishitaC335")</f>
        <v>nishitaC335</v>
      </c>
      <c r="C7646" s="8">
        <f>IFERROR(__xludf.DUMMYFUNCTION("""COMPUTED_VALUE"""),0.0)</f>
        <v>0</v>
      </c>
      <c r="D7646" s="8"/>
    </row>
    <row r="7647">
      <c r="A7647" s="9" t="str">
        <f>IFERROR(__xludf.DUMMYFUNCTION("""COMPUTED_VALUE"""),"Batch 335")</f>
        <v>Batch 335</v>
      </c>
      <c r="B7647" s="9" t="str">
        <f>IFERROR(__xludf.DUMMYFUNCTION("""COMPUTED_VALUE"""),"NandiniC335")</f>
        <v>NandiniC335</v>
      </c>
      <c r="C7647" s="8">
        <f>IFERROR(__xludf.DUMMYFUNCTION("""COMPUTED_VALUE"""),0.0)</f>
        <v>0</v>
      </c>
      <c r="D7647" s="8"/>
    </row>
    <row r="7648">
      <c r="A7648" s="9" t="str">
        <f>IFERROR(__xludf.DUMMYFUNCTION("""COMPUTED_VALUE"""),"Batch 335")</f>
        <v>Batch 335</v>
      </c>
      <c r="B7648" s="9" t="str">
        <f>IFERROR(__xludf.DUMMYFUNCTION("""COMPUTED_VALUE"""),"ShreyaC335")</f>
        <v>ShreyaC335</v>
      </c>
      <c r="C7648" s="8">
        <f>IFERROR(__xludf.DUMMYFUNCTION("""COMPUTED_VALUE"""),0.0)</f>
        <v>0</v>
      </c>
      <c r="D7648" s="8"/>
    </row>
    <row r="7649">
      <c r="A7649" s="9" t="str">
        <f>IFERROR(__xludf.DUMMYFUNCTION("""COMPUTED_VALUE"""),"Batch 335")</f>
        <v>Batch 335</v>
      </c>
      <c r="B7649" s="9" t="str">
        <f>IFERROR(__xludf.DUMMYFUNCTION("""COMPUTED_VALUE"""),"DivyaC335")</f>
        <v>DivyaC335</v>
      </c>
      <c r="C7649" s="8">
        <f>IFERROR(__xludf.DUMMYFUNCTION("""COMPUTED_VALUE"""),1.0)</f>
        <v>1</v>
      </c>
      <c r="D7649" s="8"/>
    </row>
    <row r="7650">
      <c r="A7650" s="9" t="str">
        <f>IFERROR(__xludf.DUMMYFUNCTION("""COMPUTED_VALUE"""),"Batch 335")</f>
        <v>Batch 335</v>
      </c>
      <c r="B7650" s="9" t="str">
        <f>IFERROR(__xludf.DUMMYFUNCTION("""COMPUTED_VALUE"""),"DosapatiC335")</f>
        <v>DosapatiC335</v>
      </c>
      <c r="C7650" s="8">
        <f>IFERROR(__xludf.DUMMYFUNCTION("""COMPUTED_VALUE"""),0.0)</f>
        <v>0</v>
      </c>
      <c r="D7650" s="8"/>
    </row>
    <row r="7651">
      <c r="A7651" s="9" t="str">
        <f>IFERROR(__xludf.DUMMYFUNCTION("""COMPUTED_VALUE"""),"Batch 335")</f>
        <v>Batch 335</v>
      </c>
      <c r="B7651" s="9" t="str">
        <f>IFERROR(__xludf.DUMMYFUNCTION("""COMPUTED_VALUE"""),"BabitaC335")</f>
        <v>BabitaC335</v>
      </c>
      <c r="C7651" s="8">
        <f>IFERROR(__xludf.DUMMYFUNCTION("""COMPUTED_VALUE"""),0.0)</f>
        <v>0</v>
      </c>
      <c r="D7651" s="8"/>
    </row>
    <row r="7652">
      <c r="A7652" s="9" t="str">
        <f>IFERROR(__xludf.DUMMYFUNCTION("""COMPUTED_VALUE"""),"Batch 335")</f>
        <v>Batch 335</v>
      </c>
      <c r="B7652" s="9" t="str">
        <f>IFERROR(__xludf.DUMMYFUNCTION("""COMPUTED_VALUE"""),"OjasveeC335")</f>
        <v>OjasveeC335</v>
      </c>
      <c r="C7652" s="8">
        <f>IFERROR(__xludf.DUMMYFUNCTION("""COMPUTED_VALUE"""),0.0)</f>
        <v>0</v>
      </c>
      <c r="D7652" s="8"/>
    </row>
    <row r="7653">
      <c r="A7653" s="9" t="str">
        <f>IFERROR(__xludf.DUMMYFUNCTION("""COMPUTED_VALUE"""),"Batch 335")</f>
        <v>Batch 335</v>
      </c>
      <c r="B7653" s="9" t="str">
        <f>IFERROR(__xludf.DUMMYFUNCTION("""COMPUTED_VALUE"""),"IshwaryaC335")</f>
        <v>IshwaryaC335</v>
      </c>
      <c r="C7653" s="8">
        <f>IFERROR(__xludf.DUMMYFUNCTION("""COMPUTED_VALUE"""),1.0)</f>
        <v>1</v>
      </c>
      <c r="D7653" s="8"/>
    </row>
    <row r="7654">
      <c r="A7654" s="9" t="str">
        <f>IFERROR(__xludf.DUMMYFUNCTION("""COMPUTED_VALUE"""),"Batch 335")</f>
        <v>Batch 335</v>
      </c>
      <c r="B7654" s="9" t="str">
        <f>IFERROR(__xludf.DUMMYFUNCTION("""COMPUTED_VALUE"""),"EktaC335")</f>
        <v>EktaC335</v>
      </c>
      <c r="C7654" s="8">
        <f>IFERROR(__xludf.DUMMYFUNCTION("""COMPUTED_VALUE"""),0.0)</f>
        <v>0</v>
      </c>
      <c r="D7654" s="8"/>
    </row>
    <row r="7655">
      <c r="A7655" s="9" t="str">
        <f>IFERROR(__xludf.DUMMYFUNCTION("""COMPUTED_VALUE"""),"Batch 335")</f>
        <v>Batch 335</v>
      </c>
      <c r="B7655" s="9" t="str">
        <f>IFERROR(__xludf.DUMMYFUNCTION("""COMPUTED_VALUE"""),"AashikaC335")</f>
        <v>AashikaC335</v>
      </c>
      <c r="C7655" s="8">
        <f>IFERROR(__xludf.DUMMYFUNCTION("""COMPUTED_VALUE"""),2.0)</f>
        <v>2</v>
      </c>
      <c r="D7655" s="8"/>
    </row>
    <row r="7656">
      <c r="A7656" s="9" t="str">
        <f>IFERROR(__xludf.DUMMYFUNCTION("""COMPUTED_VALUE"""),"Batch 335")</f>
        <v>Batch 335</v>
      </c>
      <c r="B7656" s="9" t="str">
        <f>IFERROR(__xludf.DUMMYFUNCTION("""COMPUTED_VALUE"""),"VrajC335")</f>
        <v>VrajC335</v>
      </c>
      <c r="C7656" s="8">
        <f>IFERROR(__xludf.DUMMYFUNCTION("""COMPUTED_VALUE"""),0.0)</f>
        <v>0</v>
      </c>
      <c r="D7656" s="8"/>
    </row>
    <row r="7657">
      <c r="A7657" s="9" t="str">
        <f>IFERROR(__xludf.DUMMYFUNCTION("""COMPUTED_VALUE"""),"Batch 335")</f>
        <v>Batch 335</v>
      </c>
      <c r="B7657" s="9" t="str">
        <f>IFERROR(__xludf.DUMMYFUNCTION("""COMPUTED_VALUE"""),"NishthaC335")</f>
        <v>NishthaC335</v>
      </c>
      <c r="C7657" s="8">
        <f>IFERROR(__xludf.DUMMYFUNCTION("""COMPUTED_VALUE"""),0.0)</f>
        <v>0</v>
      </c>
      <c r="D7657" s="8"/>
    </row>
    <row r="7658">
      <c r="A7658" s="9" t="str">
        <f>IFERROR(__xludf.DUMMYFUNCTION("""COMPUTED_VALUE"""),"Batch 335")</f>
        <v>Batch 335</v>
      </c>
      <c r="B7658" s="9" t="str">
        <f>IFERROR(__xludf.DUMMYFUNCTION("""COMPUTED_VALUE"""),"veenaaC335")</f>
        <v>veenaaC335</v>
      </c>
      <c r="C7658" s="8">
        <f>IFERROR(__xludf.DUMMYFUNCTION("""COMPUTED_VALUE"""),0.0)</f>
        <v>0</v>
      </c>
      <c r="D7658" s="8"/>
    </row>
    <row r="7659">
      <c r="A7659" s="9" t="str">
        <f>IFERROR(__xludf.DUMMYFUNCTION("""COMPUTED_VALUE"""),"Batch 335")</f>
        <v>Batch 335</v>
      </c>
      <c r="B7659" s="9" t="str">
        <f>IFERROR(__xludf.DUMMYFUNCTION("""COMPUTED_VALUE"""),"PragatiC335")</f>
        <v>PragatiC335</v>
      </c>
      <c r="C7659" s="8">
        <f>IFERROR(__xludf.DUMMYFUNCTION("""COMPUTED_VALUE"""),13.0)</f>
        <v>13</v>
      </c>
      <c r="D7659" s="8"/>
    </row>
    <row r="7660">
      <c r="A7660" s="9" t="str">
        <f>IFERROR(__xludf.DUMMYFUNCTION("""COMPUTED_VALUE"""),"Batch 335")</f>
        <v>Batch 335</v>
      </c>
      <c r="B7660" s="9" t="str">
        <f>IFERROR(__xludf.DUMMYFUNCTION("""COMPUTED_VALUE"""),"AnanyaC335")</f>
        <v>AnanyaC335</v>
      </c>
      <c r="C7660" s="8">
        <f>IFERROR(__xludf.DUMMYFUNCTION("""COMPUTED_VALUE"""),0.0)</f>
        <v>0</v>
      </c>
      <c r="D7660" s="8"/>
    </row>
    <row r="7661">
      <c r="A7661" s="9" t="str">
        <f>IFERROR(__xludf.DUMMYFUNCTION("""COMPUTED_VALUE"""),"Batch 335")</f>
        <v>Batch 335</v>
      </c>
      <c r="B7661" s="9" t="str">
        <f>IFERROR(__xludf.DUMMYFUNCTION("""COMPUTED_VALUE"""),"PurusottamC335")</f>
        <v>PurusottamC335</v>
      </c>
      <c r="C7661" s="8">
        <f>IFERROR(__xludf.DUMMYFUNCTION("""COMPUTED_VALUE"""),0.0)</f>
        <v>0</v>
      </c>
      <c r="D7661" s="8"/>
    </row>
    <row r="7662">
      <c r="A7662" s="9" t="str">
        <f>IFERROR(__xludf.DUMMYFUNCTION("""COMPUTED_VALUE"""),"Batch 335")</f>
        <v>Batch 335</v>
      </c>
      <c r="B7662" s="9" t="str">
        <f>IFERROR(__xludf.DUMMYFUNCTION("""COMPUTED_VALUE"""),"AamenaC335")</f>
        <v>AamenaC335</v>
      </c>
      <c r="C7662" s="8">
        <f>IFERROR(__xludf.DUMMYFUNCTION("""COMPUTED_VALUE"""),0.0)</f>
        <v>0</v>
      </c>
      <c r="D7662" s="8"/>
    </row>
    <row r="7663">
      <c r="A7663" s="9" t="str">
        <f>IFERROR(__xludf.DUMMYFUNCTION("""COMPUTED_VALUE"""),"Batch 335")</f>
        <v>Batch 335</v>
      </c>
      <c r="B7663" s="9" t="str">
        <f>IFERROR(__xludf.DUMMYFUNCTION("""COMPUTED_VALUE"""),"AKANSHAC335")</f>
        <v>AKANSHAC335</v>
      </c>
      <c r="C7663" s="8">
        <f>IFERROR(__xludf.DUMMYFUNCTION("""COMPUTED_VALUE"""),0.0)</f>
        <v>0</v>
      </c>
      <c r="D7663" s="8"/>
    </row>
    <row r="7664">
      <c r="A7664" s="9" t="str">
        <f>IFERROR(__xludf.DUMMYFUNCTION("""COMPUTED_VALUE"""),"Batch 335")</f>
        <v>Batch 335</v>
      </c>
      <c r="B7664" s="9" t="str">
        <f>IFERROR(__xludf.DUMMYFUNCTION("""COMPUTED_VALUE"""),"ENAKOLLUC335")</f>
        <v>ENAKOLLUC335</v>
      </c>
      <c r="C7664" s="8">
        <f>IFERROR(__xludf.DUMMYFUNCTION("""COMPUTED_VALUE"""),0.0)</f>
        <v>0</v>
      </c>
      <c r="D7664" s="8"/>
    </row>
    <row r="7665">
      <c r="A7665" s="9"/>
      <c r="B7665" s="9"/>
      <c r="C7665" s="8">
        <f>IFERROR(__xludf.DUMMYFUNCTION("""COMPUTED_VALUE"""),0.0)</f>
        <v>0</v>
      </c>
      <c r="D7665" s="8"/>
    </row>
    <row r="7666">
      <c r="A7666" s="9" t="str">
        <f>IFERROR(__xludf.DUMMYFUNCTION("""COMPUTED_VALUE"""),"Batch 336")</f>
        <v>Batch 336</v>
      </c>
      <c r="B7666" s="9" t="str">
        <f>IFERROR(__xludf.DUMMYFUNCTION("""COMPUTED_VALUE"""),"ShivaniC336")</f>
        <v>ShivaniC336</v>
      </c>
      <c r="C7666" s="8">
        <f>IFERROR(__xludf.DUMMYFUNCTION("""COMPUTED_VALUE"""),0.0)</f>
        <v>0</v>
      </c>
      <c r="D7666" s="8"/>
    </row>
    <row r="7667">
      <c r="A7667" s="9" t="str">
        <f>IFERROR(__xludf.DUMMYFUNCTION("""COMPUTED_VALUE"""),"Batch 336")</f>
        <v>Batch 336</v>
      </c>
      <c r="B7667" s="9" t="str">
        <f>IFERROR(__xludf.DUMMYFUNCTION("""COMPUTED_VALUE"""),"shubhamC336")</f>
        <v>shubhamC336</v>
      </c>
      <c r="C7667" s="8">
        <f>IFERROR(__xludf.DUMMYFUNCTION("""COMPUTED_VALUE"""),0.0)</f>
        <v>0</v>
      </c>
      <c r="D7667" s="8"/>
    </row>
    <row r="7668">
      <c r="A7668" s="9" t="str">
        <f>IFERROR(__xludf.DUMMYFUNCTION("""COMPUTED_VALUE"""),"Batch 336")</f>
        <v>Batch 336</v>
      </c>
      <c r="B7668" s="9" t="str">
        <f>IFERROR(__xludf.DUMMYFUNCTION("""COMPUTED_VALUE"""),"SomeshC336")</f>
        <v>SomeshC336</v>
      </c>
      <c r="C7668" s="8">
        <f>IFERROR(__xludf.DUMMYFUNCTION("""COMPUTED_VALUE"""),0.0)</f>
        <v>0</v>
      </c>
      <c r="D7668" s="8"/>
    </row>
    <row r="7669">
      <c r="A7669" s="9" t="str">
        <f>IFERROR(__xludf.DUMMYFUNCTION("""COMPUTED_VALUE"""),"Batch 336")</f>
        <v>Batch 336</v>
      </c>
      <c r="B7669" s="9" t="str">
        <f>IFERROR(__xludf.DUMMYFUNCTION("""COMPUTED_VALUE"""),"PrafulC336")</f>
        <v>PrafulC336</v>
      </c>
      <c r="C7669" s="8">
        <f>IFERROR(__xludf.DUMMYFUNCTION("""COMPUTED_VALUE"""),0.0)</f>
        <v>0</v>
      </c>
      <c r="D7669" s="8"/>
    </row>
    <row r="7670">
      <c r="A7670" s="9" t="str">
        <f>IFERROR(__xludf.DUMMYFUNCTION("""COMPUTED_VALUE"""),"Batch 336")</f>
        <v>Batch 336</v>
      </c>
      <c r="B7670" s="9" t="str">
        <f>IFERROR(__xludf.DUMMYFUNCTION("""COMPUTED_VALUE"""),"IshitaC336")</f>
        <v>IshitaC336</v>
      </c>
      <c r="C7670" s="8">
        <f>IFERROR(__xludf.DUMMYFUNCTION("""COMPUTED_VALUE"""),0.0)</f>
        <v>0</v>
      </c>
      <c r="D7670" s="8"/>
    </row>
    <row r="7671">
      <c r="A7671" s="9" t="str">
        <f>IFERROR(__xludf.DUMMYFUNCTION("""COMPUTED_VALUE"""),"Batch 336")</f>
        <v>Batch 336</v>
      </c>
      <c r="B7671" s="9" t="str">
        <f>IFERROR(__xludf.DUMMYFUNCTION("""COMPUTED_VALUE"""),"Y.BhargavC336")</f>
        <v>Y.BhargavC336</v>
      </c>
      <c r="C7671" s="8">
        <f>IFERROR(__xludf.DUMMYFUNCTION("""COMPUTED_VALUE"""),0.0)</f>
        <v>0</v>
      </c>
      <c r="D7671" s="8"/>
    </row>
    <row r="7672">
      <c r="A7672" s="9" t="str">
        <f>IFERROR(__xludf.DUMMYFUNCTION("""COMPUTED_VALUE"""),"Batch 336")</f>
        <v>Batch 336</v>
      </c>
      <c r="B7672" s="9" t="str">
        <f>IFERROR(__xludf.DUMMYFUNCTION("""COMPUTED_VALUE"""),"PullemeC336")</f>
        <v>PullemeC336</v>
      </c>
      <c r="C7672" s="8">
        <f>IFERROR(__xludf.DUMMYFUNCTION("""COMPUTED_VALUE"""),0.0)</f>
        <v>0</v>
      </c>
      <c r="D7672" s="8"/>
    </row>
    <row r="7673">
      <c r="A7673" s="9" t="str">
        <f>IFERROR(__xludf.DUMMYFUNCTION("""COMPUTED_VALUE"""),"Batch 336")</f>
        <v>Batch 336</v>
      </c>
      <c r="B7673" s="9" t="str">
        <f>IFERROR(__xludf.DUMMYFUNCTION("""COMPUTED_VALUE"""),"VanshikaC336")</f>
        <v>VanshikaC336</v>
      </c>
      <c r="C7673" s="8">
        <f>IFERROR(__xludf.DUMMYFUNCTION("""COMPUTED_VALUE"""),4.0)</f>
        <v>4</v>
      </c>
      <c r="D7673" s="8"/>
    </row>
    <row r="7674">
      <c r="A7674" s="9" t="str">
        <f>IFERROR(__xludf.DUMMYFUNCTION("""COMPUTED_VALUE"""),"Batch 336")</f>
        <v>Batch 336</v>
      </c>
      <c r="B7674" s="9" t="str">
        <f>IFERROR(__xludf.DUMMYFUNCTION("""COMPUTED_VALUE"""),"KarthickC336")</f>
        <v>KarthickC336</v>
      </c>
      <c r="C7674" s="8">
        <f>IFERROR(__xludf.DUMMYFUNCTION("""COMPUTED_VALUE"""),0.0)</f>
        <v>0</v>
      </c>
      <c r="D7674" s="8"/>
    </row>
    <row r="7675">
      <c r="A7675" s="9" t="str">
        <f>IFERROR(__xludf.DUMMYFUNCTION("""COMPUTED_VALUE"""),"Batch 336")</f>
        <v>Batch 336</v>
      </c>
      <c r="B7675" s="9" t="str">
        <f>IFERROR(__xludf.DUMMYFUNCTION("""COMPUTED_VALUE"""),"ZakiyaC336")</f>
        <v>ZakiyaC336</v>
      </c>
      <c r="C7675" s="8">
        <f>IFERROR(__xludf.DUMMYFUNCTION("""COMPUTED_VALUE"""),0.0)</f>
        <v>0</v>
      </c>
      <c r="D7675" s="8"/>
    </row>
    <row r="7676">
      <c r="A7676" s="9" t="str">
        <f>IFERROR(__xludf.DUMMYFUNCTION("""COMPUTED_VALUE"""),"Batch 336")</f>
        <v>Batch 336</v>
      </c>
      <c r="B7676" s="9" t="str">
        <f>IFERROR(__xludf.DUMMYFUNCTION("""COMPUTED_VALUE"""),"AditiC336")</f>
        <v>AditiC336</v>
      </c>
      <c r="C7676" s="8">
        <f>IFERROR(__xludf.DUMMYFUNCTION("""COMPUTED_VALUE"""),0.0)</f>
        <v>0</v>
      </c>
      <c r="D7676" s="8"/>
    </row>
    <row r="7677">
      <c r="A7677" s="9" t="str">
        <f>IFERROR(__xludf.DUMMYFUNCTION("""COMPUTED_VALUE"""),"Batch 336")</f>
        <v>Batch 336</v>
      </c>
      <c r="B7677" s="9" t="str">
        <f>IFERROR(__xludf.DUMMYFUNCTION("""COMPUTED_VALUE"""),"MugadaC336")</f>
        <v>MugadaC336</v>
      </c>
      <c r="C7677" s="8">
        <f>IFERROR(__xludf.DUMMYFUNCTION("""COMPUTED_VALUE"""),6.0)</f>
        <v>6</v>
      </c>
      <c r="D7677" s="8">
        <f>IFERROR(__xludf.DUMMYFUNCTION("""COMPUTED_VALUE"""),10.0)</f>
        <v>10</v>
      </c>
    </row>
    <row r="7678">
      <c r="A7678" s="9" t="str">
        <f>IFERROR(__xludf.DUMMYFUNCTION("""COMPUTED_VALUE"""),"Batch 336")</f>
        <v>Batch 336</v>
      </c>
      <c r="B7678" s="9" t="str">
        <f>IFERROR(__xludf.DUMMYFUNCTION("""COMPUTED_VALUE"""),"ShantapriyaC336")</f>
        <v>ShantapriyaC336</v>
      </c>
      <c r="C7678" s="8">
        <f>IFERROR(__xludf.DUMMYFUNCTION("""COMPUTED_VALUE"""),0.0)</f>
        <v>0</v>
      </c>
      <c r="D7678" s="8"/>
    </row>
    <row r="7679">
      <c r="A7679" s="9" t="str">
        <f>IFERROR(__xludf.DUMMYFUNCTION("""COMPUTED_VALUE"""),"Batch 336")</f>
        <v>Batch 336</v>
      </c>
      <c r="B7679" s="9" t="str">
        <f>IFERROR(__xludf.DUMMYFUNCTION("""COMPUTED_VALUE"""),"SwatiC336")</f>
        <v>SwatiC336</v>
      </c>
      <c r="C7679" s="8">
        <f>IFERROR(__xludf.DUMMYFUNCTION("""COMPUTED_VALUE"""),0.0)</f>
        <v>0</v>
      </c>
      <c r="D7679" s="8"/>
    </row>
    <row r="7680">
      <c r="A7680" s="9" t="str">
        <f>IFERROR(__xludf.DUMMYFUNCTION("""COMPUTED_VALUE"""),"Batch 336")</f>
        <v>Batch 336</v>
      </c>
      <c r="B7680" s="9" t="str">
        <f>IFERROR(__xludf.DUMMYFUNCTION("""COMPUTED_VALUE"""),"HARIC336")</f>
        <v>HARIC336</v>
      </c>
      <c r="C7680" s="8">
        <f>IFERROR(__xludf.DUMMYFUNCTION("""COMPUTED_VALUE"""),0.0)</f>
        <v>0</v>
      </c>
      <c r="D7680" s="8"/>
    </row>
    <row r="7681">
      <c r="A7681" s="9" t="str">
        <f>IFERROR(__xludf.DUMMYFUNCTION("""COMPUTED_VALUE"""),"Batch 336")</f>
        <v>Batch 336</v>
      </c>
      <c r="B7681" s="9" t="str">
        <f>IFERROR(__xludf.DUMMYFUNCTION("""COMPUTED_VALUE"""),"NidhiC336")</f>
        <v>NidhiC336</v>
      </c>
      <c r="C7681" s="8">
        <f>IFERROR(__xludf.DUMMYFUNCTION("""COMPUTED_VALUE"""),30.0)</f>
        <v>30</v>
      </c>
      <c r="D7681" s="8">
        <f>IFERROR(__xludf.DUMMYFUNCTION("""COMPUTED_VALUE"""),28.0)</f>
        <v>28</v>
      </c>
    </row>
    <row r="7682">
      <c r="A7682" s="9" t="str">
        <f>IFERROR(__xludf.DUMMYFUNCTION("""COMPUTED_VALUE"""),"Batch 336")</f>
        <v>Batch 336</v>
      </c>
      <c r="B7682" s="9" t="str">
        <f>IFERROR(__xludf.DUMMYFUNCTION("""COMPUTED_VALUE"""),"T.JaiC336")</f>
        <v>T.JaiC336</v>
      </c>
      <c r="C7682" s="8">
        <f>IFERROR(__xludf.DUMMYFUNCTION("""COMPUTED_VALUE"""),0.0)</f>
        <v>0</v>
      </c>
      <c r="D7682" s="8"/>
    </row>
    <row r="7683">
      <c r="A7683" s="9" t="str">
        <f>IFERROR(__xludf.DUMMYFUNCTION("""COMPUTED_VALUE"""),"Batch 336")</f>
        <v>Batch 336</v>
      </c>
      <c r="B7683" s="9" t="str">
        <f>IFERROR(__xludf.DUMMYFUNCTION("""COMPUTED_VALUE"""),"VaishnaviC336")</f>
        <v>VaishnaviC336</v>
      </c>
      <c r="C7683" s="8">
        <f>IFERROR(__xludf.DUMMYFUNCTION("""COMPUTED_VALUE"""),12.0)</f>
        <v>12</v>
      </c>
      <c r="D7683" s="8"/>
    </row>
    <row r="7684">
      <c r="A7684" s="9" t="str">
        <f>IFERROR(__xludf.DUMMYFUNCTION("""COMPUTED_VALUE"""),"Batch 336")</f>
        <v>Batch 336</v>
      </c>
      <c r="B7684" s="9" t="str">
        <f>IFERROR(__xludf.DUMMYFUNCTION("""COMPUTED_VALUE"""),"NandiniC336")</f>
        <v>NandiniC336</v>
      </c>
      <c r="C7684" s="8">
        <f>IFERROR(__xludf.DUMMYFUNCTION("""COMPUTED_VALUE"""),0.0)</f>
        <v>0</v>
      </c>
      <c r="D7684" s="8"/>
    </row>
    <row r="7685">
      <c r="A7685" s="9" t="str">
        <f>IFERROR(__xludf.DUMMYFUNCTION("""COMPUTED_VALUE"""),"Batch 336")</f>
        <v>Batch 336</v>
      </c>
      <c r="B7685" s="9" t="str">
        <f>IFERROR(__xludf.DUMMYFUNCTION("""COMPUTED_VALUE"""),"LakshayC336")</f>
        <v>LakshayC336</v>
      </c>
      <c r="C7685" s="8">
        <f>IFERROR(__xludf.DUMMYFUNCTION("""COMPUTED_VALUE"""),0.0)</f>
        <v>0</v>
      </c>
      <c r="D7685" s="8"/>
    </row>
    <row r="7686">
      <c r="A7686" s="9" t="str">
        <f>IFERROR(__xludf.DUMMYFUNCTION("""COMPUTED_VALUE"""),"Batch 336")</f>
        <v>Batch 336</v>
      </c>
      <c r="B7686" s="9" t="str">
        <f>IFERROR(__xludf.DUMMYFUNCTION("""COMPUTED_VALUE"""),"AnushaC336")</f>
        <v>AnushaC336</v>
      </c>
      <c r="C7686" s="8">
        <f>IFERROR(__xludf.DUMMYFUNCTION("""COMPUTED_VALUE"""),22.0)</f>
        <v>22</v>
      </c>
      <c r="D7686" s="8">
        <f>IFERROR(__xludf.DUMMYFUNCTION("""COMPUTED_VALUE"""),11.0)</f>
        <v>11</v>
      </c>
    </row>
    <row r="7687">
      <c r="A7687" s="9" t="str">
        <f>IFERROR(__xludf.DUMMYFUNCTION("""COMPUTED_VALUE"""),"Batch 336")</f>
        <v>Batch 336</v>
      </c>
      <c r="B7687" s="9" t="str">
        <f>IFERROR(__xludf.DUMMYFUNCTION("""COMPUTED_VALUE"""),"DeepakC336")</f>
        <v>DeepakC336</v>
      </c>
      <c r="C7687" s="8">
        <f>IFERROR(__xludf.DUMMYFUNCTION("""COMPUTED_VALUE"""),0.0)</f>
        <v>0</v>
      </c>
      <c r="D7687" s="8"/>
    </row>
    <row r="7688">
      <c r="A7688" s="9" t="str">
        <f>IFERROR(__xludf.DUMMYFUNCTION("""COMPUTED_VALUE"""),"Batch 336")</f>
        <v>Batch 336</v>
      </c>
      <c r="B7688" s="9" t="str">
        <f>IFERROR(__xludf.DUMMYFUNCTION("""COMPUTED_VALUE"""),"NOORAC336")</f>
        <v>NOORAC336</v>
      </c>
      <c r="C7688" s="8">
        <f>IFERROR(__xludf.DUMMYFUNCTION("""COMPUTED_VALUE"""),0.0)</f>
        <v>0</v>
      </c>
      <c r="D7688" s="8"/>
    </row>
    <row r="7689">
      <c r="A7689" s="9" t="str">
        <f>IFERROR(__xludf.DUMMYFUNCTION("""COMPUTED_VALUE"""),"Batch 336")</f>
        <v>Batch 336</v>
      </c>
      <c r="B7689" s="9" t="str">
        <f>IFERROR(__xludf.DUMMYFUNCTION("""COMPUTED_VALUE"""),"ShreyaC336")</f>
        <v>ShreyaC336</v>
      </c>
      <c r="C7689" s="8">
        <f>IFERROR(__xludf.DUMMYFUNCTION("""COMPUTED_VALUE"""),0.0)</f>
        <v>0</v>
      </c>
      <c r="D7689" s="8"/>
    </row>
    <row r="7690">
      <c r="A7690" s="9" t="str">
        <f>IFERROR(__xludf.DUMMYFUNCTION("""COMPUTED_VALUE"""),"Batch 336")</f>
        <v>Batch 336</v>
      </c>
      <c r="B7690" s="9" t="str">
        <f>IFERROR(__xludf.DUMMYFUNCTION("""COMPUTED_VALUE"""),"NeelakshiC336")</f>
        <v>NeelakshiC336</v>
      </c>
      <c r="C7690" s="8">
        <f>IFERROR(__xludf.DUMMYFUNCTION("""COMPUTED_VALUE"""),0.0)</f>
        <v>0</v>
      </c>
      <c r="D7690" s="8"/>
    </row>
    <row r="7691">
      <c r="A7691" s="9" t="str">
        <f>IFERROR(__xludf.DUMMYFUNCTION("""COMPUTED_VALUE"""),"Batch 336")</f>
        <v>Batch 336</v>
      </c>
      <c r="B7691" s="9" t="str">
        <f>IFERROR(__xludf.DUMMYFUNCTION("""COMPUTED_VALUE"""),"MuskaanC336")</f>
        <v>MuskaanC336</v>
      </c>
      <c r="C7691" s="8">
        <f>IFERROR(__xludf.DUMMYFUNCTION("""COMPUTED_VALUE"""),0.0)</f>
        <v>0</v>
      </c>
      <c r="D7691" s="8"/>
    </row>
    <row r="7692">
      <c r="A7692" s="9" t="str">
        <f>IFERROR(__xludf.DUMMYFUNCTION("""COMPUTED_VALUE"""),"Batch 336")</f>
        <v>Batch 336</v>
      </c>
      <c r="B7692" s="9" t="str">
        <f>IFERROR(__xludf.DUMMYFUNCTION("""COMPUTED_VALUE"""),"SatyamC336")</f>
        <v>SatyamC336</v>
      </c>
      <c r="C7692" s="8">
        <f>IFERROR(__xludf.DUMMYFUNCTION("""COMPUTED_VALUE"""),4.0)</f>
        <v>4</v>
      </c>
      <c r="D7692" s="8">
        <f>IFERROR(__xludf.DUMMYFUNCTION("""COMPUTED_VALUE"""),2.0)</f>
        <v>2</v>
      </c>
    </row>
    <row r="7693">
      <c r="A7693" s="9" t="str">
        <f>IFERROR(__xludf.DUMMYFUNCTION("""COMPUTED_VALUE"""),"Batch 336")</f>
        <v>Batch 336</v>
      </c>
      <c r="B7693" s="9" t="str">
        <f>IFERROR(__xludf.DUMMYFUNCTION("""COMPUTED_VALUE"""),"PriyankaC336")</f>
        <v>PriyankaC336</v>
      </c>
      <c r="C7693" s="8">
        <f>IFERROR(__xludf.DUMMYFUNCTION("""COMPUTED_VALUE"""),0.0)</f>
        <v>0</v>
      </c>
      <c r="D7693" s="8"/>
    </row>
    <row r="7694">
      <c r="A7694" s="9" t="str">
        <f>IFERROR(__xludf.DUMMYFUNCTION("""COMPUTED_VALUE"""),"Batch 336")</f>
        <v>Batch 336</v>
      </c>
      <c r="B7694" s="9" t="str">
        <f>IFERROR(__xludf.DUMMYFUNCTION("""COMPUTED_VALUE"""),"KilaparthiC336")</f>
        <v>KilaparthiC336</v>
      </c>
      <c r="C7694" s="8">
        <f>IFERROR(__xludf.DUMMYFUNCTION("""COMPUTED_VALUE"""),0.0)</f>
        <v>0</v>
      </c>
      <c r="D7694" s="8"/>
    </row>
    <row r="7695">
      <c r="A7695" s="9" t="str">
        <f>IFERROR(__xludf.DUMMYFUNCTION("""COMPUTED_VALUE"""),"Batch 336")</f>
        <v>Batch 336</v>
      </c>
      <c r="B7695" s="9" t="str">
        <f>IFERROR(__xludf.DUMMYFUNCTION("""COMPUTED_VALUE"""),"KartikC336")</f>
        <v>KartikC336</v>
      </c>
      <c r="C7695" s="8">
        <f>IFERROR(__xludf.DUMMYFUNCTION("""COMPUTED_VALUE"""),1.0)</f>
        <v>1</v>
      </c>
      <c r="D7695" s="8"/>
    </row>
    <row r="7696">
      <c r="A7696" s="9" t="str">
        <f>IFERROR(__xludf.DUMMYFUNCTION("""COMPUTED_VALUE"""),"Batch 336")</f>
        <v>Batch 336</v>
      </c>
      <c r="B7696" s="9" t="str">
        <f>IFERROR(__xludf.DUMMYFUNCTION("""COMPUTED_VALUE"""),"KIRANC336")</f>
        <v>KIRANC336</v>
      </c>
      <c r="C7696" s="8">
        <f>IFERROR(__xludf.DUMMYFUNCTION("""COMPUTED_VALUE"""),1.0)</f>
        <v>1</v>
      </c>
      <c r="D7696" s="8"/>
    </row>
    <row r="7697">
      <c r="A7697" s="9" t="str">
        <f>IFERROR(__xludf.DUMMYFUNCTION("""COMPUTED_VALUE"""),"Batch 336")</f>
        <v>Batch 336</v>
      </c>
      <c r="B7697" s="9" t="str">
        <f>IFERROR(__xludf.DUMMYFUNCTION("""COMPUTED_VALUE"""),"BaddireddyC336")</f>
        <v>BaddireddyC336</v>
      </c>
      <c r="C7697" s="8">
        <f>IFERROR(__xludf.DUMMYFUNCTION("""COMPUTED_VALUE"""),0.0)</f>
        <v>0</v>
      </c>
      <c r="D7697" s="8"/>
    </row>
    <row r="7698">
      <c r="A7698" s="9" t="str">
        <f>IFERROR(__xludf.DUMMYFUNCTION("""COMPUTED_VALUE"""),"Batch 336")</f>
        <v>Batch 336</v>
      </c>
      <c r="B7698" s="9" t="str">
        <f>IFERROR(__xludf.DUMMYFUNCTION("""COMPUTED_VALUE"""),"RAJEEVC336")</f>
        <v>RAJEEVC336</v>
      </c>
      <c r="C7698" s="8">
        <f>IFERROR(__xludf.DUMMYFUNCTION("""COMPUTED_VALUE"""),0.0)</f>
        <v>0</v>
      </c>
      <c r="D7698" s="8"/>
    </row>
    <row r="7699">
      <c r="A7699" s="9"/>
      <c r="B7699" s="9"/>
      <c r="C7699" s="8">
        <f>IFERROR(__xludf.DUMMYFUNCTION("""COMPUTED_VALUE"""),0.0)</f>
        <v>0</v>
      </c>
      <c r="D7699" s="8"/>
    </row>
    <row r="7700">
      <c r="A7700" s="9" t="str">
        <f>IFERROR(__xludf.DUMMYFUNCTION("""COMPUTED_VALUE"""),"Batch 337")</f>
        <v>Batch 337</v>
      </c>
      <c r="B7700" s="9" t="str">
        <f>IFERROR(__xludf.DUMMYFUNCTION("""COMPUTED_VALUE"""),"PeddapudiC337")</f>
        <v>PeddapudiC337</v>
      </c>
      <c r="C7700" s="8">
        <f>IFERROR(__xludf.DUMMYFUNCTION("""COMPUTED_VALUE"""),0.0)</f>
        <v>0</v>
      </c>
      <c r="D7700" s="8"/>
    </row>
    <row r="7701">
      <c r="A7701" s="9" t="str">
        <f>IFERROR(__xludf.DUMMYFUNCTION("""COMPUTED_VALUE"""),"Batch 337")</f>
        <v>Batch 337</v>
      </c>
      <c r="B7701" s="9" t="str">
        <f>IFERROR(__xludf.DUMMYFUNCTION("""COMPUTED_VALUE"""),"THAVISHIC337")</f>
        <v>THAVISHIC337</v>
      </c>
      <c r="C7701" s="8">
        <f>IFERROR(__xludf.DUMMYFUNCTION("""COMPUTED_VALUE"""),0.0)</f>
        <v>0</v>
      </c>
      <c r="D7701" s="8"/>
    </row>
    <row r="7702">
      <c r="A7702" s="9" t="str">
        <f>IFERROR(__xludf.DUMMYFUNCTION("""COMPUTED_VALUE"""),"Batch 337")</f>
        <v>Batch 337</v>
      </c>
      <c r="B7702" s="9" t="str">
        <f>IFERROR(__xludf.DUMMYFUNCTION("""COMPUTED_VALUE"""),"SoumyaC337")</f>
        <v>SoumyaC337</v>
      </c>
      <c r="C7702" s="8">
        <f>IFERROR(__xludf.DUMMYFUNCTION("""COMPUTED_VALUE"""),0.0)</f>
        <v>0</v>
      </c>
      <c r="D7702" s="8"/>
    </row>
    <row r="7703">
      <c r="A7703" s="9" t="str">
        <f>IFERROR(__xludf.DUMMYFUNCTION("""COMPUTED_VALUE"""),"Batch 337")</f>
        <v>Batch 337</v>
      </c>
      <c r="B7703" s="9" t="str">
        <f>IFERROR(__xludf.DUMMYFUNCTION("""COMPUTED_VALUE"""),"YASHC337")</f>
        <v>YASHC337</v>
      </c>
      <c r="C7703" s="8">
        <f>IFERROR(__xludf.DUMMYFUNCTION("""COMPUTED_VALUE"""),0.0)</f>
        <v>0</v>
      </c>
      <c r="D7703" s="8"/>
    </row>
    <row r="7704">
      <c r="A7704" s="9" t="str">
        <f>IFERROR(__xludf.DUMMYFUNCTION("""COMPUTED_VALUE"""),"Batch 337")</f>
        <v>Batch 337</v>
      </c>
      <c r="B7704" s="9" t="str">
        <f>IFERROR(__xludf.DUMMYFUNCTION("""COMPUTED_VALUE"""),"VarshaC337")</f>
        <v>VarshaC337</v>
      </c>
      <c r="C7704" s="8">
        <f>IFERROR(__xludf.DUMMYFUNCTION("""COMPUTED_VALUE"""),0.0)</f>
        <v>0</v>
      </c>
      <c r="D7704" s="8"/>
    </row>
    <row r="7705">
      <c r="A7705" s="9" t="str">
        <f>IFERROR(__xludf.DUMMYFUNCTION("""COMPUTED_VALUE"""),"Batch 337")</f>
        <v>Batch 337</v>
      </c>
      <c r="B7705" s="9" t="str">
        <f>IFERROR(__xludf.DUMMYFUNCTION("""COMPUTED_VALUE"""),"SanjayC337")</f>
        <v>SanjayC337</v>
      </c>
      <c r="C7705" s="8">
        <f>IFERROR(__xludf.DUMMYFUNCTION("""COMPUTED_VALUE"""),0.0)</f>
        <v>0</v>
      </c>
      <c r="D7705" s="8"/>
    </row>
    <row r="7706">
      <c r="A7706" s="9" t="str">
        <f>IFERROR(__xludf.DUMMYFUNCTION("""COMPUTED_VALUE"""),"Batch 337")</f>
        <v>Batch 337</v>
      </c>
      <c r="B7706" s="9" t="str">
        <f>IFERROR(__xludf.DUMMYFUNCTION("""COMPUTED_VALUE"""),"AlishaC337")</f>
        <v>AlishaC337</v>
      </c>
      <c r="C7706" s="8">
        <f>IFERROR(__xludf.DUMMYFUNCTION("""COMPUTED_VALUE"""),0.0)</f>
        <v>0</v>
      </c>
      <c r="D7706" s="8"/>
    </row>
    <row r="7707">
      <c r="A7707" s="9" t="str">
        <f>IFERROR(__xludf.DUMMYFUNCTION("""COMPUTED_VALUE"""),"Batch 337")</f>
        <v>Batch 337</v>
      </c>
      <c r="B7707" s="9" t="str">
        <f>IFERROR(__xludf.DUMMYFUNCTION("""COMPUTED_VALUE"""),"MahimaC337")</f>
        <v>MahimaC337</v>
      </c>
      <c r="C7707" s="8">
        <f>IFERROR(__xludf.DUMMYFUNCTION("""COMPUTED_VALUE"""),0.0)</f>
        <v>0</v>
      </c>
      <c r="D7707" s="8"/>
    </row>
    <row r="7708">
      <c r="A7708" s="9" t="str">
        <f>IFERROR(__xludf.DUMMYFUNCTION("""COMPUTED_VALUE"""),"Batch 337")</f>
        <v>Batch 337</v>
      </c>
      <c r="B7708" s="9" t="str">
        <f>IFERROR(__xludf.DUMMYFUNCTION("""COMPUTED_VALUE"""),"MahithaC337")</f>
        <v>MahithaC337</v>
      </c>
      <c r="C7708" s="8">
        <f>IFERROR(__xludf.DUMMYFUNCTION("""COMPUTED_VALUE"""),0.0)</f>
        <v>0</v>
      </c>
      <c r="D7708" s="8"/>
    </row>
    <row r="7709">
      <c r="A7709" s="9" t="str">
        <f>IFERROR(__xludf.DUMMYFUNCTION("""COMPUTED_VALUE"""),"Batch 337")</f>
        <v>Batch 337</v>
      </c>
      <c r="B7709" s="9" t="str">
        <f>IFERROR(__xludf.DUMMYFUNCTION("""COMPUTED_VALUE"""),"DHEERAJC337")</f>
        <v>DHEERAJC337</v>
      </c>
      <c r="C7709" s="8">
        <f>IFERROR(__xludf.DUMMYFUNCTION("""COMPUTED_VALUE"""),11.0)</f>
        <v>11</v>
      </c>
      <c r="D7709" s="8">
        <f>IFERROR(__xludf.DUMMYFUNCTION("""COMPUTED_VALUE"""),8.0)</f>
        <v>8</v>
      </c>
    </row>
    <row r="7710">
      <c r="A7710" s="9" t="str">
        <f>IFERROR(__xludf.DUMMYFUNCTION("""COMPUTED_VALUE"""),"Batch 337")</f>
        <v>Batch 337</v>
      </c>
      <c r="B7710" s="9" t="str">
        <f>IFERROR(__xludf.DUMMYFUNCTION("""COMPUTED_VALUE"""),"RidhiC337")</f>
        <v>RidhiC337</v>
      </c>
      <c r="C7710" s="8">
        <f>IFERROR(__xludf.DUMMYFUNCTION("""COMPUTED_VALUE"""),0.0)</f>
        <v>0</v>
      </c>
      <c r="D7710" s="8"/>
    </row>
    <row r="7711">
      <c r="A7711" s="9" t="str">
        <f>IFERROR(__xludf.DUMMYFUNCTION("""COMPUTED_VALUE"""),"Batch 337")</f>
        <v>Batch 337</v>
      </c>
      <c r="B7711" s="9" t="str">
        <f>IFERROR(__xludf.DUMMYFUNCTION("""COMPUTED_VALUE"""),"AdityaC337")</f>
        <v>AdityaC337</v>
      </c>
      <c r="C7711" s="8">
        <f>IFERROR(__xludf.DUMMYFUNCTION("""COMPUTED_VALUE"""),0.0)</f>
        <v>0</v>
      </c>
      <c r="D7711" s="8"/>
    </row>
    <row r="7712">
      <c r="A7712" s="9" t="str">
        <f>IFERROR(__xludf.DUMMYFUNCTION("""COMPUTED_VALUE"""),"Batch 337")</f>
        <v>Batch 337</v>
      </c>
      <c r="B7712" s="9" t="str">
        <f>IFERROR(__xludf.DUMMYFUNCTION("""COMPUTED_VALUE"""),"ShrejalC337")</f>
        <v>ShrejalC337</v>
      </c>
      <c r="C7712" s="8">
        <f>IFERROR(__xludf.DUMMYFUNCTION("""COMPUTED_VALUE"""),0.0)</f>
        <v>0</v>
      </c>
      <c r="D7712" s="8"/>
    </row>
    <row r="7713">
      <c r="A7713" s="9" t="str">
        <f>IFERROR(__xludf.DUMMYFUNCTION("""COMPUTED_VALUE"""),"Batch 337")</f>
        <v>Batch 337</v>
      </c>
      <c r="B7713" s="9" t="str">
        <f>IFERROR(__xludf.DUMMYFUNCTION("""COMPUTED_VALUE"""),"SaiC337")</f>
        <v>SaiC337</v>
      </c>
      <c r="C7713" s="8">
        <f>IFERROR(__xludf.DUMMYFUNCTION("""COMPUTED_VALUE"""),30.0)</f>
        <v>30</v>
      </c>
      <c r="D7713" s="8">
        <f>IFERROR(__xludf.DUMMYFUNCTION("""COMPUTED_VALUE"""),10.0)</f>
        <v>10</v>
      </c>
    </row>
    <row r="7714">
      <c r="A7714" s="9" t="str">
        <f>IFERROR(__xludf.DUMMYFUNCTION("""COMPUTED_VALUE"""),"Batch 337")</f>
        <v>Batch 337</v>
      </c>
      <c r="B7714" s="9" t="str">
        <f>IFERROR(__xludf.DUMMYFUNCTION("""COMPUTED_VALUE"""),"AyushC337")</f>
        <v>AyushC337</v>
      </c>
      <c r="C7714" s="8">
        <f>IFERROR(__xludf.DUMMYFUNCTION("""COMPUTED_VALUE"""),0.0)</f>
        <v>0</v>
      </c>
      <c r="D7714" s="8"/>
    </row>
    <row r="7715">
      <c r="A7715" s="9" t="str">
        <f>IFERROR(__xludf.DUMMYFUNCTION("""COMPUTED_VALUE"""),"Batch 337")</f>
        <v>Batch 337</v>
      </c>
      <c r="B7715" s="9" t="str">
        <f>IFERROR(__xludf.DUMMYFUNCTION("""COMPUTED_VALUE"""),"VivekC337")</f>
        <v>VivekC337</v>
      </c>
      <c r="C7715" s="8">
        <f>IFERROR(__xludf.DUMMYFUNCTION("""COMPUTED_VALUE"""),0.0)</f>
        <v>0</v>
      </c>
      <c r="D7715" s="8"/>
    </row>
    <row r="7716">
      <c r="A7716" s="9" t="str">
        <f>IFERROR(__xludf.DUMMYFUNCTION("""COMPUTED_VALUE"""),"Batch 337")</f>
        <v>Batch 337</v>
      </c>
      <c r="B7716" s="9" t="str">
        <f>IFERROR(__xludf.DUMMYFUNCTION("""COMPUTED_VALUE"""),"SonalC337")</f>
        <v>SonalC337</v>
      </c>
      <c r="C7716" s="8">
        <f>IFERROR(__xludf.DUMMYFUNCTION("""COMPUTED_VALUE"""),0.0)</f>
        <v>0</v>
      </c>
      <c r="D7716" s="8"/>
    </row>
    <row r="7717">
      <c r="A7717" s="9" t="str">
        <f>IFERROR(__xludf.DUMMYFUNCTION("""COMPUTED_VALUE"""),"Batch 337")</f>
        <v>Batch 337</v>
      </c>
      <c r="B7717" s="9" t="str">
        <f>IFERROR(__xludf.DUMMYFUNCTION("""COMPUTED_VALUE"""),"AKKALAC337")</f>
        <v>AKKALAC337</v>
      </c>
      <c r="C7717" s="8">
        <f>IFERROR(__xludf.DUMMYFUNCTION("""COMPUTED_VALUE"""),0.0)</f>
        <v>0</v>
      </c>
      <c r="D7717" s="8"/>
    </row>
    <row r="7718">
      <c r="A7718" s="9" t="str">
        <f>IFERROR(__xludf.DUMMYFUNCTION("""COMPUTED_VALUE"""),"Batch 337")</f>
        <v>Batch 337</v>
      </c>
      <c r="B7718" s="9" t="str">
        <f>IFERROR(__xludf.DUMMYFUNCTION("""COMPUTED_VALUE"""),"suhaniC337")</f>
        <v>suhaniC337</v>
      </c>
      <c r="C7718" s="8">
        <f>IFERROR(__xludf.DUMMYFUNCTION("""COMPUTED_VALUE"""),0.0)</f>
        <v>0</v>
      </c>
      <c r="D7718" s="8"/>
    </row>
    <row r="7719">
      <c r="A7719" s="9" t="str">
        <f>IFERROR(__xludf.DUMMYFUNCTION("""COMPUTED_VALUE"""),"Batch 337")</f>
        <v>Batch 337</v>
      </c>
      <c r="B7719" s="9" t="str">
        <f>IFERROR(__xludf.DUMMYFUNCTION("""COMPUTED_VALUE"""),"KananC337")</f>
        <v>KananC337</v>
      </c>
      <c r="C7719" s="8">
        <f>IFERROR(__xludf.DUMMYFUNCTION("""COMPUTED_VALUE"""),0.0)</f>
        <v>0</v>
      </c>
      <c r="D7719" s="8"/>
    </row>
    <row r="7720">
      <c r="A7720" s="9" t="str">
        <f>IFERROR(__xludf.DUMMYFUNCTION("""COMPUTED_VALUE"""),"Batch 337")</f>
        <v>Batch 337</v>
      </c>
      <c r="B7720" s="9" t="str">
        <f>IFERROR(__xludf.DUMMYFUNCTION("""COMPUTED_VALUE"""),"SameeraC337")</f>
        <v>SameeraC337</v>
      </c>
      <c r="C7720" s="8">
        <f>IFERROR(__xludf.DUMMYFUNCTION("""COMPUTED_VALUE"""),0.0)</f>
        <v>0</v>
      </c>
      <c r="D7720" s="8"/>
    </row>
    <row r="7721">
      <c r="A7721" s="9" t="str">
        <f>IFERROR(__xludf.DUMMYFUNCTION("""COMPUTED_VALUE"""),"Batch 337")</f>
        <v>Batch 337</v>
      </c>
      <c r="B7721" s="9" t="str">
        <f>IFERROR(__xludf.DUMMYFUNCTION("""COMPUTED_VALUE"""),"PritulC337")</f>
        <v>PritulC337</v>
      </c>
      <c r="C7721" s="8">
        <f>IFERROR(__xludf.DUMMYFUNCTION("""COMPUTED_VALUE"""),1.0)</f>
        <v>1</v>
      </c>
      <c r="D7721" s="8"/>
    </row>
    <row r="7722">
      <c r="A7722" s="9" t="str">
        <f>IFERROR(__xludf.DUMMYFUNCTION("""COMPUTED_VALUE"""),"Batch 337")</f>
        <v>Batch 337</v>
      </c>
      <c r="B7722" s="9" t="str">
        <f>IFERROR(__xludf.DUMMYFUNCTION("""COMPUTED_VALUE"""),"AnushkaC337")</f>
        <v>AnushkaC337</v>
      </c>
      <c r="C7722" s="8">
        <f>IFERROR(__xludf.DUMMYFUNCTION("""COMPUTED_VALUE"""),0.0)</f>
        <v>0</v>
      </c>
      <c r="D7722" s="8"/>
    </row>
    <row r="7723">
      <c r="A7723" s="9" t="str">
        <f>IFERROR(__xludf.DUMMYFUNCTION("""COMPUTED_VALUE"""),"Batch 337")</f>
        <v>Batch 337</v>
      </c>
      <c r="B7723" s="9" t="str">
        <f>IFERROR(__xludf.DUMMYFUNCTION("""COMPUTED_VALUE"""),"NisthaC337")</f>
        <v>NisthaC337</v>
      </c>
      <c r="C7723" s="8">
        <f>IFERROR(__xludf.DUMMYFUNCTION("""COMPUTED_VALUE"""),0.0)</f>
        <v>0</v>
      </c>
      <c r="D7723" s="8"/>
    </row>
    <row r="7724">
      <c r="A7724" s="9" t="str">
        <f>IFERROR(__xludf.DUMMYFUNCTION("""COMPUTED_VALUE"""),"Batch 337")</f>
        <v>Batch 337</v>
      </c>
      <c r="B7724" s="9" t="str">
        <f>IFERROR(__xludf.DUMMYFUNCTION("""COMPUTED_VALUE"""),"PadalaC337")</f>
        <v>PadalaC337</v>
      </c>
      <c r="C7724" s="8">
        <f>IFERROR(__xludf.DUMMYFUNCTION("""COMPUTED_VALUE"""),7.0)</f>
        <v>7</v>
      </c>
      <c r="D7724" s="8"/>
    </row>
    <row r="7725">
      <c r="A7725" s="9" t="str">
        <f>IFERROR(__xludf.DUMMYFUNCTION("""COMPUTED_VALUE"""),"Batch 337")</f>
        <v>Batch 337</v>
      </c>
      <c r="B7725" s="9" t="str">
        <f>IFERROR(__xludf.DUMMYFUNCTION("""COMPUTED_VALUE"""),"DibyajyotiC337")</f>
        <v>DibyajyotiC337</v>
      </c>
      <c r="C7725" s="8">
        <f>IFERROR(__xludf.DUMMYFUNCTION("""COMPUTED_VALUE"""),3.0)</f>
        <v>3</v>
      </c>
      <c r="D7725" s="8">
        <f>IFERROR(__xludf.DUMMYFUNCTION("""COMPUTED_VALUE"""),3.0)</f>
        <v>3</v>
      </c>
    </row>
    <row r="7726">
      <c r="A7726" s="9" t="str">
        <f>IFERROR(__xludf.DUMMYFUNCTION("""COMPUTED_VALUE"""),"Batch 337")</f>
        <v>Batch 337</v>
      </c>
      <c r="B7726" s="9" t="str">
        <f>IFERROR(__xludf.DUMMYFUNCTION("""COMPUTED_VALUE"""),"PrarthanaC337")</f>
        <v>PrarthanaC337</v>
      </c>
      <c r="C7726" s="8">
        <f>IFERROR(__xludf.DUMMYFUNCTION("""COMPUTED_VALUE"""),0.0)</f>
        <v>0</v>
      </c>
      <c r="D7726" s="8"/>
    </row>
    <row r="7727">
      <c r="A7727" s="9" t="str">
        <f>IFERROR(__xludf.DUMMYFUNCTION("""COMPUTED_VALUE"""),"Batch 337")</f>
        <v>Batch 337</v>
      </c>
      <c r="B7727" s="9" t="str">
        <f>IFERROR(__xludf.DUMMYFUNCTION("""COMPUTED_VALUE"""),"SomyaC337")</f>
        <v>SomyaC337</v>
      </c>
      <c r="C7727" s="8">
        <f>IFERROR(__xludf.DUMMYFUNCTION("""COMPUTED_VALUE"""),0.0)</f>
        <v>0</v>
      </c>
      <c r="D7727" s="8"/>
    </row>
    <row r="7728">
      <c r="A7728" s="9" t="str">
        <f>IFERROR(__xludf.DUMMYFUNCTION("""COMPUTED_VALUE"""),"Batch 337")</f>
        <v>Batch 337</v>
      </c>
      <c r="B7728" s="9" t="str">
        <f>IFERROR(__xludf.DUMMYFUNCTION("""COMPUTED_VALUE"""),"PothugantiC337")</f>
        <v>PothugantiC337</v>
      </c>
      <c r="C7728" s="8">
        <f>IFERROR(__xludf.DUMMYFUNCTION("""COMPUTED_VALUE"""),0.0)</f>
        <v>0</v>
      </c>
      <c r="D7728" s="8"/>
    </row>
    <row r="7729">
      <c r="A7729" s="9" t="str">
        <f>IFERROR(__xludf.DUMMYFUNCTION("""COMPUTED_VALUE"""),"Batch 337")</f>
        <v>Batch 337</v>
      </c>
      <c r="B7729" s="9" t="str">
        <f>IFERROR(__xludf.DUMMYFUNCTION("""COMPUTED_VALUE"""),"GauriC337")</f>
        <v>GauriC337</v>
      </c>
      <c r="C7729" s="8">
        <f>IFERROR(__xludf.DUMMYFUNCTION("""COMPUTED_VALUE"""),0.0)</f>
        <v>0</v>
      </c>
      <c r="D7729" s="8"/>
    </row>
    <row r="7730">
      <c r="A7730" s="9" t="str">
        <f>IFERROR(__xludf.DUMMYFUNCTION("""COMPUTED_VALUE"""),"Batch 337")</f>
        <v>Batch 337</v>
      </c>
      <c r="B7730" s="9" t="str">
        <f>IFERROR(__xludf.DUMMYFUNCTION("""COMPUTED_VALUE"""),"DhruvC337")</f>
        <v>DhruvC337</v>
      </c>
      <c r="C7730" s="8">
        <f>IFERROR(__xludf.DUMMYFUNCTION("""COMPUTED_VALUE"""),46.0)</f>
        <v>46</v>
      </c>
      <c r="D7730" s="8">
        <f>IFERROR(__xludf.DUMMYFUNCTION("""COMPUTED_VALUE"""),15.0)</f>
        <v>15</v>
      </c>
    </row>
    <row r="7731">
      <c r="A7731" s="9"/>
      <c r="B7731" s="9"/>
      <c r="C7731" s="8">
        <f>IFERROR(__xludf.DUMMYFUNCTION("""COMPUTED_VALUE"""),0.0)</f>
        <v>0</v>
      </c>
      <c r="D7731" s="8"/>
    </row>
    <row r="7732">
      <c r="A7732" s="9" t="str">
        <f>IFERROR(__xludf.DUMMYFUNCTION("""COMPUTED_VALUE"""),"Batch 338")</f>
        <v>Batch 338</v>
      </c>
      <c r="B7732" s="9" t="str">
        <f>IFERROR(__xludf.DUMMYFUNCTION("""COMPUTED_VALUE"""),"AdityaC338")</f>
        <v>AdityaC338</v>
      </c>
      <c r="C7732" s="8">
        <f>IFERROR(__xludf.DUMMYFUNCTION("""COMPUTED_VALUE"""),5.0)</f>
        <v>5</v>
      </c>
      <c r="D7732" s="8"/>
    </row>
    <row r="7733">
      <c r="A7733" s="9" t="str">
        <f>IFERROR(__xludf.DUMMYFUNCTION("""COMPUTED_VALUE"""),"Batch 338")</f>
        <v>Batch 338</v>
      </c>
      <c r="B7733" s="9" t="str">
        <f>IFERROR(__xludf.DUMMYFUNCTION("""COMPUTED_VALUE"""),"NishantC338")</f>
        <v>NishantC338</v>
      </c>
      <c r="C7733" s="8">
        <f>IFERROR(__xludf.DUMMYFUNCTION("""COMPUTED_VALUE"""),0.0)</f>
        <v>0</v>
      </c>
      <c r="D7733" s="8"/>
    </row>
    <row r="7734">
      <c r="A7734" s="9" t="str">
        <f>IFERROR(__xludf.DUMMYFUNCTION("""COMPUTED_VALUE"""),"Batch 338")</f>
        <v>Batch 338</v>
      </c>
      <c r="B7734" s="9" t="str">
        <f>IFERROR(__xludf.DUMMYFUNCTION("""COMPUTED_VALUE"""),"ShivaniC338")</f>
        <v>ShivaniC338</v>
      </c>
      <c r="C7734" s="8">
        <f>IFERROR(__xludf.DUMMYFUNCTION("""COMPUTED_VALUE"""),0.0)</f>
        <v>0</v>
      </c>
      <c r="D7734" s="8"/>
    </row>
    <row r="7735">
      <c r="A7735" s="9" t="str">
        <f>IFERROR(__xludf.DUMMYFUNCTION("""COMPUTED_VALUE"""),"Batch 338")</f>
        <v>Batch 338</v>
      </c>
      <c r="B7735" s="9" t="str">
        <f>IFERROR(__xludf.DUMMYFUNCTION("""COMPUTED_VALUE"""),"VishalC338")</f>
        <v>VishalC338</v>
      </c>
      <c r="C7735" s="8">
        <f>IFERROR(__xludf.DUMMYFUNCTION("""COMPUTED_VALUE"""),0.0)</f>
        <v>0</v>
      </c>
      <c r="D7735" s="8"/>
    </row>
    <row r="7736">
      <c r="A7736" s="9" t="str">
        <f>IFERROR(__xludf.DUMMYFUNCTION("""COMPUTED_VALUE"""),"Batch 338")</f>
        <v>Batch 338</v>
      </c>
      <c r="B7736" s="9" t="str">
        <f>IFERROR(__xludf.DUMMYFUNCTION("""COMPUTED_VALUE"""),"AkshankC338")</f>
        <v>AkshankC338</v>
      </c>
      <c r="C7736" s="8">
        <f>IFERROR(__xludf.DUMMYFUNCTION("""COMPUTED_VALUE"""),0.0)</f>
        <v>0</v>
      </c>
      <c r="D7736" s="8"/>
    </row>
    <row r="7737">
      <c r="A7737" s="9" t="str">
        <f>IFERROR(__xludf.DUMMYFUNCTION("""COMPUTED_VALUE"""),"Batch 338")</f>
        <v>Batch 338</v>
      </c>
      <c r="B7737" s="9" t="str">
        <f>IFERROR(__xludf.DUMMYFUNCTION("""COMPUTED_VALUE"""),"RAJAVARAPUC338")</f>
        <v>RAJAVARAPUC338</v>
      </c>
      <c r="C7737" s="8">
        <f>IFERROR(__xludf.DUMMYFUNCTION("""COMPUTED_VALUE"""),0.0)</f>
        <v>0</v>
      </c>
      <c r="D7737" s="8"/>
    </row>
    <row r="7738">
      <c r="A7738" s="9" t="str">
        <f>IFERROR(__xludf.DUMMYFUNCTION("""COMPUTED_VALUE"""),"Batch 338")</f>
        <v>Batch 338</v>
      </c>
      <c r="B7738" s="9" t="str">
        <f>IFERROR(__xludf.DUMMYFUNCTION("""COMPUTED_VALUE"""),"AstutiC338")</f>
        <v>AstutiC338</v>
      </c>
      <c r="C7738" s="8">
        <f>IFERROR(__xludf.DUMMYFUNCTION("""COMPUTED_VALUE"""),0.0)</f>
        <v>0</v>
      </c>
      <c r="D7738" s="8"/>
    </row>
    <row r="7739">
      <c r="A7739" s="9" t="str">
        <f>IFERROR(__xludf.DUMMYFUNCTION("""COMPUTED_VALUE"""),"Batch 338")</f>
        <v>Batch 338</v>
      </c>
      <c r="B7739" s="9" t="str">
        <f>IFERROR(__xludf.DUMMYFUNCTION("""COMPUTED_VALUE"""),"SiddhC338")</f>
        <v>SiddhC338</v>
      </c>
      <c r="C7739" s="8">
        <f>IFERROR(__xludf.DUMMYFUNCTION("""COMPUTED_VALUE"""),0.0)</f>
        <v>0</v>
      </c>
      <c r="D7739" s="8"/>
    </row>
    <row r="7740">
      <c r="A7740" s="9" t="str">
        <f>IFERROR(__xludf.DUMMYFUNCTION("""COMPUTED_VALUE"""),"Batch 338")</f>
        <v>Batch 338</v>
      </c>
      <c r="B7740" s="9" t="str">
        <f>IFERROR(__xludf.DUMMYFUNCTION("""COMPUTED_VALUE"""),"ShivC338")</f>
        <v>ShivC338</v>
      </c>
      <c r="C7740" s="8">
        <f>IFERROR(__xludf.DUMMYFUNCTION("""COMPUTED_VALUE"""),0.0)</f>
        <v>0</v>
      </c>
      <c r="D7740" s="8"/>
    </row>
    <row r="7741">
      <c r="A7741" s="9" t="str">
        <f>IFERROR(__xludf.DUMMYFUNCTION("""COMPUTED_VALUE"""),"Batch 338")</f>
        <v>Batch 338</v>
      </c>
      <c r="B7741" s="9" t="str">
        <f>IFERROR(__xludf.DUMMYFUNCTION("""COMPUTED_VALUE"""),"SanyaC338")</f>
        <v>SanyaC338</v>
      </c>
      <c r="C7741" s="8">
        <f>IFERROR(__xludf.DUMMYFUNCTION("""COMPUTED_VALUE"""),0.0)</f>
        <v>0</v>
      </c>
      <c r="D7741" s="8"/>
    </row>
    <row r="7742">
      <c r="A7742" s="9" t="str">
        <f>IFERROR(__xludf.DUMMYFUNCTION("""COMPUTED_VALUE"""),"Batch 338")</f>
        <v>Batch 338</v>
      </c>
      <c r="B7742" s="9" t="str">
        <f>IFERROR(__xludf.DUMMYFUNCTION("""COMPUTED_VALUE"""),"TadishettiC338")</f>
        <v>TadishettiC338</v>
      </c>
      <c r="C7742" s="8">
        <f>IFERROR(__xludf.DUMMYFUNCTION("""COMPUTED_VALUE"""),0.0)</f>
        <v>0</v>
      </c>
      <c r="D7742" s="8"/>
    </row>
    <row r="7743">
      <c r="A7743" s="9" t="str">
        <f>IFERROR(__xludf.DUMMYFUNCTION("""COMPUTED_VALUE"""),"Batch 338")</f>
        <v>Batch 338</v>
      </c>
      <c r="B7743" s="9" t="str">
        <f>IFERROR(__xludf.DUMMYFUNCTION("""COMPUTED_VALUE"""),"PriyaC338")</f>
        <v>PriyaC338</v>
      </c>
      <c r="C7743" s="8">
        <f>IFERROR(__xludf.DUMMYFUNCTION("""COMPUTED_VALUE"""),0.0)</f>
        <v>0</v>
      </c>
      <c r="D7743" s="8"/>
    </row>
    <row r="7744">
      <c r="A7744" s="9" t="str">
        <f>IFERROR(__xludf.DUMMYFUNCTION("""COMPUTED_VALUE"""),"Batch 338")</f>
        <v>Batch 338</v>
      </c>
      <c r="B7744" s="9" t="str">
        <f>IFERROR(__xludf.DUMMYFUNCTION("""COMPUTED_VALUE"""),"YashiC338")</f>
        <v>YashiC338</v>
      </c>
      <c r="C7744" s="8">
        <f>IFERROR(__xludf.DUMMYFUNCTION("""COMPUTED_VALUE"""),0.0)</f>
        <v>0</v>
      </c>
      <c r="D7744" s="8"/>
    </row>
    <row r="7745">
      <c r="A7745" s="9" t="str">
        <f>IFERROR(__xludf.DUMMYFUNCTION("""COMPUTED_VALUE"""),"Batch 338")</f>
        <v>Batch 338</v>
      </c>
      <c r="B7745" s="9" t="str">
        <f>IFERROR(__xludf.DUMMYFUNCTION("""COMPUTED_VALUE"""),"tanishkaC338")</f>
        <v>tanishkaC338</v>
      </c>
      <c r="C7745" s="8">
        <f>IFERROR(__xludf.DUMMYFUNCTION("""COMPUTED_VALUE"""),0.0)</f>
        <v>0</v>
      </c>
      <c r="D7745" s="8"/>
    </row>
    <row r="7746">
      <c r="A7746" s="9" t="str">
        <f>IFERROR(__xludf.DUMMYFUNCTION("""COMPUTED_VALUE"""),"Batch 338")</f>
        <v>Batch 338</v>
      </c>
      <c r="B7746" s="9" t="str">
        <f>IFERROR(__xludf.DUMMYFUNCTION("""COMPUTED_VALUE"""),"PriyanshuC338")</f>
        <v>PriyanshuC338</v>
      </c>
      <c r="C7746" s="8">
        <f>IFERROR(__xludf.DUMMYFUNCTION("""COMPUTED_VALUE"""),0.0)</f>
        <v>0</v>
      </c>
      <c r="D7746" s="8"/>
    </row>
    <row r="7747">
      <c r="A7747" s="9" t="str">
        <f>IFERROR(__xludf.DUMMYFUNCTION("""COMPUTED_VALUE"""),"Batch 338")</f>
        <v>Batch 338</v>
      </c>
      <c r="B7747" s="9" t="str">
        <f>IFERROR(__xludf.DUMMYFUNCTION("""COMPUTED_VALUE"""),"MahimaC338")</f>
        <v>MahimaC338</v>
      </c>
      <c r="C7747" s="8">
        <f>IFERROR(__xludf.DUMMYFUNCTION("""COMPUTED_VALUE"""),0.0)</f>
        <v>0</v>
      </c>
      <c r="D7747" s="8"/>
    </row>
    <row r="7748">
      <c r="A7748" s="9" t="str">
        <f>IFERROR(__xludf.DUMMYFUNCTION("""COMPUTED_VALUE"""),"Batch 338")</f>
        <v>Batch 338</v>
      </c>
      <c r="B7748" s="9" t="str">
        <f>IFERROR(__xludf.DUMMYFUNCTION("""COMPUTED_VALUE"""),"LalitC338")</f>
        <v>LalitC338</v>
      </c>
      <c r="C7748" s="8">
        <f>IFERROR(__xludf.DUMMYFUNCTION("""COMPUTED_VALUE"""),0.0)</f>
        <v>0</v>
      </c>
      <c r="D7748" s="8"/>
    </row>
    <row r="7749">
      <c r="A7749" s="9" t="str">
        <f>IFERROR(__xludf.DUMMYFUNCTION("""COMPUTED_VALUE"""),"Batch 338")</f>
        <v>Batch 338</v>
      </c>
      <c r="B7749" s="9" t="str">
        <f>IFERROR(__xludf.DUMMYFUNCTION("""COMPUTED_VALUE"""),"MridulC338")</f>
        <v>MridulC338</v>
      </c>
      <c r="C7749" s="8">
        <f>IFERROR(__xludf.DUMMYFUNCTION("""COMPUTED_VALUE"""),0.0)</f>
        <v>0</v>
      </c>
      <c r="D7749" s="8"/>
    </row>
    <row r="7750">
      <c r="A7750" s="9" t="str">
        <f>IFERROR(__xludf.DUMMYFUNCTION("""COMPUTED_VALUE"""),"Batch 338")</f>
        <v>Batch 338</v>
      </c>
      <c r="B7750" s="9" t="str">
        <f>IFERROR(__xludf.DUMMYFUNCTION("""COMPUTED_VALUE"""),"AyanikaC338")</f>
        <v>AyanikaC338</v>
      </c>
      <c r="C7750" s="8">
        <f>IFERROR(__xludf.DUMMYFUNCTION("""COMPUTED_VALUE"""),0.0)</f>
        <v>0</v>
      </c>
      <c r="D7750" s="8"/>
    </row>
    <row r="7751">
      <c r="A7751" s="9" t="str">
        <f>IFERROR(__xludf.DUMMYFUNCTION("""COMPUTED_VALUE"""),"Batch 338")</f>
        <v>Batch 338</v>
      </c>
      <c r="B7751" s="9" t="str">
        <f>IFERROR(__xludf.DUMMYFUNCTION("""COMPUTED_VALUE"""),"SanaC338")</f>
        <v>SanaC338</v>
      </c>
      <c r="C7751" s="8">
        <f>IFERROR(__xludf.DUMMYFUNCTION("""COMPUTED_VALUE"""),0.0)</f>
        <v>0</v>
      </c>
      <c r="D7751" s="8"/>
    </row>
    <row r="7752">
      <c r="A7752" s="9" t="str">
        <f>IFERROR(__xludf.DUMMYFUNCTION("""COMPUTED_VALUE"""),"Batch 338")</f>
        <v>Batch 338</v>
      </c>
      <c r="B7752" s="9" t="str">
        <f>IFERROR(__xludf.DUMMYFUNCTION("""COMPUTED_VALUE"""),"PriyanshiC338")</f>
        <v>PriyanshiC338</v>
      </c>
      <c r="C7752" s="8">
        <f>IFERROR(__xludf.DUMMYFUNCTION("""COMPUTED_VALUE"""),0.0)</f>
        <v>0</v>
      </c>
      <c r="D7752" s="8"/>
    </row>
    <row r="7753">
      <c r="A7753" s="9" t="str">
        <f>IFERROR(__xludf.DUMMYFUNCTION("""COMPUTED_VALUE"""),"Batch 338")</f>
        <v>Batch 338</v>
      </c>
      <c r="B7753" s="9" t="str">
        <f>IFERROR(__xludf.DUMMYFUNCTION("""COMPUTED_VALUE"""),"PranjalC338")</f>
        <v>PranjalC338</v>
      </c>
      <c r="C7753" s="8">
        <f>IFERROR(__xludf.DUMMYFUNCTION("""COMPUTED_VALUE"""),2.0)</f>
        <v>2</v>
      </c>
      <c r="D7753" s="8"/>
    </row>
    <row r="7754">
      <c r="A7754" s="9" t="str">
        <f>IFERROR(__xludf.DUMMYFUNCTION("""COMPUTED_VALUE"""),"Batch 338")</f>
        <v>Batch 338</v>
      </c>
      <c r="B7754" s="9" t="str">
        <f>IFERROR(__xludf.DUMMYFUNCTION("""COMPUTED_VALUE"""),"BaroojC338")</f>
        <v>BaroojC338</v>
      </c>
      <c r="C7754" s="8">
        <f>IFERROR(__xludf.DUMMYFUNCTION("""COMPUTED_VALUE"""),0.0)</f>
        <v>0</v>
      </c>
      <c r="D7754" s="8"/>
    </row>
    <row r="7755">
      <c r="A7755" s="9" t="str">
        <f>IFERROR(__xludf.DUMMYFUNCTION("""COMPUTED_VALUE"""),"Batch 338")</f>
        <v>Batch 338</v>
      </c>
      <c r="B7755" s="9" t="str">
        <f>IFERROR(__xludf.DUMMYFUNCTION("""COMPUTED_VALUE"""),"JensiC338")</f>
        <v>JensiC338</v>
      </c>
      <c r="C7755" s="8">
        <f>IFERROR(__xludf.DUMMYFUNCTION("""COMPUTED_VALUE"""),0.0)</f>
        <v>0</v>
      </c>
      <c r="D7755" s="8"/>
    </row>
    <row r="7756">
      <c r="A7756" s="9" t="str">
        <f>IFERROR(__xludf.DUMMYFUNCTION("""COMPUTED_VALUE"""),"Batch 338")</f>
        <v>Batch 338</v>
      </c>
      <c r="B7756" s="9" t="str">
        <f>IFERROR(__xludf.DUMMYFUNCTION("""COMPUTED_VALUE"""),"DiaC338")</f>
        <v>DiaC338</v>
      </c>
      <c r="C7756" s="8">
        <f>IFERROR(__xludf.DUMMYFUNCTION("""COMPUTED_VALUE"""),0.0)</f>
        <v>0</v>
      </c>
      <c r="D7756" s="8"/>
    </row>
    <row r="7757">
      <c r="A7757" s="9" t="str">
        <f>IFERROR(__xludf.DUMMYFUNCTION("""COMPUTED_VALUE"""),"Batch 338")</f>
        <v>Batch 338</v>
      </c>
      <c r="B7757" s="9" t="str">
        <f>IFERROR(__xludf.DUMMYFUNCTION("""COMPUTED_VALUE"""),"C338")</f>
        <v>C338</v>
      </c>
      <c r="C7757" s="8">
        <f>IFERROR(__xludf.DUMMYFUNCTION("""COMPUTED_VALUE"""),0.0)</f>
        <v>0</v>
      </c>
      <c r="D7757" s="8"/>
    </row>
    <row r="7758">
      <c r="A7758" s="9" t="str">
        <f>IFERROR(__xludf.DUMMYFUNCTION("""COMPUTED_VALUE"""),"Batch 338")</f>
        <v>Batch 338</v>
      </c>
      <c r="B7758" s="9" t="str">
        <f>IFERROR(__xludf.DUMMYFUNCTION("""COMPUTED_VALUE"""),"TanayC338")</f>
        <v>TanayC338</v>
      </c>
      <c r="C7758" s="8">
        <f>IFERROR(__xludf.DUMMYFUNCTION("""COMPUTED_VALUE"""),0.0)</f>
        <v>0</v>
      </c>
      <c r="D7758" s="8"/>
    </row>
    <row r="7759">
      <c r="A7759" s="9" t="str">
        <f>IFERROR(__xludf.DUMMYFUNCTION("""COMPUTED_VALUE"""),"Batch 338")</f>
        <v>Batch 338</v>
      </c>
      <c r="B7759" s="9" t="str">
        <f>IFERROR(__xludf.DUMMYFUNCTION("""COMPUTED_VALUE"""),"DiaC338")</f>
        <v>DiaC338</v>
      </c>
      <c r="C7759" s="8">
        <f>IFERROR(__xludf.DUMMYFUNCTION("""COMPUTED_VALUE"""),0.0)</f>
        <v>0</v>
      </c>
      <c r="D7759" s="8"/>
    </row>
    <row r="7760">
      <c r="A7760" s="9" t="str">
        <f>IFERROR(__xludf.DUMMYFUNCTION("""COMPUTED_VALUE"""),"Batch 338")</f>
        <v>Batch 338</v>
      </c>
      <c r="B7760" s="9" t="str">
        <f>IFERROR(__xludf.DUMMYFUNCTION("""COMPUTED_VALUE"""),"SharmilaC338")</f>
        <v>SharmilaC338</v>
      </c>
      <c r="C7760" s="8">
        <f>IFERROR(__xludf.DUMMYFUNCTION("""COMPUTED_VALUE"""),0.0)</f>
        <v>0</v>
      </c>
      <c r="D7760" s="8"/>
    </row>
    <row r="7761">
      <c r="A7761" s="9" t="str">
        <f>IFERROR(__xludf.DUMMYFUNCTION("""COMPUTED_VALUE"""),"Batch 338")</f>
        <v>Batch 338</v>
      </c>
      <c r="B7761" s="9" t="str">
        <f>IFERROR(__xludf.DUMMYFUNCTION("""COMPUTED_VALUE"""),"AkshayaC338")</f>
        <v>AkshayaC338</v>
      </c>
      <c r="C7761" s="8">
        <f>IFERROR(__xludf.DUMMYFUNCTION("""COMPUTED_VALUE"""),1.0)</f>
        <v>1</v>
      </c>
      <c r="D7761" s="8"/>
    </row>
    <row r="7762">
      <c r="A7762" s="9" t="str">
        <f>IFERROR(__xludf.DUMMYFUNCTION("""COMPUTED_VALUE"""),"Batch 338")</f>
        <v>Batch 338</v>
      </c>
      <c r="B7762" s="9" t="str">
        <f>IFERROR(__xludf.DUMMYFUNCTION("""COMPUTED_VALUE"""),"ShaswatC338")</f>
        <v>ShaswatC338</v>
      </c>
      <c r="C7762" s="8">
        <f>IFERROR(__xludf.DUMMYFUNCTION("""COMPUTED_VALUE"""),0.0)</f>
        <v>0</v>
      </c>
      <c r="D7762" s="8"/>
    </row>
    <row r="7763">
      <c r="A7763" s="9" t="str">
        <f>IFERROR(__xludf.DUMMYFUNCTION("""COMPUTED_VALUE"""),"Batch 338")</f>
        <v>Batch 338</v>
      </c>
      <c r="B7763" s="9" t="str">
        <f>IFERROR(__xludf.DUMMYFUNCTION("""COMPUTED_VALUE"""),"ALTABC338")</f>
        <v>ALTABC338</v>
      </c>
      <c r="C7763" s="8">
        <f>IFERROR(__xludf.DUMMYFUNCTION("""COMPUTED_VALUE"""),0.0)</f>
        <v>0</v>
      </c>
      <c r="D7763" s="8"/>
    </row>
    <row r="7764">
      <c r="A7764" s="9" t="str">
        <f>IFERROR(__xludf.DUMMYFUNCTION("""COMPUTED_VALUE"""),"Batch 338")</f>
        <v>Batch 338</v>
      </c>
      <c r="B7764" s="9" t="str">
        <f>IFERROR(__xludf.DUMMYFUNCTION("""COMPUTED_VALUE"""),"RiyaC338")</f>
        <v>RiyaC338</v>
      </c>
      <c r="C7764" s="8">
        <f>IFERROR(__xludf.DUMMYFUNCTION("""COMPUTED_VALUE"""),0.0)</f>
        <v>0</v>
      </c>
      <c r="D7764" s="8"/>
    </row>
    <row r="7765">
      <c r="A7765" s="9" t="str">
        <f>IFERROR(__xludf.DUMMYFUNCTION("""COMPUTED_VALUE"""),"Batch 338")</f>
        <v>Batch 338</v>
      </c>
      <c r="B7765" s="9" t="str">
        <f>IFERROR(__xludf.DUMMYFUNCTION("""COMPUTED_VALUE"""),"RichaC338")</f>
        <v>RichaC338</v>
      </c>
      <c r="C7765" s="8">
        <f>IFERROR(__xludf.DUMMYFUNCTION("""COMPUTED_VALUE"""),0.0)</f>
        <v>0</v>
      </c>
      <c r="D7765" s="8"/>
    </row>
    <row r="7766">
      <c r="A7766" s="9" t="str">
        <f>IFERROR(__xludf.DUMMYFUNCTION("""COMPUTED_VALUE"""),"Batch 338")</f>
        <v>Batch 338</v>
      </c>
      <c r="B7766" s="9" t="str">
        <f>IFERROR(__xludf.DUMMYFUNCTION("""COMPUTED_VALUE"""),"KamyaC338")</f>
        <v>KamyaC338</v>
      </c>
      <c r="C7766" s="8">
        <f>IFERROR(__xludf.DUMMYFUNCTION("""COMPUTED_VALUE"""),0.0)</f>
        <v>0</v>
      </c>
      <c r="D7766" s="8"/>
    </row>
    <row r="7767">
      <c r="A7767" s="9" t="str">
        <f>IFERROR(__xludf.DUMMYFUNCTION("""COMPUTED_VALUE"""),"Batch 338")</f>
        <v>Batch 338</v>
      </c>
      <c r="B7767" s="9" t="str">
        <f>IFERROR(__xludf.DUMMYFUNCTION("""COMPUTED_VALUE"""),"TarshC338")</f>
        <v>TarshC338</v>
      </c>
      <c r="C7767" s="8">
        <f>IFERROR(__xludf.DUMMYFUNCTION("""COMPUTED_VALUE"""),0.0)</f>
        <v>0</v>
      </c>
      <c r="D7767" s="8"/>
    </row>
    <row r="7768">
      <c r="A7768" s="9" t="str">
        <f>IFERROR(__xludf.DUMMYFUNCTION("""COMPUTED_VALUE"""),"Batch 338")</f>
        <v>Batch 338</v>
      </c>
      <c r="B7768" s="9" t="str">
        <f>IFERROR(__xludf.DUMMYFUNCTION("""COMPUTED_VALUE"""),"AdityaSC338")</f>
        <v>AdityaSC338</v>
      </c>
      <c r="C7768" s="8">
        <f>IFERROR(__xludf.DUMMYFUNCTION("""COMPUTED_VALUE"""),0.0)</f>
        <v>0</v>
      </c>
      <c r="D7768" s="8"/>
    </row>
    <row r="7769">
      <c r="A7769" s="9" t="str">
        <f>IFERROR(__xludf.DUMMYFUNCTION("""COMPUTED_VALUE"""),"Batch 338")</f>
        <v>Batch 338</v>
      </c>
      <c r="B7769" s="9" t="str">
        <f>IFERROR(__xludf.DUMMYFUNCTION("""COMPUTED_VALUE"""),"AaishaC338")</f>
        <v>AaishaC338</v>
      </c>
      <c r="C7769" s="8">
        <f>IFERROR(__xludf.DUMMYFUNCTION("""COMPUTED_VALUE"""),0.0)</f>
        <v>0</v>
      </c>
      <c r="D7769" s="8"/>
    </row>
    <row r="7770">
      <c r="A7770" s="9" t="str">
        <f>IFERROR(__xludf.DUMMYFUNCTION("""COMPUTED_VALUE"""),"Batch 338")</f>
        <v>Batch 338</v>
      </c>
      <c r="B7770" s="9" t="str">
        <f>IFERROR(__xludf.DUMMYFUNCTION("""COMPUTED_VALUE"""),"AbhijeetC338")</f>
        <v>AbhijeetC338</v>
      </c>
      <c r="C7770" s="8">
        <f>IFERROR(__xludf.DUMMYFUNCTION("""COMPUTED_VALUE"""),0.0)</f>
        <v>0</v>
      </c>
      <c r="D7770" s="8"/>
    </row>
    <row r="7771">
      <c r="A7771" s="9" t="str">
        <f>IFERROR(__xludf.DUMMYFUNCTION("""COMPUTED_VALUE"""),"Batch 338")</f>
        <v>Batch 338</v>
      </c>
      <c r="B7771" s="9" t="str">
        <f>IFERROR(__xludf.DUMMYFUNCTION("""COMPUTED_VALUE"""),"punitC338")</f>
        <v>punitC338</v>
      </c>
      <c r="C7771" s="8">
        <f>IFERROR(__xludf.DUMMYFUNCTION("""COMPUTED_VALUE"""),0.0)</f>
        <v>0</v>
      </c>
      <c r="D7771" s="8"/>
    </row>
    <row r="7772">
      <c r="A7772" s="9"/>
      <c r="B7772" s="9"/>
      <c r="C7772" s="8">
        <f>IFERROR(__xludf.DUMMYFUNCTION("""COMPUTED_VALUE"""),0.0)</f>
        <v>0</v>
      </c>
      <c r="D7772" s="8"/>
    </row>
    <row r="7773">
      <c r="A7773" s="9" t="str">
        <f>IFERROR(__xludf.DUMMYFUNCTION("""COMPUTED_VALUE"""),"Batch 339")</f>
        <v>Batch 339</v>
      </c>
      <c r="B7773" s="9" t="str">
        <f>IFERROR(__xludf.DUMMYFUNCTION("""COMPUTED_VALUE"""),"VaishnaviC339")</f>
        <v>VaishnaviC339</v>
      </c>
      <c r="C7773" s="8">
        <f>IFERROR(__xludf.DUMMYFUNCTION("""COMPUTED_VALUE"""),0.0)</f>
        <v>0</v>
      </c>
      <c r="D7773" s="8"/>
    </row>
    <row r="7774">
      <c r="A7774" s="9" t="str">
        <f>IFERROR(__xludf.DUMMYFUNCTION("""COMPUTED_VALUE"""),"Batch 339")</f>
        <v>Batch 339</v>
      </c>
      <c r="B7774" s="9" t="str">
        <f>IFERROR(__xludf.DUMMYFUNCTION("""COMPUTED_VALUE"""),"YuktiC339")</f>
        <v>YuktiC339</v>
      </c>
      <c r="C7774" s="8">
        <f>IFERROR(__xludf.DUMMYFUNCTION("""COMPUTED_VALUE"""),0.0)</f>
        <v>0</v>
      </c>
      <c r="D7774" s="8"/>
    </row>
    <row r="7775">
      <c r="A7775" s="9" t="str">
        <f>IFERROR(__xludf.DUMMYFUNCTION("""COMPUTED_VALUE"""),"Batch 339")</f>
        <v>Batch 339</v>
      </c>
      <c r="B7775" s="9" t="str">
        <f>IFERROR(__xludf.DUMMYFUNCTION("""COMPUTED_VALUE"""),"VC339")</f>
        <v>VC339</v>
      </c>
      <c r="C7775" s="8">
        <f>IFERROR(__xludf.DUMMYFUNCTION("""COMPUTED_VALUE"""),0.0)</f>
        <v>0</v>
      </c>
      <c r="D7775" s="8"/>
    </row>
    <row r="7776">
      <c r="A7776" s="9" t="str">
        <f>IFERROR(__xludf.DUMMYFUNCTION("""COMPUTED_VALUE"""),"Batch 339")</f>
        <v>Batch 339</v>
      </c>
      <c r="B7776" s="9" t="str">
        <f>IFERROR(__xludf.DUMMYFUNCTION("""COMPUTED_VALUE"""),"RidhiC339")</f>
        <v>RidhiC339</v>
      </c>
      <c r="C7776" s="8">
        <f>IFERROR(__xludf.DUMMYFUNCTION("""COMPUTED_VALUE"""),3.0)</f>
        <v>3</v>
      </c>
      <c r="D7776" s="8"/>
    </row>
    <row r="7777">
      <c r="A7777" s="9" t="str">
        <f>IFERROR(__xludf.DUMMYFUNCTION("""COMPUTED_VALUE"""),"Batch 339")</f>
        <v>Batch 339</v>
      </c>
      <c r="B7777" s="9" t="str">
        <f>IFERROR(__xludf.DUMMYFUNCTION("""COMPUTED_VALUE"""),"PiyushC339")</f>
        <v>PiyushC339</v>
      </c>
      <c r="C7777" s="8">
        <f>IFERROR(__xludf.DUMMYFUNCTION("""COMPUTED_VALUE"""),0.0)</f>
        <v>0</v>
      </c>
      <c r="D7777" s="8"/>
    </row>
    <row r="7778">
      <c r="A7778" s="9" t="str">
        <f>IFERROR(__xludf.DUMMYFUNCTION("""COMPUTED_VALUE"""),"Batch 339")</f>
        <v>Batch 339</v>
      </c>
      <c r="B7778" s="9" t="str">
        <f>IFERROR(__xludf.DUMMYFUNCTION("""COMPUTED_VALUE"""),"BhuvanC339")</f>
        <v>BhuvanC339</v>
      </c>
      <c r="C7778" s="8">
        <f>IFERROR(__xludf.DUMMYFUNCTION("""COMPUTED_VALUE"""),16.0)</f>
        <v>16</v>
      </c>
      <c r="D7778" s="8">
        <f>IFERROR(__xludf.DUMMYFUNCTION("""COMPUTED_VALUE"""),5.0)</f>
        <v>5</v>
      </c>
    </row>
    <row r="7779">
      <c r="A7779" s="9" t="str">
        <f>IFERROR(__xludf.DUMMYFUNCTION("""COMPUTED_VALUE"""),"Batch 339")</f>
        <v>Batch 339</v>
      </c>
      <c r="B7779" s="9" t="str">
        <f>IFERROR(__xludf.DUMMYFUNCTION("""COMPUTED_VALUE"""),"NeelamC339")</f>
        <v>NeelamC339</v>
      </c>
      <c r="C7779" s="8">
        <f>IFERROR(__xludf.DUMMYFUNCTION("""COMPUTED_VALUE"""),0.0)</f>
        <v>0</v>
      </c>
      <c r="D7779" s="8"/>
    </row>
    <row r="7780">
      <c r="A7780" s="9" t="str">
        <f>IFERROR(__xludf.DUMMYFUNCTION("""COMPUTED_VALUE"""),"Batch 339")</f>
        <v>Batch 339</v>
      </c>
      <c r="B7780" s="9" t="str">
        <f>IFERROR(__xludf.DUMMYFUNCTION("""COMPUTED_VALUE"""),"paridhiC339")</f>
        <v>paridhiC339</v>
      </c>
      <c r="C7780" s="8">
        <f>IFERROR(__xludf.DUMMYFUNCTION("""COMPUTED_VALUE"""),0.0)</f>
        <v>0</v>
      </c>
      <c r="D7780" s="8"/>
    </row>
    <row r="7781">
      <c r="A7781" s="9" t="str">
        <f>IFERROR(__xludf.DUMMYFUNCTION("""COMPUTED_VALUE"""),"Batch 339")</f>
        <v>Batch 339</v>
      </c>
      <c r="B7781" s="9" t="str">
        <f>IFERROR(__xludf.DUMMYFUNCTION("""COMPUTED_VALUE"""),"VaishnaviC339")</f>
        <v>VaishnaviC339</v>
      </c>
      <c r="C7781" s="8">
        <f>IFERROR(__xludf.DUMMYFUNCTION("""COMPUTED_VALUE"""),4.0)</f>
        <v>4</v>
      </c>
      <c r="D7781" s="8"/>
    </row>
    <row r="7782">
      <c r="A7782" s="9" t="str">
        <f>IFERROR(__xludf.DUMMYFUNCTION("""COMPUTED_VALUE"""),"Batch 339")</f>
        <v>Batch 339</v>
      </c>
      <c r="B7782" s="9" t="str">
        <f>IFERROR(__xludf.DUMMYFUNCTION("""COMPUTED_VALUE"""),"UJJAWALC339")</f>
        <v>UJJAWALC339</v>
      </c>
      <c r="C7782" s="8">
        <f>IFERROR(__xludf.DUMMYFUNCTION("""COMPUTED_VALUE"""),1.0)</f>
        <v>1</v>
      </c>
      <c r="D7782" s="8"/>
    </row>
    <row r="7783">
      <c r="A7783" s="9" t="str">
        <f>IFERROR(__xludf.DUMMYFUNCTION("""COMPUTED_VALUE"""),"Batch 339")</f>
        <v>Batch 339</v>
      </c>
      <c r="B7783" s="9" t="str">
        <f>IFERROR(__xludf.DUMMYFUNCTION("""COMPUTED_VALUE"""),"OmC339")</f>
        <v>OmC339</v>
      </c>
      <c r="C7783" s="8">
        <f>IFERROR(__xludf.DUMMYFUNCTION("""COMPUTED_VALUE"""),1.0)</f>
        <v>1</v>
      </c>
      <c r="D7783" s="8"/>
    </row>
    <row r="7784">
      <c r="A7784" s="9" t="str">
        <f>IFERROR(__xludf.DUMMYFUNCTION("""COMPUTED_VALUE"""),"Batch 339")</f>
        <v>Batch 339</v>
      </c>
      <c r="B7784" s="9" t="str">
        <f>IFERROR(__xludf.DUMMYFUNCTION("""COMPUTED_VALUE"""),"ChhaviC339")</f>
        <v>ChhaviC339</v>
      </c>
      <c r="C7784" s="8">
        <f>IFERROR(__xludf.DUMMYFUNCTION("""COMPUTED_VALUE"""),2.0)</f>
        <v>2</v>
      </c>
      <c r="D7784" s="8"/>
    </row>
    <row r="7785">
      <c r="A7785" s="9" t="str">
        <f>IFERROR(__xludf.DUMMYFUNCTION("""COMPUTED_VALUE"""),"Batch 339")</f>
        <v>Batch 339</v>
      </c>
      <c r="B7785" s="9" t="str">
        <f>IFERROR(__xludf.DUMMYFUNCTION("""COMPUTED_VALUE"""),"ShamC339")</f>
        <v>ShamC339</v>
      </c>
      <c r="C7785" s="8">
        <f>IFERROR(__xludf.DUMMYFUNCTION("""COMPUTED_VALUE"""),0.0)</f>
        <v>0</v>
      </c>
      <c r="D7785" s="8"/>
    </row>
    <row r="7786">
      <c r="A7786" s="9" t="str">
        <f>IFERROR(__xludf.DUMMYFUNCTION("""COMPUTED_VALUE"""),"Batch 339")</f>
        <v>Batch 339</v>
      </c>
      <c r="B7786" s="9" t="str">
        <f>IFERROR(__xludf.DUMMYFUNCTION("""COMPUTED_VALUE"""),"OmkarC339")</f>
        <v>OmkarC339</v>
      </c>
      <c r="C7786" s="8">
        <f>IFERROR(__xludf.DUMMYFUNCTION("""COMPUTED_VALUE"""),6.0)</f>
        <v>6</v>
      </c>
      <c r="D7786" s="8">
        <f>IFERROR(__xludf.DUMMYFUNCTION("""COMPUTED_VALUE"""),6.0)</f>
        <v>6</v>
      </c>
    </row>
    <row r="7787">
      <c r="A7787" s="9" t="str">
        <f>IFERROR(__xludf.DUMMYFUNCTION("""COMPUTED_VALUE"""),"Batch 339")</f>
        <v>Batch 339</v>
      </c>
      <c r="B7787" s="9" t="str">
        <f>IFERROR(__xludf.DUMMYFUNCTION("""COMPUTED_VALUE"""),"SUMITC339")</f>
        <v>SUMITC339</v>
      </c>
      <c r="C7787" s="8">
        <f>IFERROR(__xludf.DUMMYFUNCTION("""COMPUTED_VALUE"""),0.0)</f>
        <v>0</v>
      </c>
      <c r="D7787" s="8"/>
    </row>
    <row r="7788">
      <c r="A7788" s="9" t="str">
        <f>IFERROR(__xludf.DUMMYFUNCTION("""COMPUTED_VALUE"""),"Batch 339")</f>
        <v>Batch 339</v>
      </c>
      <c r="B7788" s="9" t="str">
        <f>IFERROR(__xludf.DUMMYFUNCTION("""COMPUTED_VALUE"""),"RavindharC339")</f>
        <v>RavindharC339</v>
      </c>
      <c r="C7788" s="8">
        <f>IFERROR(__xludf.DUMMYFUNCTION("""COMPUTED_VALUE"""),12.0)</f>
        <v>12</v>
      </c>
      <c r="D7788" s="8">
        <f>IFERROR(__xludf.DUMMYFUNCTION("""COMPUTED_VALUE"""),4.0)</f>
        <v>4</v>
      </c>
    </row>
    <row r="7789">
      <c r="A7789" s="9" t="str">
        <f>IFERROR(__xludf.DUMMYFUNCTION("""COMPUTED_VALUE"""),"Batch 339")</f>
        <v>Batch 339</v>
      </c>
      <c r="B7789" s="9" t="str">
        <f>IFERROR(__xludf.DUMMYFUNCTION("""COMPUTED_VALUE"""),"SnehaC339")</f>
        <v>SnehaC339</v>
      </c>
      <c r="C7789" s="8">
        <f>IFERROR(__xludf.DUMMYFUNCTION("""COMPUTED_VALUE"""),0.0)</f>
        <v>0</v>
      </c>
      <c r="D7789" s="8"/>
    </row>
    <row r="7790">
      <c r="A7790" s="9" t="str">
        <f>IFERROR(__xludf.DUMMYFUNCTION("""COMPUTED_VALUE"""),"Batch 339")</f>
        <v>Batch 339</v>
      </c>
      <c r="B7790" s="9" t="str">
        <f>IFERROR(__xludf.DUMMYFUNCTION("""COMPUTED_VALUE"""),"MohdC339")</f>
        <v>MohdC339</v>
      </c>
      <c r="C7790" s="8">
        <f>IFERROR(__xludf.DUMMYFUNCTION("""COMPUTED_VALUE"""),0.0)</f>
        <v>0</v>
      </c>
      <c r="D7790" s="8"/>
    </row>
    <row r="7791">
      <c r="A7791" s="9" t="str">
        <f>IFERROR(__xludf.DUMMYFUNCTION("""COMPUTED_VALUE"""),"Batch 339")</f>
        <v>Batch 339</v>
      </c>
      <c r="B7791" s="9" t="str">
        <f>IFERROR(__xludf.DUMMYFUNCTION("""COMPUTED_VALUE"""),"SameenC339")</f>
        <v>SameenC339</v>
      </c>
      <c r="C7791" s="8">
        <f>IFERROR(__xludf.DUMMYFUNCTION("""COMPUTED_VALUE"""),0.0)</f>
        <v>0</v>
      </c>
      <c r="D7791" s="8"/>
    </row>
    <row r="7792">
      <c r="A7792" s="9" t="str">
        <f>IFERROR(__xludf.DUMMYFUNCTION("""COMPUTED_VALUE"""),"Batch 339")</f>
        <v>Batch 339</v>
      </c>
      <c r="B7792" s="9" t="str">
        <f>IFERROR(__xludf.DUMMYFUNCTION("""COMPUTED_VALUE"""),"CharviC339")</f>
        <v>CharviC339</v>
      </c>
      <c r="C7792" s="8">
        <f>IFERROR(__xludf.DUMMYFUNCTION("""COMPUTED_VALUE"""),0.0)</f>
        <v>0</v>
      </c>
      <c r="D7792" s="8"/>
    </row>
    <row r="7793">
      <c r="A7793" s="9" t="str">
        <f>IFERROR(__xludf.DUMMYFUNCTION("""COMPUTED_VALUE"""),"Batch 339")</f>
        <v>Batch 339</v>
      </c>
      <c r="B7793" s="9" t="str">
        <f>IFERROR(__xludf.DUMMYFUNCTION("""COMPUTED_VALUE"""),"HimanshuC339")</f>
        <v>HimanshuC339</v>
      </c>
      <c r="C7793" s="8">
        <f>IFERROR(__xludf.DUMMYFUNCTION("""COMPUTED_VALUE"""),0.0)</f>
        <v>0</v>
      </c>
      <c r="D7793" s="8"/>
    </row>
    <row r="7794">
      <c r="A7794" s="9" t="str">
        <f>IFERROR(__xludf.DUMMYFUNCTION("""COMPUTED_VALUE"""),"Batch 339")</f>
        <v>Batch 339</v>
      </c>
      <c r="B7794" s="9" t="str">
        <f>IFERROR(__xludf.DUMMYFUNCTION("""COMPUTED_VALUE"""),"GinniC339")</f>
        <v>GinniC339</v>
      </c>
      <c r="C7794" s="8">
        <f>IFERROR(__xludf.DUMMYFUNCTION("""COMPUTED_VALUE"""),0.0)</f>
        <v>0</v>
      </c>
      <c r="D7794" s="8"/>
    </row>
    <row r="7795">
      <c r="A7795" s="9" t="str">
        <f>IFERROR(__xludf.DUMMYFUNCTION("""COMPUTED_VALUE"""),"Batch 339")</f>
        <v>Batch 339</v>
      </c>
      <c r="B7795" s="9" t="str">
        <f>IFERROR(__xludf.DUMMYFUNCTION("""COMPUTED_VALUE"""),"VaniC339")</f>
        <v>VaniC339</v>
      </c>
      <c r="C7795" s="8">
        <f>IFERROR(__xludf.DUMMYFUNCTION("""COMPUTED_VALUE"""),0.0)</f>
        <v>0</v>
      </c>
      <c r="D7795" s="8"/>
    </row>
    <row r="7796">
      <c r="A7796" s="9" t="str">
        <f>IFERROR(__xludf.DUMMYFUNCTION("""COMPUTED_VALUE"""),"Batch 339")</f>
        <v>Batch 339</v>
      </c>
      <c r="B7796" s="9" t="str">
        <f>IFERROR(__xludf.DUMMYFUNCTION("""COMPUTED_VALUE"""),"RichaC339")</f>
        <v>RichaC339</v>
      </c>
      <c r="C7796" s="8">
        <f>IFERROR(__xludf.DUMMYFUNCTION("""COMPUTED_VALUE"""),0.0)</f>
        <v>0</v>
      </c>
      <c r="D7796" s="8"/>
    </row>
    <row r="7797">
      <c r="A7797" s="9" t="str">
        <f>IFERROR(__xludf.DUMMYFUNCTION("""COMPUTED_VALUE"""),"Batch 339")</f>
        <v>Batch 339</v>
      </c>
      <c r="B7797" s="9" t="str">
        <f>IFERROR(__xludf.DUMMYFUNCTION("""COMPUTED_VALUE"""),"ShagunC339")</f>
        <v>ShagunC339</v>
      </c>
      <c r="C7797" s="8">
        <f>IFERROR(__xludf.DUMMYFUNCTION("""COMPUTED_VALUE"""),0.0)</f>
        <v>0</v>
      </c>
      <c r="D7797" s="8"/>
    </row>
    <row r="7798">
      <c r="A7798" s="9" t="str">
        <f>IFERROR(__xludf.DUMMYFUNCTION("""COMPUTED_VALUE"""),"Batch 339")</f>
        <v>Batch 339</v>
      </c>
      <c r="B7798" s="9" t="str">
        <f>IFERROR(__xludf.DUMMYFUNCTION("""COMPUTED_VALUE"""),"PradhumC339")</f>
        <v>PradhumC339</v>
      </c>
      <c r="C7798" s="8">
        <f>IFERROR(__xludf.DUMMYFUNCTION("""COMPUTED_VALUE"""),0.0)</f>
        <v>0</v>
      </c>
      <c r="D7798" s="8"/>
    </row>
    <row r="7799">
      <c r="A7799" s="9" t="str">
        <f>IFERROR(__xludf.DUMMYFUNCTION("""COMPUTED_VALUE"""),"Batch 339")</f>
        <v>Batch 339</v>
      </c>
      <c r="B7799" s="9" t="str">
        <f>IFERROR(__xludf.DUMMYFUNCTION("""COMPUTED_VALUE"""),"MehakC339")</f>
        <v>MehakC339</v>
      </c>
      <c r="C7799" s="8">
        <f>IFERROR(__xludf.DUMMYFUNCTION("""COMPUTED_VALUE"""),0.0)</f>
        <v>0</v>
      </c>
      <c r="D7799" s="8"/>
    </row>
    <row r="7800">
      <c r="A7800" s="9" t="str">
        <f>IFERROR(__xludf.DUMMYFUNCTION("""COMPUTED_VALUE"""),"Batch 339")</f>
        <v>Batch 339</v>
      </c>
      <c r="B7800" s="9" t="str">
        <f>IFERROR(__xludf.DUMMYFUNCTION("""COMPUTED_VALUE"""),"BONTHUC339")</f>
        <v>BONTHUC339</v>
      </c>
      <c r="C7800" s="8">
        <f>IFERROR(__xludf.DUMMYFUNCTION("""COMPUTED_VALUE"""),0.0)</f>
        <v>0</v>
      </c>
      <c r="D7800" s="8"/>
    </row>
    <row r="7801">
      <c r="A7801" s="9" t="str">
        <f>IFERROR(__xludf.DUMMYFUNCTION("""COMPUTED_VALUE"""),"Batch 339")</f>
        <v>Batch 339</v>
      </c>
      <c r="B7801" s="9" t="str">
        <f>IFERROR(__xludf.DUMMYFUNCTION("""COMPUTED_VALUE"""),"AMITC339")</f>
        <v>AMITC339</v>
      </c>
      <c r="C7801" s="8">
        <f>IFERROR(__xludf.DUMMYFUNCTION("""COMPUTED_VALUE"""),0.0)</f>
        <v>0</v>
      </c>
      <c r="D7801" s="8"/>
    </row>
    <row r="7802">
      <c r="A7802" s="9" t="str">
        <f>IFERROR(__xludf.DUMMYFUNCTION("""COMPUTED_VALUE"""),"Batch 339")</f>
        <v>Batch 339</v>
      </c>
      <c r="B7802" s="9" t="str">
        <f>IFERROR(__xludf.DUMMYFUNCTION("""COMPUTED_VALUE"""),"ArpitC339")</f>
        <v>ArpitC339</v>
      </c>
      <c r="C7802" s="8">
        <f>IFERROR(__xludf.DUMMYFUNCTION("""COMPUTED_VALUE"""),35.0)</f>
        <v>35</v>
      </c>
      <c r="D7802" s="8">
        <f>IFERROR(__xludf.DUMMYFUNCTION("""COMPUTED_VALUE"""),18.0)</f>
        <v>18</v>
      </c>
    </row>
    <row r="7803">
      <c r="A7803" s="9" t="str">
        <f>IFERROR(__xludf.DUMMYFUNCTION("""COMPUTED_VALUE"""),"Batch 339")</f>
        <v>Batch 339</v>
      </c>
      <c r="B7803" s="9" t="str">
        <f>IFERROR(__xludf.DUMMYFUNCTION("""COMPUTED_VALUE"""),"OmC339")</f>
        <v>OmC339</v>
      </c>
      <c r="C7803" s="8">
        <f>IFERROR(__xludf.DUMMYFUNCTION("""COMPUTED_VALUE"""),0.0)</f>
        <v>0</v>
      </c>
      <c r="D7803" s="8"/>
    </row>
    <row r="7804">
      <c r="A7804" s="9" t="str">
        <f>IFERROR(__xludf.DUMMYFUNCTION("""COMPUTED_VALUE"""),"Batch 339")</f>
        <v>Batch 339</v>
      </c>
      <c r="B7804" s="9" t="str">
        <f>IFERROR(__xludf.DUMMYFUNCTION("""COMPUTED_VALUE"""),"DhruvC339")</f>
        <v>DhruvC339</v>
      </c>
      <c r="C7804" s="8">
        <f>IFERROR(__xludf.DUMMYFUNCTION("""COMPUTED_VALUE"""),0.0)</f>
        <v>0</v>
      </c>
      <c r="D7804" s="8"/>
    </row>
    <row r="7805">
      <c r="A7805" s="9" t="str">
        <f>IFERROR(__xludf.DUMMYFUNCTION("""COMPUTED_VALUE"""),"Batch 339")</f>
        <v>Batch 339</v>
      </c>
      <c r="B7805" s="9" t="str">
        <f>IFERROR(__xludf.DUMMYFUNCTION("""COMPUTED_VALUE"""),"RitikaC339")</f>
        <v>RitikaC339</v>
      </c>
      <c r="C7805" s="8">
        <f>IFERROR(__xludf.DUMMYFUNCTION("""COMPUTED_VALUE"""),0.0)</f>
        <v>0</v>
      </c>
      <c r="D7805" s="8"/>
    </row>
    <row r="7806">
      <c r="A7806" s="9" t="str">
        <f>IFERROR(__xludf.DUMMYFUNCTION("""COMPUTED_VALUE"""),"Batch 339")</f>
        <v>Batch 339</v>
      </c>
      <c r="B7806" s="9" t="str">
        <f>IFERROR(__xludf.DUMMYFUNCTION("""COMPUTED_VALUE"""),"JoshuaC339")</f>
        <v>JoshuaC339</v>
      </c>
      <c r="C7806" s="8">
        <f>IFERROR(__xludf.DUMMYFUNCTION("""COMPUTED_VALUE"""),0.0)</f>
        <v>0</v>
      </c>
      <c r="D7806" s="8"/>
    </row>
    <row r="7807">
      <c r="A7807" s="9"/>
      <c r="B7807" s="9"/>
      <c r="C7807" s="8">
        <f>IFERROR(__xludf.DUMMYFUNCTION("""COMPUTED_VALUE"""),0.0)</f>
        <v>0</v>
      </c>
      <c r="D7807" s="8"/>
    </row>
    <row r="7808">
      <c r="A7808" s="9" t="str">
        <f>IFERROR(__xludf.DUMMYFUNCTION("""COMPUTED_VALUE"""),"Batch 340")</f>
        <v>Batch 340</v>
      </c>
      <c r="B7808" s="9" t="str">
        <f>IFERROR(__xludf.DUMMYFUNCTION("""COMPUTED_VALUE"""),"VasundhraC340")</f>
        <v>VasundhraC340</v>
      </c>
      <c r="C7808" s="8">
        <f>IFERROR(__xludf.DUMMYFUNCTION("""COMPUTED_VALUE"""),0.0)</f>
        <v>0</v>
      </c>
      <c r="D7808" s="8"/>
    </row>
    <row r="7809">
      <c r="A7809" s="9" t="str">
        <f>IFERROR(__xludf.DUMMYFUNCTION("""COMPUTED_VALUE"""),"Batch 340")</f>
        <v>Batch 340</v>
      </c>
      <c r="B7809" s="9" t="str">
        <f>IFERROR(__xludf.DUMMYFUNCTION("""COMPUTED_VALUE"""),"AC340")</f>
        <v>AC340</v>
      </c>
      <c r="C7809" s="8">
        <f>IFERROR(__xludf.DUMMYFUNCTION("""COMPUTED_VALUE"""),0.0)</f>
        <v>0</v>
      </c>
      <c r="D7809" s="8"/>
    </row>
    <row r="7810">
      <c r="A7810" s="9" t="str">
        <f>IFERROR(__xludf.DUMMYFUNCTION("""COMPUTED_VALUE"""),"Batch 340")</f>
        <v>Batch 340</v>
      </c>
      <c r="B7810" s="9" t="str">
        <f>IFERROR(__xludf.DUMMYFUNCTION("""COMPUTED_VALUE"""),"NitishC340")</f>
        <v>NitishC340</v>
      </c>
      <c r="C7810" s="8">
        <f>IFERROR(__xludf.DUMMYFUNCTION("""COMPUTED_VALUE"""),0.0)</f>
        <v>0</v>
      </c>
      <c r="D7810" s="8"/>
    </row>
    <row r="7811">
      <c r="A7811" s="9" t="str">
        <f>IFERROR(__xludf.DUMMYFUNCTION("""COMPUTED_VALUE"""),"Batch 340")</f>
        <v>Batch 340</v>
      </c>
      <c r="B7811" s="9" t="str">
        <f>IFERROR(__xludf.DUMMYFUNCTION("""COMPUTED_VALUE"""),"ArnavC340")</f>
        <v>ArnavC340</v>
      </c>
      <c r="C7811" s="8">
        <f>IFERROR(__xludf.DUMMYFUNCTION("""COMPUTED_VALUE"""),0.0)</f>
        <v>0</v>
      </c>
      <c r="D7811" s="8"/>
    </row>
    <row r="7812">
      <c r="A7812" s="9" t="str">
        <f>IFERROR(__xludf.DUMMYFUNCTION("""COMPUTED_VALUE"""),"Batch 340")</f>
        <v>Batch 340</v>
      </c>
      <c r="B7812" s="9" t="str">
        <f>IFERROR(__xludf.DUMMYFUNCTION("""COMPUTED_VALUE"""),"ManishC340")</f>
        <v>ManishC340</v>
      </c>
      <c r="C7812" s="8">
        <f>IFERROR(__xludf.DUMMYFUNCTION("""COMPUTED_VALUE"""),0.0)</f>
        <v>0</v>
      </c>
      <c r="D7812" s="8"/>
    </row>
    <row r="7813">
      <c r="A7813" s="9" t="str">
        <f>IFERROR(__xludf.DUMMYFUNCTION("""COMPUTED_VALUE"""),"Batch 340")</f>
        <v>Batch 340</v>
      </c>
      <c r="B7813" s="9" t="str">
        <f>IFERROR(__xludf.DUMMYFUNCTION("""COMPUTED_VALUE"""),"NikhilC340")</f>
        <v>NikhilC340</v>
      </c>
      <c r="C7813" s="8">
        <f>IFERROR(__xludf.DUMMYFUNCTION("""COMPUTED_VALUE"""),0.0)</f>
        <v>0</v>
      </c>
      <c r="D7813" s="8"/>
    </row>
    <row r="7814">
      <c r="A7814" s="9" t="str">
        <f>IFERROR(__xludf.DUMMYFUNCTION("""COMPUTED_VALUE"""),"Batch 340")</f>
        <v>Batch 340</v>
      </c>
      <c r="B7814" s="9" t="str">
        <f>IFERROR(__xludf.DUMMYFUNCTION("""COMPUTED_VALUE"""),"MukeshC340")</f>
        <v>MukeshC340</v>
      </c>
      <c r="C7814" s="8">
        <f>IFERROR(__xludf.DUMMYFUNCTION("""COMPUTED_VALUE"""),0.0)</f>
        <v>0</v>
      </c>
      <c r="D7814" s="8"/>
    </row>
    <row r="7815">
      <c r="A7815" s="9" t="str">
        <f>IFERROR(__xludf.DUMMYFUNCTION("""COMPUTED_VALUE"""),"Batch 340")</f>
        <v>Batch 340</v>
      </c>
      <c r="B7815" s="9" t="str">
        <f>IFERROR(__xludf.DUMMYFUNCTION("""COMPUTED_VALUE"""),"VadisalaC340")</f>
        <v>VadisalaC340</v>
      </c>
      <c r="C7815" s="8">
        <f>IFERROR(__xludf.DUMMYFUNCTION("""COMPUTED_VALUE"""),0.0)</f>
        <v>0</v>
      </c>
      <c r="D7815" s="8"/>
    </row>
    <row r="7816">
      <c r="A7816" s="9" t="str">
        <f>IFERROR(__xludf.DUMMYFUNCTION("""COMPUTED_VALUE"""),"Batch 340")</f>
        <v>Batch 340</v>
      </c>
      <c r="B7816" s="9" t="str">
        <f>IFERROR(__xludf.DUMMYFUNCTION("""COMPUTED_VALUE"""),"MitanshiC340")</f>
        <v>MitanshiC340</v>
      </c>
      <c r="C7816" s="8">
        <f>IFERROR(__xludf.DUMMYFUNCTION("""COMPUTED_VALUE"""),0.0)</f>
        <v>0</v>
      </c>
      <c r="D7816" s="8"/>
    </row>
    <row r="7817">
      <c r="A7817" s="9" t="str">
        <f>IFERROR(__xludf.DUMMYFUNCTION("""COMPUTED_VALUE"""),"Batch 340")</f>
        <v>Batch 340</v>
      </c>
      <c r="B7817" s="9" t="str">
        <f>IFERROR(__xludf.DUMMYFUNCTION("""COMPUTED_VALUE"""),"HariC340")</f>
        <v>HariC340</v>
      </c>
      <c r="C7817" s="8">
        <f>IFERROR(__xludf.DUMMYFUNCTION("""COMPUTED_VALUE"""),0.0)</f>
        <v>0</v>
      </c>
      <c r="D7817" s="8"/>
    </row>
    <row r="7818">
      <c r="A7818" s="9" t="str">
        <f>IFERROR(__xludf.DUMMYFUNCTION("""COMPUTED_VALUE"""),"Batch 340")</f>
        <v>Batch 340</v>
      </c>
      <c r="B7818" s="9" t="str">
        <f>IFERROR(__xludf.DUMMYFUNCTION("""COMPUTED_VALUE"""),"TanviC340")</f>
        <v>TanviC340</v>
      </c>
      <c r="C7818" s="8">
        <f>IFERROR(__xludf.DUMMYFUNCTION("""COMPUTED_VALUE"""),0.0)</f>
        <v>0</v>
      </c>
      <c r="D7818" s="8"/>
    </row>
    <row r="7819">
      <c r="A7819" s="9" t="str">
        <f>IFERROR(__xludf.DUMMYFUNCTION("""COMPUTED_VALUE"""),"Batch 340")</f>
        <v>Batch 340</v>
      </c>
      <c r="B7819" s="9" t="str">
        <f>IFERROR(__xludf.DUMMYFUNCTION("""COMPUTED_VALUE"""),"ShreyaC340")</f>
        <v>ShreyaC340</v>
      </c>
      <c r="C7819" s="8">
        <f>IFERROR(__xludf.DUMMYFUNCTION("""COMPUTED_VALUE"""),0.0)</f>
        <v>0</v>
      </c>
      <c r="D7819" s="8"/>
    </row>
    <row r="7820">
      <c r="A7820" s="9" t="str">
        <f>IFERROR(__xludf.DUMMYFUNCTION("""COMPUTED_VALUE"""),"Batch 340")</f>
        <v>Batch 340</v>
      </c>
      <c r="B7820" s="9" t="str">
        <f>IFERROR(__xludf.DUMMYFUNCTION("""COMPUTED_VALUE"""),"MythriC340")</f>
        <v>MythriC340</v>
      </c>
      <c r="C7820" s="8">
        <f>IFERROR(__xludf.DUMMYFUNCTION("""COMPUTED_VALUE"""),0.0)</f>
        <v>0</v>
      </c>
      <c r="D7820" s="8"/>
    </row>
    <row r="7821">
      <c r="A7821" s="9" t="str">
        <f>IFERROR(__xludf.DUMMYFUNCTION("""COMPUTED_VALUE"""),"Batch 340")</f>
        <v>Batch 340</v>
      </c>
      <c r="B7821" s="9" t="str">
        <f>IFERROR(__xludf.DUMMYFUNCTION("""COMPUTED_VALUE"""),"VijayC340")</f>
        <v>VijayC340</v>
      </c>
      <c r="C7821" s="8">
        <f>IFERROR(__xludf.DUMMYFUNCTION("""COMPUTED_VALUE"""),0.0)</f>
        <v>0</v>
      </c>
      <c r="D7821" s="8"/>
    </row>
    <row r="7822">
      <c r="A7822" s="9" t="str">
        <f>IFERROR(__xludf.DUMMYFUNCTION("""COMPUTED_VALUE"""),"Batch 340")</f>
        <v>Batch 340</v>
      </c>
      <c r="B7822" s="9" t="str">
        <f>IFERROR(__xludf.DUMMYFUNCTION("""COMPUTED_VALUE"""),"DaeshwamiC340")</f>
        <v>DaeshwamiC340</v>
      </c>
      <c r="C7822" s="8">
        <f>IFERROR(__xludf.DUMMYFUNCTION("""COMPUTED_VALUE"""),0.0)</f>
        <v>0</v>
      </c>
      <c r="D7822" s="8"/>
    </row>
    <row r="7823">
      <c r="A7823" s="9" t="str">
        <f>IFERROR(__xludf.DUMMYFUNCTION("""COMPUTED_VALUE"""),"Batch 340")</f>
        <v>Batch 340</v>
      </c>
      <c r="B7823" s="9" t="str">
        <f>IFERROR(__xludf.DUMMYFUNCTION("""COMPUTED_VALUE"""),"JatinC340")</f>
        <v>JatinC340</v>
      </c>
      <c r="C7823" s="8">
        <f>IFERROR(__xludf.DUMMYFUNCTION("""COMPUTED_VALUE"""),0.0)</f>
        <v>0</v>
      </c>
      <c r="D7823" s="8"/>
    </row>
    <row r="7824">
      <c r="A7824" s="9" t="str">
        <f>IFERROR(__xludf.DUMMYFUNCTION("""COMPUTED_VALUE"""),"Batch 340")</f>
        <v>Batch 340</v>
      </c>
      <c r="B7824" s="9" t="str">
        <f>IFERROR(__xludf.DUMMYFUNCTION("""COMPUTED_VALUE"""),"RiyaC340")</f>
        <v>RiyaC340</v>
      </c>
      <c r="C7824" s="8">
        <f>IFERROR(__xludf.DUMMYFUNCTION("""COMPUTED_VALUE"""),0.0)</f>
        <v>0</v>
      </c>
      <c r="D7824" s="8"/>
    </row>
    <row r="7825">
      <c r="A7825" s="9" t="str">
        <f>IFERROR(__xludf.DUMMYFUNCTION("""COMPUTED_VALUE"""),"Batch 340")</f>
        <v>Batch 340</v>
      </c>
      <c r="B7825" s="9" t="str">
        <f>IFERROR(__xludf.DUMMYFUNCTION("""COMPUTED_VALUE"""),"SanaC340")</f>
        <v>SanaC340</v>
      </c>
      <c r="C7825" s="8">
        <f>IFERROR(__xludf.DUMMYFUNCTION("""COMPUTED_VALUE"""),0.0)</f>
        <v>0</v>
      </c>
      <c r="D7825" s="8"/>
    </row>
    <row r="7826">
      <c r="A7826" s="9" t="str">
        <f>IFERROR(__xludf.DUMMYFUNCTION("""COMPUTED_VALUE"""),"Batch 340")</f>
        <v>Batch 340</v>
      </c>
      <c r="B7826" s="9" t="str">
        <f>IFERROR(__xludf.DUMMYFUNCTION("""COMPUTED_VALUE"""),"SaloniC340")</f>
        <v>SaloniC340</v>
      </c>
      <c r="C7826" s="8">
        <f>IFERROR(__xludf.DUMMYFUNCTION("""COMPUTED_VALUE"""),0.0)</f>
        <v>0</v>
      </c>
      <c r="D7826" s="8"/>
    </row>
    <row r="7827">
      <c r="A7827" s="9" t="str">
        <f>IFERROR(__xludf.DUMMYFUNCTION("""COMPUTED_VALUE"""),"Batch 340")</f>
        <v>Batch 340</v>
      </c>
      <c r="B7827" s="9" t="str">
        <f>IFERROR(__xludf.DUMMYFUNCTION("""COMPUTED_VALUE"""),"SaijalC340")</f>
        <v>SaijalC340</v>
      </c>
      <c r="C7827" s="8">
        <f>IFERROR(__xludf.DUMMYFUNCTION("""COMPUTED_VALUE"""),0.0)</f>
        <v>0</v>
      </c>
      <c r="D7827" s="8"/>
    </row>
    <row r="7828">
      <c r="A7828" s="9" t="str">
        <f>IFERROR(__xludf.DUMMYFUNCTION("""COMPUTED_VALUE"""),"Batch 340")</f>
        <v>Batch 340</v>
      </c>
      <c r="B7828" s="9" t="str">
        <f>IFERROR(__xludf.DUMMYFUNCTION("""COMPUTED_VALUE"""),"RaunakC340")</f>
        <v>RaunakC340</v>
      </c>
      <c r="C7828" s="8">
        <f>IFERROR(__xludf.DUMMYFUNCTION("""COMPUTED_VALUE"""),1.0)</f>
        <v>1</v>
      </c>
      <c r="D7828" s="8"/>
    </row>
    <row r="7829">
      <c r="A7829" s="9" t="str">
        <f>IFERROR(__xludf.DUMMYFUNCTION("""COMPUTED_VALUE"""),"Batch 340")</f>
        <v>Batch 340</v>
      </c>
      <c r="B7829" s="9" t="str">
        <f>IFERROR(__xludf.DUMMYFUNCTION("""COMPUTED_VALUE"""),"MuskanC340")</f>
        <v>MuskanC340</v>
      </c>
      <c r="C7829" s="8">
        <f>IFERROR(__xludf.DUMMYFUNCTION("""COMPUTED_VALUE"""),0.0)</f>
        <v>0</v>
      </c>
      <c r="D7829" s="8"/>
    </row>
    <row r="7830">
      <c r="A7830" s="9" t="str">
        <f>IFERROR(__xludf.DUMMYFUNCTION("""COMPUTED_VALUE"""),"Batch 340")</f>
        <v>Batch 340</v>
      </c>
      <c r="B7830" s="9" t="str">
        <f>IFERROR(__xludf.DUMMYFUNCTION("""COMPUTED_VALUE"""),"AryanC340")</f>
        <v>AryanC340</v>
      </c>
      <c r="C7830" s="8">
        <f>IFERROR(__xludf.DUMMYFUNCTION("""COMPUTED_VALUE"""),1.0)</f>
        <v>1</v>
      </c>
      <c r="D7830" s="8"/>
    </row>
    <row r="7831">
      <c r="A7831" s="9"/>
      <c r="B7831" s="9"/>
      <c r="C7831" s="8">
        <f>IFERROR(__xludf.DUMMYFUNCTION("""COMPUTED_VALUE"""),0.0)</f>
        <v>0</v>
      </c>
      <c r="D7831" s="8"/>
    </row>
    <row r="7832">
      <c r="A7832" s="9" t="str">
        <f>IFERROR(__xludf.DUMMYFUNCTION("""COMPUTED_VALUE"""),"Batch 341")</f>
        <v>Batch 341</v>
      </c>
      <c r="B7832" s="9" t="str">
        <f>IFERROR(__xludf.DUMMYFUNCTION("""COMPUTED_VALUE"""),"PriyanshiC341")</f>
        <v>PriyanshiC341</v>
      </c>
      <c r="C7832" s="8">
        <f>IFERROR(__xludf.DUMMYFUNCTION("""COMPUTED_VALUE"""),0.0)</f>
        <v>0</v>
      </c>
      <c r="D7832" s="8"/>
    </row>
    <row r="7833">
      <c r="A7833" s="9" t="str">
        <f>IFERROR(__xludf.DUMMYFUNCTION("""COMPUTED_VALUE"""),"Batch 341")</f>
        <v>Batch 341</v>
      </c>
      <c r="B7833" s="9" t="str">
        <f>IFERROR(__xludf.DUMMYFUNCTION("""COMPUTED_VALUE"""),"TanushreeC341")</f>
        <v>TanushreeC341</v>
      </c>
      <c r="C7833" s="8">
        <f>IFERROR(__xludf.DUMMYFUNCTION("""COMPUTED_VALUE"""),0.0)</f>
        <v>0</v>
      </c>
      <c r="D7833" s="8"/>
    </row>
    <row r="7834">
      <c r="A7834" s="9" t="str">
        <f>IFERROR(__xludf.DUMMYFUNCTION("""COMPUTED_VALUE"""),"Batch 341")</f>
        <v>Batch 341</v>
      </c>
      <c r="B7834" s="9" t="str">
        <f>IFERROR(__xludf.DUMMYFUNCTION("""COMPUTED_VALUE"""),"MeenakshiC341")</f>
        <v>MeenakshiC341</v>
      </c>
      <c r="C7834" s="8">
        <f>IFERROR(__xludf.DUMMYFUNCTION("""COMPUTED_VALUE"""),0.0)</f>
        <v>0</v>
      </c>
      <c r="D7834" s="8"/>
    </row>
    <row r="7835">
      <c r="A7835" s="9" t="str">
        <f>IFERROR(__xludf.DUMMYFUNCTION("""COMPUTED_VALUE"""),"Batch 341")</f>
        <v>Batch 341</v>
      </c>
      <c r="B7835" s="9" t="str">
        <f>IFERROR(__xludf.DUMMYFUNCTION("""COMPUTED_VALUE"""),"ShambhaviC341")</f>
        <v>ShambhaviC341</v>
      </c>
      <c r="C7835" s="8">
        <f>IFERROR(__xludf.DUMMYFUNCTION("""COMPUTED_VALUE"""),0.0)</f>
        <v>0</v>
      </c>
      <c r="D7835" s="8"/>
    </row>
    <row r="7836">
      <c r="A7836" s="9" t="str">
        <f>IFERROR(__xludf.DUMMYFUNCTION("""COMPUTED_VALUE"""),"Batch 341")</f>
        <v>Batch 341</v>
      </c>
      <c r="B7836" s="9" t="str">
        <f>IFERROR(__xludf.DUMMYFUNCTION("""COMPUTED_VALUE"""),"SuhaniC341")</f>
        <v>SuhaniC341</v>
      </c>
      <c r="C7836" s="8">
        <f>IFERROR(__xludf.DUMMYFUNCTION("""COMPUTED_VALUE"""),0.0)</f>
        <v>0</v>
      </c>
      <c r="D7836" s="8"/>
    </row>
    <row r="7837">
      <c r="A7837" s="9" t="str">
        <f>IFERROR(__xludf.DUMMYFUNCTION("""COMPUTED_VALUE"""),"Batch 341")</f>
        <v>Batch 341</v>
      </c>
      <c r="B7837" s="9" t="str">
        <f>IFERROR(__xludf.DUMMYFUNCTION("""COMPUTED_VALUE"""),"bhumiC341")</f>
        <v>bhumiC341</v>
      </c>
      <c r="C7837" s="8">
        <f>IFERROR(__xludf.DUMMYFUNCTION("""COMPUTED_VALUE"""),0.0)</f>
        <v>0</v>
      </c>
      <c r="D7837" s="8"/>
    </row>
    <row r="7838">
      <c r="A7838" s="9" t="str">
        <f>IFERROR(__xludf.DUMMYFUNCTION("""COMPUTED_VALUE"""),"Batch 341")</f>
        <v>Batch 341</v>
      </c>
      <c r="B7838" s="9" t="str">
        <f>IFERROR(__xludf.DUMMYFUNCTION("""COMPUTED_VALUE"""),"HARIPRASATHC341")</f>
        <v>HARIPRASATHC341</v>
      </c>
      <c r="C7838" s="8">
        <f>IFERROR(__xludf.DUMMYFUNCTION("""COMPUTED_VALUE"""),0.0)</f>
        <v>0</v>
      </c>
      <c r="D7838" s="8"/>
    </row>
    <row r="7839">
      <c r="A7839" s="9" t="str">
        <f>IFERROR(__xludf.DUMMYFUNCTION("""COMPUTED_VALUE"""),"Batch 341")</f>
        <v>Batch 341</v>
      </c>
      <c r="B7839" s="9" t="str">
        <f>IFERROR(__xludf.DUMMYFUNCTION("""COMPUTED_VALUE"""),"PriyankaC341")</f>
        <v>PriyankaC341</v>
      </c>
      <c r="C7839" s="8">
        <f>IFERROR(__xludf.DUMMYFUNCTION("""COMPUTED_VALUE"""),0.0)</f>
        <v>0</v>
      </c>
      <c r="D7839" s="8"/>
    </row>
    <row r="7840">
      <c r="A7840" s="9" t="str">
        <f>IFERROR(__xludf.DUMMYFUNCTION("""COMPUTED_VALUE"""),"Batch 341")</f>
        <v>Batch 341</v>
      </c>
      <c r="B7840" s="9" t="str">
        <f>IFERROR(__xludf.DUMMYFUNCTION("""COMPUTED_VALUE"""),"ArpitaC341")</f>
        <v>ArpitaC341</v>
      </c>
      <c r="C7840" s="8">
        <f>IFERROR(__xludf.DUMMYFUNCTION("""COMPUTED_VALUE"""),0.0)</f>
        <v>0</v>
      </c>
      <c r="D7840" s="8"/>
    </row>
    <row r="7841">
      <c r="A7841" s="9" t="str">
        <f>IFERROR(__xludf.DUMMYFUNCTION("""COMPUTED_VALUE"""),"Batch 341")</f>
        <v>Batch 341</v>
      </c>
      <c r="B7841" s="9" t="str">
        <f>IFERROR(__xludf.DUMMYFUNCTION("""COMPUTED_VALUE"""),"SachinC341")</f>
        <v>SachinC341</v>
      </c>
      <c r="C7841" s="8">
        <f>IFERROR(__xludf.DUMMYFUNCTION("""COMPUTED_VALUE"""),0.0)</f>
        <v>0</v>
      </c>
      <c r="D7841" s="8"/>
    </row>
    <row r="7842">
      <c r="A7842" s="9" t="str">
        <f>IFERROR(__xludf.DUMMYFUNCTION("""COMPUTED_VALUE"""),"Batch 341")</f>
        <v>Batch 341</v>
      </c>
      <c r="B7842" s="9" t="str">
        <f>IFERROR(__xludf.DUMMYFUNCTION("""COMPUTED_VALUE"""),"APOORVC341")</f>
        <v>APOORVC341</v>
      </c>
      <c r="C7842" s="8">
        <f>IFERROR(__xludf.DUMMYFUNCTION("""COMPUTED_VALUE"""),0.0)</f>
        <v>0</v>
      </c>
      <c r="D7842" s="8"/>
    </row>
    <row r="7843">
      <c r="A7843" s="9" t="str">
        <f>IFERROR(__xludf.DUMMYFUNCTION("""COMPUTED_VALUE"""),"Batch 341")</f>
        <v>Batch 341</v>
      </c>
      <c r="B7843" s="9" t="str">
        <f>IFERROR(__xludf.DUMMYFUNCTION("""COMPUTED_VALUE"""),"NITISHC341")</f>
        <v>NITISHC341</v>
      </c>
      <c r="C7843" s="8">
        <f>IFERROR(__xludf.DUMMYFUNCTION("""COMPUTED_VALUE"""),0.0)</f>
        <v>0</v>
      </c>
      <c r="D7843" s="8">
        <f>IFERROR(__xludf.DUMMYFUNCTION("""COMPUTED_VALUE"""),5.0)</f>
        <v>5</v>
      </c>
    </row>
    <row r="7844">
      <c r="A7844" s="9" t="str">
        <f>IFERROR(__xludf.DUMMYFUNCTION("""COMPUTED_VALUE"""),"Batch 341")</f>
        <v>Batch 341</v>
      </c>
      <c r="B7844" s="9" t="str">
        <f>IFERROR(__xludf.DUMMYFUNCTION("""COMPUTED_VALUE"""),"SandipC341")</f>
        <v>SandipC341</v>
      </c>
      <c r="C7844" s="8">
        <f>IFERROR(__xludf.DUMMYFUNCTION("""COMPUTED_VALUE"""),0.0)</f>
        <v>0</v>
      </c>
      <c r="D7844" s="8"/>
    </row>
    <row r="7845">
      <c r="A7845" s="9" t="str">
        <f>IFERROR(__xludf.DUMMYFUNCTION("""COMPUTED_VALUE"""),"Batch 341")</f>
        <v>Batch 341</v>
      </c>
      <c r="B7845" s="9" t="str">
        <f>IFERROR(__xludf.DUMMYFUNCTION("""COMPUTED_VALUE"""),"MahadevC341")</f>
        <v>MahadevC341</v>
      </c>
      <c r="C7845" s="8">
        <f>IFERROR(__xludf.DUMMYFUNCTION("""COMPUTED_VALUE"""),0.0)</f>
        <v>0</v>
      </c>
      <c r="D7845" s="8"/>
    </row>
    <row r="7846">
      <c r="A7846" s="9" t="str">
        <f>IFERROR(__xludf.DUMMYFUNCTION("""COMPUTED_VALUE"""),"Batch 341")</f>
        <v>Batch 341</v>
      </c>
      <c r="B7846" s="9" t="str">
        <f>IFERROR(__xludf.DUMMYFUNCTION("""COMPUTED_VALUE"""),"AnanthalakshmiC341")</f>
        <v>AnanthalakshmiC341</v>
      </c>
      <c r="C7846" s="8">
        <f>IFERROR(__xludf.DUMMYFUNCTION("""COMPUTED_VALUE"""),3.0)</f>
        <v>3</v>
      </c>
      <c r="D7846" s="8">
        <f>IFERROR(__xludf.DUMMYFUNCTION("""COMPUTED_VALUE"""),1.0)</f>
        <v>1</v>
      </c>
    </row>
    <row r="7847">
      <c r="A7847" s="9" t="str">
        <f>IFERROR(__xludf.DUMMYFUNCTION("""COMPUTED_VALUE"""),"Batch 341")</f>
        <v>Batch 341</v>
      </c>
      <c r="B7847" s="9" t="str">
        <f>IFERROR(__xludf.DUMMYFUNCTION("""COMPUTED_VALUE"""),"ArpitaC341")</f>
        <v>ArpitaC341</v>
      </c>
      <c r="C7847" s="8">
        <f>IFERROR(__xludf.DUMMYFUNCTION("""COMPUTED_VALUE"""),0.0)</f>
        <v>0</v>
      </c>
      <c r="D7847" s="8"/>
    </row>
    <row r="7848">
      <c r="A7848" s="9" t="str">
        <f>IFERROR(__xludf.DUMMYFUNCTION("""COMPUTED_VALUE"""),"Batch 341")</f>
        <v>Batch 341</v>
      </c>
      <c r="B7848" s="9" t="str">
        <f>IFERROR(__xludf.DUMMYFUNCTION("""COMPUTED_VALUE"""),"B.MEDHANSHC341")</f>
        <v>B.MEDHANSHC341</v>
      </c>
      <c r="C7848" s="8">
        <f>IFERROR(__xludf.DUMMYFUNCTION("""COMPUTED_VALUE"""),0.0)</f>
        <v>0</v>
      </c>
      <c r="D7848" s="8"/>
    </row>
    <row r="7849">
      <c r="A7849" s="9" t="str">
        <f>IFERROR(__xludf.DUMMYFUNCTION("""COMPUTED_VALUE"""),"Batch 341")</f>
        <v>Batch 341</v>
      </c>
      <c r="B7849" s="9" t="str">
        <f>IFERROR(__xludf.DUMMYFUNCTION("""COMPUTED_VALUE"""),"SRC341")</f>
        <v>SRC341</v>
      </c>
      <c r="C7849" s="8">
        <f>IFERROR(__xludf.DUMMYFUNCTION("""COMPUTED_VALUE"""),0.0)</f>
        <v>0</v>
      </c>
      <c r="D7849" s="8"/>
    </row>
    <row r="7850">
      <c r="A7850" s="9" t="str">
        <f>IFERROR(__xludf.DUMMYFUNCTION("""COMPUTED_VALUE"""),"Batch 341")</f>
        <v>Batch 341</v>
      </c>
      <c r="B7850" s="9" t="str">
        <f>IFERROR(__xludf.DUMMYFUNCTION("""COMPUTED_VALUE"""),"AshishC341")</f>
        <v>AshishC341</v>
      </c>
      <c r="C7850" s="8">
        <f>IFERROR(__xludf.DUMMYFUNCTION("""COMPUTED_VALUE"""),0.0)</f>
        <v>0</v>
      </c>
      <c r="D7850" s="8"/>
    </row>
    <row r="7851">
      <c r="A7851" s="9" t="str">
        <f>IFERROR(__xludf.DUMMYFUNCTION("""COMPUTED_VALUE"""),"Batch 341")</f>
        <v>Batch 341</v>
      </c>
      <c r="B7851" s="9" t="str">
        <f>IFERROR(__xludf.DUMMYFUNCTION("""COMPUTED_VALUE"""),"SasiC341")</f>
        <v>SasiC341</v>
      </c>
      <c r="C7851" s="8">
        <f>IFERROR(__xludf.DUMMYFUNCTION("""COMPUTED_VALUE"""),0.0)</f>
        <v>0</v>
      </c>
      <c r="D7851" s="8"/>
    </row>
    <row r="7852">
      <c r="A7852" s="9" t="str">
        <f>IFERROR(__xludf.DUMMYFUNCTION("""COMPUTED_VALUE"""),"Batch 341")</f>
        <v>Batch 341</v>
      </c>
      <c r="B7852" s="9" t="str">
        <f>IFERROR(__xludf.DUMMYFUNCTION("""COMPUTED_VALUE"""),"KushagraC341")</f>
        <v>KushagraC341</v>
      </c>
      <c r="C7852" s="8">
        <f>IFERROR(__xludf.DUMMYFUNCTION("""COMPUTED_VALUE"""),7.0)</f>
        <v>7</v>
      </c>
      <c r="D7852" s="8">
        <f>IFERROR(__xludf.DUMMYFUNCTION("""COMPUTED_VALUE"""),1.0)</f>
        <v>1</v>
      </c>
    </row>
    <row r="7853">
      <c r="A7853" s="9" t="str">
        <f>IFERROR(__xludf.DUMMYFUNCTION("""COMPUTED_VALUE"""),"Batch 341")</f>
        <v>Batch 341</v>
      </c>
      <c r="B7853" s="9" t="str">
        <f>IFERROR(__xludf.DUMMYFUNCTION("""COMPUTED_VALUE"""),"NihaarC341")</f>
        <v>NihaarC341</v>
      </c>
      <c r="C7853" s="8">
        <f>IFERROR(__xludf.DUMMYFUNCTION("""COMPUTED_VALUE"""),0.0)</f>
        <v>0</v>
      </c>
      <c r="D7853" s="8"/>
    </row>
    <row r="7854">
      <c r="A7854" s="9" t="str">
        <f>IFERROR(__xludf.DUMMYFUNCTION("""COMPUTED_VALUE"""),"Batch 341")</f>
        <v>Batch 341</v>
      </c>
      <c r="B7854" s="9" t="str">
        <f>IFERROR(__xludf.DUMMYFUNCTION("""COMPUTED_VALUE"""),"SonaliC341")</f>
        <v>SonaliC341</v>
      </c>
      <c r="C7854" s="8">
        <f>IFERROR(__xludf.DUMMYFUNCTION("""COMPUTED_VALUE"""),5.0)</f>
        <v>5</v>
      </c>
      <c r="D7854" s="8">
        <f>IFERROR(__xludf.DUMMYFUNCTION("""COMPUTED_VALUE"""),3.0)</f>
        <v>3</v>
      </c>
    </row>
    <row r="7855">
      <c r="A7855" s="9" t="str">
        <f>IFERROR(__xludf.DUMMYFUNCTION("""COMPUTED_VALUE"""),"Batch 341")</f>
        <v>Batch 341</v>
      </c>
      <c r="B7855" s="9" t="str">
        <f>IFERROR(__xludf.DUMMYFUNCTION("""COMPUTED_VALUE"""),"AyushC341")</f>
        <v>AyushC341</v>
      </c>
      <c r="C7855" s="8">
        <f>IFERROR(__xludf.DUMMYFUNCTION("""COMPUTED_VALUE"""),0.0)</f>
        <v>0</v>
      </c>
      <c r="D7855" s="8"/>
    </row>
    <row r="7856">
      <c r="A7856" s="9" t="str">
        <f>IFERROR(__xludf.DUMMYFUNCTION("""COMPUTED_VALUE"""),"Batch 341")</f>
        <v>Batch 341</v>
      </c>
      <c r="B7856" s="9" t="str">
        <f>IFERROR(__xludf.DUMMYFUNCTION("""COMPUTED_VALUE"""),"TanmayC341")</f>
        <v>TanmayC341</v>
      </c>
      <c r="C7856" s="8">
        <f>IFERROR(__xludf.DUMMYFUNCTION("""COMPUTED_VALUE"""),0.0)</f>
        <v>0</v>
      </c>
      <c r="D7856" s="8"/>
    </row>
    <row r="7857">
      <c r="A7857" s="9" t="str">
        <f>IFERROR(__xludf.DUMMYFUNCTION("""COMPUTED_VALUE"""),"Batch 341")</f>
        <v>Batch 341</v>
      </c>
      <c r="B7857" s="9" t="str">
        <f>IFERROR(__xludf.DUMMYFUNCTION("""COMPUTED_VALUE"""),"VisheshC341")</f>
        <v>VisheshC341</v>
      </c>
      <c r="C7857" s="8">
        <f>IFERROR(__xludf.DUMMYFUNCTION("""COMPUTED_VALUE"""),0.0)</f>
        <v>0</v>
      </c>
      <c r="D7857" s="8">
        <f>IFERROR(__xludf.DUMMYFUNCTION("""COMPUTED_VALUE"""),1.0)</f>
        <v>1</v>
      </c>
    </row>
    <row r="7858">
      <c r="A7858" s="9" t="str">
        <f>IFERROR(__xludf.DUMMYFUNCTION("""COMPUTED_VALUE"""),"Batch 341")</f>
        <v>Batch 341</v>
      </c>
      <c r="B7858" s="9" t="str">
        <f>IFERROR(__xludf.DUMMYFUNCTION("""COMPUTED_VALUE"""),"DURGESHC341")</f>
        <v>DURGESHC341</v>
      </c>
      <c r="C7858" s="8">
        <f>IFERROR(__xludf.DUMMYFUNCTION("""COMPUTED_VALUE"""),0.0)</f>
        <v>0</v>
      </c>
      <c r="D7858" s="8"/>
    </row>
    <row r="7859">
      <c r="A7859" s="9" t="str">
        <f>IFERROR(__xludf.DUMMYFUNCTION("""COMPUTED_VALUE"""),"Batch 341")</f>
        <v>Batch 341</v>
      </c>
      <c r="B7859" s="9" t="str">
        <f>IFERROR(__xludf.DUMMYFUNCTION("""COMPUTED_VALUE"""),"AjitC341")</f>
        <v>AjitC341</v>
      </c>
      <c r="C7859" s="8">
        <f>IFERROR(__xludf.DUMMYFUNCTION("""COMPUTED_VALUE"""),0.0)</f>
        <v>0</v>
      </c>
      <c r="D7859" s="8"/>
    </row>
    <row r="7860">
      <c r="A7860" s="9" t="str">
        <f>IFERROR(__xludf.DUMMYFUNCTION("""COMPUTED_VALUE"""),"Batch 341")</f>
        <v>Batch 341</v>
      </c>
      <c r="B7860" s="9" t="str">
        <f>IFERROR(__xludf.DUMMYFUNCTION("""COMPUTED_VALUE"""),"SilpaC341")</f>
        <v>SilpaC341</v>
      </c>
      <c r="C7860" s="8">
        <f>IFERROR(__xludf.DUMMYFUNCTION("""COMPUTED_VALUE"""),0.0)</f>
        <v>0</v>
      </c>
      <c r="D7860" s="8"/>
    </row>
    <row r="7861">
      <c r="A7861" s="9" t="str">
        <f>IFERROR(__xludf.DUMMYFUNCTION("""COMPUTED_VALUE"""),"Batch 341")</f>
        <v>Batch 341</v>
      </c>
      <c r="B7861" s="9" t="str">
        <f>IFERROR(__xludf.DUMMYFUNCTION("""COMPUTED_VALUE"""),"KhushiC341")</f>
        <v>KhushiC341</v>
      </c>
      <c r="C7861" s="8">
        <f>IFERROR(__xludf.DUMMYFUNCTION("""COMPUTED_VALUE"""),2.0)</f>
        <v>2</v>
      </c>
      <c r="D7861" s="8">
        <f>IFERROR(__xludf.DUMMYFUNCTION("""COMPUTED_VALUE"""),3.0)</f>
        <v>3</v>
      </c>
    </row>
    <row r="7862">
      <c r="A7862" s="9" t="str">
        <f>IFERROR(__xludf.DUMMYFUNCTION("""COMPUTED_VALUE"""),"Batch 341")</f>
        <v>Batch 341</v>
      </c>
      <c r="B7862" s="9" t="str">
        <f>IFERROR(__xludf.DUMMYFUNCTION("""COMPUTED_VALUE"""),"NandiniC341")</f>
        <v>NandiniC341</v>
      </c>
      <c r="C7862" s="8">
        <f>IFERROR(__xludf.DUMMYFUNCTION("""COMPUTED_VALUE"""),0.0)</f>
        <v>0</v>
      </c>
      <c r="D7862" s="8"/>
    </row>
    <row r="7863">
      <c r="A7863" s="9" t="str">
        <f>IFERROR(__xludf.DUMMYFUNCTION("""COMPUTED_VALUE"""),"Batch 341")</f>
        <v>Batch 341</v>
      </c>
      <c r="B7863" s="9" t="str">
        <f>IFERROR(__xludf.DUMMYFUNCTION("""COMPUTED_VALUE"""),"VaishnaviC341")</f>
        <v>VaishnaviC341</v>
      </c>
      <c r="C7863" s="8">
        <f>IFERROR(__xludf.DUMMYFUNCTION("""COMPUTED_VALUE"""),0.0)</f>
        <v>0</v>
      </c>
      <c r="D7863" s="8"/>
    </row>
    <row r="7864">
      <c r="A7864" s="9" t="str">
        <f>IFERROR(__xludf.DUMMYFUNCTION("""COMPUTED_VALUE"""),"Batch 341")</f>
        <v>Batch 341</v>
      </c>
      <c r="B7864" s="9" t="str">
        <f>IFERROR(__xludf.DUMMYFUNCTION("""COMPUTED_VALUE"""),"NirvikC341")</f>
        <v>NirvikC341</v>
      </c>
      <c r="C7864" s="8">
        <f>IFERROR(__xludf.DUMMYFUNCTION("""COMPUTED_VALUE"""),0.0)</f>
        <v>0</v>
      </c>
      <c r="D7864" s="8"/>
    </row>
    <row r="7865">
      <c r="A7865" s="9" t="str">
        <f>IFERROR(__xludf.DUMMYFUNCTION("""COMPUTED_VALUE"""),"Batch 341")</f>
        <v>Batch 341</v>
      </c>
      <c r="B7865" s="9" t="str">
        <f>IFERROR(__xludf.DUMMYFUNCTION("""COMPUTED_VALUE"""),"PriyadharshiniC341")</f>
        <v>PriyadharshiniC341</v>
      </c>
      <c r="C7865" s="8">
        <f>IFERROR(__xludf.DUMMYFUNCTION("""COMPUTED_VALUE"""),17.0)</f>
        <v>17</v>
      </c>
      <c r="D7865" s="8"/>
    </row>
    <row r="7866">
      <c r="A7866" s="9" t="str">
        <f>IFERROR(__xludf.DUMMYFUNCTION("""COMPUTED_VALUE"""),"Batch 341")</f>
        <v>Batch 341</v>
      </c>
      <c r="B7866" s="9" t="str">
        <f>IFERROR(__xludf.DUMMYFUNCTION("""COMPUTED_VALUE"""),"IshikaC341")</f>
        <v>IshikaC341</v>
      </c>
      <c r="C7866" s="8">
        <f>IFERROR(__xludf.DUMMYFUNCTION("""COMPUTED_VALUE"""),0.0)</f>
        <v>0</v>
      </c>
      <c r="D7866" s="8"/>
    </row>
    <row r="7867">
      <c r="A7867" s="9" t="str">
        <f>IFERROR(__xludf.DUMMYFUNCTION("""COMPUTED_VALUE"""),"Batch 341")</f>
        <v>Batch 341</v>
      </c>
      <c r="B7867" s="9" t="str">
        <f>IFERROR(__xludf.DUMMYFUNCTION("""COMPUTED_VALUE"""),"AnushC341")</f>
        <v>AnushC341</v>
      </c>
      <c r="C7867" s="8">
        <f>IFERROR(__xludf.DUMMYFUNCTION("""COMPUTED_VALUE"""),0.0)</f>
        <v>0</v>
      </c>
      <c r="D7867" s="8"/>
    </row>
    <row r="7868">
      <c r="A7868" s="9" t="str">
        <f>IFERROR(__xludf.DUMMYFUNCTION("""COMPUTED_VALUE"""),"Batch 341")</f>
        <v>Batch 341</v>
      </c>
      <c r="B7868" s="9" t="str">
        <f>IFERROR(__xludf.DUMMYFUNCTION("""COMPUTED_VALUE"""),"C341")</f>
        <v>C341</v>
      </c>
      <c r="C7868" s="8">
        <f>IFERROR(__xludf.DUMMYFUNCTION("""COMPUTED_VALUE"""),0.0)</f>
        <v>0</v>
      </c>
      <c r="D7868" s="8"/>
    </row>
    <row r="7869">
      <c r="A7869" s="9" t="str">
        <f>IFERROR(__xludf.DUMMYFUNCTION("""COMPUTED_VALUE"""),"Batch 341")</f>
        <v>Batch 341</v>
      </c>
      <c r="B7869" s="9" t="str">
        <f>IFERROR(__xludf.DUMMYFUNCTION("""COMPUTED_VALUE"""),"SukhmanpreetC341")</f>
        <v>SukhmanpreetC341</v>
      </c>
      <c r="C7869" s="8">
        <f>IFERROR(__xludf.DUMMYFUNCTION("""COMPUTED_VALUE"""),1.0)</f>
        <v>1</v>
      </c>
      <c r="D7869" s="8"/>
    </row>
    <row r="7870">
      <c r="A7870" s="9" t="str">
        <f>IFERROR(__xludf.DUMMYFUNCTION("""COMPUTED_VALUE"""),"Batch 341")</f>
        <v>Batch 341</v>
      </c>
      <c r="B7870" s="9" t="str">
        <f>IFERROR(__xludf.DUMMYFUNCTION("""COMPUTED_VALUE"""),"ChiragC341")</f>
        <v>ChiragC341</v>
      </c>
      <c r="C7870" s="8">
        <f>IFERROR(__xludf.DUMMYFUNCTION("""COMPUTED_VALUE"""),2.0)</f>
        <v>2</v>
      </c>
      <c r="D7870" s="8">
        <f>IFERROR(__xludf.DUMMYFUNCTION("""COMPUTED_VALUE"""),6.0)</f>
        <v>6</v>
      </c>
    </row>
    <row r="7871">
      <c r="A7871" s="9" t="str">
        <f>IFERROR(__xludf.DUMMYFUNCTION("""COMPUTED_VALUE"""),"Batch 341")</f>
        <v>Batch 341</v>
      </c>
      <c r="B7871" s="9" t="str">
        <f>IFERROR(__xludf.DUMMYFUNCTION("""COMPUTED_VALUE"""),"ManasC341")</f>
        <v>ManasC341</v>
      </c>
      <c r="C7871" s="8">
        <f>IFERROR(__xludf.DUMMYFUNCTION("""COMPUTED_VALUE"""),81.0)</f>
        <v>81</v>
      </c>
      <c r="D7871" s="8">
        <f>IFERROR(__xludf.DUMMYFUNCTION("""COMPUTED_VALUE"""),11.0)</f>
        <v>11</v>
      </c>
    </row>
    <row r="7872">
      <c r="A7872" s="9" t="str">
        <f>IFERROR(__xludf.DUMMYFUNCTION("""COMPUTED_VALUE"""),"Batch 341")</f>
        <v>Batch 341</v>
      </c>
      <c r="B7872" s="9" t="str">
        <f>IFERROR(__xludf.DUMMYFUNCTION("""COMPUTED_VALUE"""),"AnshiC341")</f>
        <v>AnshiC341</v>
      </c>
      <c r="C7872" s="8">
        <f>IFERROR(__xludf.DUMMYFUNCTION("""COMPUTED_VALUE"""),0.0)</f>
        <v>0</v>
      </c>
      <c r="D7872" s="8"/>
    </row>
    <row r="7873">
      <c r="A7873" s="9" t="str">
        <f>IFERROR(__xludf.DUMMYFUNCTION("""COMPUTED_VALUE"""),"Batch 341")</f>
        <v>Batch 341</v>
      </c>
      <c r="B7873" s="9" t="str">
        <f>IFERROR(__xludf.DUMMYFUNCTION("""COMPUTED_VALUE"""),"DebanshiC341")</f>
        <v>DebanshiC341</v>
      </c>
      <c r="C7873" s="8">
        <f>IFERROR(__xludf.DUMMYFUNCTION("""COMPUTED_VALUE"""),0.0)</f>
        <v>0</v>
      </c>
      <c r="D7873" s="8"/>
    </row>
    <row r="7874">
      <c r="A7874" s="9" t="str">
        <f>IFERROR(__xludf.DUMMYFUNCTION("""COMPUTED_VALUE"""),"Batch 341")</f>
        <v>Batch 341</v>
      </c>
      <c r="B7874" s="9" t="str">
        <f>IFERROR(__xludf.DUMMYFUNCTION("""COMPUTED_VALUE"""),"KomalC341")</f>
        <v>KomalC341</v>
      </c>
      <c r="C7874" s="8">
        <f>IFERROR(__xludf.DUMMYFUNCTION("""COMPUTED_VALUE"""),0.0)</f>
        <v>0</v>
      </c>
      <c r="D7874" s="8"/>
    </row>
    <row r="7875">
      <c r="A7875" s="9" t="str">
        <f>IFERROR(__xludf.DUMMYFUNCTION("""COMPUTED_VALUE"""),"Batch 341")</f>
        <v>Batch 341</v>
      </c>
      <c r="B7875" s="9" t="str">
        <f>IFERROR(__xludf.DUMMYFUNCTION("""COMPUTED_VALUE"""),"MeghanaC341")</f>
        <v>MeghanaC341</v>
      </c>
      <c r="C7875" s="8">
        <f>IFERROR(__xludf.DUMMYFUNCTION("""COMPUTED_VALUE"""),0.0)</f>
        <v>0</v>
      </c>
      <c r="D7875" s="8"/>
    </row>
    <row r="7876">
      <c r="A7876" s="9" t="str">
        <f>IFERROR(__xludf.DUMMYFUNCTION("""COMPUTED_VALUE"""),"Batch 341")</f>
        <v>Batch 341</v>
      </c>
      <c r="B7876" s="9" t="str">
        <f>IFERROR(__xludf.DUMMYFUNCTION("""COMPUTED_VALUE"""),"DiyaC341")</f>
        <v>DiyaC341</v>
      </c>
      <c r="C7876" s="8">
        <f>IFERROR(__xludf.DUMMYFUNCTION("""COMPUTED_VALUE"""),0.0)</f>
        <v>0</v>
      </c>
      <c r="D7876" s="8"/>
    </row>
    <row r="7877">
      <c r="A7877" s="9" t="str">
        <f>IFERROR(__xludf.DUMMYFUNCTION("""COMPUTED_VALUE"""),"Batch 341")</f>
        <v>Batch 341</v>
      </c>
      <c r="B7877" s="9" t="str">
        <f>IFERROR(__xludf.DUMMYFUNCTION("""COMPUTED_VALUE"""),"AMRITHAC341")</f>
        <v>AMRITHAC341</v>
      </c>
      <c r="C7877" s="8">
        <f>IFERROR(__xludf.DUMMYFUNCTION("""COMPUTED_VALUE"""),0.0)</f>
        <v>0</v>
      </c>
      <c r="D7877" s="8"/>
    </row>
    <row r="7878">
      <c r="A7878" s="9" t="str">
        <f>IFERROR(__xludf.DUMMYFUNCTION("""COMPUTED_VALUE"""),"Batch 341")</f>
        <v>Batch 341</v>
      </c>
      <c r="B7878" s="9" t="str">
        <f>IFERROR(__xludf.DUMMYFUNCTION("""COMPUTED_VALUE"""),"NitishKC341")</f>
        <v>NitishKC341</v>
      </c>
      <c r="C7878" s="8">
        <f>IFERROR(__xludf.DUMMYFUNCTION("""COMPUTED_VALUE"""),0.0)</f>
        <v>0</v>
      </c>
      <c r="D7878" s="8"/>
    </row>
    <row r="7879">
      <c r="A7879" s="9" t="str">
        <f>IFERROR(__xludf.DUMMYFUNCTION("""COMPUTED_VALUE"""),"Batch 341")</f>
        <v>Batch 341</v>
      </c>
      <c r="B7879" s="9" t="str">
        <f>IFERROR(__xludf.DUMMYFUNCTION("""COMPUTED_VALUE"""),"MdC341")</f>
        <v>MdC341</v>
      </c>
      <c r="C7879" s="8">
        <f>IFERROR(__xludf.DUMMYFUNCTION("""COMPUTED_VALUE"""),0.0)</f>
        <v>0</v>
      </c>
      <c r="D7879" s="8"/>
    </row>
    <row r="7880">
      <c r="A7880" s="9" t="str">
        <f>IFERROR(__xludf.DUMMYFUNCTION("""COMPUTED_VALUE"""),"Batch 341")</f>
        <v>Batch 341</v>
      </c>
      <c r="B7880" s="9" t="str">
        <f>IFERROR(__xludf.DUMMYFUNCTION("""COMPUTED_VALUE"""),"BadamC341")</f>
        <v>BadamC341</v>
      </c>
      <c r="C7880" s="8">
        <f>IFERROR(__xludf.DUMMYFUNCTION("""COMPUTED_VALUE"""),0.0)</f>
        <v>0</v>
      </c>
      <c r="D7880" s="8"/>
    </row>
    <row r="7881">
      <c r="A7881" s="9" t="str">
        <f>IFERROR(__xludf.DUMMYFUNCTION("""COMPUTED_VALUE"""),"Batch 341")</f>
        <v>Batch 341</v>
      </c>
      <c r="B7881" s="9" t="str">
        <f>IFERROR(__xludf.DUMMYFUNCTION("""COMPUTED_VALUE"""),"AhaanaC341")</f>
        <v>AhaanaC341</v>
      </c>
      <c r="C7881" s="8">
        <f>IFERROR(__xludf.DUMMYFUNCTION("""COMPUTED_VALUE"""),0.0)</f>
        <v>0</v>
      </c>
      <c r="D7881" s="8"/>
    </row>
    <row r="7882">
      <c r="A7882" s="9" t="str">
        <f>IFERROR(__xludf.DUMMYFUNCTION("""COMPUTED_VALUE"""),"Batch 341")</f>
        <v>Batch 341</v>
      </c>
      <c r="B7882" s="9" t="str">
        <f>IFERROR(__xludf.DUMMYFUNCTION("""COMPUTED_VALUE"""),"KalyaniC341")</f>
        <v>KalyaniC341</v>
      </c>
      <c r="C7882" s="8">
        <f>IFERROR(__xludf.DUMMYFUNCTION("""COMPUTED_VALUE"""),0.0)</f>
        <v>0</v>
      </c>
      <c r="D7882" s="8"/>
    </row>
    <row r="7883">
      <c r="A7883" s="9" t="str">
        <f>IFERROR(__xludf.DUMMYFUNCTION("""COMPUTED_VALUE"""),"Batch 341")</f>
        <v>Batch 341</v>
      </c>
      <c r="B7883" s="9" t="str">
        <f>IFERROR(__xludf.DUMMYFUNCTION("""COMPUTED_VALUE"""),"SupriyaC341")</f>
        <v>SupriyaC341</v>
      </c>
      <c r="C7883" s="8">
        <f>IFERROR(__xludf.DUMMYFUNCTION("""COMPUTED_VALUE"""),0.0)</f>
        <v>0</v>
      </c>
      <c r="D7883" s="8"/>
    </row>
    <row r="7884">
      <c r="A7884" s="9" t="str">
        <f>IFERROR(__xludf.DUMMYFUNCTION("""COMPUTED_VALUE"""),"Batch 341")</f>
        <v>Batch 341</v>
      </c>
      <c r="B7884" s="9" t="str">
        <f>IFERROR(__xludf.DUMMYFUNCTION("""COMPUTED_VALUE"""),"DurgeshC341")</f>
        <v>DurgeshC341</v>
      </c>
      <c r="C7884" s="8">
        <f>IFERROR(__xludf.DUMMYFUNCTION("""COMPUTED_VALUE"""),0.0)</f>
        <v>0</v>
      </c>
      <c r="D7884" s="8"/>
    </row>
    <row r="7885">
      <c r="A7885" s="9"/>
      <c r="B7885" s="9"/>
      <c r="C7885" s="8">
        <f>IFERROR(__xludf.DUMMYFUNCTION("""COMPUTED_VALUE"""),0.0)</f>
        <v>0</v>
      </c>
      <c r="D7885" s="8"/>
    </row>
    <row r="7886">
      <c r="A7886" s="9" t="str">
        <f>IFERROR(__xludf.DUMMYFUNCTION("""COMPUTED_VALUE"""),"Batch 342")</f>
        <v>Batch 342</v>
      </c>
      <c r="B7886" s="9" t="str">
        <f>IFERROR(__xludf.DUMMYFUNCTION("""COMPUTED_VALUE"""),"YuvraajC342")</f>
        <v>YuvraajC342</v>
      </c>
      <c r="C7886" s="8">
        <f>IFERROR(__xludf.DUMMYFUNCTION("""COMPUTED_VALUE"""),0.0)</f>
        <v>0</v>
      </c>
      <c r="D7886" s="8"/>
    </row>
    <row r="7887">
      <c r="A7887" s="9" t="str">
        <f>IFERROR(__xludf.DUMMYFUNCTION("""COMPUTED_VALUE"""),"Batch 342")</f>
        <v>Batch 342</v>
      </c>
      <c r="B7887" s="9" t="str">
        <f>IFERROR(__xludf.DUMMYFUNCTION("""COMPUTED_VALUE"""),"SamarC342")</f>
        <v>SamarC342</v>
      </c>
      <c r="C7887" s="8">
        <f>IFERROR(__xludf.DUMMYFUNCTION("""COMPUTED_VALUE"""),0.0)</f>
        <v>0</v>
      </c>
      <c r="D7887" s="8"/>
    </row>
    <row r="7888">
      <c r="A7888" s="9" t="str">
        <f>IFERROR(__xludf.DUMMYFUNCTION("""COMPUTED_VALUE"""),"Batch 342")</f>
        <v>Batch 342</v>
      </c>
      <c r="B7888" s="9" t="str">
        <f>IFERROR(__xludf.DUMMYFUNCTION("""COMPUTED_VALUE"""),"ManishC342")</f>
        <v>ManishC342</v>
      </c>
      <c r="C7888" s="8">
        <f>IFERROR(__xludf.DUMMYFUNCTION("""COMPUTED_VALUE"""),0.0)</f>
        <v>0</v>
      </c>
      <c r="D7888" s="8"/>
    </row>
    <row r="7889">
      <c r="A7889" s="9" t="str">
        <f>IFERROR(__xludf.DUMMYFUNCTION("""COMPUTED_VALUE"""),"Batch 342")</f>
        <v>Batch 342</v>
      </c>
      <c r="B7889" s="9" t="str">
        <f>IFERROR(__xludf.DUMMYFUNCTION("""COMPUTED_VALUE"""),"VartikaC342")</f>
        <v>VartikaC342</v>
      </c>
      <c r="C7889" s="8">
        <f>IFERROR(__xludf.DUMMYFUNCTION("""COMPUTED_VALUE"""),0.0)</f>
        <v>0</v>
      </c>
      <c r="D7889" s="8"/>
    </row>
    <row r="7890">
      <c r="A7890" s="9" t="str">
        <f>IFERROR(__xludf.DUMMYFUNCTION("""COMPUTED_VALUE"""),"Batch 342")</f>
        <v>Batch 342</v>
      </c>
      <c r="B7890" s="9" t="str">
        <f>IFERROR(__xludf.DUMMYFUNCTION("""COMPUTED_VALUE"""),"KashishC342")</f>
        <v>KashishC342</v>
      </c>
      <c r="C7890" s="8">
        <f>IFERROR(__xludf.DUMMYFUNCTION("""COMPUTED_VALUE"""),0.0)</f>
        <v>0</v>
      </c>
      <c r="D7890" s="8"/>
    </row>
    <row r="7891">
      <c r="A7891" s="9" t="str">
        <f>IFERROR(__xludf.DUMMYFUNCTION("""COMPUTED_VALUE"""),"Batch 342")</f>
        <v>Batch 342</v>
      </c>
      <c r="B7891" s="9" t="str">
        <f>IFERROR(__xludf.DUMMYFUNCTION("""COMPUTED_VALUE"""),"MeetC342")</f>
        <v>MeetC342</v>
      </c>
      <c r="C7891" s="8">
        <f>IFERROR(__xludf.DUMMYFUNCTION("""COMPUTED_VALUE"""),0.0)</f>
        <v>0</v>
      </c>
      <c r="D7891" s="8"/>
    </row>
    <row r="7892">
      <c r="A7892" s="9" t="str">
        <f>IFERROR(__xludf.DUMMYFUNCTION("""COMPUTED_VALUE"""),"Batch 342")</f>
        <v>Batch 342</v>
      </c>
      <c r="B7892" s="9" t="str">
        <f>IFERROR(__xludf.DUMMYFUNCTION("""COMPUTED_VALUE"""),"ChinmayeeC342")</f>
        <v>ChinmayeeC342</v>
      </c>
      <c r="C7892" s="8">
        <f>IFERROR(__xludf.DUMMYFUNCTION("""COMPUTED_VALUE"""),0.0)</f>
        <v>0</v>
      </c>
      <c r="D7892" s="8"/>
    </row>
    <row r="7893">
      <c r="A7893" s="9" t="str">
        <f>IFERROR(__xludf.DUMMYFUNCTION("""COMPUTED_VALUE"""),"Batch 342")</f>
        <v>Batch 342</v>
      </c>
      <c r="B7893" s="9" t="str">
        <f>IFERROR(__xludf.DUMMYFUNCTION("""COMPUTED_VALUE"""),"VidhiC342")</f>
        <v>VidhiC342</v>
      </c>
      <c r="C7893" s="8">
        <f>IFERROR(__xludf.DUMMYFUNCTION("""COMPUTED_VALUE"""),0.0)</f>
        <v>0</v>
      </c>
      <c r="D7893" s="8"/>
    </row>
    <row r="7894">
      <c r="A7894" s="9" t="str">
        <f>IFERROR(__xludf.DUMMYFUNCTION("""COMPUTED_VALUE"""),"Batch 342")</f>
        <v>Batch 342</v>
      </c>
      <c r="B7894" s="9" t="str">
        <f>IFERROR(__xludf.DUMMYFUNCTION("""COMPUTED_VALUE"""),"SnehaC342")</f>
        <v>SnehaC342</v>
      </c>
      <c r="C7894" s="8">
        <f>IFERROR(__xludf.DUMMYFUNCTION("""COMPUTED_VALUE"""),0.0)</f>
        <v>0</v>
      </c>
      <c r="D7894" s="8"/>
    </row>
    <row r="7895">
      <c r="A7895" s="9" t="str">
        <f>IFERROR(__xludf.DUMMYFUNCTION("""COMPUTED_VALUE"""),"Batch 342")</f>
        <v>Batch 342</v>
      </c>
      <c r="B7895" s="9" t="str">
        <f>IFERROR(__xludf.DUMMYFUNCTION("""COMPUTED_VALUE"""),"GudladonaC342")</f>
        <v>GudladonaC342</v>
      </c>
      <c r="C7895" s="8">
        <f>IFERROR(__xludf.DUMMYFUNCTION("""COMPUTED_VALUE"""),0.0)</f>
        <v>0</v>
      </c>
      <c r="D7895" s="8"/>
    </row>
    <row r="7896">
      <c r="A7896" s="9" t="str">
        <f>IFERROR(__xludf.DUMMYFUNCTION("""COMPUTED_VALUE"""),"Batch 342")</f>
        <v>Batch 342</v>
      </c>
      <c r="B7896" s="9" t="str">
        <f>IFERROR(__xludf.DUMMYFUNCTION("""COMPUTED_VALUE"""),"JalajC342")</f>
        <v>JalajC342</v>
      </c>
      <c r="C7896" s="8">
        <f>IFERROR(__xludf.DUMMYFUNCTION("""COMPUTED_VALUE"""),0.0)</f>
        <v>0</v>
      </c>
      <c r="D7896" s="8"/>
    </row>
    <row r="7897">
      <c r="A7897" s="9" t="str">
        <f>IFERROR(__xludf.DUMMYFUNCTION("""COMPUTED_VALUE"""),"Batch 342")</f>
        <v>Batch 342</v>
      </c>
      <c r="B7897" s="9" t="str">
        <f>IFERROR(__xludf.DUMMYFUNCTION("""COMPUTED_VALUE"""),"TanushreeC342")</f>
        <v>TanushreeC342</v>
      </c>
      <c r="C7897" s="8">
        <f>IFERROR(__xludf.DUMMYFUNCTION("""COMPUTED_VALUE"""),7.0)</f>
        <v>7</v>
      </c>
      <c r="D7897" s="8"/>
    </row>
    <row r="7898">
      <c r="A7898" s="9" t="str">
        <f>IFERROR(__xludf.DUMMYFUNCTION("""COMPUTED_VALUE"""),"Batch 342")</f>
        <v>Batch 342</v>
      </c>
      <c r="B7898" s="9" t="str">
        <f>IFERROR(__xludf.DUMMYFUNCTION("""COMPUTED_VALUE"""),"AryaC342")</f>
        <v>AryaC342</v>
      </c>
      <c r="C7898" s="8">
        <f>IFERROR(__xludf.DUMMYFUNCTION("""COMPUTED_VALUE"""),0.0)</f>
        <v>0</v>
      </c>
      <c r="D7898" s="8"/>
    </row>
    <row r="7899">
      <c r="A7899" s="9" t="str">
        <f>IFERROR(__xludf.DUMMYFUNCTION("""COMPUTED_VALUE"""),"Batch 342")</f>
        <v>Batch 342</v>
      </c>
      <c r="B7899" s="9" t="str">
        <f>IFERROR(__xludf.DUMMYFUNCTION("""COMPUTED_VALUE"""),"SubhadipC342")</f>
        <v>SubhadipC342</v>
      </c>
      <c r="C7899" s="8">
        <f>IFERROR(__xludf.DUMMYFUNCTION("""COMPUTED_VALUE"""),0.0)</f>
        <v>0</v>
      </c>
      <c r="D7899" s="8"/>
    </row>
    <row r="7900">
      <c r="A7900" s="9" t="str">
        <f>IFERROR(__xludf.DUMMYFUNCTION("""COMPUTED_VALUE"""),"Batch 342")</f>
        <v>Batch 342</v>
      </c>
      <c r="B7900" s="9" t="str">
        <f>IFERROR(__xludf.DUMMYFUNCTION("""COMPUTED_VALUE"""),"PiyushC342")</f>
        <v>PiyushC342</v>
      </c>
      <c r="C7900" s="8">
        <f>IFERROR(__xludf.DUMMYFUNCTION("""COMPUTED_VALUE"""),1.0)</f>
        <v>1</v>
      </c>
      <c r="D7900" s="8"/>
    </row>
    <row r="7901">
      <c r="A7901" s="9" t="str">
        <f>IFERROR(__xludf.DUMMYFUNCTION("""COMPUTED_VALUE"""),"Batch 342")</f>
        <v>Batch 342</v>
      </c>
      <c r="B7901" s="9" t="str">
        <f>IFERROR(__xludf.DUMMYFUNCTION("""COMPUTED_VALUE"""),"NishantC342")</f>
        <v>NishantC342</v>
      </c>
      <c r="C7901" s="8">
        <f>IFERROR(__xludf.DUMMYFUNCTION("""COMPUTED_VALUE"""),0.0)</f>
        <v>0</v>
      </c>
      <c r="D7901" s="8"/>
    </row>
    <row r="7902">
      <c r="A7902" s="9" t="str">
        <f>IFERROR(__xludf.DUMMYFUNCTION("""COMPUTED_VALUE"""),"Batch 342")</f>
        <v>Batch 342</v>
      </c>
      <c r="B7902" s="9" t="str">
        <f>IFERROR(__xludf.DUMMYFUNCTION("""COMPUTED_VALUE"""),"ManuC342")</f>
        <v>ManuC342</v>
      </c>
      <c r="C7902" s="8">
        <f>IFERROR(__xludf.DUMMYFUNCTION("""COMPUTED_VALUE"""),1.0)</f>
        <v>1</v>
      </c>
      <c r="D7902" s="8"/>
    </row>
    <row r="7903">
      <c r="A7903" s="9" t="str">
        <f>IFERROR(__xludf.DUMMYFUNCTION("""COMPUTED_VALUE"""),"Batch 342")</f>
        <v>Batch 342</v>
      </c>
      <c r="B7903" s="9" t="str">
        <f>IFERROR(__xludf.DUMMYFUNCTION("""COMPUTED_VALUE"""),"ManishC342")</f>
        <v>ManishC342</v>
      </c>
      <c r="C7903" s="8">
        <f>IFERROR(__xludf.DUMMYFUNCTION("""COMPUTED_VALUE"""),0.0)</f>
        <v>0</v>
      </c>
      <c r="D7903" s="8"/>
    </row>
    <row r="7904">
      <c r="A7904" s="9" t="str">
        <f>IFERROR(__xludf.DUMMYFUNCTION("""COMPUTED_VALUE"""),"Batch 342")</f>
        <v>Batch 342</v>
      </c>
      <c r="B7904" s="9" t="str">
        <f>IFERROR(__xludf.DUMMYFUNCTION("""COMPUTED_VALUE"""),"AyushC342")</f>
        <v>AyushC342</v>
      </c>
      <c r="C7904" s="8">
        <f>IFERROR(__xludf.DUMMYFUNCTION("""COMPUTED_VALUE"""),0.0)</f>
        <v>0</v>
      </c>
      <c r="D7904" s="8"/>
    </row>
    <row r="7905">
      <c r="A7905" s="9" t="str">
        <f>IFERROR(__xludf.DUMMYFUNCTION("""COMPUTED_VALUE"""),"Batch 342")</f>
        <v>Batch 342</v>
      </c>
      <c r="B7905" s="9" t="str">
        <f>IFERROR(__xludf.DUMMYFUNCTION("""COMPUTED_VALUE"""),"PradnyaC342")</f>
        <v>PradnyaC342</v>
      </c>
      <c r="C7905" s="8">
        <f>IFERROR(__xludf.DUMMYFUNCTION("""COMPUTED_VALUE"""),0.0)</f>
        <v>0</v>
      </c>
      <c r="D7905" s="8"/>
    </row>
    <row r="7906">
      <c r="A7906" s="9" t="str">
        <f>IFERROR(__xludf.DUMMYFUNCTION("""COMPUTED_VALUE"""),"Batch 342")</f>
        <v>Batch 342</v>
      </c>
      <c r="B7906" s="9" t="str">
        <f>IFERROR(__xludf.DUMMYFUNCTION("""COMPUTED_VALUE"""),"MuskaanC342")</f>
        <v>MuskaanC342</v>
      </c>
      <c r="C7906" s="8">
        <f>IFERROR(__xludf.DUMMYFUNCTION("""COMPUTED_VALUE"""),0.0)</f>
        <v>0</v>
      </c>
      <c r="D7906" s="8"/>
    </row>
    <row r="7907">
      <c r="A7907" s="9" t="str">
        <f>IFERROR(__xludf.DUMMYFUNCTION("""COMPUTED_VALUE"""),"Batch 342")</f>
        <v>Batch 342</v>
      </c>
      <c r="B7907" s="9" t="str">
        <f>IFERROR(__xludf.DUMMYFUNCTION("""COMPUTED_VALUE"""),"UjjwalC342")</f>
        <v>UjjwalC342</v>
      </c>
      <c r="C7907" s="8">
        <f>IFERROR(__xludf.DUMMYFUNCTION("""COMPUTED_VALUE"""),0.0)</f>
        <v>0</v>
      </c>
      <c r="D7907" s="8"/>
    </row>
    <row r="7908">
      <c r="A7908" s="9" t="str">
        <f>IFERROR(__xludf.DUMMYFUNCTION("""COMPUTED_VALUE"""),"Batch 342")</f>
        <v>Batch 342</v>
      </c>
      <c r="B7908" s="9" t="str">
        <f>IFERROR(__xludf.DUMMYFUNCTION("""COMPUTED_VALUE"""),"SomanjanaC342")</f>
        <v>SomanjanaC342</v>
      </c>
      <c r="C7908" s="8">
        <f>IFERROR(__xludf.DUMMYFUNCTION("""COMPUTED_VALUE"""),0.0)</f>
        <v>0</v>
      </c>
      <c r="D7908" s="8"/>
    </row>
    <row r="7909">
      <c r="A7909" s="9" t="str">
        <f>IFERROR(__xludf.DUMMYFUNCTION("""COMPUTED_VALUE"""),"Batch 342")</f>
        <v>Batch 342</v>
      </c>
      <c r="B7909" s="9" t="str">
        <f>IFERROR(__xludf.DUMMYFUNCTION("""COMPUTED_VALUE"""),"PriyalC342")</f>
        <v>PriyalC342</v>
      </c>
      <c r="C7909" s="8">
        <f>IFERROR(__xludf.DUMMYFUNCTION("""COMPUTED_VALUE"""),0.0)</f>
        <v>0</v>
      </c>
      <c r="D7909" s="8"/>
    </row>
    <row r="7910">
      <c r="A7910" s="9" t="str">
        <f>IFERROR(__xludf.DUMMYFUNCTION("""COMPUTED_VALUE"""),"Batch 342")</f>
        <v>Batch 342</v>
      </c>
      <c r="B7910" s="9" t="str">
        <f>IFERROR(__xludf.DUMMYFUNCTION("""COMPUTED_VALUE"""),"DivyanandC342")</f>
        <v>DivyanandC342</v>
      </c>
      <c r="C7910" s="8">
        <f>IFERROR(__xludf.DUMMYFUNCTION("""COMPUTED_VALUE"""),2.0)</f>
        <v>2</v>
      </c>
      <c r="D7910" s="8"/>
    </row>
    <row r="7911">
      <c r="A7911" s="9" t="str">
        <f>IFERROR(__xludf.DUMMYFUNCTION("""COMPUTED_VALUE"""),"Batch 342")</f>
        <v>Batch 342</v>
      </c>
      <c r="B7911" s="9" t="str">
        <f>IFERROR(__xludf.DUMMYFUNCTION("""COMPUTED_VALUE"""),"SURAJC342")</f>
        <v>SURAJC342</v>
      </c>
      <c r="C7911" s="8">
        <f>IFERROR(__xludf.DUMMYFUNCTION("""COMPUTED_VALUE"""),0.0)</f>
        <v>0</v>
      </c>
      <c r="D7911" s="8"/>
    </row>
    <row r="7912">
      <c r="A7912" s="9" t="str">
        <f>IFERROR(__xludf.DUMMYFUNCTION("""COMPUTED_VALUE"""),"Batch 342")</f>
        <v>Batch 342</v>
      </c>
      <c r="B7912" s="9" t="str">
        <f>IFERROR(__xludf.DUMMYFUNCTION("""COMPUTED_VALUE"""),"LohitakshaC342")</f>
        <v>LohitakshaC342</v>
      </c>
      <c r="C7912" s="8">
        <f>IFERROR(__xludf.DUMMYFUNCTION("""COMPUTED_VALUE"""),2.0)</f>
        <v>2</v>
      </c>
      <c r="D7912" s="8">
        <f>IFERROR(__xludf.DUMMYFUNCTION("""COMPUTED_VALUE"""),1.0)</f>
        <v>1</v>
      </c>
    </row>
    <row r="7913">
      <c r="A7913" s="9" t="str">
        <f>IFERROR(__xludf.DUMMYFUNCTION("""COMPUTED_VALUE"""),"Batch 342")</f>
        <v>Batch 342</v>
      </c>
      <c r="B7913" s="9" t="str">
        <f>IFERROR(__xludf.DUMMYFUNCTION("""COMPUTED_VALUE"""),"ShraddhaC342")</f>
        <v>ShraddhaC342</v>
      </c>
      <c r="C7913" s="8">
        <f>IFERROR(__xludf.DUMMYFUNCTION("""COMPUTED_VALUE"""),2.0)</f>
        <v>2</v>
      </c>
      <c r="D7913" s="8"/>
    </row>
    <row r="7914">
      <c r="A7914" s="9" t="str">
        <f>IFERROR(__xludf.DUMMYFUNCTION("""COMPUTED_VALUE"""),"Batch 342")</f>
        <v>Batch 342</v>
      </c>
      <c r="B7914" s="9" t="str">
        <f>IFERROR(__xludf.DUMMYFUNCTION("""COMPUTED_VALUE"""),"MeghaC342")</f>
        <v>MeghaC342</v>
      </c>
      <c r="C7914" s="8">
        <f>IFERROR(__xludf.DUMMYFUNCTION("""COMPUTED_VALUE"""),0.0)</f>
        <v>0</v>
      </c>
      <c r="D7914" s="8"/>
    </row>
    <row r="7915">
      <c r="A7915" s="9" t="str">
        <f>IFERROR(__xludf.DUMMYFUNCTION("""COMPUTED_VALUE"""),"Batch 342")</f>
        <v>Batch 342</v>
      </c>
      <c r="B7915" s="9" t="str">
        <f>IFERROR(__xludf.DUMMYFUNCTION("""COMPUTED_VALUE"""),"NamanC342")</f>
        <v>NamanC342</v>
      </c>
      <c r="C7915" s="8">
        <f>IFERROR(__xludf.DUMMYFUNCTION("""COMPUTED_VALUE"""),0.0)</f>
        <v>0</v>
      </c>
      <c r="D7915" s="8"/>
    </row>
    <row r="7916">
      <c r="A7916" s="9" t="str">
        <f>IFERROR(__xludf.DUMMYFUNCTION("""COMPUTED_VALUE"""),"Batch 342")</f>
        <v>Batch 342</v>
      </c>
      <c r="B7916" s="9" t="str">
        <f>IFERROR(__xludf.DUMMYFUNCTION("""COMPUTED_VALUE"""),"MohammadC342")</f>
        <v>MohammadC342</v>
      </c>
      <c r="C7916" s="8">
        <f>IFERROR(__xludf.DUMMYFUNCTION("""COMPUTED_VALUE"""),0.0)</f>
        <v>0</v>
      </c>
      <c r="D7916" s="8"/>
    </row>
    <row r="7917">
      <c r="A7917" s="9" t="str">
        <f>IFERROR(__xludf.DUMMYFUNCTION("""COMPUTED_VALUE"""),"Batch 342")</f>
        <v>Batch 342</v>
      </c>
      <c r="B7917" s="9" t="str">
        <f>IFERROR(__xludf.DUMMYFUNCTION("""COMPUTED_VALUE"""),"RishabhC342")</f>
        <v>RishabhC342</v>
      </c>
      <c r="C7917" s="8">
        <f>IFERROR(__xludf.DUMMYFUNCTION("""COMPUTED_VALUE"""),0.0)</f>
        <v>0</v>
      </c>
      <c r="D7917" s="8"/>
    </row>
    <row r="7918">
      <c r="A7918" s="9" t="str">
        <f>IFERROR(__xludf.DUMMYFUNCTION("""COMPUTED_VALUE"""),"Batch 342")</f>
        <v>Batch 342</v>
      </c>
      <c r="B7918" s="9" t="str">
        <f>IFERROR(__xludf.DUMMYFUNCTION("""COMPUTED_VALUE"""),"AnaghaC342")</f>
        <v>AnaghaC342</v>
      </c>
      <c r="C7918" s="8">
        <f>IFERROR(__xludf.DUMMYFUNCTION("""COMPUTED_VALUE"""),3.0)</f>
        <v>3</v>
      </c>
      <c r="D7918" s="8"/>
    </row>
    <row r="7919">
      <c r="A7919" s="9" t="str">
        <f>IFERROR(__xludf.DUMMYFUNCTION("""COMPUTED_VALUE"""),"Batch 342")</f>
        <v>Batch 342</v>
      </c>
      <c r="B7919" s="9" t="str">
        <f>IFERROR(__xludf.DUMMYFUNCTION("""COMPUTED_VALUE"""),"ArnavC342")</f>
        <v>ArnavC342</v>
      </c>
      <c r="C7919" s="8">
        <f>IFERROR(__xludf.DUMMYFUNCTION("""COMPUTED_VALUE"""),0.0)</f>
        <v>0</v>
      </c>
      <c r="D7919" s="8"/>
    </row>
    <row r="7920">
      <c r="A7920" s="9" t="str">
        <f>IFERROR(__xludf.DUMMYFUNCTION("""COMPUTED_VALUE"""),"Batch 342")</f>
        <v>Batch 342</v>
      </c>
      <c r="B7920" s="9" t="str">
        <f>IFERROR(__xludf.DUMMYFUNCTION("""COMPUTED_VALUE"""),"AnkurC342")</f>
        <v>AnkurC342</v>
      </c>
      <c r="C7920" s="8">
        <f>IFERROR(__xludf.DUMMYFUNCTION("""COMPUTED_VALUE"""),0.0)</f>
        <v>0</v>
      </c>
      <c r="D7920" s="8"/>
    </row>
    <row r="7921">
      <c r="A7921" s="9" t="str">
        <f>IFERROR(__xludf.DUMMYFUNCTION("""COMPUTED_VALUE"""),"Batch 342")</f>
        <v>Batch 342</v>
      </c>
      <c r="B7921" s="9" t="str">
        <f>IFERROR(__xludf.DUMMYFUNCTION("""COMPUTED_VALUE"""),"MahekC342")</f>
        <v>MahekC342</v>
      </c>
      <c r="C7921" s="8">
        <f>IFERROR(__xludf.DUMMYFUNCTION("""COMPUTED_VALUE"""),0.0)</f>
        <v>0</v>
      </c>
      <c r="D7921" s="8"/>
    </row>
    <row r="7922">
      <c r="A7922" s="9" t="str">
        <f>IFERROR(__xludf.DUMMYFUNCTION("""COMPUTED_VALUE"""),"Batch 342")</f>
        <v>Batch 342</v>
      </c>
      <c r="B7922" s="9" t="str">
        <f>IFERROR(__xludf.DUMMYFUNCTION("""COMPUTED_VALUE"""),"DevanshiC342")</f>
        <v>DevanshiC342</v>
      </c>
      <c r="C7922" s="8">
        <f>IFERROR(__xludf.DUMMYFUNCTION("""COMPUTED_VALUE"""),0.0)</f>
        <v>0</v>
      </c>
      <c r="D7922" s="8"/>
    </row>
    <row r="7923">
      <c r="A7923" s="9" t="str">
        <f>IFERROR(__xludf.DUMMYFUNCTION("""COMPUTED_VALUE"""),"Batch 342")</f>
        <v>Batch 342</v>
      </c>
      <c r="B7923" s="9" t="str">
        <f>IFERROR(__xludf.DUMMYFUNCTION("""COMPUTED_VALUE"""),"ShouryaC342")</f>
        <v>ShouryaC342</v>
      </c>
      <c r="C7923" s="8">
        <f>IFERROR(__xludf.DUMMYFUNCTION("""COMPUTED_VALUE"""),0.0)</f>
        <v>0</v>
      </c>
      <c r="D7923" s="8"/>
    </row>
    <row r="7924">
      <c r="A7924" s="9" t="str">
        <f>IFERROR(__xludf.DUMMYFUNCTION("""COMPUTED_VALUE"""),"Batch 342")</f>
        <v>Batch 342</v>
      </c>
      <c r="B7924" s="9" t="str">
        <f>IFERROR(__xludf.DUMMYFUNCTION("""COMPUTED_VALUE"""),"KannikaC342")</f>
        <v>KannikaC342</v>
      </c>
      <c r="C7924" s="8">
        <f>IFERROR(__xludf.DUMMYFUNCTION("""COMPUTED_VALUE"""),0.0)</f>
        <v>0</v>
      </c>
      <c r="D7924" s="8"/>
    </row>
    <row r="7925">
      <c r="A7925" s="9" t="str">
        <f>IFERROR(__xludf.DUMMYFUNCTION("""COMPUTED_VALUE"""),"Batch 342")</f>
        <v>Batch 342</v>
      </c>
      <c r="B7925" s="9" t="str">
        <f>IFERROR(__xludf.DUMMYFUNCTION("""COMPUTED_VALUE"""),"EshaC342")</f>
        <v>EshaC342</v>
      </c>
      <c r="C7925" s="8">
        <f>IFERROR(__xludf.DUMMYFUNCTION("""COMPUTED_VALUE"""),0.0)</f>
        <v>0</v>
      </c>
      <c r="D7925" s="8"/>
    </row>
    <row r="7926">
      <c r="A7926" s="9" t="str">
        <f>IFERROR(__xludf.DUMMYFUNCTION("""COMPUTED_VALUE"""),"Batch 342")</f>
        <v>Batch 342</v>
      </c>
      <c r="B7926" s="9" t="str">
        <f>IFERROR(__xludf.DUMMYFUNCTION("""COMPUTED_VALUE"""),"BadalC342")</f>
        <v>BadalC342</v>
      </c>
      <c r="C7926" s="8">
        <f>IFERROR(__xludf.DUMMYFUNCTION("""COMPUTED_VALUE"""),0.0)</f>
        <v>0</v>
      </c>
      <c r="D7926" s="8"/>
    </row>
    <row r="7927">
      <c r="A7927" s="9" t="str">
        <f>IFERROR(__xludf.DUMMYFUNCTION("""COMPUTED_VALUE"""),"Batch 342")</f>
        <v>Batch 342</v>
      </c>
      <c r="B7927" s="9" t="str">
        <f>IFERROR(__xludf.DUMMYFUNCTION("""COMPUTED_VALUE"""),"KartikC342")</f>
        <v>KartikC342</v>
      </c>
      <c r="C7927" s="8">
        <f>IFERROR(__xludf.DUMMYFUNCTION("""COMPUTED_VALUE"""),0.0)</f>
        <v>0</v>
      </c>
      <c r="D7927" s="8"/>
    </row>
    <row r="7928">
      <c r="A7928" s="9" t="str">
        <f>IFERROR(__xludf.DUMMYFUNCTION("""COMPUTED_VALUE"""),"Batch 342")</f>
        <v>Batch 342</v>
      </c>
      <c r="B7928" s="9" t="str">
        <f>IFERROR(__xludf.DUMMYFUNCTION("""COMPUTED_VALUE"""),"ShravanC342")</f>
        <v>ShravanC342</v>
      </c>
      <c r="C7928" s="8">
        <f>IFERROR(__xludf.DUMMYFUNCTION("""COMPUTED_VALUE"""),0.0)</f>
        <v>0</v>
      </c>
      <c r="D7928" s="8"/>
    </row>
    <row r="7929">
      <c r="A7929" s="9" t="str">
        <f>IFERROR(__xludf.DUMMYFUNCTION("""COMPUTED_VALUE"""),"Batch 342")</f>
        <v>Batch 342</v>
      </c>
      <c r="B7929" s="9" t="str">
        <f>IFERROR(__xludf.DUMMYFUNCTION("""COMPUTED_VALUE"""),"SawanC342")</f>
        <v>SawanC342</v>
      </c>
      <c r="C7929" s="8">
        <f>IFERROR(__xludf.DUMMYFUNCTION("""COMPUTED_VALUE"""),0.0)</f>
        <v>0</v>
      </c>
      <c r="D7929" s="8"/>
    </row>
    <row r="7930">
      <c r="A7930" s="9" t="str">
        <f>IFERROR(__xludf.DUMMYFUNCTION("""COMPUTED_VALUE"""),"Batch 342")</f>
        <v>Batch 342</v>
      </c>
      <c r="B7930" s="9" t="str">
        <f>IFERROR(__xludf.DUMMYFUNCTION("""COMPUTED_VALUE"""),"AdarshaC342")</f>
        <v>AdarshaC342</v>
      </c>
      <c r="C7930" s="8">
        <f>IFERROR(__xludf.DUMMYFUNCTION("""COMPUTED_VALUE"""),0.0)</f>
        <v>0</v>
      </c>
      <c r="D7930" s="8"/>
    </row>
    <row r="7931">
      <c r="A7931" s="9" t="str">
        <f>IFERROR(__xludf.DUMMYFUNCTION("""COMPUTED_VALUE"""),"Batch 342")</f>
        <v>Batch 342</v>
      </c>
      <c r="B7931" s="9" t="str">
        <f>IFERROR(__xludf.DUMMYFUNCTION("""COMPUTED_VALUE"""),"SouravC342")</f>
        <v>SouravC342</v>
      </c>
      <c r="C7931" s="8">
        <f>IFERROR(__xludf.DUMMYFUNCTION("""COMPUTED_VALUE"""),0.0)</f>
        <v>0</v>
      </c>
      <c r="D7931" s="8"/>
    </row>
    <row r="7932">
      <c r="A7932" s="9" t="str">
        <f>IFERROR(__xludf.DUMMYFUNCTION("""COMPUTED_VALUE"""),"Batch 342")</f>
        <v>Batch 342</v>
      </c>
      <c r="B7932" s="9" t="str">
        <f>IFERROR(__xludf.DUMMYFUNCTION("""COMPUTED_VALUE"""),"YarneniC342")</f>
        <v>YarneniC342</v>
      </c>
      <c r="C7932" s="8">
        <f>IFERROR(__xludf.DUMMYFUNCTION("""COMPUTED_VALUE"""),11.0)</f>
        <v>11</v>
      </c>
      <c r="D7932" s="8">
        <f>IFERROR(__xludf.DUMMYFUNCTION("""COMPUTED_VALUE"""),1.0)</f>
        <v>1</v>
      </c>
    </row>
    <row r="7933">
      <c r="A7933" s="9" t="str">
        <f>IFERROR(__xludf.DUMMYFUNCTION("""COMPUTED_VALUE"""),"Batch 342")</f>
        <v>Batch 342</v>
      </c>
      <c r="B7933" s="9" t="str">
        <f>IFERROR(__xludf.DUMMYFUNCTION("""COMPUTED_VALUE"""),"DishaC342")</f>
        <v>DishaC342</v>
      </c>
      <c r="C7933" s="8">
        <f>IFERROR(__xludf.DUMMYFUNCTION("""COMPUTED_VALUE"""),12.0)</f>
        <v>12</v>
      </c>
      <c r="D7933" s="8">
        <f>IFERROR(__xludf.DUMMYFUNCTION("""COMPUTED_VALUE"""),4.0)</f>
        <v>4</v>
      </c>
    </row>
    <row r="7934">
      <c r="A7934" s="9" t="str">
        <f>IFERROR(__xludf.DUMMYFUNCTION("""COMPUTED_VALUE"""),"Batch 342")</f>
        <v>Batch 342</v>
      </c>
      <c r="B7934" s="9" t="str">
        <f>IFERROR(__xludf.DUMMYFUNCTION("""COMPUTED_VALUE"""),"NatanshC342")</f>
        <v>NatanshC342</v>
      </c>
      <c r="C7934" s="8">
        <f>IFERROR(__xludf.DUMMYFUNCTION("""COMPUTED_VALUE"""),18.0)</f>
        <v>18</v>
      </c>
      <c r="D7934" s="8"/>
    </row>
    <row r="7935">
      <c r="A7935" s="9" t="str">
        <f>IFERROR(__xludf.DUMMYFUNCTION("""COMPUTED_VALUE"""),"Batch 342")</f>
        <v>Batch 342</v>
      </c>
      <c r="B7935" s="9" t="str">
        <f>IFERROR(__xludf.DUMMYFUNCTION("""COMPUTED_VALUE"""),"SharvarishC342")</f>
        <v>SharvarishC342</v>
      </c>
      <c r="C7935" s="8">
        <f>IFERROR(__xludf.DUMMYFUNCTION("""COMPUTED_VALUE"""),5.0)</f>
        <v>5</v>
      </c>
      <c r="D7935" s="8">
        <f>IFERROR(__xludf.DUMMYFUNCTION("""COMPUTED_VALUE"""),5.0)</f>
        <v>5</v>
      </c>
    </row>
    <row r="7936">
      <c r="A7936" s="9" t="str">
        <f>IFERROR(__xludf.DUMMYFUNCTION("""COMPUTED_VALUE"""),"Batch 342")</f>
        <v>Batch 342</v>
      </c>
      <c r="B7936" s="9" t="str">
        <f>IFERROR(__xludf.DUMMYFUNCTION("""COMPUTED_VALUE"""),"SreejaC342")</f>
        <v>SreejaC342</v>
      </c>
      <c r="C7936" s="8">
        <f>IFERROR(__xludf.DUMMYFUNCTION("""COMPUTED_VALUE"""),0.0)</f>
        <v>0</v>
      </c>
      <c r="D7936" s="8"/>
    </row>
    <row r="7937">
      <c r="A7937" s="9" t="str">
        <f>IFERROR(__xludf.DUMMYFUNCTION("""COMPUTED_VALUE"""),"Batch 342")</f>
        <v>Batch 342</v>
      </c>
      <c r="B7937" s="9" t="str">
        <f>IFERROR(__xludf.DUMMYFUNCTION("""COMPUTED_VALUE"""),"NishthaC342")</f>
        <v>NishthaC342</v>
      </c>
      <c r="C7937" s="8">
        <f>IFERROR(__xludf.DUMMYFUNCTION("""COMPUTED_VALUE"""),0.0)</f>
        <v>0</v>
      </c>
      <c r="D7937" s="8"/>
    </row>
    <row r="7938">
      <c r="A7938" s="9" t="str">
        <f>IFERROR(__xludf.DUMMYFUNCTION("""COMPUTED_VALUE"""),"Batch 342")</f>
        <v>Batch 342</v>
      </c>
      <c r="B7938" s="9" t="str">
        <f>IFERROR(__xludf.DUMMYFUNCTION("""COMPUTED_VALUE"""),"ShahidC342")</f>
        <v>ShahidC342</v>
      </c>
      <c r="C7938" s="8">
        <f>IFERROR(__xludf.DUMMYFUNCTION("""COMPUTED_VALUE"""),0.0)</f>
        <v>0</v>
      </c>
      <c r="D7938" s="8"/>
    </row>
    <row r="7939">
      <c r="A7939" s="9" t="str">
        <f>IFERROR(__xludf.DUMMYFUNCTION("""COMPUTED_VALUE"""),"Batch 342")</f>
        <v>Batch 342</v>
      </c>
      <c r="B7939" s="9" t="str">
        <f>IFERROR(__xludf.DUMMYFUNCTION("""COMPUTED_VALUE"""),"AkshitaC342")</f>
        <v>AkshitaC342</v>
      </c>
      <c r="C7939" s="8">
        <f>IFERROR(__xludf.DUMMYFUNCTION("""COMPUTED_VALUE"""),2.0)</f>
        <v>2</v>
      </c>
      <c r="D7939" s="8"/>
    </row>
    <row r="7940">
      <c r="A7940" s="9" t="str">
        <f>IFERROR(__xludf.DUMMYFUNCTION("""COMPUTED_VALUE"""),"Batch 342")</f>
        <v>Batch 342</v>
      </c>
      <c r="B7940" s="9" t="str">
        <f>IFERROR(__xludf.DUMMYFUNCTION("""COMPUTED_VALUE"""),"ArchitaC342")</f>
        <v>ArchitaC342</v>
      </c>
      <c r="C7940" s="8">
        <f>IFERROR(__xludf.DUMMYFUNCTION("""COMPUTED_VALUE"""),0.0)</f>
        <v>0</v>
      </c>
      <c r="D7940" s="8"/>
    </row>
    <row r="7941">
      <c r="A7941" s="9" t="str">
        <f>IFERROR(__xludf.DUMMYFUNCTION("""COMPUTED_VALUE"""),"Batch 342")</f>
        <v>Batch 342</v>
      </c>
      <c r="B7941" s="9" t="str">
        <f>IFERROR(__xludf.DUMMYFUNCTION("""COMPUTED_VALUE"""),"gowthamC342")</f>
        <v>gowthamC342</v>
      </c>
      <c r="C7941" s="8">
        <f>IFERROR(__xludf.DUMMYFUNCTION("""COMPUTED_VALUE"""),0.0)</f>
        <v>0</v>
      </c>
      <c r="D7941" s="8"/>
    </row>
    <row r="7942">
      <c r="A7942" s="9" t="str">
        <f>IFERROR(__xludf.DUMMYFUNCTION("""COMPUTED_VALUE"""),"Batch 342")</f>
        <v>Batch 342</v>
      </c>
      <c r="B7942" s="9" t="str">
        <f>IFERROR(__xludf.DUMMYFUNCTION("""COMPUTED_VALUE"""),"ArchitaGC342")</f>
        <v>ArchitaGC342</v>
      </c>
      <c r="C7942" s="8">
        <f>IFERROR(__xludf.DUMMYFUNCTION("""COMPUTED_VALUE"""),0.0)</f>
        <v>0</v>
      </c>
      <c r="D7942" s="8"/>
    </row>
    <row r="7943">
      <c r="A7943" s="9" t="str">
        <f>IFERROR(__xludf.DUMMYFUNCTION("""COMPUTED_VALUE"""),"Batch 342")</f>
        <v>Batch 342</v>
      </c>
      <c r="B7943" s="9" t="str">
        <f>IFERROR(__xludf.DUMMYFUNCTION("""COMPUTED_VALUE"""),"IshikaC342")</f>
        <v>IshikaC342</v>
      </c>
      <c r="C7943" s="8">
        <f>IFERROR(__xludf.DUMMYFUNCTION("""COMPUTED_VALUE"""),0.0)</f>
        <v>0</v>
      </c>
      <c r="D7943" s="8"/>
    </row>
    <row r="7944">
      <c r="A7944" s="9" t="str">
        <f>IFERROR(__xludf.DUMMYFUNCTION("""COMPUTED_VALUE"""),"Batch 342")</f>
        <v>Batch 342</v>
      </c>
      <c r="B7944" s="9" t="str">
        <f>IFERROR(__xludf.DUMMYFUNCTION("""COMPUTED_VALUE"""),"MundlapatiC342")</f>
        <v>MundlapatiC342</v>
      </c>
      <c r="C7944" s="8">
        <f>IFERROR(__xludf.DUMMYFUNCTION("""COMPUTED_VALUE"""),0.0)</f>
        <v>0</v>
      </c>
      <c r="D7944" s="8"/>
    </row>
    <row r="7945">
      <c r="A7945" s="9" t="str">
        <f>IFERROR(__xludf.DUMMYFUNCTION("""COMPUTED_VALUE"""),"Batch 342")</f>
        <v>Batch 342</v>
      </c>
      <c r="B7945" s="9" t="str">
        <f>IFERROR(__xludf.DUMMYFUNCTION("""COMPUTED_VALUE"""),"PriyanshiC342")</f>
        <v>PriyanshiC342</v>
      </c>
      <c r="C7945" s="8">
        <f>IFERROR(__xludf.DUMMYFUNCTION("""COMPUTED_VALUE"""),0.0)</f>
        <v>0</v>
      </c>
      <c r="D7945" s="8"/>
    </row>
    <row r="7946">
      <c r="A7946" s="9" t="str">
        <f>IFERROR(__xludf.DUMMYFUNCTION("""COMPUTED_VALUE"""),"Batch 342")</f>
        <v>Batch 342</v>
      </c>
      <c r="B7946" s="9" t="str">
        <f>IFERROR(__xludf.DUMMYFUNCTION("""COMPUTED_VALUE"""),"AyushiC342")</f>
        <v>AyushiC342</v>
      </c>
      <c r="C7946" s="8">
        <f>IFERROR(__xludf.DUMMYFUNCTION("""COMPUTED_VALUE"""),0.0)</f>
        <v>0</v>
      </c>
      <c r="D7946" s="8"/>
    </row>
    <row r="7947">
      <c r="A7947" s="9" t="str">
        <f>IFERROR(__xludf.DUMMYFUNCTION("""COMPUTED_VALUE"""),"Batch 342")</f>
        <v>Batch 342</v>
      </c>
      <c r="B7947" s="9" t="str">
        <f>IFERROR(__xludf.DUMMYFUNCTION("""COMPUTED_VALUE"""),"IshikaSC342")</f>
        <v>IshikaSC342</v>
      </c>
      <c r="C7947" s="8">
        <f>IFERROR(__xludf.DUMMYFUNCTION("""COMPUTED_VALUE"""),0.0)</f>
        <v>0</v>
      </c>
      <c r="D7947" s="8"/>
    </row>
    <row r="7948">
      <c r="A7948" s="9" t="str">
        <f>IFERROR(__xludf.DUMMYFUNCTION("""COMPUTED_VALUE"""),"Batch 342")</f>
        <v>Batch 342</v>
      </c>
      <c r="B7948" s="9" t="str">
        <f>IFERROR(__xludf.DUMMYFUNCTION("""COMPUTED_VALUE"""),"MohammedZC342")</f>
        <v>MohammedZC342</v>
      </c>
      <c r="C7948" s="8">
        <f>IFERROR(__xludf.DUMMYFUNCTION("""COMPUTED_VALUE"""),0.0)</f>
        <v>0</v>
      </c>
      <c r="D7948" s="8"/>
    </row>
    <row r="7949">
      <c r="A7949" s="9" t="str">
        <f>IFERROR(__xludf.DUMMYFUNCTION("""COMPUTED_VALUE"""),"Batch 342")</f>
        <v>Batch 342</v>
      </c>
      <c r="B7949" s="9" t="str">
        <f>IFERROR(__xludf.DUMMYFUNCTION("""COMPUTED_VALUE"""),"SwahumC342")</f>
        <v>SwahumC342</v>
      </c>
      <c r="C7949" s="8">
        <f>IFERROR(__xludf.DUMMYFUNCTION("""COMPUTED_VALUE"""),0.0)</f>
        <v>0</v>
      </c>
      <c r="D7949" s="8"/>
    </row>
    <row r="7950">
      <c r="A7950" s="9" t="str">
        <f>IFERROR(__xludf.DUMMYFUNCTION("""COMPUTED_VALUE"""),"Batch 342")</f>
        <v>Batch 342</v>
      </c>
      <c r="B7950" s="9" t="str">
        <f>IFERROR(__xludf.DUMMYFUNCTION("""COMPUTED_VALUE"""),"RaunakC342")</f>
        <v>RaunakC342</v>
      </c>
      <c r="C7950" s="8">
        <f>IFERROR(__xludf.DUMMYFUNCTION("""COMPUTED_VALUE"""),3.0)</f>
        <v>3</v>
      </c>
      <c r="D7950" s="8"/>
    </row>
    <row r="7951">
      <c r="A7951" s="9" t="str">
        <f>IFERROR(__xludf.DUMMYFUNCTION("""COMPUTED_VALUE"""),"Batch 342")</f>
        <v>Batch 342</v>
      </c>
      <c r="B7951" s="9" t="str">
        <f>IFERROR(__xludf.DUMMYFUNCTION("""COMPUTED_VALUE"""),"NikhilC342")</f>
        <v>NikhilC342</v>
      </c>
      <c r="C7951" s="8">
        <f>IFERROR(__xludf.DUMMYFUNCTION("""COMPUTED_VALUE"""),0.0)</f>
        <v>0</v>
      </c>
      <c r="D7951" s="8"/>
    </row>
    <row r="7952">
      <c r="A7952" s="9" t="str">
        <f>IFERROR(__xludf.DUMMYFUNCTION("""COMPUTED_VALUE"""),"Batch 342")</f>
        <v>Batch 342</v>
      </c>
      <c r="B7952" s="9" t="str">
        <f>IFERROR(__xludf.DUMMYFUNCTION("""COMPUTED_VALUE"""),"KarthikeyaC342")</f>
        <v>KarthikeyaC342</v>
      </c>
      <c r="C7952" s="8">
        <f>IFERROR(__xludf.DUMMYFUNCTION("""COMPUTED_VALUE"""),0.0)</f>
        <v>0</v>
      </c>
      <c r="D7952" s="8"/>
    </row>
    <row r="7953">
      <c r="A7953" s="9" t="str">
        <f>IFERROR(__xludf.DUMMYFUNCTION("""COMPUTED_VALUE"""),"Batch 342")</f>
        <v>Batch 342</v>
      </c>
      <c r="B7953" s="9" t="str">
        <f>IFERROR(__xludf.DUMMYFUNCTION("""COMPUTED_VALUE"""),"ShivamC342")</f>
        <v>ShivamC342</v>
      </c>
      <c r="C7953" s="8">
        <f>IFERROR(__xludf.DUMMYFUNCTION("""COMPUTED_VALUE"""),1.0)</f>
        <v>1</v>
      </c>
      <c r="D7953" s="8"/>
    </row>
    <row r="7954">
      <c r="A7954" s="9" t="str">
        <f>IFERROR(__xludf.DUMMYFUNCTION("""COMPUTED_VALUE"""),"Batch 342")</f>
        <v>Batch 342</v>
      </c>
      <c r="B7954" s="9" t="str">
        <f>IFERROR(__xludf.DUMMYFUNCTION("""COMPUTED_VALUE"""),"RiddhimaC342")</f>
        <v>RiddhimaC342</v>
      </c>
      <c r="C7954" s="8">
        <f>IFERROR(__xludf.DUMMYFUNCTION("""COMPUTED_VALUE"""),0.0)</f>
        <v>0</v>
      </c>
      <c r="D7954" s="8"/>
    </row>
    <row r="7955">
      <c r="A7955" s="9" t="str">
        <f>IFERROR(__xludf.DUMMYFUNCTION("""COMPUTED_VALUE"""),"Batch 342")</f>
        <v>Batch 342</v>
      </c>
      <c r="B7955" s="9" t="str">
        <f>IFERROR(__xludf.DUMMYFUNCTION("""COMPUTED_VALUE"""),"PoorvaC342")</f>
        <v>PoorvaC342</v>
      </c>
      <c r="C7955" s="8">
        <f>IFERROR(__xludf.DUMMYFUNCTION("""COMPUTED_VALUE"""),0.0)</f>
        <v>0</v>
      </c>
      <c r="D7955" s="8"/>
    </row>
    <row r="7956">
      <c r="A7956" s="9" t="str">
        <f>IFERROR(__xludf.DUMMYFUNCTION("""COMPUTED_VALUE"""),"Batch 342")</f>
        <v>Batch 342</v>
      </c>
      <c r="B7956" s="9" t="str">
        <f>IFERROR(__xludf.DUMMYFUNCTION("""COMPUTED_VALUE"""),"BhoomiC342")</f>
        <v>BhoomiC342</v>
      </c>
      <c r="C7956" s="8">
        <f>IFERROR(__xludf.DUMMYFUNCTION("""COMPUTED_VALUE"""),0.0)</f>
        <v>0</v>
      </c>
      <c r="D7956" s="8"/>
    </row>
    <row r="7957">
      <c r="A7957" s="9" t="str">
        <f>IFERROR(__xludf.DUMMYFUNCTION("""COMPUTED_VALUE"""),"Batch 342")</f>
        <v>Batch 342</v>
      </c>
      <c r="B7957" s="9" t="str">
        <f>IFERROR(__xludf.DUMMYFUNCTION("""COMPUTED_VALUE"""),"BhuvaneswariC342")</f>
        <v>BhuvaneswariC342</v>
      </c>
      <c r="C7957" s="8">
        <f>IFERROR(__xludf.DUMMYFUNCTION("""COMPUTED_VALUE"""),0.0)</f>
        <v>0</v>
      </c>
      <c r="D7957" s="8"/>
    </row>
    <row r="7958">
      <c r="A7958" s="9" t="str">
        <f>IFERROR(__xludf.DUMMYFUNCTION("""COMPUTED_VALUE"""),"Batch 342")</f>
        <v>Batch 342</v>
      </c>
      <c r="B7958" s="9" t="str">
        <f>IFERROR(__xludf.DUMMYFUNCTION("""COMPUTED_VALUE"""),"AyushC342")</f>
        <v>AyushC342</v>
      </c>
      <c r="C7958" s="8">
        <f>IFERROR(__xludf.DUMMYFUNCTION("""COMPUTED_VALUE"""),0.0)</f>
        <v>0</v>
      </c>
      <c r="D7958" s="8"/>
    </row>
    <row r="7959">
      <c r="A7959" s="9" t="str">
        <f>IFERROR(__xludf.DUMMYFUNCTION("""COMPUTED_VALUE"""),"Batch 342")</f>
        <v>Batch 342</v>
      </c>
      <c r="B7959" s="9" t="str">
        <f>IFERROR(__xludf.DUMMYFUNCTION("""COMPUTED_VALUE"""),"suhaniC342")</f>
        <v>suhaniC342</v>
      </c>
      <c r="C7959" s="8">
        <f>IFERROR(__xludf.DUMMYFUNCTION("""COMPUTED_VALUE"""),0.0)</f>
        <v>0</v>
      </c>
      <c r="D7959" s="8"/>
    </row>
    <row r="7960">
      <c r="A7960" s="9" t="str">
        <f>IFERROR(__xludf.DUMMYFUNCTION("""COMPUTED_VALUE"""),"Batch 342")</f>
        <v>Batch 342</v>
      </c>
      <c r="B7960" s="9" t="str">
        <f>IFERROR(__xludf.DUMMYFUNCTION("""COMPUTED_VALUE"""),"RadhikaC342")</f>
        <v>RadhikaC342</v>
      </c>
      <c r="C7960" s="8">
        <f>IFERROR(__xludf.DUMMYFUNCTION("""COMPUTED_VALUE"""),0.0)</f>
        <v>0</v>
      </c>
      <c r="D7960" s="8"/>
    </row>
    <row r="7961">
      <c r="A7961" s="9" t="str">
        <f>IFERROR(__xludf.DUMMYFUNCTION("""COMPUTED_VALUE"""),"Batch 342")</f>
        <v>Batch 342</v>
      </c>
      <c r="B7961" s="9" t="str">
        <f>IFERROR(__xludf.DUMMYFUNCTION("""COMPUTED_VALUE"""),"AnshikaC342")</f>
        <v>AnshikaC342</v>
      </c>
      <c r="C7961" s="8">
        <f>IFERROR(__xludf.DUMMYFUNCTION("""COMPUTED_VALUE"""),0.0)</f>
        <v>0</v>
      </c>
      <c r="D7961" s="8"/>
    </row>
    <row r="7962">
      <c r="A7962" s="9" t="str">
        <f>IFERROR(__xludf.DUMMYFUNCTION("""COMPUTED_VALUE"""),"Batch 342")</f>
        <v>Batch 342</v>
      </c>
      <c r="B7962" s="9" t="str">
        <f>IFERROR(__xludf.DUMMYFUNCTION("""COMPUTED_VALUE"""),"BonthuC342")</f>
        <v>BonthuC342</v>
      </c>
      <c r="C7962" s="8">
        <f>IFERROR(__xludf.DUMMYFUNCTION("""COMPUTED_VALUE"""),0.0)</f>
        <v>0</v>
      </c>
      <c r="D7962" s="8"/>
    </row>
    <row r="7963">
      <c r="A7963" s="9" t="str">
        <f>IFERROR(__xludf.DUMMYFUNCTION("""COMPUTED_VALUE"""),"Batch 342")</f>
        <v>Batch 342</v>
      </c>
      <c r="B7963" s="9" t="str">
        <f>IFERROR(__xludf.DUMMYFUNCTION("""COMPUTED_VALUE"""),"UtkarshC342")</f>
        <v>UtkarshC342</v>
      </c>
      <c r="C7963" s="8">
        <f>IFERROR(__xludf.DUMMYFUNCTION("""COMPUTED_VALUE"""),0.0)</f>
        <v>0</v>
      </c>
      <c r="D7963" s="8"/>
    </row>
    <row r="7964">
      <c r="A7964" s="9" t="str">
        <f>IFERROR(__xludf.DUMMYFUNCTION("""COMPUTED_VALUE"""),"Batch 342")</f>
        <v>Batch 342</v>
      </c>
      <c r="B7964" s="9" t="str">
        <f>IFERROR(__xludf.DUMMYFUNCTION("""COMPUTED_VALUE"""),"SudarshanC342")</f>
        <v>SudarshanC342</v>
      </c>
      <c r="C7964" s="8">
        <f>IFERROR(__xludf.DUMMYFUNCTION("""COMPUTED_VALUE"""),1.0)</f>
        <v>1</v>
      </c>
      <c r="D7964" s="8">
        <f>IFERROR(__xludf.DUMMYFUNCTION("""COMPUTED_VALUE"""),2.0)</f>
        <v>2</v>
      </c>
    </row>
    <row r="7965">
      <c r="A7965" s="9" t="str">
        <f>IFERROR(__xludf.DUMMYFUNCTION("""COMPUTED_VALUE"""),"Batch 342")</f>
        <v>Batch 342</v>
      </c>
      <c r="B7965" s="9" t="str">
        <f>IFERROR(__xludf.DUMMYFUNCTION("""COMPUTED_VALUE"""),"AbhinavC342")</f>
        <v>AbhinavC342</v>
      </c>
      <c r="C7965" s="8">
        <f>IFERROR(__xludf.DUMMYFUNCTION("""COMPUTED_VALUE"""),0.0)</f>
        <v>0</v>
      </c>
      <c r="D7965" s="8"/>
    </row>
    <row r="7966">
      <c r="A7966" s="9" t="str">
        <f>IFERROR(__xludf.DUMMYFUNCTION("""COMPUTED_VALUE"""),"Batch 342")</f>
        <v>Batch 342</v>
      </c>
      <c r="B7966" s="9" t="str">
        <f>IFERROR(__xludf.DUMMYFUNCTION("""COMPUTED_VALUE"""),"VikasC342")</f>
        <v>VikasC342</v>
      </c>
      <c r="C7966" s="8">
        <f>IFERROR(__xludf.DUMMYFUNCTION("""COMPUTED_VALUE"""),0.0)</f>
        <v>0</v>
      </c>
      <c r="D7966" s="8"/>
    </row>
    <row r="7967">
      <c r="A7967" s="9" t="str">
        <f>IFERROR(__xludf.DUMMYFUNCTION("""COMPUTED_VALUE"""),"Batch 342")</f>
        <v>Batch 342</v>
      </c>
      <c r="B7967" s="9" t="str">
        <f>IFERROR(__xludf.DUMMYFUNCTION("""COMPUTED_VALUE"""),"HarshitC342")</f>
        <v>HarshitC342</v>
      </c>
      <c r="C7967" s="8">
        <f>IFERROR(__xludf.DUMMYFUNCTION("""COMPUTED_VALUE"""),0.0)</f>
        <v>0</v>
      </c>
      <c r="D7967" s="8"/>
    </row>
    <row r="7968">
      <c r="A7968" s="9" t="str">
        <f>IFERROR(__xludf.DUMMYFUNCTION("""COMPUTED_VALUE"""),"Batch 342")</f>
        <v>Batch 342</v>
      </c>
      <c r="B7968" s="9" t="str">
        <f>IFERROR(__xludf.DUMMYFUNCTION("""COMPUTED_VALUE"""),"ArpitC342")</f>
        <v>ArpitC342</v>
      </c>
      <c r="C7968" s="8">
        <f>IFERROR(__xludf.DUMMYFUNCTION("""COMPUTED_VALUE"""),0.0)</f>
        <v>0</v>
      </c>
      <c r="D7968" s="8"/>
    </row>
    <row r="7969">
      <c r="A7969" s="9" t="str">
        <f>IFERROR(__xludf.DUMMYFUNCTION("""COMPUTED_VALUE"""),"Batch 342")</f>
        <v>Batch 342</v>
      </c>
      <c r="B7969" s="9" t="str">
        <f>IFERROR(__xludf.DUMMYFUNCTION("""COMPUTED_VALUE"""),"HimakshiC342")</f>
        <v>HimakshiC342</v>
      </c>
      <c r="C7969" s="8">
        <f>IFERROR(__xludf.DUMMYFUNCTION("""COMPUTED_VALUE"""),0.0)</f>
        <v>0</v>
      </c>
      <c r="D7969" s="8"/>
    </row>
    <row r="7970">
      <c r="A7970" s="9" t="str">
        <f>IFERROR(__xludf.DUMMYFUNCTION("""COMPUTED_VALUE"""),"Batch 342")</f>
        <v>Batch 342</v>
      </c>
      <c r="B7970" s="9" t="str">
        <f>IFERROR(__xludf.DUMMYFUNCTION("""COMPUTED_VALUE"""),"SaadC342")</f>
        <v>SaadC342</v>
      </c>
      <c r="C7970" s="8">
        <f>IFERROR(__xludf.DUMMYFUNCTION("""COMPUTED_VALUE"""),31.0)</f>
        <v>31</v>
      </c>
      <c r="D7970" s="8"/>
    </row>
    <row r="7971">
      <c r="A7971" s="9" t="str">
        <f>IFERROR(__xludf.DUMMYFUNCTION("""COMPUTED_VALUE"""),"Batch 342")</f>
        <v>Batch 342</v>
      </c>
      <c r="B7971" s="9" t="str">
        <f>IFERROR(__xludf.DUMMYFUNCTION("""COMPUTED_VALUE"""),"DhruvC342")</f>
        <v>DhruvC342</v>
      </c>
      <c r="C7971" s="8">
        <f>IFERROR(__xludf.DUMMYFUNCTION("""COMPUTED_VALUE"""),2.0)</f>
        <v>2</v>
      </c>
      <c r="D7971" s="8"/>
    </row>
    <row r="7972">
      <c r="A7972" s="9" t="str">
        <f>IFERROR(__xludf.DUMMYFUNCTION("""COMPUTED_VALUE"""),"Batch 342")</f>
        <v>Batch 342</v>
      </c>
      <c r="B7972" s="9" t="str">
        <f>IFERROR(__xludf.DUMMYFUNCTION("""COMPUTED_VALUE"""),"AsmitaC342")</f>
        <v>AsmitaC342</v>
      </c>
      <c r="C7972" s="8">
        <f>IFERROR(__xludf.DUMMYFUNCTION("""COMPUTED_VALUE"""),1.0)</f>
        <v>1</v>
      </c>
      <c r="D7972" s="8"/>
    </row>
    <row r="7973">
      <c r="A7973" s="9" t="str">
        <f>IFERROR(__xludf.DUMMYFUNCTION("""COMPUTED_VALUE"""),"Batch 342")</f>
        <v>Batch 342</v>
      </c>
      <c r="B7973" s="9" t="str">
        <f>IFERROR(__xludf.DUMMYFUNCTION("""COMPUTED_VALUE"""),"ShravaniC342")</f>
        <v>ShravaniC342</v>
      </c>
      <c r="C7973" s="8">
        <f>IFERROR(__xludf.DUMMYFUNCTION("""COMPUTED_VALUE"""),0.0)</f>
        <v>0</v>
      </c>
      <c r="D7973" s="8"/>
    </row>
    <row r="7974">
      <c r="A7974" s="9" t="str">
        <f>IFERROR(__xludf.DUMMYFUNCTION("""COMPUTED_VALUE"""),"Batch 342")</f>
        <v>Batch 342</v>
      </c>
      <c r="B7974" s="9" t="str">
        <f>IFERROR(__xludf.DUMMYFUNCTION("""COMPUTED_VALUE"""),"BhumikaC342")</f>
        <v>BhumikaC342</v>
      </c>
      <c r="C7974" s="8">
        <f>IFERROR(__xludf.DUMMYFUNCTION("""COMPUTED_VALUE"""),0.0)</f>
        <v>0</v>
      </c>
      <c r="D7974" s="8"/>
    </row>
    <row r="7975">
      <c r="A7975" s="9" t="str">
        <f>IFERROR(__xludf.DUMMYFUNCTION("""COMPUTED_VALUE"""),"Batch 342")</f>
        <v>Batch 342</v>
      </c>
      <c r="B7975" s="9" t="str">
        <f>IFERROR(__xludf.DUMMYFUNCTION("""COMPUTED_VALUE"""),"KomalC342")</f>
        <v>KomalC342</v>
      </c>
      <c r="C7975" s="8">
        <f>IFERROR(__xludf.DUMMYFUNCTION("""COMPUTED_VALUE"""),0.0)</f>
        <v>0</v>
      </c>
      <c r="D7975" s="8"/>
    </row>
    <row r="7976">
      <c r="A7976" s="9" t="str">
        <f>IFERROR(__xludf.DUMMYFUNCTION("""COMPUTED_VALUE"""),"Batch 342")</f>
        <v>Batch 342</v>
      </c>
      <c r="B7976" s="9" t="str">
        <f>IFERROR(__xludf.DUMMYFUNCTION("""COMPUTED_VALUE"""),"AadyaC342")</f>
        <v>AadyaC342</v>
      </c>
      <c r="C7976" s="8">
        <f>IFERROR(__xludf.DUMMYFUNCTION("""COMPUTED_VALUE"""),0.0)</f>
        <v>0</v>
      </c>
      <c r="D7976" s="8"/>
    </row>
    <row r="7977">
      <c r="A7977" s="9" t="str">
        <f>IFERROR(__xludf.DUMMYFUNCTION("""COMPUTED_VALUE"""),"Batch 342")</f>
        <v>Batch 342</v>
      </c>
      <c r="B7977" s="9" t="str">
        <f>IFERROR(__xludf.DUMMYFUNCTION("""COMPUTED_VALUE"""),"AjayC342")</f>
        <v>AjayC342</v>
      </c>
      <c r="C7977" s="8">
        <f>IFERROR(__xludf.DUMMYFUNCTION("""COMPUTED_VALUE"""),0.0)</f>
        <v>0</v>
      </c>
      <c r="D7977" s="8"/>
    </row>
    <row r="7978">
      <c r="A7978" s="9" t="str">
        <f>IFERROR(__xludf.DUMMYFUNCTION("""COMPUTED_VALUE"""),"Batch 342")</f>
        <v>Batch 342</v>
      </c>
      <c r="B7978" s="9" t="str">
        <f>IFERROR(__xludf.DUMMYFUNCTION("""COMPUTED_VALUE"""),"RaviC342")</f>
        <v>RaviC342</v>
      </c>
      <c r="C7978" s="8">
        <f>IFERROR(__xludf.DUMMYFUNCTION("""COMPUTED_VALUE"""),0.0)</f>
        <v>0</v>
      </c>
      <c r="D7978" s="8"/>
    </row>
    <row r="7979">
      <c r="A7979" s="9" t="str">
        <f>IFERROR(__xludf.DUMMYFUNCTION("""COMPUTED_VALUE"""),"Batch 342")</f>
        <v>Batch 342</v>
      </c>
      <c r="B7979" s="9" t="str">
        <f>IFERROR(__xludf.DUMMYFUNCTION("""COMPUTED_VALUE"""),"LakshmiC342")</f>
        <v>LakshmiC342</v>
      </c>
      <c r="C7979" s="8">
        <f>IFERROR(__xludf.DUMMYFUNCTION("""COMPUTED_VALUE"""),0.0)</f>
        <v>0</v>
      </c>
      <c r="D7979" s="8"/>
    </row>
    <row r="7980">
      <c r="A7980" s="9" t="str">
        <f>IFERROR(__xludf.DUMMYFUNCTION("""COMPUTED_VALUE"""),"Batch 342")</f>
        <v>Batch 342</v>
      </c>
      <c r="B7980" s="9" t="str">
        <f>IFERROR(__xludf.DUMMYFUNCTION("""COMPUTED_VALUE"""),"DheerajC342")</f>
        <v>DheerajC342</v>
      </c>
      <c r="C7980" s="8">
        <f>IFERROR(__xludf.DUMMYFUNCTION("""COMPUTED_VALUE"""),2.0)</f>
        <v>2</v>
      </c>
      <c r="D7980" s="8"/>
    </row>
    <row r="7981">
      <c r="A7981" s="9" t="str">
        <f>IFERROR(__xludf.DUMMYFUNCTION("""COMPUTED_VALUE"""),"Batch 342")</f>
        <v>Batch 342</v>
      </c>
      <c r="B7981" s="9" t="str">
        <f>IFERROR(__xludf.DUMMYFUNCTION("""COMPUTED_VALUE"""),"SrishtiC342")</f>
        <v>SrishtiC342</v>
      </c>
      <c r="C7981" s="8">
        <f>IFERROR(__xludf.DUMMYFUNCTION("""COMPUTED_VALUE"""),0.0)</f>
        <v>0</v>
      </c>
      <c r="D7981" s="8"/>
    </row>
    <row r="7982">
      <c r="A7982" s="9" t="str">
        <f>IFERROR(__xludf.DUMMYFUNCTION("""COMPUTED_VALUE"""),"Batch 342")</f>
        <v>Batch 342</v>
      </c>
      <c r="B7982" s="9" t="str">
        <f>IFERROR(__xludf.DUMMYFUNCTION("""COMPUTED_VALUE"""),"AbeerC342")</f>
        <v>AbeerC342</v>
      </c>
      <c r="C7982" s="8">
        <f>IFERROR(__xludf.DUMMYFUNCTION("""COMPUTED_VALUE"""),0.0)</f>
        <v>0</v>
      </c>
      <c r="D7982" s="8"/>
    </row>
    <row r="7983">
      <c r="A7983" s="9" t="str">
        <f>IFERROR(__xludf.DUMMYFUNCTION("""COMPUTED_VALUE"""),"Batch 342")</f>
        <v>Batch 342</v>
      </c>
      <c r="B7983" s="9" t="str">
        <f>IFERROR(__xludf.DUMMYFUNCTION("""COMPUTED_VALUE"""),"GarvC342")</f>
        <v>GarvC342</v>
      </c>
      <c r="C7983" s="8">
        <f>IFERROR(__xludf.DUMMYFUNCTION("""COMPUTED_VALUE"""),0.0)</f>
        <v>0</v>
      </c>
      <c r="D7983" s="8"/>
    </row>
    <row r="7984">
      <c r="A7984" s="9" t="str">
        <f>IFERROR(__xludf.DUMMYFUNCTION("""COMPUTED_VALUE"""),"Batch 342")</f>
        <v>Batch 342</v>
      </c>
      <c r="B7984" s="9" t="str">
        <f>IFERROR(__xludf.DUMMYFUNCTION("""COMPUTED_VALUE"""),"shrashtiC342")</f>
        <v>shrashtiC342</v>
      </c>
      <c r="C7984" s="8">
        <f>IFERROR(__xludf.DUMMYFUNCTION("""COMPUTED_VALUE"""),3.0)</f>
        <v>3</v>
      </c>
      <c r="D7984" s="8">
        <f>IFERROR(__xludf.DUMMYFUNCTION("""COMPUTED_VALUE"""),1.0)</f>
        <v>1</v>
      </c>
    </row>
    <row r="7985">
      <c r="A7985" s="9" t="str">
        <f>IFERROR(__xludf.DUMMYFUNCTION("""COMPUTED_VALUE"""),"Batch 342")</f>
        <v>Batch 342</v>
      </c>
      <c r="B7985" s="9" t="str">
        <f>IFERROR(__xludf.DUMMYFUNCTION("""COMPUTED_VALUE"""),"ADDEPALLIC342")</f>
        <v>ADDEPALLIC342</v>
      </c>
      <c r="C7985" s="8">
        <f>IFERROR(__xludf.DUMMYFUNCTION("""COMPUTED_VALUE"""),0.0)</f>
        <v>0</v>
      </c>
      <c r="D7985" s="8"/>
    </row>
    <row r="7986">
      <c r="A7986" s="9" t="str">
        <f>IFERROR(__xludf.DUMMYFUNCTION("""COMPUTED_VALUE"""),"Batch 342")</f>
        <v>Batch 342</v>
      </c>
      <c r="B7986" s="9" t="str">
        <f>IFERROR(__xludf.DUMMYFUNCTION("""COMPUTED_VALUE"""),"ShambhaviC342")</f>
        <v>ShambhaviC342</v>
      </c>
      <c r="C7986" s="8">
        <f>IFERROR(__xludf.DUMMYFUNCTION("""COMPUTED_VALUE"""),0.0)</f>
        <v>0</v>
      </c>
      <c r="D7986" s="8"/>
    </row>
    <row r="7987">
      <c r="A7987" s="9" t="str">
        <f>IFERROR(__xludf.DUMMYFUNCTION("""COMPUTED_VALUE"""),"Batch 342")</f>
        <v>Batch 342</v>
      </c>
      <c r="B7987" s="9" t="str">
        <f>IFERROR(__xludf.DUMMYFUNCTION("""COMPUTED_VALUE"""),"ApoorvaC342")</f>
        <v>ApoorvaC342</v>
      </c>
      <c r="C7987" s="8">
        <f>IFERROR(__xludf.DUMMYFUNCTION("""COMPUTED_VALUE"""),0.0)</f>
        <v>0</v>
      </c>
      <c r="D7987" s="8"/>
    </row>
    <row r="7988">
      <c r="A7988" s="9" t="str">
        <f>IFERROR(__xludf.DUMMYFUNCTION("""COMPUTED_VALUE"""),"Batch 342")</f>
        <v>Batch 342</v>
      </c>
      <c r="B7988" s="9" t="str">
        <f>IFERROR(__xludf.DUMMYFUNCTION("""COMPUTED_VALUE"""),"SohailC342")</f>
        <v>SohailC342</v>
      </c>
      <c r="C7988" s="8">
        <f>IFERROR(__xludf.DUMMYFUNCTION("""COMPUTED_VALUE"""),0.0)</f>
        <v>0</v>
      </c>
      <c r="D7988" s="8"/>
    </row>
    <row r="7989">
      <c r="A7989" s="9" t="str">
        <f>IFERROR(__xludf.DUMMYFUNCTION("""COMPUTED_VALUE"""),"Batch 342")</f>
        <v>Batch 342</v>
      </c>
      <c r="B7989" s="9" t="str">
        <f>IFERROR(__xludf.DUMMYFUNCTION("""COMPUTED_VALUE"""),"M.KabeerC342")</f>
        <v>M.KabeerC342</v>
      </c>
      <c r="C7989" s="8">
        <f>IFERROR(__xludf.DUMMYFUNCTION("""COMPUTED_VALUE"""),0.0)</f>
        <v>0</v>
      </c>
      <c r="D7989" s="8"/>
    </row>
    <row r="7990">
      <c r="A7990" s="9" t="str">
        <f>IFERROR(__xludf.DUMMYFUNCTION("""COMPUTED_VALUE"""),"Batch 342")</f>
        <v>Batch 342</v>
      </c>
      <c r="B7990" s="9" t="str">
        <f>IFERROR(__xludf.DUMMYFUNCTION("""COMPUTED_VALUE"""),"YashC342")</f>
        <v>YashC342</v>
      </c>
      <c r="C7990" s="8">
        <f>IFERROR(__xludf.DUMMYFUNCTION("""COMPUTED_VALUE"""),0.0)</f>
        <v>0</v>
      </c>
      <c r="D7990" s="8"/>
    </row>
    <row r="7991">
      <c r="A7991" s="9" t="str">
        <f>IFERROR(__xludf.DUMMYFUNCTION("""COMPUTED_VALUE"""),"Batch 342")</f>
        <v>Batch 342</v>
      </c>
      <c r="B7991" s="9" t="str">
        <f>IFERROR(__xludf.DUMMYFUNCTION("""COMPUTED_VALUE"""),"DheerC342")</f>
        <v>DheerC342</v>
      </c>
      <c r="C7991" s="8">
        <f>IFERROR(__xludf.DUMMYFUNCTION("""COMPUTED_VALUE"""),0.0)</f>
        <v>0</v>
      </c>
      <c r="D7991" s="8"/>
    </row>
    <row r="7992">
      <c r="A7992" s="9" t="str">
        <f>IFERROR(__xludf.DUMMYFUNCTION("""COMPUTED_VALUE"""),"Batch 342")</f>
        <v>Batch 342</v>
      </c>
      <c r="B7992" s="9" t="str">
        <f>IFERROR(__xludf.DUMMYFUNCTION("""COMPUTED_VALUE"""),"EktaC342")</f>
        <v>EktaC342</v>
      </c>
      <c r="C7992" s="8">
        <f>IFERROR(__xludf.DUMMYFUNCTION("""COMPUTED_VALUE"""),0.0)</f>
        <v>0</v>
      </c>
      <c r="D7992" s="8"/>
    </row>
    <row r="7993">
      <c r="A7993" s="9" t="str">
        <f>IFERROR(__xludf.DUMMYFUNCTION("""COMPUTED_VALUE"""),"Batch 342")</f>
        <v>Batch 342</v>
      </c>
      <c r="B7993" s="9" t="str">
        <f>IFERROR(__xludf.DUMMYFUNCTION("""COMPUTED_VALUE"""),"KritarthaC342")</f>
        <v>KritarthaC342</v>
      </c>
      <c r="C7993" s="8">
        <f>IFERROR(__xludf.DUMMYFUNCTION("""COMPUTED_VALUE"""),0.0)</f>
        <v>0</v>
      </c>
      <c r="D7993" s="8"/>
    </row>
    <row r="7994">
      <c r="A7994" s="9" t="str">
        <f>IFERROR(__xludf.DUMMYFUNCTION("""COMPUTED_VALUE"""),"Batch 342")</f>
        <v>Batch 342</v>
      </c>
      <c r="B7994" s="9" t="str">
        <f>IFERROR(__xludf.DUMMYFUNCTION("""COMPUTED_VALUE"""),"AayushC342")</f>
        <v>AayushC342</v>
      </c>
      <c r="C7994" s="8">
        <f>IFERROR(__xludf.DUMMYFUNCTION("""COMPUTED_VALUE"""),0.0)</f>
        <v>0</v>
      </c>
      <c r="D7994" s="8"/>
    </row>
    <row r="7995">
      <c r="A7995" s="9" t="str">
        <f>IFERROR(__xludf.DUMMYFUNCTION("""COMPUTED_VALUE"""),"Batch 342")</f>
        <v>Batch 342</v>
      </c>
      <c r="B7995" s="9" t="str">
        <f>IFERROR(__xludf.DUMMYFUNCTION("""COMPUTED_VALUE"""),"RitikC342")</f>
        <v>RitikC342</v>
      </c>
      <c r="C7995" s="8">
        <f>IFERROR(__xludf.DUMMYFUNCTION("""COMPUTED_VALUE"""),0.0)</f>
        <v>0</v>
      </c>
      <c r="D7995" s="8"/>
    </row>
    <row r="7996">
      <c r="A7996" s="9" t="str">
        <f>IFERROR(__xludf.DUMMYFUNCTION("""COMPUTED_VALUE"""),"Batch 342")</f>
        <v>Batch 342</v>
      </c>
      <c r="B7996" s="9" t="str">
        <f>IFERROR(__xludf.DUMMYFUNCTION("""COMPUTED_VALUE"""),"NIKHILC342")</f>
        <v>NIKHILC342</v>
      </c>
      <c r="C7996" s="8">
        <f>IFERROR(__xludf.DUMMYFUNCTION("""COMPUTED_VALUE"""),0.0)</f>
        <v>0</v>
      </c>
      <c r="D7996" s="8"/>
    </row>
    <row r="7997">
      <c r="A7997" s="9" t="str">
        <f>IFERROR(__xludf.DUMMYFUNCTION("""COMPUTED_VALUE"""),"Batch 342")</f>
        <v>Batch 342</v>
      </c>
      <c r="B7997" s="9" t="str">
        <f>IFERROR(__xludf.DUMMYFUNCTION("""COMPUTED_VALUE"""),"SonamC342")</f>
        <v>SonamC342</v>
      </c>
      <c r="C7997" s="8">
        <f>IFERROR(__xludf.DUMMYFUNCTION("""COMPUTED_VALUE"""),0.0)</f>
        <v>0</v>
      </c>
      <c r="D7997" s="8"/>
    </row>
    <row r="7998">
      <c r="A7998" s="9" t="str">
        <f>IFERROR(__xludf.DUMMYFUNCTION("""COMPUTED_VALUE"""),"Batch 342")</f>
        <v>Batch 342</v>
      </c>
      <c r="B7998" s="9" t="str">
        <f>IFERROR(__xludf.DUMMYFUNCTION("""COMPUTED_VALUE"""),"RiddhiC342")</f>
        <v>RiddhiC342</v>
      </c>
      <c r="C7998" s="8">
        <f>IFERROR(__xludf.DUMMYFUNCTION("""COMPUTED_VALUE"""),0.0)</f>
        <v>0</v>
      </c>
      <c r="D7998" s="8"/>
    </row>
    <row r="7999">
      <c r="A7999" s="9" t="str">
        <f>IFERROR(__xludf.DUMMYFUNCTION("""COMPUTED_VALUE"""),"Batch 342")</f>
        <v>Batch 342</v>
      </c>
      <c r="B7999" s="9" t="str">
        <f>IFERROR(__xludf.DUMMYFUNCTION("""COMPUTED_VALUE"""),"KomalC342")</f>
        <v>KomalC342</v>
      </c>
      <c r="C7999" s="8">
        <f>IFERROR(__xludf.DUMMYFUNCTION("""COMPUTED_VALUE"""),0.0)</f>
        <v>0</v>
      </c>
      <c r="D7999" s="8"/>
    </row>
    <row r="8000">
      <c r="A8000" s="9" t="str">
        <f>IFERROR(__xludf.DUMMYFUNCTION("""COMPUTED_VALUE"""),"Batch 342")</f>
        <v>Batch 342</v>
      </c>
      <c r="B8000" s="9" t="str">
        <f>IFERROR(__xludf.DUMMYFUNCTION("""COMPUTED_VALUE"""),"AditiC342")</f>
        <v>AditiC342</v>
      </c>
      <c r="C8000" s="8">
        <f>IFERROR(__xludf.DUMMYFUNCTION("""COMPUTED_VALUE"""),4.0)</f>
        <v>4</v>
      </c>
      <c r="D8000" s="8"/>
    </row>
    <row r="8001">
      <c r="A8001" s="9" t="str">
        <f>IFERROR(__xludf.DUMMYFUNCTION("""COMPUTED_VALUE"""),"Batch 342")</f>
        <v>Batch 342</v>
      </c>
      <c r="B8001" s="9" t="str">
        <f>IFERROR(__xludf.DUMMYFUNCTION("""COMPUTED_VALUE"""),"AmanC342")</f>
        <v>AmanC342</v>
      </c>
      <c r="C8001" s="8">
        <f>IFERROR(__xludf.DUMMYFUNCTION("""COMPUTED_VALUE"""),0.0)</f>
        <v>0</v>
      </c>
      <c r="D8001" s="8"/>
    </row>
    <row r="8002">
      <c r="A8002" s="9" t="str">
        <f>IFERROR(__xludf.DUMMYFUNCTION("""COMPUTED_VALUE"""),"Batch 342")</f>
        <v>Batch 342</v>
      </c>
      <c r="B8002" s="9" t="str">
        <f>IFERROR(__xludf.DUMMYFUNCTION("""COMPUTED_VALUE"""),"AditiNC342")</f>
        <v>AditiNC342</v>
      </c>
      <c r="C8002" s="8">
        <f>IFERROR(__xludf.DUMMYFUNCTION("""COMPUTED_VALUE"""),0.0)</f>
        <v>0</v>
      </c>
      <c r="D8002" s="8"/>
    </row>
    <row r="8003">
      <c r="A8003" s="9" t="str">
        <f>IFERROR(__xludf.DUMMYFUNCTION("""COMPUTED_VALUE"""),"Batch 342")</f>
        <v>Batch 342</v>
      </c>
      <c r="B8003" s="9" t="str">
        <f>IFERROR(__xludf.DUMMYFUNCTION("""COMPUTED_VALUE"""),"AnjumC342")</f>
        <v>AnjumC342</v>
      </c>
      <c r="C8003" s="8">
        <f>IFERROR(__xludf.DUMMYFUNCTION("""COMPUTED_VALUE"""),0.0)</f>
        <v>0</v>
      </c>
      <c r="D8003" s="8"/>
    </row>
    <row r="8004">
      <c r="A8004" s="9" t="str">
        <f>IFERROR(__xludf.DUMMYFUNCTION("""COMPUTED_VALUE"""),"Batch 342")</f>
        <v>Batch 342</v>
      </c>
      <c r="B8004" s="9" t="str">
        <f>IFERROR(__xludf.DUMMYFUNCTION("""COMPUTED_VALUE"""),"ParthC342")</f>
        <v>ParthC342</v>
      </c>
      <c r="C8004" s="8">
        <f>IFERROR(__xludf.DUMMYFUNCTION("""COMPUTED_VALUE"""),0.0)</f>
        <v>0</v>
      </c>
      <c r="D8004" s="8"/>
    </row>
    <row r="8005">
      <c r="A8005" s="9" t="str">
        <f>IFERROR(__xludf.DUMMYFUNCTION("""COMPUTED_VALUE"""),"Batch 342")</f>
        <v>Batch 342</v>
      </c>
      <c r="B8005" s="9" t="str">
        <f>IFERROR(__xludf.DUMMYFUNCTION("""COMPUTED_VALUE"""),"AnshC342")</f>
        <v>AnshC342</v>
      </c>
      <c r="C8005" s="8">
        <f>IFERROR(__xludf.DUMMYFUNCTION("""COMPUTED_VALUE"""),1.0)</f>
        <v>1</v>
      </c>
      <c r="D8005" s="8"/>
    </row>
    <row r="8006">
      <c r="A8006" s="9" t="str">
        <f>IFERROR(__xludf.DUMMYFUNCTION("""COMPUTED_VALUE"""),"Batch 342")</f>
        <v>Batch 342</v>
      </c>
      <c r="B8006" s="9" t="str">
        <f>IFERROR(__xludf.DUMMYFUNCTION("""COMPUTED_VALUE"""),"KritikaC342")</f>
        <v>KritikaC342</v>
      </c>
      <c r="C8006" s="8">
        <f>IFERROR(__xludf.DUMMYFUNCTION("""COMPUTED_VALUE"""),9.0)</f>
        <v>9</v>
      </c>
      <c r="D8006" s="8">
        <f>IFERROR(__xludf.DUMMYFUNCTION("""COMPUTED_VALUE"""),2.0)</f>
        <v>2</v>
      </c>
    </row>
    <row r="8007">
      <c r="A8007" s="9" t="str">
        <f>IFERROR(__xludf.DUMMYFUNCTION("""COMPUTED_VALUE"""),"Batch 342")</f>
        <v>Batch 342</v>
      </c>
      <c r="B8007" s="9" t="str">
        <f>IFERROR(__xludf.DUMMYFUNCTION("""COMPUTED_VALUE"""),"KunalC342")</f>
        <v>KunalC342</v>
      </c>
      <c r="C8007" s="8">
        <f>IFERROR(__xludf.DUMMYFUNCTION("""COMPUTED_VALUE"""),8.0)</f>
        <v>8</v>
      </c>
      <c r="D8007" s="8">
        <f>IFERROR(__xludf.DUMMYFUNCTION("""COMPUTED_VALUE"""),4.0)</f>
        <v>4</v>
      </c>
    </row>
    <row r="8008">
      <c r="A8008" s="9" t="str">
        <f>IFERROR(__xludf.DUMMYFUNCTION("""COMPUTED_VALUE"""),"Batch 342")</f>
        <v>Batch 342</v>
      </c>
      <c r="B8008" s="9" t="str">
        <f>IFERROR(__xludf.DUMMYFUNCTION("""COMPUTED_VALUE"""),"ManasviC342")</f>
        <v>ManasviC342</v>
      </c>
      <c r="C8008" s="8">
        <f>IFERROR(__xludf.DUMMYFUNCTION("""COMPUTED_VALUE"""),0.0)</f>
        <v>0</v>
      </c>
      <c r="D8008" s="8"/>
    </row>
    <row r="8009">
      <c r="A8009" s="9" t="str">
        <f>IFERROR(__xludf.DUMMYFUNCTION("""COMPUTED_VALUE"""),"Batch 342")</f>
        <v>Batch 342</v>
      </c>
      <c r="B8009" s="9" t="str">
        <f>IFERROR(__xludf.DUMMYFUNCTION("""COMPUTED_VALUE"""),"MamathaC342")</f>
        <v>MamathaC342</v>
      </c>
      <c r="C8009" s="8">
        <f>IFERROR(__xludf.DUMMYFUNCTION("""COMPUTED_VALUE"""),0.0)</f>
        <v>0</v>
      </c>
      <c r="D8009" s="8"/>
    </row>
    <row r="8010">
      <c r="A8010" s="9" t="str">
        <f>IFERROR(__xludf.DUMMYFUNCTION("""COMPUTED_VALUE"""),"Batch 342")</f>
        <v>Batch 342</v>
      </c>
      <c r="B8010" s="9" t="str">
        <f>IFERROR(__xludf.DUMMYFUNCTION("""COMPUTED_VALUE"""),"SwahumC342")</f>
        <v>SwahumC342</v>
      </c>
      <c r="C8010" s="8">
        <f>IFERROR(__xludf.DUMMYFUNCTION("""COMPUTED_VALUE"""),0.0)</f>
        <v>0</v>
      </c>
      <c r="D8010" s="8"/>
    </row>
    <row r="8011">
      <c r="A8011" s="9" t="str">
        <f>IFERROR(__xludf.DUMMYFUNCTION("""COMPUTED_VALUE"""),"Batch 342")</f>
        <v>Batch 342</v>
      </c>
      <c r="B8011" s="9" t="str">
        <f>IFERROR(__xludf.DUMMYFUNCTION("""COMPUTED_VALUE"""),"ShanuC342")</f>
        <v>ShanuC342</v>
      </c>
      <c r="C8011" s="8">
        <f>IFERROR(__xludf.DUMMYFUNCTION("""COMPUTED_VALUE"""),0.0)</f>
        <v>0</v>
      </c>
      <c r="D8011" s="8"/>
    </row>
    <row r="8012">
      <c r="A8012" s="9"/>
      <c r="B8012" s="9"/>
      <c r="C8012" s="8">
        <f>IFERROR(__xludf.DUMMYFUNCTION("""COMPUTED_VALUE"""),0.0)</f>
        <v>0</v>
      </c>
      <c r="D8012" s="8"/>
    </row>
    <row r="8013">
      <c r="A8013" s="9" t="str">
        <f>IFERROR(__xludf.DUMMYFUNCTION("""COMPUTED_VALUE"""),"Batch 343")</f>
        <v>Batch 343</v>
      </c>
      <c r="B8013" s="9" t="str">
        <f>IFERROR(__xludf.DUMMYFUNCTION("""COMPUTED_VALUE"""),"ShakshiC343")</f>
        <v>ShakshiC343</v>
      </c>
      <c r="C8013" s="8">
        <f>IFERROR(__xludf.DUMMYFUNCTION("""COMPUTED_VALUE"""),0.0)</f>
        <v>0</v>
      </c>
      <c r="D8013" s="8"/>
    </row>
    <row r="8014">
      <c r="A8014" s="9" t="str">
        <f>IFERROR(__xludf.DUMMYFUNCTION("""COMPUTED_VALUE"""),"Batch 343")</f>
        <v>Batch 343</v>
      </c>
      <c r="B8014" s="9" t="str">
        <f>IFERROR(__xludf.DUMMYFUNCTION("""COMPUTED_VALUE"""),"PragatiC343")</f>
        <v>PragatiC343</v>
      </c>
      <c r="C8014" s="8">
        <f>IFERROR(__xludf.DUMMYFUNCTION("""COMPUTED_VALUE"""),0.0)</f>
        <v>0</v>
      </c>
      <c r="D8014" s="8"/>
    </row>
    <row r="8015">
      <c r="A8015" s="9" t="str">
        <f>IFERROR(__xludf.DUMMYFUNCTION("""COMPUTED_VALUE"""),"Batch 343")</f>
        <v>Batch 343</v>
      </c>
      <c r="B8015" s="9" t="str">
        <f>IFERROR(__xludf.DUMMYFUNCTION("""COMPUTED_VALUE"""),"AkashC343")</f>
        <v>AkashC343</v>
      </c>
      <c r="C8015" s="8">
        <f>IFERROR(__xludf.DUMMYFUNCTION("""COMPUTED_VALUE"""),0.0)</f>
        <v>0</v>
      </c>
      <c r="D8015" s="8"/>
    </row>
    <row r="8016">
      <c r="A8016" s="9" t="str">
        <f>IFERROR(__xludf.DUMMYFUNCTION("""COMPUTED_VALUE"""),"Batch 343")</f>
        <v>Batch 343</v>
      </c>
      <c r="B8016" s="9" t="str">
        <f>IFERROR(__xludf.DUMMYFUNCTION("""COMPUTED_VALUE"""),"OwaisC343")</f>
        <v>OwaisC343</v>
      </c>
      <c r="C8016" s="8">
        <f>IFERROR(__xludf.DUMMYFUNCTION("""COMPUTED_VALUE"""),0.0)</f>
        <v>0</v>
      </c>
      <c r="D8016" s="8"/>
    </row>
    <row r="8017">
      <c r="A8017" s="9" t="str">
        <f>IFERROR(__xludf.DUMMYFUNCTION("""COMPUTED_VALUE"""),"Batch 343")</f>
        <v>Batch 343</v>
      </c>
      <c r="B8017" s="9" t="str">
        <f>IFERROR(__xludf.DUMMYFUNCTION("""COMPUTED_VALUE"""),"PRIYANSHUC343")</f>
        <v>PRIYANSHUC343</v>
      </c>
      <c r="C8017" s="8">
        <f>IFERROR(__xludf.DUMMYFUNCTION("""COMPUTED_VALUE"""),0.0)</f>
        <v>0</v>
      </c>
      <c r="D8017" s="8"/>
    </row>
    <row r="8018">
      <c r="A8018" s="9" t="str">
        <f>IFERROR(__xludf.DUMMYFUNCTION("""COMPUTED_VALUE"""),"Batch 343")</f>
        <v>Batch 343</v>
      </c>
      <c r="B8018" s="9" t="str">
        <f>IFERROR(__xludf.DUMMYFUNCTION("""COMPUTED_VALUE"""),"Vishwak.pC343")</f>
        <v>Vishwak.pC343</v>
      </c>
      <c r="C8018" s="8">
        <f>IFERROR(__xludf.DUMMYFUNCTION("""COMPUTED_VALUE"""),0.0)</f>
        <v>0</v>
      </c>
      <c r="D8018" s="8"/>
    </row>
    <row r="8019">
      <c r="A8019" s="9" t="str">
        <f>IFERROR(__xludf.DUMMYFUNCTION("""COMPUTED_VALUE"""),"Batch 343")</f>
        <v>Batch 343</v>
      </c>
      <c r="B8019" s="9" t="str">
        <f>IFERROR(__xludf.DUMMYFUNCTION("""COMPUTED_VALUE"""),"ArshC343")</f>
        <v>ArshC343</v>
      </c>
      <c r="C8019" s="8">
        <f>IFERROR(__xludf.DUMMYFUNCTION("""COMPUTED_VALUE"""),0.0)</f>
        <v>0</v>
      </c>
      <c r="D8019" s="8"/>
    </row>
    <row r="8020">
      <c r="A8020" s="9" t="str">
        <f>IFERROR(__xludf.DUMMYFUNCTION("""COMPUTED_VALUE"""),"Batch 343")</f>
        <v>Batch 343</v>
      </c>
      <c r="B8020" s="9" t="str">
        <f>IFERROR(__xludf.DUMMYFUNCTION("""COMPUTED_VALUE"""),"RudraC343")</f>
        <v>RudraC343</v>
      </c>
      <c r="C8020" s="8">
        <f>IFERROR(__xludf.DUMMYFUNCTION("""COMPUTED_VALUE"""),0.0)</f>
        <v>0</v>
      </c>
      <c r="D8020" s="8"/>
    </row>
    <row r="8021">
      <c r="A8021" s="9" t="str">
        <f>IFERROR(__xludf.DUMMYFUNCTION("""COMPUTED_VALUE"""),"Batch 343")</f>
        <v>Batch 343</v>
      </c>
      <c r="B8021" s="9" t="str">
        <f>IFERROR(__xludf.DUMMYFUNCTION("""COMPUTED_VALUE"""),"KritikaC343")</f>
        <v>KritikaC343</v>
      </c>
      <c r="C8021" s="8">
        <f>IFERROR(__xludf.DUMMYFUNCTION("""COMPUTED_VALUE"""),6.0)</f>
        <v>6</v>
      </c>
      <c r="D8021" s="8"/>
    </row>
    <row r="8022">
      <c r="A8022" s="9" t="str">
        <f>IFERROR(__xludf.DUMMYFUNCTION("""COMPUTED_VALUE"""),"Batch 343")</f>
        <v>Batch 343</v>
      </c>
      <c r="B8022" s="9" t="str">
        <f>IFERROR(__xludf.DUMMYFUNCTION("""COMPUTED_VALUE"""),"AyushC343")</f>
        <v>AyushC343</v>
      </c>
      <c r="C8022" s="8">
        <f>IFERROR(__xludf.DUMMYFUNCTION("""COMPUTED_VALUE"""),0.0)</f>
        <v>0</v>
      </c>
      <c r="D8022" s="8"/>
    </row>
    <row r="8023">
      <c r="A8023" s="9" t="str">
        <f>IFERROR(__xludf.DUMMYFUNCTION("""COMPUTED_VALUE"""),"Batch 343")</f>
        <v>Batch 343</v>
      </c>
      <c r="B8023" s="9" t="str">
        <f>IFERROR(__xludf.DUMMYFUNCTION("""COMPUTED_VALUE"""),"AnjaliC343")</f>
        <v>AnjaliC343</v>
      </c>
      <c r="C8023" s="8">
        <f>IFERROR(__xludf.DUMMYFUNCTION("""COMPUTED_VALUE"""),0.0)</f>
        <v>0</v>
      </c>
      <c r="D8023" s="8"/>
    </row>
    <row r="8024">
      <c r="A8024" s="9" t="str">
        <f>IFERROR(__xludf.DUMMYFUNCTION("""COMPUTED_VALUE"""),"Batch 343")</f>
        <v>Batch 343</v>
      </c>
      <c r="B8024" s="9" t="str">
        <f>IFERROR(__xludf.DUMMYFUNCTION("""COMPUTED_VALUE"""),"SanviC343")</f>
        <v>SanviC343</v>
      </c>
      <c r="C8024" s="8">
        <f>IFERROR(__xludf.DUMMYFUNCTION("""COMPUTED_VALUE"""),0.0)</f>
        <v>0</v>
      </c>
      <c r="D8024" s="8"/>
    </row>
    <row r="8025">
      <c r="A8025" s="9" t="str">
        <f>IFERROR(__xludf.DUMMYFUNCTION("""COMPUTED_VALUE"""),"Batch 343")</f>
        <v>Batch 343</v>
      </c>
      <c r="B8025" s="9" t="str">
        <f>IFERROR(__xludf.DUMMYFUNCTION("""COMPUTED_VALUE"""),"TanviC343")</f>
        <v>TanviC343</v>
      </c>
      <c r="C8025" s="8">
        <f>IFERROR(__xludf.DUMMYFUNCTION("""COMPUTED_VALUE"""),0.0)</f>
        <v>0</v>
      </c>
      <c r="D8025" s="8"/>
    </row>
    <row r="8026">
      <c r="A8026" s="9" t="str">
        <f>IFERROR(__xludf.DUMMYFUNCTION("""COMPUTED_VALUE"""),"Batch 343")</f>
        <v>Batch 343</v>
      </c>
      <c r="B8026" s="9" t="str">
        <f>IFERROR(__xludf.DUMMYFUNCTION("""COMPUTED_VALUE"""),"MohitC343")</f>
        <v>MohitC343</v>
      </c>
      <c r="C8026" s="8">
        <f>IFERROR(__xludf.DUMMYFUNCTION("""COMPUTED_VALUE"""),0.0)</f>
        <v>0</v>
      </c>
      <c r="D8026" s="8"/>
    </row>
    <row r="8027">
      <c r="A8027" s="9" t="str">
        <f>IFERROR(__xludf.DUMMYFUNCTION("""COMPUTED_VALUE"""),"Batch 343")</f>
        <v>Batch 343</v>
      </c>
      <c r="B8027" s="9" t="str">
        <f>IFERROR(__xludf.DUMMYFUNCTION("""COMPUTED_VALUE"""),"AavegC343")</f>
        <v>AavegC343</v>
      </c>
      <c r="C8027" s="8">
        <f>IFERROR(__xludf.DUMMYFUNCTION("""COMPUTED_VALUE"""),0.0)</f>
        <v>0</v>
      </c>
      <c r="D8027" s="8"/>
    </row>
    <row r="8028">
      <c r="A8028" s="9" t="str">
        <f>IFERROR(__xludf.DUMMYFUNCTION("""COMPUTED_VALUE"""),"Batch 343")</f>
        <v>Batch 343</v>
      </c>
      <c r="B8028" s="9" t="str">
        <f>IFERROR(__xludf.DUMMYFUNCTION("""COMPUTED_VALUE"""),"JuhiC343")</f>
        <v>JuhiC343</v>
      </c>
      <c r="C8028" s="8">
        <f>IFERROR(__xludf.DUMMYFUNCTION("""COMPUTED_VALUE"""),0.0)</f>
        <v>0</v>
      </c>
      <c r="D8028" s="8"/>
    </row>
    <row r="8029">
      <c r="A8029" s="9" t="str">
        <f>IFERROR(__xludf.DUMMYFUNCTION("""COMPUTED_VALUE"""),"Batch 343")</f>
        <v>Batch 343</v>
      </c>
      <c r="B8029" s="9" t="str">
        <f>IFERROR(__xludf.DUMMYFUNCTION("""COMPUTED_VALUE"""),"ShrawaniC343")</f>
        <v>ShrawaniC343</v>
      </c>
      <c r="C8029" s="8">
        <f>IFERROR(__xludf.DUMMYFUNCTION("""COMPUTED_VALUE"""),0.0)</f>
        <v>0</v>
      </c>
      <c r="D8029" s="8"/>
    </row>
    <row r="8030">
      <c r="A8030" s="9" t="str">
        <f>IFERROR(__xludf.DUMMYFUNCTION("""COMPUTED_VALUE"""),"Batch 343")</f>
        <v>Batch 343</v>
      </c>
      <c r="B8030" s="9" t="str">
        <f>IFERROR(__xludf.DUMMYFUNCTION("""COMPUTED_VALUE"""),"nikhilC343")</f>
        <v>nikhilC343</v>
      </c>
      <c r="C8030" s="8">
        <f>IFERROR(__xludf.DUMMYFUNCTION("""COMPUTED_VALUE"""),0.0)</f>
        <v>0</v>
      </c>
      <c r="D8030" s="8"/>
    </row>
    <row r="8031">
      <c r="A8031" s="9" t="str">
        <f>IFERROR(__xludf.DUMMYFUNCTION("""COMPUTED_VALUE"""),"Batch 343")</f>
        <v>Batch 343</v>
      </c>
      <c r="B8031" s="9" t="str">
        <f>IFERROR(__xludf.DUMMYFUNCTION("""COMPUTED_VALUE"""),"JayC343")</f>
        <v>JayC343</v>
      </c>
      <c r="C8031" s="8">
        <f>IFERROR(__xludf.DUMMYFUNCTION("""COMPUTED_VALUE"""),0.0)</f>
        <v>0</v>
      </c>
      <c r="D8031" s="8"/>
    </row>
    <row r="8032">
      <c r="A8032" s="9" t="str">
        <f>IFERROR(__xludf.DUMMYFUNCTION("""COMPUTED_VALUE"""),"Batch 343")</f>
        <v>Batch 343</v>
      </c>
      <c r="B8032" s="9" t="str">
        <f>IFERROR(__xludf.DUMMYFUNCTION("""COMPUTED_VALUE"""),"DAKSHC343")</f>
        <v>DAKSHC343</v>
      </c>
      <c r="C8032" s="8">
        <f>IFERROR(__xludf.DUMMYFUNCTION("""COMPUTED_VALUE"""),0.0)</f>
        <v>0</v>
      </c>
      <c r="D8032" s="8"/>
    </row>
    <row r="8033">
      <c r="A8033" s="9" t="str">
        <f>IFERROR(__xludf.DUMMYFUNCTION("""COMPUTED_VALUE"""),"Batch 343")</f>
        <v>Batch 343</v>
      </c>
      <c r="B8033" s="9" t="str">
        <f>IFERROR(__xludf.DUMMYFUNCTION("""COMPUTED_VALUE"""),"ShambhaviC343")</f>
        <v>ShambhaviC343</v>
      </c>
      <c r="C8033" s="8">
        <f>IFERROR(__xludf.DUMMYFUNCTION("""COMPUTED_VALUE"""),0.0)</f>
        <v>0</v>
      </c>
      <c r="D8033" s="8"/>
    </row>
    <row r="8034">
      <c r="A8034" s="9" t="str">
        <f>IFERROR(__xludf.DUMMYFUNCTION("""COMPUTED_VALUE"""),"Batch 343")</f>
        <v>Batch 343</v>
      </c>
      <c r="B8034" s="9" t="str">
        <f>IFERROR(__xludf.DUMMYFUNCTION("""COMPUTED_VALUE"""),"ArnavC343")</f>
        <v>ArnavC343</v>
      </c>
      <c r="C8034" s="8">
        <f>IFERROR(__xludf.DUMMYFUNCTION("""COMPUTED_VALUE"""),1.0)</f>
        <v>1</v>
      </c>
      <c r="D8034" s="8"/>
    </row>
    <row r="8035">
      <c r="A8035" s="9" t="str">
        <f>IFERROR(__xludf.DUMMYFUNCTION("""COMPUTED_VALUE"""),"Batch 343")</f>
        <v>Batch 343</v>
      </c>
      <c r="B8035" s="9" t="str">
        <f>IFERROR(__xludf.DUMMYFUNCTION("""COMPUTED_VALUE"""),"AjitC343")</f>
        <v>AjitC343</v>
      </c>
      <c r="C8035" s="8">
        <f>IFERROR(__xludf.DUMMYFUNCTION("""COMPUTED_VALUE"""),0.0)</f>
        <v>0</v>
      </c>
      <c r="D8035" s="8"/>
    </row>
    <row r="8036">
      <c r="A8036" s="9" t="str">
        <f>IFERROR(__xludf.DUMMYFUNCTION("""COMPUTED_VALUE"""),"Batch 343")</f>
        <v>Batch 343</v>
      </c>
      <c r="B8036" s="9" t="str">
        <f>IFERROR(__xludf.DUMMYFUNCTION("""COMPUTED_VALUE"""),"KilliC343")</f>
        <v>KilliC343</v>
      </c>
      <c r="C8036" s="8">
        <f>IFERROR(__xludf.DUMMYFUNCTION("""COMPUTED_VALUE"""),0.0)</f>
        <v>0</v>
      </c>
      <c r="D8036" s="8">
        <f>IFERROR(__xludf.DUMMYFUNCTION("""COMPUTED_VALUE"""),6.0)</f>
        <v>6</v>
      </c>
    </row>
    <row r="8037">
      <c r="A8037" s="9" t="str">
        <f>IFERROR(__xludf.DUMMYFUNCTION("""COMPUTED_VALUE"""),"Batch 343")</f>
        <v>Batch 343</v>
      </c>
      <c r="B8037" s="9" t="str">
        <f>IFERROR(__xludf.DUMMYFUNCTION("""COMPUTED_VALUE"""),"SauravC343")</f>
        <v>SauravC343</v>
      </c>
      <c r="C8037" s="8">
        <f>IFERROR(__xludf.DUMMYFUNCTION("""COMPUTED_VALUE"""),0.0)</f>
        <v>0</v>
      </c>
      <c r="D8037" s="8"/>
    </row>
    <row r="8038">
      <c r="A8038" s="9" t="str">
        <f>IFERROR(__xludf.DUMMYFUNCTION("""COMPUTED_VALUE"""),"Batch 343")</f>
        <v>Batch 343</v>
      </c>
      <c r="B8038" s="9" t="str">
        <f>IFERROR(__xludf.DUMMYFUNCTION("""COMPUTED_VALUE"""),"HanishaC343")</f>
        <v>HanishaC343</v>
      </c>
      <c r="C8038" s="8">
        <f>IFERROR(__xludf.DUMMYFUNCTION("""COMPUTED_VALUE"""),0.0)</f>
        <v>0</v>
      </c>
      <c r="D8038" s="8"/>
    </row>
    <row r="8039">
      <c r="A8039" s="9" t="str">
        <f>IFERROR(__xludf.DUMMYFUNCTION("""COMPUTED_VALUE"""),"Batch 343")</f>
        <v>Batch 343</v>
      </c>
      <c r="B8039" s="9" t="str">
        <f>IFERROR(__xludf.DUMMYFUNCTION("""COMPUTED_VALUE"""),"GousC343")</f>
        <v>GousC343</v>
      </c>
      <c r="C8039" s="8">
        <f>IFERROR(__xludf.DUMMYFUNCTION("""COMPUTED_VALUE"""),0.0)</f>
        <v>0</v>
      </c>
      <c r="D8039" s="8"/>
    </row>
    <row r="8040">
      <c r="A8040" s="9" t="str">
        <f>IFERROR(__xludf.DUMMYFUNCTION("""COMPUTED_VALUE"""),"Batch 343")</f>
        <v>Batch 343</v>
      </c>
      <c r="B8040" s="9" t="str">
        <f>IFERROR(__xludf.DUMMYFUNCTION("""COMPUTED_VALUE"""),"PriyanshiC343")</f>
        <v>PriyanshiC343</v>
      </c>
      <c r="C8040" s="8">
        <f>IFERROR(__xludf.DUMMYFUNCTION("""COMPUTED_VALUE"""),0.0)</f>
        <v>0</v>
      </c>
      <c r="D8040" s="8"/>
    </row>
    <row r="8041">
      <c r="A8041" s="9" t="str">
        <f>IFERROR(__xludf.DUMMYFUNCTION("""COMPUTED_VALUE"""),"Batch 343")</f>
        <v>Batch 343</v>
      </c>
      <c r="B8041" s="9" t="str">
        <f>IFERROR(__xludf.DUMMYFUNCTION("""COMPUTED_VALUE"""),"SiyaC343")</f>
        <v>SiyaC343</v>
      </c>
      <c r="C8041" s="8">
        <f>IFERROR(__xludf.DUMMYFUNCTION("""COMPUTED_VALUE"""),0.0)</f>
        <v>0</v>
      </c>
      <c r="D8041" s="8"/>
    </row>
    <row r="8042">
      <c r="A8042" s="9" t="str">
        <f>IFERROR(__xludf.DUMMYFUNCTION("""COMPUTED_VALUE"""),"Batch 343")</f>
        <v>Batch 343</v>
      </c>
      <c r="B8042" s="9" t="str">
        <f>IFERROR(__xludf.DUMMYFUNCTION("""COMPUTED_VALUE"""),"JayshreeC343")</f>
        <v>JayshreeC343</v>
      </c>
      <c r="C8042" s="8">
        <f>IFERROR(__xludf.DUMMYFUNCTION("""COMPUTED_VALUE"""),0.0)</f>
        <v>0</v>
      </c>
      <c r="D8042" s="8"/>
    </row>
    <row r="8043">
      <c r="A8043" s="9" t="str">
        <f>IFERROR(__xludf.DUMMYFUNCTION("""COMPUTED_VALUE"""),"Batch 343")</f>
        <v>Batch 343</v>
      </c>
      <c r="B8043" s="9" t="str">
        <f>IFERROR(__xludf.DUMMYFUNCTION("""COMPUTED_VALUE"""),"IshitaC343")</f>
        <v>IshitaC343</v>
      </c>
      <c r="C8043" s="8">
        <f>IFERROR(__xludf.DUMMYFUNCTION("""COMPUTED_VALUE"""),0.0)</f>
        <v>0</v>
      </c>
      <c r="D8043" s="8"/>
    </row>
    <row r="8044">
      <c r="A8044" s="9" t="str">
        <f>IFERROR(__xludf.DUMMYFUNCTION("""COMPUTED_VALUE"""),"Batch 343")</f>
        <v>Batch 343</v>
      </c>
      <c r="B8044" s="9" t="str">
        <f>IFERROR(__xludf.DUMMYFUNCTION("""COMPUTED_VALUE"""),"DeyaC343")</f>
        <v>DeyaC343</v>
      </c>
      <c r="C8044" s="8">
        <f>IFERROR(__xludf.DUMMYFUNCTION("""COMPUTED_VALUE"""),4.0)</f>
        <v>4</v>
      </c>
      <c r="D8044" s="8"/>
    </row>
    <row r="8045">
      <c r="A8045" s="9" t="str">
        <f>IFERROR(__xludf.DUMMYFUNCTION("""COMPUTED_VALUE"""),"Batch 343")</f>
        <v>Batch 343</v>
      </c>
      <c r="B8045" s="9" t="str">
        <f>IFERROR(__xludf.DUMMYFUNCTION("""COMPUTED_VALUE"""),"RamnareshC343")</f>
        <v>RamnareshC343</v>
      </c>
      <c r="C8045" s="8">
        <f>IFERROR(__xludf.DUMMYFUNCTION("""COMPUTED_VALUE"""),0.0)</f>
        <v>0</v>
      </c>
      <c r="D8045" s="8"/>
    </row>
    <row r="8046">
      <c r="A8046" s="9" t="str">
        <f>IFERROR(__xludf.DUMMYFUNCTION("""COMPUTED_VALUE"""),"Batch 343")</f>
        <v>Batch 343</v>
      </c>
      <c r="B8046" s="9" t="str">
        <f>IFERROR(__xludf.DUMMYFUNCTION("""COMPUTED_VALUE"""),"DashmeetC343")</f>
        <v>DashmeetC343</v>
      </c>
      <c r="C8046" s="8">
        <f>IFERROR(__xludf.DUMMYFUNCTION("""COMPUTED_VALUE"""),2.0)</f>
        <v>2</v>
      </c>
      <c r="D8046" s="8">
        <f>IFERROR(__xludf.DUMMYFUNCTION("""COMPUTED_VALUE"""),1.0)</f>
        <v>1</v>
      </c>
    </row>
    <row r="8047">
      <c r="A8047" s="9" t="str">
        <f>IFERROR(__xludf.DUMMYFUNCTION("""COMPUTED_VALUE"""),"Batch 343")</f>
        <v>Batch 343</v>
      </c>
      <c r="B8047" s="9" t="str">
        <f>IFERROR(__xludf.DUMMYFUNCTION("""COMPUTED_VALUE"""),"RajatC343")</f>
        <v>RajatC343</v>
      </c>
      <c r="C8047" s="8">
        <f>IFERROR(__xludf.DUMMYFUNCTION("""COMPUTED_VALUE"""),5.0)</f>
        <v>5</v>
      </c>
      <c r="D8047" s="8"/>
    </row>
    <row r="8048">
      <c r="A8048" s="9" t="str">
        <f>IFERROR(__xludf.DUMMYFUNCTION("""COMPUTED_VALUE"""),"Batch 343")</f>
        <v>Batch 343</v>
      </c>
      <c r="B8048" s="9" t="str">
        <f>IFERROR(__xludf.DUMMYFUNCTION("""COMPUTED_VALUE"""),"ShubhamC343")</f>
        <v>ShubhamC343</v>
      </c>
      <c r="C8048" s="8">
        <f>IFERROR(__xludf.DUMMYFUNCTION("""COMPUTED_VALUE"""),0.0)</f>
        <v>0</v>
      </c>
      <c r="D8048" s="8"/>
    </row>
    <row r="8049">
      <c r="A8049" s="9" t="str">
        <f>IFERROR(__xludf.DUMMYFUNCTION("""COMPUTED_VALUE"""),"Batch 343")</f>
        <v>Batch 343</v>
      </c>
      <c r="B8049" s="9" t="str">
        <f>IFERROR(__xludf.DUMMYFUNCTION("""COMPUTED_VALUE"""),"TanishaC343")</f>
        <v>TanishaC343</v>
      </c>
      <c r="C8049" s="8">
        <f>IFERROR(__xludf.DUMMYFUNCTION("""COMPUTED_VALUE"""),0.0)</f>
        <v>0</v>
      </c>
      <c r="D8049" s="8"/>
    </row>
    <row r="8050">
      <c r="A8050" s="9" t="str">
        <f>IFERROR(__xludf.DUMMYFUNCTION("""COMPUTED_VALUE"""),"Batch 343")</f>
        <v>Batch 343</v>
      </c>
      <c r="B8050" s="9" t="str">
        <f>IFERROR(__xludf.DUMMYFUNCTION("""COMPUTED_VALUE"""),"AbhishekC343")</f>
        <v>AbhishekC343</v>
      </c>
      <c r="C8050" s="8">
        <f>IFERROR(__xludf.DUMMYFUNCTION("""COMPUTED_VALUE"""),0.0)</f>
        <v>0</v>
      </c>
      <c r="D8050" s="8"/>
    </row>
    <row r="8051">
      <c r="A8051" s="9" t="str">
        <f>IFERROR(__xludf.DUMMYFUNCTION("""COMPUTED_VALUE"""),"Batch 343")</f>
        <v>Batch 343</v>
      </c>
      <c r="B8051" s="9" t="str">
        <f>IFERROR(__xludf.DUMMYFUNCTION("""COMPUTED_VALUE"""),"anujC343")</f>
        <v>anujC343</v>
      </c>
      <c r="C8051" s="8">
        <f>IFERROR(__xludf.DUMMYFUNCTION("""COMPUTED_VALUE"""),0.0)</f>
        <v>0</v>
      </c>
      <c r="D8051" s="8"/>
    </row>
    <row r="8052">
      <c r="A8052" s="9" t="str">
        <f>IFERROR(__xludf.DUMMYFUNCTION("""COMPUTED_VALUE"""),"Batch 343")</f>
        <v>Batch 343</v>
      </c>
      <c r="B8052" s="9" t="str">
        <f>IFERROR(__xludf.DUMMYFUNCTION("""COMPUTED_VALUE"""),"TanuC343")</f>
        <v>TanuC343</v>
      </c>
      <c r="C8052" s="8">
        <f>IFERROR(__xludf.DUMMYFUNCTION("""COMPUTED_VALUE"""),0.0)</f>
        <v>0</v>
      </c>
      <c r="D8052" s="8"/>
    </row>
    <row r="8053">
      <c r="A8053" s="9" t="str">
        <f>IFERROR(__xludf.DUMMYFUNCTION("""COMPUTED_VALUE"""),"Batch 343")</f>
        <v>Batch 343</v>
      </c>
      <c r="B8053" s="9" t="str">
        <f>IFERROR(__xludf.DUMMYFUNCTION("""COMPUTED_VALUE"""),"RichaC343")</f>
        <v>RichaC343</v>
      </c>
      <c r="C8053" s="8">
        <f>IFERROR(__xludf.DUMMYFUNCTION("""COMPUTED_VALUE"""),0.0)</f>
        <v>0</v>
      </c>
      <c r="D8053" s="8"/>
    </row>
    <row r="8054">
      <c r="A8054" s="9" t="str">
        <f>IFERROR(__xludf.DUMMYFUNCTION("""COMPUTED_VALUE"""),"Batch 343")</f>
        <v>Batch 343</v>
      </c>
      <c r="B8054" s="9" t="str">
        <f>IFERROR(__xludf.DUMMYFUNCTION("""COMPUTED_VALUE"""),"GiriprasadC343")</f>
        <v>GiriprasadC343</v>
      </c>
      <c r="C8054" s="8">
        <f>IFERROR(__xludf.DUMMYFUNCTION("""COMPUTED_VALUE"""),0.0)</f>
        <v>0</v>
      </c>
      <c r="D8054" s="8"/>
    </row>
    <row r="8055">
      <c r="A8055" s="9" t="str">
        <f>IFERROR(__xludf.DUMMYFUNCTION("""COMPUTED_VALUE"""),"Batch 343")</f>
        <v>Batch 343</v>
      </c>
      <c r="B8055" s="9" t="str">
        <f>IFERROR(__xludf.DUMMYFUNCTION("""COMPUTED_VALUE"""),"LakshayC343")</f>
        <v>LakshayC343</v>
      </c>
      <c r="C8055" s="8">
        <f>IFERROR(__xludf.DUMMYFUNCTION("""COMPUTED_VALUE"""),0.0)</f>
        <v>0</v>
      </c>
      <c r="D8055" s="8"/>
    </row>
    <row r="8056">
      <c r="A8056" s="9" t="str">
        <f>IFERROR(__xludf.DUMMYFUNCTION("""COMPUTED_VALUE"""),"Batch 343")</f>
        <v>Batch 343</v>
      </c>
      <c r="B8056" s="9" t="str">
        <f>IFERROR(__xludf.DUMMYFUNCTION("""COMPUTED_VALUE"""),"ShreaC343")</f>
        <v>ShreaC343</v>
      </c>
      <c r="C8056" s="8">
        <f>IFERROR(__xludf.DUMMYFUNCTION("""COMPUTED_VALUE"""),0.0)</f>
        <v>0</v>
      </c>
      <c r="D8056" s="8"/>
    </row>
    <row r="8057">
      <c r="A8057" s="9" t="str">
        <f>IFERROR(__xludf.DUMMYFUNCTION("""COMPUTED_VALUE"""),"Batch 343")</f>
        <v>Batch 343</v>
      </c>
      <c r="B8057" s="9" t="str">
        <f>IFERROR(__xludf.DUMMYFUNCTION("""COMPUTED_VALUE"""),"YatiC343")</f>
        <v>YatiC343</v>
      </c>
      <c r="C8057" s="8">
        <f>IFERROR(__xludf.DUMMYFUNCTION("""COMPUTED_VALUE"""),3.0)</f>
        <v>3</v>
      </c>
      <c r="D8057" s="8">
        <f>IFERROR(__xludf.DUMMYFUNCTION("""COMPUTED_VALUE"""),3.0)</f>
        <v>3</v>
      </c>
    </row>
    <row r="8058">
      <c r="A8058" s="9" t="str">
        <f>IFERROR(__xludf.DUMMYFUNCTION("""COMPUTED_VALUE"""),"Batch 343")</f>
        <v>Batch 343</v>
      </c>
      <c r="B8058" s="9" t="str">
        <f>IFERROR(__xludf.DUMMYFUNCTION("""COMPUTED_VALUE"""),"VishnuC343")</f>
        <v>VishnuC343</v>
      </c>
      <c r="C8058" s="8">
        <f>IFERROR(__xludf.DUMMYFUNCTION("""COMPUTED_VALUE"""),0.0)</f>
        <v>0</v>
      </c>
      <c r="D8058" s="8"/>
    </row>
    <row r="8059">
      <c r="A8059" s="9" t="str">
        <f>IFERROR(__xludf.DUMMYFUNCTION("""COMPUTED_VALUE"""),"Batch 343")</f>
        <v>Batch 343</v>
      </c>
      <c r="B8059" s="9" t="str">
        <f>IFERROR(__xludf.DUMMYFUNCTION("""COMPUTED_VALUE"""),"sriC343")</f>
        <v>sriC343</v>
      </c>
      <c r="C8059" s="8">
        <f>IFERROR(__xludf.DUMMYFUNCTION("""COMPUTED_VALUE"""),0.0)</f>
        <v>0</v>
      </c>
      <c r="D8059" s="8"/>
    </row>
    <row r="8060">
      <c r="A8060" s="9" t="str">
        <f>IFERROR(__xludf.DUMMYFUNCTION("""COMPUTED_VALUE"""),"Batch 343")</f>
        <v>Batch 343</v>
      </c>
      <c r="B8060" s="9" t="str">
        <f>IFERROR(__xludf.DUMMYFUNCTION("""COMPUTED_VALUE"""),"VinayC343")</f>
        <v>VinayC343</v>
      </c>
      <c r="C8060" s="8">
        <f>IFERROR(__xludf.DUMMYFUNCTION("""COMPUTED_VALUE"""),0.0)</f>
        <v>0</v>
      </c>
      <c r="D8060" s="8"/>
    </row>
    <row r="8061">
      <c r="A8061" s="9"/>
      <c r="B8061" s="9"/>
      <c r="C8061" s="8">
        <f>IFERROR(__xludf.DUMMYFUNCTION("""COMPUTED_VALUE"""),0.0)</f>
        <v>0</v>
      </c>
      <c r="D8061" s="8"/>
    </row>
    <row r="8062">
      <c r="A8062" s="9" t="str">
        <f>IFERROR(__xludf.DUMMYFUNCTION("""COMPUTED_VALUE"""),"Batch 344")</f>
        <v>Batch 344</v>
      </c>
      <c r="B8062" s="9" t="str">
        <f>IFERROR(__xludf.DUMMYFUNCTION("""COMPUTED_VALUE"""),"AyushC344")</f>
        <v>AyushC344</v>
      </c>
      <c r="C8062" s="8">
        <f>IFERROR(__xludf.DUMMYFUNCTION("""COMPUTED_VALUE"""),0.0)</f>
        <v>0</v>
      </c>
      <c r="D8062" s="8"/>
    </row>
    <row r="8063">
      <c r="A8063" s="9" t="str">
        <f>IFERROR(__xludf.DUMMYFUNCTION("""COMPUTED_VALUE"""),"Batch 344")</f>
        <v>Batch 344</v>
      </c>
      <c r="B8063" s="9" t="str">
        <f>IFERROR(__xludf.DUMMYFUNCTION("""COMPUTED_VALUE"""),"AmanC344")</f>
        <v>AmanC344</v>
      </c>
      <c r="C8063" s="8">
        <f>IFERROR(__xludf.DUMMYFUNCTION("""COMPUTED_VALUE"""),1.0)</f>
        <v>1</v>
      </c>
      <c r="D8063" s="8"/>
    </row>
    <row r="8064">
      <c r="A8064" s="9" t="str">
        <f>IFERROR(__xludf.DUMMYFUNCTION("""COMPUTED_VALUE"""),"Batch 344")</f>
        <v>Batch 344</v>
      </c>
      <c r="B8064" s="9" t="str">
        <f>IFERROR(__xludf.DUMMYFUNCTION("""COMPUTED_VALUE"""),"SaranshC344")</f>
        <v>SaranshC344</v>
      </c>
      <c r="C8064" s="8">
        <f>IFERROR(__xludf.DUMMYFUNCTION("""COMPUTED_VALUE"""),0.0)</f>
        <v>0</v>
      </c>
      <c r="D8064" s="8"/>
    </row>
    <row r="8065">
      <c r="A8065" s="9" t="str">
        <f>IFERROR(__xludf.DUMMYFUNCTION("""COMPUTED_VALUE"""),"Batch 344")</f>
        <v>Batch 344</v>
      </c>
      <c r="B8065" s="9" t="str">
        <f>IFERROR(__xludf.DUMMYFUNCTION("""COMPUTED_VALUE"""),"MdC344")</f>
        <v>MdC344</v>
      </c>
      <c r="C8065" s="8">
        <f>IFERROR(__xludf.DUMMYFUNCTION("""COMPUTED_VALUE"""),0.0)</f>
        <v>0</v>
      </c>
      <c r="D8065" s="8"/>
    </row>
    <row r="8066">
      <c r="A8066" s="9" t="str">
        <f>IFERROR(__xludf.DUMMYFUNCTION("""COMPUTED_VALUE"""),"Batch 344")</f>
        <v>Batch 344</v>
      </c>
      <c r="B8066" s="9" t="str">
        <f>IFERROR(__xludf.DUMMYFUNCTION("""COMPUTED_VALUE"""),"AnushkaC344")</f>
        <v>AnushkaC344</v>
      </c>
      <c r="C8066" s="8">
        <f>IFERROR(__xludf.DUMMYFUNCTION("""COMPUTED_VALUE"""),0.0)</f>
        <v>0</v>
      </c>
      <c r="D8066" s="8"/>
    </row>
    <row r="8067">
      <c r="A8067" s="9" t="str">
        <f>IFERROR(__xludf.DUMMYFUNCTION("""COMPUTED_VALUE"""),"Batch 344")</f>
        <v>Batch 344</v>
      </c>
      <c r="B8067" s="9" t="str">
        <f>IFERROR(__xludf.DUMMYFUNCTION("""COMPUTED_VALUE"""),"NancyC344")</f>
        <v>NancyC344</v>
      </c>
      <c r="C8067" s="8">
        <f>IFERROR(__xludf.DUMMYFUNCTION("""COMPUTED_VALUE"""),0.0)</f>
        <v>0</v>
      </c>
      <c r="D8067" s="8"/>
    </row>
    <row r="8068">
      <c r="A8068" s="9" t="str">
        <f>IFERROR(__xludf.DUMMYFUNCTION("""COMPUTED_VALUE"""),"Batch 344")</f>
        <v>Batch 344</v>
      </c>
      <c r="B8068" s="9" t="str">
        <f>IFERROR(__xludf.DUMMYFUNCTION("""COMPUTED_VALUE"""),"ShreyaC344")</f>
        <v>ShreyaC344</v>
      </c>
      <c r="C8068" s="8">
        <f>IFERROR(__xludf.DUMMYFUNCTION("""COMPUTED_VALUE"""),0.0)</f>
        <v>0</v>
      </c>
      <c r="D8068" s="8"/>
    </row>
    <row r="8069">
      <c r="A8069" s="9" t="str">
        <f>IFERROR(__xludf.DUMMYFUNCTION("""COMPUTED_VALUE"""),"Batch 344")</f>
        <v>Batch 344</v>
      </c>
      <c r="B8069" s="9" t="str">
        <f>IFERROR(__xludf.DUMMYFUNCTION("""COMPUTED_VALUE"""),"PriyaC344")</f>
        <v>PriyaC344</v>
      </c>
      <c r="C8069" s="8">
        <f>IFERROR(__xludf.DUMMYFUNCTION("""COMPUTED_VALUE"""),0.0)</f>
        <v>0</v>
      </c>
      <c r="D8069" s="8">
        <f>IFERROR(__xludf.DUMMYFUNCTION("""COMPUTED_VALUE"""),5.0)</f>
        <v>5</v>
      </c>
    </row>
    <row r="8070">
      <c r="A8070" s="9" t="str">
        <f>IFERROR(__xludf.DUMMYFUNCTION("""COMPUTED_VALUE"""),"Batch 344")</f>
        <v>Batch 344</v>
      </c>
      <c r="B8070" s="9" t="str">
        <f>IFERROR(__xludf.DUMMYFUNCTION("""COMPUTED_VALUE"""),"DeeptanshuC344")</f>
        <v>DeeptanshuC344</v>
      </c>
      <c r="C8070" s="8">
        <f>IFERROR(__xludf.DUMMYFUNCTION("""COMPUTED_VALUE"""),0.0)</f>
        <v>0</v>
      </c>
      <c r="D8070" s="8"/>
    </row>
    <row r="8071">
      <c r="A8071" s="9" t="str">
        <f>IFERROR(__xludf.DUMMYFUNCTION("""COMPUTED_VALUE"""),"Batch 344")</f>
        <v>Batch 344</v>
      </c>
      <c r="B8071" s="9" t="str">
        <f>IFERROR(__xludf.DUMMYFUNCTION("""COMPUTED_VALUE"""),"AryamanC344")</f>
        <v>AryamanC344</v>
      </c>
      <c r="C8071" s="8">
        <f>IFERROR(__xludf.DUMMYFUNCTION("""COMPUTED_VALUE"""),0.0)</f>
        <v>0</v>
      </c>
      <c r="D8071" s="8"/>
    </row>
    <row r="8072">
      <c r="A8072" s="9" t="str">
        <f>IFERROR(__xludf.DUMMYFUNCTION("""COMPUTED_VALUE"""),"Batch 344")</f>
        <v>Batch 344</v>
      </c>
      <c r="B8072" s="9" t="str">
        <f>IFERROR(__xludf.DUMMYFUNCTION("""COMPUTED_VALUE"""),"SohamC344")</f>
        <v>SohamC344</v>
      </c>
      <c r="C8072" s="8">
        <f>IFERROR(__xludf.DUMMYFUNCTION("""COMPUTED_VALUE"""),0.0)</f>
        <v>0</v>
      </c>
      <c r="D8072" s="8"/>
    </row>
    <row r="8073">
      <c r="A8073" s="9" t="str">
        <f>IFERROR(__xludf.DUMMYFUNCTION("""COMPUTED_VALUE"""),"Batch 344")</f>
        <v>Batch 344</v>
      </c>
      <c r="B8073" s="9" t="str">
        <f>IFERROR(__xludf.DUMMYFUNCTION("""COMPUTED_VALUE"""),"jiyansheeC344")</f>
        <v>jiyansheeC344</v>
      </c>
      <c r="C8073" s="8">
        <f>IFERROR(__xludf.DUMMYFUNCTION("""COMPUTED_VALUE"""),0.0)</f>
        <v>0</v>
      </c>
      <c r="D8073" s="8"/>
    </row>
    <row r="8074">
      <c r="A8074" s="9" t="str">
        <f>IFERROR(__xludf.DUMMYFUNCTION("""COMPUTED_VALUE"""),"Batch 344")</f>
        <v>Batch 344</v>
      </c>
      <c r="B8074" s="9" t="str">
        <f>IFERROR(__xludf.DUMMYFUNCTION("""COMPUTED_VALUE"""),"anujC344")</f>
        <v>anujC344</v>
      </c>
      <c r="C8074" s="8">
        <f>IFERROR(__xludf.DUMMYFUNCTION("""COMPUTED_VALUE"""),0.0)</f>
        <v>0</v>
      </c>
      <c r="D8074" s="8"/>
    </row>
    <row r="8075">
      <c r="A8075" s="9" t="str">
        <f>IFERROR(__xludf.DUMMYFUNCTION("""COMPUTED_VALUE"""),"Batch 344")</f>
        <v>Batch 344</v>
      </c>
      <c r="B8075" s="9" t="str">
        <f>IFERROR(__xludf.DUMMYFUNCTION("""COMPUTED_VALUE"""),"MuskanC344")</f>
        <v>MuskanC344</v>
      </c>
      <c r="C8075" s="8">
        <f>IFERROR(__xludf.DUMMYFUNCTION("""COMPUTED_VALUE"""),0.0)</f>
        <v>0</v>
      </c>
      <c r="D8075" s="8"/>
    </row>
    <row r="8076">
      <c r="A8076" s="9" t="str">
        <f>IFERROR(__xludf.DUMMYFUNCTION("""COMPUTED_VALUE"""),"Batch 344")</f>
        <v>Batch 344</v>
      </c>
      <c r="B8076" s="9" t="str">
        <f>IFERROR(__xludf.DUMMYFUNCTION("""COMPUTED_VALUE"""),"HimanshiC344")</f>
        <v>HimanshiC344</v>
      </c>
      <c r="C8076" s="8">
        <f>IFERROR(__xludf.DUMMYFUNCTION("""COMPUTED_VALUE"""),26.0)</f>
        <v>26</v>
      </c>
      <c r="D8076" s="8"/>
    </row>
    <row r="8077">
      <c r="A8077" s="9" t="str">
        <f>IFERROR(__xludf.DUMMYFUNCTION("""COMPUTED_VALUE"""),"Batch 344")</f>
        <v>Batch 344</v>
      </c>
      <c r="B8077" s="9" t="str">
        <f>IFERROR(__xludf.DUMMYFUNCTION("""COMPUTED_VALUE"""),"TanuC344")</f>
        <v>TanuC344</v>
      </c>
      <c r="C8077" s="8">
        <f>IFERROR(__xludf.DUMMYFUNCTION("""COMPUTED_VALUE"""),0.0)</f>
        <v>0</v>
      </c>
      <c r="D8077" s="8"/>
    </row>
    <row r="8078">
      <c r="A8078" s="9" t="str">
        <f>IFERROR(__xludf.DUMMYFUNCTION("""COMPUTED_VALUE"""),"Batch 344")</f>
        <v>Batch 344</v>
      </c>
      <c r="B8078" s="9" t="str">
        <f>IFERROR(__xludf.DUMMYFUNCTION("""COMPUTED_VALUE"""),"GovardhanC344")</f>
        <v>GovardhanC344</v>
      </c>
      <c r="C8078" s="8">
        <f>IFERROR(__xludf.DUMMYFUNCTION("""COMPUTED_VALUE"""),22.0)</f>
        <v>22</v>
      </c>
      <c r="D8078" s="8"/>
    </row>
    <row r="8079">
      <c r="A8079" s="9" t="str">
        <f>IFERROR(__xludf.DUMMYFUNCTION("""COMPUTED_VALUE"""),"Batch 344")</f>
        <v>Batch 344</v>
      </c>
      <c r="B8079" s="9" t="str">
        <f>IFERROR(__xludf.DUMMYFUNCTION("""COMPUTED_VALUE"""),"RutujaC344")</f>
        <v>RutujaC344</v>
      </c>
      <c r="C8079" s="8">
        <f>IFERROR(__xludf.DUMMYFUNCTION("""COMPUTED_VALUE"""),0.0)</f>
        <v>0</v>
      </c>
      <c r="D8079" s="8"/>
    </row>
    <row r="8080">
      <c r="A8080" s="9" t="str">
        <f>IFERROR(__xludf.DUMMYFUNCTION("""COMPUTED_VALUE"""),"Batch 344")</f>
        <v>Batch 344</v>
      </c>
      <c r="B8080" s="9" t="str">
        <f>IFERROR(__xludf.DUMMYFUNCTION("""COMPUTED_VALUE"""),"ShubhamC344")</f>
        <v>ShubhamC344</v>
      </c>
      <c r="C8080" s="8">
        <f>IFERROR(__xludf.DUMMYFUNCTION("""COMPUTED_VALUE"""),0.0)</f>
        <v>0</v>
      </c>
      <c r="D8080" s="8"/>
    </row>
    <row r="8081">
      <c r="A8081" s="9" t="str">
        <f>IFERROR(__xludf.DUMMYFUNCTION("""COMPUTED_VALUE"""),"Batch 344")</f>
        <v>Batch 344</v>
      </c>
      <c r="B8081" s="9" t="str">
        <f>IFERROR(__xludf.DUMMYFUNCTION("""COMPUTED_VALUE"""),"ArnavC344")</f>
        <v>ArnavC344</v>
      </c>
      <c r="C8081" s="8">
        <f>IFERROR(__xludf.DUMMYFUNCTION("""COMPUTED_VALUE"""),0.0)</f>
        <v>0</v>
      </c>
      <c r="D8081" s="8"/>
    </row>
    <row r="8082">
      <c r="A8082" s="9" t="str">
        <f>IFERROR(__xludf.DUMMYFUNCTION("""COMPUTED_VALUE"""),"Batch 344")</f>
        <v>Batch 344</v>
      </c>
      <c r="B8082" s="9" t="str">
        <f>IFERROR(__xludf.DUMMYFUNCTION("""COMPUTED_VALUE"""),"YakshithaC344")</f>
        <v>YakshithaC344</v>
      </c>
      <c r="C8082" s="8">
        <f>IFERROR(__xludf.DUMMYFUNCTION("""COMPUTED_VALUE"""),0.0)</f>
        <v>0</v>
      </c>
      <c r="D8082" s="8"/>
    </row>
    <row r="8083">
      <c r="A8083" s="9" t="str">
        <f>IFERROR(__xludf.DUMMYFUNCTION("""COMPUTED_VALUE"""),"Batch 344")</f>
        <v>Batch 344</v>
      </c>
      <c r="B8083" s="9" t="str">
        <f>IFERROR(__xludf.DUMMYFUNCTION("""COMPUTED_VALUE"""),"VivekC344")</f>
        <v>VivekC344</v>
      </c>
      <c r="C8083" s="8">
        <f>IFERROR(__xludf.DUMMYFUNCTION("""COMPUTED_VALUE"""),0.0)</f>
        <v>0</v>
      </c>
      <c r="D8083" s="8"/>
    </row>
    <row r="8084">
      <c r="A8084" s="9" t="str">
        <f>IFERROR(__xludf.DUMMYFUNCTION("""COMPUTED_VALUE"""),"Batch 344")</f>
        <v>Batch 344</v>
      </c>
      <c r="B8084" s="9" t="str">
        <f>IFERROR(__xludf.DUMMYFUNCTION("""COMPUTED_VALUE"""),"RiyaC344")</f>
        <v>RiyaC344</v>
      </c>
      <c r="C8084" s="8">
        <f>IFERROR(__xludf.DUMMYFUNCTION("""COMPUTED_VALUE"""),0.0)</f>
        <v>0</v>
      </c>
      <c r="D8084" s="8"/>
    </row>
    <row r="8085">
      <c r="A8085" s="9" t="str">
        <f>IFERROR(__xludf.DUMMYFUNCTION("""COMPUTED_VALUE"""),"Batch 344")</f>
        <v>Batch 344</v>
      </c>
      <c r="B8085" s="9" t="str">
        <f>IFERROR(__xludf.DUMMYFUNCTION("""COMPUTED_VALUE"""),"CharuC344")</f>
        <v>CharuC344</v>
      </c>
      <c r="C8085" s="8">
        <f>IFERROR(__xludf.DUMMYFUNCTION("""COMPUTED_VALUE"""),1.0)</f>
        <v>1</v>
      </c>
      <c r="D8085" s="8"/>
    </row>
    <row r="8086">
      <c r="A8086" s="9" t="str">
        <f>IFERROR(__xludf.DUMMYFUNCTION("""COMPUTED_VALUE"""),"Batch 344")</f>
        <v>Batch 344</v>
      </c>
      <c r="B8086" s="9" t="str">
        <f>IFERROR(__xludf.DUMMYFUNCTION("""COMPUTED_VALUE"""),"NiharikaC344")</f>
        <v>NiharikaC344</v>
      </c>
      <c r="C8086" s="8">
        <f>IFERROR(__xludf.DUMMYFUNCTION("""COMPUTED_VALUE"""),4.0)</f>
        <v>4</v>
      </c>
      <c r="D8086" s="8">
        <f>IFERROR(__xludf.DUMMYFUNCTION("""COMPUTED_VALUE"""),4.0)</f>
        <v>4</v>
      </c>
    </row>
    <row r="8087">
      <c r="A8087" s="9" t="str">
        <f>IFERROR(__xludf.DUMMYFUNCTION("""COMPUTED_VALUE"""),"Batch 344")</f>
        <v>Batch 344</v>
      </c>
      <c r="B8087" s="9" t="str">
        <f>IFERROR(__xludf.DUMMYFUNCTION("""COMPUTED_VALUE"""),"TejC344")</f>
        <v>TejC344</v>
      </c>
      <c r="C8087" s="8">
        <f>IFERROR(__xludf.DUMMYFUNCTION("""COMPUTED_VALUE"""),0.0)</f>
        <v>0</v>
      </c>
      <c r="D8087" s="8"/>
    </row>
    <row r="8088">
      <c r="A8088" s="9" t="str">
        <f>IFERROR(__xludf.DUMMYFUNCTION("""COMPUTED_VALUE"""),"Batch 344")</f>
        <v>Batch 344</v>
      </c>
      <c r="B8088" s="9" t="str">
        <f>IFERROR(__xludf.DUMMYFUNCTION("""COMPUTED_VALUE"""),"YashC344")</f>
        <v>YashC344</v>
      </c>
      <c r="C8088" s="8">
        <f>IFERROR(__xludf.DUMMYFUNCTION("""COMPUTED_VALUE"""),0.0)</f>
        <v>0</v>
      </c>
      <c r="D8088" s="8"/>
    </row>
    <row r="8089">
      <c r="A8089" s="9" t="str">
        <f>IFERROR(__xludf.DUMMYFUNCTION("""COMPUTED_VALUE"""),"Batch 344")</f>
        <v>Batch 344</v>
      </c>
      <c r="B8089" s="9" t="str">
        <f>IFERROR(__xludf.DUMMYFUNCTION("""COMPUTED_VALUE"""),"BadalC344")</f>
        <v>BadalC344</v>
      </c>
      <c r="C8089" s="8">
        <f>IFERROR(__xludf.DUMMYFUNCTION("""COMPUTED_VALUE"""),0.0)</f>
        <v>0</v>
      </c>
      <c r="D8089" s="8"/>
    </row>
    <row r="8090">
      <c r="A8090" s="9"/>
      <c r="B8090" s="9"/>
      <c r="C8090" s="8">
        <f>IFERROR(__xludf.DUMMYFUNCTION("""COMPUTED_VALUE"""),0.0)</f>
        <v>0</v>
      </c>
      <c r="D8090" s="8"/>
    </row>
    <row r="8091">
      <c r="A8091" s="9" t="str">
        <f>IFERROR(__xludf.DUMMYFUNCTION("""COMPUTED_VALUE"""),"Batch 345")</f>
        <v>Batch 345</v>
      </c>
      <c r="B8091" s="9" t="str">
        <f>IFERROR(__xludf.DUMMYFUNCTION("""COMPUTED_VALUE"""),"DeepanshiC345")</f>
        <v>DeepanshiC345</v>
      </c>
      <c r="C8091" s="8">
        <f>IFERROR(__xludf.DUMMYFUNCTION("""COMPUTED_VALUE"""),0.0)</f>
        <v>0</v>
      </c>
      <c r="D8091" s="8"/>
    </row>
    <row r="8092">
      <c r="A8092" s="9" t="str">
        <f>IFERROR(__xludf.DUMMYFUNCTION("""COMPUTED_VALUE"""),"Batch 345")</f>
        <v>Batch 345</v>
      </c>
      <c r="B8092" s="9" t="str">
        <f>IFERROR(__xludf.DUMMYFUNCTION("""COMPUTED_VALUE"""),"DiyaC345")</f>
        <v>DiyaC345</v>
      </c>
      <c r="C8092" s="8">
        <f>IFERROR(__xludf.DUMMYFUNCTION("""COMPUTED_VALUE"""),0.0)</f>
        <v>0</v>
      </c>
      <c r="D8092" s="8"/>
    </row>
    <row r="8093">
      <c r="A8093" s="9" t="str">
        <f>IFERROR(__xludf.DUMMYFUNCTION("""COMPUTED_VALUE"""),"Batch 345")</f>
        <v>Batch 345</v>
      </c>
      <c r="B8093" s="9" t="str">
        <f>IFERROR(__xludf.DUMMYFUNCTION("""COMPUTED_VALUE"""),"KrishnaC345")</f>
        <v>KrishnaC345</v>
      </c>
      <c r="C8093" s="8">
        <f>IFERROR(__xludf.DUMMYFUNCTION("""COMPUTED_VALUE"""),5.0)</f>
        <v>5</v>
      </c>
      <c r="D8093" s="8"/>
    </row>
    <row r="8094">
      <c r="A8094" s="9" t="str">
        <f>IFERROR(__xludf.DUMMYFUNCTION("""COMPUTED_VALUE"""),"Batch 345")</f>
        <v>Batch 345</v>
      </c>
      <c r="B8094" s="9" t="str">
        <f>IFERROR(__xludf.DUMMYFUNCTION("""COMPUTED_VALUE"""),"BhuvaneswariC345")</f>
        <v>BhuvaneswariC345</v>
      </c>
      <c r="C8094" s="8">
        <f>IFERROR(__xludf.DUMMYFUNCTION("""COMPUTED_VALUE"""),0.0)</f>
        <v>0</v>
      </c>
      <c r="D8094" s="8"/>
    </row>
    <row r="8095">
      <c r="A8095" s="9" t="str">
        <f>IFERROR(__xludf.DUMMYFUNCTION("""COMPUTED_VALUE"""),"Batch 345")</f>
        <v>Batch 345</v>
      </c>
      <c r="B8095" s="9" t="str">
        <f>IFERROR(__xludf.DUMMYFUNCTION("""COMPUTED_VALUE"""),"BhumiC345")</f>
        <v>BhumiC345</v>
      </c>
      <c r="C8095" s="8">
        <f>IFERROR(__xludf.DUMMYFUNCTION("""COMPUTED_VALUE"""),0.0)</f>
        <v>0</v>
      </c>
      <c r="D8095" s="8"/>
    </row>
    <row r="8096">
      <c r="A8096" s="9" t="str">
        <f>IFERROR(__xludf.DUMMYFUNCTION("""COMPUTED_VALUE"""),"Batch 345")</f>
        <v>Batch 345</v>
      </c>
      <c r="B8096" s="9" t="str">
        <f>IFERROR(__xludf.DUMMYFUNCTION("""COMPUTED_VALUE"""),"RiddhiC345")</f>
        <v>RiddhiC345</v>
      </c>
      <c r="C8096" s="8">
        <f>IFERROR(__xludf.DUMMYFUNCTION("""COMPUTED_VALUE"""),0.0)</f>
        <v>0</v>
      </c>
      <c r="D8096" s="8"/>
    </row>
    <row r="8097">
      <c r="A8097" s="9" t="str">
        <f>IFERROR(__xludf.DUMMYFUNCTION("""COMPUTED_VALUE"""),"Batch 345")</f>
        <v>Batch 345</v>
      </c>
      <c r="B8097" s="9" t="str">
        <f>IFERROR(__xludf.DUMMYFUNCTION("""COMPUTED_VALUE"""),"JayketuC345")</f>
        <v>JayketuC345</v>
      </c>
      <c r="C8097" s="8">
        <f>IFERROR(__xludf.DUMMYFUNCTION("""COMPUTED_VALUE"""),46.0)</f>
        <v>46</v>
      </c>
      <c r="D8097" s="8">
        <f>IFERROR(__xludf.DUMMYFUNCTION("""COMPUTED_VALUE"""),5.0)</f>
        <v>5</v>
      </c>
    </row>
    <row r="8098">
      <c r="A8098" s="9" t="str">
        <f>IFERROR(__xludf.DUMMYFUNCTION("""COMPUTED_VALUE"""),"Batch 345")</f>
        <v>Batch 345</v>
      </c>
      <c r="B8098" s="9" t="str">
        <f>IFERROR(__xludf.DUMMYFUNCTION("""COMPUTED_VALUE"""),"PalakC345")</f>
        <v>PalakC345</v>
      </c>
      <c r="C8098" s="8">
        <f>IFERROR(__xludf.DUMMYFUNCTION("""COMPUTED_VALUE"""),2.0)</f>
        <v>2</v>
      </c>
      <c r="D8098" s="8"/>
    </row>
    <row r="8099">
      <c r="A8099" s="9" t="str">
        <f>IFERROR(__xludf.DUMMYFUNCTION("""COMPUTED_VALUE"""),"Batch 345")</f>
        <v>Batch 345</v>
      </c>
      <c r="B8099" s="9" t="str">
        <f>IFERROR(__xludf.DUMMYFUNCTION("""COMPUTED_VALUE"""),"VC345")</f>
        <v>VC345</v>
      </c>
      <c r="C8099" s="8">
        <f>IFERROR(__xludf.DUMMYFUNCTION("""COMPUTED_VALUE"""),0.0)</f>
        <v>0</v>
      </c>
      <c r="D8099" s="8"/>
    </row>
    <row r="8100">
      <c r="A8100" s="9" t="str">
        <f>IFERROR(__xludf.DUMMYFUNCTION("""COMPUTED_VALUE"""),"Batch 345")</f>
        <v>Batch 345</v>
      </c>
      <c r="B8100" s="9" t="str">
        <f>IFERROR(__xludf.DUMMYFUNCTION("""COMPUTED_VALUE"""),"VirajC345")</f>
        <v>VirajC345</v>
      </c>
      <c r="C8100" s="8">
        <f>IFERROR(__xludf.DUMMYFUNCTION("""COMPUTED_VALUE"""),0.0)</f>
        <v>0</v>
      </c>
      <c r="D8100" s="8"/>
    </row>
    <row r="8101">
      <c r="A8101" s="9" t="str">
        <f>IFERROR(__xludf.DUMMYFUNCTION("""COMPUTED_VALUE"""),"Batch 345")</f>
        <v>Batch 345</v>
      </c>
      <c r="B8101" s="9" t="str">
        <f>IFERROR(__xludf.DUMMYFUNCTION("""COMPUTED_VALUE"""),"RaghavC345")</f>
        <v>RaghavC345</v>
      </c>
      <c r="C8101" s="8">
        <f>IFERROR(__xludf.DUMMYFUNCTION("""COMPUTED_VALUE"""),0.0)</f>
        <v>0</v>
      </c>
      <c r="D8101" s="8"/>
    </row>
    <row r="8102">
      <c r="A8102" s="9" t="str">
        <f>IFERROR(__xludf.DUMMYFUNCTION("""COMPUTED_VALUE"""),"Batch 345")</f>
        <v>Batch 345</v>
      </c>
      <c r="B8102" s="9" t="str">
        <f>IFERROR(__xludf.DUMMYFUNCTION("""COMPUTED_VALUE"""),"ShreyaC345")</f>
        <v>ShreyaC345</v>
      </c>
      <c r="C8102" s="8">
        <f>IFERROR(__xludf.DUMMYFUNCTION("""COMPUTED_VALUE"""),0.0)</f>
        <v>0</v>
      </c>
      <c r="D8102" s="8"/>
    </row>
    <row r="8103">
      <c r="A8103" s="9" t="str">
        <f>IFERROR(__xludf.DUMMYFUNCTION("""COMPUTED_VALUE"""),"Batch 345")</f>
        <v>Batch 345</v>
      </c>
      <c r="B8103" s="9" t="str">
        <f>IFERROR(__xludf.DUMMYFUNCTION("""COMPUTED_VALUE"""),"AryaC345")</f>
        <v>AryaC345</v>
      </c>
      <c r="C8103" s="8">
        <f>IFERROR(__xludf.DUMMYFUNCTION("""COMPUTED_VALUE"""),0.0)</f>
        <v>0</v>
      </c>
      <c r="D8103" s="8"/>
    </row>
    <row r="8104">
      <c r="A8104" s="9" t="str">
        <f>IFERROR(__xludf.DUMMYFUNCTION("""COMPUTED_VALUE"""),"Batch 345")</f>
        <v>Batch 345</v>
      </c>
      <c r="B8104" s="9" t="str">
        <f>IFERROR(__xludf.DUMMYFUNCTION("""COMPUTED_VALUE"""),"AnshitaC345")</f>
        <v>AnshitaC345</v>
      </c>
      <c r="C8104" s="8">
        <f>IFERROR(__xludf.DUMMYFUNCTION("""COMPUTED_VALUE"""),0.0)</f>
        <v>0</v>
      </c>
      <c r="D8104" s="8"/>
    </row>
    <row r="8105">
      <c r="A8105" s="9" t="str">
        <f>IFERROR(__xludf.DUMMYFUNCTION("""COMPUTED_VALUE"""),"Batch 345")</f>
        <v>Batch 345</v>
      </c>
      <c r="B8105" s="9" t="str">
        <f>IFERROR(__xludf.DUMMYFUNCTION("""COMPUTED_VALUE"""),"KhushiC345")</f>
        <v>KhushiC345</v>
      </c>
      <c r="C8105" s="8">
        <f>IFERROR(__xludf.DUMMYFUNCTION("""COMPUTED_VALUE"""),2.0)</f>
        <v>2</v>
      </c>
      <c r="D8105" s="8"/>
    </row>
    <row r="8106">
      <c r="A8106" s="9" t="str">
        <f>IFERROR(__xludf.DUMMYFUNCTION("""COMPUTED_VALUE"""),"Batch 345")</f>
        <v>Batch 345</v>
      </c>
      <c r="B8106" s="9" t="str">
        <f>IFERROR(__xludf.DUMMYFUNCTION("""COMPUTED_VALUE"""),"anujC345")</f>
        <v>anujC345</v>
      </c>
      <c r="C8106" s="8">
        <f>IFERROR(__xludf.DUMMYFUNCTION("""COMPUTED_VALUE"""),0.0)</f>
        <v>0</v>
      </c>
      <c r="D8106" s="8"/>
    </row>
    <row r="8107">
      <c r="A8107" s="9" t="str">
        <f>IFERROR(__xludf.DUMMYFUNCTION("""COMPUTED_VALUE"""),"Batch 345")</f>
        <v>Batch 345</v>
      </c>
      <c r="B8107" s="9" t="str">
        <f>IFERROR(__xludf.DUMMYFUNCTION("""COMPUTED_VALUE"""),"MuskanC345")</f>
        <v>MuskanC345</v>
      </c>
      <c r="C8107" s="8">
        <f>IFERROR(__xludf.DUMMYFUNCTION("""COMPUTED_VALUE"""),0.0)</f>
        <v>0</v>
      </c>
      <c r="D8107" s="8"/>
    </row>
    <row r="8108">
      <c r="A8108" s="9" t="str">
        <f>IFERROR(__xludf.DUMMYFUNCTION("""COMPUTED_VALUE"""),"Batch 345")</f>
        <v>Batch 345</v>
      </c>
      <c r="B8108" s="9" t="str">
        <f>IFERROR(__xludf.DUMMYFUNCTION("""COMPUTED_VALUE"""),"HimanshiC345")</f>
        <v>HimanshiC345</v>
      </c>
      <c r="C8108" s="8">
        <f>IFERROR(__xludf.DUMMYFUNCTION("""COMPUTED_VALUE"""),0.0)</f>
        <v>0</v>
      </c>
      <c r="D8108" s="8"/>
    </row>
    <row r="8109">
      <c r="A8109" s="9" t="str">
        <f>IFERROR(__xludf.DUMMYFUNCTION("""COMPUTED_VALUE"""),"Batch 345")</f>
        <v>Batch 345</v>
      </c>
      <c r="B8109" s="9" t="str">
        <f>IFERROR(__xludf.DUMMYFUNCTION("""COMPUTED_VALUE"""),"HarshitaC345")</f>
        <v>HarshitaC345</v>
      </c>
      <c r="C8109" s="8">
        <f>IFERROR(__xludf.DUMMYFUNCTION("""COMPUTED_VALUE"""),0.0)</f>
        <v>0</v>
      </c>
      <c r="D8109" s="8"/>
    </row>
    <row r="8110">
      <c r="A8110" s="9" t="str">
        <f>IFERROR(__xludf.DUMMYFUNCTION("""COMPUTED_VALUE"""),"Batch 345")</f>
        <v>Batch 345</v>
      </c>
      <c r="B8110" s="9" t="str">
        <f>IFERROR(__xludf.DUMMYFUNCTION("""COMPUTED_VALUE"""),"ManshiC345")</f>
        <v>ManshiC345</v>
      </c>
      <c r="C8110" s="8">
        <f>IFERROR(__xludf.DUMMYFUNCTION("""COMPUTED_VALUE"""),0.0)</f>
        <v>0</v>
      </c>
      <c r="D8110" s="8"/>
    </row>
    <row r="8111">
      <c r="A8111" s="9" t="str">
        <f>IFERROR(__xludf.DUMMYFUNCTION("""COMPUTED_VALUE"""),"Batch 345")</f>
        <v>Batch 345</v>
      </c>
      <c r="B8111" s="9" t="str">
        <f>IFERROR(__xludf.DUMMYFUNCTION("""COMPUTED_VALUE"""),"PragatiC345")</f>
        <v>PragatiC345</v>
      </c>
      <c r="C8111" s="8">
        <f>IFERROR(__xludf.DUMMYFUNCTION("""COMPUTED_VALUE"""),0.0)</f>
        <v>0</v>
      </c>
      <c r="D8111" s="8"/>
    </row>
    <row r="8112">
      <c r="A8112" s="9" t="str">
        <f>IFERROR(__xludf.DUMMYFUNCTION("""COMPUTED_VALUE"""),"Batch 345")</f>
        <v>Batch 345</v>
      </c>
      <c r="B8112" s="9" t="str">
        <f>IFERROR(__xludf.DUMMYFUNCTION("""COMPUTED_VALUE"""),"AkshitaC345")</f>
        <v>AkshitaC345</v>
      </c>
      <c r="C8112" s="8">
        <f>IFERROR(__xludf.DUMMYFUNCTION("""COMPUTED_VALUE"""),0.0)</f>
        <v>0</v>
      </c>
      <c r="D8112" s="8"/>
    </row>
    <row r="8113">
      <c r="A8113" s="9" t="str">
        <f>IFERROR(__xludf.DUMMYFUNCTION("""COMPUTED_VALUE"""),"Batch 345")</f>
        <v>Batch 345</v>
      </c>
      <c r="B8113" s="9" t="str">
        <f>IFERROR(__xludf.DUMMYFUNCTION("""COMPUTED_VALUE"""),"VibhutiC345")</f>
        <v>VibhutiC345</v>
      </c>
      <c r="C8113" s="8">
        <f>IFERROR(__xludf.DUMMYFUNCTION("""COMPUTED_VALUE"""),0.0)</f>
        <v>0</v>
      </c>
      <c r="D8113" s="8"/>
    </row>
    <row r="8114">
      <c r="A8114" s="9" t="str">
        <f>IFERROR(__xludf.DUMMYFUNCTION("""COMPUTED_VALUE"""),"Batch 345")</f>
        <v>Batch 345</v>
      </c>
      <c r="B8114" s="9" t="str">
        <f>IFERROR(__xludf.DUMMYFUNCTION("""COMPUTED_VALUE"""),"RuchiC345")</f>
        <v>RuchiC345</v>
      </c>
      <c r="C8114" s="8">
        <f>IFERROR(__xludf.DUMMYFUNCTION("""COMPUTED_VALUE"""),0.0)</f>
        <v>0</v>
      </c>
      <c r="D8114" s="8"/>
    </row>
    <row r="8115">
      <c r="A8115" s="9" t="str">
        <f>IFERROR(__xludf.DUMMYFUNCTION("""COMPUTED_VALUE"""),"Batch 345")</f>
        <v>Batch 345</v>
      </c>
      <c r="B8115" s="9" t="str">
        <f>IFERROR(__xludf.DUMMYFUNCTION("""COMPUTED_VALUE"""),"IshikaC345")</f>
        <v>IshikaC345</v>
      </c>
      <c r="C8115" s="8">
        <f>IFERROR(__xludf.DUMMYFUNCTION("""COMPUTED_VALUE"""),0.0)</f>
        <v>0</v>
      </c>
      <c r="D8115" s="8"/>
    </row>
    <row r="8116">
      <c r="A8116" s="9" t="str">
        <f>IFERROR(__xludf.DUMMYFUNCTION("""COMPUTED_VALUE"""),"Batch 345")</f>
        <v>Batch 345</v>
      </c>
      <c r="B8116" s="9" t="str">
        <f>IFERROR(__xludf.DUMMYFUNCTION("""COMPUTED_VALUE"""),"AnshumanC345")</f>
        <v>AnshumanC345</v>
      </c>
      <c r="C8116" s="8">
        <f>IFERROR(__xludf.DUMMYFUNCTION("""COMPUTED_VALUE"""),0.0)</f>
        <v>0</v>
      </c>
      <c r="D8116" s="8">
        <f>IFERROR(__xludf.DUMMYFUNCTION("""COMPUTED_VALUE"""),16.0)</f>
        <v>16</v>
      </c>
    </row>
    <row r="8117">
      <c r="A8117" s="9" t="str">
        <f>IFERROR(__xludf.DUMMYFUNCTION("""COMPUTED_VALUE"""),"Batch 345")</f>
        <v>Batch 345</v>
      </c>
      <c r="B8117" s="9" t="str">
        <f>IFERROR(__xludf.DUMMYFUNCTION("""COMPUTED_VALUE"""),"ANJANIKAC345")</f>
        <v>ANJANIKAC345</v>
      </c>
      <c r="C8117" s="8">
        <f>IFERROR(__xludf.DUMMYFUNCTION("""COMPUTED_VALUE"""),0.0)</f>
        <v>0</v>
      </c>
      <c r="D8117" s="8"/>
    </row>
    <row r="8118">
      <c r="A8118" s="9" t="str">
        <f>IFERROR(__xludf.DUMMYFUNCTION("""COMPUTED_VALUE"""),"Batch 345")</f>
        <v>Batch 345</v>
      </c>
      <c r="B8118" s="9" t="str">
        <f>IFERROR(__xludf.DUMMYFUNCTION("""COMPUTED_VALUE"""),"KuldeepC345")</f>
        <v>KuldeepC345</v>
      </c>
      <c r="C8118" s="8">
        <f>IFERROR(__xludf.DUMMYFUNCTION("""COMPUTED_VALUE"""),0.0)</f>
        <v>0</v>
      </c>
      <c r="D8118" s="8"/>
    </row>
    <row r="8119">
      <c r="A8119" s="9"/>
      <c r="B8119" s="9"/>
      <c r="C8119" s="8">
        <f>IFERROR(__xludf.DUMMYFUNCTION("""COMPUTED_VALUE"""),0.0)</f>
        <v>0</v>
      </c>
      <c r="D8119" s="8"/>
    </row>
    <row r="8120">
      <c r="A8120" s="9" t="str">
        <f>IFERROR(__xludf.DUMMYFUNCTION("""COMPUTED_VALUE"""),"Batch 346")</f>
        <v>Batch 346</v>
      </c>
      <c r="B8120" s="9" t="str">
        <f>IFERROR(__xludf.DUMMYFUNCTION("""COMPUTED_VALUE"""),"SakshiC346")</f>
        <v>SakshiC346</v>
      </c>
      <c r="C8120" s="8">
        <f>IFERROR(__xludf.DUMMYFUNCTION("""COMPUTED_VALUE"""),2.0)</f>
        <v>2</v>
      </c>
      <c r="D8120" s="8">
        <f>IFERROR(__xludf.DUMMYFUNCTION("""COMPUTED_VALUE"""),1.0)</f>
        <v>1</v>
      </c>
    </row>
    <row r="8121">
      <c r="A8121" s="9" t="str">
        <f>IFERROR(__xludf.DUMMYFUNCTION("""COMPUTED_VALUE"""),"Batch 346")</f>
        <v>Batch 346</v>
      </c>
      <c r="B8121" s="9" t="str">
        <f>IFERROR(__xludf.DUMMYFUNCTION("""COMPUTED_VALUE"""),"RAGHULC346")</f>
        <v>RAGHULC346</v>
      </c>
      <c r="C8121" s="8">
        <f>IFERROR(__xludf.DUMMYFUNCTION("""COMPUTED_VALUE"""),0.0)</f>
        <v>0</v>
      </c>
      <c r="D8121" s="8"/>
    </row>
    <row r="8122">
      <c r="A8122" s="9" t="str">
        <f>IFERROR(__xludf.DUMMYFUNCTION("""COMPUTED_VALUE"""),"Batch 346")</f>
        <v>Batch 346</v>
      </c>
      <c r="B8122" s="9" t="str">
        <f>IFERROR(__xludf.DUMMYFUNCTION("""COMPUTED_VALUE"""),"AayushiC346")</f>
        <v>AayushiC346</v>
      </c>
      <c r="C8122" s="8">
        <f>IFERROR(__xludf.DUMMYFUNCTION("""COMPUTED_VALUE"""),5.0)</f>
        <v>5</v>
      </c>
      <c r="D8122" s="8">
        <f>IFERROR(__xludf.DUMMYFUNCTION("""COMPUTED_VALUE"""),2.0)</f>
        <v>2</v>
      </c>
    </row>
    <row r="8123">
      <c r="A8123" s="9" t="str">
        <f>IFERROR(__xludf.DUMMYFUNCTION("""COMPUTED_VALUE"""),"Batch 346")</f>
        <v>Batch 346</v>
      </c>
      <c r="B8123" s="9" t="str">
        <f>IFERROR(__xludf.DUMMYFUNCTION("""COMPUTED_VALUE"""),"NidhiC346")</f>
        <v>NidhiC346</v>
      </c>
      <c r="C8123" s="8">
        <f>IFERROR(__xludf.DUMMYFUNCTION("""COMPUTED_VALUE"""),15.0)</f>
        <v>15</v>
      </c>
      <c r="D8123" s="8">
        <f>IFERROR(__xludf.DUMMYFUNCTION("""COMPUTED_VALUE"""),8.0)</f>
        <v>8</v>
      </c>
    </row>
    <row r="8124">
      <c r="A8124" s="9" t="str">
        <f>IFERROR(__xludf.DUMMYFUNCTION("""COMPUTED_VALUE"""),"Batch 346")</f>
        <v>Batch 346</v>
      </c>
      <c r="B8124" s="9" t="str">
        <f>IFERROR(__xludf.DUMMYFUNCTION("""COMPUTED_VALUE"""),"SurayC346")</f>
        <v>SurayC346</v>
      </c>
      <c r="C8124" s="8">
        <f>IFERROR(__xludf.DUMMYFUNCTION("""COMPUTED_VALUE"""),0.0)</f>
        <v>0</v>
      </c>
      <c r="D8124" s="8"/>
    </row>
    <row r="8125">
      <c r="A8125" s="9" t="str">
        <f>IFERROR(__xludf.DUMMYFUNCTION("""COMPUTED_VALUE"""),"Batch 346")</f>
        <v>Batch 346</v>
      </c>
      <c r="B8125" s="9" t="str">
        <f>IFERROR(__xludf.DUMMYFUNCTION("""COMPUTED_VALUE"""),"AnushkaC346")</f>
        <v>AnushkaC346</v>
      </c>
      <c r="C8125" s="8">
        <f>IFERROR(__xludf.DUMMYFUNCTION("""COMPUTED_VALUE"""),0.0)</f>
        <v>0</v>
      </c>
      <c r="D8125" s="8"/>
    </row>
    <row r="8126">
      <c r="A8126" s="9" t="str">
        <f>IFERROR(__xludf.DUMMYFUNCTION("""COMPUTED_VALUE"""),"Batch 346")</f>
        <v>Batch 346</v>
      </c>
      <c r="B8126" s="9" t="str">
        <f>IFERROR(__xludf.DUMMYFUNCTION("""COMPUTED_VALUE"""),"SambhavC346")</f>
        <v>SambhavC346</v>
      </c>
      <c r="C8126" s="8">
        <f>IFERROR(__xludf.DUMMYFUNCTION("""COMPUTED_VALUE"""),1.0)</f>
        <v>1</v>
      </c>
      <c r="D8126" s="8"/>
    </row>
    <row r="8127">
      <c r="A8127" s="9" t="str">
        <f>IFERROR(__xludf.DUMMYFUNCTION("""COMPUTED_VALUE"""),"Batch 346")</f>
        <v>Batch 346</v>
      </c>
      <c r="B8127" s="9" t="str">
        <f>IFERROR(__xludf.DUMMYFUNCTION("""COMPUTED_VALUE"""),"PrithaC346")</f>
        <v>PrithaC346</v>
      </c>
      <c r="C8127" s="8">
        <f>IFERROR(__xludf.DUMMYFUNCTION("""COMPUTED_VALUE"""),0.0)</f>
        <v>0</v>
      </c>
      <c r="D8127" s="8"/>
    </row>
    <row r="8128">
      <c r="A8128" s="9" t="str">
        <f>IFERROR(__xludf.DUMMYFUNCTION("""COMPUTED_VALUE"""),"Batch 346")</f>
        <v>Batch 346</v>
      </c>
      <c r="B8128" s="9" t="str">
        <f>IFERROR(__xludf.DUMMYFUNCTION("""COMPUTED_VALUE"""),"RimshaC346")</f>
        <v>RimshaC346</v>
      </c>
      <c r="C8128" s="8">
        <f>IFERROR(__xludf.DUMMYFUNCTION("""COMPUTED_VALUE"""),0.0)</f>
        <v>0</v>
      </c>
      <c r="D8128" s="8"/>
    </row>
    <row r="8129">
      <c r="A8129" s="9" t="str">
        <f>IFERROR(__xludf.DUMMYFUNCTION("""COMPUTED_VALUE"""),"Batch 346")</f>
        <v>Batch 346</v>
      </c>
      <c r="B8129" s="9" t="str">
        <f>IFERROR(__xludf.DUMMYFUNCTION("""COMPUTED_VALUE"""),"ShifaC346")</f>
        <v>ShifaC346</v>
      </c>
      <c r="C8129" s="8">
        <f>IFERROR(__xludf.DUMMYFUNCTION("""COMPUTED_VALUE"""),0.0)</f>
        <v>0</v>
      </c>
      <c r="D8129" s="8"/>
    </row>
    <row r="8130">
      <c r="A8130" s="9" t="str">
        <f>IFERROR(__xludf.DUMMYFUNCTION("""COMPUTED_VALUE"""),"Batch 346")</f>
        <v>Batch 346</v>
      </c>
      <c r="B8130" s="9" t="str">
        <f>IFERROR(__xludf.DUMMYFUNCTION("""COMPUTED_VALUE"""),"NishantC346")</f>
        <v>NishantC346</v>
      </c>
      <c r="C8130" s="8">
        <f>IFERROR(__xludf.DUMMYFUNCTION("""COMPUTED_VALUE"""),100.0)</f>
        <v>100</v>
      </c>
      <c r="D8130" s="8">
        <f>IFERROR(__xludf.DUMMYFUNCTION("""COMPUTED_VALUE"""),22.0)</f>
        <v>22</v>
      </c>
    </row>
    <row r="8131">
      <c r="A8131" s="9" t="str">
        <f>IFERROR(__xludf.DUMMYFUNCTION("""COMPUTED_VALUE"""),"Batch 346")</f>
        <v>Batch 346</v>
      </c>
      <c r="B8131" s="9" t="str">
        <f>IFERROR(__xludf.DUMMYFUNCTION("""COMPUTED_VALUE"""),"VishalC346")</f>
        <v>VishalC346</v>
      </c>
      <c r="C8131" s="8">
        <f>IFERROR(__xludf.DUMMYFUNCTION("""COMPUTED_VALUE"""),0.0)</f>
        <v>0</v>
      </c>
      <c r="D8131" s="8"/>
    </row>
    <row r="8132">
      <c r="A8132" s="9" t="str">
        <f>IFERROR(__xludf.DUMMYFUNCTION("""COMPUTED_VALUE"""),"Batch 346")</f>
        <v>Batch 346</v>
      </c>
      <c r="B8132" s="9" t="str">
        <f>IFERROR(__xludf.DUMMYFUNCTION("""COMPUTED_VALUE"""),"AishwaryaC346")</f>
        <v>AishwaryaC346</v>
      </c>
      <c r="C8132" s="8">
        <f>IFERROR(__xludf.DUMMYFUNCTION("""COMPUTED_VALUE"""),0.0)</f>
        <v>0</v>
      </c>
      <c r="D8132" s="8"/>
    </row>
    <row r="8133">
      <c r="A8133" s="9" t="str">
        <f>IFERROR(__xludf.DUMMYFUNCTION("""COMPUTED_VALUE"""),"Batch 346")</f>
        <v>Batch 346</v>
      </c>
      <c r="B8133" s="9" t="str">
        <f>IFERROR(__xludf.DUMMYFUNCTION("""COMPUTED_VALUE"""),"RaviC346")</f>
        <v>RaviC346</v>
      </c>
      <c r="C8133" s="8">
        <f>IFERROR(__xludf.DUMMYFUNCTION("""COMPUTED_VALUE"""),0.0)</f>
        <v>0</v>
      </c>
      <c r="D8133" s="8"/>
    </row>
    <row r="8134">
      <c r="A8134" s="9" t="str">
        <f>IFERROR(__xludf.DUMMYFUNCTION("""COMPUTED_VALUE"""),"Batch 346")</f>
        <v>Batch 346</v>
      </c>
      <c r="B8134" s="9" t="str">
        <f>IFERROR(__xludf.DUMMYFUNCTION("""COMPUTED_VALUE"""),"HarisankarC346")</f>
        <v>HarisankarC346</v>
      </c>
      <c r="C8134" s="8">
        <f>IFERROR(__xludf.DUMMYFUNCTION("""COMPUTED_VALUE"""),0.0)</f>
        <v>0</v>
      </c>
      <c r="D8134" s="8"/>
    </row>
    <row r="8135">
      <c r="A8135" s="9" t="str">
        <f>IFERROR(__xludf.DUMMYFUNCTION("""COMPUTED_VALUE"""),"Batch 346")</f>
        <v>Batch 346</v>
      </c>
      <c r="B8135" s="9" t="str">
        <f>IFERROR(__xludf.DUMMYFUNCTION("""COMPUTED_VALUE"""),"AbhayC346")</f>
        <v>AbhayC346</v>
      </c>
      <c r="C8135" s="8">
        <f>IFERROR(__xludf.DUMMYFUNCTION("""COMPUTED_VALUE"""),0.0)</f>
        <v>0</v>
      </c>
      <c r="D8135" s="8"/>
    </row>
    <row r="8136">
      <c r="A8136" s="9" t="str">
        <f>IFERROR(__xludf.DUMMYFUNCTION("""COMPUTED_VALUE"""),"Batch 346")</f>
        <v>Batch 346</v>
      </c>
      <c r="B8136" s="9" t="str">
        <f>IFERROR(__xludf.DUMMYFUNCTION("""COMPUTED_VALUE"""),"MohammadC346")</f>
        <v>MohammadC346</v>
      </c>
      <c r="C8136" s="8">
        <f>IFERROR(__xludf.DUMMYFUNCTION("""COMPUTED_VALUE"""),0.0)</f>
        <v>0</v>
      </c>
      <c r="D8136" s="8"/>
    </row>
    <row r="8137">
      <c r="A8137" s="9" t="str">
        <f>IFERROR(__xludf.DUMMYFUNCTION("""COMPUTED_VALUE"""),"Batch 346")</f>
        <v>Batch 346</v>
      </c>
      <c r="B8137" s="9" t="str">
        <f>IFERROR(__xludf.DUMMYFUNCTION("""COMPUTED_VALUE"""),"AntrikshC346")</f>
        <v>AntrikshC346</v>
      </c>
      <c r="C8137" s="8">
        <f>IFERROR(__xludf.DUMMYFUNCTION("""COMPUTED_VALUE"""),0.0)</f>
        <v>0</v>
      </c>
      <c r="D8137" s="8"/>
    </row>
    <row r="8138">
      <c r="A8138" s="9" t="str">
        <f>IFERROR(__xludf.DUMMYFUNCTION("""COMPUTED_VALUE"""),"Batch 346")</f>
        <v>Batch 346</v>
      </c>
      <c r="B8138" s="9" t="str">
        <f>IFERROR(__xludf.DUMMYFUNCTION("""COMPUTED_VALUE"""),"VanshikaC346")</f>
        <v>VanshikaC346</v>
      </c>
      <c r="C8138" s="8">
        <f>IFERROR(__xludf.DUMMYFUNCTION("""COMPUTED_VALUE"""),0.0)</f>
        <v>0</v>
      </c>
      <c r="D8138" s="8"/>
    </row>
    <row r="8139">
      <c r="A8139" s="9" t="str">
        <f>IFERROR(__xludf.DUMMYFUNCTION("""COMPUTED_VALUE"""),"Batch 346")</f>
        <v>Batch 346</v>
      </c>
      <c r="B8139" s="9" t="str">
        <f>IFERROR(__xludf.DUMMYFUNCTION("""COMPUTED_VALUE"""),"BhaveshC346")</f>
        <v>BhaveshC346</v>
      </c>
      <c r="C8139" s="8">
        <f>IFERROR(__xludf.DUMMYFUNCTION("""COMPUTED_VALUE"""),0.0)</f>
        <v>0</v>
      </c>
      <c r="D8139" s="8"/>
    </row>
    <row r="8140">
      <c r="A8140" s="9" t="str">
        <f>IFERROR(__xludf.DUMMYFUNCTION("""COMPUTED_VALUE"""),"Batch 346")</f>
        <v>Batch 346</v>
      </c>
      <c r="B8140" s="9" t="str">
        <f>IFERROR(__xludf.DUMMYFUNCTION("""COMPUTED_VALUE"""),"UrviC346")</f>
        <v>UrviC346</v>
      </c>
      <c r="C8140" s="8">
        <f>IFERROR(__xludf.DUMMYFUNCTION("""COMPUTED_VALUE"""),0.0)</f>
        <v>0</v>
      </c>
      <c r="D8140" s="8"/>
    </row>
    <row r="8141">
      <c r="A8141" s="9" t="str">
        <f>IFERROR(__xludf.DUMMYFUNCTION("""COMPUTED_VALUE"""),"Batch 346")</f>
        <v>Batch 346</v>
      </c>
      <c r="B8141" s="9" t="str">
        <f>IFERROR(__xludf.DUMMYFUNCTION("""COMPUTED_VALUE"""),"AmanC346")</f>
        <v>AmanC346</v>
      </c>
      <c r="C8141" s="8">
        <f>IFERROR(__xludf.DUMMYFUNCTION("""COMPUTED_VALUE"""),0.0)</f>
        <v>0</v>
      </c>
      <c r="D8141" s="8"/>
    </row>
    <row r="8142">
      <c r="A8142" s="9" t="str">
        <f>IFERROR(__xludf.DUMMYFUNCTION("""COMPUTED_VALUE"""),"Batch 346")</f>
        <v>Batch 346</v>
      </c>
      <c r="B8142" s="9" t="str">
        <f>IFERROR(__xludf.DUMMYFUNCTION("""COMPUTED_VALUE"""),"SadafC346")</f>
        <v>SadafC346</v>
      </c>
      <c r="C8142" s="8">
        <f>IFERROR(__xludf.DUMMYFUNCTION("""COMPUTED_VALUE"""),2.0)</f>
        <v>2</v>
      </c>
      <c r="D8142" s="8">
        <f>IFERROR(__xludf.DUMMYFUNCTION("""COMPUTED_VALUE"""),5.0)</f>
        <v>5</v>
      </c>
    </row>
    <row r="8143">
      <c r="A8143" s="9" t="str">
        <f>IFERROR(__xludf.DUMMYFUNCTION("""COMPUTED_VALUE"""),"Batch 346")</f>
        <v>Batch 346</v>
      </c>
      <c r="B8143" s="9" t="str">
        <f>IFERROR(__xludf.DUMMYFUNCTION("""COMPUTED_VALUE"""),"TanishqC346")</f>
        <v>TanishqC346</v>
      </c>
      <c r="C8143" s="8">
        <f>IFERROR(__xludf.DUMMYFUNCTION("""COMPUTED_VALUE"""),0.0)</f>
        <v>0</v>
      </c>
      <c r="D8143" s="8"/>
    </row>
    <row r="8144">
      <c r="A8144" s="9" t="str">
        <f>IFERROR(__xludf.DUMMYFUNCTION("""COMPUTED_VALUE"""),"Batch 346")</f>
        <v>Batch 346</v>
      </c>
      <c r="B8144" s="9" t="str">
        <f>IFERROR(__xludf.DUMMYFUNCTION("""COMPUTED_VALUE"""),"RashiC346")</f>
        <v>RashiC346</v>
      </c>
      <c r="C8144" s="8">
        <f>IFERROR(__xludf.DUMMYFUNCTION("""COMPUTED_VALUE"""),0.0)</f>
        <v>0</v>
      </c>
      <c r="D8144" s="8"/>
    </row>
    <row r="8145">
      <c r="A8145" s="9" t="str">
        <f>IFERROR(__xludf.DUMMYFUNCTION("""COMPUTED_VALUE"""),"Batch 346")</f>
        <v>Batch 346</v>
      </c>
      <c r="B8145" s="9" t="str">
        <f>IFERROR(__xludf.DUMMYFUNCTION("""COMPUTED_VALUE"""),"MohammadC346")</f>
        <v>MohammadC346</v>
      </c>
      <c r="C8145" s="8">
        <f>IFERROR(__xludf.DUMMYFUNCTION("""COMPUTED_VALUE"""),0.0)</f>
        <v>0</v>
      </c>
      <c r="D8145" s="8"/>
    </row>
    <row r="8146">
      <c r="A8146" s="9" t="str">
        <f>IFERROR(__xludf.DUMMYFUNCTION("""COMPUTED_VALUE"""),"Batch 346")</f>
        <v>Batch 346</v>
      </c>
      <c r="B8146" s="9" t="str">
        <f>IFERROR(__xludf.DUMMYFUNCTION("""COMPUTED_VALUE"""),"ShivamC346")</f>
        <v>ShivamC346</v>
      </c>
      <c r="C8146" s="8">
        <f>IFERROR(__xludf.DUMMYFUNCTION("""COMPUTED_VALUE"""),0.0)</f>
        <v>0</v>
      </c>
      <c r="D8146" s="8"/>
    </row>
    <row r="8147">
      <c r="A8147" s="9" t="str">
        <f>IFERROR(__xludf.DUMMYFUNCTION("""COMPUTED_VALUE"""),"Batch 346")</f>
        <v>Batch 346</v>
      </c>
      <c r="B8147" s="9" t="str">
        <f>IFERROR(__xludf.DUMMYFUNCTION("""COMPUTED_VALUE"""),"KaranC346")</f>
        <v>KaranC346</v>
      </c>
      <c r="C8147" s="8">
        <f>IFERROR(__xludf.DUMMYFUNCTION("""COMPUTED_VALUE"""),0.0)</f>
        <v>0</v>
      </c>
      <c r="D8147" s="8"/>
    </row>
    <row r="8148">
      <c r="A8148" s="9" t="str">
        <f>IFERROR(__xludf.DUMMYFUNCTION("""COMPUTED_VALUE"""),"Batch 346")</f>
        <v>Batch 346</v>
      </c>
      <c r="B8148" s="9" t="str">
        <f>IFERROR(__xludf.DUMMYFUNCTION("""COMPUTED_VALUE"""),"KanishkC346")</f>
        <v>KanishkC346</v>
      </c>
      <c r="C8148" s="8">
        <f>IFERROR(__xludf.DUMMYFUNCTION("""COMPUTED_VALUE"""),0.0)</f>
        <v>0</v>
      </c>
      <c r="D8148" s="8"/>
    </row>
    <row r="8149">
      <c r="A8149" s="9" t="str">
        <f>IFERROR(__xludf.DUMMYFUNCTION("""COMPUTED_VALUE"""),"Batch 346")</f>
        <v>Batch 346</v>
      </c>
      <c r="B8149" s="9" t="str">
        <f>IFERROR(__xludf.DUMMYFUNCTION("""COMPUTED_VALUE"""),"VaidehiC346")</f>
        <v>VaidehiC346</v>
      </c>
      <c r="C8149" s="8">
        <f>IFERROR(__xludf.DUMMYFUNCTION("""COMPUTED_VALUE"""),0.0)</f>
        <v>0</v>
      </c>
      <c r="D8149" s="8"/>
    </row>
    <row r="8150">
      <c r="A8150" s="9" t="str">
        <f>IFERROR(__xludf.DUMMYFUNCTION("""COMPUTED_VALUE"""),"Batch 346")</f>
        <v>Batch 346</v>
      </c>
      <c r="B8150" s="9" t="str">
        <f>IFERROR(__xludf.DUMMYFUNCTION("""COMPUTED_VALUE"""),"OmC346")</f>
        <v>OmC346</v>
      </c>
      <c r="C8150" s="8">
        <f>IFERROR(__xludf.DUMMYFUNCTION("""COMPUTED_VALUE"""),15.0)</f>
        <v>15</v>
      </c>
      <c r="D8150" s="8">
        <f>IFERROR(__xludf.DUMMYFUNCTION("""COMPUTED_VALUE"""),11.0)</f>
        <v>11</v>
      </c>
    </row>
    <row r="8151">
      <c r="A8151" s="9" t="str">
        <f>IFERROR(__xludf.DUMMYFUNCTION("""COMPUTED_VALUE"""),"Batch 346")</f>
        <v>Batch 346</v>
      </c>
      <c r="B8151" s="9" t="str">
        <f>IFERROR(__xludf.DUMMYFUNCTION("""COMPUTED_VALUE"""),"AishwaryaC346")</f>
        <v>AishwaryaC346</v>
      </c>
      <c r="C8151" s="8">
        <f>IFERROR(__xludf.DUMMYFUNCTION("""COMPUTED_VALUE"""),0.0)</f>
        <v>0</v>
      </c>
      <c r="D8151" s="8"/>
    </row>
    <row r="8152">
      <c r="A8152" s="9" t="str">
        <f>IFERROR(__xludf.DUMMYFUNCTION("""COMPUTED_VALUE"""),"Batch 346")</f>
        <v>Batch 346</v>
      </c>
      <c r="B8152" s="9" t="str">
        <f>IFERROR(__xludf.DUMMYFUNCTION("""COMPUTED_VALUE"""),"kavanaC346")</f>
        <v>kavanaC346</v>
      </c>
      <c r="C8152" s="8">
        <f>IFERROR(__xludf.DUMMYFUNCTION("""COMPUTED_VALUE"""),0.0)</f>
        <v>0</v>
      </c>
      <c r="D8152" s="8"/>
    </row>
    <row r="8153">
      <c r="A8153" s="9" t="str">
        <f>IFERROR(__xludf.DUMMYFUNCTION("""COMPUTED_VALUE"""),"Batch 346")</f>
        <v>Batch 346</v>
      </c>
      <c r="B8153" s="9" t="str">
        <f>IFERROR(__xludf.DUMMYFUNCTION("""COMPUTED_VALUE"""),"RoshanC346")</f>
        <v>RoshanC346</v>
      </c>
      <c r="C8153" s="8">
        <f>IFERROR(__xludf.DUMMYFUNCTION("""COMPUTED_VALUE"""),0.0)</f>
        <v>0</v>
      </c>
      <c r="D8153" s="8"/>
    </row>
    <row r="8154">
      <c r="A8154" s="9" t="str">
        <f>IFERROR(__xludf.DUMMYFUNCTION("""COMPUTED_VALUE"""),"Batch 346")</f>
        <v>Batch 346</v>
      </c>
      <c r="B8154" s="9" t="str">
        <f>IFERROR(__xludf.DUMMYFUNCTION("""COMPUTED_VALUE"""),"BhagyashriC346")</f>
        <v>BhagyashriC346</v>
      </c>
      <c r="C8154" s="8">
        <f>IFERROR(__xludf.DUMMYFUNCTION("""COMPUTED_VALUE"""),0.0)</f>
        <v>0</v>
      </c>
      <c r="D8154" s="8"/>
    </row>
    <row r="8155">
      <c r="A8155" s="9" t="str">
        <f>IFERROR(__xludf.DUMMYFUNCTION("""COMPUTED_VALUE"""),"Batch 346")</f>
        <v>Batch 346</v>
      </c>
      <c r="B8155" s="9" t="str">
        <f>IFERROR(__xludf.DUMMYFUNCTION("""COMPUTED_VALUE"""),"BhoomiC346")</f>
        <v>BhoomiC346</v>
      </c>
      <c r="C8155" s="8">
        <f>IFERROR(__xludf.DUMMYFUNCTION("""COMPUTED_VALUE"""),0.0)</f>
        <v>0</v>
      </c>
      <c r="D8155" s="8"/>
    </row>
    <row r="8156">
      <c r="A8156" s="9" t="str">
        <f>IFERROR(__xludf.DUMMYFUNCTION("""COMPUTED_VALUE"""),"Batch 346")</f>
        <v>Batch 346</v>
      </c>
      <c r="B8156" s="9" t="str">
        <f>IFERROR(__xludf.DUMMYFUNCTION("""COMPUTED_VALUE"""),"DevanshC346")</f>
        <v>DevanshC346</v>
      </c>
      <c r="C8156" s="8">
        <f>IFERROR(__xludf.DUMMYFUNCTION("""COMPUTED_VALUE"""),0.0)</f>
        <v>0</v>
      </c>
      <c r="D8156" s="8"/>
    </row>
    <row r="8157">
      <c r="A8157" s="9" t="str">
        <f>IFERROR(__xludf.DUMMYFUNCTION("""COMPUTED_VALUE"""),"Batch 346")</f>
        <v>Batch 346</v>
      </c>
      <c r="B8157" s="9" t="str">
        <f>IFERROR(__xludf.DUMMYFUNCTION("""COMPUTED_VALUE"""),"AnikC346")</f>
        <v>AnikC346</v>
      </c>
      <c r="C8157" s="8">
        <f>IFERROR(__xludf.DUMMYFUNCTION("""COMPUTED_VALUE"""),0.0)</f>
        <v>0</v>
      </c>
      <c r="D8157" s="8"/>
    </row>
    <row r="8158">
      <c r="A8158" s="9" t="str">
        <f>IFERROR(__xludf.DUMMYFUNCTION("""COMPUTED_VALUE"""),"Batch 346")</f>
        <v>Batch 346</v>
      </c>
      <c r="B8158" s="9" t="str">
        <f>IFERROR(__xludf.DUMMYFUNCTION("""COMPUTED_VALUE"""),"AyushC346")</f>
        <v>AyushC346</v>
      </c>
      <c r="C8158" s="8">
        <f>IFERROR(__xludf.DUMMYFUNCTION("""COMPUTED_VALUE"""),0.0)</f>
        <v>0</v>
      </c>
      <c r="D8158" s="8"/>
    </row>
    <row r="8159">
      <c r="A8159" s="9" t="str">
        <f>IFERROR(__xludf.DUMMYFUNCTION("""COMPUTED_VALUE"""),"Batch 346")</f>
        <v>Batch 346</v>
      </c>
      <c r="B8159" s="9" t="str">
        <f>IFERROR(__xludf.DUMMYFUNCTION("""COMPUTED_VALUE"""),"HakimC346")</f>
        <v>HakimC346</v>
      </c>
      <c r="C8159" s="8">
        <f>IFERROR(__xludf.DUMMYFUNCTION("""COMPUTED_VALUE"""),0.0)</f>
        <v>0</v>
      </c>
      <c r="D8159" s="8"/>
    </row>
    <row r="8160">
      <c r="A8160" s="9" t="str">
        <f>IFERROR(__xludf.DUMMYFUNCTION("""COMPUTED_VALUE"""),"Batch 346")</f>
        <v>Batch 346</v>
      </c>
      <c r="B8160" s="9" t="str">
        <f>IFERROR(__xludf.DUMMYFUNCTION("""COMPUTED_VALUE"""),"SwayamC346")</f>
        <v>SwayamC346</v>
      </c>
      <c r="C8160" s="8">
        <f>IFERROR(__xludf.DUMMYFUNCTION("""COMPUTED_VALUE"""),0.0)</f>
        <v>0</v>
      </c>
      <c r="D8160" s="8"/>
    </row>
    <row r="8161">
      <c r="A8161" s="9" t="str">
        <f>IFERROR(__xludf.DUMMYFUNCTION("""COMPUTED_VALUE"""),"Batch 346")</f>
        <v>Batch 346</v>
      </c>
      <c r="B8161" s="9" t="str">
        <f>IFERROR(__xludf.DUMMYFUNCTION("""COMPUTED_VALUE"""),"InjamalaC346")</f>
        <v>InjamalaC346</v>
      </c>
      <c r="C8161" s="8">
        <f>IFERROR(__xludf.DUMMYFUNCTION("""COMPUTED_VALUE"""),0.0)</f>
        <v>0</v>
      </c>
      <c r="D8161" s="8"/>
    </row>
    <row r="8162">
      <c r="A8162" s="9" t="str">
        <f>IFERROR(__xludf.DUMMYFUNCTION("""COMPUTED_VALUE"""),"Batch 346")</f>
        <v>Batch 346</v>
      </c>
      <c r="B8162" s="9" t="str">
        <f>IFERROR(__xludf.DUMMYFUNCTION("""COMPUTED_VALUE"""),"NidhiTC346")</f>
        <v>NidhiTC346</v>
      </c>
      <c r="C8162" s="8">
        <f>IFERROR(__xludf.DUMMYFUNCTION("""COMPUTED_VALUE"""),0.0)</f>
        <v>0</v>
      </c>
      <c r="D8162" s="8"/>
    </row>
    <row r="8163">
      <c r="A8163" s="9" t="str">
        <f>IFERROR(__xludf.DUMMYFUNCTION("""COMPUTED_VALUE"""),"Batch 346")</f>
        <v>Batch 346</v>
      </c>
      <c r="B8163" s="9" t="str">
        <f>IFERROR(__xludf.DUMMYFUNCTION("""COMPUTED_VALUE"""),"PratyakshC346")</f>
        <v>PratyakshC346</v>
      </c>
      <c r="C8163" s="8">
        <f>IFERROR(__xludf.DUMMYFUNCTION("""COMPUTED_VALUE"""),3.0)</f>
        <v>3</v>
      </c>
      <c r="D8163" s="8"/>
    </row>
    <row r="8164">
      <c r="A8164" s="9" t="str">
        <f>IFERROR(__xludf.DUMMYFUNCTION("""COMPUTED_VALUE"""),"Batch 346")</f>
        <v>Batch 346</v>
      </c>
      <c r="B8164" s="9" t="str">
        <f>IFERROR(__xludf.DUMMYFUNCTION("""COMPUTED_VALUE"""),"TarunC346")</f>
        <v>TarunC346</v>
      </c>
      <c r="C8164" s="8">
        <f>IFERROR(__xludf.DUMMYFUNCTION("""COMPUTED_VALUE"""),0.0)</f>
        <v>0</v>
      </c>
      <c r="D8164" s="8"/>
    </row>
    <row r="8165">
      <c r="A8165" s="9" t="str">
        <f>IFERROR(__xludf.DUMMYFUNCTION("""COMPUTED_VALUE"""),"Batch 346")</f>
        <v>Batch 346</v>
      </c>
      <c r="B8165" s="9" t="str">
        <f>IFERROR(__xludf.DUMMYFUNCTION("""COMPUTED_VALUE"""),"YashC346")</f>
        <v>YashC346</v>
      </c>
      <c r="C8165" s="8">
        <f>IFERROR(__xludf.DUMMYFUNCTION("""COMPUTED_VALUE"""),0.0)</f>
        <v>0</v>
      </c>
      <c r="D8165" s="8"/>
    </row>
    <row r="8166">
      <c r="A8166" s="9" t="str">
        <f>IFERROR(__xludf.DUMMYFUNCTION("""COMPUTED_VALUE"""),"Batch 346")</f>
        <v>Batch 346</v>
      </c>
      <c r="B8166" s="9" t="str">
        <f>IFERROR(__xludf.DUMMYFUNCTION("""COMPUTED_VALUE"""),"DevyanshiC346")</f>
        <v>DevyanshiC346</v>
      </c>
      <c r="C8166" s="8">
        <f>IFERROR(__xludf.DUMMYFUNCTION("""COMPUTED_VALUE"""),1.0)</f>
        <v>1</v>
      </c>
      <c r="D8166" s="8"/>
    </row>
    <row r="8167">
      <c r="A8167" s="9" t="str">
        <f>IFERROR(__xludf.DUMMYFUNCTION("""COMPUTED_VALUE"""),"Batch 346")</f>
        <v>Batch 346</v>
      </c>
      <c r="B8167" s="9" t="str">
        <f>IFERROR(__xludf.DUMMYFUNCTION("""COMPUTED_VALUE"""),"SurajC346")</f>
        <v>SurajC346</v>
      </c>
      <c r="C8167" s="8">
        <f>IFERROR(__xludf.DUMMYFUNCTION("""COMPUTED_VALUE"""),1.0)</f>
        <v>1</v>
      </c>
      <c r="D8167" s="8"/>
    </row>
    <row r="8168">
      <c r="A8168" s="9" t="str">
        <f>IFERROR(__xludf.DUMMYFUNCTION("""COMPUTED_VALUE"""),"Batch 346")</f>
        <v>Batch 346</v>
      </c>
      <c r="B8168" s="9" t="str">
        <f>IFERROR(__xludf.DUMMYFUNCTION("""COMPUTED_VALUE"""),"SnehaC346")</f>
        <v>SnehaC346</v>
      </c>
      <c r="C8168" s="8">
        <f>IFERROR(__xludf.DUMMYFUNCTION("""COMPUTED_VALUE"""),3.0)</f>
        <v>3</v>
      </c>
      <c r="D8168" s="8"/>
    </row>
    <row r="8169">
      <c r="A8169" s="9" t="str">
        <f>IFERROR(__xludf.DUMMYFUNCTION("""COMPUTED_VALUE"""),"Batch 346")</f>
        <v>Batch 346</v>
      </c>
      <c r="B8169" s="9" t="str">
        <f>IFERROR(__xludf.DUMMYFUNCTION("""COMPUTED_VALUE"""),"SomnathC346")</f>
        <v>SomnathC346</v>
      </c>
      <c r="C8169" s="8">
        <f>IFERROR(__xludf.DUMMYFUNCTION("""COMPUTED_VALUE"""),4.0)</f>
        <v>4</v>
      </c>
      <c r="D8169" s="8"/>
    </row>
    <row r="8170">
      <c r="A8170" s="9" t="str">
        <f>IFERROR(__xludf.DUMMYFUNCTION("""COMPUTED_VALUE"""),"Batch 346")</f>
        <v>Batch 346</v>
      </c>
      <c r="B8170" s="9" t="str">
        <f>IFERROR(__xludf.DUMMYFUNCTION("""COMPUTED_VALUE"""),"AadeshC346")</f>
        <v>AadeshC346</v>
      </c>
      <c r="C8170" s="8">
        <f>IFERROR(__xludf.DUMMYFUNCTION("""COMPUTED_VALUE"""),0.0)</f>
        <v>0</v>
      </c>
      <c r="D8170" s="8"/>
    </row>
    <row r="8171">
      <c r="A8171" s="9" t="str">
        <f>IFERROR(__xludf.DUMMYFUNCTION("""COMPUTED_VALUE"""),"Batch 346")</f>
        <v>Batch 346</v>
      </c>
      <c r="B8171" s="9" t="str">
        <f>IFERROR(__xludf.DUMMYFUNCTION("""COMPUTED_VALUE"""),"LakshitaC346")</f>
        <v>LakshitaC346</v>
      </c>
      <c r="C8171" s="8">
        <f>IFERROR(__xludf.DUMMYFUNCTION("""COMPUTED_VALUE"""),0.0)</f>
        <v>0</v>
      </c>
      <c r="D8171" s="8"/>
    </row>
    <row r="8172">
      <c r="A8172" s="9" t="str">
        <f>IFERROR(__xludf.DUMMYFUNCTION("""COMPUTED_VALUE"""),"Batch 346")</f>
        <v>Batch 346</v>
      </c>
      <c r="B8172" s="9" t="str">
        <f>IFERROR(__xludf.DUMMYFUNCTION("""COMPUTED_VALUE"""),"MayankC346")</f>
        <v>MayankC346</v>
      </c>
      <c r="C8172" s="8">
        <f>IFERROR(__xludf.DUMMYFUNCTION("""COMPUTED_VALUE"""),0.0)</f>
        <v>0</v>
      </c>
      <c r="D8172" s="8"/>
    </row>
    <row r="8173">
      <c r="A8173" s="9" t="str">
        <f>IFERROR(__xludf.DUMMYFUNCTION("""COMPUTED_VALUE"""),"Batch 346")</f>
        <v>Batch 346</v>
      </c>
      <c r="B8173" s="9" t="str">
        <f>IFERROR(__xludf.DUMMYFUNCTION("""COMPUTED_VALUE"""),"BhumikaC346")</f>
        <v>BhumikaC346</v>
      </c>
      <c r="C8173" s="8">
        <f>IFERROR(__xludf.DUMMYFUNCTION("""COMPUTED_VALUE"""),0.0)</f>
        <v>0</v>
      </c>
      <c r="D8173" s="8"/>
    </row>
    <row r="8174">
      <c r="A8174" s="9" t="str">
        <f>IFERROR(__xludf.DUMMYFUNCTION("""COMPUTED_VALUE"""),"Batch 346")</f>
        <v>Batch 346</v>
      </c>
      <c r="B8174" s="9" t="str">
        <f>IFERROR(__xludf.DUMMYFUNCTION("""COMPUTED_VALUE"""),"NehaC346")</f>
        <v>NehaC346</v>
      </c>
      <c r="C8174" s="8">
        <f>IFERROR(__xludf.DUMMYFUNCTION("""COMPUTED_VALUE"""),4.0)</f>
        <v>4</v>
      </c>
      <c r="D8174" s="8"/>
    </row>
    <row r="8175">
      <c r="A8175" s="9" t="str">
        <f>IFERROR(__xludf.DUMMYFUNCTION("""COMPUTED_VALUE"""),"Batch 346")</f>
        <v>Batch 346</v>
      </c>
      <c r="B8175" s="9" t="str">
        <f>IFERROR(__xludf.DUMMYFUNCTION("""COMPUTED_VALUE"""),"AnanyaC346")</f>
        <v>AnanyaC346</v>
      </c>
      <c r="C8175" s="8">
        <f>IFERROR(__xludf.DUMMYFUNCTION("""COMPUTED_VALUE"""),0.0)</f>
        <v>0</v>
      </c>
      <c r="D8175" s="8"/>
    </row>
    <row r="8176">
      <c r="A8176" s="9" t="str">
        <f>IFERROR(__xludf.DUMMYFUNCTION("""COMPUTED_VALUE"""),"Batch 346")</f>
        <v>Batch 346</v>
      </c>
      <c r="B8176" s="9" t="str">
        <f>IFERROR(__xludf.DUMMYFUNCTION("""COMPUTED_VALUE"""),"JiyaC346")</f>
        <v>JiyaC346</v>
      </c>
      <c r="C8176" s="8">
        <f>IFERROR(__xludf.DUMMYFUNCTION("""COMPUTED_VALUE"""),0.0)</f>
        <v>0</v>
      </c>
      <c r="D8176" s="8"/>
    </row>
    <row r="8177">
      <c r="A8177" s="9" t="str">
        <f>IFERROR(__xludf.DUMMYFUNCTION("""COMPUTED_VALUE"""),"Batch 346")</f>
        <v>Batch 346</v>
      </c>
      <c r="B8177" s="9" t="str">
        <f>IFERROR(__xludf.DUMMYFUNCTION("""COMPUTED_VALUE"""),"MuskanC346")</f>
        <v>MuskanC346</v>
      </c>
      <c r="C8177" s="8">
        <f>IFERROR(__xludf.DUMMYFUNCTION("""COMPUTED_VALUE"""),0.0)</f>
        <v>0</v>
      </c>
      <c r="D8177" s="8"/>
    </row>
    <row r="8178">
      <c r="A8178" s="9" t="str">
        <f>IFERROR(__xludf.DUMMYFUNCTION("""COMPUTED_VALUE"""),"Batch 346")</f>
        <v>Batch 346</v>
      </c>
      <c r="B8178" s="9" t="str">
        <f>IFERROR(__xludf.DUMMYFUNCTION("""COMPUTED_VALUE"""),"KoppadiC346")</f>
        <v>KoppadiC346</v>
      </c>
      <c r="C8178" s="8">
        <f>IFERROR(__xludf.DUMMYFUNCTION("""COMPUTED_VALUE"""),0.0)</f>
        <v>0</v>
      </c>
      <c r="D8178" s="8"/>
    </row>
    <row r="8179">
      <c r="A8179" s="9" t="str">
        <f>IFERROR(__xludf.DUMMYFUNCTION("""COMPUTED_VALUE"""),"Batch 346")</f>
        <v>Batch 346</v>
      </c>
      <c r="B8179" s="9" t="str">
        <f>IFERROR(__xludf.DUMMYFUNCTION("""COMPUTED_VALUE"""),"RaghavC346")</f>
        <v>RaghavC346</v>
      </c>
      <c r="C8179" s="8">
        <f>IFERROR(__xludf.DUMMYFUNCTION("""COMPUTED_VALUE"""),0.0)</f>
        <v>0</v>
      </c>
      <c r="D8179" s="8"/>
    </row>
    <row r="8180">
      <c r="A8180" s="9" t="str">
        <f>IFERROR(__xludf.DUMMYFUNCTION("""COMPUTED_VALUE"""),"Batch 346")</f>
        <v>Batch 346</v>
      </c>
      <c r="B8180" s="9" t="str">
        <f>IFERROR(__xludf.DUMMYFUNCTION("""COMPUTED_VALUE"""),"AmarC346")</f>
        <v>AmarC346</v>
      </c>
      <c r="C8180" s="8">
        <f>IFERROR(__xludf.DUMMYFUNCTION("""COMPUTED_VALUE"""),0.0)</f>
        <v>0</v>
      </c>
      <c r="D8180" s="8"/>
    </row>
    <row r="8181">
      <c r="A8181" s="9" t="str">
        <f>IFERROR(__xludf.DUMMYFUNCTION("""COMPUTED_VALUE"""),"Batch 346")</f>
        <v>Batch 346</v>
      </c>
      <c r="B8181" s="9" t="str">
        <f>IFERROR(__xludf.DUMMYFUNCTION("""COMPUTED_VALUE"""),"ShomyaC346")</f>
        <v>ShomyaC346</v>
      </c>
      <c r="C8181" s="8">
        <f>IFERROR(__xludf.DUMMYFUNCTION("""COMPUTED_VALUE"""),0.0)</f>
        <v>0</v>
      </c>
      <c r="D8181" s="8"/>
    </row>
    <row r="8182">
      <c r="A8182" s="9" t="str">
        <f>IFERROR(__xludf.DUMMYFUNCTION("""COMPUTED_VALUE"""),"Batch 346")</f>
        <v>Batch 346</v>
      </c>
      <c r="B8182" s="9" t="str">
        <f>IFERROR(__xludf.DUMMYFUNCTION("""COMPUTED_VALUE"""),"AmanpC346")</f>
        <v>AmanpC346</v>
      </c>
      <c r="C8182" s="8">
        <f>IFERROR(__xludf.DUMMYFUNCTION("""COMPUTED_VALUE"""),0.0)</f>
        <v>0</v>
      </c>
      <c r="D8182" s="8"/>
    </row>
    <row r="8183">
      <c r="A8183" s="9" t="str">
        <f>IFERROR(__xludf.DUMMYFUNCTION("""COMPUTED_VALUE"""),"Batch 346")</f>
        <v>Batch 346</v>
      </c>
      <c r="B8183" s="9" t="str">
        <f>IFERROR(__xludf.DUMMYFUNCTION("""COMPUTED_VALUE"""),"NishthaC346")</f>
        <v>NishthaC346</v>
      </c>
      <c r="C8183" s="8">
        <f>IFERROR(__xludf.DUMMYFUNCTION("""COMPUTED_VALUE"""),0.0)</f>
        <v>0</v>
      </c>
      <c r="D8183" s="8"/>
    </row>
    <row r="8184">
      <c r="A8184" s="9" t="str">
        <f>IFERROR(__xludf.DUMMYFUNCTION("""COMPUTED_VALUE"""),"Batch 346")</f>
        <v>Batch 346</v>
      </c>
      <c r="B8184" s="9" t="str">
        <f>IFERROR(__xludf.DUMMYFUNCTION("""COMPUTED_VALUE"""),"HemanshiC346")</f>
        <v>HemanshiC346</v>
      </c>
      <c r="C8184" s="8">
        <f>IFERROR(__xludf.DUMMYFUNCTION("""COMPUTED_VALUE"""),0.0)</f>
        <v>0</v>
      </c>
      <c r="D8184" s="8"/>
    </row>
    <row r="8185">
      <c r="A8185" s="9" t="str">
        <f>IFERROR(__xludf.DUMMYFUNCTION("""COMPUTED_VALUE"""),"Batch 346")</f>
        <v>Batch 346</v>
      </c>
      <c r="B8185" s="9" t="str">
        <f>IFERROR(__xludf.DUMMYFUNCTION("""COMPUTED_VALUE"""),"UrshitaC346")</f>
        <v>UrshitaC346</v>
      </c>
      <c r="C8185" s="8">
        <f>IFERROR(__xludf.DUMMYFUNCTION("""COMPUTED_VALUE"""),0.0)</f>
        <v>0</v>
      </c>
      <c r="D8185" s="8"/>
    </row>
    <row r="8186">
      <c r="A8186" s="9" t="str">
        <f>IFERROR(__xludf.DUMMYFUNCTION("""COMPUTED_VALUE"""),"Batch 346")</f>
        <v>Batch 346</v>
      </c>
      <c r="B8186" s="9" t="str">
        <f>IFERROR(__xludf.DUMMYFUNCTION("""COMPUTED_VALUE"""),"AbhayC346")</f>
        <v>AbhayC346</v>
      </c>
      <c r="C8186" s="8">
        <f>IFERROR(__xludf.DUMMYFUNCTION("""COMPUTED_VALUE"""),0.0)</f>
        <v>0</v>
      </c>
      <c r="D8186" s="8"/>
    </row>
    <row r="8187">
      <c r="A8187" s="9" t="str">
        <f>IFERROR(__xludf.DUMMYFUNCTION("""COMPUTED_VALUE"""),"Batch 346")</f>
        <v>Batch 346</v>
      </c>
      <c r="B8187" s="9" t="str">
        <f>IFERROR(__xludf.DUMMYFUNCTION("""COMPUTED_VALUE"""),"SonalC346")</f>
        <v>SonalC346</v>
      </c>
      <c r="C8187" s="8">
        <f>IFERROR(__xludf.DUMMYFUNCTION("""COMPUTED_VALUE"""),4.0)</f>
        <v>4</v>
      </c>
      <c r="D8187" s="8"/>
    </row>
    <row r="8188">
      <c r="A8188" s="9" t="str">
        <f>IFERROR(__xludf.DUMMYFUNCTION("""COMPUTED_VALUE"""),"Batch 346")</f>
        <v>Batch 346</v>
      </c>
      <c r="B8188" s="9" t="str">
        <f>IFERROR(__xludf.DUMMYFUNCTION("""COMPUTED_VALUE"""),"AmanC346")</f>
        <v>AmanC346</v>
      </c>
      <c r="C8188" s="8">
        <f>IFERROR(__xludf.DUMMYFUNCTION("""COMPUTED_VALUE"""),1.0)</f>
        <v>1</v>
      </c>
      <c r="D8188" s="8"/>
    </row>
    <row r="8189">
      <c r="A8189" s="9" t="str">
        <f>IFERROR(__xludf.DUMMYFUNCTION("""COMPUTED_VALUE"""),"Batch 346")</f>
        <v>Batch 346</v>
      </c>
      <c r="B8189" s="9" t="str">
        <f>IFERROR(__xludf.DUMMYFUNCTION("""COMPUTED_VALUE"""),"VandanaC346")</f>
        <v>VandanaC346</v>
      </c>
      <c r="C8189" s="8">
        <f>IFERROR(__xludf.DUMMYFUNCTION("""COMPUTED_VALUE"""),0.0)</f>
        <v>0</v>
      </c>
      <c r="D8189" s="8"/>
    </row>
    <row r="8190">
      <c r="A8190" s="9" t="str">
        <f>IFERROR(__xludf.DUMMYFUNCTION("""COMPUTED_VALUE"""),"Batch 346")</f>
        <v>Batch 346</v>
      </c>
      <c r="B8190" s="9" t="str">
        <f>IFERROR(__xludf.DUMMYFUNCTION("""COMPUTED_VALUE"""),"RISHOOC346")</f>
        <v>RISHOOC346</v>
      </c>
      <c r="C8190" s="8">
        <f>IFERROR(__xludf.DUMMYFUNCTION("""COMPUTED_VALUE"""),0.0)</f>
        <v>0</v>
      </c>
      <c r="D8190" s="8"/>
    </row>
    <row r="8191">
      <c r="A8191" s="9" t="str">
        <f>IFERROR(__xludf.DUMMYFUNCTION("""COMPUTED_VALUE"""),"Batch 346")</f>
        <v>Batch 346</v>
      </c>
      <c r="B8191" s="9" t="str">
        <f>IFERROR(__xludf.DUMMYFUNCTION("""COMPUTED_VALUE"""),"AyushSC346")</f>
        <v>AyushSC346</v>
      </c>
      <c r="C8191" s="8">
        <f>IFERROR(__xludf.DUMMYFUNCTION("""COMPUTED_VALUE"""),0.0)</f>
        <v>0</v>
      </c>
      <c r="D8191" s="8"/>
    </row>
    <row r="8192">
      <c r="A8192" s="9" t="str">
        <f>IFERROR(__xludf.DUMMYFUNCTION("""COMPUTED_VALUE"""),"Batch 346")</f>
        <v>Batch 346</v>
      </c>
      <c r="B8192" s="9" t="str">
        <f>IFERROR(__xludf.DUMMYFUNCTION("""COMPUTED_VALUE"""),"r.yamunaC346")</f>
        <v>r.yamunaC346</v>
      </c>
      <c r="C8192" s="8">
        <f>IFERROR(__xludf.DUMMYFUNCTION("""COMPUTED_VALUE"""),0.0)</f>
        <v>0</v>
      </c>
      <c r="D8192" s="8"/>
    </row>
    <row r="8193">
      <c r="A8193" s="9" t="str">
        <f>IFERROR(__xludf.DUMMYFUNCTION("""COMPUTED_VALUE"""),"Batch 346")</f>
        <v>Batch 346</v>
      </c>
      <c r="B8193" s="9" t="str">
        <f>IFERROR(__xludf.DUMMYFUNCTION("""COMPUTED_VALUE"""),"BhoomiSC346")</f>
        <v>BhoomiSC346</v>
      </c>
      <c r="C8193" s="8">
        <f>IFERROR(__xludf.DUMMYFUNCTION("""COMPUTED_VALUE"""),11.0)</f>
        <v>11</v>
      </c>
      <c r="D8193" s="8">
        <f>IFERROR(__xludf.DUMMYFUNCTION("""COMPUTED_VALUE"""),4.0)</f>
        <v>4</v>
      </c>
    </row>
    <row r="8194">
      <c r="A8194" s="9" t="str">
        <f>IFERROR(__xludf.DUMMYFUNCTION("""COMPUTED_VALUE"""),"Batch 346")</f>
        <v>Batch 346</v>
      </c>
      <c r="B8194" s="9" t="str">
        <f>IFERROR(__xludf.DUMMYFUNCTION("""COMPUTED_VALUE"""),"ShresthaC346")</f>
        <v>ShresthaC346</v>
      </c>
      <c r="C8194" s="8">
        <f>IFERROR(__xludf.DUMMYFUNCTION("""COMPUTED_VALUE"""),0.0)</f>
        <v>0</v>
      </c>
      <c r="D8194" s="8"/>
    </row>
    <row r="8195">
      <c r="A8195" s="9" t="str">
        <f>IFERROR(__xludf.DUMMYFUNCTION("""COMPUTED_VALUE"""),"Batch 346")</f>
        <v>Batch 346</v>
      </c>
      <c r="B8195" s="9" t="str">
        <f>IFERROR(__xludf.DUMMYFUNCTION("""COMPUTED_VALUE"""),"AlishaC346")</f>
        <v>AlishaC346</v>
      </c>
      <c r="C8195" s="8">
        <f>IFERROR(__xludf.DUMMYFUNCTION("""COMPUTED_VALUE"""),12.0)</f>
        <v>12</v>
      </c>
      <c r="D8195" s="8"/>
    </row>
    <row r="8196">
      <c r="A8196" s="9" t="str">
        <f>IFERROR(__xludf.DUMMYFUNCTION("""COMPUTED_VALUE"""),"Batch 346")</f>
        <v>Batch 346</v>
      </c>
      <c r="B8196" s="9" t="str">
        <f>IFERROR(__xludf.DUMMYFUNCTION("""COMPUTED_VALUE"""),"KritikaC346")</f>
        <v>KritikaC346</v>
      </c>
      <c r="C8196" s="8">
        <f>IFERROR(__xludf.DUMMYFUNCTION("""COMPUTED_VALUE"""),5.0)</f>
        <v>5</v>
      </c>
      <c r="D8196" s="8"/>
    </row>
    <row r="8197">
      <c r="A8197" s="9" t="str">
        <f>IFERROR(__xludf.DUMMYFUNCTION("""COMPUTED_VALUE"""),"Batch 346")</f>
        <v>Batch 346</v>
      </c>
      <c r="B8197" s="9" t="str">
        <f>IFERROR(__xludf.DUMMYFUNCTION("""COMPUTED_VALUE"""),"NiyatiC346")</f>
        <v>NiyatiC346</v>
      </c>
      <c r="C8197" s="8">
        <f>IFERROR(__xludf.DUMMYFUNCTION("""COMPUTED_VALUE"""),2.0)</f>
        <v>2</v>
      </c>
      <c r="D8197" s="8">
        <f>IFERROR(__xludf.DUMMYFUNCTION("""COMPUTED_VALUE"""),1.0)</f>
        <v>1</v>
      </c>
    </row>
    <row r="8198">
      <c r="A8198" s="9" t="str">
        <f>IFERROR(__xludf.DUMMYFUNCTION("""COMPUTED_VALUE"""),"Batch 346")</f>
        <v>Batch 346</v>
      </c>
      <c r="B8198" s="9" t="str">
        <f>IFERROR(__xludf.DUMMYFUNCTION("""COMPUTED_VALUE"""),"DishaC346")</f>
        <v>DishaC346</v>
      </c>
      <c r="C8198" s="8">
        <f>IFERROR(__xludf.DUMMYFUNCTION("""COMPUTED_VALUE"""),0.0)</f>
        <v>0</v>
      </c>
      <c r="D8198" s="8"/>
    </row>
    <row r="8199">
      <c r="A8199" s="9" t="str">
        <f>IFERROR(__xludf.DUMMYFUNCTION("""COMPUTED_VALUE"""),"Batch 346")</f>
        <v>Batch 346</v>
      </c>
      <c r="B8199" s="9" t="str">
        <f>IFERROR(__xludf.DUMMYFUNCTION("""COMPUTED_VALUE"""),"ShanjeevC346")</f>
        <v>ShanjeevC346</v>
      </c>
      <c r="C8199" s="8">
        <f>IFERROR(__xludf.DUMMYFUNCTION("""COMPUTED_VALUE"""),0.0)</f>
        <v>0</v>
      </c>
      <c r="D8199" s="8"/>
    </row>
    <row r="8200">
      <c r="A8200" s="9" t="str">
        <f>IFERROR(__xludf.DUMMYFUNCTION("""COMPUTED_VALUE"""),"Batch 346")</f>
        <v>Batch 346</v>
      </c>
      <c r="B8200" s="9" t="str">
        <f>IFERROR(__xludf.DUMMYFUNCTION("""COMPUTED_VALUE"""),"RitikC346")</f>
        <v>RitikC346</v>
      </c>
      <c r="C8200" s="8">
        <f>IFERROR(__xludf.DUMMYFUNCTION("""COMPUTED_VALUE"""),0.0)</f>
        <v>0</v>
      </c>
      <c r="D8200" s="8"/>
    </row>
    <row r="8201">
      <c r="A8201" s="9" t="str">
        <f>IFERROR(__xludf.DUMMYFUNCTION("""COMPUTED_VALUE"""),"Batch 346")</f>
        <v>Batch 346</v>
      </c>
      <c r="B8201" s="9" t="str">
        <f>IFERROR(__xludf.DUMMYFUNCTION("""COMPUTED_VALUE"""),"PratikshaC346")</f>
        <v>PratikshaC346</v>
      </c>
      <c r="C8201" s="8">
        <f>IFERROR(__xludf.DUMMYFUNCTION("""COMPUTED_VALUE"""),0.0)</f>
        <v>0</v>
      </c>
      <c r="D8201" s="8"/>
    </row>
    <row r="8202">
      <c r="A8202" s="9" t="str">
        <f>IFERROR(__xludf.DUMMYFUNCTION("""COMPUTED_VALUE"""),"Batch 346")</f>
        <v>Batch 346</v>
      </c>
      <c r="B8202" s="9" t="str">
        <f>IFERROR(__xludf.DUMMYFUNCTION("""COMPUTED_VALUE"""),"PranavC346")</f>
        <v>PranavC346</v>
      </c>
      <c r="C8202" s="8">
        <f>IFERROR(__xludf.DUMMYFUNCTION("""COMPUTED_VALUE"""),0.0)</f>
        <v>0</v>
      </c>
      <c r="D8202" s="8"/>
    </row>
    <row r="8203">
      <c r="A8203" s="9" t="str">
        <f>IFERROR(__xludf.DUMMYFUNCTION("""COMPUTED_VALUE"""),"Batch 346")</f>
        <v>Batch 346</v>
      </c>
      <c r="B8203" s="9" t="str">
        <f>IFERROR(__xludf.DUMMYFUNCTION("""COMPUTED_VALUE"""),"EsakkimoorthyC346")</f>
        <v>EsakkimoorthyC346</v>
      </c>
      <c r="C8203" s="8">
        <f>IFERROR(__xludf.DUMMYFUNCTION("""COMPUTED_VALUE"""),0.0)</f>
        <v>0</v>
      </c>
      <c r="D8203" s="8"/>
    </row>
    <row r="8204">
      <c r="A8204" s="9" t="str">
        <f>IFERROR(__xludf.DUMMYFUNCTION("""COMPUTED_VALUE"""),"Batch 346")</f>
        <v>Batch 346</v>
      </c>
      <c r="B8204" s="9" t="str">
        <f>IFERROR(__xludf.DUMMYFUNCTION("""COMPUTED_VALUE"""),"FaizaC346")</f>
        <v>FaizaC346</v>
      </c>
      <c r="C8204" s="8">
        <f>IFERROR(__xludf.DUMMYFUNCTION("""COMPUTED_VALUE"""),0.0)</f>
        <v>0</v>
      </c>
      <c r="D8204" s="8"/>
    </row>
    <row r="8205">
      <c r="A8205" s="9" t="str">
        <f>IFERROR(__xludf.DUMMYFUNCTION("""COMPUTED_VALUE"""),"Batch 346")</f>
        <v>Batch 346</v>
      </c>
      <c r="B8205" s="9" t="str">
        <f>IFERROR(__xludf.DUMMYFUNCTION("""COMPUTED_VALUE"""),"SanskritiC346")</f>
        <v>SanskritiC346</v>
      </c>
      <c r="C8205" s="8">
        <f>IFERROR(__xludf.DUMMYFUNCTION("""COMPUTED_VALUE"""),8.0)</f>
        <v>8</v>
      </c>
      <c r="D8205" s="8"/>
    </row>
    <row r="8206">
      <c r="A8206" s="9" t="str">
        <f>IFERROR(__xludf.DUMMYFUNCTION("""COMPUTED_VALUE"""),"Batch 346")</f>
        <v>Batch 346</v>
      </c>
      <c r="B8206" s="9" t="str">
        <f>IFERROR(__xludf.DUMMYFUNCTION("""COMPUTED_VALUE"""),"VarunC346")</f>
        <v>VarunC346</v>
      </c>
      <c r="C8206" s="8">
        <f>IFERROR(__xludf.DUMMYFUNCTION("""COMPUTED_VALUE"""),0.0)</f>
        <v>0</v>
      </c>
      <c r="D8206" s="8"/>
    </row>
    <row r="8207">
      <c r="A8207" s="9" t="str">
        <f>IFERROR(__xludf.DUMMYFUNCTION("""COMPUTED_VALUE"""),"Batch 346")</f>
        <v>Batch 346</v>
      </c>
      <c r="B8207" s="9" t="str">
        <f>IFERROR(__xludf.DUMMYFUNCTION("""COMPUTED_VALUE"""),"SujyotiC346")</f>
        <v>SujyotiC346</v>
      </c>
      <c r="C8207" s="8">
        <f>IFERROR(__xludf.DUMMYFUNCTION("""COMPUTED_VALUE"""),0.0)</f>
        <v>0</v>
      </c>
      <c r="D8207" s="8"/>
    </row>
    <row r="8208">
      <c r="A8208" s="9" t="str">
        <f>IFERROR(__xludf.DUMMYFUNCTION("""COMPUTED_VALUE"""),"Batch 346")</f>
        <v>Batch 346</v>
      </c>
      <c r="B8208" s="9" t="str">
        <f>IFERROR(__xludf.DUMMYFUNCTION("""COMPUTED_VALUE"""),"MehakC346")</f>
        <v>MehakC346</v>
      </c>
      <c r="C8208" s="8">
        <f>IFERROR(__xludf.DUMMYFUNCTION("""COMPUTED_VALUE"""),0.0)</f>
        <v>0</v>
      </c>
      <c r="D8208" s="8"/>
    </row>
    <row r="8209">
      <c r="A8209" s="9" t="str">
        <f>IFERROR(__xludf.DUMMYFUNCTION("""COMPUTED_VALUE"""),"Batch 346")</f>
        <v>Batch 346</v>
      </c>
      <c r="B8209" s="9" t="str">
        <f>IFERROR(__xludf.DUMMYFUNCTION("""COMPUTED_VALUE"""),"TauqeerC346")</f>
        <v>TauqeerC346</v>
      </c>
      <c r="C8209" s="8">
        <f>IFERROR(__xludf.DUMMYFUNCTION("""COMPUTED_VALUE"""),0.0)</f>
        <v>0</v>
      </c>
      <c r="D8209" s="8"/>
    </row>
    <row r="8210">
      <c r="A8210" s="9" t="str">
        <f>IFERROR(__xludf.DUMMYFUNCTION("""COMPUTED_VALUE"""),"Batch 346")</f>
        <v>Batch 346</v>
      </c>
      <c r="B8210" s="9" t="str">
        <f>IFERROR(__xludf.DUMMYFUNCTION("""COMPUTED_VALUE"""),"SerinaC346")</f>
        <v>SerinaC346</v>
      </c>
      <c r="C8210" s="8">
        <f>IFERROR(__xludf.DUMMYFUNCTION("""COMPUTED_VALUE"""),0.0)</f>
        <v>0</v>
      </c>
      <c r="D8210" s="8"/>
    </row>
    <row r="8211">
      <c r="A8211" s="9" t="str">
        <f>IFERROR(__xludf.DUMMYFUNCTION("""COMPUTED_VALUE"""),"Batch 346")</f>
        <v>Batch 346</v>
      </c>
      <c r="B8211" s="9" t="str">
        <f>IFERROR(__xludf.DUMMYFUNCTION("""COMPUTED_VALUE"""),"RajveerC346")</f>
        <v>RajveerC346</v>
      </c>
      <c r="C8211" s="8">
        <f>IFERROR(__xludf.DUMMYFUNCTION("""COMPUTED_VALUE"""),0.0)</f>
        <v>0</v>
      </c>
      <c r="D8211" s="8"/>
    </row>
    <row r="8212">
      <c r="A8212" s="9" t="str">
        <f>IFERROR(__xludf.DUMMYFUNCTION("""COMPUTED_VALUE"""),"Batch 346")</f>
        <v>Batch 346</v>
      </c>
      <c r="B8212" s="9" t="str">
        <f>IFERROR(__xludf.DUMMYFUNCTION("""COMPUTED_VALUE"""),"ShrishtiC346")</f>
        <v>ShrishtiC346</v>
      </c>
      <c r="C8212" s="8">
        <f>IFERROR(__xludf.DUMMYFUNCTION("""COMPUTED_VALUE"""),8.0)</f>
        <v>8</v>
      </c>
      <c r="D8212" s="8"/>
    </row>
    <row r="8213">
      <c r="A8213" s="9" t="str">
        <f>IFERROR(__xludf.DUMMYFUNCTION("""COMPUTED_VALUE"""),"Batch 346")</f>
        <v>Batch 346</v>
      </c>
      <c r="B8213" s="9" t="str">
        <f>IFERROR(__xludf.DUMMYFUNCTION("""COMPUTED_VALUE"""),"LaxmiC346")</f>
        <v>LaxmiC346</v>
      </c>
      <c r="C8213" s="8">
        <f>IFERROR(__xludf.DUMMYFUNCTION("""COMPUTED_VALUE"""),0.0)</f>
        <v>0</v>
      </c>
      <c r="D8213" s="8"/>
    </row>
    <row r="8214">
      <c r="A8214" s="9" t="str">
        <f>IFERROR(__xludf.DUMMYFUNCTION("""COMPUTED_VALUE"""),"Batch 346")</f>
        <v>Batch 346</v>
      </c>
      <c r="B8214" s="9" t="str">
        <f>IFERROR(__xludf.DUMMYFUNCTION("""COMPUTED_VALUE"""),"VaibhavC346")</f>
        <v>VaibhavC346</v>
      </c>
      <c r="C8214" s="8">
        <f>IFERROR(__xludf.DUMMYFUNCTION("""COMPUTED_VALUE"""),0.0)</f>
        <v>0</v>
      </c>
      <c r="D8214" s="8"/>
    </row>
    <row r="8215">
      <c r="A8215" s="9"/>
      <c r="B8215" s="9"/>
      <c r="C8215" s="8">
        <f>IFERROR(__xludf.DUMMYFUNCTION("""COMPUTED_VALUE"""),0.0)</f>
        <v>0</v>
      </c>
      <c r="D8215" s="8"/>
    </row>
    <row r="8216">
      <c r="A8216" s="9" t="str">
        <f>IFERROR(__xludf.DUMMYFUNCTION("""COMPUTED_VALUE"""),"Batch 347")</f>
        <v>Batch 347</v>
      </c>
      <c r="B8216" s="9" t="str">
        <f>IFERROR(__xludf.DUMMYFUNCTION("""COMPUTED_VALUE"""),"AnshKC347")</f>
        <v>AnshKC347</v>
      </c>
      <c r="C8216" s="8">
        <f>IFERROR(__xludf.DUMMYFUNCTION("""COMPUTED_VALUE"""),0.0)</f>
        <v>0</v>
      </c>
      <c r="D8216" s="8"/>
    </row>
    <row r="8217">
      <c r="A8217" s="9" t="str">
        <f>IFERROR(__xludf.DUMMYFUNCTION("""COMPUTED_VALUE"""),"Batch 347")</f>
        <v>Batch 347</v>
      </c>
      <c r="B8217" s="9" t="str">
        <f>IFERROR(__xludf.DUMMYFUNCTION("""COMPUTED_VALUE"""),"MahasakthiC347")</f>
        <v>MahasakthiC347</v>
      </c>
      <c r="C8217" s="8">
        <f>IFERROR(__xludf.DUMMYFUNCTION("""COMPUTED_VALUE"""),0.0)</f>
        <v>0</v>
      </c>
      <c r="D8217" s="8"/>
    </row>
    <row r="8218">
      <c r="A8218" s="9" t="str">
        <f>IFERROR(__xludf.DUMMYFUNCTION("""COMPUTED_VALUE"""),"Batch 347")</f>
        <v>Batch 347</v>
      </c>
      <c r="B8218" s="9" t="str">
        <f>IFERROR(__xludf.DUMMYFUNCTION("""COMPUTED_VALUE"""),"D.RevanthC347")</f>
        <v>D.RevanthC347</v>
      </c>
      <c r="C8218" s="8">
        <f>IFERROR(__xludf.DUMMYFUNCTION("""COMPUTED_VALUE"""),0.0)</f>
        <v>0</v>
      </c>
      <c r="D8218" s="8"/>
    </row>
    <row r="8219">
      <c r="A8219" s="9" t="str">
        <f>IFERROR(__xludf.DUMMYFUNCTION("""COMPUTED_VALUE"""),"Batch 347")</f>
        <v>Batch 347</v>
      </c>
      <c r="B8219" s="9" t="str">
        <f>IFERROR(__xludf.DUMMYFUNCTION("""COMPUTED_VALUE"""),"MukeshC347")</f>
        <v>MukeshC347</v>
      </c>
      <c r="C8219" s="8">
        <f>IFERROR(__xludf.DUMMYFUNCTION("""COMPUTED_VALUE"""),0.0)</f>
        <v>0</v>
      </c>
      <c r="D8219" s="8"/>
    </row>
    <row r="8220">
      <c r="A8220" s="9" t="str">
        <f>IFERROR(__xludf.DUMMYFUNCTION("""COMPUTED_VALUE"""),"Batch 347")</f>
        <v>Batch 347</v>
      </c>
      <c r="B8220" s="9" t="str">
        <f>IFERROR(__xludf.DUMMYFUNCTION("""COMPUTED_VALUE"""),"RithvikaC347")</f>
        <v>RithvikaC347</v>
      </c>
      <c r="C8220" s="8">
        <f>IFERROR(__xludf.DUMMYFUNCTION("""COMPUTED_VALUE"""),0.0)</f>
        <v>0</v>
      </c>
      <c r="D8220" s="8"/>
    </row>
    <row r="8221">
      <c r="A8221" s="9" t="str">
        <f>IFERROR(__xludf.DUMMYFUNCTION("""COMPUTED_VALUE"""),"Batch 347")</f>
        <v>Batch 347</v>
      </c>
      <c r="B8221" s="9" t="str">
        <f>IFERROR(__xludf.DUMMYFUNCTION("""COMPUTED_VALUE"""),"SutharsanC347")</f>
        <v>SutharsanC347</v>
      </c>
      <c r="C8221" s="8">
        <f>IFERROR(__xludf.DUMMYFUNCTION("""COMPUTED_VALUE"""),0.0)</f>
        <v>0</v>
      </c>
      <c r="D8221" s="8"/>
    </row>
    <row r="8222">
      <c r="A8222" s="9" t="str">
        <f>IFERROR(__xludf.DUMMYFUNCTION("""COMPUTED_VALUE"""),"Batch 347")</f>
        <v>Batch 347</v>
      </c>
      <c r="B8222" s="9" t="str">
        <f>IFERROR(__xludf.DUMMYFUNCTION("""COMPUTED_VALUE"""),"JayC347")</f>
        <v>JayC347</v>
      </c>
      <c r="C8222" s="8">
        <f>IFERROR(__xludf.DUMMYFUNCTION("""COMPUTED_VALUE"""),0.0)</f>
        <v>0</v>
      </c>
      <c r="D8222" s="8"/>
    </row>
    <row r="8223">
      <c r="A8223" s="9" t="str">
        <f>IFERROR(__xludf.DUMMYFUNCTION("""COMPUTED_VALUE"""),"Batch 347")</f>
        <v>Batch 347</v>
      </c>
      <c r="B8223" s="9" t="str">
        <f>IFERROR(__xludf.DUMMYFUNCTION("""COMPUTED_VALUE"""),"VINAYC347")</f>
        <v>VINAYC347</v>
      </c>
      <c r="C8223" s="8">
        <f>IFERROR(__xludf.DUMMYFUNCTION("""COMPUTED_VALUE"""),0.0)</f>
        <v>0</v>
      </c>
      <c r="D8223" s="8"/>
    </row>
    <row r="8224">
      <c r="A8224" s="9" t="str">
        <f>IFERROR(__xludf.DUMMYFUNCTION("""COMPUTED_VALUE"""),"Batch 347")</f>
        <v>Batch 347</v>
      </c>
      <c r="B8224" s="9" t="str">
        <f>IFERROR(__xludf.DUMMYFUNCTION("""COMPUTED_VALUE"""),"SnehaC347")</f>
        <v>SnehaC347</v>
      </c>
      <c r="C8224" s="8">
        <f>IFERROR(__xludf.DUMMYFUNCTION("""COMPUTED_VALUE"""),20.0)</f>
        <v>20</v>
      </c>
      <c r="D8224" s="8">
        <f>IFERROR(__xludf.DUMMYFUNCTION("""COMPUTED_VALUE"""),7.0)</f>
        <v>7</v>
      </c>
    </row>
    <row r="8225">
      <c r="A8225" s="9" t="str">
        <f>IFERROR(__xludf.DUMMYFUNCTION("""COMPUTED_VALUE"""),"Batch 347")</f>
        <v>Batch 347</v>
      </c>
      <c r="B8225" s="9" t="str">
        <f>IFERROR(__xludf.DUMMYFUNCTION("""COMPUTED_VALUE"""),"KrishnaC347")</f>
        <v>KrishnaC347</v>
      </c>
      <c r="C8225" s="8">
        <f>IFERROR(__xludf.DUMMYFUNCTION("""COMPUTED_VALUE"""),0.0)</f>
        <v>0</v>
      </c>
      <c r="D8225" s="8"/>
    </row>
    <row r="8226">
      <c r="A8226" s="9" t="str">
        <f>IFERROR(__xludf.DUMMYFUNCTION("""COMPUTED_VALUE"""),"Batch 347")</f>
        <v>Batch 347</v>
      </c>
      <c r="B8226" s="9" t="str">
        <f>IFERROR(__xludf.DUMMYFUNCTION("""COMPUTED_VALUE"""),"SahilC347")</f>
        <v>SahilC347</v>
      </c>
      <c r="C8226" s="8">
        <f>IFERROR(__xludf.DUMMYFUNCTION("""COMPUTED_VALUE"""),0.0)</f>
        <v>0</v>
      </c>
      <c r="D8226" s="8"/>
    </row>
    <row r="8227">
      <c r="A8227" s="9" t="str">
        <f>IFERROR(__xludf.DUMMYFUNCTION("""COMPUTED_VALUE"""),"Batch 347")</f>
        <v>Batch 347</v>
      </c>
      <c r="B8227" s="9" t="str">
        <f>IFERROR(__xludf.DUMMYFUNCTION("""COMPUTED_VALUE"""),"AnshikaC347")</f>
        <v>AnshikaC347</v>
      </c>
      <c r="C8227" s="8">
        <f>IFERROR(__xludf.DUMMYFUNCTION("""COMPUTED_VALUE"""),0.0)</f>
        <v>0</v>
      </c>
      <c r="D8227" s="8"/>
    </row>
    <row r="8228">
      <c r="A8228" s="9" t="str">
        <f>IFERROR(__xludf.DUMMYFUNCTION("""COMPUTED_VALUE"""),"Batch 347")</f>
        <v>Batch 347</v>
      </c>
      <c r="B8228" s="9" t="str">
        <f>IFERROR(__xludf.DUMMYFUNCTION("""COMPUTED_VALUE"""),"PradeepC347")</f>
        <v>PradeepC347</v>
      </c>
      <c r="C8228" s="8">
        <f>IFERROR(__xludf.DUMMYFUNCTION("""COMPUTED_VALUE"""),0.0)</f>
        <v>0</v>
      </c>
      <c r="D8228" s="8"/>
    </row>
    <row r="8229">
      <c r="A8229" s="9" t="str">
        <f>IFERROR(__xludf.DUMMYFUNCTION("""COMPUTED_VALUE"""),"Batch 347")</f>
        <v>Batch 347</v>
      </c>
      <c r="B8229" s="9" t="str">
        <f>IFERROR(__xludf.DUMMYFUNCTION("""COMPUTED_VALUE"""),"TanviC347")</f>
        <v>TanviC347</v>
      </c>
      <c r="C8229" s="8">
        <f>IFERROR(__xludf.DUMMYFUNCTION("""COMPUTED_VALUE"""),0.0)</f>
        <v>0</v>
      </c>
      <c r="D8229" s="8"/>
    </row>
    <row r="8230">
      <c r="A8230" s="9" t="str">
        <f>IFERROR(__xludf.DUMMYFUNCTION("""COMPUTED_VALUE"""),"Batch 347")</f>
        <v>Batch 347</v>
      </c>
      <c r="B8230" s="9" t="str">
        <f>IFERROR(__xludf.DUMMYFUNCTION("""COMPUTED_VALUE"""),"KuldeepC347")</f>
        <v>KuldeepC347</v>
      </c>
      <c r="C8230" s="8">
        <f>IFERROR(__xludf.DUMMYFUNCTION("""COMPUTED_VALUE"""),0.0)</f>
        <v>0</v>
      </c>
      <c r="D8230" s="8"/>
    </row>
    <row r="8231">
      <c r="A8231" s="9" t="str">
        <f>IFERROR(__xludf.DUMMYFUNCTION("""COMPUTED_VALUE"""),"Batch 347")</f>
        <v>Batch 347</v>
      </c>
      <c r="B8231" s="9" t="str">
        <f>IFERROR(__xludf.DUMMYFUNCTION("""COMPUTED_VALUE"""),"SweetyC347")</f>
        <v>SweetyC347</v>
      </c>
      <c r="C8231" s="8">
        <f>IFERROR(__xludf.DUMMYFUNCTION("""COMPUTED_VALUE"""),0.0)</f>
        <v>0</v>
      </c>
      <c r="D8231" s="8"/>
    </row>
    <row r="8232">
      <c r="A8232" s="9" t="str">
        <f>IFERROR(__xludf.DUMMYFUNCTION("""COMPUTED_VALUE"""),"Batch 347")</f>
        <v>Batch 347</v>
      </c>
      <c r="B8232" s="9" t="str">
        <f>IFERROR(__xludf.DUMMYFUNCTION("""COMPUTED_VALUE"""),"VishnuC347")</f>
        <v>VishnuC347</v>
      </c>
      <c r="C8232" s="8">
        <f>IFERROR(__xludf.DUMMYFUNCTION("""COMPUTED_VALUE"""),0.0)</f>
        <v>0</v>
      </c>
      <c r="D8232" s="8"/>
    </row>
    <row r="8233">
      <c r="A8233" s="9" t="str">
        <f>IFERROR(__xludf.DUMMYFUNCTION("""COMPUTED_VALUE"""),"Batch 347")</f>
        <v>Batch 347</v>
      </c>
      <c r="B8233" s="9" t="str">
        <f>IFERROR(__xludf.DUMMYFUNCTION("""COMPUTED_VALUE"""),"MansiC347")</f>
        <v>MansiC347</v>
      </c>
      <c r="C8233" s="8">
        <f>IFERROR(__xludf.DUMMYFUNCTION("""COMPUTED_VALUE"""),0.0)</f>
        <v>0</v>
      </c>
      <c r="D8233" s="8"/>
    </row>
    <row r="8234">
      <c r="A8234" s="9" t="str">
        <f>IFERROR(__xludf.DUMMYFUNCTION("""COMPUTED_VALUE"""),"Batch 347")</f>
        <v>Batch 347</v>
      </c>
      <c r="B8234" s="9" t="str">
        <f>IFERROR(__xludf.DUMMYFUNCTION("""COMPUTED_VALUE"""),"AnjaliC347")</f>
        <v>AnjaliC347</v>
      </c>
      <c r="C8234" s="8">
        <f>IFERROR(__xludf.DUMMYFUNCTION("""COMPUTED_VALUE"""),0.0)</f>
        <v>0</v>
      </c>
      <c r="D8234" s="8"/>
    </row>
    <row r="8235">
      <c r="A8235" s="9" t="str">
        <f>IFERROR(__xludf.DUMMYFUNCTION("""COMPUTED_VALUE"""),"Batch 347")</f>
        <v>Batch 347</v>
      </c>
      <c r="B8235" s="9" t="str">
        <f>IFERROR(__xludf.DUMMYFUNCTION("""COMPUTED_VALUE"""),"AnirudhC347")</f>
        <v>AnirudhC347</v>
      </c>
      <c r="C8235" s="8">
        <f>IFERROR(__xludf.DUMMYFUNCTION("""COMPUTED_VALUE"""),0.0)</f>
        <v>0</v>
      </c>
      <c r="D8235" s="8"/>
    </row>
    <row r="8236">
      <c r="A8236" s="9" t="str">
        <f>IFERROR(__xludf.DUMMYFUNCTION("""COMPUTED_VALUE"""),"Batch 347")</f>
        <v>Batch 347</v>
      </c>
      <c r="B8236" s="9" t="str">
        <f>IFERROR(__xludf.DUMMYFUNCTION("""COMPUTED_VALUE"""),"DiyaC347")</f>
        <v>DiyaC347</v>
      </c>
      <c r="C8236" s="8">
        <f>IFERROR(__xludf.DUMMYFUNCTION("""COMPUTED_VALUE"""),0.0)</f>
        <v>0</v>
      </c>
      <c r="D8236" s="8"/>
    </row>
    <row r="8237">
      <c r="A8237" s="9" t="str">
        <f>IFERROR(__xludf.DUMMYFUNCTION("""COMPUTED_VALUE"""),"Batch 347")</f>
        <v>Batch 347</v>
      </c>
      <c r="B8237" s="9" t="str">
        <f>IFERROR(__xludf.DUMMYFUNCTION("""COMPUTED_VALUE"""),"ManasC347")</f>
        <v>ManasC347</v>
      </c>
      <c r="C8237" s="8">
        <f>IFERROR(__xludf.DUMMYFUNCTION("""COMPUTED_VALUE"""),0.0)</f>
        <v>0</v>
      </c>
      <c r="D8237" s="8"/>
    </row>
    <row r="8238">
      <c r="A8238" s="9" t="str">
        <f>IFERROR(__xludf.DUMMYFUNCTION("""COMPUTED_VALUE"""),"Batch 347")</f>
        <v>Batch 347</v>
      </c>
      <c r="B8238" s="9" t="str">
        <f>IFERROR(__xludf.DUMMYFUNCTION("""COMPUTED_VALUE"""),"SushrutC347")</f>
        <v>SushrutC347</v>
      </c>
      <c r="C8238" s="8">
        <f>IFERROR(__xludf.DUMMYFUNCTION("""COMPUTED_VALUE"""),0.0)</f>
        <v>0</v>
      </c>
      <c r="D8238" s="8"/>
    </row>
    <row r="8239">
      <c r="A8239" s="9" t="str">
        <f>IFERROR(__xludf.DUMMYFUNCTION("""COMPUTED_VALUE"""),"Batch 347")</f>
        <v>Batch 347</v>
      </c>
      <c r="B8239" s="9" t="str">
        <f>IFERROR(__xludf.DUMMYFUNCTION("""COMPUTED_VALUE"""),"DeekshaC347")</f>
        <v>DeekshaC347</v>
      </c>
      <c r="C8239" s="8">
        <f>IFERROR(__xludf.DUMMYFUNCTION("""COMPUTED_VALUE"""),7.0)</f>
        <v>7</v>
      </c>
      <c r="D8239" s="8">
        <f>IFERROR(__xludf.DUMMYFUNCTION("""COMPUTED_VALUE"""),1.0)</f>
        <v>1</v>
      </c>
    </row>
    <row r="8240">
      <c r="A8240" s="9" t="str">
        <f>IFERROR(__xludf.DUMMYFUNCTION("""COMPUTED_VALUE"""),"Batch 347")</f>
        <v>Batch 347</v>
      </c>
      <c r="B8240" s="9" t="str">
        <f>IFERROR(__xludf.DUMMYFUNCTION("""COMPUTED_VALUE"""),"KushagraC347")</f>
        <v>KushagraC347</v>
      </c>
      <c r="C8240" s="8">
        <f>IFERROR(__xludf.DUMMYFUNCTION("""COMPUTED_VALUE"""),0.0)</f>
        <v>0</v>
      </c>
      <c r="D8240" s="8"/>
    </row>
    <row r="8241">
      <c r="A8241" s="9" t="str">
        <f>IFERROR(__xludf.DUMMYFUNCTION("""COMPUTED_VALUE"""),"Batch 347")</f>
        <v>Batch 347</v>
      </c>
      <c r="B8241" s="9" t="str">
        <f>IFERROR(__xludf.DUMMYFUNCTION("""COMPUTED_VALUE"""),"KanishkaC347")</f>
        <v>KanishkaC347</v>
      </c>
      <c r="C8241" s="8">
        <f>IFERROR(__xludf.DUMMYFUNCTION("""COMPUTED_VALUE"""),0.0)</f>
        <v>0</v>
      </c>
      <c r="D8241" s="8"/>
    </row>
    <row r="8242">
      <c r="A8242" s="9" t="str">
        <f>IFERROR(__xludf.DUMMYFUNCTION("""COMPUTED_VALUE"""),"Batch 347")</f>
        <v>Batch 347</v>
      </c>
      <c r="B8242" s="9" t="str">
        <f>IFERROR(__xludf.DUMMYFUNCTION("""COMPUTED_VALUE"""),"YashwardhanC347")</f>
        <v>YashwardhanC347</v>
      </c>
      <c r="C8242" s="8">
        <f>IFERROR(__xludf.DUMMYFUNCTION("""COMPUTED_VALUE"""),0.0)</f>
        <v>0</v>
      </c>
      <c r="D8242" s="8"/>
    </row>
    <row r="8243">
      <c r="A8243" s="9" t="str">
        <f>IFERROR(__xludf.DUMMYFUNCTION("""COMPUTED_VALUE"""),"Batch 347")</f>
        <v>Batch 347</v>
      </c>
      <c r="B8243" s="9" t="str">
        <f>IFERROR(__xludf.DUMMYFUNCTION("""COMPUTED_VALUE"""),"HaridasC347")</f>
        <v>HaridasC347</v>
      </c>
      <c r="C8243" s="8">
        <f>IFERROR(__xludf.DUMMYFUNCTION("""COMPUTED_VALUE"""),0.0)</f>
        <v>0</v>
      </c>
      <c r="D8243" s="8"/>
    </row>
    <row r="8244">
      <c r="A8244" s="9" t="str">
        <f>IFERROR(__xludf.DUMMYFUNCTION("""COMPUTED_VALUE"""),"Batch 347")</f>
        <v>Batch 347</v>
      </c>
      <c r="B8244" s="9" t="str">
        <f>IFERROR(__xludf.DUMMYFUNCTION("""COMPUTED_VALUE"""),"NandakishoreC347")</f>
        <v>NandakishoreC347</v>
      </c>
      <c r="C8244" s="8">
        <f>IFERROR(__xludf.DUMMYFUNCTION("""COMPUTED_VALUE"""),0.0)</f>
        <v>0</v>
      </c>
      <c r="D8244" s="8"/>
    </row>
    <row r="8245">
      <c r="A8245" s="9" t="str">
        <f>IFERROR(__xludf.DUMMYFUNCTION("""COMPUTED_VALUE"""),"Batch 347")</f>
        <v>Batch 347</v>
      </c>
      <c r="B8245" s="9" t="str">
        <f>IFERROR(__xludf.DUMMYFUNCTION("""COMPUTED_VALUE"""),"Monica.A.RC347")</f>
        <v>Monica.A.RC347</v>
      </c>
      <c r="C8245" s="8">
        <f>IFERROR(__xludf.DUMMYFUNCTION("""COMPUTED_VALUE"""),0.0)</f>
        <v>0</v>
      </c>
      <c r="D8245" s="8"/>
    </row>
    <row r="8246">
      <c r="A8246" s="9" t="str">
        <f>IFERROR(__xludf.DUMMYFUNCTION("""COMPUTED_VALUE"""),"Batch 347")</f>
        <v>Batch 347</v>
      </c>
      <c r="B8246" s="9" t="str">
        <f>IFERROR(__xludf.DUMMYFUNCTION("""COMPUTED_VALUE"""),"HarshalC347")</f>
        <v>HarshalC347</v>
      </c>
      <c r="C8246" s="8">
        <f>IFERROR(__xludf.DUMMYFUNCTION("""COMPUTED_VALUE"""),0.0)</f>
        <v>0</v>
      </c>
      <c r="D8246" s="8"/>
    </row>
    <row r="8247">
      <c r="A8247" s="9" t="str">
        <f>IFERROR(__xludf.DUMMYFUNCTION("""COMPUTED_VALUE"""),"Batch 347")</f>
        <v>Batch 347</v>
      </c>
      <c r="B8247" s="9" t="str">
        <f>IFERROR(__xludf.DUMMYFUNCTION("""COMPUTED_VALUE"""),"KartikC347")</f>
        <v>KartikC347</v>
      </c>
      <c r="C8247" s="8">
        <f>IFERROR(__xludf.DUMMYFUNCTION("""COMPUTED_VALUE"""),0.0)</f>
        <v>0</v>
      </c>
      <c r="D8247" s="8"/>
    </row>
    <row r="8248">
      <c r="A8248" s="9" t="str">
        <f>IFERROR(__xludf.DUMMYFUNCTION("""COMPUTED_VALUE"""),"Batch 347")</f>
        <v>Batch 347</v>
      </c>
      <c r="B8248" s="9" t="str">
        <f>IFERROR(__xludf.DUMMYFUNCTION("""COMPUTED_VALUE"""),"ShailjaC347")</f>
        <v>ShailjaC347</v>
      </c>
      <c r="C8248" s="8">
        <f>IFERROR(__xludf.DUMMYFUNCTION("""COMPUTED_VALUE"""),0.0)</f>
        <v>0</v>
      </c>
      <c r="D8248" s="8"/>
    </row>
    <row r="8249">
      <c r="A8249" s="9" t="str">
        <f>IFERROR(__xludf.DUMMYFUNCTION("""COMPUTED_VALUE"""),"Batch 347")</f>
        <v>Batch 347</v>
      </c>
      <c r="B8249" s="9" t="str">
        <f>IFERROR(__xludf.DUMMYFUNCTION("""COMPUTED_VALUE"""),"VINTIC347")</f>
        <v>VINTIC347</v>
      </c>
      <c r="C8249" s="8">
        <f>IFERROR(__xludf.DUMMYFUNCTION("""COMPUTED_VALUE"""),0.0)</f>
        <v>0</v>
      </c>
      <c r="D8249" s="8"/>
    </row>
    <row r="8250">
      <c r="A8250" s="9" t="str">
        <f>IFERROR(__xludf.DUMMYFUNCTION("""COMPUTED_VALUE"""),"Batch 347")</f>
        <v>Batch 347</v>
      </c>
      <c r="B8250" s="9" t="str">
        <f>IFERROR(__xludf.DUMMYFUNCTION("""COMPUTED_VALUE"""),"PratishthaC347")</f>
        <v>PratishthaC347</v>
      </c>
      <c r="C8250" s="8">
        <f>IFERROR(__xludf.DUMMYFUNCTION("""COMPUTED_VALUE"""),0.0)</f>
        <v>0</v>
      </c>
      <c r="D8250" s="8"/>
    </row>
    <row r="8251">
      <c r="A8251" s="9" t="str">
        <f>IFERROR(__xludf.DUMMYFUNCTION("""COMPUTED_VALUE"""),"Batch 347")</f>
        <v>Batch 347</v>
      </c>
      <c r="B8251" s="9" t="str">
        <f>IFERROR(__xludf.DUMMYFUNCTION("""COMPUTED_VALUE"""),"AshutoshC347")</f>
        <v>AshutoshC347</v>
      </c>
      <c r="C8251" s="8">
        <f>IFERROR(__xludf.DUMMYFUNCTION("""COMPUTED_VALUE"""),0.0)</f>
        <v>0</v>
      </c>
      <c r="D8251" s="8"/>
    </row>
    <row r="8252">
      <c r="A8252" s="9" t="str">
        <f>IFERROR(__xludf.DUMMYFUNCTION("""COMPUTED_VALUE"""),"Batch 347")</f>
        <v>Batch 347</v>
      </c>
      <c r="B8252" s="9" t="str">
        <f>IFERROR(__xludf.DUMMYFUNCTION("""COMPUTED_VALUE"""),"MiloneeC347")</f>
        <v>MiloneeC347</v>
      </c>
      <c r="C8252" s="8">
        <f>IFERROR(__xludf.DUMMYFUNCTION("""COMPUTED_VALUE"""),13.0)</f>
        <v>13</v>
      </c>
      <c r="D8252" s="8"/>
    </row>
    <row r="8253">
      <c r="A8253" s="9" t="str">
        <f>IFERROR(__xludf.DUMMYFUNCTION("""COMPUTED_VALUE"""),"Batch 347")</f>
        <v>Batch 347</v>
      </c>
      <c r="B8253" s="9" t="str">
        <f>IFERROR(__xludf.DUMMYFUNCTION("""COMPUTED_VALUE"""),"ZumraC347")</f>
        <v>ZumraC347</v>
      </c>
      <c r="C8253" s="8">
        <f>IFERROR(__xludf.DUMMYFUNCTION("""COMPUTED_VALUE"""),0.0)</f>
        <v>0</v>
      </c>
      <c r="D8253" s="8"/>
    </row>
    <row r="8254">
      <c r="A8254" s="9" t="str">
        <f>IFERROR(__xludf.DUMMYFUNCTION("""COMPUTED_VALUE"""),"Batch 347")</f>
        <v>Batch 347</v>
      </c>
      <c r="B8254" s="9" t="str">
        <f>IFERROR(__xludf.DUMMYFUNCTION("""COMPUTED_VALUE"""),"MalavikaC347")</f>
        <v>MalavikaC347</v>
      </c>
      <c r="C8254" s="8">
        <f>IFERROR(__xludf.DUMMYFUNCTION("""COMPUTED_VALUE"""),0.0)</f>
        <v>0</v>
      </c>
      <c r="D8254" s="8"/>
    </row>
    <row r="8255">
      <c r="A8255" s="9" t="str">
        <f>IFERROR(__xludf.DUMMYFUNCTION("""COMPUTED_VALUE"""),"Batch 347")</f>
        <v>Batch 347</v>
      </c>
      <c r="B8255" s="9" t="str">
        <f>IFERROR(__xludf.DUMMYFUNCTION("""COMPUTED_VALUE"""),"PankhuriC347")</f>
        <v>PankhuriC347</v>
      </c>
      <c r="C8255" s="8">
        <f>IFERROR(__xludf.DUMMYFUNCTION("""COMPUTED_VALUE"""),0.0)</f>
        <v>0</v>
      </c>
      <c r="D8255" s="8"/>
    </row>
    <row r="8256">
      <c r="A8256" s="9" t="str">
        <f>IFERROR(__xludf.DUMMYFUNCTION("""COMPUTED_VALUE"""),"Batch 347")</f>
        <v>Batch 347</v>
      </c>
      <c r="B8256" s="9" t="str">
        <f>IFERROR(__xludf.DUMMYFUNCTION("""COMPUTED_VALUE"""),"ManshaC347")</f>
        <v>ManshaC347</v>
      </c>
      <c r="C8256" s="8">
        <f>IFERROR(__xludf.DUMMYFUNCTION("""COMPUTED_VALUE"""),0.0)</f>
        <v>0</v>
      </c>
      <c r="D8256" s="8"/>
    </row>
    <row r="8257">
      <c r="A8257" s="9" t="str">
        <f>IFERROR(__xludf.DUMMYFUNCTION("""COMPUTED_VALUE"""),"Batch 347")</f>
        <v>Batch 347</v>
      </c>
      <c r="B8257" s="9" t="str">
        <f>IFERROR(__xludf.DUMMYFUNCTION("""COMPUTED_VALUE"""),"AaryanC347")</f>
        <v>AaryanC347</v>
      </c>
      <c r="C8257" s="8">
        <f>IFERROR(__xludf.DUMMYFUNCTION("""COMPUTED_VALUE"""),1.0)</f>
        <v>1</v>
      </c>
      <c r="D8257" s="8"/>
    </row>
    <row r="8258">
      <c r="A8258" s="9" t="str">
        <f>IFERROR(__xludf.DUMMYFUNCTION("""COMPUTED_VALUE"""),"Batch 347")</f>
        <v>Batch 347</v>
      </c>
      <c r="B8258" s="9" t="str">
        <f>IFERROR(__xludf.DUMMYFUNCTION("""COMPUTED_VALUE"""),"NavneethC347")</f>
        <v>NavneethC347</v>
      </c>
      <c r="C8258" s="8">
        <f>IFERROR(__xludf.DUMMYFUNCTION("""COMPUTED_VALUE"""),0.0)</f>
        <v>0</v>
      </c>
      <c r="D8258" s="8"/>
    </row>
    <row r="8259">
      <c r="A8259" s="9" t="str">
        <f>IFERROR(__xludf.DUMMYFUNCTION("""COMPUTED_VALUE"""),"Batch 347")</f>
        <v>Batch 347</v>
      </c>
      <c r="B8259" s="9" t="str">
        <f>IFERROR(__xludf.DUMMYFUNCTION("""COMPUTED_VALUE"""),"VibhaC347")</f>
        <v>VibhaC347</v>
      </c>
      <c r="C8259" s="8">
        <f>IFERROR(__xludf.DUMMYFUNCTION("""COMPUTED_VALUE"""),6.0)</f>
        <v>6</v>
      </c>
      <c r="D8259" s="8">
        <f>IFERROR(__xludf.DUMMYFUNCTION("""COMPUTED_VALUE"""),3.0)</f>
        <v>3</v>
      </c>
    </row>
    <row r="8260">
      <c r="A8260" s="9" t="str">
        <f>IFERROR(__xludf.DUMMYFUNCTION("""COMPUTED_VALUE"""),"Batch 347")</f>
        <v>Batch 347</v>
      </c>
      <c r="B8260" s="9" t="str">
        <f>IFERROR(__xludf.DUMMYFUNCTION("""COMPUTED_VALUE"""),"AnjaliC347")</f>
        <v>AnjaliC347</v>
      </c>
      <c r="C8260" s="8">
        <f>IFERROR(__xludf.DUMMYFUNCTION("""COMPUTED_VALUE"""),0.0)</f>
        <v>0</v>
      </c>
      <c r="D8260" s="8"/>
    </row>
    <row r="8261">
      <c r="A8261" s="9" t="str">
        <f>IFERROR(__xludf.DUMMYFUNCTION("""COMPUTED_VALUE"""),"Batch 347")</f>
        <v>Batch 347</v>
      </c>
      <c r="B8261" s="9" t="str">
        <f>IFERROR(__xludf.DUMMYFUNCTION("""COMPUTED_VALUE"""),"NandiniC347")</f>
        <v>NandiniC347</v>
      </c>
      <c r="C8261" s="8">
        <f>IFERROR(__xludf.DUMMYFUNCTION("""COMPUTED_VALUE"""),0.0)</f>
        <v>0</v>
      </c>
      <c r="D8261" s="8"/>
    </row>
    <row r="8262">
      <c r="A8262" s="9" t="str">
        <f>IFERROR(__xludf.DUMMYFUNCTION("""COMPUTED_VALUE"""),"Batch 347")</f>
        <v>Batch 347</v>
      </c>
      <c r="B8262" s="9" t="str">
        <f>IFERROR(__xludf.DUMMYFUNCTION("""COMPUTED_VALUE"""),"AhmedC347")</f>
        <v>AhmedC347</v>
      </c>
      <c r="C8262" s="8">
        <f>IFERROR(__xludf.DUMMYFUNCTION("""COMPUTED_VALUE"""),4.0)</f>
        <v>4</v>
      </c>
      <c r="D8262" s="8">
        <f>IFERROR(__xludf.DUMMYFUNCTION("""COMPUTED_VALUE"""),1.0)</f>
        <v>1</v>
      </c>
    </row>
    <row r="8263">
      <c r="A8263" s="9" t="str">
        <f>IFERROR(__xludf.DUMMYFUNCTION("""COMPUTED_VALUE"""),"Batch 347")</f>
        <v>Batch 347</v>
      </c>
      <c r="B8263" s="9" t="str">
        <f>IFERROR(__xludf.DUMMYFUNCTION("""COMPUTED_VALUE"""),"SambhavC347")</f>
        <v>SambhavC347</v>
      </c>
      <c r="C8263" s="8">
        <f>IFERROR(__xludf.DUMMYFUNCTION("""COMPUTED_VALUE"""),1.0)</f>
        <v>1</v>
      </c>
      <c r="D8263" s="8"/>
    </row>
    <row r="8264">
      <c r="A8264" s="9" t="str">
        <f>IFERROR(__xludf.DUMMYFUNCTION("""COMPUTED_VALUE"""),"Batch 347")</f>
        <v>Batch 347</v>
      </c>
      <c r="B8264" s="9" t="str">
        <f>IFERROR(__xludf.DUMMYFUNCTION("""COMPUTED_VALUE"""),"ShubhamC347")</f>
        <v>ShubhamC347</v>
      </c>
      <c r="C8264" s="8">
        <f>IFERROR(__xludf.DUMMYFUNCTION("""COMPUTED_VALUE"""),0.0)</f>
        <v>0</v>
      </c>
      <c r="D8264" s="8"/>
    </row>
    <row r="8265">
      <c r="A8265" s="9" t="str">
        <f>IFERROR(__xludf.DUMMYFUNCTION("""COMPUTED_VALUE"""),"Batch 347")</f>
        <v>Batch 347</v>
      </c>
      <c r="B8265" s="9" t="str">
        <f>IFERROR(__xludf.DUMMYFUNCTION("""COMPUTED_VALUE"""),"TeeshaC347")</f>
        <v>TeeshaC347</v>
      </c>
      <c r="C8265" s="8">
        <f>IFERROR(__xludf.DUMMYFUNCTION("""COMPUTED_VALUE"""),0.0)</f>
        <v>0</v>
      </c>
      <c r="D8265" s="8"/>
    </row>
    <row r="8266">
      <c r="A8266" s="9" t="str">
        <f>IFERROR(__xludf.DUMMYFUNCTION("""COMPUTED_VALUE"""),"Batch 347")</f>
        <v>Batch 347</v>
      </c>
      <c r="B8266" s="9" t="str">
        <f>IFERROR(__xludf.DUMMYFUNCTION("""COMPUTED_VALUE"""),"PoorvaC347")</f>
        <v>PoorvaC347</v>
      </c>
      <c r="C8266" s="8">
        <f>IFERROR(__xludf.DUMMYFUNCTION("""COMPUTED_VALUE"""),0.0)</f>
        <v>0</v>
      </c>
      <c r="D8266" s="8"/>
    </row>
    <row r="8267">
      <c r="A8267" s="9" t="str">
        <f>IFERROR(__xludf.DUMMYFUNCTION("""COMPUTED_VALUE"""),"Batch 347")</f>
        <v>Batch 347</v>
      </c>
      <c r="B8267" s="9" t="str">
        <f>IFERROR(__xludf.DUMMYFUNCTION("""COMPUTED_VALUE"""),"AKSHAYC347")</f>
        <v>AKSHAYC347</v>
      </c>
      <c r="C8267" s="8">
        <f>IFERROR(__xludf.DUMMYFUNCTION("""COMPUTED_VALUE"""),0.0)</f>
        <v>0</v>
      </c>
      <c r="D8267" s="8"/>
    </row>
    <row r="8268">
      <c r="A8268" s="9" t="str">
        <f>IFERROR(__xludf.DUMMYFUNCTION("""COMPUTED_VALUE"""),"Batch 347")</f>
        <v>Batch 347</v>
      </c>
      <c r="B8268" s="9" t="str">
        <f>IFERROR(__xludf.DUMMYFUNCTION("""COMPUTED_VALUE"""),"VarishaC347")</f>
        <v>VarishaC347</v>
      </c>
      <c r="C8268" s="8">
        <f>IFERROR(__xludf.DUMMYFUNCTION("""COMPUTED_VALUE"""),2.0)</f>
        <v>2</v>
      </c>
      <c r="D8268" s="8"/>
    </row>
    <row r="8269">
      <c r="A8269" s="9" t="str">
        <f>IFERROR(__xludf.DUMMYFUNCTION("""COMPUTED_VALUE"""),"Batch 347")</f>
        <v>Batch 347</v>
      </c>
      <c r="B8269" s="9" t="str">
        <f>IFERROR(__xludf.DUMMYFUNCTION("""COMPUTED_VALUE"""),"SuprajaC347")</f>
        <v>SuprajaC347</v>
      </c>
      <c r="C8269" s="8">
        <f>IFERROR(__xludf.DUMMYFUNCTION("""COMPUTED_VALUE"""),0.0)</f>
        <v>0</v>
      </c>
      <c r="D8269" s="8"/>
    </row>
    <row r="8270">
      <c r="A8270" s="9" t="str">
        <f>IFERROR(__xludf.DUMMYFUNCTION("""COMPUTED_VALUE"""),"Batch 347")</f>
        <v>Batch 347</v>
      </c>
      <c r="B8270" s="9" t="str">
        <f>IFERROR(__xludf.DUMMYFUNCTION("""COMPUTED_VALUE"""),"TwinkleC347")</f>
        <v>TwinkleC347</v>
      </c>
      <c r="C8270" s="8">
        <f>IFERROR(__xludf.DUMMYFUNCTION("""COMPUTED_VALUE"""),0.0)</f>
        <v>0</v>
      </c>
      <c r="D8270" s="8"/>
    </row>
    <row r="8271">
      <c r="A8271" s="9" t="str">
        <f>IFERROR(__xludf.DUMMYFUNCTION("""COMPUTED_VALUE"""),"Batch 347")</f>
        <v>Batch 347</v>
      </c>
      <c r="B8271" s="9" t="str">
        <f>IFERROR(__xludf.DUMMYFUNCTION("""COMPUTED_VALUE"""),"ShreyanshC347")</f>
        <v>ShreyanshC347</v>
      </c>
      <c r="C8271" s="8">
        <f>IFERROR(__xludf.DUMMYFUNCTION("""COMPUTED_VALUE"""),0.0)</f>
        <v>0</v>
      </c>
      <c r="D8271" s="8"/>
    </row>
    <row r="8272">
      <c r="A8272" s="9" t="str">
        <f>IFERROR(__xludf.DUMMYFUNCTION("""COMPUTED_VALUE"""),"Batch 347")</f>
        <v>Batch 347</v>
      </c>
      <c r="B8272" s="9" t="str">
        <f>IFERROR(__xludf.DUMMYFUNCTION("""COMPUTED_VALUE"""),"TarangC347")</f>
        <v>TarangC347</v>
      </c>
      <c r="C8272" s="8">
        <f>IFERROR(__xludf.DUMMYFUNCTION("""COMPUTED_VALUE"""),0.0)</f>
        <v>0</v>
      </c>
      <c r="D8272" s="8"/>
    </row>
    <row r="8273">
      <c r="A8273" s="9" t="str">
        <f>IFERROR(__xludf.DUMMYFUNCTION("""COMPUTED_VALUE"""),"Batch 347")</f>
        <v>Batch 347</v>
      </c>
      <c r="B8273" s="9" t="str">
        <f>IFERROR(__xludf.DUMMYFUNCTION("""COMPUTED_VALUE"""),"PrernaC347")</f>
        <v>PrernaC347</v>
      </c>
      <c r="C8273" s="8">
        <f>IFERROR(__xludf.DUMMYFUNCTION("""COMPUTED_VALUE"""),0.0)</f>
        <v>0</v>
      </c>
      <c r="D8273" s="8"/>
    </row>
    <row r="8274">
      <c r="A8274" s="9" t="str">
        <f>IFERROR(__xludf.DUMMYFUNCTION("""COMPUTED_VALUE"""),"Batch 347")</f>
        <v>Batch 347</v>
      </c>
      <c r="B8274" s="9" t="str">
        <f>IFERROR(__xludf.DUMMYFUNCTION("""COMPUTED_VALUE"""),"AbhiramC347")</f>
        <v>AbhiramC347</v>
      </c>
      <c r="C8274" s="8">
        <f>IFERROR(__xludf.DUMMYFUNCTION("""COMPUTED_VALUE"""),0.0)</f>
        <v>0</v>
      </c>
      <c r="D8274" s="8"/>
    </row>
    <row r="8275">
      <c r="A8275" s="9" t="str">
        <f>IFERROR(__xludf.DUMMYFUNCTION("""COMPUTED_VALUE"""),"Batch 347")</f>
        <v>Batch 347</v>
      </c>
      <c r="B8275" s="9" t="str">
        <f>IFERROR(__xludf.DUMMYFUNCTION("""COMPUTED_VALUE"""),"UtkarshC347")</f>
        <v>UtkarshC347</v>
      </c>
      <c r="C8275" s="8">
        <f>IFERROR(__xludf.DUMMYFUNCTION("""COMPUTED_VALUE"""),1.0)</f>
        <v>1</v>
      </c>
      <c r="D8275" s="8"/>
    </row>
    <row r="8276">
      <c r="A8276" s="9" t="str">
        <f>IFERROR(__xludf.DUMMYFUNCTION("""COMPUTED_VALUE"""),"Batch 347")</f>
        <v>Batch 347</v>
      </c>
      <c r="B8276" s="9" t="str">
        <f>IFERROR(__xludf.DUMMYFUNCTION("""COMPUTED_VALUE"""),"kunnusharmaC347")</f>
        <v>kunnusharmaC347</v>
      </c>
      <c r="C8276" s="8">
        <f>IFERROR(__xludf.DUMMYFUNCTION("""COMPUTED_VALUE"""),0.0)</f>
        <v>0</v>
      </c>
      <c r="D8276" s="8"/>
    </row>
    <row r="8277">
      <c r="A8277" s="9" t="str">
        <f>IFERROR(__xludf.DUMMYFUNCTION("""COMPUTED_VALUE"""),"Batch 347")</f>
        <v>Batch 347</v>
      </c>
      <c r="B8277" s="9" t="str">
        <f>IFERROR(__xludf.DUMMYFUNCTION("""COMPUTED_VALUE"""),"ParthC347")</f>
        <v>ParthC347</v>
      </c>
      <c r="C8277" s="8">
        <f>IFERROR(__xludf.DUMMYFUNCTION("""COMPUTED_VALUE"""),0.0)</f>
        <v>0</v>
      </c>
      <c r="D8277" s="8"/>
    </row>
    <row r="8278">
      <c r="A8278" s="9" t="str">
        <f>IFERROR(__xludf.DUMMYFUNCTION("""COMPUTED_VALUE"""),"Batch 347")</f>
        <v>Batch 347</v>
      </c>
      <c r="B8278" s="9" t="str">
        <f>IFERROR(__xludf.DUMMYFUNCTION("""COMPUTED_VALUE"""),"SaaveeC347")</f>
        <v>SaaveeC347</v>
      </c>
      <c r="C8278" s="8">
        <f>IFERROR(__xludf.DUMMYFUNCTION("""COMPUTED_VALUE"""),0.0)</f>
        <v>0</v>
      </c>
      <c r="D8278" s="8"/>
    </row>
    <row r="8279">
      <c r="A8279" s="9" t="str">
        <f>IFERROR(__xludf.DUMMYFUNCTION("""COMPUTED_VALUE"""),"Batch 347")</f>
        <v>Batch 347</v>
      </c>
      <c r="B8279" s="9" t="str">
        <f>IFERROR(__xludf.DUMMYFUNCTION("""COMPUTED_VALUE"""),"KrishaC347")</f>
        <v>KrishaC347</v>
      </c>
      <c r="C8279" s="8">
        <f>IFERROR(__xludf.DUMMYFUNCTION("""COMPUTED_VALUE"""),0.0)</f>
        <v>0</v>
      </c>
      <c r="D8279" s="8"/>
    </row>
    <row r="8280">
      <c r="A8280" s="9" t="str">
        <f>IFERROR(__xludf.DUMMYFUNCTION("""COMPUTED_VALUE"""),"Batch 347")</f>
        <v>Batch 347</v>
      </c>
      <c r="B8280" s="9" t="str">
        <f>IFERROR(__xludf.DUMMYFUNCTION("""COMPUTED_VALUE"""),"NikitaC347")</f>
        <v>NikitaC347</v>
      </c>
      <c r="C8280" s="8">
        <f>IFERROR(__xludf.DUMMYFUNCTION("""COMPUTED_VALUE"""),0.0)</f>
        <v>0</v>
      </c>
      <c r="D8280" s="8"/>
    </row>
    <row r="8281">
      <c r="A8281" s="9" t="str">
        <f>IFERROR(__xludf.DUMMYFUNCTION("""COMPUTED_VALUE"""),"Batch 347")</f>
        <v>Batch 347</v>
      </c>
      <c r="B8281" s="9" t="str">
        <f>IFERROR(__xludf.DUMMYFUNCTION("""COMPUTED_VALUE"""),"SunidhiC347")</f>
        <v>SunidhiC347</v>
      </c>
      <c r="C8281" s="8">
        <f>IFERROR(__xludf.DUMMYFUNCTION("""COMPUTED_VALUE"""),0.0)</f>
        <v>0</v>
      </c>
      <c r="D8281" s="8"/>
    </row>
    <row r="8282">
      <c r="A8282" s="9" t="str">
        <f>IFERROR(__xludf.DUMMYFUNCTION("""COMPUTED_VALUE"""),"Batch 347")</f>
        <v>Batch 347</v>
      </c>
      <c r="B8282" s="9" t="str">
        <f>IFERROR(__xludf.DUMMYFUNCTION("""COMPUTED_VALUE"""),"SrushtiC347")</f>
        <v>SrushtiC347</v>
      </c>
      <c r="C8282" s="8">
        <f>IFERROR(__xludf.DUMMYFUNCTION("""COMPUTED_VALUE"""),0.0)</f>
        <v>0</v>
      </c>
      <c r="D8282" s="8"/>
    </row>
    <row r="8283">
      <c r="A8283" s="9" t="str">
        <f>IFERROR(__xludf.DUMMYFUNCTION("""COMPUTED_VALUE"""),"Batch 347")</f>
        <v>Batch 347</v>
      </c>
      <c r="B8283" s="9" t="str">
        <f>IFERROR(__xludf.DUMMYFUNCTION("""COMPUTED_VALUE"""),"vishakhaC347")</f>
        <v>vishakhaC347</v>
      </c>
      <c r="C8283" s="8">
        <f>IFERROR(__xludf.DUMMYFUNCTION("""COMPUTED_VALUE"""),8.0)</f>
        <v>8</v>
      </c>
      <c r="D8283" s="8"/>
    </row>
    <row r="8284">
      <c r="A8284" s="9" t="str">
        <f>IFERROR(__xludf.DUMMYFUNCTION("""COMPUTED_VALUE"""),"Batch 347")</f>
        <v>Batch 347</v>
      </c>
      <c r="B8284" s="9" t="str">
        <f>IFERROR(__xludf.DUMMYFUNCTION("""COMPUTED_VALUE"""),"NishaC347")</f>
        <v>NishaC347</v>
      </c>
      <c r="C8284" s="8">
        <f>IFERROR(__xludf.DUMMYFUNCTION("""COMPUTED_VALUE"""),0.0)</f>
        <v>0</v>
      </c>
      <c r="D8284" s="8"/>
    </row>
    <row r="8285">
      <c r="A8285" s="9" t="str">
        <f>IFERROR(__xludf.DUMMYFUNCTION("""COMPUTED_VALUE"""),"Batch 347")</f>
        <v>Batch 347</v>
      </c>
      <c r="B8285" s="9" t="str">
        <f>IFERROR(__xludf.DUMMYFUNCTION("""COMPUTED_VALUE"""),"T.C347")</f>
        <v>T.C347</v>
      </c>
      <c r="C8285" s="8">
        <f>IFERROR(__xludf.DUMMYFUNCTION("""COMPUTED_VALUE"""),0.0)</f>
        <v>0</v>
      </c>
      <c r="D8285" s="8"/>
    </row>
    <row r="8286">
      <c r="A8286" s="9" t="str">
        <f>IFERROR(__xludf.DUMMYFUNCTION("""COMPUTED_VALUE"""),"Batch 347")</f>
        <v>Batch 347</v>
      </c>
      <c r="B8286" s="9" t="str">
        <f>IFERROR(__xludf.DUMMYFUNCTION("""COMPUTED_VALUE"""),"AnushkaC347")</f>
        <v>AnushkaC347</v>
      </c>
      <c r="C8286" s="8">
        <f>IFERROR(__xludf.DUMMYFUNCTION("""COMPUTED_VALUE"""),4.0)</f>
        <v>4</v>
      </c>
      <c r="D8286" s="8">
        <f>IFERROR(__xludf.DUMMYFUNCTION("""COMPUTED_VALUE"""),1.0)</f>
        <v>1</v>
      </c>
    </row>
    <row r="8287">
      <c r="A8287" s="9" t="str">
        <f>IFERROR(__xludf.DUMMYFUNCTION("""COMPUTED_VALUE"""),"Batch 347")</f>
        <v>Batch 347</v>
      </c>
      <c r="B8287" s="9" t="str">
        <f>IFERROR(__xludf.DUMMYFUNCTION("""COMPUTED_VALUE"""),"ShwetanjaliC347")</f>
        <v>ShwetanjaliC347</v>
      </c>
      <c r="C8287" s="8">
        <f>IFERROR(__xludf.DUMMYFUNCTION("""COMPUTED_VALUE"""),0.0)</f>
        <v>0</v>
      </c>
      <c r="D8287" s="8"/>
    </row>
    <row r="8288">
      <c r="A8288" s="9" t="str">
        <f>IFERROR(__xludf.DUMMYFUNCTION("""COMPUTED_VALUE"""),"Batch 347")</f>
        <v>Batch 347</v>
      </c>
      <c r="B8288" s="9" t="str">
        <f>IFERROR(__xludf.DUMMYFUNCTION("""COMPUTED_VALUE"""),"GarimaC347")</f>
        <v>GarimaC347</v>
      </c>
      <c r="C8288" s="8">
        <f>IFERROR(__xludf.DUMMYFUNCTION("""COMPUTED_VALUE"""),0.0)</f>
        <v>0</v>
      </c>
      <c r="D8288" s="8"/>
    </row>
    <row r="8289">
      <c r="A8289" s="9" t="str">
        <f>IFERROR(__xludf.DUMMYFUNCTION("""COMPUTED_VALUE"""),"Batch 347")</f>
        <v>Batch 347</v>
      </c>
      <c r="B8289" s="9" t="str">
        <f>IFERROR(__xludf.DUMMYFUNCTION("""COMPUTED_VALUE"""),"AahnaC347")</f>
        <v>AahnaC347</v>
      </c>
      <c r="C8289" s="8">
        <f>IFERROR(__xludf.DUMMYFUNCTION("""COMPUTED_VALUE"""),0.0)</f>
        <v>0</v>
      </c>
      <c r="D8289" s="8"/>
    </row>
    <row r="8290">
      <c r="A8290" s="9" t="str">
        <f>IFERROR(__xludf.DUMMYFUNCTION("""COMPUTED_VALUE"""),"Batch 347")</f>
        <v>Batch 347</v>
      </c>
      <c r="B8290" s="9" t="str">
        <f>IFERROR(__xludf.DUMMYFUNCTION("""COMPUTED_VALUE"""),"MoliC347")</f>
        <v>MoliC347</v>
      </c>
      <c r="C8290" s="8">
        <f>IFERROR(__xludf.DUMMYFUNCTION("""COMPUTED_VALUE"""),0.0)</f>
        <v>0</v>
      </c>
      <c r="D8290" s="8"/>
    </row>
    <row r="8291">
      <c r="A8291" s="9" t="str">
        <f>IFERROR(__xludf.DUMMYFUNCTION("""COMPUTED_VALUE"""),"Batch 347")</f>
        <v>Batch 347</v>
      </c>
      <c r="B8291" s="9" t="str">
        <f>IFERROR(__xludf.DUMMYFUNCTION("""COMPUTED_VALUE"""),"VarnikaC347")</f>
        <v>VarnikaC347</v>
      </c>
      <c r="C8291" s="8">
        <f>IFERROR(__xludf.DUMMYFUNCTION("""COMPUTED_VALUE"""),0.0)</f>
        <v>0</v>
      </c>
      <c r="D8291" s="8"/>
    </row>
    <row r="8292">
      <c r="A8292" s="9" t="str">
        <f>IFERROR(__xludf.DUMMYFUNCTION("""COMPUTED_VALUE"""),"Batch 347")</f>
        <v>Batch 347</v>
      </c>
      <c r="B8292" s="9" t="str">
        <f>IFERROR(__xludf.DUMMYFUNCTION("""COMPUTED_VALUE"""),"MdC347")</f>
        <v>MdC347</v>
      </c>
      <c r="C8292" s="8">
        <f>IFERROR(__xludf.DUMMYFUNCTION("""COMPUTED_VALUE"""),1.0)</f>
        <v>1</v>
      </c>
      <c r="D8292" s="8"/>
    </row>
    <row r="8293">
      <c r="A8293" s="9" t="str">
        <f>IFERROR(__xludf.DUMMYFUNCTION("""COMPUTED_VALUE"""),"Batch 347")</f>
        <v>Batch 347</v>
      </c>
      <c r="B8293" s="9" t="str">
        <f>IFERROR(__xludf.DUMMYFUNCTION("""COMPUTED_VALUE"""),"AnushkaSC347")</f>
        <v>AnushkaSC347</v>
      </c>
      <c r="C8293" s="8">
        <f>IFERROR(__xludf.DUMMYFUNCTION("""COMPUTED_VALUE"""),0.0)</f>
        <v>0</v>
      </c>
      <c r="D8293" s="8"/>
    </row>
    <row r="8294">
      <c r="A8294" s="9" t="str">
        <f>IFERROR(__xludf.DUMMYFUNCTION("""COMPUTED_VALUE"""),"Batch 347")</f>
        <v>Batch 347</v>
      </c>
      <c r="B8294" s="9" t="str">
        <f>IFERROR(__xludf.DUMMYFUNCTION("""COMPUTED_VALUE"""),"DivyanshC347")</f>
        <v>DivyanshC347</v>
      </c>
      <c r="C8294" s="8">
        <f>IFERROR(__xludf.DUMMYFUNCTION("""COMPUTED_VALUE"""),0.0)</f>
        <v>0</v>
      </c>
      <c r="D8294" s="8"/>
    </row>
    <row r="8295">
      <c r="A8295" s="9" t="str">
        <f>IFERROR(__xludf.DUMMYFUNCTION("""COMPUTED_VALUE"""),"Batch 347")</f>
        <v>Batch 347</v>
      </c>
      <c r="B8295" s="9" t="str">
        <f>IFERROR(__xludf.DUMMYFUNCTION("""COMPUTED_VALUE"""),"AnshC347")</f>
        <v>AnshC347</v>
      </c>
      <c r="C8295" s="8">
        <f>IFERROR(__xludf.DUMMYFUNCTION("""COMPUTED_VALUE"""),5.0)</f>
        <v>5</v>
      </c>
      <c r="D8295" s="8"/>
    </row>
    <row r="8296">
      <c r="A8296" s="9" t="str">
        <f>IFERROR(__xludf.DUMMYFUNCTION("""COMPUTED_VALUE"""),"Batch 347")</f>
        <v>Batch 347</v>
      </c>
      <c r="B8296" s="9" t="str">
        <f>IFERROR(__xludf.DUMMYFUNCTION("""COMPUTED_VALUE"""),"KrishC347")</f>
        <v>KrishC347</v>
      </c>
      <c r="C8296" s="8">
        <f>IFERROR(__xludf.DUMMYFUNCTION("""COMPUTED_VALUE"""),36.0)</f>
        <v>36</v>
      </c>
      <c r="D8296" s="8">
        <f>IFERROR(__xludf.DUMMYFUNCTION("""COMPUTED_VALUE"""),1.0)</f>
        <v>1</v>
      </c>
    </row>
    <row r="8297">
      <c r="A8297" s="9" t="str">
        <f>IFERROR(__xludf.DUMMYFUNCTION("""COMPUTED_VALUE"""),"Batch 347")</f>
        <v>Batch 347</v>
      </c>
      <c r="B8297" s="9" t="str">
        <f>IFERROR(__xludf.DUMMYFUNCTION("""COMPUTED_VALUE"""),"HimanshuC347")</f>
        <v>HimanshuC347</v>
      </c>
      <c r="C8297" s="8">
        <f>IFERROR(__xludf.DUMMYFUNCTION("""COMPUTED_VALUE"""),0.0)</f>
        <v>0</v>
      </c>
      <c r="D8297" s="8"/>
    </row>
    <row r="8298">
      <c r="A8298" s="9" t="str">
        <f>IFERROR(__xludf.DUMMYFUNCTION("""COMPUTED_VALUE"""),"Batch 347")</f>
        <v>Batch 347</v>
      </c>
      <c r="B8298" s="9" t="str">
        <f>IFERROR(__xludf.DUMMYFUNCTION("""COMPUTED_VALUE"""),"KJSC347")</f>
        <v>KJSC347</v>
      </c>
      <c r="C8298" s="8">
        <f>IFERROR(__xludf.DUMMYFUNCTION("""COMPUTED_VALUE"""),0.0)</f>
        <v>0</v>
      </c>
      <c r="D8298" s="8"/>
    </row>
    <row r="8299">
      <c r="A8299" s="9" t="str">
        <f>IFERROR(__xludf.DUMMYFUNCTION("""COMPUTED_VALUE"""),"Batch 347")</f>
        <v>Batch 347</v>
      </c>
      <c r="B8299" s="9" t="str">
        <f>IFERROR(__xludf.DUMMYFUNCTION("""COMPUTED_VALUE"""),"AshutoshC347")</f>
        <v>AshutoshC347</v>
      </c>
      <c r="C8299" s="8">
        <f>IFERROR(__xludf.DUMMYFUNCTION("""COMPUTED_VALUE"""),0.0)</f>
        <v>0</v>
      </c>
      <c r="D8299" s="8"/>
    </row>
    <row r="8300">
      <c r="A8300" s="9" t="str">
        <f>IFERROR(__xludf.DUMMYFUNCTION("""COMPUTED_VALUE"""),"Batch 347")</f>
        <v>Batch 347</v>
      </c>
      <c r="B8300" s="9" t="str">
        <f>IFERROR(__xludf.DUMMYFUNCTION("""COMPUTED_VALUE"""),"OmairC347")</f>
        <v>OmairC347</v>
      </c>
      <c r="C8300" s="8">
        <f>IFERROR(__xludf.DUMMYFUNCTION("""COMPUTED_VALUE"""),0.0)</f>
        <v>0</v>
      </c>
      <c r="D8300" s="8"/>
    </row>
    <row r="8301">
      <c r="A8301" s="9" t="str">
        <f>IFERROR(__xludf.DUMMYFUNCTION("""COMPUTED_VALUE"""),"Batch 347")</f>
        <v>Batch 347</v>
      </c>
      <c r="B8301" s="9" t="str">
        <f>IFERROR(__xludf.DUMMYFUNCTION("""COMPUTED_VALUE"""),"BhumiC347")</f>
        <v>BhumiC347</v>
      </c>
      <c r="C8301" s="8">
        <f>IFERROR(__xludf.DUMMYFUNCTION("""COMPUTED_VALUE"""),0.0)</f>
        <v>0</v>
      </c>
      <c r="D8301" s="8"/>
    </row>
    <row r="8302">
      <c r="A8302" s="9" t="str">
        <f>IFERROR(__xludf.DUMMYFUNCTION("""COMPUTED_VALUE"""),"Batch 347")</f>
        <v>Batch 347</v>
      </c>
      <c r="B8302" s="9" t="str">
        <f>IFERROR(__xludf.DUMMYFUNCTION("""COMPUTED_VALUE"""),"TejalC347")</f>
        <v>TejalC347</v>
      </c>
      <c r="C8302" s="8">
        <f>IFERROR(__xludf.DUMMYFUNCTION("""COMPUTED_VALUE"""),0.0)</f>
        <v>0</v>
      </c>
      <c r="D8302" s="8"/>
    </row>
    <row r="8303">
      <c r="A8303" s="9" t="str">
        <f>IFERROR(__xludf.DUMMYFUNCTION("""COMPUTED_VALUE"""),"Batch 347")</f>
        <v>Batch 347</v>
      </c>
      <c r="B8303" s="9" t="str">
        <f>IFERROR(__xludf.DUMMYFUNCTION("""COMPUTED_VALUE"""),"AshutoshC347")</f>
        <v>AshutoshC347</v>
      </c>
      <c r="C8303" s="8">
        <f>IFERROR(__xludf.DUMMYFUNCTION("""COMPUTED_VALUE"""),0.0)</f>
        <v>0</v>
      </c>
      <c r="D8303" s="8"/>
    </row>
    <row r="8304">
      <c r="A8304" s="9" t="str">
        <f>IFERROR(__xludf.DUMMYFUNCTION("""COMPUTED_VALUE"""),"Batch 347")</f>
        <v>Batch 347</v>
      </c>
      <c r="B8304" s="9" t="str">
        <f>IFERROR(__xludf.DUMMYFUNCTION("""COMPUTED_VALUE"""),"AumeekaC347")</f>
        <v>AumeekaC347</v>
      </c>
      <c r="C8304" s="8">
        <f>IFERROR(__xludf.DUMMYFUNCTION("""COMPUTED_VALUE"""),0.0)</f>
        <v>0</v>
      </c>
      <c r="D8304" s="8"/>
    </row>
    <row r="8305">
      <c r="A8305" s="9"/>
      <c r="B8305" s="9"/>
      <c r="C8305" s="8">
        <f>IFERROR(__xludf.DUMMYFUNCTION("""COMPUTED_VALUE"""),0.0)</f>
        <v>0</v>
      </c>
      <c r="D8305" s="8"/>
    </row>
    <row r="8306">
      <c r="A8306" s="9" t="str">
        <f>IFERROR(__xludf.DUMMYFUNCTION("""COMPUTED_VALUE"""),"Batch 348")</f>
        <v>Batch 348</v>
      </c>
      <c r="B8306" s="9" t="str">
        <f>IFERROR(__xludf.DUMMYFUNCTION("""COMPUTED_VALUE"""),"AnjaliC348")</f>
        <v>AnjaliC348</v>
      </c>
      <c r="C8306" s="8">
        <f>IFERROR(__xludf.DUMMYFUNCTION("""COMPUTED_VALUE"""),0.0)</f>
        <v>0</v>
      </c>
      <c r="D8306" s="8"/>
    </row>
    <row r="8307">
      <c r="A8307" s="9" t="str">
        <f>IFERROR(__xludf.DUMMYFUNCTION("""COMPUTED_VALUE"""),"Batch 348")</f>
        <v>Batch 348</v>
      </c>
      <c r="B8307" s="9" t="str">
        <f>IFERROR(__xludf.DUMMYFUNCTION("""COMPUTED_VALUE"""),"DelishaC348")</f>
        <v>DelishaC348</v>
      </c>
      <c r="C8307" s="8">
        <f>IFERROR(__xludf.DUMMYFUNCTION("""COMPUTED_VALUE"""),0.0)</f>
        <v>0</v>
      </c>
      <c r="D8307" s="8"/>
    </row>
    <row r="8308">
      <c r="A8308" s="9" t="str">
        <f>IFERROR(__xludf.DUMMYFUNCTION("""COMPUTED_VALUE"""),"Batch 348")</f>
        <v>Batch 348</v>
      </c>
      <c r="B8308" s="9" t="str">
        <f>IFERROR(__xludf.DUMMYFUNCTION("""COMPUTED_VALUE"""),"SaiyyamjotC348")</f>
        <v>SaiyyamjotC348</v>
      </c>
      <c r="C8308" s="8">
        <f>IFERROR(__xludf.DUMMYFUNCTION("""COMPUTED_VALUE"""),1.0)</f>
        <v>1</v>
      </c>
      <c r="D8308" s="8">
        <f>IFERROR(__xludf.DUMMYFUNCTION("""COMPUTED_VALUE"""),1.0)</f>
        <v>1</v>
      </c>
    </row>
    <row r="8309">
      <c r="A8309" s="9" t="str">
        <f>IFERROR(__xludf.DUMMYFUNCTION("""COMPUTED_VALUE"""),"Batch 348")</f>
        <v>Batch 348</v>
      </c>
      <c r="B8309" s="9" t="str">
        <f>IFERROR(__xludf.DUMMYFUNCTION("""COMPUTED_VALUE"""),"shubhamC348")</f>
        <v>shubhamC348</v>
      </c>
      <c r="C8309" s="8">
        <f>IFERROR(__xludf.DUMMYFUNCTION("""COMPUTED_VALUE"""),0.0)</f>
        <v>0</v>
      </c>
      <c r="D8309" s="8"/>
    </row>
    <row r="8310">
      <c r="A8310" s="9" t="str">
        <f>IFERROR(__xludf.DUMMYFUNCTION("""COMPUTED_VALUE"""),"Batch 348")</f>
        <v>Batch 348</v>
      </c>
      <c r="B8310" s="9" t="str">
        <f>IFERROR(__xludf.DUMMYFUNCTION("""COMPUTED_VALUE"""),"PreetC348")</f>
        <v>PreetC348</v>
      </c>
      <c r="C8310" s="8">
        <f>IFERROR(__xludf.DUMMYFUNCTION("""COMPUTED_VALUE"""),0.0)</f>
        <v>0</v>
      </c>
      <c r="D8310" s="8"/>
    </row>
    <row r="8311">
      <c r="A8311" s="9" t="str">
        <f>IFERROR(__xludf.DUMMYFUNCTION("""COMPUTED_VALUE"""),"Batch 348")</f>
        <v>Batch 348</v>
      </c>
      <c r="B8311" s="9" t="str">
        <f>IFERROR(__xludf.DUMMYFUNCTION("""COMPUTED_VALUE"""),"PriyanshiC348")</f>
        <v>PriyanshiC348</v>
      </c>
      <c r="C8311" s="8">
        <f>IFERROR(__xludf.DUMMYFUNCTION("""COMPUTED_VALUE"""),0.0)</f>
        <v>0</v>
      </c>
      <c r="D8311" s="8"/>
    </row>
    <row r="8312">
      <c r="A8312" s="9" t="str">
        <f>IFERROR(__xludf.DUMMYFUNCTION("""COMPUTED_VALUE"""),"Batch 348")</f>
        <v>Batch 348</v>
      </c>
      <c r="B8312" s="9" t="str">
        <f>IFERROR(__xludf.DUMMYFUNCTION("""COMPUTED_VALUE"""),"shrutiC348")</f>
        <v>shrutiC348</v>
      </c>
      <c r="C8312" s="8">
        <f>IFERROR(__xludf.DUMMYFUNCTION("""COMPUTED_VALUE"""),0.0)</f>
        <v>0</v>
      </c>
      <c r="D8312" s="8"/>
    </row>
    <row r="8313">
      <c r="A8313" s="9" t="str">
        <f>IFERROR(__xludf.DUMMYFUNCTION("""COMPUTED_VALUE"""),"Batch 348")</f>
        <v>Batch 348</v>
      </c>
      <c r="B8313" s="9" t="str">
        <f>IFERROR(__xludf.DUMMYFUNCTION("""COMPUTED_VALUE"""),"TanishqC348")</f>
        <v>TanishqC348</v>
      </c>
      <c r="C8313" s="8">
        <f>IFERROR(__xludf.DUMMYFUNCTION("""COMPUTED_VALUE"""),0.0)</f>
        <v>0</v>
      </c>
      <c r="D8313" s="8"/>
    </row>
    <row r="8314">
      <c r="A8314" s="9" t="str">
        <f>IFERROR(__xludf.DUMMYFUNCTION("""COMPUTED_VALUE"""),"Batch 348")</f>
        <v>Batch 348</v>
      </c>
      <c r="B8314" s="9" t="str">
        <f>IFERROR(__xludf.DUMMYFUNCTION("""COMPUTED_VALUE"""),"DivyamC348")</f>
        <v>DivyamC348</v>
      </c>
      <c r="C8314" s="8">
        <f>IFERROR(__xludf.DUMMYFUNCTION("""COMPUTED_VALUE"""),0.0)</f>
        <v>0</v>
      </c>
      <c r="D8314" s="8"/>
    </row>
    <row r="8315">
      <c r="A8315" s="9" t="str">
        <f>IFERROR(__xludf.DUMMYFUNCTION("""COMPUTED_VALUE"""),"Batch 348")</f>
        <v>Batch 348</v>
      </c>
      <c r="B8315" s="9" t="str">
        <f>IFERROR(__xludf.DUMMYFUNCTION("""COMPUTED_VALUE"""),"RonakC348")</f>
        <v>RonakC348</v>
      </c>
      <c r="C8315" s="8">
        <f>IFERROR(__xludf.DUMMYFUNCTION("""COMPUTED_VALUE"""),0.0)</f>
        <v>0</v>
      </c>
      <c r="D8315" s="8"/>
    </row>
    <row r="8316">
      <c r="A8316" s="9" t="str">
        <f>IFERROR(__xludf.DUMMYFUNCTION("""COMPUTED_VALUE"""),"Batch 348")</f>
        <v>Batch 348</v>
      </c>
      <c r="B8316" s="9" t="str">
        <f>IFERROR(__xludf.DUMMYFUNCTION("""COMPUTED_VALUE"""),"AmarkantC348")</f>
        <v>AmarkantC348</v>
      </c>
      <c r="C8316" s="8">
        <f>IFERROR(__xludf.DUMMYFUNCTION("""COMPUTED_VALUE"""),0.0)</f>
        <v>0</v>
      </c>
      <c r="D8316" s="8"/>
    </row>
    <row r="8317">
      <c r="A8317" s="9" t="str">
        <f>IFERROR(__xludf.DUMMYFUNCTION("""COMPUTED_VALUE"""),"Batch 348")</f>
        <v>Batch 348</v>
      </c>
      <c r="B8317" s="9" t="str">
        <f>IFERROR(__xludf.DUMMYFUNCTION("""COMPUTED_VALUE"""),"TushitaC348")</f>
        <v>TushitaC348</v>
      </c>
      <c r="C8317" s="8">
        <f>IFERROR(__xludf.DUMMYFUNCTION("""COMPUTED_VALUE"""),0.0)</f>
        <v>0</v>
      </c>
      <c r="D8317" s="8"/>
    </row>
    <row r="8318">
      <c r="A8318" s="9" t="str">
        <f>IFERROR(__xludf.DUMMYFUNCTION("""COMPUTED_VALUE"""),"Batch 348")</f>
        <v>Batch 348</v>
      </c>
      <c r="B8318" s="9" t="str">
        <f>IFERROR(__xludf.DUMMYFUNCTION("""COMPUTED_VALUE"""),"ArshadC348")</f>
        <v>ArshadC348</v>
      </c>
      <c r="C8318" s="8">
        <f>IFERROR(__xludf.DUMMYFUNCTION("""COMPUTED_VALUE"""),0.0)</f>
        <v>0</v>
      </c>
      <c r="D8318" s="8"/>
    </row>
    <row r="8319">
      <c r="A8319" s="9" t="str">
        <f>IFERROR(__xludf.DUMMYFUNCTION("""COMPUTED_VALUE"""),"Batch 348")</f>
        <v>Batch 348</v>
      </c>
      <c r="B8319" s="9" t="str">
        <f>IFERROR(__xludf.DUMMYFUNCTION("""COMPUTED_VALUE"""),"TithibrataC348")</f>
        <v>TithibrataC348</v>
      </c>
      <c r="C8319" s="8">
        <f>IFERROR(__xludf.DUMMYFUNCTION("""COMPUTED_VALUE"""),0.0)</f>
        <v>0</v>
      </c>
      <c r="D8319" s="8"/>
    </row>
    <row r="8320">
      <c r="A8320" s="9" t="str">
        <f>IFERROR(__xludf.DUMMYFUNCTION("""COMPUTED_VALUE"""),"Batch 348")</f>
        <v>Batch 348</v>
      </c>
      <c r="B8320" s="9" t="str">
        <f>IFERROR(__xludf.DUMMYFUNCTION("""COMPUTED_VALUE"""),"KiruthigaC348")</f>
        <v>KiruthigaC348</v>
      </c>
      <c r="C8320" s="8">
        <f>IFERROR(__xludf.DUMMYFUNCTION("""COMPUTED_VALUE"""),0.0)</f>
        <v>0</v>
      </c>
      <c r="D8320" s="8"/>
    </row>
    <row r="8321">
      <c r="A8321" s="9" t="str">
        <f>IFERROR(__xludf.DUMMYFUNCTION("""COMPUTED_VALUE"""),"Batch 348")</f>
        <v>Batch 348</v>
      </c>
      <c r="B8321" s="9" t="str">
        <f>IFERROR(__xludf.DUMMYFUNCTION("""COMPUTED_VALUE"""),"MayankC348")</f>
        <v>MayankC348</v>
      </c>
      <c r="C8321" s="8">
        <f>IFERROR(__xludf.DUMMYFUNCTION("""COMPUTED_VALUE"""),2.0)</f>
        <v>2</v>
      </c>
      <c r="D8321" s="8"/>
    </row>
    <row r="8322">
      <c r="A8322" s="9" t="str">
        <f>IFERROR(__xludf.DUMMYFUNCTION("""COMPUTED_VALUE"""),"Batch 348")</f>
        <v>Batch 348</v>
      </c>
      <c r="B8322" s="9" t="str">
        <f>IFERROR(__xludf.DUMMYFUNCTION("""COMPUTED_VALUE"""),"AryaC348")</f>
        <v>AryaC348</v>
      </c>
      <c r="C8322" s="8">
        <f>IFERROR(__xludf.DUMMYFUNCTION("""COMPUTED_VALUE"""),0.0)</f>
        <v>0</v>
      </c>
      <c r="D8322" s="8"/>
    </row>
    <row r="8323">
      <c r="A8323" s="9" t="str">
        <f>IFERROR(__xludf.DUMMYFUNCTION("""COMPUTED_VALUE"""),"Batch 348")</f>
        <v>Batch 348</v>
      </c>
      <c r="B8323" s="9" t="str">
        <f>IFERROR(__xludf.DUMMYFUNCTION("""COMPUTED_VALUE"""),"AshutoshC348")</f>
        <v>AshutoshC348</v>
      </c>
      <c r="C8323" s="8">
        <f>IFERROR(__xludf.DUMMYFUNCTION("""COMPUTED_VALUE"""),0.0)</f>
        <v>0</v>
      </c>
      <c r="D8323" s="8"/>
    </row>
    <row r="8324">
      <c r="A8324" s="9" t="str">
        <f>IFERROR(__xludf.DUMMYFUNCTION("""COMPUTED_VALUE"""),"Batch 348")</f>
        <v>Batch 348</v>
      </c>
      <c r="B8324" s="9" t="str">
        <f>IFERROR(__xludf.DUMMYFUNCTION("""COMPUTED_VALUE"""),"riyaC348")</f>
        <v>riyaC348</v>
      </c>
      <c r="C8324" s="8">
        <f>IFERROR(__xludf.DUMMYFUNCTION("""COMPUTED_VALUE"""),0.0)</f>
        <v>0</v>
      </c>
      <c r="D8324" s="8"/>
    </row>
    <row r="8325">
      <c r="A8325" s="9" t="str">
        <f>IFERROR(__xludf.DUMMYFUNCTION("""COMPUTED_VALUE"""),"Batch 348")</f>
        <v>Batch 348</v>
      </c>
      <c r="B8325" s="9" t="str">
        <f>IFERROR(__xludf.DUMMYFUNCTION("""COMPUTED_VALUE"""),"MahiC348")</f>
        <v>MahiC348</v>
      </c>
      <c r="C8325" s="8">
        <f>IFERROR(__xludf.DUMMYFUNCTION("""COMPUTED_VALUE"""),0.0)</f>
        <v>0</v>
      </c>
      <c r="D8325" s="8"/>
    </row>
    <row r="8326">
      <c r="A8326" s="9" t="str">
        <f>IFERROR(__xludf.DUMMYFUNCTION("""COMPUTED_VALUE"""),"Batch 348")</f>
        <v>Batch 348</v>
      </c>
      <c r="B8326" s="9" t="str">
        <f>IFERROR(__xludf.DUMMYFUNCTION("""COMPUTED_VALUE"""),"PinkyC348")</f>
        <v>PinkyC348</v>
      </c>
      <c r="C8326" s="8">
        <f>IFERROR(__xludf.DUMMYFUNCTION("""COMPUTED_VALUE"""),19.0)</f>
        <v>19</v>
      </c>
      <c r="D8326" s="8">
        <f>IFERROR(__xludf.DUMMYFUNCTION("""COMPUTED_VALUE"""),17.0)</f>
        <v>17</v>
      </c>
    </row>
    <row r="8327">
      <c r="A8327" s="9" t="str">
        <f>IFERROR(__xludf.DUMMYFUNCTION("""COMPUTED_VALUE"""),"Batch 348")</f>
        <v>Batch 348</v>
      </c>
      <c r="B8327" s="9" t="str">
        <f>IFERROR(__xludf.DUMMYFUNCTION("""COMPUTED_VALUE"""),"VishalC348")</f>
        <v>VishalC348</v>
      </c>
      <c r="C8327" s="8">
        <f>IFERROR(__xludf.DUMMYFUNCTION("""COMPUTED_VALUE"""),0.0)</f>
        <v>0</v>
      </c>
      <c r="D8327" s="8"/>
    </row>
    <row r="8328">
      <c r="A8328" s="9" t="str">
        <f>IFERROR(__xludf.DUMMYFUNCTION("""COMPUTED_VALUE"""),"Batch 348")</f>
        <v>Batch 348</v>
      </c>
      <c r="B8328" s="9" t="str">
        <f>IFERROR(__xludf.DUMMYFUNCTION("""COMPUTED_VALUE"""),"SnehaC348")</f>
        <v>SnehaC348</v>
      </c>
      <c r="C8328" s="8">
        <f>IFERROR(__xludf.DUMMYFUNCTION("""COMPUTED_VALUE"""),0.0)</f>
        <v>0</v>
      </c>
      <c r="D8328" s="8"/>
    </row>
    <row r="8329">
      <c r="A8329" s="9" t="str">
        <f>IFERROR(__xludf.DUMMYFUNCTION("""COMPUTED_VALUE"""),"Batch 348")</f>
        <v>Batch 348</v>
      </c>
      <c r="B8329" s="9" t="str">
        <f>IFERROR(__xludf.DUMMYFUNCTION("""COMPUTED_VALUE"""),"shivanshC348")</f>
        <v>shivanshC348</v>
      </c>
      <c r="C8329" s="8">
        <f>IFERROR(__xludf.DUMMYFUNCTION("""COMPUTED_VALUE"""),0.0)</f>
        <v>0</v>
      </c>
      <c r="D8329" s="8"/>
    </row>
    <row r="8330">
      <c r="A8330" s="9" t="str">
        <f>IFERROR(__xludf.DUMMYFUNCTION("""COMPUTED_VALUE"""),"Batch 348")</f>
        <v>Batch 348</v>
      </c>
      <c r="B8330" s="9" t="str">
        <f>IFERROR(__xludf.DUMMYFUNCTION("""COMPUTED_VALUE"""),"ShivamC348")</f>
        <v>ShivamC348</v>
      </c>
      <c r="C8330" s="8">
        <f>IFERROR(__xludf.DUMMYFUNCTION("""COMPUTED_VALUE"""),0.0)</f>
        <v>0</v>
      </c>
      <c r="D8330" s="8"/>
    </row>
    <row r="8331">
      <c r="A8331" s="9" t="str">
        <f>IFERROR(__xludf.DUMMYFUNCTION("""COMPUTED_VALUE"""),"Batch 348")</f>
        <v>Batch 348</v>
      </c>
      <c r="B8331" s="9" t="str">
        <f>IFERROR(__xludf.DUMMYFUNCTION("""COMPUTED_VALUE"""),"MohammadC348")</f>
        <v>MohammadC348</v>
      </c>
      <c r="C8331" s="8">
        <f>IFERROR(__xludf.DUMMYFUNCTION("""COMPUTED_VALUE"""),0.0)</f>
        <v>0</v>
      </c>
      <c r="D8331" s="8"/>
    </row>
    <row r="8332">
      <c r="A8332" s="9" t="str">
        <f>IFERROR(__xludf.DUMMYFUNCTION("""COMPUTED_VALUE"""),"Batch 348")</f>
        <v>Batch 348</v>
      </c>
      <c r="B8332" s="9" t="str">
        <f>IFERROR(__xludf.DUMMYFUNCTION("""COMPUTED_VALUE"""),"PradnyaC348")</f>
        <v>PradnyaC348</v>
      </c>
      <c r="C8332" s="8">
        <f>IFERROR(__xludf.DUMMYFUNCTION("""COMPUTED_VALUE"""),0.0)</f>
        <v>0</v>
      </c>
      <c r="D8332" s="8"/>
    </row>
    <row r="8333">
      <c r="A8333" s="9" t="str">
        <f>IFERROR(__xludf.DUMMYFUNCTION("""COMPUTED_VALUE"""),"Batch 348")</f>
        <v>Batch 348</v>
      </c>
      <c r="B8333" s="9" t="str">
        <f>IFERROR(__xludf.DUMMYFUNCTION("""COMPUTED_VALUE"""),"SweetyC348")</f>
        <v>SweetyC348</v>
      </c>
      <c r="C8333" s="8">
        <f>IFERROR(__xludf.DUMMYFUNCTION("""COMPUTED_VALUE"""),0.0)</f>
        <v>0</v>
      </c>
      <c r="D8333" s="8"/>
    </row>
    <row r="8334">
      <c r="A8334" s="9" t="str">
        <f>IFERROR(__xludf.DUMMYFUNCTION("""COMPUTED_VALUE"""),"Batch 348")</f>
        <v>Batch 348</v>
      </c>
      <c r="B8334" s="9" t="str">
        <f>IFERROR(__xludf.DUMMYFUNCTION("""COMPUTED_VALUE"""),"PranavC348")</f>
        <v>PranavC348</v>
      </c>
      <c r="C8334" s="8">
        <f>IFERROR(__xludf.DUMMYFUNCTION("""COMPUTED_VALUE"""),0.0)</f>
        <v>0</v>
      </c>
      <c r="D8334" s="8"/>
    </row>
    <row r="8335">
      <c r="A8335" s="9" t="str">
        <f>IFERROR(__xludf.DUMMYFUNCTION("""COMPUTED_VALUE"""),"Batch 348")</f>
        <v>Batch 348</v>
      </c>
      <c r="B8335" s="9" t="str">
        <f>IFERROR(__xludf.DUMMYFUNCTION("""COMPUTED_VALUE"""),"AnkitC348")</f>
        <v>AnkitC348</v>
      </c>
      <c r="C8335" s="8">
        <f>IFERROR(__xludf.DUMMYFUNCTION("""COMPUTED_VALUE"""),0.0)</f>
        <v>0</v>
      </c>
      <c r="D8335" s="8"/>
    </row>
    <row r="8336">
      <c r="A8336" s="9" t="str">
        <f>IFERROR(__xludf.DUMMYFUNCTION("""COMPUTED_VALUE"""),"Batch 348")</f>
        <v>Batch 348</v>
      </c>
      <c r="B8336" s="9" t="str">
        <f>IFERROR(__xludf.DUMMYFUNCTION("""COMPUTED_VALUE"""),"ArjunC348")</f>
        <v>ArjunC348</v>
      </c>
      <c r="C8336" s="8">
        <f>IFERROR(__xludf.DUMMYFUNCTION("""COMPUTED_VALUE"""),0.0)</f>
        <v>0</v>
      </c>
      <c r="D8336" s="8"/>
    </row>
    <row r="8337">
      <c r="A8337" s="9" t="str">
        <f>IFERROR(__xludf.DUMMYFUNCTION("""COMPUTED_VALUE"""),"Batch 348")</f>
        <v>Batch 348</v>
      </c>
      <c r="B8337" s="9" t="str">
        <f>IFERROR(__xludf.DUMMYFUNCTION("""COMPUTED_VALUE"""),"HridikC348")</f>
        <v>HridikC348</v>
      </c>
      <c r="C8337" s="8">
        <f>IFERROR(__xludf.DUMMYFUNCTION("""COMPUTED_VALUE"""),0.0)</f>
        <v>0</v>
      </c>
      <c r="D8337" s="8"/>
    </row>
    <row r="8338">
      <c r="A8338" s="9" t="str">
        <f>IFERROR(__xludf.DUMMYFUNCTION("""COMPUTED_VALUE"""),"Batch 348")</f>
        <v>Batch 348</v>
      </c>
      <c r="B8338" s="9" t="str">
        <f>IFERROR(__xludf.DUMMYFUNCTION("""COMPUTED_VALUE"""),"SanskritiC348")</f>
        <v>SanskritiC348</v>
      </c>
      <c r="C8338" s="8">
        <f>IFERROR(__xludf.DUMMYFUNCTION("""COMPUTED_VALUE"""),0.0)</f>
        <v>0</v>
      </c>
      <c r="D8338" s="8"/>
    </row>
    <row r="8339">
      <c r="A8339" s="9" t="str">
        <f>IFERROR(__xludf.DUMMYFUNCTION("""COMPUTED_VALUE"""),"Batch 348")</f>
        <v>Batch 348</v>
      </c>
      <c r="B8339" s="9" t="str">
        <f>IFERROR(__xludf.DUMMYFUNCTION("""COMPUTED_VALUE"""),"VidhiC348")</f>
        <v>VidhiC348</v>
      </c>
      <c r="C8339" s="8">
        <f>IFERROR(__xludf.DUMMYFUNCTION("""COMPUTED_VALUE"""),0.0)</f>
        <v>0</v>
      </c>
      <c r="D8339" s="8"/>
    </row>
    <row r="8340">
      <c r="A8340" s="9" t="str">
        <f>IFERROR(__xludf.DUMMYFUNCTION("""COMPUTED_VALUE"""),"Batch 348")</f>
        <v>Batch 348</v>
      </c>
      <c r="B8340" s="9" t="str">
        <f>IFERROR(__xludf.DUMMYFUNCTION("""COMPUTED_VALUE"""),"KondaC348")</f>
        <v>KondaC348</v>
      </c>
      <c r="C8340" s="8">
        <f>IFERROR(__xludf.DUMMYFUNCTION("""COMPUTED_VALUE"""),0.0)</f>
        <v>0</v>
      </c>
      <c r="D8340" s="8"/>
    </row>
    <row r="8341">
      <c r="A8341" s="9" t="str">
        <f>IFERROR(__xludf.DUMMYFUNCTION("""COMPUTED_VALUE"""),"Batch 348")</f>
        <v>Batch 348</v>
      </c>
      <c r="B8341" s="9" t="str">
        <f>IFERROR(__xludf.DUMMYFUNCTION("""COMPUTED_VALUE"""),"EktaC348")</f>
        <v>EktaC348</v>
      </c>
      <c r="C8341" s="8">
        <f>IFERROR(__xludf.DUMMYFUNCTION("""COMPUTED_VALUE"""),0.0)</f>
        <v>0</v>
      </c>
      <c r="D8341" s="8"/>
    </row>
    <row r="8342">
      <c r="A8342" s="9" t="str">
        <f>IFERROR(__xludf.DUMMYFUNCTION("""COMPUTED_VALUE"""),"Batch 348")</f>
        <v>Batch 348</v>
      </c>
      <c r="B8342" s="9" t="str">
        <f>IFERROR(__xludf.DUMMYFUNCTION("""COMPUTED_VALUE"""),"RenitaC348")</f>
        <v>RenitaC348</v>
      </c>
      <c r="C8342" s="8">
        <f>IFERROR(__xludf.DUMMYFUNCTION("""COMPUTED_VALUE"""),0.0)</f>
        <v>0</v>
      </c>
      <c r="D8342" s="8"/>
    </row>
    <row r="8343">
      <c r="A8343" s="9" t="str">
        <f>IFERROR(__xludf.DUMMYFUNCTION("""COMPUTED_VALUE"""),"Batch 348")</f>
        <v>Batch 348</v>
      </c>
      <c r="B8343" s="9" t="str">
        <f>IFERROR(__xludf.DUMMYFUNCTION("""COMPUTED_VALUE"""),"AmulyaC348")</f>
        <v>AmulyaC348</v>
      </c>
      <c r="C8343" s="8">
        <f>IFERROR(__xludf.DUMMYFUNCTION("""COMPUTED_VALUE"""),8.0)</f>
        <v>8</v>
      </c>
      <c r="D8343" s="8"/>
    </row>
    <row r="8344">
      <c r="A8344" s="9" t="str">
        <f>IFERROR(__xludf.DUMMYFUNCTION("""COMPUTED_VALUE"""),"Batch 348")</f>
        <v>Batch 348</v>
      </c>
      <c r="B8344" s="9" t="str">
        <f>IFERROR(__xludf.DUMMYFUNCTION("""COMPUTED_VALUE"""),"DashmeetC348")</f>
        <v>DashmeetC348</v>
      </c>
      <c r="C8344" s="8">
        <f>IFERROR(__xludf.DUMMYFUNCTION("""COMPUTED_VALUE"""),0.0)</f>
        <v>0</v>
      </c>
      <c r="D8344" s="8"/>
    </row>
    <row r="8345">
      <c r="A8345" s="9" t="str">
        <f>IFERROR(__xludf.DUMMYFUNCTION("""COMPUTED_VALUE"""),"Batch 348")</f>
        <v>Batch 348</v>
      </c>
      <c r="B8345" s="9" t="str">
        <f>IFERROR(__xludf.DUMMYFUNCTION("""COMPUTED_VALUE"""),"KunalC348")</f>
        <v>KunalC348</v>
      </c>
      <c r="C8345" s="8">
        <f>IFERROR(__xludf.DUMMYFUNCTION("""COMPUTED_VALUE"""),0.0)</f>
        <v>0</v>
      </c>
      <c r="D8345" s="8"/>
    </row>
    <row r="8346">
      <c r="A8346" s="9" t="str">
        <f>IFERROR(__xludf.DUMMYFUNCTION("""COMPUTED_VALUE"""),"Batch 348")</f>
        <v>Batch 348</v>
      </c>
      <c r="B8346" s="9" t="str">
        <f>IFERROR(__xludf.DUMMYFUNCTION("""COMPUTED_VALUE"""),"CharviC348")</f>
        <v>CharviC348</v>
      </c>
      <c r="C8346" s="8">
        <f>IFERROR(__xludf.DUMMYFUNCTION("""COMPUTED_VALUE"""),0.0)</f>
        <v>0</v>
      </c>
      <c r="D8346" s="8"/>
    </row>
    <row r="8347">
      <c r="A8347" s="9" t="str">
        <f>IFERROR(__xludf.DUMMYFUNCTION("""COMPUTED_VALUE"""),"Batch 348")</f>
        <v>Batch 348</v>
      </c>
      <c r="B8347" s="9" t="str">
        <f>IFERROR(__xludf.DUMMYFUNCTION("""COMPUTED_VALUE"""),"KhushiC348")</f>
        <v>KhushiC348</v>
      </c>
      <c r="C8347" s="8">
        <f>IFERROR(__xludf.DUMMYFUNCTION("""COMPUTED_VALUE"""),0.0)</f>
        <v>0</v>
      </c>
      <c r="D8347" s="8"/>
    </row>
    <row r="8348">
      <c r="A8348" s="9" t="str">
        <f>IFERROR(__xludf.DUMMYFUNCTION("""COMPUTED_VALUE"""),"Batch 348")</f>
        <v>Batch 348</v>
      </c>
      <c r="B8348" s="9" t="str">
        <f>IFERROR(__xludf.DUMMYFUNCTION("""COMPUTED_VALUE"""),"SukritC348")</f>
        <v>SukritC348</v>
      </c>
      <c r="C8348" s="8">
        <f>IFERROR(__xludf.DUMMYFUNCTION("""COMPUTED_VALUE"""),0.0)</f>
        <v>0</v>
      </c>
      <c r="D8348" s="8"/>
    </row>
    <row r="8349">
      <c r="A8349" s="9" t="str">
        <f>IFERROR(__xludf.DUMMYFUNCTION("""COMPUTED_VALUE"""),"Batch 348")</f>
        <v>Batch 348</v>
      </c>
      <c r="B8349" s="9" t="str">
        <f>IFERROR(__xludf.DUMMYFUNCTION("""COMPUTED_VALUE"""),"JhanviC348")</f>
        <v>JhanviC348</v>
      </c>
      <c r="C8349" s="8">
        <f>IFERROR(__xludf.DUMMYFUNCTION("""COMPUTED_VALUE"""),0.0)</f>
        <v>0</v>
      </c>
      <c r="D8349" s="8"/>
    </row>
    <row r="8350">
      <c r="A8350" s="9" t="str">
        <f>IFERROR(__xludf.DUMMYFUNCTION("""COMPUTED_VALUE"""),"Batch 348")</f>
        <v>Batch 348</v>
      </c>
      <c r="B8350" s="9" t="str">
        <f>IFERROR(__xludf.DUMMYFUNCTION("""COMPUTED_VALUE"""),"SimranC348")</f>
        <v>SimranC348</v>
      </c>
      <c r="C8350" s="8">
        <f>IFERROR(__xludf.DUMMYFUNCTION("""COMPUTED_VALUE"""),0.0)</f>
        <v>0</v>
      </c>
      <c r="D8350" s="8"/>
    </row>
    <row r="8351">
      <c r="A8351" s="9" t="str">
        <f>IFERROR(__xludf.DUMMYFUNCTION("""COMPUTED_VALUE"""),"Batch 348")</f>
        <v>Batch 348</v>
      </c>
      <c r="B8351" s="9" t="str">
        <f>IFERROR(__xludf.DUMMYFUNCTION("""COMPUTED_VALUE"""),"SheikhC348")</f>
        <v>SheikhC348</v>
      </c>
      <c r="C8351" s="8">
        <f>IFERROR(__xludf.DUMMYFUNCTION("""COMPUTED_VALUE"""),0.0)</f>
        <v>0</v>
      </c>
      <c r="D8351" s="8"/>
    </row>
    <row r="8352">
      <c r="A8352" s="9" t="str">
        <f>IFERROR(__xludf.DUMMYFUNCTION("""COMPUTED_VALUE"""),"Batch 348")</f>
        <v>Batch 348</v>
      </c>
      <c r="B8352" s="9" t="str">
        <f>IFERROR(__xludf.DUMMYFUNCTION("""COMPUTED_VALUE"""),"NeevC348")</f>
        <v>NeevC348</v>
      </c>
      <c r="C8352" s="8">
        <f>IFERROR(__xludf.DUMMYFUNCTION("""COMPUTED_VALUE"""),0.0)</f>
        <v>0</v>
      </c>
      <c r="D8352" s="8"/>
    </row>
    <row r="8353">
      <c r="A8353" s="9" t="str">
        <f>IFERROR(__xludf.DUMMYFUNCTION("""COMPUTED_VALUE"""),"Batch 348")</f>
        <v>Batch 348</v>
      </c>
      <c r="B8353" s="9" t="str">
        <f>IFERROR(__xludf.DUMMYFUNCTION("""COMPUTED_VALUE"""),"ManishC348")</f>
        <v>ManishC348</v>
      </c>
      <c r="C8353" s="8">
        <f>IFERROR(__xludf.DUMMYFUNCTION("""COMPUTED_VALUE"""),0.0)</f>
        <v>0</v>
      </c>
      <c r="D8353" s="8"/>
    </row>
    <row r="8354">
      <c r="A8354" s="9" t="str">
        <f>IFERROR(__xludf.DUMMYFUNCTION("""COMPUTED_VALUE"""),"Batch 348")</f>
        <v>Batch 348</v>
      </c>
      <c r="B8354" s="9" t="str">
        <f>IFERROR(__xludf.DUMMYFUNCTION("""COMPUTED_VALUE"""),"ManishSC348")</f>
        <v>ManishSC348</v>
      </c>
      <c r="C8354" s="8">
        <f>IFERROR(__xludf.DUMMYFUNCTION("""COMPUTED_VALUE"""),1.0)</f>
        <v>1</v>
      </c>
      <c r="D8354" s="8"/>
    </row>
    <row r="8355">
      <c r="A8355" s="9" t="str">
        <f>IFERROR(__xludf.DUMMYFUNCTION("""COMPUTED_VALUE"""),"Batch 348")</f>
        <v>Batch 348</v>
      </c>
      <c r="B8355" s="9" t="str">
        <f>IFERROR(__xludf.DUMMYFUNCTION("""COMPUTED_VALUE"""),"AkanshaC348")</f>
        <v>AkanshaC348</v>
      </c>
      <c r="C8355" s="8">
        <f>IFERROR(__xludf.DUMMYFUNCTION("""COMPUTED_VALUE"""),0.0)</f>
        <v>0</v>
      </c>
      <c r="D8355" s="8"/>
    </row>
    <row r="8356">
      <c r="A8356" s="9" t="str">
        <f>IFERROR(__xludf.DUMMYFUNCTION("""COMPUTED_VALUE"""),"Batch 348")</f>
        <v>Batch 348</v>
      </c>
      <c r="B8356" s="9" t="str">
        <f>IFERROR(__xludf.DUMMYFUNCTION("""COMPUTED_VALUE"""),"RitikC348")</f>
        <v>RitikC348</v>
      </c>
      <c r="C8356" s="8">
        <f>IFERROR(__xludf.DUMMYFUNCTION("""COMPUTED_VALUE"""),0.0)</f>
        <v>0</v>
      </c>
      <c r="D8356" s="8"/>
    </row>
    <row r="8357">
      <c r="A8357" s="9" t="str">
        <f>IFERROR(__xludf.DUMMYFUNCTION("""COMPUTED_VALUE"""),"Batch 348")</f>
        <v>Batch 348</v>
      </c>
      <c r="B8357" s="9" t="str">
        <f>IFERROR(__xludf.DUMMYFUNCTION("""COMPUTED_VALUE"""),"MahendraC348")</f>
        <v>MahendraC348</v>
      </c>
      <c r="C8357" s="8">
        <f>IFERROR(__xludf.DUMMYFUNCTION("""COMPUTED_VALUE"""),0.0)</f>
        <v>0</v>
      </c>
      <c r="D8357" s="8"/>
    </row>
    <row r="8358">
      <c r="A8358" s="9" t="str">
        <f>IFERROR(__xludf.DUMMYFUNCTION("""COMPUTED_VALUE"""),"Batch 348")</f>
        <v>Batch 348</v>
      </c>
      <c r="B8358" s="9" t="str">
        <f>IFERROR(__xludf.DUMMYFUNCTION("""COMPUTED_VALUE"""),"ShubhC348")</f>
        <v>ShubhC348</v>
      </c>
      <c r="C8358" s="8">
        <f>IFERROR(__xludf.DUMMYFUNCTION("""COMPUTED_VALUE"""),2.0)</f>
        <v>2</v>
      </c>
      <c r="D8358" s="8"/>
    </row>
    <row r="8359">
      <c r="A8359" s="9" t="str">
        <f>IFERROR(__xludf.DUMMYFUNCTION("""COMPUTED_VALUE"""),"Batch 348")</f>
        <v>Batch 348</v>
      </c>
      <c r="B8359" s="9" t="str">
        <f>IFERROR(__xludf.DUMMYFUNCTION("""COMPUTED_VALUE"""),"SakshiC348")</f>
        <v>SakshiC348</v>
      </c>
      <c r="C8359" s="8">
        <f>IFERROR(__xludf.DUMMYFUNCTION("""COMPUTED_VALUE"""),0.0)</f>
        <v>0</v>
      </c>
      <c r="D8359" s="8"/>
    </row>
    <row r="8360">
      <c r="A8360" s="9" t="str">
        <f>IFERROR(__xludf.DUMMYFUNCTION("""COMPUTED_VALUE"""),"Batch 348")</f>
        <v>Batch 348</v>
      </c>
      <c r="B8360" s="9" t="str">
        <f>IFERROR(__xludf.DUMMYFUNCTION("""COMPUTED_VALUE"""),"SumanC348")</f>
        <v>SumanC348</v>
      </c>
      <c r="C8360" s="8">
        <f>IFERROR(__xludf.DUMMYFUNCTION("""COMPUTED_VALUE"""),0.0)</f>
        <v>0</v>
      </c>
      <c r="D8360" s="8"/>
    </row>
    <row r="8361">
      <c r="A8361" s="9" t="str">
        <f>IFERROR(__xludf.DUMMYFUNCTION("""COMPUTED_VALUE"""),"Batch 348")</f>
        <v>Batch 348</v>
      </c>
      <c r="B8361" s="9" t="str">
        <f>IFERROR(__xludf.DUMMYFUNCTION("""COMPUTED_VALUE"""),"SamitC348")</f>
        <v>SamitC348</v>
      </c>
      <c r="C8361" s="8">
        <f>IFERROR(__xludf.DUMMYFUNCTION("""COMPUTED_VALUE"""),0.0)</f>
        <v>0</v>
      </c>
      <c r="D8361" s="8"/>
    </row>
    <row r="8362">
      <c r="A8362" s="9" t="str">
        <f>IFERROR(__xludf.DUMMYFUNCTION("""COMPUTED_VALUE"""),"Batch 348")</f>
        <v>Batch 348</v>
      </c>
      <c r="B8362" s="9" t="str">
        <f>IFERROR(__xludf.DUMMYFUNCTION("""COMPUTED_VALUE"""),"SaiC348")</f>
        <v>SaiC348</v>
      </c>
      <c r="C8362" s="8">
        <f>IFERROR(__xludf.DUMMYFUNCTION("""COMPUTED_VALUE"""),0.0)</f>
        <v>0</v>
      </c>
      <c r="D8362" s="8"/>
    </row>
    <row r="8363">
      <c r="A8363" s="9" t="str">
        <f>IFERROR(__xludf.DUMMYFUNCTION("""COMPUTED_VALUE"""),"Batch 348")</f>
        <v>Batch 348</v>
      </c>
      <c r="B8363" s="9" t="str">
        <f>IFERROR(__xludf.DUMMYFUNCTION("""COMPUTED_VALUE"""),"AravindC348")</f>
        <v>AravindC348</v>
      </c>
      <c r="C8363" s="8">
        <f>IFERROR(__xludf.DUMMYFUNCTION("""COMPUTED_VALUE"""),0.0)</f>
        <v>0</v>
      </c>
      <c r="D8363" s="8"/>
    </row>
    <row r="8364">
      <c r="A8364" s="9" t="str">
        <f>IFERROR(__xludf.DUMMYFUNCTION("""COMPUTED_VALUE"""),"Batch 348")</f>
        <v>Batch 348</v>
      </c>
      <c r="B8364" s="9" t="str">
        <f>IFERROR(__xludf.DUMMYFUNCTION("""COMPUTED_VALUE"""),"DishaC348")</f>
        <v>DishaC348</v>
      </c>
      <c r="C8364" s="8">
        <f>IFERROR(__xludf.DUMMYFUNCTION("""COMPUTED_VALUE"""),0.0)</f>
        <v>0</v>
      </c>
      <c r="D8364" s="8"/>
    </row>
    <row r="8365">
      <c r="A8365" s="9" t="str">
        <f>IFERROR(__xludf.DUMMYFUNCTION("""COMPUTED_VALUE"""),"Batch 348")</f>
        <v>Batch 348</v>
      </c>
      <c r="B8365" s="9" t="str">
        <f>IFERROR(__xludf.DUMMYFUNCTION("""COMPUTED_VALUE"""),"VanshikaC348")</f>
        <v>VanshikaC348</v>
      </c>
      <c r="C8365" s="8">
        <f>IFERROR(__xludf.DUMMYFUNCTION("""COMPUTED_VALUE"""),0.0)</f>
        <v>0</v>
      </c>
      <c r="D8365" s="8"/>
    </row>
    <row r="8366">
      <c r="A8366" s="9" t="str">
        <f>IFERROR(__xludf.DUMMYFUNCTION("""COMPUTED_VALUE"""),"Batch 348")</f>
        <v>Batch 348</v>
      </c>
      <c r="B8366" s="9" t="str">
        <f>IFERROR(__xludf.DUMMYFUNCTION("""COMPUTED_VALUE"""),"AadhyaC348")</f>
        <v>AadhyaC348</v>
      </c>
      <c r="C8366" s="8">
        <f>IFERROR(__xludf.DUMMYFUNCTION("""COMPUTED_VALUE"""),0.0)</f>
        <v>0</v>
      </c>
      <c r="D8366" s="8"/>
    </row>
    <row r="8367">
      <c r="A8367" s="9" t="str">
        <f>IFERROR(__xludf.DUMMYFUNCTION("""COMPUTED_VALUE"""),"Batch 348")</f>
        <v>Batch 348</v>
      </c>
      <c r="B8367" s="9" t="str">
        <f>IFERROR(__xludf.DUMMYFUNCTION("""COMPUTED_VALUE"""),"SurajC348")</f>
        <v>SurajC348</v>
      </c>
      <c r="C8367" s="8">
        <f>IFERROR(__xludf.DUMMYFUNCTION("""COMPUTED_VALUE"""),1.0)</f>
        <v>1</v>
      </c>
      <c r="D8367" s="8"/>
    </row>
    <row r="8368">
      <c r="A8368" s="9" t="str">
        <f>IFERROR(__xludf.DUMMYFUNCTION("""COMPUTED_VALUE"""),"Batch 348")</f>
        <v>Batch 348</v>
      </c>
      <c r="B8368" s="9" t="str">
        <f>IFERROR(__xludf.DUMMYFUNCTION("""COMPUTED_VALUE"""),"NitinC348")</f>
        <v>NitinC348</v>
      </c>
      <c r="C8368" s="8">
        <f>IFERROR(__xludf.DUMMYFUNCTION("""COMPUTED_VALUE"""),0.0)</f>
        <v>0</v>
      </c>
      <c r="D8368" s="8"/>
    </row>
    <row r="8369">
      <c r="A8369" s="9" t="str">
        <f>IFERROR(__xludf.DUMMYFUNCTION("""COMPUTED_VALUE"""),"Batch 348")</f>
        <v>Batch 348</v>
      </c>
      <c r="B8369" s="9" t="str">
        <f>IFERROR(__xludf.DUMMYFUNCTION("""COMPUTED_VALUE"""),"KajalC348")</f>
        <v>KajalC348</v>
      </c>
      <c r="C8369" s="8">
        <f>IFERROR(__xludf.DUMMYFUNCTION("""COMPUTED_VALUE"""),0.0)</f>
        <v>0</v>
      </c>
      <c r="D8369" s="8"/>
    </row>
    <row r="8370">
      <c r="A8370" s="9" t="str">
        <f>IFERROR(__xludf.DUMMYFUNCTION("""COMPUTED_VALUE"""),"Batch 348")</f>
        <v>Batch 348</v>
      </c>
      <c r="B8370" s="9" t="str">
        <f>IFERROR(__xludf.DUMMYFUNCTION("""COMPUTED_VALUE"""),"ZahidC348")</f>
        <v>ZahidC348</v>
      </c>
      <c r="C8370" s="8">
        <f>IFERROR(__xludf.DUMMYFUNCTION("""COMPUTED_VALUE"""),0.0)</f>
        <v>0</v>
      </c>
      <c r="D8370" s="8"/>
    </row>
    <row r="8371">
      <c r="A8371" s="9" t="str">
        <f>IFERROR(__xludf.DUMMYFUNCTION("""COMPUTED_VALUE"""),"Batch 348")</f>
        <v>Batch 348</v>
      </c>
      <c r="B8371" s="9" t="str">
        <f>IFERROR(__xludf.DUMMYFUNCTION("""COMPUTED_VALUE"""),"PrishaC348")</f>
        <v>PrishaC348</v>
      </c>
      <c r="C8371" s="8">
        <f>IFERROR(__xludf.DUMMYFUNCTION("""COMPUTED_VALUE"""),0.0)</f>
        <v>0</v>
      </c>
      <c r="D8371" s="8"/>
    </row>
    <row r="8372">
      <c r="A8372" s="9" t="str">
        <f>IFERROR(__xludf.DUMMYFUNCTION("""COMPUTED_VALUE"""),"Batch 348")</f>
        <v>Batch 348</v>
      </c>
      <c r="B8372" s="9" t="str">
        <f>IFERROR(__xludf.DUMMYFUNCTION("""COMPUTED_VALUE"""),"ASADC348")</f>
        <v>ASADC348</v>
      </c>
      <c r="C8372" s="8">
        <f>IFERROR(__xludf.DUMMYFUNCTION("""COMPUTED_VALUE"""),0.0)</f>
        <v>0</v>
      </c>
      <c r="D8372" s="8"/>
    </row>
    <row r="8373">
      <c r="A8373" s="9" t="str">
        <f>IFERROR(__xludf.DUMMYFUNCTION("""COMPUTED_VALUE"""),"Batch 348")</f>
        <v>Batch 348</v>
      </c>
      <c r="B8373" s="9" t="str">
        <f>IFERROR(__xludf.DUMMYFUNCTION("""COMPUTED_VALUE"""),"UtkarshC348")</f>
        <v>UtkarshC348</v>
      </c>
      <c r="C8373" s="8">
        <f>IFERROR(__xludf.DUMMYFUNCTION("""COMPUTED_VALUE"""),0.0)</f>
        <v>0</v>
      </c>
      <c r="D8373" s="8"/>
    </row>
    <row r="8374">
      <c r="A8374" s="9" t="str">
        <f>IFERROR(__xludf.DUMMYFUNCTION("""COMPUTED_VALUE"""),"Batch 348")</f>
        <v>Batch 348</v>
      </c>
      <c r="B8374" s="9" t="str">
        <f>IFERROR(__xludf.DUMMYFUNCTION("""COMPUTED_VALUE"""),"SamreenC348")</f>
        <v>SamreenC348</v>
      </c>
      <c r="C8374" s="8">
        <f>IFERROR(__xludf.DUMMYFUNCTION("""COMPUTED_VALUE"""),0.0)</f>
        <v>0</v>
      </c>
      <c r="D8374" s="8"/>
    </row>
    <row r="8375">
      <c r="A8375" s="9" t="str">
        <f>IFERROR(__xludf.DUMMYFUNCTION("""COMPUTED_VALUE"""),"Batch 348")</f>
        <v>Batch 348</v>
      </c>
      <c r="B8375" s="9" t="str">
        <f>IFERROR(__xludf.DUMMYFUNCTION("""COMPUTED_VALUE"""),"SamreenC348")</f>
        <v>SamreenC348</v>
      </c>
      <c r="C8375" s="8">
        <f>IFERROR(__xludf.DUMMYFUNCTION("""COMPUTED_VALUE"""),0.0)</f>
        <v>0</v>
      </c>
      <c r="D8375" s="8"/>
    </row>
    <row r="8376">
      <c r="A8376" s="9" t="str">
        <f>IFERROR(__xludf.DUMMYFUNCTION("""COMPUTED_VALUE"""),"Batch 348")</f>
        <v>Batch 348</v>
      </c>
      <c r="B8376" s="9" t="str">
        <f>IFERROR(__xludf.DUMMYFUNCTION("""COMPUTED_VALUE"""),"AbhishekC348")</f>
        <v>AbhishekC348</v>
      </c>
      <c r="C8376" s="8">
        <f>IFERROR(__xludf.DUMMYFUNCTION("""COMPUTED_VALUE"""),30.0)</f>
        <v>30</v>
      </c>
      <c r="D8376" s="8">
        <f>IFERROR(__xludf.DUMMYFUNCTION("""COMPUTED_VALUE"""),1.0)</f>
        <v>1</v>
      </c>
    </row>
    <row r="8377">
      <c r="A8377" s="9" t="str">
        <f>IFERROR(__xludf.DUMMYFUNCTION("""COMPUTED_VALUE"""),"Batch 348")</f>
        <v>Batch 348</v>
      </c>
      <c r="B8377" s="9" t="str">
        <f>IFERROR(__xludf.DUMMYFUNCTION("""COMPUTED_VALUE"""),"MihirC348")</f>
        <v>MihirC348</v>
      </c>
      <c r="C8377" s="8">
        <f>IFERROR(__xludf.DUMMYFUNCTION("""COMPUTED_VALUE"""),0.0)</f>
        <v>0</v>
      </c>
      <c r="D8377" s="8"/>
    </row>
    <row r="8378">
      <c r="A8378" s="9" t="str">
        <f>IFERROR(__xludf.DUMMYFUNCTION("""COMPUTED_VALUE"""),"Batch 348")</f>
        <v>Batch 348</v>
      </c>
      <c r="B8378" s="9" t="str">
        <f>IFERROR(__xludf.DUMMYFUNCTION("""COMPUTED_VALUE"""),"premC348")</f>
        <v>premC348</v>
      </c>
      <c r="C8378" s="8">
        <f>IFERROR(__xludf.DUMMYFUNCTION("""COMPUTED_VALUE"""),0.0)</f>
        <v>0</v>
      </c>
      <c r="D8378" s="8"/>
    </row>
    <row r="8379">
      <c r="A8379" s="9" t="str">
        <f>IFERROR(__xludf.DUMMYFUNCTION("""COMPUTED_VALUE"""),"Batch 348")</f>
        <v>Batch 348</v>
      </c>
      <c r="B8379" s="9" t="str">
        <f>IFERROR(__xludf.DUMMYFUNCTION("""COMPUTED_VALUE"""),"PrashantC348")</f>
        <v>PrashantC348</v>
      </c>
      <c r="C8379" s="8">
        <f>IFERROR(__xludf.DUMMYFUNCTION("""COMPUTED_VALUE"""),0.0)</f>
        <v>0</v>
      </c>
      <c r="D8379" s="8"/>
    </row>
    <row r="8380">
      <c r="A8380" s="9" t="str">
        <f>IFERROR(__xludf.DUMMYFUNCTION("""COMPUTED_VALUE"""),"Batch 348")</f>
        <v>Batch 348</v>
      </c>
      <c r="B8380" s="9" t="str">
        <f>IFERROR(__xludf.DUMMYFUNCTION("""COMPUTED_VALUE"""),"VidheeshaC348")</f>
        <v>VidheeshaC348</v>
      </c>
      <c r="C8380" s="8">
        <f>IFERROR(__xludf.DUMMYFUNCTION("""COMPUTED_VALUE"""),0.0)</f>
        <v>0</v>
      </c>
      <c r="D8380" s="8"/>
    </row>
    <row r="8381">
      <c r="A8381" s="9" t="str">
        <f>IFERROR(__xludf.DUMMYFUNCTION("""COMPUTED_VALUE"""),"Batch 348")</f>
        <v>Batch 348</v>
      </c>
      <c r="B8381" s="9" t="str">
        <f>IFERROR(__xludf.DUMMYFUNCTION("""COMPUTED_VALUE"""),"AbhishekBC348")</f>
        <v>AbhishekBC348</v>
      </c>
      <c r="C8381" s="8">
        <f>IFERROR(__xludf.DUMMYFUNCTION("""COMPUTED_VALUE"""),0.0)</f>
        <v>0</v>
      </c>
      <c r="D8381" s="8"/>
    </row>
    <row r="8382">
      <c r="A8382" s="9" t="str">
        <f>IFERROR(__xludf.DUMMYFUNCTION("""COMPUTED_VALUE"""),"Batch 348")</f>
        <v>Batch 348</v>
      </c>
      <c r="B8382" s="9" t="str">
        <f>IFERROR(__xludf.DUMMYFUNCTION("""COMPUTED_VALUE"""),"SamayC348")</f>
        <v>SamayC348</v>
      </c>
      <c r="C8382" s="8">
        <f>IFERROR(__xludf.DUMMYFUNCTION("""COMPUTED_VALUE"""),0.0)</f>
        <v>0</v>
      </c>
      <c r="D8382" s="8"/>
    </row>
    <row r="8383">
      <c r="A8383" s="9" t="str">
        <f>IFERROR(__xludf.DUMMYFUNCTION("""COMPUTED_VALUE"""),"Batch 348")</f>
        <v>Batch 348</v>
      </c>
      <c r="B8383" s="9" t="str">
        <f>IFERROR(__xludf.DUMMYFUNCTION("""COMPUTED_VALUE"""),"AlenaC348")</f>
        <v>AlenaC348</v>
      </c>
      <c r="C8383" s="8">
        <f>IFERROR(__xludf.DUMMYFUNCTION("""COMPUTED_VALUE"""),0.0)</f>
        <v>0</v>
      </c>
      <c r="D8383" s="8"/>
    </row>
    <row r="8384">
      <c r="A8384" s="9" t="str">
        <f>IFERROR(__xludf.DUMMYFUNCTION("""COMPUTED_VALUE"""),"Batch 348")</f>
        <v>Batch 348</v>
      </c>
      <c r="B8384" s="9" t="str">
        <f>IFERROR(__xludf.DUMMYFUNCTION("""COMPUTED_VALUE"""),"ishikaC348")</f>
        <v>ishikaC348</v>
      </c>
      <c r="C8384" s="8">
        <f>IFERROR(__xludf.DUMMYFUNCTION("""COMPUTED_VALUE"""),0.0)</f>
        <v>0</v>
      </c>
      <c r="D8384" s="8"/>
    </row>
    <row r="8385">
      <c r="A8385" s="9" t="str">
        <f>IFERROR(__xludf.DUMMYFUNCTION("""COMPUTED_VALUE"""),"Batch 348")</f>
        <v>Batch 348</v>
      </c>
      <c r="B8385" s="9" t="str">
        <f>IFERROR(__xludf.DUMMYFUNCTION("""COMPUTED_VALUE"""),"MOKSHIIC348")</f>
        <v>MOKSHIIC348</v>
      </c>
      <c r="C8385" s="8">
        <f>IFERROR(__xludf.DUMMYFUNCTION("""COMPUTED_VALUE"""),0.0)</f>
        <v>0</v>
      </c>
      <c r="D8385" s="8"/>
    </row>
    <row r="8386">
      <c r="A8386" s="9" t="str">
        <f>IFERROR(__xludf.DUMMYFUNCTION("""COMPUTED_VALUE"""),"Batch 348")</f>
        <v>Batch 348</v>
      </c>
      <c r="B8386" s="9" t="str">
        <f>IFERROR(__xludf.DUMMYFUNCTION("""COMPUTED_VALUE"""),"AdityaC348")</f>
        <v>AdityaC348</v>
      </c>
      <c r="C8386" s="8">
        <f>IFERROR(__xludf.DUMMYFUNCTION("""COMPUTED_VALUE"""),0.0)</f>
        <v>0</v>
      </c>
      <c r="D8386" s="8"/>
    </row>
    <row r="8387">
      <c r="A8387" s="9" t="str">
        <f>IFERROR(__xludf.DUMMYFUNCTION("""COMPUTED_VALUE"""),"Batch 348")</f>
        <v>Batch 348</v>
      </c>
      <c r="B8387" s="9" t="str">
        <f>IFERROR(__xludf.DUMMYFUNCTION("""COMPUTED_VALUE"""),"SanskritiC348")</f>
        <v>SanskritiC348</v>
      </c>
      <c r="C8387" s="8">
        <f>IFERROR(__xludf.DUMMYFUNCTION("""COMPUTED_VALUE"""),0.0)</f>
        <v>0</v>
      </c>
      <c r="D8387" s="8"/>
    </row>
    <row r="8388">
      <c r="A8388" s="9" t="str">
        <f>IFERROR(__xludf.DUMMYFUNCTION("""COMPUTED_VALUE"""),"Batch 348")</f>
        <v>Batch 348</v>
      </c>
      <c r="B8388" s="9" t="str">
        <f>IFERROR(__xludf.DUMMYFUNCTION("""COMPUTED_VALUE"""),"AdityaC348")</f>
        <v>AdityaC348</v>
      </c>
      <c r="C8388" s="8">
        <f>IFERROR(__xludf.DUMMYFUNCTION("""COMPUTED_VALUE"""),0.0)</f>
        <v>0</v>
      </c>
      <c r="D8388" s="8"/>
    </row>
    <row r="8389">
      <c r="A8389" s="9" t="str">
        <f>IFERROR(__xludf.DUMMYFUNCTION("""COMPUTED_VALUE"""),"Batch 348")</f>
        <v>Batch 348</v>
      </c>
      <c r="B8389" s="9" t="str">
        <f>IFERROR(__xludf.DUMMYFUNCTION("""COMPUTED_VALUE"""),"AsmitC348")</f>
        <v>AsmitC348</v>
      </c>
      <c r="C8389" s="8">
        <f>IFERROR(__xludf.DUMMYFUNCTION("""COMPUTED_VALUE"""),0.0)</f>
        <v>0</v>
      </c>
      <c r="D8389" s="8"/>
    </row>
    <row r="8390">
      <c r="A8390" s="9" t="str">
        <f>IFERROR(__xludf.DUMMYFUNCTION("""COMPUTED_VALUE"""),"Batch 348")</f>
        <v>Batch 348</v>
      </c>
      <c r="B8390" s="9" t="str">
        <f>IFERROR(__xludf.DUMMYFUNCTION("""COMPUTED_VALUE"""),"AbhishekAC348")</f>
        <v>AbhishekAC348</v>
      </c>
      <c r="C8390" s="8">
        <f>IFERROR(__xludf.DUMMYFUNCTION("""COMPUTED_VALUE"""),0.0)</f>
        <v>0</v>
      </c>
      <c r="D8390" s="8"/>
    </row>
    <row r="8391">
      <c r="A8391" s="9" t="str">
        <f>IFERROR(__xludf.DUMMYFUNCTION("""COMPUTED_VALUE"""),"Batch 348")</f>
        <v>Batch 348</v>
      </c>
      <c r="B8391" s="9" t="str">
        <f>IFERROR(__xludf.DUMMYFUNCTION("""COMPUTED_VALUE"""),"VedikaC348")</f>
        <v>VedikaC348</v>
      </c>
      <c r="C8391" s="8">
        <f>IFERROR(__xludf.DUMMYFUNCTION("""COMPUTED_VALUE"""),0.0)</f>
        <v>0</v>
      </c>
      <c r="D8391" s="8"/>
    </row>
    <row r="8392">
      <c r="A8392" s="9" t="str">
        <f>IFERROR(__xludf.DUMMYFUNCTION("""COMPUTED_VALUE"""),"Batch 348")</f>
        <v>Batch 348</v>
      </c>
      <c r="B8392" s="9" t="str">
        <f>IFERROR(__xludf.DUMMYFUNCTION("""COMPUTED_VALUE"""),"HarshitaC348")</f>
        <v>HarshitaC348</v>
      </c>
      <c r="C8392" s="8">
        <f>IFERROR(__xludf.DUMMYFUNCTION("""COMPUTED_VALUE"""),0.0)</f>
        <v>0</v>
      </c>
      <c r="D8392" s="8"/>
    </row>
    <row r="8393">
      <c r="A8393" s="9" t="str">
        <f>IFERROR(__xludf.DUMMYFUNCTION("""COMPUTED_VALUE"""),"Batch 348")</f>
        <v>Batch 348</v>
      </c>
      <c r="B8393" s="9" t="str">
        <f>IFERROR(__xludf.DUMMYFUNCTION("""COMPUTED_VALUE"""),"AbdulC348")</f>
        <v>AbdulC348</v>
      </c>
      <c r="C8393" s="8">
        <f>IFERROR(__xludf.DUMMYFUNCTION("""COMPUTED_VALUE"""),5.0)</f>
        <v>5</v>
      </c>
      <c r="D8393" s="8">
        <f>IFERROR(__xludf.DUMMYFUNCTION("""COMPUTED_VALUE"""),2.0)</f>
        <v>2</v>
      </c>
    </row>
    <row r="8394">
      <c r="A8394" s="9" t="str">
        <f>IFERROR(__xludf.DUMMYFUNCTION("""COMPUTED_VALUE"""),"Batch 348")</f>
        <v>Batch 348</v>
      </c>
      <c r="B8394" s="9" t="str">
        <f>IFERROR(__xludf.DUMMYFUNCTION("""COMPUTED_VALUE"""),"LavanyaC348")</f>
        <v>LavanyaC348</v>
      </c>
      <c r="C8394" s="8">
        <f>IFERROR(__xludf.DUMMYFUNCTION("""COMPUTED_VALUE"""),0.0)</f>
        <v>0</v>
      </c>
      <c r="D8394" s="8"/>
    </row>
    <row r="8395">
      <c r="A8395" s="9" t="str">
        <f>IFERROR(__xludf.DUMMYFUNCTION("""COMPUTED_VALUE"""),"Batch 348")</f>
        <v>Batch 348</v>
      </c>
      <c r="B8395" s="9" t="str">
        <f>IFERROR(__xludf.DUMMYFUNCTION("""COMPUTED_VALUE"""),"PiyushC348")</f>
        <v>PiyushC348</v>
      </c>
      <c r="C8395" s="8">
        <f>IFERROR(__xludf.DUMMYFUNCTION("""COMPUTED_VALUE"""),0.0)</f>
        <v>0</v>
      </c>
      <c r="D8395" s="8"/>
    </row>
    <row r="8396">
      <c r="A8396" s="9" t="str">
        <f>IFERROR(__xludf.DUMMYFUNCTION("""COMPUTED_VALUE"""),"Batch 348")</f>
        <v>Batch 348</v>
      </c>
      <c r="B8396" s="9" t="str">
        <f>IFERROR(__xludf.DUMMYFUNCTION("""COMPUTED_VALUE"""),"SaabreenC348")</f>
        <v>SaabreenC348</v>
      </c>
      <c r="C8396" s="8">
        <f>IFERROR(__xludf.DUMMYFUNCTION("""COMPUTED_VALUE"""),0.0)</f>
        <v>0</v>
      </c>
      <c r="D8396" s="8"/>
    </row>
    <row r="8397">
      <c r="A8397" s="9" t="str">
        <f>IFERROR(__xludf.DUMMYFUNCTION("""COMPUTED_VALUE"""),"Batch 348")</f>
        <v>Batch 348</v>
      </c>
      <c r="B8397" s="9" t="str">
        <f>IFERROR(__xludf.DUMMYFUNCTION("""COMPUTED_VALUE"""),"SiddharthC348")</f>
        <v>SiddharthC348</v>
      </c>
      <c r="C8397" s="8">
        <f>IFERROR(__xludf.DUMMYFUNCTION("""COMPUTED_VALUE"""),0.0)</f>
        <v>0</v>
      </c>
      <c r="D8397" s="8"/>
    </row>
    <row r="8398">
      <c r="A8398" s="9" t="str">
        <f>IFERROR(__xludf.DUMMYFUNCTION("""COMPUTED_VALUE"""),"Batch 348")</f>
        <v>Batch 348</v>
      </c>
      <c r="B8398" s="9" t="str">
        <f>IFERROR(__xludf.DUMMYFUNCTION("""COMPUTED_VALUE"""),"GauravC348")</f>
        <v>GauravC348</v>
      </c>
      <c r="C8398" s="8">
        <f>IFERROR(__xludf.DUMMYFUNCTION("""COMPUTED_VALUE"""),0.0)</f>
        <v>0</v>
      </c>
      <c r="D8398" s="8"/>
    </row>
    <row r="8399">
      <c r="A8399" s="9" t="str">
        <f>IFERROR(__xludf.DUMMYFUNCTION("""COMPUTED_VALUE"""),"Batch 348")</f>
        <v>Batch 348</v>
      </c>
      <c r="B8399" s="9" t="str">
        <f>IFERROR(__xludf.DUMMYFUNCTION("""COMPUTED_VALUE"""),"PARTHC348")</f>
        <v>PARTHC348</v>
      </c>
      <c r="C8399" s="8">
        <f>IFERROR(__xludf.DUMMYFUNCTION("""COMPUTED_VALUE"""),1.0)</f>
        <v>1</v>
      </c>
      <c r="D8399" s="8"/>
    </row>
    <row r="8400">
      <c r="A8400" s="9" t="str">
        <f>IFERROR(__xludf.DUMMYFUNCTION("""COMPUTED_VALUE"""),"Batch 348")</f>
        <v>Batch 348</v>
      </c>
      <c r="B8400" s="9" t="str">
        <f>IFERROR(__xludf.DUMMYFUNCTION("""COMPUTED_VALUE"""),"TithibrataC348")</f>
        <v>TithibrataC348</v>
      </c>
      <c r="C8400" s="8">
        <f>IFERROR(__xludf.DUMMYFUNCTION("""COMPUTED_VALUE"""),0.0)</f>
        <v>0</v>
      </c>
      <c r="D8400" s="8"/>
    </row>
    <row r="8401">
      <c r="A8401" s="9" t="str">
        <f>IFERROR(__xludf.DUMMYFUNCTION("""COMPUTED_VALUE"""),"Batch 348")</f>
        <v>Batch 348</v>
      </c>
      <c r="B8401" s="9" t="str">
        <f>IFERROR(__xludf.DUMMYFUNCTION("""COMPUTED_VALUE"""),"TithibrataC348")</f>
        <v>TithibrataC348</v>
      </c>
      <c r="C8401" s="8">
        <f>IFERROR(__xludf.DUMMYFUNCTION("""COMPUTED_VALUE"""),0.0)</f>
        <v>0</v>
      </c>
      <c r="D8401" s="8"/>
    </row>
    <row r="8402">
      <c r="A8402" s="9" t="str">
        <f>IFERROR(__xludf.DUMMYFUNCTION("""COMPUTED_VALUE"""),"Batch 348")</f>
        <v>Batch 348</v>
      </c>
      <c r="B8402" s="9" t="str">
        <f>IFERROR(__xludf.DUMMYFUNCTION("""COMPUTED_VALUE"""),"PradyotC348")</f>
        <v>PradyotC348</v>
      </c>
      <c r="C8402" s="8">
        <f>IFERROR(__xludf.DUMMYFUNCTION("""COMPUTED_VALUE"""),0.0)</f>
        <v>0</v>
      </c>
      <c r="D8402" s="8"/>
    </row>
    <row r="8403">
      <c r="A8403" s="9" t="str">
        <f>IFERROR(__xludf.DUMMYFUNCTION("""COMPUTED_VALUE"""),"Batch 348")</f>
        <v>Batch 348</v>
      </c>
      <c r="B8403" s="9" t="str">
        <f>IFERROR(__xludf.DUMMYFUNCTION("""COMPUTED_VALUE"""),"KrishnaC348")</f>
        <v>KrishnaC348</v>
      </c>
      <c r="C8403" s="8">
        <f>IFERROR(__xludf.DUMMYFUNCTION("""COMPUTED_VALUE"""),0.0)</f>
        <v>0</v>
      </c>
      <c r="D8403" s="8"/>
    </row>
    <row r="8404">
      <c r="A8404" s="9"/>
      <c r="B8404" s="9"/>
      <c r="C8404" s="8">
        <f>IFERROR(__xludf.DUMMYFUNCTION("""COMPUTED_VALUE"""),0.0)</f>
        <v>0</v>
      </c>
      <c r="D8404" s="8"/>
    </row>
    <row r="8405">
      <c r="A8405" s="9" t="str">
        <f>IFERROR(__xludf.DUMMYFUNCTION("""COMPUTED_VALUE"""),"Batch 349")</f>
        <v>Batch 349</v>
      </c>
      <c r="B8405" s="9" t="str">
        <f>IFERROR(__xludf.DUMMYFUNCTION("""COMPUTED_VALUE"""),"AnanyaC349")</f>
        <v>AnanyaC349</v>
      </c>
      <c r="C8405" s="8">
        <f>IFERROR(__xludf.DUMMYFUNCTION("""COMPUTED_VALUE"""),0.0)</f>
        <v>0</v>
      </c>
      <c r="D8405" s="8"/>
    </row>
    <row r="8406">
      <c r="A8406" s="9" t="str">
        <f>IFERROR(__xludf.DUMMYFUNCTION("""COMPUTED_VALUE"""),"Batch 349")</f>
        <v>Batch 349</v>
      </c>
      <c r="B8406" s="9" t="str">
        <f>IFERROR(__xludf.DUMMYFUNCTION("""COMPUTED_VALUE"""),"MisthiC349")</f>
        <v>MisthiC349</v>
      </c>
      <c r="C8406" s="8">
        <f>IFERROR(__xludf.DUMMYFUNCTION("""COMPUTED_VALUE"""),8.0)</f>
        <v>8</v>
      </c>
      <c r="D8406" s="8">
        <f>IFERROR(__xludf.DUMMYFUNCTION("""COMPUTED_VALUE"""),2.0)</f>
        <v>2</v>
      </c>
    </row>
    <row r="8407">
      <c r="A8407" s="9" t="str">
        <f>IFERROR(__xludf.DUMMYFUNCTION("""COMPUTED_VALUE"""),"Batch 349")</f>
        <v>Batch 349</v>
      </c>
      <c r="B8407" s="9" t="str">
        <f>IFERROR(__xludf.DUMMYFUNCTION("""COMPUTED_VALUE"""),"PoushaliC349")</f>
        <v>PoushaliC349</v>
      </c>
      <c r="C8407" s="8">
        <f>IFERROR(__xludf.DUMMYFUNCTION("""COMPUTED_VALUE"""),71.0)</f>
        <v>71</v>
      </c>
      <c r="D8407" s="8">
        <f>IFERROR(__xludf.DUMMYFUNCTION("""COMPUTED_VALUE"""),7.0)</f>
        <v>7</v>
      </c>
    </row>
    <row r="8408">
      <c r="A8408" s="9" t="str">
        <f>IFERROR(__xludf.DUMMYFUNCTION("""COMPUTED_VALUE"""),"Batch 349")</f>
        <v>Batch 349</v>
      </c>
      <c r="B8408" s="9" t="str">
        <f>IFERROR(__xludf.DUMMYFUNCTION("""COMPUTED_VALUE"""),"NanditaC349")</f>
        <v>NanditaC349</v>
      </c>
      <c r="C8408" s="8">
        <f>IFERROR(__xludf.DUMMYFUNCTION("""COMPUTED_VALUE"""),0.0)</f>
        <v>0</v>
      </c>
      <c r="D8408" s="8"/>
    </row>
    <row r="8409">
      <c r="A8409" s="9" t="str">
        <f>IFERROR(__xludf.DUMMYFUNCTION("""COMPUTED_VALUE"""),"Batch 349")</f>
        <v>Batch 349</v>
      </c>
      <c r="B8409" s="9" t="str">
        <f>IFERROR(__xludf.DUMMYFUNCTION("""COMPUTED_VALUE"""),"PrincyC349")</f>
        <v>PrincyC349</v>
      </c>
      <c r="C8409" s="8">
        <f>IFERROR(__xludf.DUMMYFUNCTION("""COMPUTED_VALUE"""),0.0)</f>
        <v>0</v>
      </c>
      <c r="D8409" s="8"/>
    </row>
    <row r="8410">
      <c r="A8410" s="9" t="str">
        <f>IFERROR(__xludf.DUMMYFUNCTION("""COMPUTED_VALUE"""),"Batch 349")</f>
        <v>Batch 349</v>
      </c>
      <c r="B8410" s="9" t="str">
        <f>IFERROR(__xludf.DUMMYFUNCTION("""COMPUTED_VALUE"""),"AnasC349")</f>
        <v>AnasC349</v>
      </c>
      <c r="C8410" s="8">
        <f>IFERROR(__xludf.DUMMYFUNCTION("""COMPUTED_VALUE"""),0.0)</f>
        <v>0</v>
      </c>
      <c r="D8410" s="8"/>
    </row>
    <row r="8411">
      <c r="A8411" s="9" t="str">
        <f>IFERROR(__xludf.DUMMYFUNCTION("""COMPUTED_VALUE"""),"Batch 349")</f>
        <v>Batch 349</v>
      </c>
      <c r="B8411" s="9" t="str">
        <f>IFERROR(__xludf.DUMMYFUNCTION("""COMPUTED_VALUE"""),"DishaC349")</f>
        <v>DishaC349</v>
      </c>
      <c r="C8411" s="8">
        <f>IFERROR(__xludf.DUMMYFUNCTION("""COMPUTED_VALUE"""),0.0)</f>
        <v>0</v>
      </c>
      <c r="D8411" s="8"/>
    </row>
    <row r="8412">
      <c r="A8412" s="9" t="str">
        <f>IFERROR(__xludf.DUMMYFUNCTION("""COMPUTED_VALUE"""),"Batch 349")</f>
        <v>Batch 349</v>
      </c>
      <c r="B8412" s="9" t="str">
        <f>IFERROR(__xludf.DUMMYFUNCTION("""COMPUTED_VALUE"""),"RonitC349")</f>
        <v>RonitC349</v>
      </c>
      <c r="C8412" s="8">
        <f>IFERROR(__xludf.DUMMYFUNCTION("""COMPUTED_VALUE"""),0.0)</f>
        <v>0</v>
      </c>
      <c r="D8412" s="8"/>
    </row>
    <row r="8413">
      <c r="A8413" s="9" t="str">
        <f>IFERROR(__xludf.DUMMYFUNCTION("""COMPUTED_VALUE"""),"Batch 349")</f>
        <v>Batch 349</v>
      </c>
      <c r="B8413" s="9" t="str">
        <f>IFERROR(__xludf.DUMMYFUNCTION("""COMPUTED_VALUE"""),"AqsaC349")</f>
        <v>AqsaC349</v>
      </c>
      <c r="C8413" s="8">
        <f>IFERROR(__xludf.DUMMYFUNCTION("""COMPUTED_VALUE"""),0.0)</f>
        <v>0</v>
      </c>
      <c r="D8413" s="8"/>
    </row>
    <row r="8414">
      <c r="A8414" s="9" t="str">
        <f>IFERROR(__xludf.DUMMYFUNCTION("""COMPUTED_VALUE"""),"Batch 349")</f>
        <v>Batch 349</v>
      </c>
      <c r="B8414" s="9" t="str">
        <f>IFERROR(__xludf.DUMMYFUNCTION("""COMPUTED_VALUE"""),"KaushalC349")</f>
        <v>KaushalC349</v>
      </c>
      <c r="C8414" s="8">
        <f>IFERROR(__xludf.DUMMYFUNCTION("""COMPUTED_VALUE"""),0.0)</f>
        <v>0</v>
      </c>
      <c r="D8414" s="8"/>
    </row>
    <row r="8415">
      <c r="A8415" s="9" t="str">
        <f>IFERROR(__xludf.DUMMYFUNCTION("""COMPUTED_VALUE"""),"Batch 349")</f>
        <v>Batch 349</v>
      </c>
      <c r="B8415" s="9" t="str">
        <f>IFERROR(__xludf.DUMMYFUNCTION("""COMPUTED_VALUE"""),"himaniC349")</f>
        <v>himaniC349</v>
      </c>
      <c r="C8415" s="8">
        <f>IFERROR(__xludf.DUMMYFUNCTION("""COMPUTED_VALUE"""),0.0)</f>
        <v>0</v>
      </c>
      <c r="D8415" s="8"/>
    </row>
    <row r="8416">
      <c r="A8416" s="9" t="str">
        <f>IFERROR(__xludf.DUMMYFUNCTION("""COMPUTED_VALUE"""),"Batch 349")</f>
        <v>Batch 349</v>
      </c>
      <c r="B8416" s="9" t="str">
        <f>IFERROR(__xludf.DUMMYFUNCTION("""COMPUTED_VALUE"""),"AryaC349")</f>
        <v>AryaC349</v>
      </c>
      <c r="C8416" s="8">
        <f>IFERROR(__xludf.DUMMYFUNCTION("""COMPUTED_VALUE"""),0.0)</f>
        <v>0</v>
      </c>
      <c r="D8416" s="8"/>
    </row>
    <row r="8417">
      <c r="A8417" s="9" t="str">
        <f>IFERROR(__xludf.DUMMYFUNCTION("""COMPUTED_VALUE"""),"Batch 349")</f>
        <v>Batch 349</v>
      </c>
      <c r="B8417" s="9" t="str">
        <f>IFERROR(__xludf.DUMMYFUNCTION("""COMPUTED_VALUE"""),"ShubhamC349")</f>
        <v>ShubhamC349</v>
      </c>
      <c r="C8417" s="8">
        <f>IFERROR(__xludf.DUMMYFUNCTION("""COMPUTED_VALUE"""),0.0)</f>
        <v>0</v>
      </c>
      <c r="D8417" s="8"/>
    </row>
    <row r="8418">
      <c r="A8418" s="9" t="str">
        <f>IFERROR(__xludf.DUMMYFUNCTION("""COMPUTED_VALUE"""),"Batch 349")</f>
        <v>Batch 349</v>
      </c>
      <c r="B8418" s="9" t="str">
        <f>IFERROR(__xludf.DUMMYFUNCTION("""COMPUTED_VALUE"""),"NitinC349")</f>
        <v>NitinC349</v>
      </c>
      <c r="C8418" s="8">
        <f>IFERROR(__xludf.DUMMYFUNCTION("""COMPUTED_VALUE"""),0.0)</f>
        <v>0</v>
      </c>
      <c r="D8418" s="8"/>
    </row>
    <row r="8419">
      <c r="A8419" s="9" t="str">
        <f>IFERROR(__xludf.DUMMYFUNCTION("""COMPUTED_VALUE"""),"Batch 349")</f>
        <v>Batch 349</v>
      </c>
      <c r="B8419" s="9" t="str">
        <f>IFERROR(__xludf.DUMMYFUNCTION("""COMPUTED_VALUE"""),"DhruviC349")</f>
        <v>DhruviC349</v>
      </c>
      <c r="C8419" s="8">
        <f>IFERROR(__xludf.DUMMYFUNCTION("""COMPUTED_VALUE"""),0.0)</f>
        <v>0</v>
      </c>
      <c r="D8419" s="8"/>
    </row>
    <row r="8420">
      <c r="A8420" s="9" t="str">
        <f>IFERROR(__xludf.DUMMYFUNCTION("""COMPUTED_VALUE"""),"Batch 349")</f>
        <v>Batch 349</v>
      </c>
      <c r="B8420" s="9" t="str">
        <f>IFERROR(__xludf.DUMMYFUNCTION("""COMPUTED_VALUE"""),"KhushiC349")</f>
        <v>KhushiC349</v>
      </c>
      <c r="C8420" s="8">
        <f>IFERROR(__xludf.DUMMYFUNCTION("""COMPUTED_VALUE"""),0.0)</f>
        <v>0</v>
      </c>
      <c r="D8420" s="8"/>
    </row>
    <row r="8421">
      <c r="A8421" s="9" t="str">
        <f>IFERROR(__xludf.DUMMYFUNCTION("""COMPUTED_VALUE"""),"Batch 349")</f>
        <v>Batch 349</v>
      </c>
      <c r="B8421" s="9" t="str">
        <f>IFERROR(__xludf.DUMMYFUNCTION("""COMPUTED_VALUE"""),"AnuragC349")</f>
        <v>AnuragC349</v>
      </c>
      <c r="C8421" s="8">
        <f>IFERROR(__xludf.DUMMYFUNCTION("""COMPUTED_VALUE"""),1.0)</f>
        <v>1</v>
      </c>
      <c r="D8421" s="8"/>
    </row>
    <row r="8422">
      <c r="A8422" s="9" t="str">
        <f>IFERROR(__xludf.DUMMYFUNCTION("""COMPUTED_VALUE"""),"Batch 349")</f>
        <v>Batch 349</v>
      </c>
      <c r="B8422" s="9" t="str">
        <f>IFERROR(__xludf.DUMMYFUNCTION("""COMPUTED_VALUE"""),"AnshikaC349")</f>
        <v>AnshikaC349</v>
      </c>
      <c r="C8422" s="8">
        <f>IFERROR(__xludf.DUMMYFUNCTION("""COMPUTED_VALUE"""),0.0)</f>
        <v>0</v>
      </c>
      <c r="D8422" s="8"/>
    </row>
    <row r="8423">
      <c r="A8423" s="9" t="str">
        <f>IFERROR(__xludf.DUMMYFUNCTION("""COMPUTED_VALUE"""),"Batch 349")</f>
        <v>Batch 349</v>
      </c>
      <c r="B8423" s="9" t="str">
        <f>IFERROR(__xludf.DUMMYFUNCTION("""COMPUTED_VALUE"""),"SayanC349")</f>
        <v>SayanC349</v>
      </c>
      <c r="C8423" s="8">
        <f>IFERROR(__xludf.DUMMYFUNCTION("""COMPUTED_VALUE"""),3.0)</f>
        <v>3</v>
      </c>
      <c r="D8423" s="8"/>
    </row>
    <row r="8424">
      <c r="A8424" s="9" t="str">
        <f>IFERROR(__xludf.DUMMYFUNCTION("""COMPUTED_VALUE"""),"Batch 349")</f>
        <v>Batch 349</v>
      </c>
      <c r="B8424" s="9" t="str">
        <f>IFERROR(__xludf.DUMMYFUNCTION("""COMPUTED_VALUE"""),"AviaC349")</f>
        <v>AviaC349</v>
      </c>
      <c r="C8424" s="8">
        <f>IFERROR(__xludf.DUMMYFUNCTION("""COMPUTED_VALUE"""),0.0)</f>
        <v>0</v>
      </c>
      <c r="D8424" s="8"/>
    </row>
    <row r="8425">
      <c r="A8425" s="9" t="str">
        <f>IFERROR(__xludf.DUMMYFUNCTION("""COMPUTED_VALUE"""),"Batch 349")</f>
        <v>Batch 349</v>
      </c>
      <c r="B8425" s="9" t="str">
        <f>IFERROR(__xludf.DUMMYFUNCTION("""COMPUTED_VALUE"""),"AjayC349")</f>
        <v>AjayC349</v>
      </c>
      <c r="C8425" s="8">
        <f>IFERROR(__xludf.DUMMYFUNCTION("""COMPUTED_VALUE"""),1.0)</f>
        <v>1</v>
      </c>
      <c r="D8425" s="8"/>
    </row>
    <row r="8426">
      <c r="A8426" s="9" t="str">
        <f>IFERROR(__xludf.DUMMYFUNCTION("""COMPUTED_VALUE"""),"Batch 349")</f>
        <v>Batch 349</v>
      </c>
      <c r="B8426" s="9" t="str">
        <f>IFERROR(__xludf.DUMMYFUNCTION("""COMPUTED_VALUE"""),"NitishC349")</f>
        <v>NitishC349</v>
      </c>
      <c r="C8426" s="8">
        <f>IFERROR(__xludf.DUMMYFUNCTION("""COMPUTED_VALUE"""),0.0)</f>
        <v>0</v>
      </c>
      <c r="D8426" s="8"/>
    </row>
    <row r="8427">
      <c r="A8427" s="9" t="str">
        <f>IFERROR(__xludf.DUMMYFUNCTION("""COMPUTED_VALUE"""),"Batch 349")</f>
        <v>Batch 349</v>
      </c>
      <c r="B8427" s="9" t="str">
        <f>IFERROR(__xludf.DUMMYFUNCTION("""COMPUTED_VALUE"""),"silumC349")</f>
        <v>silumC349</v>
      </c>
      <c r="C8427" s="8">
        <f>IFERROR(__xludf.DUMMYFUNCTION("""COMPUTED_VALUE"""),0.0)</f>
        <v>0</v>
      </c>
      <c r="D8427" s="8"/>
    </row>
    <row r="8428">
      <c r="A8428" s="9" t="str">
        <f>IFERROR(__xludf.DUMMYFUNCTION("""COMPUTED_VALUE"""),"Batch 349")</f>
        <v>Batch 349</v>
      </c>
      <c r="B8428" s="9" t="str">
        <f>IFERROR(__xludf.DUMMYFUNCTION("""COMPUTED_VALUE"""),"rashiC349")</f>
        <v>rashiC349</v>
      </c>
      <c r="C8428" s="8">
        <f>IFERROR(__xludf.DUMMYFUNCTION("""COMPUTED_VALUE"""),0.0)</f>
        <v>0</v>
      </c>
      <c r="D8428" s="8"/>
    </row>
    <row r="8429">
      <c r="A8429" s="9" t="str">
        <f>IFERROR(__xludf.DUMMYFUNCTION("""COMPUTED_VALUE"""),"Batch 349")</f>
        <v>Batch 349</v>
      </c>
      <c r="B8429" s="9" t="str">
        <f>IFERROR(__xludf.DUMMYFUNCTION("""COMPUTED_VALUE"""),"SamimC349")</f>
        <v>SamimC349</v>
      </c>
      <c r="C8429" s="8">
        <f>IFERROR(__xludf.DUMMYFUNCTION("""COMPUTED_VALUE"""),0.0)</f>
        <v>0</v>
      </c>
      <c r="D8429" s="8"/>
    </row>
    <row r="8430">
      <c r="A8430" s="9" t="str">
        <f>IFERROR(__xludf.DUMMYFUNCTION("""COMPUTED_VALUE"""),"Batch 349")</f>
        <v>Batch 349</v>
      </c>
      <c r="B8430" s="9" t="str">
        <f>IFERROR(__xludf.DUMMYFUNCTION("""COMPUTED_VALUE"""),"HarleenC349")</f>
        <v>HarleenC349</v>
      </c>
      <c r="C8430" s="8">
        <f>IFERROR(__xludf.DUMMYFUNCTION("""COMPUTED_VALUE"""),0.0)</f>
        <v>0</v>
      </c>
      <c r="D8430" s="8"/>
    </row>
    <row r="8431">
      <c r="A8431" s="9" t="str">
        <f>IFERROR(__xludf.DUMMYFUNCTION("""COMPUTED_VALUE"""),"Batch 349")</f>
        <v>Batch 349</v>
      </c>
      <c r="B8431" s="9" t="str">
        <f>IFERROR(__xludf.DUMMYFUNCTION("""COMPUTED_VALUE"""),"akashC349")</f>
        <v>akashC349</v>
      </c>
      <c r="C8431" s="8">
        <f>IFERROR(__xludf.DUMMYFUNCTION("""COMPUTED_VALUE"""),0.0)</f>
        <v>0</v>
      </c>
      <c r="D8431" s="8"/>
    </row>
    <row r="8432">
      <c r="A8432" s="9" t="str">
        <f>IFERROR(__xludf.DUMMYFUNCTION("""COMPUTED_VALUE"""),"Batch 349")</f>
        <v>Batch 349</v>
      </c>
      <c r="B8432" s="9" t="str">
        <f>IFERROR(__xludf.DUMMYFUNCTION("""COMPUTED_VALUE"""),"sakshamC349")</f>
        <v>sakshamC349</v>
      </c>
      <c r="C8432" s="8">
        <f>IFERROR(__xludf.DUMMYFUNCTION("""COMPUTED_VALUE"""),0.0)</f>
        <v>0</v>
      </c>
      <c r="D8432" s="8"/>
    </row>
    <row r="8433">
      <c r="A8433" s="9" t="str">
        <f>IFERROR(__xludf.DUMMYFUNCTION("""COMPUTED_VALUE"""),"Batch 349")</f>
        <v>Batch 349</v>
      </c>
      <c r="B8433" s="9" t="str">
        <f>IFERROR(__xludf.DUMMYFUNCTION("""COMPUTED_VALUE"""),"YashC349")</f>
        <v>YashC349</v>
      </c>
      <c r="C8433" s="8">
        <f>IFERROR(__xludf.DUMMYFUNCTION("""COMPUTED_VALUE"""),2.0)</f>
        <v>2</v>
      </c>
      <c r="D8433" s="8"/>
    </row>
    <row r="8434">
      <c r="A8434" s="9" t="str">
        <f>IFERROR(__xludf.DUMMYFUNCTION("""COMPUTED_VALUE"""),"Batch 349")</f>
        <v>Batch 349</v>
      </c>
      <c r="B8434" s="9" t="str">
        <f>IFERROR(__xludf.DUMMYFUNCTION("""COMPUTED_VALUE"""),"AnshikaC349")</f>
        <v>AnshikaC349</v>
      </c>
      <c r="C8434" s="8">
        <f>IFERROR(__xludf.DUMMYFUNCTION("""COMPUTED_VALUE"""),0.0)</f>
        <v>0</v>
      </c>
      <c r="D8434" s="8"/>
    </row>
    <row r="8435">
      <c r="A8435" s="9" t="str">
        <f>IFERROR(__xludf.DUMMYFUNCTION("""COMPUTED_VALUE"""),"Batch 349")</f>
        <v>Batch 349</v>
      </c>
      <c r="B8435" s="9" t="str">
        <f>IFERROR(__xludf.DUMMYFUNCTION("""COMPUTED_VALUE"""),"KunalC349")</f>
        <v>KunalC349</v>
      </c>
      <c r="C8435" s="8">
        <f>IFERROR(__xludf.DUMMYFUNCTION("""COMPUTED_VALUE"""),0.0)</f>
        <v>0</v>
      </c>
      <c r="D8435" s="8"/>
    </row>
    <row r="8436">
      <c r="A8436" s="9" t="str">
        <f>IFERROR(__xludf.DUMMYFUNCTION("""COMPUTED_VALUE"""),"Batch 349")</f>
        <v>Batch 349</v>
      </c>
      <c r="B8436" s="9" t="str">
        <f>IFERROR(__xludf.DUMMYFUNCTION("""COMPUTED_VALUE"""),"KajalC349")</f>
        <v>KajalC349</v>
      </c>
      <c r="C8436" s="8">
        <f>IFERROR(__xludf.DUMMYFUNCTION("""COMPUTED_VALUE"""),0.0)</f>
        <v>0</v>
      </c>
      <c r="D8436" s="8"/>
    </row>
    <row r="8437">
      <c r="A8437" s="9" t="str">
        <f>IFERROR(__xludf.DUMMYFUNCTION("""COMPUTED_VALUE"""),"Batch 349")</f>
        <v>Batch 349</v>
      </c>
      <c r="B8437" s="9" t="str">
        <f>IFERROR(__xludf.DUMMYFUNCTION("""COMPUTED_VALUE"""),"NishaaC349")</f>
        <v>NishaaC349</v>
      </c>
      <c r="C8437" s="8">
        <f>IFERROR(__xludf.DUMMYFUNCTION("""COMPUTED_VALUE"""),0.0)</f>
        <v>0</v>
      </c>
      <c r="D8437" s="8"/>
    </row>
    <row r="8438">
      <c r="A8438" s="9" t="str">
        <f>IFERROR(__xludf.DUMMYFUNCTION("""COMPUTED_VALUE"""),"Batch 349")</f>
        <v>Batch 349</v>
      </c>
      <c r="B8438" s="9" t="str">
        <f>IFERROR(__xludf.DUMMYFUNCTION("""COMPUTED_VALUE"""),"SambhavC349")</f>
        <v>SambhavC349</v>
      </c>
      <c r="C8438" s="8">
        <f>IFERROR(__xludf.DUMMYFUNCTION("""COMPUTED_VALUE"""),0.0)</f>
        <v>0</v>
      </c>
      <c r="D8438" s="8"/>
    </row>
    <row r="8439">
      <c r="A8439" s="9" t="str">
        <f>IFERROR(__xludf.DUMMYFUNCTION("""COMPUTED_VALUE"""),"Batch 349")</f>
        <v>Batch 349</v>
      </c>
      <c r="B8439" s="9" t="str">
        <f>IFERROR(__xludf.DUMMYFUNCTION("""COMPUTED_VALUE"""),"HRISHIKESHC349")</f>
        <v>HRISHIKESHC349</v>
      </c>
      <c r="C8439" s="8">
        <f>IFERROR(__xludf.DUMMYFUNCTION("""COMPUTED_VALUE"""),0.0)</f>
        <v>0</v>
      </c>
      <c r="D8439" s="8"/>
    </row>
    <row r="8440">
      <c r="A8440" s="9" t="str">
        <f>IFERROR(__xludf.DUMMYFUNCTION("""COMPUTED_VALUE"""),"Batch 349")</f>
        <v>Batch 349</v>
      </c>
      <c r="B8440" s="9" t="str">
        <f>IFERROR(__xludf.DUMMYFUNCTION("""COMPUTED_VALUE"""),"SarthikC349")</f>
        <v>SarthikC349</v>
      </c>
      <c r="C8440" s="8">
        <f>IFERROR(__xludf.DUMMYFUNCTION("""COMPUTED_VALUE"""),4.0)</f>
        <v>4</v>
      </c>
      <c r="D8440" s="8">
        <f>IFERROR(__xludf.DUMMYFUNCTION("""COMPUTED_VALUE"""),5.0)</f>
        <v>5</v>
      </c>
    </row>
    <row r="8441">
      <c r="A8441" s="9" t="str">
        <f>IFERROR(__xludf.DUMMYFUNCTION("""COMPUTED_VALUE"""),"Batch 349")</f>
        <v>Batch 349</v>
      </c>
      <c r="B8441" s="9" t="str">
        <f>IFERROR(__xludf.DUMMYFUNCTION("""COMPUTED_VALUE"""),"NupurC349")</f>
        <v>NupurC349</v>
      </c>
      <c r="C8441" s="8">
        <f>IFERROR(__xludf.DUMMYFUNCTION("""COMPUTED_VALUE"""),0.0)</f>
        <v>0</v>
      </c>
      <c r="D8441" s="8"/>
    </row>
    <row r="8442">
      <c r="A8442" s="9" t="str">
        <f>IFERROR(__xludf.DUMMYFUNCTION("""COMPUTED_VALUE"""),"Batch 349")</f>
        <v>Batch 349</v>
      </c>
      <c r="B8442" s="9" t="str">
        <f>IFERROR(__xludf.DUMMYFUNCTION("""COMPUTED_VALUE"""),"PriyanshuC349")</f>
        <v>PriyanshuC349</v>
      </c>
      <c r="C8442" s="8">
        <f>IFERROR(__xludf.DUMMYFUNCTION("""COMPUTED_VALUE"""),0.0)</f>
        <v>0</v>
      </c>
      <c r="D8442" s="8"/>
    </row>
    <row r="8443">
      <c r="A8443" s="9" t="str">
        <f>IFERROR(__xludf.DUMMYFUNCTION("""COMPUTED_VALUE"""),"Batch 349")</f>
        <v>Batch 349</v>
      </c>
      <c r="B8443" s="9" t="str">
        <f>IFERROR(__xludf.DUMMYFUNCTION("""COMPUTED_VALUE"""),"SweetyC349")</f>
        <v>SweetyC349</v>
      </c>
      <c r="C8443" s="8">
        <f>IFERROR(__xludf.DUMMYFUNCTION("""COMPUTED_VALUE"""),0.0)</f>
        <v>0</v>
      </c>
      <c r="D8443" s="8"/>
    </row>
    <row r="8444">
      <c r="A8444" s="9" t="str">
        <f>IFERROR(__xludf.DUMMYFUNCTION("""COMPUTED_VALUE"""),"Batch 349")</f>
        <v>Batch 349</v>
      </c>
      <c r="B8444" s="9" t="str">
        <f>IFERROR(__xludf.DUMMYFUNCTION("""COMPUTED_VALUE"""),"AnushaC349")</f>
        <v>AnushaC349</v>
      </c>
      <c r="C8444" s="8">
        <f>IFERROR(__xludf.DUMMYFUNCTION("""COMPUTED_VALUE"""),0.0)</f>
        <v>0</v>
      </c>
      <c r="D8444" s="8"/>
    </row>
    <row r="8445">
      <c r="A8445" s="9" t="str">
        <f>IFERROR(__xludf.DUMMYFUNCTION("""COMPUTED_VALUE"""),"Batch 349")</f>
        <v>Batch 349</v>
      </c>
      <c r="B8445" s="9" t="str">
        <f>IFERROR(__xludf.DUMMYFUNCTION("""COMPUTED_VALUE"""),"MuwaazC349")</f>
        <v>MuwaazC349</v>
      </c>
      <c r="C8445" s="8">
        <f>IFERROR(__xludf.DUMMYFUNCTION("""COMPUTED_VALUE"""),5.0)</f>
        <v>5</v>
      </c>
      <c r="D8445" s="8">
        <f>IFERROR(__xludf.DUMMYFUNCTION("""COMPUTED_VALUE"""),1.0)</f>
        <v>1</v>
      </c>
    </row>
    <row r="8446">
      <c r="A8446" s="9" t="str">
        <f>IFERROR(__xludf.DUMMYFUNCTION("""COMPUTED_VALUE"""),"Batch 349")</f>
        <v>Batch 349</v>
      </c>
      <c r="B8446" s="9" t="str">
        <f>IFERROR(__xludf.DUMMYFUNCTION("""COMPUTED_VALUE"""),"RISHUC349")</f>
        <v>RISHUC349</v>
      </c>
      <c r="C8446" s="8">
        <f>IFERROR(__xludf.DUMMYFUNCTION("""COMPUTED_VALUE"""),0.0)</f>
        <v>0</v>
      </c>
      <c r="D8446" s="8"/>
    </row>
    <row r="8447">
      <c r="A8447" s="9" t="str">
        <f>IFERROR(__xludf.DUMMYFUNCTION("""COMPUTED_VALUE"""),"Batch 349")</f>
        <v>Batch 349</v>
      </c>
      <c r="B8447" s="9" t="str">
        <f>IFERROR(__xludf.DUMMYFUNCTION("""COMPUTED_VALUE"""),"HarbaniC349")</f>
        <v>HarbaniC349</v>
      </c>
      <c r="C8447" s="8">
        <f>IFERROR(__xludf.DUMMYFUNCTION("""COMPUTED_VALUE"""),1.0)</f>
        <v>1</v>
      </c>
      <c r="D8447" s="8"/>
    </row>
    <row r="8448">
      <c r="A8448" s="9" t="str">
        <f>IFERROR(__xludf.DUMMYFUNCTION("""COMPUTED_VALUE"""),"Batch 349")</f>
        <v>Batch 349</v>
      </c>
      <c r="B8448" s="9" t="str">
        <f>IFERROR(__xludf.DUMMYFUNCTION("""COMPUTED_VALUE"""),"NiyatiC349")</f>
        <v>NiyatiC349</v>
      </c>
      <c r="C8448" s="8">
        <f>IFERROR(__xludf.DUMMYFUNCTION("""COMPUTED_VALUE"""),0.0)</f>
        <v>0</v>
      </c>
      <c r="D8448" s="8"/>
    </row>
    <row r="8449">
      <c r="A8449" s="9" t="str">
        <f>IFERROR(__xludf.DUMMYFUNCTION("""COMPUTED_VALUE"""),"Batch 349")</f>
        <v>Batch 349</v>
      </c>
      <c r="B8449" s="9" t="str">
        <f>IFERROR(__xludf.DUMMYFUNCTION("""COMPUTED_VALUE"""),"SnehaC349")</f>
        <v>SnehaC349</v>
      </c>
      <c r="C8449" s="8">
        <f>IFERROR(__xludf.DUMMYFUNCTION("""COMPUTED_VALUE"""),0.0)</f>
        <v>0</v>
      </c>
      <c r="D8449" s="8"/>
    </row>
    <row r="8450">
      <c r="A8450" s="9" t="str">
        <f>IFERROR(__xludf.DUMMYFUNCTION("""COMPUTED_VALUE"""),"Batch 349")</f>
        <v>Batch 349</v>
      </c>
      <c r="B8450" s="9" t="str">
        <f>IFERROR(__xludf.DUMMYFUNCTION("""COMPUTED_VALUE"""),"AnirudhC349")</f>
        <v>AnirudhC349</v>
      </c>
      <c r="C8450" s="8">
        <f>IFERROR(__xludf.DUMMYFUNCTION("""COMPUTED_VALUE"""),0.0)</f>
        <v>0</v>
      </c>
      <c r="D8450" s="8"/>
    </row>
    <row r="8451">
      <c r="A8451" s="9" t="str">
        <f>IFERROR(__xludf.DUMMYFUNCTION("""COMPUTED_VALUE"""),"Batch 349")</f>
        <v>Batch 349</v>
      </c>
      <c r="B8451" s="9" t="str">
        <f>IFERROR(__xludf.DUMMYFUNCTION("""COMPUTED_VALUE"""),"MUDITC349")</f>
        <v>MUDITC349</v>
      </c>
      <c r="C8451" s="8">
        <f>IFERROR(__xludf.DUMMYFUNCTION("""COMPUTED_VALUE"""),0.0)</f>
        <v>0</v>
      </c>
      <c r="D8451" s="8"/>
    </row>
    <row r="8452">
      <c r="A8452" s="9" t="str">
        <f>IFERROR(__xludf.DUMMYFUNCTION("""COMPUTED_VALUE"""),"Batch 349")</f>
        <v>Batch 349</v>
      </c>
      <c r="B8452" s="9" t="str">
        <f>IFERROR(__xludf.DUMMYFUNCTION("""COMPUTED_VALUE"""),"GunikaC349")</f>
        <v>GunikaC349</v>
      </c>
      <c r="C8452" s="8">
        <f>IFERROR(__xludf.DUMMYFUNCTION("""COMPUTED_VALUE"""),0.0)</f>
        <v>0</v>
      </c>
      <c r="D8452" s="8"/>
    </row>
    <row r="8453">
      <c r="A8453" s="9" t="str">
        <f>IFERROR(__xludf.DUMMYFUNCTION("""COMPUTED_VALUE"""),"Batch 349")</f>
        <v>Batch 349</v>
      </c>
      <c r="B8453" s="9" t="str">
        <f>IFERROR(__xludf.DUMMYFUNCTION("""COMPUTED_VALUE"""),"KhushiC349")</f>
        <v>KhushiC349</v>
      </c>
      <c r="C8453" s="8">
        <f>IFERROR(__xludf.DUMMYFUNCTION("""COMPUTED_VALUE"""),0.0)</f>
        <v>0</v>
      </c>
      <c r="D8453" s="8"/>
    </row>
    <row r="8454">
      <c r="A8454" s="9" t="str">
        <f>IFERROR(__xludf.DUMMYFUNCTION("""COMPUTED_VALUE"""),"Batch 349")</f>
        <v>Batch 349</v>
      </c>
      <c r="B8454" s="9" t="str">
        <f>IFERROR(__xludf.DUMMYFUNCTION("""COMPUTED_VALUE"""),"AtuleshC349")</f>
        <v>AtuleshC349</v>
      </c>
      <c r="C8454" s="8">
        <f>IFERROR(__xludf.DUMMYFUNCTION("""COMPUTED_VALUE"""),0.0)</f>
        <v>0</v>
      </c>
      <c r="D8454" s="8"/>
    </row>
    <row r="8455">
      <c r="A8455" s="9" t="str">
        <f>IFERROR(__xludf.DUMMYFUNCTION("""COMPUTED_VALUE"""),"Batch 349")</f>
        <v>Batch 349</v>
      </c>
      <c r="B8455" s="9" t="str">
        <f>IFERROR(__xludf.DUMMYFUNCTION("""COMPUTED_VALUE"""),"ShrushtiC349")</f>
        <v>ShrushtiC349</v>
      </c>
      <c r="C8455" s="8">
        <f>IFERROR(__xludf.DUMMYFUNCTION("""COMPUTED_VALUE"""),0.0)</f>
        <v>0</v>
      </c>
      <c r="D8455" s="8"/>
    </row>
    <row r="8456">
      <c r="A8456" s="9" t="str">
        <f>IFERROR(__xludf.DUMMYFUNCTION("""COMPUTED_VALUE"""),"Batch 349")</f>
        <v>Batch 349</v>
      </c>
      <c r="B8456" s="9" t="str">
        <f>IFERROR(__xludf.DUMMYFUNCTION("""COMPUTED_VALUE"""),"NupurC349")</f>
        <v>NupurC349</v>
      </c>
      <c r="C8456" s="8">
        <f>IFERROR(__xludf.DUMMYFUNCTION("""COMPUTED_VALUE"""),0.0)</f>
        <v>0</v>
      </c>
      <c r="D8456" s="8"/>
    </row>
    <row r="8457">
      <c r="A8457" s="9" t="str">
        <f>IFERROR(__xludf.DUMMYFUNCTION("""COMPUTED_VALUE"""),"Batch 349")</f>
        <v>Batch 349</v>
      </c>
      <c r="B8457" s="9" t="str">
        <f>IFERROR(__xludf.DUMMYFUNCTION("""COMPUTED_VALUE"""),"ArchitaC349")</f>
        <v>ArchitaC349</v>
      </c>
      <c r="C8457" s="8">
        <f>IFERROR(__xludf.DUMMYFUNCTION("""COMPUTED_VALUE"""),0.0)</f>
        <v>0</v>
      </c>
      <c r="D8457" s="8"/>
    </row>
    <row r="8458">
      <c r="A8458" s="9" t="str">
        <f>IFERROR(__xludf.DUMMYFUNCTION("""COMPUTED_VALUE"""),"Batch 349")</f>
        <v>Batch 349</v>
      </c>
      <c r="B8458" s="9" t="str">
        <f>IFERROR(__xludf.DUMMYFUNCTION("""COMPUTED_VALUE"""),"NavyaC349")</f>
        <v>NavyaC349</v>
      </c>
      <c r="C8458" s="8">
        <f>IFERROR(__xludf.DUMMYFUNCTION("""COMPUTED_VALUE"""),0.0)</f>
        <v>0</v>
      </c>
      <c r="D8458" s="8"/>
    </row>
    <row r="8459">
      <c r="A8459" s="9" t="str">
        <f>IFERROR(__xludf.DUMMYFUNCTION("""COMPUTED_VALUE"""),"Batch 349")</f>
        <v>Batch 349</v>
      </c>
      <c r="B8459" s="9" t="str">
        <f>IFERROR(__xludf.DUMMYFUNCTION("""COMPUTED_VALUE"""),"JayvardhanC349")</f>
        <v>JayvardhanC349</v>
      </c>
      <c r="C8459" s="8">
        <f>IFERROR(__xludf.DUMMYFUNCTION("""COMPUTED_VALUE"""),0.0)</f>
        <v>0</v>
      </c>
      <c r="D8459" s="8"/>
    </row>
    <row r="8460">
      <c r="A8460" s="9" t="str">
        <f>IFERROR(__xludf.DUMMYFUNCTION("""COMPUTED_VALUE"""),"Batch 349")</f>
        <v>Batch 349</v>
      </c>
      <c r="B8460" s="9" t="str">
        <f>IFERROR(__xludf.DUMMYFUNCTION("""COMPUTED_VALUE"""),"AnjaliC349")</f>
        <v>AnjaliC349</v>
      </c>
      <c r="C8460" s="8">
        <f>IFERROR(__xludf.DUMMYFUNCTION("""COMPUTED_VALUE"""),0.0)</f>
        <v>0</v>
      </c>
      <c r="D8460" s="8"/>
    </row>
    <row r="8461">
      <c r="A8461" s="9" t="str">
        <f>IFERROR(__xludf.DUMMYFUNCTION("""COMPUTED_VALUE"""),"Batch 349")</f>
        <v>Batch 349</v>
      </c>
      <c r="B8461" s="9" t="str">
        <f>IFERROR(__xludf.DUMMYFUNCTION("""COMPUTED_VALUE"""),"DelishaC349")</f>
        <v>DelishaC349</v>
      </c>
      <c r="C8461" s="8">
        <f>IFERROR(__xludf.DUMMYFUNCTION("""COMPUTED_VALUE"""),0.0)</f>
        <v>0</v>
      </c>
      <c r="D8461" s="8"/>
    </row>
    <row r="8462">
      <c r="A8462" s="9" t="str">
        <f>IFERROR(__xludf.DUMMYFUNCTION("""COMPUTED_VALUE"""),"Batch 349")</f>
        <v>Batch 349</v>
      </c>
      <c r="B8462" s="9" t="str">
        <f>IFERROR(__xludf.DUMMYFUNCTION("""COMPUTED_VALUE"""),"SaiyyamjotC349")</f>
        <v>SaiyyamjotC349</v>
      </c>
      <c r="C8462" s="8">
        <f>IFERROR(__xludf.DUMMYFUNCTION("""COMPUTED_VALUE"""),0.0)</f>
        <v>0</v>
      </c>
      <c r="D8462" s="8"/>
    </row>
    <row r="8463">
      <c r="A8463" s="9" t="str">
        <f>IFERROR(__xludf.DUMMYFUNCTION("""COMPUTED_VALUE"""),"Batch 349")</f>
        <v>Batch 349</v>
      </c>
      <c r="B8463" s="9" t="str">
        <f>IFERROR(__xludf.DUMMYFUNCTION("""COMPUTED_VALUE"""),"shubhamC349")</f>
        <v>shubhamC349</v>
      </c>
      <c r="C8463" s="8">
        <f>IFERROR(__xludf.DUMMYFUNCTION("""COMPUTED_VALUE"""),0.0)</f>
        <v>0</v>
      </c>
      <c r="D8463" s="8"/>
    </row>
    <row r="8464">
      <c r="A8464" s="9" t="str">
        <f>IFERROR(__xludf.DUMMYFUNCTION("""COMPUTED_VALUE"""),"Batch 349")</f>
        <v>Batch 349</v>
      </c>
      <c r="B8464" s="9" t="str">
        <f>IFERROR(__xludf.DUMMYFUNCTION("""COMPUTED_VALUE"""),"PreetC349")</f>
        <v>PreetC349</v>
      </c>
      <c r="C8464" s="8">
        <f>IFERROR(__xludf.DUMMYFUNCTION("""COMPUTED_VALUE"""),0.0)</f>
        <v>0</v>
      </c>
      <c r="D8464" s="8"/>
    </row>
    <row r="8465">
      <c r="A8465" s="9" t="str">
        <f>IFERROR(__xludf.DUMMYFUNCTION("""COMPUTED_VALUE"""),"Batch 349")</f>
        <v>Batch 349</v>
      </c>
      <c r="B8465" s="9" t="str">
        <f>IFERROR(__xludf.DUMMYFUNCTION("""COMPUTED_VALUE"""),"PriyanshiC349")</f>
        <v>PriyanshiC349</v>
      </c>
      <c r="C8465" s="8">
        <f>IFERROR(__xludf.DUMMYFUNCTION("""COMPUTED_VALUE"""),0.0)</f>
        <v>0</v>
      </c>
      <c r="D8465" s="8"/>
    </row>
    <row r="8466">
      <c r="A8466" s="9" t="str">
        <f>IFERROR(__xludf.DUMMYFUNCTION("""COMPUTED_VALUE"""),"Batch 349")</f>
        <v>Batch 349</v>
      </c>
      <c r="B8466" s="9" t="str">
        <f>IFERROR(__xludf.DUMMYFUNCTION("""COMPUTED_VALUE"""),"shrutiC349")</f>
        <v>shrutiC349</v>
      </c>
      <c r="C8466" s="8">
        <f>IFERROR(__xludf.DUMMYFUNCTION("""COMPUTED_VALUE"""),0.0)</f>
        <v>0</v>
      </c>
      <c r="D8466" s="8"/>
    </row>
    <row r="8467">
      <c r="A8467" s="9" t="str">
        <f>IFERROR(__xludf.DUMMYFUNCTION("""COMPUTED_VALUE"""),"Batch 349")</f>
        <v>Batch 349</v>
      </c>
      <c r="B8467" s="9" t="str">
        <f>IFERROR(__xludf.DUMMYFUNCTION("""COMPUTED_VALUE"""),"TanishqC349")</f>
        <v>TanishqC349</v>
      </c>
      <c r="C8467" s="8">
        <f>IFERROR(__xludf.DUMMYFUNCTION("""COMPUTED_VALUE"""),0.0)</f>
        <v>0</v>
      </c>
      <c r="D8467" s="8"/>
    </row>
    <row r="8468">
      <c r="A8468" s="9" t="str">
        <f>IFERROR(__xludf.DUMMYFUNCTION("""COMPUTED_VALUE"""),"Batch 349")</f>
        <v>Batch 349</v>
      </c>
      <c r="B8468" s="9" t="str">
        <f>IFERROR(__xludf.DUMMYFUNCTION("""COMPUTED_VALUE"""),"DivyamC349")</f>
        <v>DivyamC349</v>
      </c>
      <c r="C8468" s="8">
        <f>IFERROR(__xludf.DUMMYFUNCTION("""COMPUTED_VALUE"""),0.0)</f>
        <v>0</v>
      </c>
      <c r="D8468" s="8"/>
    </row>
    <row r="8469">
      <c r="A8469" s="9" t="str">
        <f>IFERROR(__xludf.DUMMYFUNCTION("""COMPUTED_VALUE"""),"Batch 349")</f>
        <v>Batch 349</v>
      </c>
      <c r="B8469" s="9" t="str">
        <f>IFERROR(__xludf.DUMMYFUNCTION("""COMPUTED_VALUE"""),"RonakC349")</f>
        <v>RonakC349</v>
      </c>
      <c r="C8469" s="8">
        <f>IFERROR(__xludf.DUMMYFUNCTION("""COMPUTED_VALUE"""),0.0)</f>
        <v>0</v>
      </c>
      <c r="D8469" s="8"/>
    </row>
    <row r="8470">
      <c r="A8470" s="9" t="str">
        <f>IFERROR(__xludf.DUMMYFUNCTION("""COMPUTED_VALUE"""),"Batch 349")</f>
        <v>Batch 349</v>
      </c>
      <c r="B8470" s="9" t="str">
        <f>IFERROR(__xludf.DUMMYFUNCTION("""COMPUTED_VALUE"""),"AmarkantC349")</f>
        <v>AmarkantC349</v>
      </c>
      <c r="C8470" s="8">
        <f>IFERROR(__xludf.DUMMYFUNCTION("""COMPUTED_VALUE"""),0.0)</f>
        <v>0</v>
      </c>
      <c r="D8470" s="8"/>
    </row>
    <row r="8471">
      <c r="A8471" s="9" t="str">
        <f>IFERROR(__xludf.DUMMYFUNCTION("""COMPUTED_VALUE"""),"Batch 349")</f>
        <v>Batch 349</v>
      </c>
      <c r="B8471" s="9" t="str">
        <f>IFERROR(__xludf.DUMMYFUNCTION("""COMPUTED_VALUE"""),"TushitaC349")</f>
        <v>TushitaC349</v>
      </c>
      <c r="C8471" s="8">
        <f>IFERROR(__xludf.DUMMYFUNCTION("""COMPUTED_VALUE"""),0.0)</f>
        <v>0</v>
      </c>
      <c r="D8471" s="8"/>
    </row>
    <row r="8472">
      <c r="A8472" s="9"/>
      <c r="B8472" s="9"/>
      <c r="C8472" s="8">
        <f>IFERROR(__xludf.DUMMYFUNCTION("""COMPUTED_VALUE"""),0.0)</f>
        <v>0</v>
      </c>
      <c r="D8472" s="8"/>
    </row>
    <row r="8473">
      <c r="A8473" s="9" t="str">
        <f>IFERROR(__xludf.DUMMYFUNCTION("""COMPUTED_VALUE"""),"Batch 350")</f>
        <v>Batch 350</v>
      </c>
      <c r="B8473" s="9" t="str">
        <f>IFERROR(__xludf.DUMMYFUNCTION("""COMPUTED_VALUE"""),"AbdullahC350")</f>
        <v>AbdullahC350</v>
      </c>
      <c r="C8473" s="8">
        <f>IFERROR(__xludf.DUMMYFUNCTION("""COMPUTED_VALUE"""),0.0)</f>
        <v>0</v>
      </c>
      <c r="D8473" s="8"/>
    </row>
    <row r="8474">
      <c r="A8474" s="9" t="str">
        <f>IFERROR(__xludf.DUMMYFUNCTION("""COMPUTED_VALUE"""),"Batch 350")</f>
        <v>Batch 350</v>
      </c>
      <c r="B8474" s="9" t="str">
        <f>IFERROR(__xludf.DUMMYFUNCTION("""COMPUTED_VALUE"""),"UtkarshC350")</f>
        <v>UtkarshC350</v>
      </c>
      <c r="C8474" s="8">
        <f>IFERROR(__xludf.DUMMYFUNCTION("""COMPUTED_VALUE"""),0.0)</f>
        <v>0</v>
      </c>
      <c r="D8474" s="8"/>
    </row>
    <row r="8475">
      <c r="A8475" s="9" t="str">
        <f>IFERROR(__xludf.DUMMYFUNCTION("""COMPUTED_VALUE"""),"Batch 350")</f>
        <v>Batch 350</v>
      </c>
      <c r="B8475" s="9" t="str">
        <f>IFERROR(__xludf.DUMMYFUNCTION("""COMPUTED_VALUE"""),"AnirudhC350")</f>
        <v>AnirudhC350</v>
      </c>
      <c r="C8475" s="8">
        <f>IFERROR(__xludf.DUMMYFUNCTION("""COMPUTED_VALUE"""),0.0)</f>
        <v>0</v>
      </c>
      <c r="D8475" s="8"/>
    </row>
    <row r="8476">
      <c r="A8476" s="9" t="str">
        <f>IFERROR(__xludf.DUMMYFUNCTION("""COMPUTED_VALUE"""),"Batch 350")</f>
        <v>Batch 350</v>
      </c>
      <c r="B8476" s="9" t="str">
        <f>IFERROR(__xludf.DUMMYFUNCTION("""COMPUTED_VALUE"""),"KhushiC350")</f>
        <v>KhushiC350</v>
      </c>
      <c r="C8476" s="8">
        <f>IFERROR(__xludf.DUMMYFUNCTION("""COMPUTED_VALUE"""),0.0)</f>
        <v>0</v>
      </c>
      <c r="D8476" s="8"/>
    </row>
    <row r="8477">
      <c r="A8477" s="9" t="str">
        <f>IFERROR(__xludf.DUMMYFUNCTION("""COMPUTED_VALUE"""),"Batch 350")</f>
        <v>Batch 350</v>
      </c>
      <c r="B8477" s="9" t="str">
        <f>IFERROR(__xludf.DUMMYFUNCTION("""COMPUTED_VALUE"""),"HarshC350")</f>
        <v>HarshC350</v>
      </c>
      <c r="C8477" s="8">
        <f>IFERROR(__xludf.DUMMYFUNCTION("""COMPUTED_VALUE"""),0.0)</f>
        <v>0</v>
      </c>
      <c r="D8477" s="8"/>
    </row>
    <row r="8478">
      <c r="A8478" s="9" t="str">
        <f>IFERROR(__xludf.DUMMYFUNCTION("""COMPUTED_VALUE"""),"Batch 350")</f>
        <v>Batch 350</v>
      </c>
      <c r="B8478" s="9" t="str">
        <f>IFERROR(__xludf.DUMMYFUNCTION("""COMPUTED_VALUE"""),"ShivamC350")</f>
        <v>ShivamC350</v>
      </c>
      <c r="C8478" s="8">
        <f>IFERROR(__xludf.DUMMYFUNCTION("""COMPUTED_VALUE"""),0.0)</f>
        <v>0</v>
      </c>
      <c r="D8478" s="8"/>
    </row>
    <row r="8479">
      <c r="A8479" s="9" t="str">
        <f>IFERROR(__xludf.DUMMYFUNCTION("""COMPUTED_VALUE"""),"Batch 350")</f>
        <v>Batch 350</v>
      </c>
      <c r="B8479" s="9" t="str">
        <f>IFERROR(__xludf.DUMMYFUNCTION("""COMPUTED_VALUE"""),"NaivedyaC350")</f>
        <v>NaivedyaC350</v>
      </c>
      <c r="C8479" s="8">
        <f>IFERROR(__xludf.DUMMYFUNCTION("""COMPUTED_VALUE"""),0.0)</f>
        <v>0</v>
      </c>
      <c r="D8479" s="8"/>
    </row>
    <row r="8480">
      <c r="A8480" s="9" t="str">
        <f>IFERROR(__xludf.DUMMYFUNCTION("""COMPUTED_VALUE"""),"Batch 350")</f>
        <v>Batch 350</v>
      </c>
      <c r="B8480" s="9" t="str">
        <f>IFERROR(__xludf.DUMMYFUNCTION("""COMPUTED_VALUE"""),"SurajC350")</f>
        <v>SurajC350</v>
      </c>
      <c r="C8480" s="8">
        <f>IFERROR(__xludf.DUMMYFUNCTION("""COMPUTED_VALUE"""),0.0)</f>
        <v>0</v>
      </c>
      <c r="D8480" s="8"/>
    </row>
    <row r="8481">
      <c r="A8481" s="9" t="str">
        <f>IFERROR(__xludf.DUMMYFUNCTION("""COMPUTED_VALUE"""),"Batch 350")</f>
        <v>Batch 350</v>
      </c>
      <c r="B8481" s="9" t="str">
        <f>IFERROR(__xludf.DUMMYFUNCTION("""COMPUTED_VALUE"""),"SarthikC350")</f>
        <v>SarthikC350</v>
      </c>
      <c r="C8481" s="8">
        <f>IFERROR(__xludf.DUMMYFUNCTION("""COMPUTED_VALUE"""),0.0)</f>
        <v>0</v>
      </c>
      <c r="D8481" s="8"/>
    </row>
    <row r="8482">
      <c r="A8482" s="9" t="str">
        <f>IFERROR(__xludf.DUMMYFUNCTION("""COMPUTED_VALUE"""),"Batch 350")</f>
        <v>Batch 350</v>
      </c>
      <c r="B8482" s="9" t="str">
        <f>IFERROR(__xludf.DUMMYFUNCTION("""COMPUTED_VALUE"""),"ChandanaC350")</f>
        <v>ChandanaC350</v>
      </c>
      <c r="C8482" s="8">
        <f>IFERROR(__xludf.DUMMYFUNCTION("""COMPUTED_VALUE"""),0.0)</f>
        <v>0</v>
      </c>
      <c r="D8482" s="8"/>
    </row>
    <row r="8483">
      <c r="A8483" s="9" t="str">
        <f>IFERROR(__xludf.DUMMYFUNCTION("""COMPUTED_VALUE"""),"Batch 350")</f>
        <v>Batch 350</v>
      </c>
      <c r="B8483" s="9" t="str">
        <f>IFERROR(__xludf.DUMMYFUNCTION("""COMPUTED_VALUE"""),"YashbiyaniC350")</f>
        <v>YashbiyaniC350</v>
      </c>
      <c r="C8483" s="8">
        <f>IFERROR(__xludf.DUMMYFUNCTION("""COMPUTED_VALUE"""),0.0)</f>
        <v>0</v>
      </c>
      <c r="D8483" s="8"/>
    </row>
    <row r="8484">
      <c r="A8484" s="9" t="str">
        <f>IFERROR(__xludf.DUMMYFUNCTION("""COMPUTED_VALUE"""),"Batch 350")</f>
        <v>Batch 350</v>
      </c>
      <c r="B8484" s="9" t="str">
        <f>IFERROR(__xludf.DUMMYFUNCTION("""COMPUTED_VALUE"""),"SiddharthC350")</f>
        <v>SiddharthC350</v>
      </c>
      <c r="C8484" s="8">
        <f>IFERROR(__xludf.DUMMYFUNCTION("""COMPUTED_VALUE"""),0.0)</f>
        <v>0</v>
      </c>
      <c r="D8484" s="8"/>
    </row>
    <row r="8485">
      <c r="A8485" s="9" t="str">
        <f>IFERROR(__xludf.DUMMYFUNCTION("""COMPUTED_VALUE"""),"Batch 350")</f>
        <v>Batch 350</v>
      </c>
      <c r="B8485" s="9" t="str">
        <f>IFERROR(__xludf.DUMMYFUNCTION("""COMPUTED_VALUE"""),"ShivaC350")</f>
        <v>ShivaC350</v>
      </c>
      <c r="C8485" s="8">
        <f>IFERROR(__xludf.DUMMYFUNCTION("""COMPUTED_VALUE"""),0.0)</f>
        <v>0</v>
      </c>
      <c r="D8485" s="8"/>
    </row>
    <row r="8486">
      <c r="A8486" s="9" t="str">
        <f>IFERROR(__xludf.DUMMYFUNCTION("""COMPUTED_VALUE"""),"Batch 350")</f>
        <v>Batch 350</v>
      </c>
      <c r="B8486" s="9" t="str">
        <f>IFERROR(__xludf.DUMMYFUNCTION("""COMPUTED_VALUE"""),"HiteshC350")</f>
        <v>HiteshC350</v>
      </c>
      <c r="C8486" s="8">
        <f>IFERROR(__xludf.DUMMYFUNCTION("""COMPUTED_VALUE"""),0.0)</f>
        <v>0</v>
      </c>
      <c r="D8486" s="8"/>
    </row>
    <row r="8487">
      <c r="A8487" s="9" t="str">
        <f>IFERROR(__xludf.DUMMYFUNCTION("""COMPUTED_VALUE"""),"Batch 350")</f>
        <v>Batch 350</v>
      </c>
      <c r="B8487" s="9" t="str">
        <f>IFERROR(__xludf.DUMMYFUNCTION("""COMPUTED_VALUE"""),"RajC350")</f>
        <v>RajC350</v>
      </c>
      <c r="C8487" s="8">
        <f>IFERROR(__xludf.DUMMYFUNCTION("""COMPUTED_VALUE"""),0.0)</f>
        <v>0</v>
      </c>
      <c r="D8487" s="8"/>
    </row>
    <row r="8488">
      <c r="A8488" s="9" t="str">
        <f>IFERROR(__xludf.DUMMYFUNCTION("""COMPUTED_VALUE"""),"Batch 350")</f>
        <v>Batch 350</v>
      </c>
      <c r="B8488" s="9" t="str">
        <f>IFERROR(__xludf.DUMMYFUNCTION("""COMPUTED_VALUE"""),"AnuragC350")</f>
        <v>AnuragC350</v>
      </c>
      <c r="C8488" s="8">
        <f>IFERROR(__xludf.DUMMYFUNCTION("""COMPUTED_VALUE"""),0.0)</f>
        <v>0</v>
      </c>
      <c r="D8488" s="8"/>
    </row>
    <row r="8489">
      <c r="A8489" s="9" t="str">
        <f>IFERROR(__xludf.DUMMYFUNCTION("""COMPUTED_VALUE"""),"Batch 350")</f>
        <v>Batch 350</v>
      </c>
      <c r="B8489" s="9" t="str">
        <f>IFERROR(__xludf.DUMMYFUNCTION("""COMPUTED_VALUE"""),"SouravC350")</f>
        <v>SouravC350</v>
      </c>
      <c r="C8489" s="8">
        <f>IFERROR(__xludf.DUMMYFUNCTION("""COMPUTED_VALUE"""),4.0)</f>
        <v>4</v>
      </c>
      <c r="D8489" s="8"/>
    </row>
    <row r="8490">
      <c r="A8490" s="9" t="str">
        <f>IFERROR(__xludf.DUMMYFUNCTION("""COMPUTED_VALUE"""),"Batch 350")</f>
        <v>Batch 350</v>
      </c>
      <c r="B8490" s="9" t="str">
        <f>IFERROR(__xludf.DUMMYFUNCTION("""COMPUTED_VALUE"""),"KhadijatulC350")</f>
        <v>KhadijatulC350</v>
      </c>
      <c r="C8490" s="8">
        <f>IFERROR(__xludf.DUMMYFUNCTION("""COMPUTED_VALUE"""),0.0)</f>
        <v>0</v>
      </c>
      <c r="D8490" s="8"/>
    </row>
    <row r="8491">
      <c r="A8491" s="9" t="str">
        <f>IFERROR(__xludf.DUMMYFUNCTION("""COMPUTED_VALUE"""),"Batch 350")</f>
        <v>Batch 350</v>
      </c>
      <c r="B8491" s="9" t="str">
        <f>IFERROR(__xludf.DUMMYFUNCTION("""COMPUTED_VALUE"""),"BhavyaC350")</f>
        <v>BhavyaC350</v>
      </c>
      <c r="C8491" s="8">
        <f>IFERROR(__xludf.DUMMYFUNCTION("""COMPUTED_VALUE"""),0.0)</f>
        <v>0</v>
      </c>
      <c r="D8491" s="8"/>
    </row>
    <row r="8492">
      <c r="A8492" s="9" t="str">
        <f>IFERROR(__xludf.DUMMYFUNCTION("""COMPUTED_VALUE"""),"Batch 350")</f>
        <v>Batch 350</v>
      </c>
      <c r="B8492" s="9" t="str">
        <f>IFERROR(__xludf.DUMMYFUNCTION("""COMPUTED_VALUE"""),"TanushreeC350")</f>
        <v>TanushreeC350</v>
      </c>
      <c r="C8492" s="8">
        <f>IFERROR(__xludf.DUMMYFUNCTION("""COMPUTED_VALUE"""),0.0)</f>
        <v>0</v>
      </c>
      <c r="D8492" s="8"/>
    </row>
    <row r="8493">
      <c r="A8493" s="9" t="str">
        <f>IFERROR(__xludf.DUMMYFUNCTION("""COMPUTED_VALUE"""),"Batch 350")</f>
        <v>Batch 350</v>
      </c>
      <c r="B8493" s="9" t="str">
        <f>IFERROR(__xludf.DUMMYFUNCTION("""COMPUTED_VALUE"""),"TrishaC350")</f>
        <v>TrishaC350</v>
      </c>
      <c r="C8493" s="8">
        <f>IFERROR(__xludf.DUMMYFUNCTION("""COMPUTED_VALUE"""),0.0)</f>
        <v>0</v>
      </c>
      <c r="D8493" s="8"/>
    </row>
    <row r="8494">
      <c r="A8494" s="9" t="str">
        <f>IFERROR(__xludf.DUMMYFUNCTION("""COMPUTED_VALUE"""),"Batch 350")</f>
        <v>Batch 350</v>
      </c>
      <c r="B8494" s="9" t="str">
        <f>IFERROR(__xludf.DUMMYFUNCTION("""COMPUTED_VALUE"""),"DeepanjaliC350")</f>
        <v>DeepanjaliC350</v>
      </c>
      <c r="C8494" s="8">
        <f>IFERROR(__xludf.DUMMYFUNCTION("""COMPUTED_VALUE"""),0.0)</f>
        <v>0</v>
      </c>
      <c r="D8494" s="8"/>
    </row>
    <row r="8495">
      <c r="A8495" s="9" t="str">
        <f>IFERROR(__xludf.DUMMYFUNCTION("""COMPUTED_VALUE"""),"Batch 350")</f>
        <v>Batch 350</v>
      </c>
      <c r="B8495" s="9" t="str">
        <f>IFERROR(__xludf.DUMMYFUNCTION("""COMPUTED_VALUE"""),"TejswaniC350")</f>
        <v>TejswaniC350</v>
      </c>
      <c r="C8495" s="8">
        <f>IFERROR(__xludf.DUMMYFUNCTION("""COMPUTED_VALUE"""),0.0)</f>
        <v>0</v>
      </c>
      <c r="D8495" s="8"/>
    </row>
    <row r="8496">
      <c r="A8496" s="9" t="str">
        <f>IFERROR(__xludf.DUMMYFUNCTION("""COMPUTED_VALUE"""),"Batch 350")</f>
        <v>Batch 350</v>
      </c>
      <c r="B8496" s="9" t="str">
        <f>IFERROR(__xludf.DUMMYFUNCTION("""COMPUTED_VALUE"""),"JyotirmayeeC350")</f>
        <v>JyotirmayeeC350</v>
      </c>
      <c r="C8496" s="8">
        <f>IFERROR(__xludf.DUMMYFUNCTION("""COMPUTED_VALUE"""),0.0)</f>
        <v>0</v>
      </c>
      <c r="D8496" s="8"/>
    </row>
    <row r="8497">
      <c r="A8497" s="9" t="str">
        <f>IFERROR(__xludf.DUMMYFUNCTION("""COMPUTED_VALUE"""),"Batch 350")</f>
        <v>Batch 350</v>
      </c>
      <c r="B8497" s="9" t="str">
        <f>IFERROR(__xludf.DUMMYFUNCTION("""COMPUTED_VALUE"""),"KushalC350")</f>
        <v>KushalC350</v>
      </c>
      <c r="C8497" s="8">
        <f>IFERROR(__xludf.DUMMYFUNCTION("""COMPUTED_VALUE"""),0.0)</f>
        <v>0</v>
      </c>
      <c r="D8497" s="8"/>
    </row>
    <row r="8498">
      <c r="A8498" s="9" t="str">
        <f>IFERROR(__xludf.DUMMYFUNCTION("""COMPUTED_VALUE"""),"Batch 350")</f>
        <v>Batch 350</v>
      </c>
      <c r="B8498" s="9" t="str">
        <f>IFERROR(__xludf.DUMMYFUNCTION("""COMPUTED_VALUE"""),"ChahatC350")</f>
        <v>ChahatC350</v>
      </c>
      <c r="C8498" s="8">
        <f>IFERROR(__xludf.DUMMYFUNCTION("""COMPUTED_VALUE"""),0.0)</f>
        <v>0</v>
      </c>
      <c r="D8498" s="8"/>
    </row>
    <row r="8499">
      <c r="A8499" s="9" t="str">
        <f>IFERROR(__xludf.DUMMYFUNCTION("""COMPUTED_VALUE"""),"Batch 350")</f>
        <v>Batch 350</v>
      </c>
      <c r="B8499" s="9" t="str">
        <f>IFERROR(__xludf.DUMMYFUNCTION("""COMPUTED_VALUE"""),"HAFIZURC350")</f>
        <v>HAFIZURC350</v>
      </c>
      <c r="C8499" s="8">
        <f>IFERROR(__xludf.DUMMYFUNCTION("""COMPUTED_VALUE"""),0.0)</f>
        <v>0</v>
      </c>
      <c r="D8499" s="8"/>
    </row>
    <row r="8500">
      <c r="A8500" s="9" t="str">
        <f>IFERROR(__xludf.DUMMYFUNCTION("""COMPUTED_VALUE"""),"Batch 350")</f>
        <v>Batch 350</v>
      </c>
      <c r="B8500" s="9" t="str">
        <f>IFERROR(__xludf.DUMMYFUNCTION("""COMPUTED_VALUE"""),"AlishaC350")</f>
        <v>AlishaC350</v>
      </c>
      <c r="C8500" s="8">
        <f>IFERROR(__xludf.DUMMYFUNCTION("""COMPUTED_VALUE"""),0.0)</f>
        <v>0</v>
      </c>
      <c r="D8500" s="8"/>
    </row>
    <row r="8501">
      <c r="A8501" s="9" t="str">
        <f>IFERROR(__xludf.DUMMYFUNCTION("""COMPUTED_VALUE"""),"Batch 350")</f>
        <v>Batch 350</v>
      </c>
      <c r="B8501" s="9" t="str">
        <f>IFERROR(__xludf.DUMMYFUNCTION("""COMPUTED_VALUE"""),"GauthamC350")</f>
        <v>GauthamC350</v>
      </c>
      <c r="C8501" s="8">
        <f>IFERROR(__xludf.DUMMYFUNCTION("""COMPUTED_VALUE"""),0.0)</f>
        <v>0</v>
      </c>
      <c r="D8501" s="8"/>
    </row>
    <row r="8502">
      <c r="A8502" s="9" t="str">
        <f>IFERROR(__xludf.DUMMYFUNCTION("""COMPUTED_VALUE"""),"Batch 350")</f>
        <v>Batch 350</v>
      </c>
      <c r="B8502" s="9" t="str">
        <f>IFERROR(__xludf.DUMMYFUNCTION("""COMPUTED_VALUE"""),"MahekC350")</f>
        <v>MahekC350</v>
      </c>
      <c r="C8502" s="8">
        <f>IFERROR(__xludf.DUMMYFUNCTION("""COMPUTED_VALUE"""),0.0)</f>
        <v>0</v>
      </c>
      <c r="D8502" s="8"/>
    </row>
    <row r="8503">
      <c r="A8503" s="9" t="str">
        <f>IFERROR(__xludf.DUMMYFUNCTION("""COMPUTED_VALUE"""),"Batch 350")</f>
        <v>Batch 350</v>
      </c>
      <c r="B8503" s="9" t="str">
        <f>IFERROR(__xludf.DUMMYFUNCTION("""COMPUTED_VALUE"""),"UmangC350")</f>
        <v>UmangC350</v>
      </c>
      <c r="C8503" s="8">
        <f>IFERROR(__xludf.DUMMYFUNCTION("""COMPUTED_VALUE"""),0.0)</f>
        <v>0</v>
      </c>
      <c r="D8503" s="8"/>
    </row>
    <row r="8504">
      <c r="A8504" s="9" t="str">
        <f>IFERROR(__xludf.DUMMYFUNCTION("""COMPUTED_VALUE"""),"Batch 350")</f>
        <v>Batch 350</v>
      </c>
      <c r="B8504" s="9" t="str">
        <f>IFERROR(__xludf.DUMMYFUNCTION("""COMPUTED_VALUE"""),"VaaniC350")</f>
        <v>VaaniC350</v>
      </c>
      <c r="C8504" s="8">
        <f>IFERROR(__xludf.DUMMYFUNCTION("""COMPUTED_VALUE"""),0.0)</f>
        <v>0</v>
      </c>
      <c r="D8504" s="8"/>
    </row>
    <row r="8505">
      <c r="A8505" s="9" t="str">
        <f>IFERROR(__xludf.DUMMYFUNCTION("""COMPUTED_VALUE"""),"Batch 350")</f>
        <v>Batch 350</v>
      </c>
      <c r="B8505" s="9" t="str">
        <f>IFERROR(__xludf.DUMMYFUNCTION("""COMPUTED_VALUE"""),"KrishnaC350")</f>
        <v>KrishnaC350</v>
      </c>
      <c r="C8505" s="8">
        <f>IFERROR(__xludf.DUMMYFUNCTION("""COMPUTED_VALUE"""),0.0)</f>
        <v>0</v>
      </c>
      <c r="D8505" s="8"/>
    </row>
    <row r="8506">
      <c r="A8506" s="9" t="str">
        <f>IFERROR(__xludf.DUMMYFUNCTION("""COMPUTED_VALUE"""),"Batch 350")</f>
        <v>Batch 350</v>
      </c>
      <c r="B8506" s="9" t="str">
        <f>IFERROR(__xludf.DUMMYFUNCTION("""COMPUTED_VALUE"""),"DhruvSC350")</f>
        <v>DhruvSC350</v>
      </c>
      <c r="C8506" s="8">
        <f>IFERROR(__xludf.DUMMYFUNCTION("""COMPUTED_VALUE"""),0.0)</f>
        <v>0</v>
      </c>
      <c r="D8506" s="8"/>
    </row>
    <row r="8507">
      <c r="A8507" s="9" t="str">
        <f>IFERROR(__xludf.DUMMYFUNCTION("""COMPUTED_VALUE"""),"Batch 350")</f>
        <v>Batch 350</v>
      </c>
      <c r="B8507" s="9" t="str">
        <f>IFERROR(__xludf.DUMMYFUNCTION("""COMPUTED_VALUE"""),"VaishnaviC350")</f>
        <v>VaishnaviC350</v>
      </c>
      <c r="C8507" s="8">
        <f>IFERROR(__xludf.DUMMYFUNCTION("""COMPUTED_VALUE"""),0.0)</f>
        <v>0</v>
      </c>
      <c r="D8507" s="8"/>
    </row>
    <row r="8508">
      <c r="A8508" s="9" t="str">
        <f>IFERROR(__xludf.DUMMYFUNCTION("""COMPUTED_VALUE"""),"Batch 350")</f>
        <v>Batch 350</v>
      </c>
      <c r="B8508" s="9" t="str">
        <f>IFERROR(__xludf.DUMMYFUNCTION("""COMPUTED_VALUE"""),"KanikaC350")</f>
        <v>KanikaC350</v>
      </c>
      <c r="C8508" s="8">
        <f>IFERROR(__xludf.DUMMYFUNCTION("""COMPUTED_VALUE"""),0.0)</f>
        <v>0</v>
      </c>
      <c r="D8508" s="8"/>
    </row>
    <row r="8509">
      <c r="A8509" s="9" t="str">
        <f>IFERROR(__xludf.DUMMYFUNCTION("""COMPUTED_VALUE"""),"Batch 350")</f>
        <v>Batch 350</v>
      </c>
      <c r="B8509" s="9" t="str">
        <f>IFERROR(__xludf.DUMMYFUNCTION("""COMPUTED_VALUE"""),"SAKSHATHC350")</f>
        <v>SAKSHATHC350</v>
      </c>
      <c r="C8509" s="8">
        <f>IFERROR(__xludf.DUMMYFUNCTION("""COMPUTED_VALUE"""),0.0)</f>
        <v>0</v>
      </c>
      <c r="D8509" s="8"/>
    </row>
    <row r="8510">
      <c r="A8510" s="9" t="str">
        <f>IFERROR(__xludf.DUMMYFUNCTION("""COMPUTED_VALUE"""),"Batch 350")</f>
        <v>Batch 350</v>
      </c>
      <c r="B8510" s="9" t="str">
        <f>IFERROR(__xludf.DUMMYFUNCTION("""COMPUTED_VALUE"""),"YashC350")</f>
        <v>YashC350</v>
      </c>
      <c r="C8510" s="8">
        <f>IFERROR(__xludf.DUMMYFUNCTION("""COMPUTED_VALUE"""),0.0)</f>
        <v>0</v>
      </c>
      <c r="D8510" s="8"/>
    </row>
    <row r="8511">
      <c r="A8511" s="9" t="str">
        <f>IFERROR(__xludf.DUMMYFUNCTION("""COMPUTED_VALUE"""),"Batch 350")</f>
        <v>Batch 350</v>
      </c>
      <c r="B8511" s="9" t="str">
        <f>IFERROR(__xludf.DUMMYFUNCTION("""COMPUTED_VALUE"""),"ChiragC350")</f>
        <v>ChiragC350</v>
      </c>
      <c r="C8511" s="8">
        <f>IFERROR(__xludf.DUMMYFUNCTION("""COMPUTED_VALUE"""),0.0)</f>
        <v>0</v>
      </c>
      <c r="D8511" s="8"/>
    </row>
    <row r="8512">
      <c r="A8512" s="9" t="str">
        <f>IFERROR(__xludf.DUMMYFUNCTION("""COMPUTED_VALUE"""),"Batch 350")</f>
        <v>Batch 350</v>
      </c>
      <c r="B8512" s="9" t="str">
        <f>IFERROR(__xludf.DUMMYFUNCTION("""COMPUTED_VALUE"""),"TiaC350")</f>
        <v>TiaC350</v>
      </c>
      <c r="C8512" s="8">
        <f>IFERROR(__xludf.DUMMYFUNCTION("""COMPUTED_VALUE"""),0.0)</f>
        <v>0</v>
      </c>
      <c r="D8512" s="8"/>
    </row>
    <row r="8513">
      <c r="A8513" s="9" t="str">
        <f>IFERROR(__xludf.DUMMYFUNCTION("""COMPUTED_VALUE"""),"Batch 350")</f>
        <v>Batch 350</v>
      </c>
      <c r="B8513" s="9" t="str">
        <f>IFERROR(__xludf.DUMMYFUNCTION("""COMPUTED_VALUE"""),"AnshC350")</f>
        <v>AnshC350</v>
      </c>
      <c r="C8513" s="8">
        <f>IFERROR(__xludf.DUMMYFUNCTION("""COMPUTED_VALUE"""),0.0)</f>
        <v>0</v>
      </c>
      <c r="D8513" s="8"/>
    </row>
    <row r="8514">
      <c r="A8514" s="9" t="str">
        <f>IFERROR(__xludf.DUMMYFUNCTION("""COMPUTED_VALUE"""),"Batch 350")</f>
        <v>Batch 350</v>
      </c>
      <c r="B8514" s="9" t="str">
        <f>IFERROR(__xludf.DUMMYFUNCTION("""COMPUTED_VALUE"""),"ShubhamC350")</f>
        <v>ShubhamC350</v>
      </c>
      <c r="C8514" s="8">
        <f>IFERROR(__xludf.DUMMYFUNCTION("""COMPUTED_VALUE"""),0.0)</f>
        <v>0</v>
      </c>
      <c r="D8514" s="8"/>
    </row>
    <row r="8515">
      <c r="A8515" s="9" t="str">
        <f>IFERROR(__xludf.DUMMYFUNCTION("""COMPUTED_VALUE"""),"Batch 350")</f>
        <v>Batch 350</v>
      </c>
      <c r="B8515" s="9" t="str">
        <f>IFERROR(__xludf.DUMMYFUNCTION("""COMPUTED_VALUE"""),"HarshnoorC350")</f>
        <v>HarshnoorC350</v>
      </c>
      <c r="C8515" s="8">
        <f>IFERROR(__xludf.DUMMYFUNCTION("""COMPUTED_VALUE"""),14.0)</f>
        <v>14</v>
      </c>
      <c r="D8515" s="8">
        <f>IFERROR(__xludf.DUMMYFUNCTION("""COMPUTED_VALUE"""),1.0)</f>
        <v>1</v>
      </c>
    </row>
    <row r="8516">
      <c r="A8516" s="9" t="str">
        <f>IFERROR(__xludf.DUMMYFUNCTION("""COMPUTED_VALUE"""),"Batch 350")</f>
        <v>Batch 350</v>
      </c>
      <c r="B8516" s="9" t="str">
        <f>IFERROR(__xludf.DUMMYFUNCTION("""COMPUTED_VALUE"""),"MeghnaC350")</f>
        <v>MeghnaC350</v>
      </c>
      <c r="C8516" s="8">
        <f>IFERROR(__xludf.DUMMYFUNCTION("""COMPUTED_VALUE"""),0.0)</f>
        <v>0</v>
      </c>
      <c r="D8516" s="8"/>
    </row>
    <row r="8517">
      <c r="A8517" s="9" t="str">
        <f>IFERROR(__xludf.DUMMYFUNCTION("""COMPUTED_VALUE"""),"Batch 350")</f>
        <v>Batch 350</v>
      </c>
      <c r="B8517" s="9" t="str">
        <f>IFERROR(__xludf.DUMMYFUNCTION("""COMPUTED_VALUE"""),"AmritanshuC350")</f>
        <v>AmritanshuC350</v>
      </c>
      <c r="C8517" s="8">
        <f>IFERROR(__xludf.DUMMYFUNCTION("""COMPUTED_VALUE"""),0.0)</f>
        <v>0</v>
      </c>
      <c r="D8517" s="8"/>
    </row>
    <row r="8518">
      <c r="A8518" s="9" t="str">
        <f>IFERROR(__xludf.DUMMYFUNCTION("""COMPUTED_VALUE"""),"Batch 350")</f>
        <v>Batch 350</v>
      </c>
      <c r="B8518" s="9" t="str">
        <f>IFERROR(__xludf.DUMMYFUNCTION("""COMPUTED_VALUE"""),"AachalC350")</f>
        <v>AachalC350</v>
      </c>
      <c r="C8518" s="8">
        <f>IFERROR(__xludf.DUMMYFUNCTION("""COMPUTED_VALUE"""),0.0)</f>
        <v>0</v>
      </c>
      <c r="D8518" s="8"/>
    </row>
    <row r="8519">
      <c r="A8519" s="9" t="str">
        <f>IFERROR(__xludf.DUMMYFUNCTION("""COMPUTED_VALUE"""),"Batch 350")</f>
        <v>Batch 350</v>
      </c>
      <c r="B8519" s="9" t="str">
        <f>IFERROR(__xludf.DUMMYFUNCTION("""COMPUTED_VALUE"""),"SimantaC350")</f>
        <v>SimantaC350</v>
      </c>
      <c r="C8519" s="8">
        <f>IFERROR(__xludf.DUMMYFUNCTION("""COMPUTED_VALUE"""),11.0)</f>
        <v>11</v>
      </c>
      <c r="D8519" s="8">
        <f>IFERROR(__xludf.DUMMYFUNCTION("""COMPUTED_VALUE"""),4.0)</f>
        <v>4</v>
      </c>
    </row>
    <row r="8520">
      <c r="A8520" s="9" t="str">
        <f>IFERROR(__xludf.DUMMYFUNCTION("""COMPUTED_VALUE"""),"Batch 350")</f>
        <v>Batch 350</v>
      </c>
      <c r="B8520" s="9" t="str">
        <f>IFERROR(__xludf.DUMMYFUNCTION("""COMPUTED_VALUE"""),"JasmeetC350")</f>
        <v>JasmeetC350</v>
      </c>
      <c r="C8520" s="8">
        <f>IFERROR(__xludf.DUMMYFUNCTION("""COMPUTED_VALUE"""),0.0)</f>
        <v>0</v>
      </c>
      <c r="D8520" s="8"/>
    </row>
    <row r="8521">
      <c r="A8521" s="9" t="str">
        <f>IFERROR(__xludf.DUMMYFUNCTION("""COMPUTED_VALUE"""),"Batch 350")</f>
        <v>Batch 350</v>
      </c>
      <c r="B8521" s="9" t="str">
        <f>IFERROR(__xludf.DUMMYFUNCTION("""COMPUTED_VALUE"""),"AvaniC350")</f>
        <v>AvaniC350</v>
      </c>
      <c r="C8521" s="8">
        <f>IFERROR(__xludf.DUMMYFUNCTION("""COMPUTED_VALUE"""),0.0)</f>
        <v>0</v>
      </c>
      <c r="D8521" s="8"/>
    </row>
    <row r="8522">
      <c r="A8522" s="9" t="str">
        <f>IFERROR(__xludf.DUMMYFUNCTION("""COMPUTED_VALUE"""),"Batch 350")</f>
        <v>Batch 350</v>
      </c>
      <c r="B8522" s="9" t="str">
        <f>IFERROR(__xludf.DUMMYFUNCTION("""COMPUTED_VALUE"""),"DevanshC350")</f>
        <v>DevanshC350</v>
      </c>
      <c r="C8522" s="8">
        <f>IFERROR(__xludf.DUMMYFUNCTION("""COMPUTED_VALUE"""),0.0)</f>
        <v>0</v>
      </c>
      <c r="D8522" s="8"/>
    </row>
    <row r="8523">
      <c r="A8523" s="9" t="str">
        <f>IFERROR(__xludf.DUMMYFUNCTION("""COMPUTED_VALUE"""),"Batch 350")</f>
        <v>Batch 350</v>
      </c>
      <c r="B8523" s="9" t="str">
        <f>IFERROR(__xludf.DUMMYFUNCTION("""COMPUTED_VALUE"""),"KhushiYC350")</f>
        <v>KhushiYC350</v>
      </c>
      <c r="C8523" s="8">
        <f>IFERROR(__xludf.DUMMYFUNCTION("""COMPUTED_VALUE"""),2.0)</f>
        <v>2</v>
      </c>
      <c r="D8523" s="8">
        <f>IFERROR(__xludf.DUMMYFUNCTION("""COMPUTED_VALUE"""),1.0)</f>
        <v>1</v>
      </c>
    </row>
    <row r="8524">
      <c r="A8524" s="9" t="str">
        <f>IFERROR(__xludf.DUMMYFUNCTION("""COMPUTED_VALUE"""),"Batch 350")</f>
        <v>Batch 350</v>
      </c>
      <c r="B8524" s="9" t="str">
        <f>IFERROR(__xludf.DUMMYFUNCTION("""COMPUTED_VALUE"""),"ShreetejC350")</f>
        <v>ShreetejC350</v>
      </c>
      <c r="C8524" s="8">
        <f>IFERROR(__xludf.DUMMYFUNCTION("""COMPUTED_VALUE"""),38.0)</f>
        <v>38</v>
      </c>
      <c r="D8524" s="8">
        <f>IFERROR(__xludf.DUMMYFUNCTION("""COMPUTED_VALUE"""),16.0)</f>
        <v>16</v>
      </c>
    </row>
    <row r="8525">
      <c r="A8525" s="9" t="str">
        <f>IFERROR(__xludf.DUMMYFUNCTION("""COMPUTED_VALUE"""),"Batch 350")</f>
        <v>Batch 350</v>
      </c>
      <c r="B8525" s="9" t="str">
        <f>IFERROR(__xludf.DUMMYFUNCTION("""COMPUTED_VALUE"""),"JyotiC350")</f>
        <v>JyotiC350</v>
      </c>
      <c r="C8525" s="8">
        <f>IFERROR(__xludf.DUMMYFUNCTION("""COMPUTED_VALUE"""),0.0)</f>
        <v>0</v>
      </c>
      <c r="D8525" s="8"/>
    </row>
    <row r="8526">
      <c r="A8526" s="9" t="str">
        <f>IFERROR(__xludf.DUMMYFUNCTION("""COMPUTED_VALUE"""),"Batch 350")</f>
        <v>Batch 350</v>
      </c>
      <c r="B8526" s="9" t="str">
        <f>IFERROR(__xludf.DUMMYFUNCTION("""COMPUTED_VALUE"""),"ShashiC350")</f>
        <v>ShashiC350</v>
      </c>
      <c r="C8526" s="8">
        <f>IFERROR(__xludf.DUMMYFUNCTION("""COMPUTED_VALUE"""),0.0)</f>
        <v>0</v>
      </c>
      <c r="D8526" s="8"/>
    </row>
    <row r="8527">
      <c r="A8527" s="9" t="str">
        <f>IFERROR(__xludf.DUMMYFUNCTION("""COMPUTED_VALUE"""),"Batch 350")</f>
        <v>Batch 350</v>
      </c>
      <c r="B8527" s="9" t="str">
        <f>IFERROR(__xludf.DUMMYFUNCTION("""COMPUTED_VALUE"""),"ShreyaC350")</f>
        <v>ShreyaC350</v>
      </c>
      <c r="C8527" s="8">
        <f>IFERROR(__xludf.DUMMYFUNCTION("""COMPUTED_VALUE"""),0.0)</f>
        <v>0</v>
      </c>
      <c r="D8527" s="8"/>
    </row>
    <row r="8528">
      <c r="A8528" s="9" t="str">
        <f>IFERROR(__xludf.DUMMYFUNCTION("""COMPUTED_VALUE"""),"Batch 350")</f>
        <v>Batch 350</v>
      </c>
      <c r="B8528" s="9" t="str">
        <f>IFERROR(__xludf.DUMMYFUNCTION("""COMPUTED_VALUE"""),"AnvitaC350")</f>
        <v>AnvitaC350</v>
      </c>
      <c r="C8528" s="8">
        <f>IFERROR(__xludf.DUMMYFUNCTION("""COMPUTED_VALUE"""),3.0)</f>
        <v>3</v>
      </c>
      <c r="D8528" s="8"/>
    </row>
    <row r="8529">
      <c r="A8529" s="9" t="str">
        <f>IFERROR(__xludf.DUMMYFUNCTION("""COMPUTED_VALUE"""),"Batch 350")</f>
        <v>Batch 350</v>
      </c>
      <c r="B8529" s="9" t="str">
        <f>IFERROR(__xludf.DUMMYFUNCTION("""COMPUTED_VALUE"""),"BhumiC350")</f>
        <v>BhumiC350</v>
      </c>
      <c r="C8529" s="8">
        <f>IFERROR(__xludf.DUMMYFUNCTION("""COMPUTED_VALUE"""),0.0)</f>
        <v>0</v>
      </c>
      <c r="D8529" s="8"/>
    </row>
    <row r="8530">
      <c r="A8530" s="9" t="str">
        <f>IFERROR(__xludf.DUMMYFUNCTION("""COMPUTED_VALUE"""),"Batch 350")</f>
        <v>Batch 350</v>
      </c>
      <c r="B8530" s="9" t="str">
        <f>IFERROR(__xludf.DUMMYFUNCTION("""COMPUTED_VALUE"""),"MuskanC350")</f>
        <v>MuskanC350</v>
      </c>
      <c r="C8530" s="8">
        <f>IFERROR(__xludf.DUMMYFUNCTION("""COMPUTED_VALUE"""),0.0)</f>
        <v>0</v>
      </c>
      <c r="D8530" s="8"/>
    </row>
    <row r="8531">
      <c r="A8531" s="9" t="str">
        <f>IFERROR(__xludf.DUMMYFUNCTION("""COMPUTED_VALUE"""),"Batch 350")</f>
        <v>Batch 350</v>
      </c>
      <c r="B8531" s="9" t="str">
        <f>IFERROR(__xludf.DUMMYFUNCTION("""COMPUTED_VALUE"""),"KhushiC350")</f>
        <v>KhushiC350</v>
      </c>
      <c r="C8531" s="8">
        <f>IFERROR(__xludf.DUMMYFUNCTION("""COMPUTED_VALUE"""),0.0)</f>
        <v>0</v>
      </c>
      <c r="D8531" s="8"/>
    </row>
    <row r="8532">
      <c r="A8532" s="9" t="str">
        <f>IFERROR(__xludf.DUMMYFUNCTION("""COMPUTED_VALUE"""),"Batch 350")</f>
        <v>Batch 350</v>
      </c>
      <c r="B8532" s="9" t="str">
        <f>IFERROR(__xludf.DUMMYFUNCTION("""COMPUTED_VALUE"""),"LeeshaC350")</f>
        <v>LeeshaC350</v>
      </c>
      <c r="C8532" s="8">
        <f>IFERROR(__xludf.DUMMYFUNCTION("""COMPUTED_VALUE"""),0.0)</f>
        <v>0</v>
      </c>
      <c r="D8532" s="8"/>
    </row>
    <row r="8533">
      <c r="A8533" s="9" t="str">
        <f>IFERROR(__xludf.DUMMYFUNCTION("""COMPUTED_VALUE"""),"Batch 350")</f>
        <v>Batch 350</v>
      </c>
      <c r="B8533" s="9" t="str">
        <f>IFERROR(__xludf.DUMMYFUNCTION("""COMPUTED_VALUE"""),"PoleboinaC350")</f>
        <v>PoleboinaC350</v>
      </c>
      <c r="C8533" s="8">
        <f>IFERROR(__xludf.DUMMYFUNCTION("""COMPUTED_VALUE"""),1.0)</f>
        <v>1</v>
      </c>
      <c r="D8533" s="8">
        <f>IFERROR(__xludf.DUMMYFUNCTION("""COMPUTED_VALUE"""),4.0)</f>
        <v>4</v>
      </c>
    </row>
    <row r="8534">
      <c r="A8534" s="9" t="str">
        <f>IFERROR(__xludf.DUMMYFUNCTION("""COMPUTED_VALUE"""),"Batch 350")</f>
        <v>Batch 350</v>
      </c>
      <c r="B8534" s="9" t="str">
        <f>IFERROR(__xludf.DUMMYFUNCTION("""COMPUTED_VALUE"""),"HarjotC350")</f>
        <v>HarjotC350</v>
      </c>
      <c r="C8534" s="8">
        <f>IFERROR(__xludf.DUMMYFUNCTION("""COMPUTED_VALUE"""),0.0)</f>
        <v>0</v>
      </c>
      <c r="D8534" s="8"/>
    </row>
    <row r="8535">
      <c r="A8535" s="9" t="str">
        <f>IFERROR(__xludf.DUMMYFUNCTION("""COMPUTED_VALUE"""),"Batch 350")</f>
        <v>Batch 350</v>
      </c>
      <c r="B8535" s="9" t="str">
        <f>IFERROR(__xludf.DUMMYFUNCTION("""COMPUTED_VALUE"""),"SrishtiC350")</f>
        <v>SrishtiC350</v>
      </c>
      <c r="C8535" s="8">
        <f>IFERROR(__xludf.DUMMYFUNCTION("""COMPUTED_VALUE"""),0.0)</f>
        <v>0</v>
      </c>
      <c r="D8535" s="8"/>
    </row>
    <row r="8536">
      <c r="A8536" s="9" t="str">
        <f>IFERROR(__xludf.DUMMYFUNCTION("""COMPUTED_VALUE"""),"Batch 350")</f>
        <v>Batch 350</v>
      </c>
      <c r="B8536" s="9" t="str">
        <f>IFERROR(__xludf.DUMMYFUNCTION("""COMPUTED_VALUE"""),"anishkaC350")</f>
        <v>anishkaC350</v>
      </c>
      <c r="C8536" s="8">
        <f>IFERROR(__xludf.DUMMYFUNCTION("""COMPUTED_VALUE"""),0.0)</f>
        <v>0</v>
      </c>
      <c r="D8536" s="8"/>
    </row>
    <row r="8537">
      <c r="A8537" s="9" t="str">
        <f>IFERROR(__xludf.DUMMYFUNCTION("""COMPUTED_VALUE"""),"Batch 350")</f>
        <v>Batch 350</v>
      </c>
      <c r="B8537" s="9" t="str">
        <f>IFERROR(__xludf.DUMMYFUNCTION("""COMPUTED_VALUE"""),"ShivanshC350")</f>
        <v>ShivanshC350</v>
      </c>
      <c r="C8537" s="8">
        <f>IFERROR(__xludf.DUMMYFUNCTION("""COMPUTED_VALUE"""),0.0)</f>
        <v>0</v>
      </c>
      <c r="D8537" s="8"/>
    </row>
    <row r="8538">
      <c r="A8538" s="9" t="str">
        <f>IFERROR(__xludf.DUMMYFUNCTION("""COMPUTED_VALUE"""),"Batch 350")</f>
        <v>Batch 350</v>
      </c>
      <c r="B8538" s="9" t="str">
        <f>IFERROR(__xludf.DUMMYFUNCTION("""COMPUTED_VALUE"""),"PrincyC350")</f>
        <v>PrincyC350</v>
      </c>
      <c r="C8538" s="8">
        <f>IFERROR(__xludf.DUMMYFUNCTION("""COMPUTED_VALUE"""),0.0)</f>
        <v>0</v>
      </c>
      <c r="D8538" s="8"/>
    </row>
    <row r="8539">
      <c r="A8539" s="9" t="str">
        <f>IFERROR(__xludf.DUMMYFUNCTION("""COMPUTED_VALUE"""),"Batch 350")</f>
        <v>Batch 350</v>
      </c>
      <c r="B8539" s="9" t="str">
        <f>IFERROR(__xludf.DUMMYFUNCTION("""COMPUTED_VALUE"""),"PriyanshuC350")</f>
        <v>PriyanshuC350</v>
      </c>
      <c r="C8539" s="8">
        <f>IFERROR(__xludf.DUMMYFUNCTION("""COMPUTED_VALUE"""),0.0)</f>
        <v>0</v>
      </c>
      <c r="D8539" s="8"/>
    </row>
    <row r="8540">
      <c r="A8540" s="9" t="str">
        <f>IFERROR(__xludf.DUMMYFUNCTION("""COMPUTED_VALUE"""),"Batch 350")</f>
        <v>Batch 350</v>
      </c>
      <c r="B8540" s="9" t="str">
        <f>IFERROR(__xludf.DUMMYFUNCTION("""COMPUTED_VALUE"""),"AnanyaC350")</f>
        <v>AnanyaC350</v>
      </c>
      <c r="C8540" s="8">
        <f>IFERROR(__xludf.DUMMYFUNCTION("""COMPUTED_VALUE"""),0.0)</f>
        <v>0</v>
      </c>
      <c r="D8540" s="8"/>
    </row>
    <row r="8541">
      <c r="A8541" s="9" t="str">
        <f>IFERROR(__xludf.DUMMYFUNCTION("""COMPUTED_VALUE"""),"Batch 350")</f>
        <v>Batch 350</v>
      </c>
      <c r="B8541" s="9" t="str">
        <f>IFERROR(__xludf.DUMMYFUNCTION("""COMPUTED_VALUE"""),"UmraC350")</f>
        <v>UmraC350</v>
      </c>
      <c r="C8541" s="8">
        <f>IFERROR(__xludf.DUMMYFUNCTION("""COMPUTED_VALUE"""),0.0)</f>
        <v>0</v>
      </c>
      <c r="D8541" s="8"/>
    </row>
    <row r="8542">
      <c r="A8542" s="9" t="str">
        <f>IFERROR(__xludf.DUMMYFUNCTION("""COMPUTED_VALUE"""),"Batch 350")</f>
        <v>Batch 350</v>
      </c>
      <c r="B8542" s="9" t="str">
        <f>IFERROR(__xludf.DUMMYFUNCTION("""COMPUTED_VALUE"""),"SaanviC350")</f>
        <v>SaanviC350</v>
      </c>
      <c r="C8542" s="8">
        <f>IFERROR(__xludf.DUMMYFUNCTION("""COMPUTED_VALUE"""),0.0)</f>
        <v>0</v>
      </c>
      <c r="D8542" s="8"/>
    </row>
    <row r="8543">
      <c r="A8543" s="9" t="str">
        <f>IFERROR(__xludf.DUMMYFUNCTION("""COMPUTED_VALUE"""),"Batch 350")</f>
        <v>Batch 350</v>
      </c>
      <c r="B8543" s="9" t="str">
        <f>IFERROR(__xludf.DUMMYFUNCTION("""COMPUTED_VALUE"""),"SnehaC350")</f>
        <v>SnehaC350</v>
      </c>
      <c r="C8543" s="8">
        <f>IFERROR(__xludf.DUMMYFUNCTION("""COMPUTED_VALUE"""),5.0)</f>
        <v>5</v>
      </c>
      <c r="D8543" s="8"/>
    </row>
    <row r="8544">
      <c r="A8544" s="9" t="str">
        <f>IFERROR(__xludf.DUMMYFUNCTION("""COMPUTED_VALUE"""),"Batch 350")</f>
        <v>Batch 350</v>
      </c>
      <c r="B8544" s="9" t="str">
        <f>IFERROR(__xludf.DUMMYFUNCTION("""COMPUTED_VALUE"""),"ChandanC350")</f>
        <v>ChandanC350</v>
      </c>
      <c r="C8544" s="8">
        <f>IFERROR(__xludf.DUMMYFUNCTION("""COMPUTED_VALUE"""),0.0)</f>
        <v>0</v>
      </c>
      <c r="D8544" s="8"/>
    </row>
    <row r="8545">
      <c r="A8545" s="9" t="str">
        <f>IFERROR(__xludf.DUMMYFUNCTION("""COMPUTED_VALUE"""),"Batch 350")</f>
        <v>Batch 350</v>
      </c>
      <c r="B8545" s="9" t="str">
        <f>IFERROR(__xludf.DUMMYFUNCTION("""COMPUTED_VALUE"""),"AmaanC350")</f>
        <v>AmaanC350</v>
      </c>
      <c r="C8545" s="8">
        <f>IFERROR(__xludf.DUMMYFUNCTION("""COMPUTED_VALUE"""),0.0)</f>
        <v>0</v>
      </c>
      <c r="D8545" s="8"/>
    </row>
    <row r="8546">
      <c r="A8546" s="9" t="str">
        <f>IFERROR(__xludf.DUMMYFUNCTION("""COMPUTED_VALUE"""),"Batch 350")</f>
        <v>Batch 350</v>
      </c>
      <c r="B8546" s="9" t="str">
        <f>IFERROR(__xludf.DUMMYFUNCTION("""COMPUTED_VALUE"""),"AanviC350")</f>
        <v>AanviC350</v>
      </c>
      <c r="C8546" s="8">
        <f>IFERROR(__xludf.DUMMYFUNCTION("""COMPUTED_VALUE"""),0.0)</f>
        <v>0</v>
      </c>
      <c r="D8546" s="8"/>
    </row>
    <row r="8547">
      <c r="A8547" s="9" t="str">
        <f>IFERROR(__xludf.DUMMYFUNCTION("""COMPUTED_VALUE"""),"Batch 350")</f>
        <v>Batch 350</v>
      </c>
      <c r="B8547" s="9" t="str">
        <f>IFERROR(__xludf.DUMMYFUNCTION("""COMPUTED_VALUE"""),"ShagunC350")</f>
        <v>ShagunC350</v>
      </c>
      <c r="C8547" s="8">
        <f>IFERROR(__xludf.DUMMYFUNCTION("""COMPUTED_VALUE"""),0.0)</f>
        <v>0</v>
      </c>
      <c r="D8547" s="8"/>
    </row>
    <row r="8548">
      <c r="A8548" s="9" t="str">
        <f>IFERROR(__xludf.DUMMYFUNCTION("""COMPUTED_VALUE"""),"Batch 350")</f>
        <v>Batch 350</v>
      </c>
      <c r="B8548" s="9" t="str">
        <f>IFERROR(__xludf.DUMMYFUNCTION("""COMPUTED_VALUE"""),"DeaC350")</f>
        <v>DeaC350</v>
      </c>
      <c r="C8548" s="8">
        <f>IFERROR(__xludf.DUMMYFUNCTION("""COMPUTED_VALUE"""),0.0)</f>
        <v>0</v>
      </c>
      <c r="D8548" s="8"/>
    </row>
    <row r="8549">
      <c r="A8549" s="9" t="str">
        <f>IFERROR(__xludf.DUMMYFUNCTION("""COMPUTED_VALUE"""),"Batch 350")</f>
        <v>Batch 350</v>
      </c>
      <c r="B8549" s="9" t="str">
        <f>IFERROR(__xludf.DUMMYFUNCTION("""COMPUTED_VALUE"""),"DhruvC350")</f>
        <v>DhruvC350</v>
      </c>
      <c r="C8549" s="8">
        <f>IFERROR(__xludf.DUMMYFUNCTION("""COMPUTED_VALUE"""),4.0)</f>
        <v>4</v>
      </c>
      <c r="D8549" s="8">
        <f>IFERROR(__xludf.DUMMYFUNCTION("""COMPUTED_VALUE"""),4.0)</f>
        <v>4</v>
      </c>
    </row>
    <row r="8550">
      <c r="A8550" s="9" t="str">
        <f>IFERROR(__xludf.DUMMYFUNCTION("""COMPUTED_VALUE"""),"Batch 350")</f>
        <v>Batch 350</v>
      </c>
      <c r="B8550" s="9" t="str">
        <f>IFERROR(__xludf.DUMMYFUNCTION("""COMPUTED_VALUE"""),"IndraniC350")</f>
        <v>IndraniC350</v>
      </c>
      <c r="C8550" s="8">
        <f>IFERROR(__xludf.DUMMYFUNCTION("""COMPUTED_VALUE"""),0.0)</f>
        <v>0</v>
      </c>
      <c r="D8550" s="8"/>
    </row>
    <row r="8551">
      <c r="A8551" s="9" t="str">
        <f>IFERROR(__xludf.DUMMYFUNCTION("""COMPUTED_VALUE"""),"Batch 350")</f>
        <v>Batch 350</v>
      </c>
      <c r="B8551" s="9" t="str">
        <f>IFERROR(__xludf.DUMMYFUNCTION("""COMPUTED_VALUE"""),"bhudevC350")</f>
        <v>bhudevC350</v>
      </c>
      <c r="C8551" s="8">
        <f>IFERROR(__xludf.DUMMYFUNCTION("""COMPUTED_VALUE"""),0.0)</f>
        <v>0</v>
      </c>
      <c r="D8551" s="8"/>
    </row>
    <row r="8552">
      <c r="A8552" s="9" t="str">
        <f>IFERROR(__xludf.DUMMYFUNCTION("""COMPUTED_VALUE"""),"Batch 350")</f>
        <v>Batch 350</v>
      </c>
      <c r="B8552" s="9" t="str">
        <f>IFERROR(__xludf.DUMMYFUNCTION("""COMPUTED_VALUE"""),"akshatC350")</f>
        <v>akshatC350</v>
      </c>
      <c r="C8552" s="8">
        <f>IFERROR(__xludf.DUMMYFUNCTION("""COMPUTED_VALUE"""),0.0)</f>
        <v>0</v>
      </c>
      <c r="D8552" s="8"/>
    </row>
    <row r="8553">
      <c r="A8553" s="9" t="str">
        <f>IFERROR(__xludf.DUMMYFUNCTION("""COMPUTED_VALUE"""),"Batch 350")</f>
        <v>Batch 350</v>
      </c>
      <c r="B8553" s="9" t="str">
        <f>IFERROR(__xludf.DUMMYFUNCTION("""COMPUTED_VALUE"""),"rahulC350")</f>
        <v>rahulC350</v>
      </c>
      <c r="C8553" s="8">
        <f>IFERROR(__xludf.DUMMYFUNCTION("""COMPUTED_VALUE"""),0.0)</f>
        <v>0</v>
      </c>
      <c r="D8553" s="8"/>
    </row>
    <row r="8554">
      <c r="A8554" s="9"/>
      <c r="B8554" s="9"/>
      <c r="C8554" s="8">
        <f>IFERROR(__xludf.DUMMYFUNCTION("""COMPUTED_VALUE"""),0.0)</f>
        <v>0</v>
      </c>
      <c r="D8554" s="8"/>
    </row>
    <row r="8555">
      <c r="A8555" s="9" t="str">
        <f>IFERROR(__xludf.DUMMYFUNCTION("""COMPUTED_VALUE"""),"Batch 351")</f>
        <v>Batch 351</v>
      </c>
      <c r="B8555" s="9" t="str">
        <f>IFERROR(__xludf.DUMMYFUNCTION("""COMPUTED_VALUE"""),"KhushiC351")</f>
        <v>KhushiC351</v>
      </c>
      <c r="C8555" s="8">
        <f>IFERROR(__xludf.DUMMYFUNCTION("""COMPUTED_VALUE"""),0.0)</f>
        <v>0</v>
      </c>
      <c r="D8555" s="8"/>
    </row>
    <row r="8556">
      <c r="A8556" s="9" t="str">
        <f>IFERROR(__xludf.DUMMYFUNCTION("""COMPUTED_VALUE"""),"Batch 351")</f>
        <v>Batch 351</v>
      </c>
      <c r="B8556" s="9" t="str">
        <f>IFERROR(__xludf.DUMMYFUNCTION("""COMPUTED_VALUE"""),"ShashankaC351")</f>
        <v>ShashankaC351</v>
      </c>
      <c r="C8556" s="8">
        <f>IFERROR(__xludf.DUMMYFUNCTION("""COMPUTED_VALUE"""),61.0)</f>
        <v>61</v>
      </c>
      <c r="D8556" s="8">
        <f>IFERROR(__xludf.DUMMYFUNCTION("""COMPUTED_VALUE"""),23.0)</f>
        <v>23</v>
      </c>
    </row>
    <row r="8557">
      <c r="A8557" s="9" t="str">
        <f>IFERROR(__xludf.DUMMYFUNCTION("""COMPUTED_VALUE"""),"Batch 351")</f>
        <v>Batch 351</v>
      </c>
      <c r="B8557" s="9" t="str">
        <f>IFERROR(__xludf.DUMMYFUNCTION("""COMPUTED_VALUE"""),"SaloniC351")</f>
        <v>SaloniC351</v>
      </c>
      <c r="C8557" s="8">
        <f>IFERROR(__xludf.DUMMYFUNCTION("""COMPUTED_VALUE"""),0.0)</f>
        <v>0</v>
      </c>
      <c r="D8557" s="8"/>
    </row>
    <row r="8558">
      <c r="A8558" s="9" t="str">
        <f>IFERROR(__xludf.DUMMYFUNCTION("""COMPUTED_VALUE"""),"Batch 351")</f>
        <v>Batch 351</v>
      </c>
      <c r="B8558" s="9" t="str">
        <f>IFERROR(__xludf.DUMMYFUNCTION("""COMPUTED_VALUE"""),"AthulyaC351")</f>
        <v>AthulyaC351</v>
      </c>
      <c r="C8558" s="8">
        <f>IFERROR(__xludf.DUMMYFUNCTION("""COMPUTED_VALUE"""),4.0)</f>
        <v>4</v>
      </c>
      <c r="D8558" s="8"/>
    </row>
    <row r="8559">
      <c r="A8559" s="9" t="str">
        <f>IFERROR(__xludf.DUMMYFUNCTION("""COMPUTED_VALUE"""),"Batch 351")</f>
        <v>Batch 351</v>
      </c>
      <c r="B8559" s="9" t="str">
        <f>IFERROR(__xludf.DUMMYFUNCTION("""COMPUTED_VALUE"""),"NancyC351")</f>
        <v>NancyC351</v>
      </c>
      <c r="C8559" s="8">
        <f>IFERROR(__xludf.DUMMYFUNCTION("""COMPUTED_VALUE"""),0.0)</f>
        <v>0</v>
      </c>
      <c r="D8559" s="8"/>
    </row>
    <row r="8560">
      <c r="A8560" s="9" t="str">
        <f>IFERROR(__xludf.DUMMYFUNCTION("""COMPUTED_VALUE"""),"Batch 351")</f>
        <v>Batch 351</v>
      </c>
      <c r="B8560" s="9" t="str">
        <f>IFERROR(__xludf.DUMMYFUNCTION("""COMPUTED_VALUE"""),"AnshumanC351")</f>
        <v>AnshumanC351</v>
      </c>
      <c r="C8560" s="8">
        <f>IFERROR(__xludf.DUMMYFUNCTION("""COMPUTED_VALUE"""),0.0)</f>
        <v>0</v>
      </c>
      <c r="D8560" s="8"/>
    </row>
    <row r="8561">
      <c r="A8561" s="9" t="str">
        <f>IFERROR(__xludf.DUMMYFUNCTION("""COMPUTED_VALUE"""),"Batch 351")</f>
        <v>Batch 351</v>
      </c>
      <c r="B8561" s="9" t="str">
        <f>IFERROR(__xludf.DUMMYFUNCTION("""COMPUTED_VALUE"""),"JyotiC351")</f>
        <v>JyotiC351</v>
      </c>
      <c r="C8561" s="8">
        <f>IFERROR(__xludf.DUMMYFUNCTION("""COMPUTED_VALUE"""),0.0)</f>
        <v>0</v>
      </c>
      <c r="D8561" s="8"/>
    </row>
    <row r="8562">
      <c r="A8562" s="9" t="str">
        <f>IFERROR(__xludf.DUMMYFUNCTION("""COMPUTED_VALUE"""),"Batch 351")</f>
        <v>Batch 351</v>
      </c>
      <c r="B8562" s="9" t="str">
        <f>IFERROR(__xludf.DUMMYFUNCTION("""COMPUTED_VALUE"""),"VanshC351")</f>
        <v>VanshC351</v>
      </c>
      <c r="C8562" s="8">
        <f>IFERROR(__xludf.DUMMYFUNCTION("""COMPUTED_VALUE"""),0.0)</f>
        <v>0</v>
      </c>
      <c r="D8562" s="8"/>
    </row>
    <row r="8563">
      <c r="A8563" s="9" t="str">
        <f>IFERROR(__xludf.DUMMYFUNCTION("""COMPUTED_VALUE"""),"Batch 351")</f>
        <v>Batch 351</v>
      </c>
      <c r="B8563" s="9" t="str">
        <f>IFERROR(__xludf.DUMMYFUNCTION("""COMPUTED_VALUE"""),"RutujaC351")</f>
        <v>RutujaC351</v>
      </c>
      <c r="C8563" s="8">
        <f>IFERROR(__xludf.DUMMYFUNCTION("""COMPUTED_VALUE"""),0.0)</f>
        <v>0</v>
      </c>
      <c r="D8563" s="8"/>
    </row>
    <row r="8564">
      <c r="A8564" s="9" t="str">
        <f>IFERROR(__xludf.DUMMYFUNCTION("""COMPUTED_VALUE"""),"Batch 351")</f>
        <v>Batch 351</v>
      </c>
      <c r="B8564" s="9" t="str">
        <f>IFERROR(__xludf.DUMMYFUNCTION("""COMPUTED_VALUE"""),"SauravC351")</f>
        <v>SauravC351</v>
      </c>
      <c r="C8564" s="8">
        <f>IFERROR(__xludf.DUMMYFUNCTION("""COMPUTED_VALUE"""),0.0)</f>
        <v>0</v>
      </c>
      <c r="D8564" s="8"/>
    </row>
    <row r="8565">
      <c r="A8565" s="9" t="str">
        <f>IFERROR(__xludf.DUMMYFUNCTION("""COMPUTED_VALUE"""),"Batch 351")</f>
        <v>Batch 351</v>
      </c>
      <c r="B8565" s="9" t="str">
        <f>IFERROR(__xludf.DUMMYFUNCTION("""COMPUTED_VALUE"""),"MiruthulaC351")</f>
        <v>MiruthulaC351</v>
      </c>
      <c r="C8565" s="8">
        <f>IFERROR(__xludf.DUMMYFUNCTION("""COMPUTED_VALUE"""),0.0)</f>
        <v>0</v>
      </c>
      <c r="D8565" s="8"/>
    </row>
    <row r="8566">
      <c r="A8566" s="9" t="str">
        <f>IFERROR(__xludf.DUMMYFUNCTION("""COMPUTED_VALUE"""),"Batch 351")</f>
        <v>Batch 351</v>
      </c>
      <c r="B8566" s="9" t="str">
        <f>IFERROR(__xludf.DUMMYFUNCTION("""COMPUTED_VALUE"""),"AvikaC351")</f>
        <v>AvikaC351</v>
      </c>
      <c r="C8566" s="8">
        <f>IFERROR(__xludf.DUMMYFUNCTION("""COMPUTED_VALUE"""),0.0)</f>
        <v>0</v>
      </c>
      <c r="D8566" s="8"/>
    </row>
    <row r="8567">
      <c r="A8567" s="9" t="str">
        <f>IFERROR(__xludf.DUMMYFUNCTION("""COMPUTED_VALUE"""),"Batch 351")</f>
        <v>Batch 351</v>
      </c>
      <c r="B8567" s="9" t="str">
        <f>IFERROR(__xludf.DUMMYFUNCTION("""COMPUTED_VALUE"""),"MyshaC351")</f>
        <v>MyshaC351</v>
      </c>
      <c r="C8567" s="8">
        <f>IFERROR(__xludf.DUMMYFUNCTION("""COMPUTED_VALUE"""),0.0)</f>
        <v>0</v>
      </c>
      <c r="D8567" s="8"/>
    </row>
    <row r="8568">
      <c r="A8568" s="9" t="str">
        <f>IFERROR(__xludf.DUMMYFUNCTION("""COMPUTED_VALUE"""),"Batch 351")</f>
        <v>Batch 351</v>
      </c>
      <c r="B8568" s="9" t="str">
        <f>IFERROR(__xludf.DUMMYFUNCTION("""COMPUTED_VALUE"""),"SiddharthC351")</f>
        <v>SiddharthC351</v>
      </c>
      <c r="C8568" s="8">
        <f>IFERROR(__xludf.DUMMYFUNCTION("""COMPUTED_VALUE"""),0.0)</f>
        <v>0</v>
      </c>
      <c r="D8568" s="8"/>
    </row>
    <row r="8569">
      <c r="A8569" s="9" t="str">
        <f>IFERROR(__xludf.DUMMYFUNCTION("""COMPUTED_VALUE"""),"Batch 351")</f>
        <v>Batch 351</v>
      </c>
      <c r="B8569" s="9" t="str">
        <f>IFERROR(__xludf.DUMMYFUNCTION("""COMPUTED_VALUE"""),"AbhishekC351")</f>
        <v>AbhishekC351</v>
      </c>
      <c r="C8569" s="8">
        <f>IFERROR(__xludf.DUMMYFUNCTION("""COMPUTED_VALUE"""),0.0)</f>
        <v>0</v>
      </c>
      <c r="D8569" s="8"/>
    </row>
    <row r="8570">
      <c r="A8570" s="9" t="str">
        <f>IFERROR(__xludf.DUMMYFUNCTION("""COMPUTED_VALUE"""),"Batch 351")</f>
        <v>Batch 351</v>
      </c>
      <c r="B8570" s="9" t="str">
        <f>IFERROR(__xludf.DUMMYFUNCTION("""COMPUTED_VALUE"""),"RishikaC351")</f>
        <v>RishikaC351</v>
      </c>
      <c r="C8570" s="8">
        <f>IFERROR(__xludf.DUMMYFUNCTION("""COMPUTED_VALUE"""),13.0)</f>
        <v>13</v>
      </c>
      <c r="D8570" s="8">
        <f>IFERROR(__xludf.DUMMYFUNCTION("""COMPUTED_VALUE"""),2.0)</f>
        <v>2</v>
      </c>
    </row>
    <row r="8571">
      <c r="A8571" s="9" t="str">
        <f>IFERROR(__xludf.DUMMYFUNCTION("""COMPUTED_VALUE"""),"Batch 351")</f>
        <v>Batch 351</v>
      </c>
      <c r="B8571" s="9" t="str">
        <f>IFERROR(__xludf.DUMMYFUNCTION("""COMPUTED_VALUE"""),"HeebaC351")</f>
        <v>HeebaC351</v>
      </c>
      <c r="C8571" s="8">
        <f>IFERROR(__xludf.DUMMYFUNCTION("""COMPUTED_VALUE"""),0.0)</f>
        <v>0</v>
      </c>
      <c r="D8571" s="8"/>
    </row>
    <row r="8572">
      <c r="A8572" s="9" t="str">
        <f>IFERROR(__xludf.DUMMYFUNCTION("""COMPUTED_VALUE"""),"Batch 351")</f>
        <v>Batch 351</v>
      </c>
      <c r="B8572" s="9" t="str">
        <f>IFERROR(__xludf.DUMMYFUNCTION("""COMPUTED_VALUE"""),"VishakhaC351")</f>
        <v>VishakhaC351</v>
      </c>
      <c r="C8572" s="8">
        <f>IFERROR(__xludf.DUMMYFUNCTION("""COMPUTED_VALUE"""),0.0)</f>
        <v>0</v>
      </c>
      <c r="D8572" s="8"/>
    </row>
    <row r="8573">
      <c r="A8573" s="9" t="str">
        <f>IFERROR(__xludf.DUMMYFUNCTION("""COMPUTED_VALUE"""),"Batch 351")</f>
        <v>Batch 351</v>
      </c>
      <c r="B8573" s="9" t="str">
        <f>IFERROR(__xludf.DUMMYFUNCTION("""COMPUTED_VALUE"""),"KrishC351")</f>
        <v>KrishC351</v>
      </c>
      <c r="C8573" s="8">
        <f>IFERROR(__xludf.DUMMYFUNCTION("""COMPUTED_VALUE"""),0.0)</f>
        <v>0</v>
      </c>
      <c r="D8573" s="8"/>
    </row>
    <row r="8574">
      <c r="A8574" s="9" t="str">
        <f>IFERROR(__xludf.DUMMYFUNCTION("""COMPUTED_VALUE"""),"Batch 351")</f>
        <v>Batch 351</v>
      </c>
      <c r="B8574" s="9" t="str">
        <f>IFERROR(__xludf.DUMMYFUNCTION("""COMPUTED_VALUE"""),"DikshitaC351")</f>
        <v>DikshitaC351</v>
      </c>
      <c r="C8574" s="8">
        <f>IFERROR(__xludf.DUMMYFUNCTION("""COMPUTED_VALUE"""),1.0)</f>
        <v>1</v>
      </c>
      <c r="D8574" s="8"/>
    </row>
    <row r="8575">
      <c r="A8575" s="9" t="str">
        <f>IFERROR(__xludf.DUMMYFUNCTION("""COMPUTED_VALUE"""),"Batch 351")</f>
        <v>Batch 351</v>
      </c>
      <c r="B8575" s="9" t="str">
        <f>IFERROR(__xludf.DUMMYFUNCTION("""COMPUTED_VALUE"""),"KartikC351")</f>
        <v>KartikC351</v>
      </c>
      <c r="C8575" s="8">
        <f>IFERROR(__xludf.DUMMYFUNCTION("""COMPUTED_VALUE"""),0.0)</f>
        <v>0</v>
      </c>
      <c r="D8575" s="8"/>
    </row>
    <row r="8576">
      <c r="A8576" s="9" t="str">
        <f>IFERROR(__xludf.DUMMYFUNCTION("""COMPUTED_VALUE"""),"Batch 351")</f>
        <v>Batch 351</v>
      </c>
      <c r="B8576" s="9" t="str">
        <f>IFERROR(__xludf.DUMMYFUNCTION("""COMPUTED_VALUE"""),"SobanC351")</f>
        <v>SobanC351</v>
      </c>
      <c r="C8576" s="8">
        <f>IFERROR(__xludf.DUMMYFUNCTION("""COMPUTED_VALUE"""),0.0)</f>
        <v>0</v>
      </c>
      <c r="D8576" s="8"/>
    </row>
    <row r="8577">
      <c r="A8577" s="9" t="str">
        <f>IFERROR(__xludf.DUMMYFUNCTION("""COMPUTED_VALUE"""),"Batch 351")</f>
        <v>Batch 351</v>
      </c>
      <c r="B8577" s="9" t="str">
        <f>IFERROR(__xludf.DUMMYFUNCTION("""COMPUTED_VALUE"""),"SakshiC351")</f>
        <v>SakshiC351</v>
      </c>
      <c r="C8577" s="8">
        <f>IFERROR(__xludf.DUMMYFUNCTION("""COMPUTED_VALUE"""),0.0)</f>
        <v>0</v>
      </c>
      <c r="D8577" s="8"/>
    </row>
    <row r="8578">
      <c r="A8578" s="9" t="str">
        <f>IFERROR(__xludf.DUMMYFUNCTION("""COMPUTED_VALUE"""),"Batch 351")</f>
        <v>Batch 351</v>
      </c>
      <c r="B8578" s="9" t="str">
        <f>IFERROR(__xludf.DUMMYFUNCTION("""COMPUTED_VALUE"""),"AnujC351")</f>
        <v>AnujC351</v>
      </c>
      <c r="C8578" s="8">
        <f>IFERROR(__xludf.DUMMYFUNCTION("""COMPUTED_VALUE"""),0.0)</f>
        <v>0</v>
      </c>
      <c r="D8578" s="8"/>
    </row>
    <row r="8579">
      <c r="A8579" s="9" t="str">
        <f>IFERROR(__xludf.DUMMYFUNCTION("""COMPUTED_VALUE"""),"Batch 351")</f>
        <v>Batch 351</v>
      </c>
      <c r="B8579" s="9" t="str">
        <f>IFERROR(__xludf.DUMMYFUNCTION("""COMPUTED_VALUE"""),"kritikaC351")</f>
        <v>kritikaC351</v>
      </c>
      <c r="C8579" s="8">
        <f>IFERROR(__xludf.DUMMYFUNCTION("""COMPUTED_VALUE"""),3.0)</f>
        <v>3</v>
      </c>
      <c r="D8579" s="8"/>
    </row>
    <row r="8580">
      <c r="A8580" s="9" t="str">
        <f>IFERROR(__xludf.DUMMYFUNCTION("""COMPUTED_VALUE"""),"Batch 351")</f>
        <v>Batch 351</v>
      </c>
      <c r="B8580" s="9" t="str">
        <f>IFERROR(__xludf.DUMMYFUNCTION("""COMPUTED_VALUE"""),"SaloniC351")</f>
        <v>SaloniC351</v>
      </c>
      <c r="C8580" s="8">
        <f>IFERROR(__xludf.DUMMYFUNCTION("""COMPUTED_VALUE"""),0.0)</f>
        <v>0</v>
      </c>
      <c r="D8580" s="8"/>
    </row>
    <row r="8581">
      <c r="A8581" s="9" t="str">
        <f>IFERROR(__xludf.DUMMYFUNCTION("""COMPUTED_VALUE"""),"Batch 351")</f>
        <v>Batch 351</v>
      </c>
      <c r="B8581" s="9" t="str">
        <f>IFERROR(__xludf.DUMMYFUNCTION("""COMPUTED_VALUE"""),"AdityaC351")</f>
        <v>AdityaC351</v>
      </c>
      <c r="C8581" s="8">
        <f>IFERROR(__xludf.DUMMYFUNCTION("""COMPUTED_VALUE"""),0.0)</f>
        <v>0</v>
      </c>
      <c r="D8581" s="8"/>
    </row>
    <row r="8582">
      <c r="A8582" s="9" t="str">
        <f>IFERROR(__xludf.DUMMYFUNCTION("""COMPUTED_VALUE"""),"Batch 351")</f>
        <v>Batch 351</v>
      </c>
      <c r="B8582" s="9" t="str">
        <f>IFERROR(__xludf.DUMMYFUNCTION("""COMPUTED_VALUE"""),"HimaniC351")</f>
        <v>HimaniC351</v>
      </c>
      <c r="C8582" s="8">
        <f>IFERROR(__xludf.DUMMYFUNCTION("""COMPUTED_VALUE"""),0.0)</f>
        <v>0</v>
      </c>
      <c r="D8582" s="8"/>
    </row>
    <row r="8583">
      <c r="A8583" s="9" t="str">
        <f>IFERROR(__xludf.DUMMYFUNCTION("""COMPUTED_VALUE"""),"Batch 351")</f>
        <v>Batch 351</v>
      </c>
      <c r="B8583" s="9" t="str">
        <f>IFERROR(__xludf.DUMMYFUNCTION("""COMPUTED_VALUE"""),"SurajC351")</f>
        <v>SurajC351</v>
      </c>
      <c r="C8583" s="8">
        <f>IFERROR(__xludf.DUMMYFUNCTION("""COMPUTED_VALUE"""),0.0)</f>
        <v>0</v>
      </c>
      <c r="D8583" s="8"/>
    </row>
    <row r="8584">
      <c r="A8584" s="9" t="str">
        <f>IFERROR(__xludf.DUMMYFUNCTION("""COMPUTED_VALUE"""),"Batch 351")</f>
        <v>Batch 351</v>
      </c>
      <c r="B8584" s="9" t="str">
        <f>IFERROR(__xludf.DUMMYFUNCTION("""COMPUTED_VALUE"""),"HimaniAC351")</f>
        <v>HimaniAC351</v>
      </c>
      <c r="C8584" s="8">
        <f>IFERROR(__xludf.DUMMYFUNCTION("""COMPUTED_VALUE"""),0.0)</f>
        <v>0</v>
      </c>
      <c r="D8584" s="8"/>
    </row>
    <row r="8585">
      <c r="A8585" s="9" t="str">
        <f>IFERROR(__xludf.DUMMYFUNCTION("""COMPUTED_VALUE"""),"Batch 351")</f>
        <v>Batch 351</v>
      </c>
      <c r="B8585" s="9" t="str">
        <f>IFERROR(__xludf.DUMMYFUNCTION("""COMPUTED_VALUE"""),"K.C351")</f>
        <v>K.C351</v>
      </c>
      <c r="C8585" s="8">
        <f>IFERROR(__xludf.DUMMYFUNCTION("""COMPUTED_VALUE"""),0.0)</f>
        <v>0</v>
      </c>
      <c r="D8585" s="8"/>
    </row>
    <row r="8586">
      <c r="A8586" s="9" t="str">
        <f>IFERROR(__xludf.DUMMYFUNCTION("""COMPUTED_VALUE"""),"Batch 351")</f>
        <v>Batch 351</v>
      </c>
      <c r="B8586" s="9" t="str">
        <f>IFERROR(__xludf.DUMMYFUNCTION("""COMPUTED_VALUE"""),"FaizanC351")</f>
        <v>FaizanC351</v>
      </c>
      <c r="C8586" s="8">
        <f>IFERROR(__xludf.DUMMYFUNCTION("""COMPUTED_VALUE"""),43.0)</f>
        <v>43</v>
      </c>
      <c r="D8586" s="8">
        <f>IFERROR(__xludf.DUMMYFUNCTION("""COMPUTED_VALUE"""),34.0)</f>
        <v>34</v>
      </c>
    </row>
    <row r="8587">
      <c r="A8587" s="9" t="str">
        <f>IFERROR(__xludf.DUMMYFUNCTION("""COMPUTED_VALUE"""),"Batch 351")</f>
        <v>Batch 351</v>
      </c>
      <c r="B8587" s="9" t="str">
        <f>IFERROR(__xludf.DUMMYFUNCTION("""COMPUTED_VALUE"""),"NyashaC351")</f>
        <v>NyashaC351</v>
      </c>
      <c r="C8587" s="8">
        <f>IFERROR(__xludf.DUMMYFUNCTION("""COMPUTED_VALUE"""),0.0)</f>
        <v>0</v>
      </c>
      <c r="D8587" s="8"/>
    </row>
    <row r="8588">
      <c r="A8588" s="9" t="str">
        <f>IFERROR(__xludf.DUMMYFUNCTION("""COMPUTED_VALUE"""),"Batch 351")</f>
        <v>Batch 351</v>
      </c>
      <c r="B8588" s="9" t="str">
        <f>IFERROR(__xludf.DUMMYFUNCTION("""COMPUTED_VALUE"""),"ShresthC351")</f>
        <v>ShresthC351</v>
      </c>
      <c r="C8588" s="8">
        <f>IFERROR(__xludf.DUMMYFUNCTION("""COMPUTED_VALUE"""),0.0)</f>
        <v>0</v>
      </c>
      <c r="D8588" s="8"/>
    </row>
    <row r="8589">
      <c r="A8589" s="9" t="str">
        <f>IFERROR(__xludf.DUMMYFUNCTION("""COMPUTED_VALUE"""),"Batch 351")</f>
        <v>Batch 351</v>
      </c>
      <c r="B8589" s="9" t="str">
        <f>IFERROR(__xludf.DUMMYFUNCTION("""COMPUTED_VALUE"""),"PriyanshiC351")</f>
        <v>PriyanshiC351</v>
      </c>
      <c r="C8589" s="8">
        <f>IFERROR(__xludf.DUMMYFUNCTION("""COMPUTED_VALUE"""),1.0)</f>
        <v>1</v>
      </c>
      <c r="D8589" s="8"/>
    </row>
    <row r="8590">
      <c r="A8590" s="9" t="str">
        <f>IFERROR(__xludf.DUMMYFUNCTION("""COMPUTED_VALUE"""),"Batch 351")</f>
        <v>Batch 351</v>
      </c>
      <c r="B8590" s="9" t="str">
        <f>IFERROR(__xludf.DUMMYFUNCTION("""COMPUTED_VALUE"""),"SoumyadeepC351")</f>
        <v>SoumyadeepC351</v>
      </c>
      <c r="C8590" s="8">
        <f>IFERROR(__xludf.DUMMYFUNCTION("""COMPUTED_VALUE"""),0.0)</f>
        <v>0</v>
      </c>
      <c r="D8590" s="8"/>
    </row>
    <row r="8591">
      <c r="A8591" s="9" t="str">
        <f>IFERROR(__xludf.DUMMYFUNCTION("""COMPUTED_VALUE"""),"Batch 351")</f>
        <v>Batch 351</v>
      </c>
      <c r="B8591" s="9" t="str">
        <f>IFERROR(__xludf.DUMMYFUNCTION("""COMPUTED_VALUE"""),"KhushiC351")</f>
        <v>KhushiC351</v>
      </c>
      <c r="C8591" s="8">
        <f>IFERROR(__xludf.DUMMYFUNCTION("""COMPUTED_VALUE"""),0.0)</f>
        <v>0</v>
      </c>
      <c r="D8591" s="8"/>
    </row>
    <row r="8592">
      <c r="A8592" s="9" t="str">
        <f>IFERROR(__xludf.DUMMYFUNCTION("""COMPUTED_VALUE"""),"Batch 351")</f>
        <v>Batch 351</v>
      </c>
      <c r="B8592" s="9" t="str">
        <f>IFERROR(__xludf.DUMMYFUNCTION("""COMPUTED_VALUE"""),"TanuC351")</f>
        <v>TanuC351</v>
      </c>
      <c r="C8592" s="8">
        <f>IFERROR(__xludf.DUMMYFUNCTION("""COMPUTED_VALUE"""),0.0)</f>
        <v>0</v>
      </c>
      <c r="D8592" s="8"/>
    </row>
    <row r="8593">
      <c r="A8593" s="9" t="str">
        <f>IFERROR(__xludf.DUMMYFUNCTION("""COMPUTED_VALUE"""),"Batch 351")</f>
        <v>Batch 351</v>
      </c>
      <c r="B8593" s="9" t="str">
        <f>IFERROR(__xludf.DUMMYFUNCTION("""COMPUTED_VALUE"""),"DoleswarrC351")</f>
        <v>DoleswarrC351</v>
      </c>
      <c r="C8593" s="8">
        <f>IFERROR(__xludf.DUMMYFUNCTION("""COMPUTED_VALUE"""),0.0)</f>
        <v>0</v>
      </c>
      <c r="D8593" s="8"/>
    </row>
    <row r="8594">
      <c r="A8594" s="9" t="str">
        <f>IFERROR(__xludf.DUMMYFUNCTION("""COMPUTED_VALUE"""),"Batch 351")</f>
        <v>Batch 351</v>
      </c>
      <c r="B8594" s="9" t="str">
        <f>IFERROR(__xludf.DUMMYFUNCTION("""COMPUTED_VALUE"""),"VanshikaC351")</f>
        <v>VanshikaC351</v>
      </c>
      <c r="C8594" s="8">
        <f>IFERROR(__xludf.DUMMYFUNCTION("""COMPUTED_VALUE"""),0.0)</f>
        <v>0</v>
      </c>
      <c r="D8594" s="8"/>
    </row>
    <row r="8595">
      <c r="A8595" s="9" t="str">
        <f>IFERROR(__xludf.DUMMYFUNCTION("""COMPUTED_VALUE"""),"Batch 351")</f>
        <v>Batch 351</v>
      </c>
      <c r="B8595" s="9" t="str">
        <f>IFERROR(__xludf.DUMMYFUNCTION("""COMPUTED_VALUE"""),"SamridhiC351")</f>
        <v>SamridhiC351</v>
      </c>
      <c r="C8595" s="8">
        <f>IFERROR(__xludf.DUMMYFUNCTION("""COMPUTED_VALUE"""),0.0)</f>
        <v>0</v>
      </c>
      <c r="D8595" s="8"/>
    </row>
    <row r="8596">
      <c r="A8596" s="9" t="str">
        <f>IFERROR(__xludf.DUMMYFUNCTION("""COMPUTED_VALUE"""),"Batch 351")</f>
        <v>Batch 351</v>
      </c>
      <c r="B8596" s="9" t="str">
        <f>IFERROR(__xludf.DUMMYFUNCTION("""COMPUTED_VALUE"""),"SanjanaC351")</f>
        <v>SanjanaC351</v>
      </c>
      <c r="C8596" s="8">
        <f>IFERROR(__xludf.DUMMYFUNCTION("""COMPUTED_VALUE"""),0.0)</f>
        <v>0</v>
      </c>
      <c r="D8596" s="8"/>
    </row>
    <row r="8597">
      <c r="A8597" s="9" t="str">
        <f>IFERROR(__xludf.DUMMYFUNCTION("""COMPUTED_VALUE"""),"Batch 351")</f>
        <v>Batch 351</v>
      </c>
      <c r="B8597" s="9" t="str">
        <f>IFERROR(__xludf.DUMMYFUNCTION("""COMPUTED_VALUE"""),"SaraC351")</f>
        <v>SaraC351</v>
      </c>
      <c r="C8597" s="8">
        <f>IFERROR(__xludf.DUMMYFUNCTION("""COMPUTED_VALUE"""),0.0)</f>
        <v>0</v>
      </c>
      <c r="D8597" s="8"/>
    </row>
    <row r="8598">
      <c r="A8598" s="9" t="str">
        <f>IFERROR(__xludf.DUMMYFUNCTION("""COMPUTED_VALUE"""),"Batch 351")</f>
        <v>Batch 351</v>
      </c>
      <c r="B8598" s="9" t="str">
        <f>IFERROR(__xludf.DUMMYFUNCTION("""COMPUTED_VALUE"""),"NavyaC351")</f>
        <v>NavyaC351</v>
      </c>
      <c r="C8598" s="8">
        <f>IFERROR(__xludf.DUMMYFUNCTION("""COMPUTED_VALUE"""),0.0)</f>
        <v>0</v>
      </c>
      <c r="D8598" s="8"/>
    </row>
    <row r="8599">
      <c r="A8599" s="9" t="str">
        <f>IFERROR(__xludf.DUMMYFUNCTION("""COMPUTED_VALUE"""),"Batch 351")</f>
        <v>Batch 351</v>
      </c>
      <c r="B8599" s="9" t="str">
        <f>IFERROR(__xludf.DUMMYFUNCTION("""COMPUTED_VALUE"""),"PranjalC351")</f>
        <v>PranjalC351</v>
      </c>
      <c r="C8599" s="8">
        <f>IFERROR(__xludf.DUMMYFUNCTION("""COMPUTED_VALUE"""),0.0)</f>
        <v>0</v>
      </c>
      <c r="D8599" s="8"/>
    </row>
    <row r="8600">
      <c r="A8600" s="9" t="str">
        <f>IFERROR(__xludf.DUMMYFUNCTION("""COMPUTED_VALUE"""),"Batch 351")</f>
        <v>Batch 351</v>
      </c>
      <c r="B8600" s="9" t="str">
        <f>IFERROR(__xludf.DUMMYFUNCTION("""COMPUTED_VALUE"""),"PranjalC351")</f>
        <v>PranjalC351</v>
      </c>
      <c r="C8600" s="8">
        <f>IFERROR(__xludf.DUMMYFUNCTION("""COMPUTED_VALUE"""),0.0)</f>
        <v>0</v>
      </c>
      <c r="D8600" s="8"/>
    </row>
    <row r="8601">
      <c r="A8601" s="9" t="str">
        <f>IFERROR(__xludf.DUMMYFUNCTION("""COMPUTED_VALUE"""),"Batch 351")</f>
        <v>Batch 351</v>
      </c>
      <c r="B8601" s="9" t="str">
        <f>IFERROR(__xludf.DUMMYFUNCTION("""COMPUTED_VALUE"""),"RachnaC351")</f>
        <v>RachnaC351</v>
      </c>
      <c r="C8601" s="8">
        <f>IFERROR(__xludf.DUMMYFUNCTION("""COMPUTED_VALUE"""),0.0)</f>
        <v>0</v>
      </c>
      <c r="D8601" s="8">
        <f>IFERROR(__xludf.DUMMYFUNCTION("""COMPUTED_VALUE"""),3.0)</f>
        <v>3</v>
      </c>
    </row>
    <row r="8602">
      <c r="A8602" s="9" t="str">
        <f>IFERROR(__xludf.DUMMYFUNCTION("""COMPUTED_VALUE"""),"Batch 351")</f>
        <v>Batch 351</v>
      </c>
      <c r="B8602" s="9" t="str">
        <f>IFERROR(__xludf.DUMMYFUNCTION("""COMPUTED_VALUE"""),"DikshaC351")</f>
        <v>DikshaC351</v>
      </c>
      <c r="C8602" s="8">
        <f>IFERROR(__xludf.DUMMYFUNCTION("""COMPUTED_VALUE"""),30.0)</f>
        <v>30</v>
      </c>
      <c r="D8602" s="8">
        <f>IFERROR(__xludf.DUMMYFUNCTION("""COMPUTED_VALUE"""),4.0)</f>
        <v>4</v>
      </c>
    </row>
    <row r="8603">
      <c r="A8603" s="9" t="str">
        <f>IFERROR(__xludf.DUMMYFUNCTION("""COMPUTED_VALUE"""),"Batch 351")</f>
        <v>Batch 351</v>
      </c>
      <c r="B8603" s="9" t="str">
        <f>IFERROR(__xludf.DUMMYFUNCTION("""COMPUTED_VALUE"""),"MahipalC351")</f>
        <v>MahipalC351</v>
      </c>
      <c r="C8603" s="8">
        <f>IFERROR(__xludf.DUMMYFUNCTION("""COMPUTED_VALUE"""),0.0)</f>
        <v>0</v>
      </c>
      <c r="D8603" s="8"/>
    </row>
    <row r="8604">
      <c r="A8604" s="9" t="str">
        <f>IFERROR(__xludf.DUMMYFUNCTION("""COMPUTED_VALUE"""),"Batch 351")</f>
        <v>Batch 351</v>
      </c>
      <c r="B8604" s="9" t="str">
        <f>IFERROR(__xludf.DUMMYFUNCTION("""COMPUTED_VALUE"""),"SREEC351")</f>
        <v>SREEC351</v>
      </c>
      <c r="C8604" s="8">
        <f>IFERROR(__xludf.DUMMYFUNCTION("""COMPUTED_VALUE"""),0.0)</f>
        <v>0</v>
      </c>
      <c r="D8604" s="8"/>
    </row>
    <row r="8605">
      <c r="A8605" s="9" t="str">
        <f>IFERROR(__xludf.DUMMYFUNCTION("""COMPUTED_VALUE"""),"Batch 351")</f>
        <v>Batch 351</v>
      </c>
      <c r="B8605" s="9" t="str">
        <f>IFERROR(__xludf.DUMMYFUNCTION("""COMPUTED_VALUE"""),"RahulC351")</f>
        <v>RahulC351</v>
      </c>
      <c r="C8605" s="8">
        <f>IFERROR(__xludf.DUMMYFUNCTION("""COMPUTED_VALUE"""),0.0)</f>
        <v>0</v>
      </c>
      <c r="D8605" s="8"/>
    </row>
    <row r="8606">
      <c r="A8606" s="9" t="str">
        <f>IFERROR(__xludf.DUMMYFUNCTION("""COMPUTED_VALUE"""),"Batch 351")</f>
        <v>Batch 351</v>
      </c>
      <c r="B8606" s="9" t="str">
        <f>IFERROR(__xludf.DUMMYFUNCTION("""COMPUTED_VALUE"""),"AnshC351")</f>
        <v>AnshC351</v>
      </c>
      <c r="C8606" s="8">
        <f>IFERROR(__xludf.DUMMYFUNCTION("""COMPUTED_VALUE"""),0.0)</f>
        <v>0</v>
      </c>
      <c r="D8606" s="8"/>
    </row>
    <row r="8607">
      <c r="A8607" s="9" t="str">
        <f>IFERROR(__xludf.DUMMYFUNCTION("""COMPUTED_VALUE"""),"Batch 351")</f>
        <v>Batch 351</v>
      </c>
      <c r="B8607" s="9" t="str">
        <f>IFERROR(__xludf.DUMMYFUNCTION("""COMPUTED_VALUE"""),"ArpitaC351")</f>
        <v>ArpitaC351</v>
      </c>
      <c r="C8607" s="8">
        <f>IFERROR(__xludf.DUMMYFUNCTION("""COMPUTED_VALUE"""),0.0)</f>
        <v>0</v>
      </c>
      <c r="D8607" s="8"/>
    </row>
    <row r="8608">
      <c r="A8608" s="9" t="str">
        <f>IFERROR(__xludf.DUMMYFUNCTION("""COMPUTED_VALUE"""),"Batch 351")</f>
        <v>Batch 351</v>
      </c>
      <c r="B8608" s="9" t="str">
        <f>IFERROR(__xludf.DUMMYFUNCTION("""COMPUTED_VALUE"""),"NitinC351")</f>
        <v>NitinC351</v>
      </c>
      <c r="C8608" s="8">
        <f>IFERROR(__xludf.DUMMYFUNCTION("""COMPUTED_VALUE"""),88.0)</f>
        <v>88</v>
      </c>
      <c r="D8608" s="8">
        <f>IFERROR(__xludf.DUMMYFUNCTION("""COMPUTED_VALUE"""),33.0)</f>
        <v>33</v>
      </c>
    </row>
    <row r="8609">
      <c r="A8609" s="9" t="str">
        <f>IFERROR(__xludf.DUMMYFUNCTION("""COMPUTED_VALUE"""),"Batch 351")</f>
        <v>Batch 351</v>
      </c>
      <c r="B8609" s="9" t="str">
        <f>IFERROR(__xludf.DUMMYFUNCTION("""COMPUTED_VALUE"""),"NupurC351")</f>
        <v>NupurC351</v>
      </c>
      <c r="C8609" s="8">
        <f>IFERROR(__xludf.DUMMYFUNCTION("""COMPUTED_VALUE"""),0.0)</f>
        <v>0</v>
      </c>
      <c r="D8609" s="8"/>
    </row>
    <row r="8610">
      <c r="A8610" s="9" t="str">
        <f>IFERROR(__xludf.DUMMYFUNCTION("""COMPUTED_VALUE"""),"Batch 351")</f>
        <v>Batch 351</v>
      </c>
      <c r="B8610" s="9" t="str">
        <f>IFERROR(__xludf.DUMMYFUNCTION("""COMPUTED_VALUE"""),"MimikaC351")</f>
        <v>MimikaC351</v>
      </c>
      <c r="C8610" s="8">
        <f>IFERROR(__xludf.DUMMYFUNCTION("""COMPUTED_VALUE"""),0.0)</f>
        <v>0</v>
      </c>
      <c r="D8610" s="8"/>
    </row>
    <row r="8611">
      <c r="A8611" s="9" t="str">
        <f>IFERROR(__xludf.DUMMYFUNCTION("""COMPUTED_VALUE"""),"Batch 351")</f>
        <v>Batch 351</v>
      </c>
      <c r="B8611" s="9" t="str">
        <f>IFERROR(__xludf.DUMMYFUNCTION("""COMPUTED_VALUE"""),"SrishtiC351")</f>
        <v>SrishtiC351</v>
      </c>
      <c r="C8611" s="8">
        <f>IFERROR(__xludf.DUMMYFUNCTION("""COMPUTED_VALUE"""),103.0)</f>
        <v>103</v>
      </c>
      <c r="D8611" s="8">
        <f>IFERROR(__xludf.DUMMYFUNCTION("""COMPUTED_VALUE"""),18.0)</f>
        <v>18</v>
      </c>
    </row>
    <row r="8612">
      <c r="A8612" s="9" t="str">
        <f>IFERROR(__xludf.DUMMYFUNCTION("""COMPUTED_VALUE"""),"Batch 351")</f>
        <v>Batch 351</v>
      </c>
      <c r="B8612" s="9" t="str">
        <f>IFERROR(__xludf.DUMMYFUNCTION("""COMPUTED_VALUE"""),"BhumikaC351")</f>
        <v>BhumikaC351</v>
      </c>
      <c r="C8612" s="8">
        <f>IFERROR(__xludf.DUMMYFUNCTION("""COMPUTED_VALUE"""),0.0)</f>
        <v>0</v>
      </c>
      <c r="D8612" s="8"/>
    </row>
    <row r="8613">
      <c r="A8613" s="9" t="str">
        <f>IFERROR(__xludf.DUMMYFUNCTION("""COMPUTED_VALUE"""),"Batch 351")</f>
        <v>Batch 351</v>
      </c>
      <c r="B8613" s="9" t="str">
        <f>IFERROR(__xludf.DUMMYFUNCTION("""COMPUTED_VALUE"""),"sumanC351")</f>
        <v>sumanC351</v>
      </c>
      <c r="C8613" s="8">
        <f>IFERROR(__xludf.DUMMYFUNCTION("""COMPUTED_VALUE"""),0.0)</f>
        <v>0</v>
      </c>
      <c r="D8613" s="8"/>
    </row>
    <row r="8614">
      <c r="A8614" s="9" t="str">
        <f>IFERROR(__xludf.DUMMYFUNCTION("""COMPUTED_VALUE"""),"Batch 351")</f>
        <v>Batch 351</v>
      </c>
      <c r="B8614" s="9" t="str">
        <f>IFERROR(__xludf.DUMMYFUNCTION("""COMPUTED_VALUE"""),"N.SujanC351")</f>
        <v>N.SujanC351</v>
      </c>
      <c r="C8614" s="8">
        <f>IFERROR(__xludf.DUMMYFUNCTION("""COMPUTED_VALUE"""),0.0)</f>
        <v>0</v>
      </c>
      <c r="D8614" s="8"/>
    </row>
    <row r="8615">
      <c r="A8615" s="9" t="str">
        <f>IFERROR(__xludf.DUMMYFUNCTION("""COMPUTED_VALUE"""),"Batch 351")</f>
        <v>Batch 351</v>
      </c>
      <c r="B8615" s="9" t="str">
        <f>IFERROR(__xludf.DUMMYFUNCTION("""COMPUTED_VALUE"""),"DivyaC351")</f>
        <v>DivyaC351</v>
      </c>
      <c r="C8615" s="8">
        <f>IFERROR(__xludf.DUMMYFUNCTION("""COMPUTED_VALUE"""),0.0)</f>
        <v>0</v>
      </c>
      <c r="D8615" s="8"/>
    </row>
    <row r="8616">
      <c r="A8616" s="9" t="str">
        <f>IFERROR(__xludf.DUMMYFUNCTION("""COMPUTED_VALUE"""),"Batch 351")</f>
        <v>Batch 351</v>
      </c>
      <c r="B8616" s="9" t="str">
        <f>IFERROR(__xludf.DUMMYFUNCTION("""COMPUTED_VALUE"""),"ShraddhaC351")</f>
        <v>ShraddhaC351</v>
      </c>
      <c r="C8616" s="8">
        <f>IFERROR(__xludf.DUMMYFUNCTION("""COMPUTED_VALUE"""),0.0)</f>
        <v>0</v>
      </c>
      <c r="D8616" s="8"/>
    </row>
    <row r="8617">
      <c r="A8617" s="9" t="str">
        <f>IFERROR(__xludf.DUMMYFUNCTION("""COMPUTED_VALUE"""),"Batch 351")</f>
        <v>Batch 351</v>
      </c>
      <c r="B8617" s="9" t="str">
        <f>IFERROR(__xludf.DUMMYFUNCTION("""COMPUTED_VALUE"""),"DiksharC351")</f>
        <v>DiksharC351</v>
      </c>
      <c r="C8617" s="8">
        <f>IFERROR(__xludf.DUMMYFUNCTION("""COMPUTED_VALUE"""),0.0)</f>
        <v>0</v>
      </c>
      <c r="D8617" s="8"/>
    </row>
    <row r="8618">
      <c r="A8618" s="9" t="str">
        <f>IFERROR(__xludf.DUMMYFUNCTION("""COMPUTED_VALUE"""),"Batch 351")</f>
        <v>Batch 351</v>
      </c>
      <c r="B8618" s="9" t="str">
        <f>IFERROR(__xludf.DUMMYFUNCTION("""COMPUTED_VALUE"""),"AyushmanC351")</f>
        <v>AyushmanC351</v>
      </c>
      <c r="C8618" s="8">
        <f>IFERROR(__xludf.DUMMYFUNCTION("""COMPUTED_VALUE"""),0.0)</f>
        <v>0</v>
      </c>
      <c r="D8618" s="8"/>
    </row>
    <row r="8619">
      <c r="A8619" s="9" t="str">
        <f>IFERROR(__xludf.DUMMYFUNCTION("""COMPUTED_VALUE"""),"Batch 351")</f>
        <v>Batch 351</v>
      </c>
      <c r="B8619" s="9" t="str">
        <f>IFERROR(__xludf.DUMMYFUNCTION("""COMPUTED_VALUE"""),"KhushiC351")</f>
        <v>KhushiC351</v>
      </c>
      <c r="C8619" s="8">
        <f>IFERROR(__xludf.DUMMYFUNCTION("""COMPUTED_VALUE"""),0.0)</f>
        <v>0</v>
      </c>
      <c r="D8619" s="8"/>
    </row>
    <row r="8620">
      <c r="A8620" s="9" t="str">
        <f>IFERROR(__xludf.DUMMYFUNCTION("""COMPUTED_VALUE"""),"Batch 351")</f>
        <v>Batch 351</v>
      </c>
      <c r="B8620" s="9" t="str">
        <f>IFERROR(__xludf.DUMMYFUNCTION("""COMPUTED_VALUE"""),"RitikaC351")</f>
        <v>RitikaC351</v>
      </c>
      <c r="C8620" s="8">
        <f>IFERROR(__xludf.DUMMYFUNCTION("""COMPUTED_VALUE"""),0.0)</f>
        <v>0</v>
      </c>
      <c r="D8620" s="8"/>
    </row>
    <row r="8621">
      <c r="A8621" s="9" t="str">
        <f>IFERROR(__xludf.DUMMYFUNCTION("""COMPUTED_VALUE"""),"Batch 351")</f>
        <v>Batch 351</v>
      </c>
      <c r="B8621" s="9" t="str">
        <f>IFERROR(__xludf.DUMMYFUNCTION("""COMPUTED_VALUE"""),"RishikaJC351")</f>
        <v>RishikaJC351</v>
      </c>
      <c r="C8621" s="8">
        <f>IFERROR(__xludf.DUMMYFUNCTION("""COMPUTED_VALUE"""),0.0)</f>
        <v>0</v>
      </c>
      <c r="D8621" s="8"/>
    </row>
    <row r="8622">
      <c r="A8622" s="9" t="str">
        <f>IFERROR(__xludf.DUMMYFUNCTION("""COMPUTED_VALUE"""),"Batch 351")</f>
        <v>Batch 351</v>
      </c>
      <c r="B8622" s="9" t="str">
        <f>IFERROR(__xludf.DUMMYFUNCTION("""COMPUTED_VALUE"""),"AnamikaC351")</f>
        <v>AnamikaC351</v>
      </c>
      <c r="C8622" s="8">
        <f>IFERROR(__xludf.DUMMYFUNCTION("""COMPUTED_VALUE"""),0.0)</f>
        <v>0</v>
      </c>
      <c r="D8622" s="8"/>
    </row>
    <row r="8623">
      <c r="A8623" s="9" t="str">
        <f>IFERROR(__xludf.DUMMYFUNCTION("""COMPUTED_VALUE"""),"Batch 351")</f>
        <v>Batch 351</v>
      </c>
      <c r="B8623" s="9" t="str">
        <f>IFERROR(__xludf.DUMMYFUNCTION("""COMPUTED_VALUE"""),"JiyaC351")</f>
        <v>JiyaC351</v>
      </c>
      <c r="C8623" s="8">
        <f>IFERROR(__xludf.DUMMYFUNCTION("""COMPUTED_VALUE"""),0.0)</f>
        <v>0</v>
      </c>
      <c r="D8623" s="8"/>
    </row>
    <row r="8624">
      <c r="A8624" s="9" t="str">
        <f>IFERROR(__xludf.DUMMYFUNCTION("""COMPUTED_VALUE"""),"Batch 351")</f>
        <v>Batch 351</v>
      </c>
      <c r="B8624" s="9" t="str">
        <f>IFERROR(__xludf.DUMMYFUNCTION("""COMPUTED_VALUE"""),"HarshalC351")</f>
        <v>HarshalC351</v>
      </c>
      <c r="C8624" s="8">
        <f>IFERROR(__xludf.DUMMYFUNCTION("""COMPUTED_VALUE"""),0.0)</f>
        <v>0</v>
      </c>
      <c r="D8624" s="8"/>
    </row>
    <row r="8625">
      <c r="A8625" s="9" t="str">
        <f>IFERROR(__xludf.DUMMYFUNCTION("""COMPUTED_VALUE"""),"Batch 351")</f>
        <v>Batch 351</v>
      </c>
      <c r="B8625" s="9" t="str">
        <f>IFERROR(__xludf.DUMMYFUNCTION("""COMPUTED_VALUE"""),"TavleenC351")</f>
        <v>TavleenC351</v>
      </c>
      <c r="C8625" s="8">
        <f>IFERROR(__xludf.DUMMYFUNCTION("""COMPUTED_VALUE"""),0.0)</f>
        <v>0</v>
      </c>
      <c r="D8625" s="8"/>
    </row>
    <row r="8626">
      <c r="A8626" s="9" t="str">
        <f>IFERROR(__xludf.DUMMYFUNCTION("""COMPUTED_VALUE"""),"Batch 351")</f>
        <v>Batch 351</v>
      </c>
      <c r="B8626" s="9" t="str">
        <f>IFERROR(__xludf.DUMMYFUNCTION("""COMPUTED_VALUE"""),"NavneetC351")</f>
        <v>NavneetC351</v>
      </c>
      <c r="C8626" s="8">
        <f>IFERROR(__xludf.DUMMYFUNCTION("""COMPUTED_VALUE"""),0.0)</f>
        <v>0</v>
      </c>
      <c r="D8626" s="8"/>
    </row>
    <row r="8627">
      <c r="A8627" s="9" t="str">
        <f>IFERROR(__xludf.DUMMYFUNCTION("""COMPUTED_VALUE"""),"Batch 351")</f>
        <v>Batch 351</v>
      </c>
      <c r="B8627" s="9" t="str">
        <f>IFERROR(__xludf.DUMMYFUNCTION("""COMPUTED_VALUE"""),"IshitaC351")</f>
        <v>IshitaC351</v>
      </c>
      <c r="C8627" s="8">
        <f>IFERROR(__xludf.DUMMYFUNCTION("""COMPUTED_VALUE"""),0.0)</f>
        <v>0</v>
      </c>
      <c r="D8627" s="8"/>
    </row>
    <row r="8628">
      <c r="A8628" s="9" t="str">
        <f>IFERROR(__xludf.DUMMYFUNCTION("""COMPUTED_VALUE"""),"Batch 351")</f>
        <v>Batch 351</v>
      </c>
      <c r="B8628" s="9" t="str">
        <f>IFERROR(__xludf.DUMMYFUNCTION("""COMPUTED_VALUE"""),"ShreyaC351")</f>
        <v>ShreyaC351</v>
      </c>
      <c r="C8628" s="8">
        <f>IFERROR(__xludf.DUMMYFUNCTION("""COMPUTED_VALUE"""),0.0)</f>
        <v>0</v>
      </c>
      <c r="D8628" s="8"/>
    </row>
    <row r="8629">
      <c r="A8629" s="9" t="str">
        <f>IFERROR(__xludf.DUMMYFUNCTION("""COMPUTED_VALUE"""),"Batch 351")</f>
        <v>Batch 351</v>
      </c>
      <c r="B8629" s="9" t="str">
        <f>IFERROR(__xludf.DUMMYFUNCTION("""COMPUTED_VALUE"""),"RupanshiC351")</f>
        <v>RupanshiC351</v>
      </c>
      <c r="C8629" s="8">
        <f>IFERROR(__xludf.DUMMYFUNCTION("""COMPUTED_VALUE"""),0.0)</f>
        <v>0</v>
      </c>
      <c r="D8629" s="8"/>
    </row>
    <row r="8630">
      <c r="A8630" s="9" t="str">
        <f>IFERROR(__xludf.DUMMYFUNCTION("""COMPUTED_VALUE"""),"Batch 351")</f>
        <v>Batch 351</v>
      </c>
      <c r="B8630" s="9" t="str">
        <f>IFERROR(__xludf.DUMMYFUNCTION("""COMPUTED_VALUE"""),"AnishC351")</f>
        <v>AnishC351</v>
      </c>
      <c r="C8630" s="8">
        <f>IFERROR(__xludf.DUMMYFUNCTION("""COMPUTED_VALUE"""),0.0)</f>
        <v>0</v>
      </c>
      <c r="D8630" s="8"/>
    </row>
    <row r="8631">
      <c r="A8631" s="9" t="str">
        <f>IFERROR(__xludf.DUMMYFUNCTION("""COMPUTED_VALUE"""),"Batch 351")</f>
        <v>Batch 351</v>
      </c>
      <c r="B8631" s="9" t="str">
        <f>IFERROR(__xludf.DUMMYFUNCTION("""COMPUTED_VALUE"""),"AnishkaC351")</f>
        <v>AnishkaC351</v>
      </c>
      <c r="C8631" s="8">
        <f>IFERROR(__xludf.DUMMYFUNCTION("""COMPUTED_VALUE"""),0.0)</f>
        <v>0</v>
      </c>
      <c r="D8631" s="8"/>
    </row>
    <row r="8632">
      <c r="A8632" s="9" t="str">
        <f>IFERROR(__xludf.DUMMYFUNCTION("""COMPUTED_VALUE"""),"Batch 351")</f>
        <v>Batch 351</v>
      </c>
      <c r="B8632" s="9" t="str">
        <f>IFERROR(__xludf.DUMMYFUNCTION("""COMPUTED_VALUE"""),"MdC351")</f>
        <v>MdC351</v>
      </c>
      <c r="C8632" s="8">
        <f>IFERROR(__xludf.DUMMYFUNCTION("""COMPUTED_VALUE"""),2.0)</f>
        <v>2</v>
      </c>
      <c r="D8632" s="8"/>
    </row>
    <row r="8633">
      <c r="A8633" s="9" t="str">
        <f>IFERROR(__xludf.DUMMYFUNCTION("""COMPUTED_VALUE"""),"Batch 351")</f>
        <v>Batch 351</v>
      </c>
      <c r="B8633" s="9" t="str">
        <f>IFERROR(__xludf.DUMMYFUNCTION("""COMPUTED_VALUE"""),"ChetanaC351")</f>
        <v>ChetanaC351</v>
      </c>
      <c r="C8633" s="8">
        <f>IFERROR(__xludf.DUMMYFUNCTION("""COMPUTED_VALUE"""),0.0)</f>
        <v>0</v>
      </c>
      <c r="D8633" s="8"/>
    </row>
    <row r="8634">
      <c r="A8634" s="9" t="str">
        <f>IFERROR(__xludf.DUMMYFUNCTION("""COMPUTED_VALUE"""),"Batch 351")</f>
        <v>Batch 351</v>
      </c>
      <c r="B8634" s="9" t="str">
        <f>IFERROR(__xludf.DUMMYFUNCTION("""COMPUTED_VALUE"""),"AditiC351")</f>
        <v>AditiC351</v>
      </c>
      <c r="C8634" s="8">
        <f>IFERROR(__xludf.DUMMYFUNCTION("""COMPUTED_VALUE"""),1.0)</f>
        <v>1</v>
      </c>
      <c r="D8634" s="8"/>
    </row>
    <row r="8635">
      <c r="A8635" s="9" t="str">
        <f>IFERROR(__xludf.DUMMYFUNCTION("""COMPUTED_VALUE"""),"Batch 351")</f>
        <v>Batch 351</v>
      </c>
      <c r="B8635" s="9" t="str">
        <f>IFERROR(__xludf.DUMMYFUNCTION("""COMPUTED_VALUE"""),"KhushiJC351")</f>
        <v>KhushiJC351</v>
      </c>
      <c r="C8635" s="8">
        <f>IFERROR(__xludf.DUMMYFUNCTION("""COMPUTED_VALUE"""),0.0)</f>
        <v>0</v>
      </c>
      <c r="D8635" s="8"/>
    </row>
    <row r="8636">
      <c r="A8636" s="9" t="str">
        <f>IFERROR(__xludf.DUMMYFUNCTION("""COMPUTED_VALUE"""),"Batch 351")</f>
        <v>Batch 351</v>
      </c>
      <c r="B8636" s="9" t="str">
        <f>IFERROR(__xludf.DUMMYFUNCTION("""COMPUTED_VALUE"""),"MeetC351")</f>
        <v>MeetC351</v>
      </c>
      <c r="C8636" s="8">
        <f>IFERROR(__xludf.DUMMYFUNCTION("""COMPUTED_VALUE"""),6.0)</f>
        <v>6</v>
      </c>
      <c r="D8636" s="8">
        <f>IFERROR(__xludf.DUMMYFUNCTION("""COMPUTED_VALUE"""),7.0)</f>
        <v>7</v>
      </c>
    </row>
    <row r="8637">
      <c r="A8637" s="9" t="str">
        <f>IFERROR(__xludf.DUMMYFUNCTION("""COMPUTED_VALUE"""),"Batch 351")</f>
        <v>Batch 351</v>
      </c>
      <c r="B8637" s="9" t="str">
        <f>IFERROR(__xludf.DUMMYFUNCTION("""COMPUTED_VALUE"""),"YashC351")</f>
        <v>YashC351</v>
      </c>
      <c r="C8637" s="8">
        <f>IFERROR(__xludf.DUMMYFUNCTION("""COMPUTED_VALUE"""),0.0)</f>
        <v>0</v>
      </c>
      <c r="D8637" s="8"/>
    </row>
    <row r="8638">
      <c r="A8638" s="9" t="str">
        <f>IFERROR(__xludf.DUMMYFUNCTION("""COMPUTED_VALUE"""),"Batch 351")</f>
        <v>Batch 351</v>
      </c>
      <c r="B8638" s="9" t="str">
        <f>IFERROR(__xludf.DUMMYFUNCTION("""COMPUTED_VALUE"""),"ManasviC351")</f>
        <v>ManasviC351</v>
      </c>
      <c r="C8638" s="8">
        <f>IFERROR(__xludf.DUMMYFUNCTION("""COMPUTED_VALUE"""),0.0)</f>
        <v>0</v>
      </c>
      <c r="D8638" s="8"/>
    </row>
    <row r="8639">
      <c r="A8639" s="9" t="str">
        <f>IFERROR(__xludf.DUMMYFUNCTION("""COMPUTED_VALUE"""),"Batch 351")</f>
        <v>Batch 351</v>
      </c>
      <c r="B8639" s="9" t="str">
        <f>IFERROR(__xludf.DUMMYFUNCTION("""COMPUTED_VALUE"""),"ManyaC351")</f>
        <v>ManyaC351</v>
      </c>
      <c r="C8639" s="8">
        <f>IFERROR(__xludf.DUMMYFUNCTION("""COMPUTED_VALUE"""),0.0)</f>
        <v>0</v>
      </c>
      <c r="D8639" s="8"/>
    </row>
    <row r="8640">
      <c r="A8640" s="9"/>
      <c r="B8640" s="9"/>
      <c r="C8640" s="8">
        <f>IFERROR(__xludf.DUMMYFUNCTION("""COMPUTED_VALUE"""),0.0)</f>
        <v>0</v>
      </c>
      <c r="D8640" s="8"/>
    </row>
    <row r="8641">
      <c r="A8641" s="9" t="str">
        <f>IFERROR(__xludf.DUMMYFUNCTION("""COMPUTED_VALUE"""),"Batch 352")</f>
        <v>Batch 352</v>
      </c>
      <c r="B8641" s="9" t="str">
        <f>IFERROR(__xludf.DUMMYFUNCTION("""COMPUTED_VALUE"""),"DeepmalaC352")</f>
        <v>DeepmalaC352</v>
      </c>
      <c r="C8641" s="8">
        <f>IFERROR(__xludf.DUMMYFUNCTION("""COMPUTED_VALUE"""),0.0)</f>
        <v>0</v>
      </c>
      <c r="D8641" s="8"/>
    </row>
    <row r="8642">
      <c r="A8642" s="9" t="str">
        <f>IFERROR(__xludf.DUMMYFUNCTION("""COMPUTED_VALUE"""),"Batch 352")</f>
        <v>Batch 352</v>
      </c>
      <c r="B8642" s="9" t="str">
        <f>IFERROR(__xludf.DUMMYFUNCTION("""COMPUTED_VALUE"""),"AnkitaC352")</f>
        <v>AnkitaC352</v>
      </c>
      <c r="C8642" s="8">
        <f>IFERROR(__xludf.DUMMYFUNCTION("""COMPUTED_VALUE"""),1.0)</f>
        <v>1</v>
      </c>
      <c r="D8642" s="8">
        <f>IFERROR(__xludf.DUMMYFUNCTION("""COMPUTED_VALUE"""),5.0)</f>
        <v>5</v>
      </c>
    </row>
    <row r="8643">
      <c r="A8643" s="9" t="str">
        <f>IFERROR(__xludf.DUMMYFUNCTION("""COMPUTED_VALUE"""),"Batch 352")</f>
        <v>Batch 352</v>
      </c>
      <c r="B8643" s="9" t="str">
        <f>IFERROR(__xludf.DUMMYFUNCTION("""COMPUTED_VALUE"""),"NyashaC352")</f>
        <v>NyashaC352</v>
      </c>
      <c r="C8643" s="8">
        <f>IFERROR(__xludf.DUMMYFUNCTION("""COMPUTED_VALUE"""),0.0)</f>
        <v>0</v>
      </c>
      <c r="D8643" s="8"/>
    </row>
    <row r="8644">
      <c r="A8644" s="9" t="str">
        <f>IFERROR(__xludf.DUMMYFUNCTION("""COMPUTED_VALUE"""),"Batch 352")</f>
        <v>Batch 352</v>
      </c>
      <c r="B8644" s="9" t="str">
        <f>IFERROR(__xludf.DUMMYFUNCTION("""COMPUTED_VALUE"""),"PratibhaC352")</f>
        <v>PratibhaC352</v>
      </c>
      <c r="C8644" s="8">
        <f>IFERROR(__xludf.DUMMYFUNCTION("""COMPUTED_VALUE"""),0.0)</f>
        <v>0</v>
      </c>
      <c r="D8644" s="8"/>
    </row>
    <row r="8645">
      <c r="A8645" s="9" t="str">
        <f>IFERROR(__xludf.DUMMYFUNCTION("""COMPUTED_VALUE"""),"Batch 352")</f>
        <v>Batch 352</v>
      </c>
      <c r="B8645" s="9" t="str">
        <f>IFERROR(__xludf.DUMMYFUNCTION("""COMPUTED_VALUE"""),"HarshitaC352")</f>
        <v>HarshitaC352</v>
      </c>
      <c r="C8645" s="8">
        <f>IFERROR(__xludf.DUMMYFUNCTION("""COMPUTED_VALUE"""),0.0)</f>
        <v>0</v>
      </c>
      <c r="D8645" s="8"/>
    </row>
    <row r="8646">
      <c r="A8646" s="9" t="str">
        <f>IFERROR(__xludf.DUMMYFUNCTION("""COMPUTED_VALUE"""),"Batch 352")</f>
        <v>Batch 352</v>
      </c>
      <c r="B8646" s="9" t="str">
        <f>IFERROR(__xludf.DUMMYFUNCTION("""COMPUTED_VALUE"""),"PriyaC352")</f>
        <v>PriyaC352</v>
      </c>
      <c r="C8646" s="8">
        <f>IFERROR(__xludf.DUMMYFUNCTION("""COMPUTED_VALUE"""),0.0)</f>
        <v>0</v>
      </c>
      <c r="D8646" s="8"/>
    </row>
    <row r="8647">
      <c r="A8647" s="9" t="str">
        <f>IFERROR(__xludf.DUMMYFUNCTION("""COMPUTED_VALUE"""),"Batch 352")</f>
        <v>Batch 352</v>
      </c>
      <c r="B8647" s="9" t="str">
        <f>IFERROR(__xludf.DUMMYFUNCTION("""COMPUTED_VALUE"""),"BrazalC352")</f>
        <v>BrazalC352</v>
      </c>
      <c r="C8647" s="8">
        <f>IFERROR(__xludf.DUMMYFUNCTION("""COMPUTED_VALUE"""),0.0)</f>
        <v>0</v>
      </c>
      <c r="D8647" s="8"/>
    </row>
    <row r="8648">
      <c r="A8648" s="9" t="str">
        <f>IFERROR(__xludf.DUMMYFUNCTION("""COMPUTED_VALUE"""),"Batch 352")</f>
        <v>Batch 352</v>
      </c>
      <c r="B8648" s="9" t="str">
        <f>IFERROR(__xludf.DUMMYFUNCTION("""COMPUTED_VALUE"""),"AyushiC352")</f>
        <v>AyushiC352</v>
      </c>
      <c r="C8648" s="8">
        <f>IFERROR(__xludf.DUMMYFUNCTION("""COMPUTED_VALUE"""),0.0)</f>
        <v>0</v>
      </c>
      <c r="D8648" s="8"/>
    </row>
    <row r="8649">
      <c r="A8649" s="9" t="str">
        <f>IFERROR(__xludf.DUMMYFUNCTION("""COMPUTED_VALUE"""),"Batch 352")</f>
        <v>Batch 352</v>
      </c>
      <c r="B8649" s="9" t="str">
        <f>IFERROR(__xludf.DUMMYFUNCTION("""COMPUTED_VALUE"""),"SaatvikC352")</f>
        <v>SaatvikC352</v>
      </c>
      <c r="C8649" s="8">
        <f>IFERROR(__xludf.DUMMYFUNCTION("""COMPUTED_VALUE"""),0.0)</f>
        <v>0</v>
      </c>
      <c r="D8649" s="8"/>
    </row>
    <row r="8650">
      <c r="A8650" s="9" t="str">
        <f>IFERROR(__xludf.DUMMYFUNCTION("""COMPUTED_VALUE"""),"Batch 352")</f>
        <v>Batch 352</v>
      </c>
      <c r="B8650" s="9" t="str">
        <f>IFERROR(__xludf.DUMMYFUNCTION("""COMPUTED_VALUE"""),"AC352")</f>
        <v>AC352</v>
      </c>
      <c r="C8650" s="8">
        <f>IFERROR(__xludf.DUMMYFUNCTION("""COMPUTED_VALUE"""),0.0)</f>
        <v>0</v>
      </c>
      <c r="D8650" s="8"/>
    </row>
    <row r="8651">
      <c r="A8651" s="9" t="str">
        <f>IFERROR(__xludf.DUMMYFUNCTION("""COMPUTED_VALUE"""),"Batch 352")</f>
        <v>Batch 352</v>
      </c>
      <c r="B8651" s="9" t="str">
        <f>IFERROR(__xludf.DUMMYFUNCTION("""COMPUTED_VALUE"""),"DrishtiC352")</f>
        <v>DrishtiC352</v>
      </c>
      <c r="C8651" s="8">
        <f>IFERROR(__xludf.DUMMYFUNCTION("""COMPUTED_VALUE"""),0.0)</f>
        <v>0</v>
      </c>
      <c r="D8651" s="8"/>
    </row>
    <row r="8652">
      <c r="A8652" s="9" t="str">
        <f>IFERROR(__xludf.DUMMYFUNCTION("""COMPUTED_VALUE"""),"Batch 352")</f>
        <v>Batch 352</v>
      </c>
      <c r="B8652" s="9" t="str">
        <f>IFERROR(__xludf.DUMMYFUNCTION("""COMPUTED_VALUE"""),"AryanC352")</f>
        <v>AryanC352</v>
      </c>
      <c r="C8652" s="8">
        <f>IFERROR(__xludf.DUMMYFUNCTION("""COMPUTED_VALUE"""),0.0)</f>
        <v>0</v>
      </c>
      <c r="D8652" s="8"/>
    </row>
    <row r="8653">
      <c r="A8653" s="9" t="str">
        <f>IFERROR(__xludf.DUMMYFUNCTION("""COMPUTED_VALUE"""),"Batch 352")</f>
        <v>Batch 352</v>
      </c>
      <c r="B8653" s="9" t="str">
        <f>IFERROR(__xludf.DUMMYFUNCTION("""COMPUTED_VALUE"""),"RakhiC352")</f>
        <v>RakhiC352</v>
      </c>
      <c r="C8653" s="8">
        <f>IFERROR(__xludf.DUMMYFUNCTION("""COMPUTED_VALUE"""),0.0)</f>
        <v>0</v>
      </c>
      <c r="D8653" s="8"/>
    </row>
    <row r="8654">
      <c r="A8654" s="9" t="str">
        <f>IFERROR(__xludf.DUMMYFUNCTION("""COMPUTED_VALUE"""),"Batch 352")</f>
        <v>Batch 352</v>
      </c>
      <c r="B8654" s="9" t="str">
        <f>IFERROR(__xludf.DUMMYFUNCTION("""COMPUTED_VALUE"""),"MuskanC352")</f>
        <v>MuskanC352</v>
      </c>
      <c r="C8654" s="8">
        <f>IFERROR(__xludf.DUMMYFUNCTION("""COMPUTED_VALUE"""),6.0)</f>
        <v>6</v>
      </c>
      <c r="D8654" s="8">
        <f>IFERROR(__xludf.DUMMYFUNCTION("""COMPUTED_VALUE"""),2.0)</f>
        <v>2</v>
      </c>
    </row>
    <row r="8655">
      <c r="A8655" s="9" t="str">
        <f>IFERROR(__xludf.DUMMYFUNCTION("""COMPUTED_VALUE"""),"Batch 352")</f>
        <v>Batch 352</v>
      </c>
      <c r="B8655" s="9" t="str">
        <f>IFERROR(__xludf.DUMMYFUNCTION("""COMPUTED_VALUE"""),"AbhinavC352")</f>
        <v>AbhinavC352</v>
      </c>
      <c r="C8655" s="8">
        <f>IFERROR(__xludf.DUMMYFUNCTION("""COMPUTED_VALUE"""),6.0)</f>
        <v>6</v>
      </c>
      <c r="D8655" s="8">
        <f>IFERROR(__xludf.DUMMYFUNCTION("""COMPUTED_VALUE"""),1.0)</f>
        <v>1</v>
      </c>
    </row>
    <row r="8656">
      <c r="A8656" s="9" t="str">
        <f>IFERROR(__xludf.DUMMYFUNCTION("""COMPUTED_VALUE"""),"Batch 352")</f>
        <v>Batch 352</v>
      </c>
      <c r="B8656" s="9" t="str">
        <f>IFERROR(__xludf.DUMMYFUNCTION("""COMPUTED_VALUE"""),"AnanyaC352")</f>
        <v>AnanyaC352</v>
      </c>
      <c r="C8656" s="8">
        <f>IFERROR(__xludf.DUMMYFUNCTION("""COMPUTED_VALUE"""),0.0)</f>
        <v>0</v>
      </c>
      <c r="D8656" s="8"/>
    </row>
    <row r="8657">
      <c r="A8657" s="9" t="str">
        <f>IFERROR(__xludf.DUMMYFUNCTION("""COMPUTED_VALUE"""),"Batch 352")</f>
        <v>Batch 352</v>
      </c>
      <c r="B8657" s="9" t="str">
        <f>IFERROR(__xludf.DUMMYFUNCTION("""COMPUTED_VALUE"""),"AdityaC352")</f>
        <v>AdityaC352</v>
      </c>
      <c r="C8657" s="8">
        <f>IFERROR(__xludf.DUMMYFUNCTION("""COMPUTED_VALUE"""),0.0)</f>
        <v>0</v>
      </c>
      <c r="D8657" s="8"/>
    </row>
    <row r="8658">
      <c r="A8658" s="9" t="str">
        <f>IFERROR(__xludf.DUMMYFUNCTION("""COMPUTED_VALUE"""),"Batch 352")</f>
        <v>Batch 352</v>
      </c>
      <c r="B8658" s="9" t="str">
        <f>IFERROR(__xludf.DUMMYFUNCTION("""COMPUTED_VALUE"""),"KirtikaC352")</f>
        <v>KirtikaC352</v>
      </c>
      <c r="C8658" s="8">
        <f>IFERROR(__xludf.DUMMYFUNCTION("""COMPUTED_VALUE"""),0.0)</f>
        <v>0</v>
      </c>
      <c r="D8658" s="8"/>
    </row>
    <row r="8659">
      <c r="A8659" s="9" t="str">
        <f>IFERROR(__xludf.DUMMYFUNCTION("""COMPUTED_VALUE"""),"Batch 352")</f>
        <v>Batch 352</v>
      </c>
      <c r="B8659" s="9" t="str">
        <f>IFERROR(__xludf.DUMMYFUNCTION("""COMPUTED_VALUE"""),"C352")</f>
        <v>C352</v>
      </c>
      <c r="C8659" s="8">
        <f>IFERROR(__xludf.DUMMYFUNCTION("""COMPUTED_VALUE"""),0.0)</f>
        <v>0</v>
      </c>
      <c r="D8659" s="8"/>
    </row>
    <row r="8660">
      <c r="A8660" s="9" t="str">
        <f>IFERROR(__xludf.DUMMYFUNCTION("""COMPUTED_VALUE"""),"Batch 352")</f>
        <v>Batch 352</v>
      </c>
      <c r="B8660" s="9" t="str">
        <f>IFERROR(__xludf.DUMMYFUNCTION("""COMPUTED_VALUE"""),"VasuC352")</f>
        <v>VasuC352</v>
      </c>
      <c r="C8660" s="8">
        <f>IFERROR(__xludf.DUMMYFUNCTION("""COMPUTED_VALUE"""),0.0)</f>
        <v>0</v>
      </c>
      <c r="D8660" s="8"/>
    </row>
    <row r="8661">
      <c r="A8661" s="9" t="str">
        <f>IFERROR(__xludf.DUMMYFUNCTION("""COMPUTED_VALUE"""),"Batch 352")</f>
        <v>Batch 352</v>
      </c>
      <c r="B8661" s="9" t="str">
        <f>IFERROR(__xludf.DUMMYFUNCTION("""COMPUTED_VALUE"""),"KanikaC352")</f>
        <v>KanikaC352</v>
      </c>
      <c r="C8661" s="8">
        <f>IFERROR(__xludf.DUMMYFUNCTION("""COMPUTED_VALUE"""),0.0)</f>
        <v>0</v>
      </c>
      <c r="D8661" s="8"/>
    </row>
    <row r="8662">
      <c r="A8662" s="9" t="str">
        <f>IFERROR(__xludf.DUMMYFUNCTION("""COMPUTED_VALUE"""),"Batch 352")</f>
        <v>Batch 352</v>
      </c>
      <c r="B8662" s="9" t="str">
        <f>IFERROR(__xludf.DUMMYFUNCTION("""COMPUTED_VALUE"""),"PradhumC352")</f>
        <v>PradhumC352</v>
      </c>
      <c r="C8662" s="8">
        <f>IFERROR(__xludf.DUMMYFUNCTION("""COMPUTED_VALUE"""),0.0)</f>
        <v>0</v>
      </c>
      <c r="D8662" s="8"/>
    </row>
    <row r="8663">
      <c r="A8663" s="9" t="str">
        <f>IFERROR(__xludf.DUMMYFUNCTION("""COMPUTED_VALUE"""),"Batch 352")</f>
        <v>Batch 352</v>
      </c>
      <c r="B8663" s="9" t="str">
        <f>IFERROR(__xludf.DUMMYFUNCTION("""COMPUTED_VALUE"""),"ShruteeC352")</f>
        <v>ShruteeC352</v>
      </c>
      <c r="C8663" s="8">
        <f>IFERROR(__xludf.DUMMYFUNCTION("""COMPUTED_VALUE"""),0.0)</f>
        <v>0</v>
      </c>
      <c r="D8663" s="8"/>
    </row>
    <row r="8664">
      <c r="A8664" s="9" t="str">
        <f>IFERROR(__xludf.DUMMYFUNCTION("""COMPUTED_VALUE"""),"Batch 352")</f>
        <v>Batch 352</v>
      </c>
      <c r="B8664" s="9" t="str">
        <f>IFERROR(__xludf.DUMMYFUNCTION("""COMPUTED_VALUE"""),"Keerthana.C352")</f>
        <v>Keerthana.C352</v>
      </c>
      <c r="C8664" s="8">
        <f>IFERROR(__xludf.DUMMYFUNCTION("""COMPUTED_VALUE"""),0.0)</f>
        <v>0</v>
      </c>
      <c r="D8664" s="8"/>
    </row>
    <row r="8665">
      <c r="A8665" s="9" t="str">
        <f>IFERROR(__xludf.DUMMYFUNCTION("""COMPUTED_VALUE"""),"Batch 352")</f>
        <v>Batch 352</v>
      </c>
      <c r="B8665" s="9" t="str">
        <f>IFERROR(__xludf.DUMMYFUNCTION("""COMPUTED_VALUE"""),"ArpitC352")</f>
        <v>ArpitC352</v>
      </c>
      <c r="C8665" s="8">
        <f>IFERROR(__xludf.DUMMYFUNCTION("""COMPUTED_VALUE"""),0.0)</f>
        <v>0</v>
      </c>
      <c r="D8665" s="8"/>
    </row>
    <row r="8666">
      <c r="A8666" s="9" t="str">
        <f>IFERROR(__xludf.DUMMYFUNCTION("""COMPUTED_VALUE"""),"Batch 352")</f>
        <v>Batch 352</v>
      </c>
      <c r="B8666" s="9" t="str">
        <f>IFERROR(__xludf.DUMMYFUNCTION("""COMPUTED_VALUE"""),"PriyanshuC352")</f>
        <v>PriyanshuC352</v>
      </c>
      <c r="C8666" s="8">
        <f>IFERROR(__xludf.DUMMYFUNCTION("""COMPUTED_VALUE"""),0.0)</f>
        <v>0</v>
      </c>
      <c r="D8666" s="8"/>
    </row>
    <row r="8667">
      <c r="A8667" s="9" t="str">
        <f>IFERROR(__xludf.DUMMYFUNCTION("""COMPUTED_VALUE"""),"Batch 352")</f>
        <v>Batch 352</v>
      </c>
      <c r="B8667" s="9" t="str">
        <f>IFERROR(__xludf.DUMMYFUNCTION("""COMPUTED_VALUE"""),"ManishC352")</f>
        <v>ManishC352</v>
      </c>
      <c r="C8667" s="8">
        <f>IFERROR(__xludf.DUMMYFUNCTION("""COMPUTED_VALUE"""),0.0)</f>
        <v>0</v>
      </c>
      <c r="D8667" s="8"/>
    </row>
    <row r="8668">
      <c r="A8668" s="9" t="str">
        <f>IFERROR(__xludf.DUMMYFUNCTION("""COMPUTED_VALUE"""),"Batch 352")</f>
        <v>Batch 352</v>
      </c>
      <c r="B8668" s="9" t="str">
        <f>IFERROR(__xludf.DUMMYFUNCTION("""COMPUTED_VALUE"""),"MridangC352")</f>
        <v>MridangC352</v>
      </c>
      <c r="C8668" s="8">
        <f>IFERROR(__xludf.DUMMYFUNCTION("""COMPUTED_VALUE"""),0.0)</f>
        <v>0</v>
      </c>
      <c r="D8668" s="8"/>
    </row>
    <row r="8669">
      <c r="A8669" s="9" t="str">
        <f>IFERROR(__xludf.DUMMYFUNCTION("""COMPUTED_VALUE"""),"Batch 352")</f>
        <v>Batch 352</v>
      </c>
      <c r="B8669" s="9" t="str">
        <f>IFERROR(__xludf.DUMMYFUNCTION("""COMPUTED_VALUE"""),"P.LIKHITHC352")</f>
        <v>P.LIKHITHC352</v>
      </c>
      <c r="C8669" s="8">
        <f>IFERROR(__xludf.DUMMYFUNCTION("""COMPUTED_VALUE"""),2.0)</f>
        <v>2</v>
      </c>
      <c r="D8669" s="8"/>
    </row>
    <row r="8670">
      <c r="A8670" s="9" t="str">
        <f>IFERROR(__xludf.DUMMYFUNCTION("""COMPUTED_VALUE"""),"Batch 352")</f>
        <v>Batch 352</v>
      </c>
      <c r="B8670" s="9" t="str">
        <f>IFERROR(__xludf.DUMMYFUNCTION("""COMPUTED_VALUE"""),"AnmolC352")</f>
        <v>AnmolC352</v>
      </c>
      <c r="C8670" s="8">
        <f>IFERROR(__xludf.DUMMYFUNCTION("""COMPUTED_VALUE"""),0.0)</f>
        <v>0</v>
      </c>
      <c r="D8670" s="8"/>
    </row>
    <row r="8671">
      <c r="A8671" s="9" t="str">
        <f>IFERROR(__xludf.DUMMYFUNCTION("""COMPUTED_VALUE"""),"Batch 352")</f>
        <v>Batch 352</v>
      </c>
      <c r="B8671" s="9" t="str">
        <f>IFERROR(__xludf.DUMMYFUNCTION("""COMPUTED_VALUE"""),"PritanshiC352")</f>
        <v>PritanshiC352</v>
      </c>
      <c r="C8671" s="8">
        <f>IFERROR(__xludf.DUMMYFUNCTION("""COMPUTED_VALUE"""),0.0)</f>
        <v>0</v>
      </c>
      <c r="D8671" s="8"/>
    </row>
    <row r="8672">
      <c r="A8672" s="9" t="str">
        <f>IFERROR(__xludf.DUMMYFUNCTION("""COMPUTED_VALUE"""),"Batch 352")</f>
        <v>Batch 352</v>
      </c>
      <c r="B8672" s="9" t="str">
        <f>IFERROR(__xludf.DUMMYFUNCTION("""COMPUTED_VALUE"""),"RuchitaC352")</f>
        <v>RuchitaC352</v>
      </c>
      <c r="C8672" s="8">
        <f>IFERROR(__xludf.DUMMYFUNCTION("""COMPUTED_VALUE"""),0.0)</f>
        <v>0</v>
      </c>
      <c r="D8672" s="8"/>
    </row>
    <row r="8673">
      <c r="A8673" s="9" t="str">
        <f>IFERROR(__xludf.DUMMYFUNCTION("""COMPUTED_VALUE"""),"Batch 352")</f>
        <v>Batch 352</v>
      </c>
      <c r="B8673" s="9" t="str">
        <f>IFERROR(__xludf.DUMMYFUNCTION("""COMPUTED_VALUE"""),"ShadabC352")</f>
        <v>ShadabC352</v>
      </c>
      <c r="C8673" s="8">
        <f>IFERROR(__xludf.DUMMYFUNCTION("""COMPUTED_VALUE"""),0.0)</f>
        <v>0</v>
      </c>
      <c r="D8673" s="8"/>
    </row>
    <row r="8674">
      <c r="A8674" s="9" t="str">
        <f>IFERROR(__xludf.DUMMYFUNCTION("""COMPUTED_VALUE"""),"Batch 352")</f>
        <v>Batch 352</v>
      </c>
      <c r="B8674" s="9" t="str">
        <f>IFERROR(__xludf.DUMMYFUNCTION("""COMPUTED_VALUE"""),"ManishC352")</f>
        <v>ManishC352</v>
      </c>
      <c r="C8674" s="8">
        <f>IFERROR(__xludf.DUMMYFUNCTION("""COMPUTED_VALUE"""),0.0)</f>
        <v>0</v>
      </c>
      <c r="D8674" s="8"/>
    </row>
    <row r="8675">
      <c r="A8675" s="9" t="str">
        <f>IFERROR(__xludf.DUMMYFUNCTION("""COMPUTED_VALUE"""),"Batch 352")</f>
        <v>Batch 352</v>
      </c>
      <c r="B8675" s="9" t="str">
        <f>IFERROR(__xludf.DUMMYFUNCTION("""COMPUTED_VALUE"""),"AditiC352")</f>
        <v>AditiC352</v>
      </c>
      <c r="C8675" s="8">
        <f>IFERROR(__xludf.DUMMYFUNCTION("""COMPUTED_VALUE"""),0.0)</f>
        <v>0</v>
      </c>
      <c r="D8675" s="8"/>
    </row>
    <row r="8676">
      <c r="A8676" s="9" t="str">
        <f>IFERROR(__xludf.DUMMYFUNCTION("""COMPUTED_VALUE"""),"Batch 352")</f>
        <v>Batch 352</v>
      </c>
      <c r="B8676" s="9" t="str">
        <f>IFERROR(__xludf.DUMMYFUNCTION("""COMPUTED_VALUE"""),"KrishnaC352")</f>
        <v>KrishnaC352</v>
      </c>
      <c r="C8676" s="8">
        <f>IFERROR(__xludf.DUMMYFUNCTION("""COMPUTED_VALUE"""),0.0)</f>
        <v>0</v>
      </c>
      <c r="D8676" s="8"/>
    </row>
    <row r="8677">
      <c r="A8677" s="9" t="str">
        <f>IFERROR(__xludf.DUMMYFUNCTION("""COMPUTED_VALUE"""),"Batch 352")</f>
        <v>Batch 352</v>
      </c>
      <c r="B8677" s="9" t="str">
        <f>IFERROR(__xludf.DUMMYFUNCTION("""COMPUTED_VALUE"""),"SYAMC352")</f>
        <v>SYAMC352</v>
      </c>
      <c r="C8677" s="8">
        <f>IFERROR(__xludf.DUMMYFUNCTION("""COMPUTED_VALUE"""),0.0)</f>
        <v>0</v>
      </c>
      <c r="D8677" s="8"/>
    </row>
    <row r="8678">
      <c r="A8678" s="9" t="str">
        <f>IFERROR(__xludf.DUMMYFUNCTION("""COMPUTED_VALUE"""),"Batch 352")</f>
        <v>Batch 352</v>
      </c>
      <c r="B8678" s="9" t="str">
        <f>IFERROR(__xludf.DUMMYFUNCTION("""COMPUTED_VALUE"""),"RituC352")</f>
        <v>RituC352</v>
      </c>
      <c r="C8678" s="8">
        <f>IFERROR(__xludf.DUMMYFUNCTION("""COMPUTED_VALUE"""),0.0)</f>
        <v>0</v>
      </c>
      <c r="D8678" s="8"/>
    </row>
    <row r="8679">
      <c r="A8679" s="9" t="str">
        <f>IFERROR(__xludf.DUMMYFUNCTION("""COMPUTED_VALUE"""),"Batch 352")</f>
        <v>Batch 352</v>
      </c>
      <c r="B8679" s="9" t="str">
        <f>IFERROR(__xludf.DUMMYFUNCTION("""COMPUTED_VALUE"""),"ShubhamC352")</f>
        <v>ShubhamC352</v>
      </c>
      <c r="C8679" s="8">
        <f>IFERROR(__xludf.DUMMYFUNCTION("""COMPUTED_VALUE"""),0.0)</f>
        <v>0</v>
      </c>
      <c r="D8679" s="8"/>
    </row>
    <row r="8680">
      <c r="A8680" s="9" t="str">
        <f>IFERROR(__xludf.DUMMYFUNCTION("""COMPUTED_VALUE"""),"Batch 352")</f>
        <v>Batch 352</v>
      </c>
      <c r="B8680" s="9" t="str">
        <f>IFERROR(__xludf.DUMMYFUNCTION("""COMPUTED_VALUE"""),"nishthaC352")</f>
        <v>nishthaC352</v>
      </c>
      <c r="C8680" s="8">
        <f>IFERROR(__xludf.DUMMYFUNCTION("""COMPUTED_VALUE"""),4.0)</f>
        <v>4</v>
      </c>
      <c r="D8680" s="8">
        <f>IFERROR(__xludf.DUMMYFUNCTION("""COMPUTED_VALUE"""),2.0)</f>
        <v>2</v>
      </c>
    </row>
    <row r="8681">
      <c r="A8681" s="9" t="str">
        <f>IFERROR(__xludf.DUMMYFUNCTION("""COMPUTED_VALUE"""),"Batch 352")</f>
        <v>Batch 352</v>
      </c>
      <c r="B8681" s="9" t="str">
        <f>IFERROR(__xludf.DUMMYFUNCTION("""COMPUTED_VALUE"""),"AnujC352")</f>
        <v>AnujC352</v>
      </c>
      <c r="C8681" s="8">
        <f>IFERROR(__xludf.DUMMYFUNCTION("""COMPUTED_VALUE"""),0.0)</f>
        <v>0</v>
      </c>
      <c r="D8681" s="8"/>
    </row>
    <row r="8682">
      <c r="A8682" s="9" t="str">
        <f>IFERROR(__xludf.DUMMYFUNCTION("""COMPUTED_VALUE"""),"Batch 352")</f>
        <v>Batch 352</v>
      </c>
      <c r="B8682" s="9" t="str">
        <f>IFERROR(__xludf.DUMMYFUNCTION("""COMPUTED_VALUE"""),"AmanC352")</f>
        <v>AmanC352</v>
      </c>
      <c r="C8682" s="8">
        <f>IFERROR(__xludf.DUMMYFUNCTION("""COMPUTED_VALUE"""),1.0)</f>
        <v>1</v>
      </c>
      <c r="D8682" s="8"/>
    </row>
    <row r="8683">
      <c r="A8683" s="9" t="str">
        <f>IFERROR(__xludf.DUMMYFUNCTION("""COMPUTED_VALUE"""),"Batch 352")</f>
        <v>Batch 352</v>
      </c>
      <c r="B8683" s="9" t="str">
        <f>IFERROR(__xludf.DUMMYFUNCTION("""COMPUTED_VALUE"""),"himaniC352")</f>
        <v>himaniC352</v>
      </c>
      <c r="C8683" s="8">
        <f>IFERROR(__xludf.DUMMYFUNCTION("""COMPUTED_VALUE"""),0.0)</f>
        <v>0</v>
      </c>
      <c r="D8683" s="8"/>
    </row>
    <row r="8684">
      <c r="A8684" s="9" t="str">
        <f>IFERROR(__xludf.DUMMYFUNCTION("""COMPUTED_VALUE"""),"Batch 352")</f>
        <v>Batch 352</v>
      </c>
      <c r="B8684" s="9" t="str">
        <f>IFERROR(__xludf.DUMMYFUNCTION("""COMPUTED_VALUE"""),"DiyaC352")</f>
        <v>DiyaC352</v>
      </c>
      <c r="C8684" s="8">
        <f>IFERROR(__xludf.DUMMYFUNCTION("""COMPUTED_VALUE"""),0.0)</f>
        <v>0</v>
      </c>
      <c r="D8684" s="8"/>
    </row>
    <row r="8685">
      <c r="A8685" s="9" t="str">
        <f>IFERROR(__xludf.DUMMYFUNCTION("""COMPUTED_VALUE"""),"Batch 352")</f>
        <v>Batch 352</v>
      </c>
      <c r="B8685" s="9" t="str">
        <f>IFERROR(__xludf.DUMMYFUNCTION("""COMPUTED_VALUE"""),"SnehaC352")</f>
        <v>SnehaC352</v>
      </c>
      <c r="C8685" s="8">
        <f>IFERROR(__xludf.DUMMYFUNCTION("""COMPUTED_VALUE"""),0.0)</f>
        <v>0</v>
      </c>
      <c r="D8685" s="8"/>
    </row>
    <row r="8686">
      <c r="A8686" s="9" t="str">
        <f>IFERROR(__xludf.DUMMYFUNCTION("""COMPUTED_VALUE"""),"Batch 352")</f>
        <v>Batch 352</v>
      </c>
      <c r="B8686" s="9" t="str">
        <f>IFERROR(__xludf.DUMMYFUNCTION("""COMPUTED_VALUE"""),"PoleboinaC352")</f>
        <v>PoleboinaC352</v>
      </c>
      <c r="C8686" s="8">
        <f>IFERROR(__xludf.DUMMYFUNCTION("""COMPUTED_VALUE"""),0.0)</f>
        <v>0</v>
      </c>
      <c r="D8686" s="8"/>
    </row>
    <row r="8687">
      <c r="A8687" s="9" t="str">
        <f>IFERROR(__xludf.DUMMYFUNCTION("""COMPUTED_VALUE"""),"Batch 352")</f>
        <v>Batch 352</v>
      </c>
      <c r="B8687" s="9" t="str">
        <f>IFERROR(__xludf.DUMMYFUNCTION("""COMPUTED_VALUE"""),"jaivinC352")</f>
        <v>jaivinC352</v>
      </c>
      <c r="C8687" s="8">
        <f>IFERROR(__xludf.DUMMYFUNCTION("""COMPUTED_VALUE"""),0.0)</f>
        <v>0</v>
      </c>
      <c r="D8687" s="8"/>
    </row>
    <row r="8688">
      <c r="A8688" s="9" t="str">
        <f>IFERROR(__xludf.DUMMYFUNCTION("""COMPUTED_VALUE"""),"Batch 352")</f>
        <v>Batch 352</v>
      </c>
      <c r="B8688" s="9" t="str">
        <f>IFERROR(__xludf.DUMMYFUNCTION("""COMPUTED_VALUE"""),"sheetalC352")</f>
        <v>sheetalC352</v>
      </c>
      <c r="C8688" s="8">
        <f>IFERROR(__xludf.DUMMYFUNCTION("""COMPUTED_VALUE"""),0.0)</f>
        <v>0</v>
      </c>
      <c r="D8688" s="8"/>
    </row>
    <row r="8689">
      <c r="A8689" s="9" t="str">
        <f>IFERROR(__xludf.DUMMYFUNCTION("""COMPUTED_VALUE"""),"Batch 352")</f>
        <v>Batch 352</v>
      </c>
      <c r="B8689" s="9" t="str">
        <f>IFERROR(__xludf.DUMMYFUNCTION("""COMPUTED_VALUE"""),"PavanC352")</f>
        <v>PavanC352</v>
      </c>
      <c r="C8689" s="8">
        <f>IFERROR(__xludf.DUMMYFUNCTION("""COMPUTED_VALUE"""),0.0)</f>
        <v>0</v>
      </c>
      <c r="D8689" s="8"/>
    </row>
    <row r="8690">
      <c r="A8690" s="9" t="str">
        <f>IFERROR(__xludf.DUMMYFUNCTION("""COMPUTED_VALUE"""),"Batch 352")</f>
        <v>Batch 352</v>
      </c>
      <c r="B8690" s="9" t="str">
        <f>IFERROR(__xludf.DUMMYFUNCTION("""COMPUTED_VALUE"""),"LavanyaC352")</f>
        <v>LavanyaC352</v>
      </c>
      <c r="C8690" s="8">
        <f>IFERROR(__xludf.DUMMYFUNCTION("""COMPUTED_VALUE"""),0.0)</f>
        <v>0</v>
      </c>
      <c r="D8690" s="8"/>
    </row>
    <row r="8691">
      <c r="A8691" s="9" t="str">
        <f>IFERROR(__xludf.DUMMYFUNCTION("""COMPUTED_VALUE"""),"Batch 352")</f>
        <v>Batch 352</v>
      </c>
      <c r="B8691" s="9" t="str">
        <f>IFERROR(__xludf.DUMMYFUNCTION("""COMPUTED_VALUE"""),"PariC352")</f>
        <v>PariC352</v>
      </c>
      <c r="C8691" s="8">
        <f>IFERROR(__xludf.DUMMYFUNCTION("""COMPUTED_VALUE"""),0.0)</f>
        <v>0</v>
      </c>
      <c r="D8691" s="8"/>
    </row>
    <row r="8692">
      <c r="A8692" s="9" t="str">
        <f>IFERROR(__xludf.DUMMYFUNCTION("""COMPUTED_VALUE"""),"Batch 352")</f>
        <v>Batch 352</v>
      </c>
      <c r="B8692" s="9" t="str">
        <f>IFERROR(__xludf.DUMMYFUNCTION("""COMPUTED_VALUE"""),"SargunC352")</f>
        <v>SargunC352</v>
      </c>
      <c r="C8692" s="8">
        <f>IFERROR(__xludf.DUMMYFUNCTION("""COMPUTED_VALUE"""),0.0)</f>
        <v>0</v>
      </c>
      <c r="D8692" s="8"/>
    </row>
    <row r="8693">
      <c r="A8693" s="9" t="str">
        <f>IFERROR(__xludf.DUMMYFUNCTION("""COMPUTED_VALUE"""),"Batch 352")</f>
        <v>Batch 352</v>
      </c>
      <c r="B8693" s="9" t="str">
        <f>IFERROR(__xludf.DUMMYFUNCTION("""COMPUTED_VALUE"""),"NihmaC352")</f>
        <v>NihmaC352</v>
      </c>
      <c r="C8693" s="8">
        <f>IFERROR(__xludf.DUMMYFUNCTION("""COMPUTED_VALUE"""),1.0)</f>
        <v>1</v>
      </c>
      <c r="D8693" s="8">
        <f>IFERROR(__xludf.DUMMYFUNCTION("""COMPUTED_VALUE"""),1.0)</f>
        <v>1</v>
      </c>
    </row>
    <row r="8694">
      <c r="A8694" s="9" t="str">
        <f>IFERROR(__xludf.DUMMYFUNCTION("""COMPUTED_VALUE"""),"Batch 352")</f>
        <v>Batch 352</v>
      </c>
      <c r="B8694" s="9" t="str">
        <f>IFERROR(__xludf.DUMMYFUNCTION("""COMPUTED_VALUE"""),"SahilC352")</f>
        <v>SahilC352</v>
      </c>
      <c r="C8694" s="8">
        <f>IFERROR(__xludf.DUMMYFUNCTION("""COMPUTED_VALUE"""),0.0)</f>
        <v>0</v>
      </c>
      <c r="D8694" s="8"/>
    </row>
    <row r="8695">
      <c r="A8695" s="9" t="str">
        <f>IFERROR(__xludf.DUMMYFUNCTION("""COMPUTED_VALUE"""),"Batch 352")</f>
        <v>Batch 352</v>
      </c>
      <c r="B8695" s="9" t="str">
        <f>IFERROR(__xludf.DUMMYFUNCTION("""COMPUTED_VALUE"""),"varshaC352")</f>
        <v>varshaC352</v>
      </c>
      <c r="C8695" s="8">
        <f>IFERROR(__xludf.DUMMYFUNCTION("""COMPUTED_VALUE"""),0.0)</f>
        <v>0</v>
      </c>
      <c r="D8695" s="8"/>
    </row>
    <row r="8696">
      <c r="A8696" s="9" t="str">
        <f>IFERROR(__xludf.DUMMYFUNCTION("""COMPUTED_VALUE"""),"Batch 352")</f>
        <v>Batch 352</v>
      </c>
      <c r="B8696" s="9" t="str">
        <f>IFERROR(__xludf.DUMMYFUNCTION("""COMPUTED_VALUE"""),"GaganpreetC352")</f>
        <v>GaganpreetC352</v>
      </c>
      <c r="C8696" s="8">
        <f>IFERROR(__xludf.DUMMYFUNCTION("""COMPUTED_VALUE"""),0.0)</f>
        <v>0</v>
      </c>
      <c r="D8696" s="8"/>
    </row>
    <row r="8697">
      <c r="A8697" s="9" t="str">
        <f>IFERROR(__xludf.DUMMYFUNCTION("""COMPUTED_VALUE"""),"Batch 352")</f>
        <v>Batch 352</v>
      </c>
      <c r="B8697" s="9" t="str">
        <f>IFERROR(__xludf.DUMMYFUNCTION("""COMPUTED_VALUE"""),"DhruvC352")</f>
        <v>DhruvC352</v>
      </c>
      <c r="C8697" s="8">
        <f>IFERROR(__xludf.DUMMYFUNCTION("""COMPUTED_VALUE"""),0.0)</f>
        <v>0</v>
      </c>
      <c r="D8697" s="8"/>
    </row>
    <row r="8698">
      <c r="A8698" s="9" t="str">
        <f>IFERROR(__xludf.DUMMYFUNCTION("""COMPUTED_VALUE"""),"Batch 352")</f>
        <v>Batch 352</v>
      </c>
      <c r="B8698" s="9" t="str">
        <f>IFERROR(__xludf.DUMMYFUNCTION("""COMPUTED_VALUE"""),"GouravC352")</f>
        <v>GouravC352</v>
      </c>
      <c r="C8698" s="8">
        <f>IFERROR(__xludf.DUMMYFUNCTION("""COMPUTED_VALUE"""),0.0)</f>
        <v>0</v>
      </c>
      <c r="D8698" s="8"/>
    </row>
    <row r="8699">
      <c r="A8699" s="9" t="str">
        <f>IFERROR(__xludf.DUMMYFUNCTION("""COMPUTED_VALUE"""),"Batch 352")</f>
        <v>Batch 352</v>
      </c>
      <c r="B8699" s="9" t="str">
        <f>IFERROR(__xludf.DUMMYFUNCTION("""COMPUTED_VALUE"""),"SahilC352")</f>
        <v>SahilC352</v>
      </c>
      <c r="C8699" s="8">
        <f>IFERROR(__xludf.DUMMYFUNCTION("""COMPUTED_VALUE"""),0.0)</f>
        <v>0</v>
      </c>
      <c r="D8699" s="8"/>
    </row>
    <row r="8700">
      <c r="A8700" s="9" t="str">
        <f>IFERROR(__xludf.DUMMYFUNCTION("""COMPUTED_VALUE"""),"Batch 352")</f>
        <v>Batch 352</v>
      </c>
      <c r="B8700" s="9" t="str">
        <f>IFERROR(__xludf.DUMMYFUNCTION("""COMPUTED_VALUE"""),"AshmiC352")</f>
        <v>AshmiC352</v>
      </c>
      <c r="C8700" s="8">
        <f>IFERROR(__xludf.DUMMYFUNCTION("""COMPUTED_VALUE"""),0.0)</f>
        <v>0</v>
      </c>
      <c r="D8700" s="8"/>
    </row>
    <row r="8701">
      <c r="A8701" s="9" t="str">
        <f>IFERROR(__xludf.DUMMYFUNCTION("""COMPUTED_VALUE"""),"Batch 352")</f>
        <v>Batch 352</v>
      </c>
      <c r="B8701" s="9" t="str">
        <f>IFERROR(__xludf.DUMMYFUNCTION("""COMPUTED_VALUE"""),"NaveenC352")</f>
        <v>NaveenC352</v>
      </c>
      <c r="C8701" s="8">
        <f>IFERROR(__xludf.DUMMYFUNCTION("""COMPUTED_VALUE"""),0.0)</f>
        <v>0</v>
      </c>
      <c r="D8701" s="8"/>
    </row>
    <row r="8702">
      <c r="A8702" s="9" t="str">
        <f>IFERROR(__xludf.DUMMYFUNCTION("""COMPUTED_VALUE"""),"Batch 352")</f>
        <v>Batch 352</v>
      </c>
      <c r="B8702" s="9" t="str">
        <f>IFERROR(__xludf.DUMMYFUNCTION("""COMPUTED_VALUE"""),"TriptiC352")</f>
        <v>TriptiC352</v>
      </c>
      <c r="C8702" s="8">
        <f>IFERROR(__xludf.DUMMYFUNCTION("""COMPUTED_VALUE"""),0.0)</f>
        <v>0</v>
      </c>
      <c r="D8702" s="8"/>
    </row>
    <row r="8703">
      <c r="A8703" s="9" t="str">
        <f>IFERROR(__xludf.DUMMYFUNCTION("""COMPUTED_VALUE"""),"Batch 352")</f>
        <v>Batch 352</v>
      </c>
      <c r="B8703" s="9" t="str">
        <f>IFERROR(__xludf.DUMMYFUNCTION("""COMPUTED_VALUE"""),"SarveshC352")</f>
        <v>SarveshC352</v>
      </c>
      <c r="C8703" s="8">
        <f>IFERROR(__xludf.DUMMYFUNCTION("""COMPUTED_VALUE"""),0.0)</f>
        <v>0</v>
      </c>
      <c r="D8703" s="8"/>
    </row>
    <row r="8704">
      <c r="A8704" s="9" t="str">
        <f>IFERROR(__xludf.DUMMYFUNCTION("""COMPUTED_VALUE"""),"Batch 352")</f>
        <v>Batch 352</v>
      </c>
      <c r="B8704" s="9" t="str">
        <f>IFERROR(__xludf.DUMMYFUNCTION("""COMPUTED_VALUE"""),"SaumyaC352")</f>
        <v>SaumyaC352</v>
      </c>
      <c r="C8704" s="8">
        <f>IFERROR(__xludf.DUMMYFUNCTION("""COMPUTED_VALUE"""),0.0)</f>
        <v>0</v>
      </c>
      <c r="D8704" s="8"/>
    </row>
    <row r="8705">
      <c r="A8705" s="9" t="str">
        <f>IFERROR(__xludf.DUMMYFUNCTION("""COMPUTED_VALUE"""),"Batch 352")</f>
        <v>Batch 352</v>
      </c>
      <c r="B8705" s="9" t="str">
        <f>IFERROR(__xludf.DUMMYFUNCTION("""COMPUTED_VALUE"""),"ShinyC352")</f>
        <v>ShinyC352</v>
      </c>
      <c r="C8705" s="8">
        <f>IFERROR(__xludf.DUMMYFUNCTION("""COMPUTED_VALUE"""),85.0)</f>
        <v>85</v>
      </c>
      <c r="D8705" s="8">
        <f>IFERROR(__xludf.DUMMYFUNCTION("""COMPUTED_VALUE"""),18.0)</f>
        <v>18</v>
      </c>
    </row>
    <row r="8706">
      <c r="A8706" s="9"/>
      <c r="B8706" s="9"/>
      <c r="C8706" s="8">
        <f>IFERROR(__xludf.DUMMYFUNCTION("""COMPUTED_VALUE"""),0.0)</f>
        <v>0</v>
      </c>
      <c r="D8706" s="8"/>
    </row>
    <row r="8707">
      <c r="A8707" s="9" t="str">
        <f>IFERROR(__xludf.DUMMYFUNCTION("""COMPUTED_VALUE"""),"Batch 353")</f>
        <v>Batch 353</v>
      </c>
      <c r="B8707" s="9" t="str">
        <f>IFERROR(__xludf.DUMMYFUNCTION("""COMPUTED_VALUE"""),"SaptakC353")</f>
        <v>SaptakC353</v>
      </c>
      <c r="C8707" s="8">
        <f>IFERROR(__xludf.DUMMYFUNCTION("""COMPUTED_VALUE"""),0.0)</f>
        <v>0</v>
      </c>
      <c r="D8707" s="8"/>
    </row>
    <row r="8708">
      <c r="A8708" s="9" t="str">
        <f>IFERROR(__xludf.DUMMYFUNCTION("""COMPUTED_VALUE"""),"Batch 353")</f>
        <v>Batch 353</v>
      </c>
      <c r="B8708" s="9" t="str">
        <f>IFERROR(__xludf.DUMMYFUNCTION("""COMPUTED_VALUE"""),"SahilC353")</f>
        <v>SahilC353</v>
      </c>
      <c r="C8708" s="8">
        <f>IFERROR(__xludf.DUMMYFUNCTION("""COMPUTED_VALUE"""),0.0)</f>
        <v>0</v>
      </c>
      <c r="D8708" s="8"/>
    </row>
    <row r="8709">
      <c r="A8709" s="9" t="str">
        <f>IFERROR(__xludf.DUMMYFUNCTION("""COMPUTED_VALUE"""),"Batch 353")</f>
        <v>Batch 353</v>
      </c>
      <c r="B8709" s="9" t="str">
        <f>IFERROR(__xludf.DUMMYFUNCTION("""COMPUTED_VALUE"""),"AnshC353")</f>
        <v>AnshC353</v>
      </c>
      <c r="C8709" s="8">
        <f>IFERROR(__xludf.DUMMYFUNCTION("""COMPUTED_VALUE"""),0.0)</f>
        <v>0</v>
      </c>
      <c r="D8709" s="8"/>
    </row>
    <row r="8710">
      <c r="A8710" s="9" t="str">
        <f>IFERROR(__xludf.DUMMYFUNCTION("""COMPUTED_VALUE"""),"Batch 353")</f>
        <v>Batch 353</v>
      </c>
      <c r="B8710" s="9" t="str">
        <f>IFERROR(__xludf.DUMMYFUNCTION("""COMPUTED_VALUE"""),"ParmitaC353")</f>
        <v>ParmitaC353</v>
      </c>
      <c r="C8710" s="8">
        <f>IFERROR(__xludf.DUMMYFUNCTION("""COMPUTED_VALUE"""),0.0)</f>
        <v>0</v>
      </c>
      <c r="D8710" s="8"/>
    </row>
    <row r="8711">
      <c r="A8711" s="9" t="str">
        <f>IFERROR(__xludf.DUMMYFUNCTION("""COMPUTED_VALUE"""),"Batch 353")</f>
        <v>Batch 353</v>
      </c>
      <c r="B8711" s="9" t="str">
        <f>IFERROR(__xludf.DUMMYFUNCTION("""COMPUTED_VALUE"""),"AnjaliC353")</f>
        <v>AnjaliC353</v>
      </c>
      <c r="C8711" s="8">
        <f>IFERROR(__xludf.DUMMYFUNCTION("""COMPUTED_VALUE"""),0.0)</f>
        <v>0</v>
      </c>
      <c r="D8711" s="8"/>
    </row>
    <row r="8712">
      <c r="A8712" s="9" t="str">
        <f>IFERROR(__xludf.DUMMYFUNCTION("""COMPUTED_VALUE"""),"Batch 353")</f>
        <v>Batch 353</v>
      </c>
      <c r="B8712" s="9" t="str">
        <f>IFERROR(__xludf.DUMMYFUNCTION("""COMPUTED_VALUE"""),"DiyaC353")</f>
        <v>DiyaC353</v>
      </c>
      <c r="C8712" s="8">
        <f>IFERROR(__xludf.DUMMYFUNCTION("""COMPUTED_VALUE"""),0.0)</f>
        <v>0</v>
      </c>
      <c r="D8712" s="8"/>
    </row>
    <row r="8713">
      <c r="A8713" s="9" t="str">
        <f>IFERROR(__xludf.DUMMYFUNCTION("""COMPUTED_VALUE"""),"Batch 353")</f>
        <v>Batch 353</v>
      </c>
      <c r="B8713" s="9" t="str">
        <f>IFERROR(__xludf.DUMMYFUNCTION("""COMPUTED_VALUE"""),"DevanshC353")</f>
        <v>DevanshC353</v>
      </c>
      <c r="C8713" s="8">
        <f>IFERROR(__xludf.DUMMYFUNCTION("""COMPUTED_VALUE"""),0.0)</f>
        <v>0</v>
      </c>
      <c r="D8713" s="8"/>
    </row>
    <row r="8714">
      <c r="A8714" s="9" t="str">
        <f>IFERROR(__xludf.DUMMYFUNCTION("""COMPUTED_VALUE"""),"Batch 353")</f>
        <v>Batch 353</v>
      </c>
      <c r="B8714" s="9" t="str">
        <f>IFERROR(__xludf.DUMMYFUNCTION("""COMPUTED_VALUE"""),"YashvardhanC353")</f>
        <v>YashvardhanC353</v>
      </c>
      <c r="C8714" s="8">
        <f>IFERROR(__xludf.DUMMYFUNCTION("""COMPUTED_VALUE"""),0.0)</f>
        <v>0</v>
      </c>
      <c r="D8714" s="8"/>
    </row>
    <row r="8715">
      <c r="A8715" s="9" t="str">
        <f>IFERROR(__xludf.DUMMYFUNCTION("""COMPUTED_VALUE"""),"Batch 353")</f>
        <v>Batch 353</v>
      </c>
      <c r="B8715" s="9" t="str">
        <f>IFERROR(__xludf.DUMMYFUNCTION("""COMPUTED_VALUE"""),"AaryaC353")</f>
        <v>AaryaC353</v>
      </c>
      <c r="C8715" s="8">
        <f>IFERROR(__xludf.DUMMYFUNCTION("""COMPUTED_VALUE"""),0.0)</f>
        <v>0</v>
      </c>
      <c r="D8715" s="8"/>
    </row>
    <row r="8716">
      <c r="A8716" s="9" t="str">
        <f>IFERROR(__xludf.DUMMYFUNCTION("""COMPUTED_VALUE"""),"Batch 353")</f>
        <v>Batch 353</v>
      </c>
      <c r="B8716" s="9" t="str">
        <f>IFERROR(__xludf.DUMMYFUNCTION("""COMPUTED_VALUE"""),"AtishayC353")</f>
        <v>AtishayC353</v>
      </c>
      <c r="C8716" s="8">
        <f>IFERROR(__xludf.DUMMYFUNCTION("""COMPUTED_VALUE"""),0.0)</f>
        <v>0</v>
      </c>
      <c r="D8716" s="8"/>
    </row>
    <row r="8717">
      <c r="A8717" s="9" t="str">
        <f>IFERROR(__xludf.DUMMYFUNCTION("""COMPUTED_VALUE"""),"Batch 353")</f>
        <v>Batch 353</v>
      </c>
      <c r="B8717" s="9" t="str">
        <f>IFERROR(__xludf.DUMMYFUNCTION("""COMPUTED_VALUE"""),"RitikaC353")</f>
        <v>RitikaC353</v>
      </c>
      <c r="C8717" s="8">
        <f>IFERROR(__xludf.DUMMYFUNCTION("""COMPUTED_VALUE"""),0.0)</f>
        <v>0</v>
      </c>
      <c r="D8717" s="8"/>
    </row>
    <row r="8718">
      <c r="A8718" s="9" t="str">
        <f>IFERROR(__xludf.DUMMYFUNCTION("""COMPUTED_VALUE"""),"Batch 353")</f>
        <v>Batch 353</v>
      </c>
      <c r="B8718" s="9" t="str">
        <f>IFERROR(__xludf.DUMMYFUNCTION("""COMPUTED_VALUE"""),"ThanmaiC353")</f>
        <v>ThanmaiC353</v>
      </c>
      <c r="C8718" s="8">
        <f>IFERROR(__xludf.DUMMYFUNCTION("""COMPUTED_VALUE"""),0.0)</f>
        <v>0</v>
      </c>
      <c r="D8718" s="8"/>
    </row>
    <row r="8719">
      <c r="A8719" s="9" t="str">
        <f>IFERROR(__xludf.DUMMYFUNCTION("""COMPUTED_VALUE"""),"Batch 353")</f>
        <v>Batch 353</v>
      </c>
      <c r="B8719" s="9" t="str">
        <f>IFERROR(__xludf.DUMMYFUNCTION("""COMPUTED_VALUE"""),"AyushC353")</f>
        <v>AyushC353</v>
      </c>
      <c r="C8719" s="8">
        <f>IFERROR(__xludf.DUMMYFUNCTION("""COMPUTED_VALUE"""),0.0)</f>
        <v>0</v>
      </c>
      <c r="D8719" s="8"/>
    </row>
    <row r="8720">
      <c r="A8720" s="9" t="str">
        <f>IFERROR(__xludf.DUMMYFUNCTION("""COMPUTED_VALUE"""),"Batch 353")</f>
        <v>Batch 353</v>
      </c>
      <c r="B8720" s="9" t="str">
        <f>IFERROR(__xludf.DUMMYFUNCTION("""COMPUTED_VALUE"""),"SnehaC353")</f>
        <v>SnehaC353</v>
      </c>
      <c r="C8720" s="8">
        <f>IFERROR(__xludf.DUMMYFUNCTION("""COMPUTED_VALUE"""),3.0)</f>
        <v>3</v>
      </c>
      <c r="D8720" s="8">
        <f>IFERROR(__xludf.DUMMYFUNCTION("""COMPUTED_VALUE"""),2.0)</f>
        <v>2</v>
      </c>
    </row>
    <row r="8721">
      <c r="A8721" s="9" t="str">
        <f>IFERROR(__xludf.DUMMYFUNCTION("""COMPUTED_VALUE"""),"Batch 353")</f>
        <v>Batch 353</v>
      </c>
      <c r="B8721" s="9" t="str">
        <f>IFERROR(__xludf.DUMMYFUNCTION("""COMPUTED_VALUE"""),"RahulC353")</f>
        <v>RahulC353</v>
      </c>
      <c r="C8721" s="8">
        <f>IFERROR(__xludf.DUMMYFUNCTION("""COMPUTED_VALUE"""),0.0)</f>
        <v>0</v>
      </c>
      <c r="D8721" s="8"/>
    </row>
    <row r="8722">
      <c r="A8722" s="9" t="str">
        <f>IFERROR(__xludf.DUMMYFUNCTION("""COMPUTED_VALUE"""),"Batch 353")</f>
        <v>Batch 353</v>
      </c>
      <c r="B8722" s="9" t="str">
        <f>IFERROR(__xludf.DUMMYFUNCTION("""COMPUTED_VALUE"""),"SaurabhC353")</f>
        <v>SaurabhC353</v>
      </c>
      <c r="C8722" s="8">
        <f>IFERROR(__xludf.DUMMYFUNCTION("""COMPUTED_VALUE"""),0.0)</f>
        <v>0</v>
      </c>
      <c r="D8722" s="8"/>
    </row>
    <row r="8723">
      <c r="A8723" s="9" t="str">
        <f>IFERROR(__xludf.DUMMYFUNCTION("""COMPUTED_VALUE"""),"Batch 353")</f>
        <v>Batch 353</v>
      </c>
      <c r="B8723" s="9" t="str">
        <f>IFERROR(__xludf.DUMMYFUNCTION("""COMPUTED_VALUE"""),"BalashanmugamC353")</f>
        <v>BalashanmugamC353</v>
      </c>
      <c r="C8723" s="8">
        <f>IFERROR(__xludf.DUMMYFUNCTION("""COMPUTED_VALUE"""),1.0)</f>
        <v>1</v>
      </c>
      <c r="D8723" s="8">
        <f>IFERROR(__xludf.DUMMYFUNCTION("""COMPUTED_VALUE"""),17.0)</f>
        <v>17</v>
      </c>
    </row>
    <row r="8724">
      <c r="A8724" s="9" t="str">
        <f>IFERROR(__xludf.DUMMYFUNCTION("""COMPUTED_VALUE"""),"Batch 353")</f>
        <v>Batch 353</v>
      </c>
      <c r="B8724" s="9" t="str">
        <f>IFERROR(__xludf.DUMMYFUNCTION("""COMPUTED_VALUE"""),"JayaC353")</f>
        <v>JayaC353</v>
      </c>
      <c r="C8724" s="8">
        <f>IFERROR(__xludf.DUMMYFUNCTION("""COMPUTED_VALUE"""),0.0)</f>
        <v>0</v>
      </c>
      <c r="D8724" s="8"/>
    </row>
    <row r="8725">
      <c r="A8725" s="9" t="str">
        <f>IFERROR(__xludf.DUMMYFUNCTION("""COMPUTED_VALUE"""),"Batch 353")</f>
        <v>Batch 353</v>
      </c>
      <c r="B8725" s="9" t="str">
        <f>IFERROR(__xludf.DUMMYFUNCTION("""COMPUTED_VALUE"""),"DeepaliC353")</f>
        <v>DeepaliC353</v>
      </c>
      <c r="C8725" s="8">
        <f>IFERROR(__xludf.DUMMYFUNCTION("""COMPUTED_VALUE"""),0.0)</f>
        <v>0</v>
      </c>
      <c r="D8725" s="8"/>
    </row>
    <row r="8726">
      <c r="A8726" s="9" t="str">
        <f>IFERROR(__xludf.DUMMYFUNCTION("""COMPUTED_VALUE"""),"Batch 353")</f>
        <v>Batch 353</v>
      </c>
      <c r="B8726" s="9" t="str">
        <f>IFERROR(__xludf.DUMMYFUNCTION("""COMPUTED_VALUE"""),"UnsaC353")</f>
        <v>UnsaC353</v>
      </c>
      <c r="C8726" s="8">
        <f>IFERROR(__xludf.DUMMYFUNCTION("""COMPUTED_VALUE"""),0.0)</f>
        <v>0</v>
      </c>
      <c r="D8726" s="8"/>
    </row>
    <row r="8727">
      <c r="A8727" s="9" t="str">
        <f>IFERROR(__xludf.DUMMYFUNCTION("""COMPUTED_VALUE"""),"Batch 353")</f>
        <v>Batch 353</v>
      </c>
      <c r="B8727" s="9" t="str">
        <f>IFERROR(__xludf.DUMMYFUNCTION("""COMPUTED_VALUE"""),"ShindeC353")</f>
        <v>ShindeC353</v>
      </c>
      <c r="C8727" s="8">
        <f>IFERROR(__xludf.DUMMYFUNCTION("""COMPUTED_VALUE"""),0.0)</f>
        <v>0</v>
      </c>
      <c r="D8727" s="8"/>
    </row>
    <row r="8728">
      <c r="A8728" s="9" t="str">
        <f>IFERROR(__xludf.DUMMYFUNCTION("""COMPUTED_VALUE"""),"Batch 353")</f>
        <v>Batch 353</v>
      </c>
      <c r="B8728" s="9" t="str">
        <f>IFERROR(__xludf.DUMMYFUNCTION("""COMPUTED_VALUE"""),"TanvirC353")</f>
        <v>TanvirC353</v>
      </c>
      <c r="C8728" s="8">
        <f>IFERROR(__xludf.DUMMYFUNCTION("""COMPUTED_VALUE"""),1.0)</f>
        <v>1</v>
      </c>
      <c r="D8728" s="8"/>
    </row>
    <row r="8729">
      <c r="A8729" s="9" t="str">
        <f>IFERROR(__xludf.DUMMYFUNCTION("""COMPUTED_VALUE"""),"Batch 353")</f>
        <v>Batch 353</v>
      </c>
      <c r="B8729" s="9" t="str">
        <f>IFERROR(__xludf.DUMMYFUNCTION("""COMPUTED_VALUE"""),"SAIC353")</f>
        <v>SAIC353</v>
      </c>
      <c r="C8729" s="8">
        <f>IFERROR(__xludf.DUMMYFUNCTION("""COMPUTED_VALUE"""),0.0)</f>
        <v>0</v>
      </c>
      <c r="D8729" s="8"/>
    </row>
    <row r="8730">
      <c r="A8730" s="9" t="str">
        <f>IFERROR(__xludf.DUMMYFUNCTION("""COMPUTED_VALUE"""),"Batch 353")</f>
        <v>Batch 353</v>
      </c>
      <c r="B8730" s="9" t="str">
        <f>IFERROR(__xludf.DUMMYFUNCTION("""COMPUTED_VALUE"""),"MuskaanC353")</f>
        <v>MuskaanC353</v>
      </c>
      <c r="C8730" s="8">
        <f>IFERROR(__xludf.DUMMYFUNCTION("""COMPUTED_VALUE"""),4.0)</f>
        <v>4</v>
      </c>
      <c r="D8730" s="8"/>
    </row>
    <row r="8731">
      <c r="A8731" s="9" t="str">
        <f>IFERROR(__xludf.DUMMYFUNCTION("""COMPUTED_VALUE"""),"Batch 353")</f>
        <v>Batch 353</v>
      </c>
      <c r="B8731" s="9" t="str">
        <f>IFERROR(__xludf.DUMMYFUNCTION("""COMPUTED_VALUE"""),"KavitaC353")</f>
        <v>KavitaC353</v>
      </c>
      <c r="C8731" s="8">
        <f>IFERROR(__xludf.DUMMYFUNCTION("""COMPUTED_VALUE"""),23.0)</f>
        <v>23</v>
      </c>
      <c r="D8731" s="8">
        <f>IFERROR(__xludf.DUMMYFUNCTION("""COMPUTED_VALUE"""),1.0)</f>
        <v>1</v>
      </c>
    </row>
    <row r="8732">
      <c r="A8732" s="9" t="str">
        <f>IFERROR(__xludf.DUMMYFUNCTION("""COMPUTED_VALUE"""),"Batch 353")</f>
        <v>Batch 353</v>
      </c>
      <c r="B8732" s="9" t="str">
        <f>IFERROR(__xludf.DUMMYFUNCTION("""COMPUTED_VALUE"""),"ManishC353")</f>
        <v>ManishC353</v>
      </c>
      <c r="C8732" s="8">
        <f>IFERROR(__xludf.DUMMYFUNCTION("""COMPUTED_VALUE"""),2.0)</f>
        <v>2</v>
      </c>
      <c r="D8732" s="8"/>
    </row>
    <row r="8733">
      <c r="A8733" s="9" t="str">
        <f>IFERROR(__xludf.DUMMYFUNCTION("""COMPUTED_VALUE"""),"Batch 353")</f>
        <v>Batch 353</v>
      </c>
      <c r="B8733" s="9" t="str">
        <f>IFERROR(__xludf.DUMMYFUNCTION("""COMPUTED_VALUE"""),"NandiniC353")</f>
        <v>NandiniC353</v>
      </c>
      <c r="C8733" s="8">
        <f>IFERROR(__xludf.DUMMYFUNCTION("""COMPUTED_VALUE"""),2.0)</f>
        <v>2</v>
      </c>
      <c r="D8733" s="8"/>
    </row>
    <row r="8734">
      <c r="A8734" s="9" t="str">
        <f>IFERROR(__xludf.DUMMYFUNCTION("""COMPUTED_VALUE"""),"Batch 353")</f>
        <v>Batch 353</v>
      </c>
      <c r="B8734" s="9" t="str">
        <f>IFERROR(__xludf.DUMMYFUNCTION("""COMPUTED_VALUE"""),"VijaylaxmiC353")</f>
        <v>VijaylaxmiC353</v>
      </c>
      <c r="C8734" s="8">
        <f>IFERROR(__xludf.DUMMYFUNCTION("""COMPUTED_VALUE"""),1.0)</f>
        <v>1</v>
      </c>
      <c r="D8734" s="8"/>
    </row>
    <row r="8735">
      <c r="A8735" s="9" t="str">
        <f>IFERROR(__xludf.DUMMYFUNCTION("""COMPUTED_VALUE"""),"Batch 353")</f>
        <v>Batch 353</v>
      </c>
      <c r="B8735" s="9" t="str">
        <f>IFERROR(__xludf.DUMMYFUNCTION("""COMPUTED_VALUE"""),"NandiniC353")</f>
        <v>NandiniC353</v>
      </c>
      <c r="C8735" s="8">
        <f>IFERROR(__xludf.DUMMYFUNCTION("""COMPUTED_VALUE"""),0.0)</f>
        <v>0</v>
      </c>
      <c r="D8735" s="8"/>
    </row>
    <row r="8736">
      <c r="A8736" s="9" t="str">
        <f>IFERROR(__xludf.DUMMYFUNCTION("""COMPUTED_VALUE"""),"Batch 353")</f>
        <v>Batch 353</v>
      </c>
      <c r="B8736" s="9" t="str">
        <f>IFERROR(__xludf.DUMMYFUNCTION("""COMPUTED_VALUE"""),"NitinC353")</f>
        <v>NitinC353</v>
      </c>
      <c r="C8736" s="8">
        <f>IFERROR(__xludf.DUMMYFUNCTION("""COMPUTED_VALUE"""),0.0)</f>
        <v>0</v>
      </c>
      <c r="D8736" s="8"/>
    </row>
    <row r="8737">
      <c r="A8737" s="9" t="str">
        <f>IFERROR(__xludf.DUMMYFUNCTION("""COMPUTED_VALUE"""),"Batch 353")</f>
        <v>Batch 353</v>
      </c>
      <c r="B8737" s="9" t="str">
        <f>IFERROR(__xludf.DUMMYFUNCTION("""COMPUTED_VALUE"""),"K.C353")</f>
        <v>K.C353</v>
      </c>
      <c r="C8737" s="8">
        <f>IFERROR(__xludf.DUMMYFUNCTION("""COMPUTED_VALUE"""),0.0)</f>
        <v>0</v>
      </c>
      <c r="D8737" s="8"/>
    </row>
    <row r="8738">
      <c r="A8738" s="9" t="str">
        <f>IFERROR(__xludf.DUMMYFUNCTION("""COMPUTED_VALUE"""),"Batch 353")</f>
        <v>Batch 353</v>
      </c>
      <c r="B8738" s="9" t="str">
        <f>IFERROR(__xludf.DUMMYFUNCTION("""COMPUTED_VALUE"""),"RAVIC353")</f>
        <v>RAVIC353</v>
      </c>
      <c r="C8738" s="8">
        <f>IFERROR(__xludf.DUMMYFUNCTION("""COMPUTED_VALUE"""),0.0)</f>
        <v>0</v>
      </c>
      <c r="D8738" s="8"/>
    </row>
    <row r="8739">
      <c r="A8739" s="9" t="str">
        <f>IFERROR(__xludf.DUMMYFUNCTION("""COMPUTED_VALUE"""),"Batch 353")</f>
        <v>Batch 353</v>
      </c>
      <c r="B8739" s="9" t="str">
        <f>IFERROR(__xludf.DUMMYFUNCTION("""COMPUTED_VALUE"""),"PrithishC353")</f>
        <v>PrithishC353</v>
      </c>
      <c r="C8739" s="8">
        <f>IFERROR(__xludf.DUMMYFUNCTION("""COMPUTED_VALUE"""),0.0)</f>
        <v>0</v>
      </c>
      <c r="D8739" s="8"/>
    </row>
    <row r="8740">
      <c r="A8740" s="9" t="str">
        <f>IFERROR(__xludf.DUMMYFUNCTION("""COMPUTED_VALUE"""),"Batch 353")</f>
        <v>Batch 353</v>
      </c>
      <c r="B8740" s="9" t="str">
        <f>IFERROR(__xludf.DUMMYFUNCTION("""COMPUTED_VALUE"""),"AgrimC353")</f>
        <v>AgrimC353</v>
      </c>
      <c r="C8740" s="8">
        <f>IFERROR(__xludf.DUMMYFUNCTION("""COMPUTED_VALUE"""),1.0)</f>
        <v>1</v>
      </c>
      <c r="D8740" s="8"/>
    </row>
    <row r="8741">
      <c r="A8741" s="9" t="str">
        <f>IFERROR(__xludf.DUMMYFUNCTION("""COMPUTED_VALUE"""),"Batch 353")</f>
        <v>Batch 353</v>
      </c>
      <c r="B8741" s="9" t="str">
        <f>IFERROR(__xludf.DUMMYFUNCTION("""COMPUTED_VALUE"""),"MehalC353")</f>
        <v>MehalC353</v>
      </c>
      <c r="C8741" s="8">
        <f>IFERROR(__xludf.DUMMYFUNCTION("""COMPUTED_VALUE"""),0.0)</f>
        <v>0</v>
      </c>
      <c r="D8741" s="8"/>
    </row>
    <row r="8742">
      <c r="A8742" s="9" t="str">
        <f>IFERROR(__xludf.DUMMYFUNCTION("""COMPUTED_VALUE"""),"Batch 353")</f>
        <v>Batch 353</v>
      </c>
      <c r="B8742" s="9" t="str">
        <f>IFERROR(__xludf.DUMMYFUNCTION("""COMPUTED_VALUE"""),"DevathiC353")</f>
        <v>DevathiC353</v>
      </c>
      <c r="C8742" s="8">
        <f>IFERROR(__xludf.DUMMYFUNCTION("""COMPUTED_VALUE"""),5.0)</f>
        <v>5</v>
      </c>
      <c r="D8742" s="8"/>
    </row>
    <row r="8743">
      <c r="A8743" s="9" t="str">
        <f>IFERROR(__xludf.DUMMYFUNCTION("""COMPUTED_VALUE"""),"Batch 353")</f>
        <v>Batch 353</v>
      </c>
      <c r="B8743" s="9" t="str">
        <f>IFERROR(__xludf.DUMMYFUNCTION("""COMPUTED_VALUE"""),"AyushiC353")</f>
        <v>AyushiC353</v>
      </c>
      <c r="C8743" s="8">
        <f>IFERROR(__xludf.DUMMYFUNCTION("""COMPUTED_VALUE"""),3.0)</f>
        <v>3</v>
      </c>
      <c r="D8743" s="8">
        <f>IFERROR(__xludf.DUMMYFUNCTION("""COMPUTED_VALUE"""),1.0)</f>
        <v>1</v>
      </c>
    </row>
    <row r="8744">
      <c r="A8744" s="9" t="str">
        <f>IFERROR(__xludf.DUMMYFUNCTION("""COMPUTED_VALUE"""),"Batch 353")</f>
        <v>Batch 353</v>
      </c>
      <c r="B8744" s="9" t="str">
        <f>IFERROR(__xludf.DUMMYFUNCTION("""COMPUTED_VALUE"""),"KrutikaC353")</f>
        <v>KrutikaC353</v>
      </c>
      <c r="C8744" s="8">
        <f>IFERROR(__xludf.DUMMYFUNCTION("""COMPUTED_VALUE"""),0.0)</f>
        <v>0</v>
      </c>
      <c r="D8744" s="8"/>
    </row>
    <row r="8745">
      <c r="A8745" s="9" t="str">
        <f>IFERROR(__xludf.DUMMYFUNCTION("""COMPUTED_VALUE"""),"Batch 353")</f>
        <v>Batch 353</v>
      </c>
      <c r="B8745" s="9" t="str">
        <f>IFERROR(__xludf.DUMMYFUNCTION("""COMPUTED_VALUE"""),"IshaC353")</f>
        <v>IshaC353</v>
      </c>
      <c r="C8745" s="8">
        <f>IFERROR(__xludf.DUMMYFUNCTION("""COMPUTED_VALUE"""),0.0)</f>
        <v>0</v>
      </c>
      <c r="D8745" s="8"/>
    </row>
    <row r="8746">
      <c r="A8746" s="9" t="str">
        <f>IFERROR(__xludf.DUMMYFUNCTION("""COMPUTED_VALUE"""),"Batch 353")</f>
        <v>Batch 353</v>
      </c>
      <c r="B8746" s="9" t="str">
        <f>IFERROR(__xludf.DUMMYFUNCTION("""COMPUTED_VALUE"""),"GUNNC353")</f>
        <v>GUNNC353</v>
      </c>
      <c r="C8746" s="8">
        <f>IFERROR(__xludf.DUMMYFUNCTION("""COMPUTED_VALUE"""),0.0)</f>
        <v>0</v>
      </c>
      <c r="D8746" s="8"/>
    </row>
    <row r="8747">
      <c r="A8747" s="9" t="str">
        <f>IFERROR(__xludf.DUMMYFUNCTION("""COMPUTED_VALUE"""),"Batch 353")</f>
        <v>Batch 353</v>
      </c>
      <c r="B8747" s="9" t="str">
        <f>IFERROR(__xludf.DUMMYFUNCTION("""COMPUTED_VALUE"""),"ApurvC353")</f>
        <v>ApurvC353</v>
      </c>
      <c r="C8747" s="8">
        <f>IFERROR(__xludf.DUMMYFUNCTION("""COMPUTED_VALUE"""),0.0)</f>
        <v>0</v>
      </c>
      <c r="D8747" s="8"/>
    </row>
    <row r="8748">
      <c r="A8748" s="9" t="str">
        <f>IFERROR(__xludf.DUMMYFUNCTION("""COMPUTED_VALUE"""),"Batch 353")</f>
        <v>Batch 353</v>
      </c>
      <c r="B8748" s="9" t="str">
        <f>IFERROR(__xludf.DUMMYFUNCTION("""COMPUTED_VALUE"""),"KaranC353")</f>
        <v>KaranC353</v>
      </c>
      <c r="C8748" s="8">
        <f>IFERROR(__xludf.DUMMYFUNCTION("""COMPUTED_VALUE"""),0.0)</f>
        <v>0</v>
      </c>
      <c r="D8748" s="8"/>
    </row>
    <row r="8749">
      <c r="A8749" s="9" t="str">
        <f>IFERROR(__xludf.DUMMYFUNCTION("""COMPUTED_VALUE"""),"Batch 353")</f>
        <v>Batch 353</v>
      </c>
      <c r="B8749" s="9" t="str">
        <f>IFERROR(__xludf.DUMMYFUNCTION("""COMPUTED_VALUE"""),"ShivenC353")</f>
        <v>ShivenC353</v>
      </c>
      <c r="C8749" s="8">
        <f>IFERROR(__xludf.DUMMYFUNCTION("""COMPUTED_VALUE"""),2.0)</f>
        <v>2</v>
      </c>
      <c r="D8749" s="8"/>
    </row>
    <row r="8750">
      <c r="A8750" s="9" t="str">
        <f>IFERROR(__xludf.DUMMYFUNCTION("""COMPUTED_VALUE"""),"Batch 353")</f>
        <v>Batch 353</v>
      </c>
      <c r="B8750" s="9" t="str">
        <f>IFERROR(__xludf.DUMMYFUNCTION("""COMPUTED_VALUE"""),"MayankC353")</f>
        <v>MayankC353</v>
      </c>
      <c r="C8750" s="8">
        <f>IFERROR(__xludf.DUMMYFUNCTION("""COMPUTED_VALUE"""),0.0)</f>
        <v>0</v>
      </c>
      <c r="D8750" s="8"/>
    </row>
    <row r="8751">
      <c r="A8751" s="9" t="str">
        <f>IFERROR(__xludf.DUMMYFUNCTION("""COMPUTED_VALUE"""),"Batch 353")</f>
        <v>Batch 353</v>
      </c>
      <c r="B8751" s="9" t="str">
        <f>IFERROR(__xludf.DUMMYFUNCTION("""COMPUTED_VALUE"""),"AryaveerC353")</f>
        <v>AryaveerC353</v>
      </c>
      <c r="C8751" s="8">
        <f>IFERROR(__xludf.DUMMYFUNCTION("""COMPUTED_VALUE"""),1.0)</f>
        <v>1</v>
      </c>
      <c r="D8751" s="8"/>
    </row>
    <row r="8752">
      <c r="A8752" s="9" t="str">
        <f>IFERROR(__xludf.DUMMYFUNCTION("""COMPUTED_VALUE"""),"Batch 353")</f>
        <v>Batch 353</v>
      </c>
      <c r="B8752" s="9" t="str">
        <f>IFERROR(__xludf.DUMMYFUNCTION("""COMPUTED_VALUE"""),"PriyanshuC353")</f>
        <v>PriyanshuC353</v>
      </c>
      <c r="C8752" s="8">
        <f>IFERROR(__xludf.DUMMYFUNCTION("""COMPUTED_VALUE"""),5.0)</f>
        <v>5</v>
      </c>
      <c r="D8752" s="8"/>
    </row>
    <row r="8753">
      <c r="A8753" s="9" t="str">
        <f>IFERROR(__xludf.DUMMYFUNCTION("""COMPUTED_VALUE"""),"Batch 353")</f>
        <v>Batch 353</v>
      </c>
      <c r="B8753" s="9" t="str">
        <f>IFERROR(__xludf.DUMMYFUNCTION("""COMPUTED_VALUE"""),"GunikaC353")</f>
        <v>GunikaC353</v>
      </c>
      <c r="C8753" s="8">
        <f>IFERROR(__xludf.DUMMYFUNCTION("""COMPUTED_VALUE"""),14.0)</f>
        <v>14</v>
      </c>
      <c r="D8753" s="8">
        <f>IFERROR(__xludf.DUMMYFUNCTION("""COMPUTED_VALUE"""),1.0)</f>
        <v>1</v>
      </c>
    </row>
    <row r="8754">
      <c r="A8754" s="9"/>
      <c r="B8754" s="9"/>
      <c r="C8754" s="8">
        <f>IFERROR(__xludf.DUMMYFUNCTION("""COMPUTED_VALUE"""),0.0)</f>
        <v>0</v>
      </c>
      <c r="D8754" s="8"/>
    </row>
    <row r="8755">
      <c r="A8755" s="9" t="str">
        <f>IFERROR(__xludf.DUMMYFUNCTION("""COMPUTED_VALUE"""),"Batch 354")</f>
        <v>Batch 354</v>
      </c>
      <c r="B8755" s="9" t="str">
        <f>IFERROR(__xludf.DUMMYFUNCTION("""COMPUTED_VALUE"""),"PushkarC354")</f>
        <v>PushkarC354</v>
      </c>
      <c r="C8755" s="8">
        <f>IFERROR(__xludf.DUMMYFUNCTION("""COMPUTED_VALUE"""),0.0)</f>
        <v>0</v>
      </c>
      <c r="D8755" s="8"/>
    </row>
    <row r="8756">
      <c r="A8756" s="9" t="str">
        <f>IFERROR(__xludf.DUMMYFUNCTION("""COMPUTED_VALUE"""),"Batch 354")</f>
        <v>Batch 354</v>
      </c>
      <c r="B8756" s="9" t="str">
        <f>IFERROR(__xludf.DUMMYFUNCTION("""COMPUTED_VALUE"""),"BhuviC354")</f>
        <v>BhuviC354</v>
      </c>
      <c r="C8756" s="8">
        <f>IFERROR(__xludf.DUMMYFUNCTION("""COMPUTED_VALUE"""),0.0)</f>
        <v>0</v>
      </c>
      <c r="D8756" s="8"/>
    </row>
    <row r="8757">
      <c r="A8757" s="9" t="str">
        <f>IFERROR(__xludf.DUMMYFUNCTION("""COMPUTED_VALUE"""),"Batch 354")</f>
        <v>Batch 354</v>
      </c>
      <c r="B8757" s="9" t="str">
        <f>IFERROR(__xludf.DUMMYFUNCTION("""COMPUTED_VALUE"""),"UmraC354")</f>
        <v>UmraC354</v>
      </c>
      <c r="C8757" s="8">
        <f>IFERROR(__xludf.DUMMYFUNCTION("""COMPUTED_VALUE"""),2.0)</f>
        <v>2</v>
      </c>
      <c r="D8757" s="8"/>
    </row>
    <row r="8758">
      <c r="A8758" s="9" t="str">
        <f>IFERROR(__xludf.DUMMYFUNCTION("""COMPUTED_VALUE"""),"Batch 354")</f>
        <v>Batch 354</v>
      </c>
      <c r="B8758" s="9" t="str">
        <f>IFERROR(__xludf.DUMMYFUNCTION("""COMPUTED_VALUE"""),"INDRANIC354")</f>
        <v>INDRANIC354</v>
      </c>
      <c r="C8758" s="8">
        <f>IFERROR(__xludf.DUMMYFUNCTION("""COMPUTED_VALUE"""),0.0)</f>
        <v>0</v>
      </c>
      <c r="D8758" s="8"/>
    </row>
    <row r="8759">
      <c r="A8759" s="9" t="str">
        <f>IFERROR(__xludf.DUMMYFUNCTION("""COMPUTED_VALUE"""),"Batch 354")</f>
        <v>Batch 354</v>
      </c>
      <c r="B8759" s="9" t="str">
        <f>IFERROR(__xludf.DUMMYFUNCTION("""COMPUTED_VALUE"""),"DEEPANSHUC354")</f>
        <v>DEEPANSHUC354</v>
      </c>
      <c r="C8759" s="8">
        <f>IFERROR(__xludf.DUMMYFUNCTION("""COMPUTED_VALUE"""),0.0)</f>
        <v>0</v>
      </c>
      <c r="D8759" s="8"/>
    </row>
    <row r="8760">
      <c r="A8760" s="9" t="str">
        <f>IFERROR(__xludf.DUMMYFUNCTION("""COMPUTED_VALUE"""),"Batch 354")</f>
        <v>Batch 354</v>
      </c>
      <c r="B8760" s="9" t="str">
        <f>IFERROR(__xludf.DUMMYFUNCTION("""COMPUTED_VALUE"""),"AaryaC354")</f>
        <v>AaryaC354</v>
      </c>
      <c r="C8760" s="8">
        <f>IFERROR(__xludf.DUMMYFUNCTION("""COMPUTED_VALUE"""),0.0)</f>
        <v>0</v>
      </c>
      <c r="D8760" s="8"/>
    </row>
    <row r="8761">
      <c r="A8761" s="9" t="str">
        <f>IFERROR(__xludf.DUMMYFUNCTION("""COMPUTED_VALUE"""),"Batch 354")</f>
        <v>Batch 354</v>
      </c>
      <c r="B8761" s="9" t="str">
        <f>IFERROR(__xludf.DUMMYFUNCTION("""COMPUTED_VALUE"""),"AnamikaC354")</f>
        <v>AnamikaC354</v>
      </c>
      <c r="C8761" s="8">
        <f>IFERROR(__xludf.DUMMYFUNCTION("""COMPUTED_VALUE"""),0.0)</f>
        <v>0</v>
      </c>
      <c r="D8761" s="8"/>
    </row>
    <row r="8762">
      <c r="A8762" s="9" t="str">
        <f>IFERROR(__xludf.DUMMYFUNCTION("""COMPUTED_VALUE"""),"Batch 354")</f>
        <v>Batch 354</v>
      </c>
      <c r="B8762" s="9" t="str">
        <f>IFERROR(__xludf.DUMMYFUNCTION("""COMPUTED_VALUE"""),"FarisC354")</f>
        <v>FarisC354</v>
      </c>
      <c r="C8762" s="8">
        <f>IFERROR(__xludf.DUMMYFUNCTION("""COMPUTED_VALUE"""),0.0)</f>
        <v>0</v>
      </c>
      <c r="D8762" s="8"/>
    </row>
    <row r="8763">
      <c r="A8763" s="9" t="str">
        <f>IFERROR(__xludf.DUMMYFUNCTION("""COMPUTED_VALUE"""),"Batch 354")</f>
        <v>Batch 354</v>
      </c>
      <c r="B8763" s="9" t="str">
        <f>IFERROR(__xludf.DUMMYFUNCTION("""COMPUTED_VALUE"""),"DhrutiC354")</f>
        <v>DhrutiC354</v>
      </c>
      <c r="C8763" s="8">
        <f>IFERROR(__xludf.DUMMYFUNCTION("""COMPUTED_VALUE"""),0.0)</f>
        <v>0</v>
      </c>
      <c r="D8763" s="8"/>
    </row>
    <row r="8764">
      <c r="A8764" s="9" t="str">
        <f>IFERROR(__xludf.DUMMYFUNCTION("""COMPUTED_VALUE"""),"Batch 354")</f>
        <v>Batch 354</v>
      </c>
      <c r="B8764" s="9" t="str">
        <f>IFERROR(__xludf.DUMMYFUNCTION("""COMPUTED_VALUE"""),"RigvedC354")</f>
        <v>RigvedC354</v>
      </c>
      <c r="C8764" s="8">
        <f>IFERROR(__xludf.DUMMYFUNCTION("""COMPUTED_VALUE"""),0.0)</f>
        <v>0</v>
      </c>
      <c r="D8764" s="8"/>
    </row>
    <row r="8765">
      <c r="A8765" s="9" t="str">
        <f>IFERROR(__xludf.DUMMYFUNCTION("""COMPUTED_VALUE"""),"Batch 354")</f>
        <v>Batch 354</v>
      </c>
      <c r="B8765" s="9" t="str">
        <f>IFERROR(__xludf.DUMMYFUNCTION("""COMPUTED_VALUE"""),"VishnuC354")</f>
        <v>VishnuC354</v>
      </c>
      <c r="C8765" s="8">
        <f>IFERROR(__xludf.DUMMYFUNCTION("""COMPUTED_VALUE"""),0.0)</f>
        <v>0</v>
      </c>
      <c r="D8765" s="8"/>
    </row>
    <row r="8766">
      <c r="A8766" s="9" t="str">
        <f>IFERROR(__xludf.DUMMYFUNCTION("""COMPUTED_VALUE"""),"Batch 354")</f>
        <v>Batch 354</v>
      </c>
      <c r="B8766" s="9" t="str">
        <f>IFERROR(__xludf.DUMMYFUNCTION("""COMPUTED_VALUE"""),"JessicaC354")</f>
        <v>JessicaC354</v>
      </c>
      <c r="C8766" s="8">
        <f>IFERROR(__xludf.DUMMYFUNCTION("""COMPUTED_VALUE"""),0.0)</f>
        <v>0</v>
      </c>
      <c r="D8766" s="8"/>
    </row>
    <row r="8767">
      <c r="A8767" s="9" t="str">
        <f>IFERROR(__xludf.DUMMYFUNCTION("""COMPUTED_VALUE"""),"Batch 354")</f>
        <v>Batch 354</v>
      </c>
      <c r="B8767" s="9" t="str">
        <f>IFERROR(__xludf.DUMMYFUNCTION("""COMPUTED_VALUE"""),"AyushiC354")</f>
        <v>AyushiC354</v>
      </c>
      <c r="C8767" s="8">
        <f>IFERROR(__xludf.DUMMYFUNCTION("""COMPUTED_VALUE"""),0.0)</f>
        <v>0</v>
      </c>
      <c r="D8767" s="8"/>
    </row>
    <row r="8768">
      <c r="A8768" s="9" t="str">
        <f>IFERROR(__xludf.DUMMYFUNCTION("""COMPUTED_VALUE"""),"Batch 354")</f>
        <v>Batch 354</v>
      </c>
      <c r="B8768" s="9" t="str">
        <f>IFERROR(__xludf.DUMMYFUNCTION("""COMPUTED_VALUE"""),"AnveshaC354")</f>
        <v>AnveshaC354</v>
      </c>
      <c r="C8768" s="8">
        <f>IFERROR(__xludf.DUMMYFUNCTION("""COMPUTED_VALUE"""),0.0)</f>
        <v>0</v>
      </c>
      <c r="D8768" s="8"/>
    </row>
    <row r="8769">
      <c r="A8769" s="9" t="str">
        <f>IFERROR(__xludf.DUMMYFUNCTION("""COMPUTED_VALUE"""),"Batch 354")</f>
        <v>Batch 354</v>
      </c>
      <c r="B8769" s="9" t="str">
        <f>IFERROR(__xludf.DUMMYFUNCTION("""COMPUTED_VALUE"""),"KalyaniC354")</f>
        <v>KalyaniC354</v>
      </c>
      <c r="C8769" s="8">
        <f>IFERROR(__xludf.DUMMYFUNCTION("""COMPUTED_VALUE"""),0.0)</f>
        <v>0</v>
      </c>
      <c r="D8769" s="8"/>
    </row>
    <row r="8770">
      <c r="A8770" s="9" t="str">
        <f>IFERROR(__xludf.DUMMYFUNCTION("""COMPUTED_VALUE"""),"Batch 354")</f>
        <v>Batch 354</v>
      </c>
      <c r="B8770" s="9" t="str">
        <f>IFERROR(__xludf.DUMMYFUNCTION("""COMPUTED_VALUE"""),"PushkinC354")</f>
        <v>PushkinC354</v>
      </c>
      <c r="C8770" s="8">
        <f>IFERROR(__xludf.DUMMYFUNCTION("""COMPUTED_VALUE"""),15.0)</f>
        <v>15</v>
      </c>
      <c r="D8770" s="8">
        <f>IFERROR(__xludf.DUMMYFUNCTION("""COMPUTED_VALUE"""),1.0)</f>
        <v>1</v>
      </c>
    </row>
    <row r="8771">
      <c r="A8771" s="9" t="str">
        <f>IFERROR(__xludf.DUMMYFUNCTION("""COMPUTED_VALUE"""),"Batch 354")</f>
        <v>Batch 354</v>
      </c>
      <c r="B8771" s="9" t="str">
        <f>IFERROR(__xludf.DUMMYFUNCTION("""COMPUTED_VALUE"""),"MiruthulaC354")</f>
        <v>MiruthulaC354</v>
      </c>
      <c r="C8771" s="8">
        <f>IFERROR(__xludf.DUMMYFUNCTION("""COMPUTED_VALUE"""),0.0)</f>
        <v>0</v>
      </c>
      <c r="D8771" s="8"/>
    </row>
    <row r="8772">
      <c r="A8772" s="9" t="str">
        <f>IFERROR(__xludf.DUMMYFUNCTION("""COMPUTED_VALUE"""),"Batch 354")</f>
        <v>Batch 354</v>
      </c>
      <c r="B8772" s="9" t="str">
        <f>IFERROR(__xludf.DUMMYFUNCTION("""COMPUTED_VALUE"""),"avneetC354")</f>
        <v>avneetC354</v>
      </c>
      <c r="C8772" s="8">
        <f>IFERROR(__xludf.DUMMYFUNCTION("""COMPUTED_VALUE"""),102.0)</f>
        <v>102</v>
      </c>
      <c r="D8772" s="8">
        <f>IFERROR(__xludf.DUMMYFUNCTION("""COMPUTED_VALUE"""),26.0)</f>
        <v>26</v>
      </c>
    </row>
    <row r="8773">
      <c r="A8773" s="9" t="str">
        <f>IFERROR(__xludf.DUMMYFUNCTION("""COMPUTED_VALUE"""),"Batch 354")</f>
        <v>Batch 354</v>
      </c>
      <c r="B8773" s="9" t="str">
        <f>IFERROR(__xludf.DUMMYFUNCTION("""COMPUTED_VALUE"""),"ShubhamC354")</f>
        <v>ShubhamC354</v>
      </c>
      <c r="C8773" s="8">
        <f>IFERROR(__xludf.DUMMYFUNCTION("""COMPUTED_VALUE"""),0.0)</f>
        <v>0</v>
      </c>
      <c r="D8773" s="8"/>
    </row>
    <row r="8774">
      <c r="A8774" s="9" t="str">
        <f>IFERROR(__xludf.DUMMYFUNCTION("""COMPUTED_VALUE"""),"Batch 354")</f>
        <v>Batch 354</v>
      </c>
      <c r="B8774" s="9" t="str">
        <f>IFERROR(__xludf.DUMMYFUNCTION("""COMPUTED_VALUE"""),"PranavC354")</f>
        <v>PranavC354</v>
      </c>
      <c r="C8774" s="8">
        <f>IFERROR(__xludf.DUMMYFUNCTION("""COMPUTED_VALUE"""),7.0)</f>
        <v>7</v>
      </c>
      <c r="D8774" s="8"/>
    </row>
    <row r="8775">
      <c r="A8775" s="9" t="str">
        <f>IFERROR(__xludf.DUMMYFUNCTION("""COMPUTED_VALUE"""),"Batch 354")</f>
        <v>Batch 354</v>
      </c>
      <c r="B8775" s="9" t="str">
        <f>IFERROR(__xludf.DUMMYFUNCTION("""COMPUTED_VALUE"""),"AakritiC354")</f>
        <v>AakritiC354</v>
      </c>
      <c r="C8775" s="8">
        <f>IFERROR(__xludf.DUMMYFUNCTION("""COMPUTED_VALUE"""),0.0)</f>
        <v>0</v>
      </c>
      <c r="D8775" s="8"/>
    </row>
    <row r="8776">
      <c r="A8776" s="9" t="str">
        <f>IFERROR(__xludf.DUMMYFUNCTION("""COMPUTED_VALUE"""),"Batch 354")</f>
        <v>Batch 354</v>
      </c>
      <c r="B8776" s="9" t="str">
        <f>IFERROR(__xludf.DUMMYFUNCTION("""COMPUTED_VALUE"""),"ShreyaC354")</f>
        <v>ShreyaC354</v>
      </c>
      <c r="C8776" s="8">
        <f>IFERROR(__xludf.DUMMYFUNCTION("""COMPUTED_VALUE"""),0.0)</f>
        <v>0</v>
      </c>
      <c r="D8776" s="8"/>
    </row>
    <row r="8777">
      <c r="A8777" s="9" t="str">
        <f>IFERROR(__xludf.DUMMYFUNCTION("""COMPUTED_VALUE"""),"Batch 354")</f>
        <v>Batch 354</v>
      </c>
      <c r="B8777" s="9" t="str">
        <f>IFERROR(__xludf.DUMMYFUNCTION("""COMPUTED_VALUE"""),"SwaraC354")</f>
        <v>SwaraC354</v>
      </c>
      <c r="C8777" s="8">
        <f>IFERROR(__xludf.DUMMYFUNCTION("""COMPUTED_VALUE"""),0.0)</f>
        <v>0</v>
      </c>
      <c r="D8777" s="8"/>
    </row>
    <row r="8778">
      <c r="A8778" s="9" t="str">
        <f>IFERROR(__xludf.DUMMYFUNCTION("""COMPUTED_VALUE"""),"Batch 354")</f>
        <v>Batch 354</v>
      </c>
      <c r="B8778" s="9" t="str">
        <f>IFERROR(__xludf.DUMMYFUNCTION("""COMPUTED_VALUE"""),"HAFIZURC354")</f>
        <v>HAFIZURC354</v>
      </c>
      <c r="C8778" s="8">
        <f>IFERROR(__xludf.DUMMYFUNCTION("""COMPUTED_VALUE"""),0.0)</f>
        <v>0</v>
      </c>
      <c r="D8778" s="8"/>
    </row>
    <row r="8779">
      <c r="A8779" s="9" t="str">
        <f>IFERROR(__xludf.DUMMYFUNCTION("""COMPUTED_VALUE"""),"Batch 354")</f>
        <v>Batch 354</v>
      </c>
      <c r="B8779" s="9" t="str">
        <f>IFERROR(__xludf.DUMMYFUNCTION("""COMPUTED_VALUE"""),"KaranC354")</f>
        <v>KaranC354</v>
      </c>
      <c r="C8779" s="8">
        <f>IFERROR(__xludf.DUMMYFUNCTION("""COMPUTED_VALUE"""),0.0)</f>
        <v>0</v>
      </c>
      <c r="D8779" s="8"/>
    </row>
    <row r="8780">
      <c r="A8780" s="9" t="str">
        <f>IFERROR(__xludf.DUMMYFUNCTION("""COMPUTED_VALUE"""),"Batch 354")</f>
        <v>Batch 354</v>
      </c>
      <c r="B8780" s="9" t="str">
        <f>IFERROR(__xludf.DUMMYFUNCTION("""COMPUTED_VALUE"""),"ShivenC354")</f>
        <v>ShivenC354</v>
      </c>
      <c r="C8780" s="8">
        <f>IFERROR(__xludf.DUMMYFUNCTION("""COMPUTED_VALUE"""),0.0)</f>
        <v>0</v>
      </c>
      <c r="D8780" s="8"/>
    </row>
    <row r="8781">
      <c r="A8781" s="9" t="str">
        <f>IFERROR(__xludf.DUMMYFUNCTION("""COMPUTED_VALUE"""),"Batch 354")</f>
        <v>Batch 354</v>
      </c>
      <c r="B8781" s="9" t="str">
        <f>IFERROR(__xludf.DUMMYFUNCTION("""COMPUTED_VALUE"""),"MayankC354")</f>
        <v>MayankC354</v>
      </c>
      <c r="C8781" s="8">
        <f>IFERROR(__xludf.DUMMYFUNCTION("""COMPUTED_VALUE"""),0.0)</f>
        <v>0</v>
      </c>
      <c r="D8781" s="8"/>
    </row>
    <row r="8782">
      <c r="A8782" s="9" t="str">
        <f>IFERROR(__xludf.DUMMYFUNCTION("""COMPUTED_VALUE"""),"Batch 354")</f>
        <v>Batch 354</v>
      </c>
      <c r="B8782" s="9" t="str">
        <f>IFERROR(__xludf.DUMMYFUNCTION("""COMPUTED_VALUE"""),"AryaveerC354")</f>
        <v>AryaveerC354</v>
      </c>
      <c r="C8782" s="8">
        <f>IFERROR(__xludf.DUMMYFUNCTION("""COMPUTED_VALUE"""),0.0)</f>
        <v>0</v>
      </c>
      <c r="D8782" s="8"/>
    </row>
    <row r="8783">
      <c r="A8783" s="9" t="str">
        <f>IFERROR(__xludf.DUMMYFUNCTION("""COMPUTED_VALUE"""),"Batch 354")</f>
        <v>Batch 354</v>
      </c>
      <c r="B8783" s="9" t="str">
        <f>IFERROR(__xludf.DUMMYFUNCTION("""COMPUTED_VALUE"""),"PriyanshuC354")</f>
        <v>PriyanshuC354</v>
      </c>
      <c r="C8783" s="8">
        <f>IFERROR(__xludf.DUMMYFUNCTION("""COMPUTED_VALUE"""),0.0)</f>
        <v>0</v>
      </c>
      <c r="D8783" s="8"/>
    </row>
    <row r="8784">
      <c r="A8784" s="9" t="str">
        <f>IFERROR(__xludf.DUMMYFUNCTION("""COMPUTED_VALUE"""),"Batch 354")</f>
        <v>Batch 354</v>
      </c>
      <c r="B8784" s="9" t="str">
        <f>IFERROR(__xludf.DUMMYFUNCTION("""COMPUTED_VALUE"""),"AkshatC354")</f>
        <v>AkshatC354</v>
      </c>
      <c r="C8784" s="8">
        <f>IFERROR(__xludf.DUMMYFUNCTION("""COMPUTED_VALUE"""),0.0)</f>
        <v>0</v>
      </c>
      <c r="D8784" s="8"/>
    </row>
    <row r="8785">
      <c r="A8785" s="9" t="str">
        <f>IFERROR(__xludf.DUMMYFUNCTION("""COMPUTED_VALUE"""),"Batch 354")</f>
        <v>Batch 354</v>
      </c>
      <c r="B8785" s="9" t="str">
        <f>IFERROR(__xludf.DUMMYFUNCTION("""COMPUTED_VALUE"""),"AmitC354")</f>
        <v>AmitC354</v>
      </c>
      <c r="C8785" s="8">
        <f>IFERROR(__xludf.DUMMYFUNCTION("""COMPUTED_VALUE"""),0.0)</f>
        <v>0</v>
      </c>
      <c r="D8785" s="8"/>
    </row>
    <row r="8786">
      <c r="A8786" s="9" t="str">
        <f>IFERROR(__xludf.DUMMYFUNCTION("""COMPUTED_VALUE"""),"Batch 354")</f>
        <v>Batch 354</v>
      </c>
      <c r="B8786" s="9" t="str">
        <f>IFERROR(__xludf.DUMMYFUNCTION("""COMPUTED_VALUE"""),"NamanC354")</f>
        <v>NamanC354</v>
      </c>
      <c r="C8786" s="8">
        <f>IFERROR(__xludf.DUMMYFUNCTION("""COMPUTED_VALUE"""),0.0)</f>
        <v>0</v>
      </c>
      <c r="D8786" s="8"/>
    </row>
    <row r="8787">
      <c r="A8787" s="9" t="str">
        <f>IFERROR(__xludf.DUMMYFUNCTION("""COMPUTED_VALUE"""),"Batch 354")</f>
        <v>Batch 354</v>
      </c>
      <c r="B8787" s="9" t="str">
        <f>IFERROR(__xludf.DUMMYFUNCTION("""COMPUTED_VALUE"""),"P.PriyadharshiniC354")</f>
        <v>P.PriyadharshiniC354</v>
      </c>
      <c r="C8787" s="8">
        <f>IFERROR(__xludf.DUMMYFUNCTION("""COMPUTED_VALUE"""),0.0)</f>
        <v>0</v>
      </c>
      <c r="D8787" s="8"/>
    </row>
    <row r="8788">
      <c r="A8788" s="9" t="str">
        <f>IFERROR(__xludf.DUMMYFUNCTION("""COMPUTED_VALUE"""),"Batch 354")</f>
        <v>Batch 354</v>
      </c>
      <c r="B8788" s="9" t="str">
        <f>IFERROR(__xludf.DUMMYFUNCTION("""COMPUTED_VALUE"""),"KritiC354")</f>
        <v>KritiC354</v>
      </c>
      <c r="C8788" s="8">
        <f>IFERROR(__xludf.DUMMYFUNCTION("""COMPUTED_VALUE"""),0.0)</f>
        <v>0</v>
      </c>
      <c r="D8788" s="8"/>
    </row>
    <row r="8789">
      <c r="A8789" s="9" t="str">
        <f>IFERROR(__xludf.DUMMYFUNCTION("""COMPUTED_VALUE"""),"Batch 354")</f>
        <v>Batch 354</v>
      </c>
      <c r="B8789" s="9" t="str">
        <f>IFERROR(__xludf.DUMMYFUNCTION("""COMPUTED_VALUE"""),"MUSHARRAFC354")</f>
        <v>MUSHARRAFC354</v>
      </c>
      <c r="C8789" s="8">
        <f>IFERROR(__xludf.DUMMYFUNCTION("""COMPUTED_VALUE"""),0.0)</f>
        <v>0</v>
      </c>
      <c r="D8789" s="8"/>
    </row>
    <row r="8790">
      <c r="A8790" s="9" t="str">
        <f>IFERROR(__xludf.DUMMYFUNCTION("""COMPUTED_VALUE"""),"Batch 354")</f>
        <v>Batch 354</v>
      </c>
      <c r="B8790" s="9" t="str">
        <f>IFERROR(__xludf.DUMMYFUNCTION("""COMPUTED_VALUE"""),"AbhinandanC354")</f>
        <v>AbhinandanC354</v>
      </c>
      <c r="C8790" s="8">
        <f>IFERROR(__xludf.DUMMYFUNCTION("""COMPUTED_VALUE"""),0.0)</f>
        <v>0</v>
      </c>
      <c r="D8790" s="8"/>
    </row>
    <row r="8791">
      <c r="A8791" s="9" t="str">
        <f>IFERROR(__xludf.DUMMYFUNCTION("""COMPUTED_VALUE"""),"Batch 354")</f>
        <v>Batch 354</v>
      </c>
      <c r="B8791" s="9" t="str">
        <f>IFERROR(__xludf.DUMMYFUNCTION("""COMPUTED_VALUE"""),"KarthikC354")</f>
        <v>KarthikC354</v>
      </c>
      <c r="C8791" s="8">
        <f>IFERROR(__xludf.DUMMYFUNCTION("""COMPUTED_VALUE"""),0.0)</f>
        <v>0</v>
      </c>
      <c r="D8791" s="8"/>
    </row>
    <row r="8792">
      <c r="A8792" s="9" t="str">
        <f>IFERROR(__xludf.DUMMYFUNCTION("""COMPUTED_VALUE"""),"Batch 354")</f>
        <v>Batch 354</v>
      </c>
      <c r="B8792" s="9" t="str">
        <f>IFERROR(__xludf.DUMMYFUNCTION("""COMPUTED_VALUE"""),"AnkitC354")</f>
        <v>AnkitC354</v>
      </c>
      <c r="C8792" s="8">
        <f>IFERROR(__xludf.DUMMYFUNCTION("""COMPUTED_VALUE"""),0.0)</f>
        <v>0</v>
      </c>
      <c r="D8792" s="8"/>
    </row>
    <row r="8793">
      <c r="A8793" s="9" t="str">
        <f>IFERROR(__xludf.DUMMYFUNCTION("""COMPUTED_VALUE"""),"Batch 354")</f>
        <v>Batch 354</v>
      </c>
      <c r="B8793" s="9" t="str">
        <f>IFERROR(__xludf.DUMMYFUNCTION("""COMPUTED_VALUE"""),"AaryaC354")</f>
        <v>AaryaC354</v>
      </c>
      <c r="C8793" s="8">
        <f>IFERROR(__xludf.DUMMYFUNCTION("""COMPUTED_VALUE"""),0.0)</f>
        <v>0</v>
      </c>
      <c r="D8793" s="8"/>
    </row>
    <row r="8794">
      <c r="A8794" s="9" t="str">
        <f>IFERROR(__xludf.DUMMYFUNCTION("""COMPUTED_VALUE"""),"Batch 354")</f>
        <v>Batch 354</v>
      </c>
      <c r="B8794" s="9" t="str">
        <f>IFERROR(__xludf.DUMMYFUNCTION("""COMPUTED_VALUE"""),"devC354")</f>
        <v>devC354</v>
      </c>
      <c r="C8794" s="8">
        <f>IFERROR(__xludf.DUMMYFUNCTION("""COMPUTED_VALUE"""),0.0)</f>
        <v>0</v>
      </c>
      <c r="D8794" s="8"/>
    </row>
    <row r="8795">
      <c r="A8795" s="9" t="str">
        <f>IFERROR(__xludf.DUMMYFUNCTION("""COMPUTED_VALUE"""),"Batch 354")</f>
        <v>Batch 354</v>
      </c>
      <c r="B8795" s="9" t="str">
        <f>IFERROR(__xludf.DUMMYFUNCTION("""COMPUTED_VALUE"""),"SuhaniC354")</f>
        <v>SuhaniC354</v>
      </c>
      <c r="C8795" s="8">
        <f>IFERROR(__xludf.DUMMYFUNCTION("""COMPUTED_VALUE"""),0.0)</f>
        <v>0</v>
      </c>
      <c r="D8795" s="8"/>
    </row>
    <row r="8796">
      <c r="A8796" s="9" t="str">
        <f>IFERROR(__xludf.DUMMYFUNCTION("""COMPUTED_VALUE"""),"Batch 354")</f>
        <v>Batch 354</v>
      </c>
      <c r="B8796" s="9" t="str">
        <f>IFERROR(__xludf.DUMMYFUNCTION("""COMPUTED_VALUE"""),"DiyaC354")</f>
        <v>DiyaC354</v>
      </c>
      <c r="C8796" s="8">
        <f>IFERROR(__xludf.DUMMYFUNCTION("""COMPUTED_VALUE"""),1.0)</f>
        <v>1</v>
      </c>
      <c r="D8796" s="8"/>
    </row>
    <row r="8797">
      <c r="A8797" s="9"/>
      <c r="B8797" s="9"/>
      <c r="C8797" s="8">
        <f>IFERROR(__xludf.DUMMYFUNCTION("""COMPUTED_VALUE"""),0.0)</f>
        <v>0</v>
      </c>
      <c r="D8797" s="8"/>
    </row>
    <row r="8798">
      <c r="A8798" s="9" t="str">
        <f>IFERROR(__xludf.DUMMYFUNCTION("""COMPUTED_VALUE"""),"Batch 355")</f>
        <v>Batch 355</v>
      </c>
      <c r="B8798" s="9" t="str">
        <f>IFERROR(__xludf.DUMMYFUNCTION("""COMPUTED_VALUE"""),"PushkarSC355")</f>
        <v>PushkarSC355</v>
      </c>
      <c r="C8798" s="8">
        <f>IFERROR(__xludf.DUMMYFUNCTION("""COMPUTED_VALUE"""),4.0)</f>
        <v>4</v>
      </c>
      <c r="D8798" s="8">
        <f>IFERROR(__xludf.DUMMYFUNCTION("""COMPUTED_VALUE"""),2.0)</f>
        <v>2</v>
      </c>
    </row>
    <row r="8799">
      <c r="A8799" s="9" t="str">
        <f>IFERROR(__xludf.DUMMYFUNCTION("""COMPUTED_VALUE"""),"Batch 355")</f>
        <v>Batch 355</v>
      </c>
      <c r="B8799" s="9" t="str">
        <f>IFERROR(__xludf.DUMMYFUNCTION("""COMPUTED_VALUE"""),"AmanC355")</f>
        <v>AmanC355</v>
      </c>
      <c r="C8799" s="8">
        <f>IFERROR(__xludf.DUMMYFUNCTION("""COMPUTED_VALUE"""),0.0)</f>
        <v>0</v>
      </c>
      <c r="D8799" s="8"/>
    </row>
    <row r="8800">
      <c r="A8800" s="9" t="str">
        <f>IFERROR(__xludf.DUMMYFUNCTION("""COMPUTED_VALUE"""),"Batch 355")</f>
        <v>Batch 355</v>
      </c>
      <c r="B8800" s="9" t="str">
        <f>IFERROR(__xludf.DUMMYFUNCTION("""COMPUTED_VALUE"""),"SudipC355")</f>
        <v>SudipC355</v>
      </c>
      <c r="C8800" s="8">
        <f>IFERROR(__xludf.DUMMYFUNCTION("""COMPUTED_VALUE"""),0.0)</f>
        <v>0</v>
      </c>
      <c r="D8800" s="8"/>
    </row>
    <row r="8801">
      <c r="A8801" s="9" t="str">
        <f>IFERROR(__xludf.DUMMYFUNCTION("""COMPUTED_VALUE"""),"Batch 355")</f>
        <v>Batch 355</v>
      </c>
      <c r="B8801" s="9" t="str">
        <f>IFERROR(__xludf.DUMMYFUNCTION("""COMPUTED_VALUE"""),"MayankC355")</f>
        <v>MayankC355</v>
      </c>
      <c r="C8801" s="8">
        <f>IFERROR(__xludf.DUMMYFUNCTION("""COMPUTED_VALUE"""),0.0)</f>
        <v>0</v>
      </c>
      <c r="D8801" s="8"/>
    </row>
    <row r="8802">
      <c r="A8802" s="9" t="str">
        <f>IFERROR(__xludf.DUMMYFUNCTION("""COMPUTED_VALUE"""),"Batch 355")</f>
        <v>Batch 355</v>
      </c>
      <c r="B8802" s="9" t="str">
        <f>IFERROR(__xludf.DUMMYFUNCTION("""COMPUTED_VALUE"""),"AmanC355")</f>
        <v>AmanC355</v>
      </c>
      <c r="C8802" s="8">
        <f>IFERROR(__xludf.DUMMYFUNCTION("""COMPUTED_VALUE"""),0.0)</f>
        <v>0</v>
      </c>
      <c r="D8802" s="8"/>
    </row>
    <row r="8803">
      <c r="A8803" s="9" t="str">
        <f>IFERROR(__xludf.DUMMYFUNCTION("""COMPUTED_VALUE"""),"Batch 355")</f>
        <v>Batch 355</v>
      </c>
      <c r="B8803" s="9" t="str">
        <f>IFERROR(__xludf.DUMMYFUNCTION("""COMPUTED_VALUE"""),"SanjayC355")</f>
        <v>SanjayC355</v>
      </c>
      <c r="C8803" s="8">
        <f>IFERROR(__xludf.DUMMYFUNCTION("""COMPUTED_VALUE"""),0.0)</f>
        <v>0</v>
      </c>
      <c r="D8803" s="8"/>
    </row>
    <row r="8804">
      <c r="A8804" s="9" t="str">
        <f>IFERROR(__xludf.DUMMYFUNCTION("""COMPUTED_VALUE"""),"Batch 355")</f>
        <v>Batch 355</v>
      </c>
      <c r="B8804" s="9" t="str">
        <f>IFERROR(__xludf.DUMMYFUNCTION("""COMPUTED_VALUE"""),"MahreenC355")</f>
        <v>MahreenC355</v>
      </c>
      <c r="C8804" s="8">
        <f>IFERROR(__xludf.DUMMYFUNCTION("""COMPUTED_VALUE"""),0.0)</f>
        <v>0</v>
      </c>
      <c r="D8804" s="8"/>
    </row>
    <row r="8805">
      <c r="A8805" s="9" t="str">
        <f>IFERROR(__xludf.DUMMYFUNCTION("""COMPUTED_VALUE"""),"Batch 355")</f>
        <v>Batch 355</v>
      </c>
      <c r="B8805" s="9" t="str">
        <f>IFERROR(__xludf.DUMMYFUNCTION("""COMPUTED_VALUE"""),"KartikC355")</f>
        <v>KartikC355</v>
      </c>
      <c r="C8805" s="8">
        <f>IFERROR(__xludf.DUMMYFUNCTION("""COMPUTED_VALUE"""),0.0)</f>
        <v>0</v>
      </c>
      <c r="D8805" s="8"/>
    </row>
    <row r="8806">
      <c r="A8806" s="9" t="str">
        <f>IFERROR(__xludf.DUMMYFUNCTION("""COMPUTED_VALUE"""),"Batch 355")</f>
        <v>Batch 355</v>
      </c>
      <c r="B8806" s="9" t="str">
        <f>IFERROR(__xludf.DUMMYFUNCTION("""COMPUTED_VALUE"""),"KavyaC355")</f>
        <v>KavyaC355</v>
      </c>
      <c r="C8806" s="8">
        <f>IFERROR(__xludf.DUMMYFUNCTION("""COMPUTED_VALUE"""),0.0)</f>
        <v>0</v>
      </c>
      <c r="D8806" s="8"/>
    </row>
    <row r="8807">
      <c r="A8807" s="9" t="str">
        <f>IFERROR(__xludf.DUMMYFUNCTION("""COMPUTED_VALUE"""),"Batch 355")</f>
        <v>Batch 355</v>
      </c>
      <c r="B8807" s="9" t="str">
        <f>IFERROR(__xludf.DUMMYFUNCTION("""COMPUTED_VALUE"""),"AniketC355")</f>
        <v>AniketC355</v>
      </c>
      <c r="C8807" s="8">
        <f>IFERROR(__xludf.DUMMYFUNCTION("""COMPUTED_VALUE"""),0.0)</f>
        <v>0</v>
      </c>
      <c r="D8807" s="8"/>
    </row>
    <row r="8808">
      <c r="A8808" s="9" t="str">
        <f>IFERROR(__xludf.DUMMYFUNCTION("""COMPUTED_VALUE"""),"Batch 355")</f>
        <v>Batch 355</v>
      </c>
      <c r="B8808" s="9" t="str">
        <f>IFERROR(__xludf.DUMMYFUNCTION("""COMPUTED_VALUE"""),"HarshC355")</f>
        <v>HarshC355</v>
      </c>
      <c r="C8808" s="8">
        <f>IFERROR(__xludf.DUMMYFUNCTION("""COMPUTED_VALUE"""),0.0)</f>
        <v>0</v>
      </c>
      <c r="D8808" s="8"/>
    </row>
    <row r="8809">
      <c r="A8809" s="9" t="str">
        <f>IFERROR(__xludf.DUMMYFUNCTION("""COMPUTED_VALUE"""),"Batch 355")</f>
        <v>Batch 355</v>
      </c>
      <c r="B8809" s="9" t="str">
        <f>IFERROR(__xludf.DUMMYFUNCTION("""COMPUTED_VALUE"""),"JyotishkaC355")</f>
        <v>JyotishkaC355</v>
      </c>
      <c r="C8809" s="8">
        <f>IFERROR(__xludf.DUMMYFUNCTION("""COMPUTED_VALUE"""),8.0)</f>
        <v>8</v>
      </c>
      <c r="D8809" s="8">
        <f>IFERROR(__xludf.DUMMYFUNCTION("""COMPUTED_VALUE"""),2.0)</f>
        <v>2</v>
      </c>
    </row>
    <row r="8810">
      <c r="A8810" s="9" t="str">
        <f>IFERROR(__xludf.DUMMYFUNCTION("""COMPUTED_VALUE"""),"Batch 355")</f>
        <v>Batch 355</v>
      </c>
      <c r="B8810" s="9" t="str">
        <f>IFERROR(__xludf.DUMMYFUNCTION("""COMPUTED_VALUE"""),"EzhilC355")</f>
        <v>EzhilC355</v>
      </c>
      <c r="C8810" s="8">
        <f>IFERROR(__xludf.DUMMYFUNCTION("""COMPUTED_VALUE"""),0.0)</f>
        <v>0</v>
      </c>
      <c r="D8810" s="8"/>
    </row>
    <row r="8811">
      <c r="A8811" s="9" t="str">
        <f>IFERROR(__xludf.DUMMYFUNCTION("""COMPUTED_VALUE"""),"Batch 355")</f>
        <v>Batch 355</v>
      </c>
      <c r="B8811" s="9" t="str">
        <f>IFERROR(__xludf.DUMMYFUNCTION("""COMPUTED_VALUE"""),"SherryC355")</f>
        <v>SherryC355</v>
      </c>
      <c r="C8811" s="8">
        <f>IFERROR(__xludf.DUMMYFUNCTION("""COMPUTED_VALUE"""),0.0)</f>
        <v>0</v>
      </c>
      <c r="D8811" s="8"/>
    </row>
    <row r="8812">
      <c r="A8812" s="9" t="str">
        <f>IFERROR(__xludf.DUMMYFUNCTION("""COMPUTED_VALUE"""),"Batch 355")</f>
        <v>Batch 355</v>
      </c>
      <c r="B8812" s="9" t="str">
        <f>IFERROR(__xludf.DUMMYFUNCTION("""COMPUTED_VALUE"""),"SuhaniC355")</f>
        <v>SuhaniC355</v>
      </c>
      <c r="C8812" s="8">
        <f>IFERROR(__xludf.DUMMYFUNCTION("""COMPUTED_VALUE"""),1.0)</f>
        <v>1</v>
      </c>
      <c r="D8812" s="8">
        <f>IFERROR(__xludf.DUMMYFUNCTION("""COMPUTED_VALUE"""),1.0)</f>
        <v>1</v>
      </c>
    </row>
    <row r="8813">
      <c r="A8813" s="9" t="str">
        <f>IFERROR(__xludf.DUMMYFUNCTION("""COMPUTED_VALUE"""),"Batch 355")</f>
        <v>Batch 355</v>
      </c>
      <c r="B8813" s="9" t="str">
        <f>IFERROR(__xludf.DUMMYFUNCTION("""COMPUTED_VALUE"""),"DanyalC355")</f>
        <v>DanyalC355</v>
      </c>
      <c r="C8813" s="8">
        <f>IFERROR(__xludf.DUMMYFUNCTION("""COMPUTED_VALUE"""),2.0)</f>
        <v>2</v>
      </c>
      <c r="D8813" s="8"/>
    </row>
    <row r="8814">
      <c r="A8814" s="9" t="str">
        <f>IFERROR(__xludf.DUMMYFUNCTION("""COMPUTED_VALUE"""),"Batch 355")</f>
        <v>Batch 355</v>
      </c>
      <c r="B8814" s="9" t="str">
        <f>IFERROR(__xludf.DUMMYFUNCTION("""COMPUTED_VALUE"""),"ShristyC355")</f>
        <v>ShristyC355</v>
      </c>
      <c r="C8814" s="8">
        <f>IFERROR(__xludf.DUMMYFUNCTION("""COMPUTED_VALUE"""),0.0)</f>
        <v>0</v>
      </c>
      <c r="D8814" s="8"/>
    </row>
    <row r="8815">
      <c r="A8815" s="9" t="str">
        <f>IFERROR(__xludf.DUMMYFUNCTION("""COMPUTED_VALUE"""),"Batch 355")</f>
        <v>Batch 355</v>
      </c>
      <c r="B8815" s="9" t="str">
        <f>IFERROR(__xludf.DUMMYFUNCTION("""COMPUTED_VALUE"""),"KavishC355")</f>
        <v>KavishC355</v>
      </c>
      <c r="C8815" s="8">
        <f>IFERROR(__xludf.DUMMYFUNCTION("""COMPUTED_VALUE"""),0.0)</f>
        <v>0</v>
      </c>
      <c r="D8815" s="8"/>
    </row>
    <row r="8816">
      <c r="A8816" s="9" t="str">
        <f>IFERROR(__xludf.DUMMYFUNCTION("""COMPUTED_VALUE"""),"Batch 355")</f>
        <v>Batch 355</v>
      </c>
      <c r="B8816" s="9" t="str">
        <f>IFERROR(__xludf.DUMMYFUNCTION("""COMPUTED_VALUE"""),"PrachiC355")</f>
        <v>PrachiC355</v>
      </c>
      <c r="C8816" s="8">
        <f>IFERROR(__xludf.DUMMYFUNCTION("""COMPUTED_VALUE"""),0.0)</f>
        <v>0</v>
      </c>
      <c r="D8816" s="8"/>
    </row>
    <row r="8817">
      <c r="A8817" s="9" t="str">
        <f>IFERROR(__xludf.DUMMYFUNCTION("""COMPUTED_VALUE"""),"Batch 355")</f>
        <v>Batch 355</v>
      </c>
      <c r="B8817" s="9" t="str">
        <f>IFERROR(__xludf.DUMMYFUNCTION("""COMPUTED_VALUE"""),"GauravC355")</f>
        <v>GauravC355</v>
      </c>
      <c r="C8817" s="8">
        <f>IFERROR(__xludf.DUMMYFUNCTION("""COMPUTED_VALUE"""),5.0)</f>
        <v>5</v>
      </c>
      <c r="D8817" s="8"/>
    </row>
    <row r="8818">
      <c r="A8818" s="9" t="str">
        <f>IFERROR(__xludf.DUMMYFUNCTION("""COMPUTED_VALUE"""),"Batch 355")</f>
        <v>Batch 355</v>
      </c>
      <c r="B8818" s="9" t="str">
        <f>IFERROR(__xludf.DUMMYFUNCTION("""COMPUTED_VALUE"""),"NavyakC355")</f>
        <v>NavyakC355</v>
      </c>
      <c r="C8818" s="8">
        <f>IFERROR(__xludf.DUMMYFUNCTION("""COMPUTED_VALUE"""),0.0)</f>
        <v>0</v>
      </c>
      <c r="D8818" s="8"/>
    </row>
    <row r="8819">
      <c r="A8819" s="9" t="str">
        <f>IFERROR(__xludf.DUMMYFUNCTION("""COMPUTED_VALUE"""),"Batch 355")</f>
        <v>Batch 355</v>
      </c>
      <c r="B8819" s="9" t="str">
        <f>IFERROR(__xludf.DUMMYFUNCTION("""COMPUTED_VALUE"""),"SanjanaC355")</f>
        <v>SanjanaC355</v>
      </c>
      <c r="C8819" s="8">
        <f>IFERROR(__xludf.DUMMYFUNCTION("""COMPUTED_VALUE"""),0.0)</f>
        <v>0</v>
      </c>
      <c r="D8819" s="8"/>
    </row>
    <row r="8820">
      <c r="A8820" s="9" t="str">
        <f>IFERROR(__xludf.DUMMYFUNCTION("""COMPUTED_VALUE"""),"Batch 355")</f>
        <v>Batch 355</v>
      </c>
      <c r="B8820" s="9" t="str">
        <f>IFERROR(__xludf.DUMMYFUNCTION("""COMPUTED_VALUE"""),"SaloniC355")</f>
        <v>SaloniC355</v>
      </c>
      <c r="C8820" s="8">
        <f>IFERROR(__xludf.DUMMYFUNCTION("""COMPUTED_VALUE"""),0.0)</f>
        <v>0</v>
      </c>
      <c r="D8820" s="8"/>
    </row>
    <row r="8821">
      <c r="A8821" s="9" t="str">
        <f>IFERROR(__xludf.DUMMYFUNCTION("""COMPUTED_VALUE"""),"Batch 355")</f>
        <v>Batch 355</v>
      </c>
      <c r="B8821" s="9" t="str">
        <f>IFERROR(__xludf.DUMMYFUNCTION("""COMPUTED_VALUE"""),"PrinceC355")</f>
        <v>PrinceC355</v>
      </c>
      <c r="C8821" s="8">
        <f>IFERROR(__xludf.DUMMYFUNCTION("""COMPUTED_VALUE"""),0.0)</f>
        <v>0</v>
      </c>
      <c r="D8821" s="8"/>
    </row>
    <row r="8822">
      <c r="A8822" s="9" t="str">
        <f>IFERROR(__xludf.DUMMYFUNCTION("""COMPUTED_VALUE"""),"Batch 355")</f>
        <v>Batch 355</v>
      </c>
      <c r="B8822" s="9" t="str">
        <f>IFERROR(__xludf.DUMMYFUNCTION("""COMPUTED_VALUE"""),"BhatC355")</f>
        <v>BhatC355</v>
      </c>
      <c r="C8822" s="8">
        <f>IFERROR(__xludf.DUMMYFUNCTION("""COMPUTED_VALUE"""),0.0)</f>
        <v>0</v>
      </c>
      <c r="D8822" s="8"/>
    </row>
    <row r="8823">
      <c r="A8823" s="9" t="str">
        <f>IFERROR(__xludf.DUMMYFUNCTION("""COMPUTED_VALUE"""),"Batch 355")</f>
        <v>Batch 355</v>
      </c>
      <c r="B8823" s="9" t="str">
        <f>IFERROR(__xludf.DUMMYFUNCTION("""COMPUTED_VALUE"""),"NickC355")</f>
        <v>NickC355</v>
      </c>
      <c r="C8823" s="8">
        <f>IFERROR(__xludf.DUMMYFUNCTION("""COMPUTED_VALUE"""),0.0)</f>
        <v>0</v>
      </c>
      <c r="D8823" s="8"/>
    </row>
    <row r="8824">
      <c r="A8824" s="9" t="str">
        <f>IFERROR(__xludf.DUMMYFUNCTION("""COMPUTED_VALUE"""),"Batch 355")</f>
        <v>Batch 355</v>
      </c>
      <c r="B8824" s="9" t="str">
        <f>IFERROR(__xludf.DUMMYFUNCTION("""COMPUTED_VALUE"""),"KunalC355")</f>
        <v>KunalC355</v>
      </c>
      <c r="C8824" s="8">
        <f>IFERROR(__xludf.DUMMYFUNCTION("""COMPUTED_VALUE"""),0.0)</f>
        <v>0</v>
      </c>
      <c r="D8824" s="8"/>
    </row>
    <row r="8825">
      <c r="A8825" s="9" t="str">
        <f>IFERROR(__xludf.DUMMYFUNCTION("""COMPUTED_VALUE"""),"Batch 355")</f>
        <v>Batch 355</v>
      </c>
      <c r="B8825" s="9" t="str">
        <f>IFERROR(__xludf.DUMMYFUNCTION("""COMPUTED_VALUE"""),"AasawariC355")</f>
        <v>AasawariC355</v>
      </c>
      <c r="C8825" s="8">
        <f>IFERROR(__xludf.DUMMYFUNCTION("""COMPUTED_VALUE"""),0.0)</f>
        <v>0</v>
      </c>
      <c r="D8825" s="8"/>
    </row>
    <row r="8826">
      <c r="A8826" s="9" t="str">
        <f>IFERROR(__xludf.DUMMYFUNCTION("""COMPUTED_VALUE"""),"Batch 355")</f>
        <v>Batch 355</v>
      </c>
      <c r="B8826" s="9" t="str">
        <f>IFERROR(__xludf.DUMMYFUNCTION("""COMPUTED_VALUE"""),"ErosC355")</f>
        <v>ErosC355</v>
      </c>
      <c r="C8826" s="8">
        <f>IFERROR(__xludf.DUMMYFUNCTION("""COMPUTED_VALUE"""),0.0)</f>
        <v>0</v>
      </c>
      <c r="D8826" s="8"/>
    </row>
    <row r="8827">
      <c r="A8827" s="9" t="str">
        <f>IFERROR(__xludf.DUMMYFUNCTION("""COMPUTED_VALUE"""),"Batch 355")</f>
        <v>Batch 355</v>
      </c>
      <c r="B8827" s="9" t="str">
        <f>IFERROR(__xludf.DUMMYFUNCTION("""COMPUTED_VALUE"""),"SonalikaC355")</f>
        <v>SonalikaC355</v>
      </c>
      <c r="C8827" s="8">
        <f>IFERROR(__xludf.DUMMYFUNCTION("""COMPUTED_VALUE"""),0.0)</f>
        <v>0</v>
      </c>
      <c r="D8827" s="8"/>
    </row>
    <row r="8828">
      <c r="A8828" s="9" t="str">
        <f>IFERROR(__xludf.DUMMYFUNCTION("""COMPUTED_VALUE"""),"Batch 355")</f>
        <v>Batch 355</v>
      </c>
      <c r="B8828" s="9" t="str">
        <f>IFERROR(__xludf.DUMMYFUNCTION("""COMPUTED_VALUE"""),"PodishettyC355")</f>
        <v>PodishettyC355</v>
      </c>
      <c r="C8828" s="8">
        <f>IFERROR(__xludf.DUMMYFUNCTION("""COMPUTED_VALUE"""),0.0)</f>
        <v>0</v>
      </c>
      <c r="D8828" s="8"/>
    </row>
    <row r="8829">
      <c r="A8829" s="9" t="str">
        <f>IFERROR(__xludf.DUMMYFUNCTION("""COMPUTED_VALUE"""),"Batch 355")</f>
        <v>Batch 355</v>
      </c>
      <c r="B8829" s="9" t="str">
        <f>IFERROR(__xludf.DUMMYFUNCTION("""COMPUTED_VALUE"""),"SahanaC355")</f>
        <v>SahanaC355</v>
      </c>
      <c r="C8829" s="8">
        <f>IFERROR(__xludf.DUMMYFUNCTION("""COMPUTED_VALUE"""),0.0)</f>
        <v>0</v>
      </c>
      <c r="D8829" s="8"/>
    </row>
    <row r="8830">
      <c r="A8830" s="9" t="str">
        <f>IFERROR(__xludf.DUMMYFUNCTION("""COMPUTED_VALUE"""),"Batch 355")</f>
        <v>Batch 355</v>
      </c>
      <c r="B8830" s="9" t="str">
        <f>IFERROR(__xludf.DUMMYFUNCTION("""COMPUTED_VALUE"""),"HarshitC355")</f>
        <v>HarshitC355</v>
      </c>
      <c r="C8830" s="8">
        <f>IFERROR(__xludf.DUMMYFUNCTION("""COMPUTED_VALUE"""),0.0)</f>
        <v>0</v>
      </c>
      <c r="D8830" s="8"/>
    </row>
    <row r="8831">
      <c r="A8831" s="9" t="str">
        <f>IFERROR(__xludf.DUMMYFUNCTION("""COMPUTED_VALUE"""),"Batch 355")</f>
        <v>Batch 355</v>
      </c>
      <c r="B8831" s="9" t="str">
        <f>IFERROR(__xludf.DUMMYFUNCTION("""COMPUTED_VALUE"""),"JainiC355")</f>
        <v>JainiC355</v>
      </c>
      <c r="C8831" s="8">
        <f>IFERROR(__xludf.DUMMYFUNCTION("""COMPUTED_VALUE"""),0.0)</f>
        <v>0</v>
      </c>
      <c r="D8831" s="8"/>
    </row>
    <row r="8832">
      <c r="A8832" s="9" t="str">
        <f>IFERROR(__xludf.DUMMYFUNCTION("""COMPUTED_VALUE"""),"Batch 355")</f>
        <v>Batch 355</v>
      </c>
      <c r="B8832" s="9" t="str">
        <f>IFERROR(__xludf.DUMMYFUNCTION("""COMPUTED_VALUE"""),"AryanC355")</f>
        <v>AryanC355</v>
      </c>
      <c r="C8832" s="8">
        <f>IFERROR(__xludf.DUMMYFUNCTION("""COMPUTED_VALUE"""),0.0)</f>
        <v>0</v>
      </c>
      <c r="D8832" s="8"/>
    </row>
    <row r="8833">
      <c r="A8833" s="9" t="str">
        <f>IFERROR(__xludf.DUMMYFUNCTION("""COMPUTED_VALUE"""),"Batch 355")</f>
        <v>Batch 355</v>
      </c>
      <c r="B8833" s="9" t="str">
        <f>IFERROR(__xludf.DUMMYFUNCTION("""COMPUTED_VALUE"""),"BarshaC355")</f>
        <v>BarshaC355</v>
      </c>
      <c r="C8833" s="8">
        <f>IFERROR(__xludf.DUMMYFUNCTION("""COMPUTED_VALUE"""),0.0)</f>
        <v>0</v>
      </c>
      <c r="D8833" s="8"/>
    </row>
    <row r="8834">
      <c r="A8834" s="9" t="str">
        <f>IFERROR(__xludf.DUMMYFUNCTION("""COMPUTED_VALUE"""),"Batch 355")</f>
        <v>Batch 355</v>
      </c>
      <c r="B8834" s="9" t="str">
        <f>IFERROR(__xludf.DUMMYFUNCTION("""COMPUTED_VALUE"""),"MeghanaC355")</f>
        <v>MeghanaC355</v>
      </c>
      <c r="C8834" s="8">
        <f>IFERROR(__xludf.DUMMYFUNCTION("""COMPUTED_VALUE"""),0.0)</f>
        <v>0</v>
      </c>
      <c r="D8834" s="8"/>
    </row>
    <row r="8835">
      <c r="A8835" s="9" t="str">
        <f>IFERROR(__xludf.DUMMYFUNCTION("""COMPUTED_VALUE"""),"Batch 355")</f>
        <v>Batch 355</v>
      </c>
      <c r="B8835" s="9" t="str">
        <f>IFERROR(__xludf.DUMMYFUNCTION("""COMPUTED_VALUE"""),"NandiniC355")</f>
        <v>NandiniC355</v>
      </c>
      <c r="C8835" s="8">
        <f>IFERROR(__xludf.DUMMYFUNCTION("""COMPUTED_VALUE"""),0.0)</f>
        <v>0</v>
      </c>
      <c r="D8835" s="8"/>
    </row>
    <row r="8836">
      <c r="A8836" s="9" t="str">
        <f>IFERROR(__xludf.DUMMYFUNCTION("""COMPUTED_VALUE"""),"Batch 355")</f>
        <v>Batch 355</v>
      </c>
      <c r="B8836" s="9" t="str">
        <f>IFERROR(__xludf.DUMMYFUNCTION("""COMPUTED_VALUE"""),"BhaleraoC355")</f>
        <v>BhaleraoC355</v>
      </c>
      <c r="C8836" s="8">
        <f>IFERROR(__xludf.DUMMYFUNCTION("""COMPUTED_VALUE"""),0.0)</f>
        <v>0</v>
      </c>
      <c r="D8836" s="8"/>
    </row>
    <row r="8837">
      <c r="A8837" s="9" t="str">
        <f>IFERROR(__xludf.DUMMYFUNCTION("""COMPUTED_VALUE"""),"Batch 355")</f>
        <v>Batch 355</v>
      </c>
      <c r="B8837" s="9" t="str">
        <f>IFERROR(__xludf.DUMMYFUNCTION("""COMPUTED_VALUE"""),"ToshaliC355")</f>
        <v>ToshaliC355</v>
      </c>
      <c r="C8837" s="8">
        <f>IFERROR(__xludf.DUMMYFUNCTION("""COMPUTED_VALUE"""),0.0)</f>
        <v>0</v>
      </c>
      <c r="D8837" s="8"/>
    </row>
    <row r="8838">
      <c r="A8838" s="9" t="str">
        <f>IFERROR(__xludf.DUMMYFUNCTION("""COMPUTED_VALUE"""),"Batch 355")</f>
        <v>Batch 355</v>
      </c>
      <c r="B8838" s="9" t="str">
        <f>IFERROR(__xludf.DUMMYFUNCTION("""COMPUTED_VALUE"""),"ArjunC355")</f>
        <v>ArjunC355</v>
      </c>
      <c r="C8838" s="8">
        <f>IFERROR(__xludf.DUMMYFUNCTION("""COMPUTED_VALUE"""),0.0)</f>
        <v>0</v>
      </c>
      <c r="D8838" s="8"/>
    </row>
    <row r="8839">
      <c r="A8839" s="9" t="str">
        <f>IFERROR(__xludf.DUMMYFUNCTION("""COMPUTED_VALUE"""),"Batch 355")</f>
        <v>Batch 355</v>
      </c>
      <c r="B8839" s="9" t="str">
        <f>IFERROR(__xludf.DUMMYFUNCTION("""COMPUTED_VALUE"""),"PranjalC355")</f>
        <v>PranjalC355</v>
      </c>
      <c r="C8839" s="8">
        <f>IFERROR(__xludf.DUMMYFUNCTION("""COMPUTED_VALUE"""),0.0)</f>
        <v>0</v>
      </c>
      <c r="D8839" s="8"/>
    </row>
    <row r="8840">
      <c r="A8840" s="9" t="str">
        <f>IFERROR(__xludf.DUMMYFUNCTION("""COMPUTED_VALUE"""),"Batch 355")</f>
        <v>Batch 355</v>
      </c>
      <c r="B8840" s="9" t="str">
        <f>IFERROR(__xludf.DUMMYFUNCTION("""COMPUTED_VALUE"""),"AbritiC355")</f>
        <v>AbritiC355</v>
      </c>
      <c r="C8840" s="8">
        <f>IFERROR(__xludf.DUMMYFUNCTION("""COMPUTED_VALUE"""),0.0)</f>
        <v>0</v>
      </c>
      <c r="D8840" s="8"/>
    </row>
    <row r="8841">
      <c r="A8841" s="9" t="str">
        <f>IFERROR(__xludf.DUMMYFUNCTION("""COMPUTED_VALUE"""),"Batch 355")</f>
        <v>Batch 355</v>
      </c>
      <c r="B8841" s="9" t="str">
        <f>IFERROR(__xludf.DUMMYFUNCTION("""COMPUTED_VALUE"""),"GadiC355")</f>
        <v>GadiC355</v>
      </c>
      <c r="C8841" s="8">
        <f>IFERROR(__xludf.DUMMYFUNCTION("""COMPUTED_VALUE"""),0.0)</f>
        <v>0</v>
      </c>
      <c r="D8841" s="8"/>
    </row>
    <row r="8842">
      <c r="A8842" s="9" t="str">
        <f>IFERROR(__xludf.DUMMYFUNCTION("""COMPUTED_VALUE"""),"Batch 355")</f>
        <v>Batch 355</v>
      </c>
      <c r="B8842" s="9" t="str">
        <f>IFERROR(__xludf.DUMMYFUNCTION("""COMPUTED_VALUE"""),"JanviC355")</f>
        <v>JanviC355</v>
      </c>
      <c r="C8842" s="8">
        <f>IFERROR(__xludf.DUMMYFUNCTION("""COMPUTED_VALUE"""),0.0)</f>
        <v>0</v>
      </c>
      <c r="D8842" s="8"/>
    </row>
    <row r="8843">
      <c r="A8843" s="9" t="str">
        <f>IFERROR(__xludf.DUMMYFUNCTION("""COMPUTED_VALUE"""),"Batch 355")</f>
        <v>Batch 355</v>
      </c>
      <c r="B8843" s="9" t="str">
        <f>IFERROR(__xludf.DUMMYFUNCTION("""COMPUTED_VALUE"""),"ChetanC355")</f>
        <v>ChetanC355</v>
      </c>
      <c r="C8843" s="8">
        <f>IFERROR(__xludf.DUMMYFUNCTION("""COMPUTED_VALUE"""),0.0)</f>
        <v>0</v>
      </c>
      <c r="D8843" s="8"/>
    </row>
    <row r="8844">
      <c r="A8844" s="9" t="str">
        <f>IFERROR(__xludf.DUMMYFUNCTION("""COMPUTED_VALUE"""),"Batch 355")</f>
        <v>Batch 355</v>
      </c>
      <c r="B8844" s="9" t="str">
        <f>IFERROR(__xludf.DUMMYFUNCTION("""COMPUTED_VALUE"""),"MC355")</f>
        <v>MC355</v>
      </c>
      <c r="C8844" s="8">
        <f>IFERROR(__xludf.DUMMYFUNCTION("""COMPUTED_VALUE"""),0.0)</f>
        <v>0</v>
      </c>
      <c r="D8844" s="8"/>
    </row>
    <row r="8845">
      <c r="A8845" s="9" t="str">
        <f>IFERROR(__xludf.DUMMYFUNCTION("""COMPUTED_VALUE"""),"Batch 355")</f>
        <v>Batch 355</v>
      </c>
      <c r="B8845" s="9" t="str">
        <f>IFERROR(__xludf.DUMMYFUNCTION("""COMPUTED_VALUE"""),"BabyC355")</f>
        <v>BabyC355</v>
      </c>
      <c r="C8845" s="8">
        <f>IFERROR(__xludf.DUMMYFUNCTION("""COMPUTED_VALUE"""),22.0)</f>
        <v>22</v>
      </c>
      <c r="D8845" s="8">
        <f>IFERROR(__xludf.DUMMYFUNCTION("""COMPUTED_VALUE"""),5.0)</f>
        <v>5</v>
      </c>
    </row>
    <row r="8846">
      <c r="A8846" s="9" t="str">
        <f>IFERROR(__xludf.DUMMYFUNCTION("""COMPUTED_VALUE"""),"Batch 355")</f>
        <v>Batch 355</v>
      </c>
      <c r="B8846" s="9" t="str">
        <f>IFERROR(__xludf.DUMMYFUNCTION("""COMPUTED_VALUE"""),"KeshavC355")</f>
        <v>KeshavC355</v>
      </c>
      <c r="C8846" s="8">
        <f>IFERROR(__xludf.DUMMYFUNCTION("""COMPUTED_VALUE"""),0.0)</f>
        <v>0</v>
      </c>
      <c r="D8846" s="8"/>
    </row>
    <row r="8847">
      <c r="A8847" s="9" t="str">
        <f>IFERROR(__xludf.DUMMYFUNCTION("""COMPUTED_VALUE"""),"Batch 355")</f>
        <v>Batch 355</v>
      </c>
      <c r="B8847" s="9" t="str">
        <f>IFERROR(__xludf.DUMMYFUNCTION("""COMPUTED_VALUE"""),"MythiliC355")</f>
        <v>MythiliC355</v>
      </c>
      <c r="C8847" s="8">
        <f>IFERROR(__xludf.DUMMYFUNCTION("""COMPUTED_VALUE"""),0.0)</f>
        <v>0</v>
      </c>
      <c r="D8847" s="8"/>
    </row>
    <row r="8848">
      <c r="A8848" s="9" t="str">
        <f>IFERROR(__xludf.DUMMYFUNCTION("""COMPUTED_VALUE"""),"Batch 355")</f>
        <v>Batch 355</v>
      </c>
      <c r="B8848" s="9" t="str">
        <f>IFERROR(__xludf.DUMMYFUNCTION("""COMPUTED_VALUE"""),"SounavC355")</f>
        <v>SounavC355</v>
      </c>
      <c r="C8848" s="8">
        <f>IFERROR(__xludf.DUMMYFUNCTION("""COMPUTED_VALUE"""),0.0)</f>
        <v>0</v>
      </c>
      <c r="D8848" s="8">
        <f>IFERROR(__xludf.DUMMYFUNCTION("""COMPUTED_VALUE"""),6.0)</f>
        <v>6</v>
      </c>
    </row>
    <row r="8849">
      <c r="A8849" s="9" t="str">
        <f>IFERROR(__xludf.DUMMYFUNCTION("""COMPUTED_VALUE"""),"Batch 355")</f>
        <v>Batch 355</v>
      </c>
      <c r="B8849" s="9" t="str">
        <f>IFERROR(__xludf.DUMMYFUNCTION("""COMPUTED_VALUE"""),"PrinceRC355")</f>
        <v>PrinceRC355</v>
      </c>
      <c r="C8849" s="8">
        <f>IFERROR(__xludf.DUMMYFUNCTION("""COMPUTED_VALUE"""),0.0)</f>
        <v>0</v>
      </c>
      <c r="D8849" s="8"/>
    </row>
    <row r="8850">
      <c r="A8850" s="9" t="str">
        <f>IFERROR(__xludf.DUMMYFUNCTION("""COMPUTED_VALUE"""),"Batch 355")</f>
        <v>Batch 355</v>
      </c>
      <c r="B8850" s="9" t="str">
        <f>IFERROR(__xludf.DUMMYFUNCTION("""COMPUTED_VALUE"""),"PragyaC355")</f>
        <v>PragyaC355</v>
      </c>
      <c r="C8850" s="8">
        <f>IFERROR(__xludf.DUMMYFUNCTION("""COMPUTED_VALUE"""),0.0)</f>
        <v>0</v>
      </c>
      <c r="D8850" s="8"/>
    </row>
    <row r="8851">
      <c r="A8851" s="9" t="str">
        <f>IFERROR(__xludf.DUMMYFUNCTION("""COMPUTED_VALUE"""),"Batch 355")</f>
        <v>Batch 355</v>
      </c>
      <c r="B8851" s="9" t="str">
        <f>IFERROR(__xludf.DUMMYFUNCTION("""COMPUTED_VALUE"""),"NavyaC355")</f>
        <v>NavyaC355</v>
      </c>
      <c r="C8851" s="8">
        <f>IFERROR(__xludf.DUMMYFUNCTION("""COMPUTED_VALUE"""),109.0)</f>
        <v>109</v>
      </c>
      <c r="D8851" s="8">
        <f>IFERROR(__xludf.DUMMYFUNCTION("""COMPUTED_VALUE"""),37.0)</f>
        <v>37</v>
      </c>
    </row>
    <row r="8852">
      <c r="A8852" s="9" t="str">
        <f>IFERROR(__xludf.DUMMYFUNCTION("""COMPUTED_VALUE"""),"Batch 355")</f>
        <v>Batch 355</v>
      </c>
      <c r="B8852" s="9" t="str">
        <f>IFERROR(__xludf.DUMMYFUNCTION("""COMPUTED_VALUE"""),"PrayagC355")</f>
        <v>PrayagC355</v>
      </c>
      <c r="C8852" s="8">
        <f>IFERROR(__xludf.DUMMYFUNCTION("""COMPUTED_VALUE"""),0.0)</f>
        <v>0</v>
      </c>
      <c r="D8852" s="8"/>
    </row>
    <row r="8853">
      <c r="A8853" s="9" t="str">
        <f>IFERROR(__xludf.DUMMYFUNCTION("""COMPUTED_VALUE"""),"Batch 355")</f>
        <v>Batch 355</v>
      </c>
      <c r="B8853" s="9" t="str">
        <f>IFERROR(__xludf.DUMMYFUNCTION("""COMPUTED_VALUE"""),"AnshaelC355")</f>
        <v>AnshaelC355</v>
      </c>
      <c r="C8853" s="8">
        <f>IFERROR(__xludf.DUMMYFUNCTION("""COMPUTED_VALUE"""),0.0)</f>
        <v>0</v>
      </c>
      <c r="D8853" s="8"/>
    </row>
    <row r="8854">
      <c r="A8854" s="9" t="str">
        <f>IFERROR(__xludf.DUMMYFUNCTION("""COMPUTED_VALUE"""),"Batch 355")</f>
        <v>Batch 355</v>
      </c>
      <c r="B8854" s="9" t="str">
        <f>IFERROR(__xludf.DUMMYFUNCTION("""COMPUTED_VALUE"""),"BhumiC355")</f>
        <v>BhumiC355</v>
      </c>
      <c r="C8854" s="8">
        <f>IFERROR(__xludf.DUMMYFUNCTION("""COMPUTED_VALUE"""),0.0)</f>
        <v>0</v>
      </c>
      <c r="D8854" s="8"/>
    </row>
    <row r="8855">
      <c r="A8855" s="9" t="str">
        <f>IFERROR(__xludf.DUMMYFUNCTION("""COMPUTED_VALUE"""),"Batch 355")</f>
        <v>Batch 355</v>
      </c>
      <c r="B8855" s="9" t="str">
        <f>IFERROR(__xludf.DUMMYFUNCTION("""COMPUTED_VALUE"""),"KanakC355")</f>
        <v>KanakC355</v>
      </c>
      <c r="C8855" s="8">
        <f>IFERROR(__xludf.DUMMYFUNCTION("""COMPUTED_VALUE"""),0.0)</f>
        <v>0</v>
      </c>
      <c r="D8855" s="8"/>
    </row>
    <row r="8856">
      <c r="A8856" s="9" t="str">
        <f>IFERROR(__xludf.DUMMYFUNCTION("""COMPUTED_VALUE"""),"Batch 355")</f>
        <v>Batch 355</v>
      </c>
      <c r="B8856" s="9" t="str">
        <f>IFERROR(__xludf.DUMMYFUNCTION("""COMPUTED_VALUE"""),"SiddhiC355")</f>
        <v>SiddhiC355</v>
      </c>
      <c r="C8856" s="8">
        <f>IFERROR(__xludf.DUMMYFUNCTION("""COMPUTED_VALUE"""),7.0)</f>
        <v>7</v>
      </c>
      <c r="D8856" s="8">
        <f>IFERROR(__xludf.DUMMYFUNCTION("""COMPUTED_VALUE"""),1.0)</f>
        <v>1</v>
      </c>
    </row>
    <row r="8857">
      <c r="A8857" s="9" t="str">
        <f>IFERROR(__xludf.DUMMYFUNCTION("""COMPUTED_VALUE"""),"Batch 355")</f>
        <v>Batch 355</v>
      </c>
      <c r="B8857" s="9" t="str">
        <f>IFERROR(__xludf.DUMMYFUNCTION("""COMPUTED_VALUE"""),"YashasviC355")</f>
        <v>YashasviC355</v>
      </c>
      <c r="C8857" s="8">
        <f>IFERROR(__xludf.DUMMYFUNCTION("""COMPUTED_VALUE"""),0.0)</f>
        <v>0</v>
      </c>
      <c r="D8857" s="8"/>
    </row>
    <row r="8858">
      <c r="A8858" s="9" t="str">
        <f>IFERROR(__xludf.DUMMYFUNCTION("""COMPUTED_VALUE"""),"Batch 355")</f>
        <v>Batch 355</v>
      </c>
      <c r="B8858" s="9" t="str">
        <f>IFERROR(__xludf.DUMMYFUNCTION("""COMPUTED_VALUE"""),"DiveshC355")</f>
        <v>DiveshC355</v>
      </c>
      <c r="C8858" s="8">
        <f>IFERROR(__xludf.DUMMYFUNCTION("""COMPUTED_VALUE"""),0.0)</f>
        <v>0</v>
      </c>
      <c r="D8858" s="8"/>
    </row>
    <row r="8859">
      <c r="A8859" s="9" t="str">
        <f>IFERROR(__xludf.DUMMYFUNCTION("""COMPUTED_VALUE"""),"Batch 355")</f>
        <v>Batch 355</v>
      </c>
      <c r="B8859" s="9" t="str">
        <f>IFERROR(__xludf.DUMMYFUNCTION("""COMPUTED_VALUE"""),"PushkarC355")</f>
        <v>PushkarC355</v>
      </c>
      <c r="C8859" s="8">
        <f>IFERROR(__xludf.DUMMYFUNCTION("""COMPUTED_VALUE"""),0.0)</f>
        <v>0</v>
      </c>
      <c r="D8859" s="8"/>
    </row>
    <row r="8860">
      <c r="A8860" s="9" t="str">
        <f>IFERROR(__xludf.DUMMYFUNCTION("""COMPUTED_VALUE"""),"Batch 355")</f>
        <v>Batch 355</v>
      </c>
      <c r="B8860" s="9" t="str">
        <f>IFERROR(__xludf.DUMMYFUNCTION("""COMPUTED_VALUE"""),"BhoomiC355")</f>
        <v>BhoomiC355</v>
      </c>
      <c r="C8860" s="8">
        <f>IFERROR(__xludf.DUMMYFUNCTION("""COMPUTED_VALUE"""),0.0)</f>
        <v>0</v>
      </c>
      <c r="D8860" s="8"/>
    </row>
    <row r="8861">
      <c r="A8861" s="9" t="str">
        <f>IFERROR(__xludf.DUMMYFUNCTION("""COMPUTED_VALUE"""),"Batch 355")</f>
        <v>Batch 355</v>
      </c>
      <c r="B8861" s="9" t="str">
        <f>IFERROR(__xludf.DUMMYFUNCTION("""COMPUTED_VALUE"""),"YadneshC355")</f>
        <v>YadneshC355</v>
      </c>
      <c r="C8861" s="8">
        <f>IFERROR(__xludf.DUMMYFUNCTION("""COMPUTED_VALUE"""),0.0)</f>
        <v>0</v>
      </c>
      <c r="D8861" s="8"/>
    </row>
    <row r="8862">
      <c r="A8862" s="9" t="str">
        <f>IFERROR(__xludf.DUMMYFUNCTION("""COMPUTED_VALUE"""),"Batch 355")</f>
        <v>Batch 355</v>
      </c>
      <c r="B8862" s="9" t="str">
        <f>IFERROR(__xludf.DUMMYFUNCTION("""COMPUTED_VALUE"""),"riyaC355")</f>
        <v>riyaC355</v>
      </c>
      <c r="C8862" s="8">
        <f>IFERROR(__xludf.DUMMYFUNCTION("""COMPUTED_VALUE"""),0.0)</f>
        <v>0</v>
      </c>
      <c r="D8862" s="8"/>
    </row>
    <row r="8863">
      <c r="A8863" s="9" t="str">
        <f>IFERROR(__xludf.DUMMYFUNCTION("""COMPUTED_VALUE"""),"Batch 355")</f>
        <v>Batch 355</v>
      </c>
      <c r="B8863" s="9" t="str">
        <f>IFERROR(__xludf.DUMMYFUNCTION("""COMPUTED_VALUE"""),"MahekC355")</f>
        <v>MahekC355</v>
      </c>
      <c r="C8863" s="8">
        <f>IFERROR(__xludf.DUMMYFUNCTION("""COMPUTED_VALUE"""),0.0)</f>
        <v>0</v>
      </c>
      <c r="D8863" s="8"/>
    </row>
    <row r="8864">
      <c r="A8864" s="9" t="str">
        <f>IFERROR(__xludf.DUMMYFUNCTION("""COMPUTED_VALUE"""),"Batch 355")</f>
        <v>Batch 355</v>
      </c>
      <c r="B8864" s="9" t="str">
        <f>IFERROR(__xludf.DUMMYFUNCTION("""COMPUTED_VALUE"""),"DebdipC355")</f>
        <v>DebdipC355</v>
      </c>
      <c r="C8864" s="8">
        <f>IFERROR(__xludf.DUMMYFUNCTION("""COMPUTED_VALUE"""),0.0)</f>
        <v>0</v>
      </c>
      <c r="D8864" s="8"/>
    </row>
    <row r="8865">
      <c r="A8865" s="9" t="str">
        <f>IFERROR(__xludf.DUMMYFUNCTION("""COMPUTED_VALUE"""),"Batch 355")</f>
        <v>Batch 355</v>
      </c>
      <c r="B8865" s="9" t="str">
        <f>IFERROR(__xludf.DUMMYFUNCTION("""COMPUTED_VALUE"""),"AditiC355")</f>
        <v>AditiC355</v>
      </c>
      <c r="C8865" s="8">
        <f>IFERROR(__xludf.DUMMYFUNCTION("""COMPUTED_VALUE"""),0.0)</f>
        <v>0</v>
      </c>
      <c r="D8865" s="8"/>
    </row>
    <row r="8866">
      <c r="A8866" s="9" t="str">
        <f>IFERROR(__xludf.DUMMYFUNCTION("""COMPUTED_VALUE"""),"Batch 355")</f>
        <v>Batch 355</v>
      </c>
      <c r="B8866" s="9" t="str">
        <f>IFERROR(__xludf.DUMMYFUNCTION("""COMPUTED_VALUE"""),"SaambaviC355")</f>
        <v>SaambaviC355</v>
      </c>
      <c r="C8866" s="8">
        <f>IFERROR(__xludf.DUMMYFUNCTION("""COMPUTED_VALUE"""),29.0)</f>
        <v>29</v>
      </c>
      <c r="D8866" s="8">
        <f>IFERROR(__xludf.DUMMYFUNCTION("""COMPUTED_VALUE"""),18.0)</f>
        <v>18</v>
      </c>
    </row>
    <row r="8867">
      <c r="A8867" s="9" t="str">
        <f>IFERROR(__xludf.DUMMYFUNCTION("""COMPUTED_VALUE"""),"Batch 355")</f>
        <v>Batch 355</v>
      </c>
      <c r="B8867" s="9" t="str">
        <f>IFERROR(__xludf.DUMMYFUNCTION("""COMPUTED_VALUE"""),"PrabhjotC355")</f>
        <v>PrabhjotC355</v>
      </c>
      <c r="C8867" s="8">
        <f>IFERROR(__xludf.DUMMYFUNCTION("""COMPUTED_VALUE"""),0.0)</f>
        <v>0</v>
      </c>
      <c r="D8867" s="8"/>
    </row>
    <row r="8868">
      <c r="A8868" s="9" t="str">
        <f>IFERROR(__xludf.DUMMYFUNCTION("""COMPUTED_VALUE"""),"Batch 355")</f>
        <v>Batch 355</v>
      </c>
      <c r="B8868" s="9" t="str">
        <f>IFERROR(__xludf.DUMMYFUNCTION("""COMPUTED_VALUE"""),"ShrutiC355")</f>
        <v>ShrutiC355</v>
      </c>
      <c r="C8868" s="8">
        <f>IFERROR(__xludf.DUMMYFUNCTION("""COMPUTED_VALUE"""),0.0)</f>
        <v>0</v>
      </c>
      <c r="D8868" s="8"/>
    </row>
    <row r="8869">
      <c r="A8869" s="9" t="str">
        <f>IFERROR(__xludf.DUMMYFUNCTION("""COMPUTED_VALUE"""),"Batch 355")</f>
        <v>Batch 355</v>
      </c>
      <c r="B8869" s="9" t="str">
        <f>IFERROR(__xludf.DUMMYFUNCTION("""COMPUTED_VALUE"""),"ushaC355")</f>
        <v>ushaC355</v>
      </c>
      <c r="C8869" s="8">
        <f>IFERROR(__xludf.DUMMYFUNCTION("""COMPUTED_VALUE"""),0.0)</f>
        <v>0</v>
      </c>
      <c r="D8869" s="8"/>
    </row>
    <row r="8870">
      <c r="A8870" s="9" t="str">
        <f>IFERROR(__xludf.DUMMYFUNCTION("""COMPUTED_VALUE"""),"Batch 355")</f>
        <v>Batch 355</v>
      </c>
      <c r="B8870" s="9" t="str">
        <f>IFERROR(__xludf.DUMMYFUNCTION("""COMPUTED_VALUE"""),"BidyapriyaC355")</f>
        <v>BidyapriyaC355</v>
      </c>
      <c r="C8870" s="8">
        <f>IFERROR(__xludf.DUMMYFUNCTION("""COMPUTED_VALUE"""),0.0)</f>
        <v>0</v>
      </c>
      <c r="D8870" s="8"/>
    </row>
    <row r="8871">
      <c r="A8871" s="9" t="str">
        <f>IFERROR(__xludf.DUMMYFUNCTION("""COMPUTED_VALUE"""),"Batch 355")</f>
        <v>Batch 355</v>
      </c>
      <c r="B8871" s="9" t="str">
        <f>IFERROR(__xludf.DUMMYFUNCTION("""COMPUTED_VALUE"""),"SatyamC355")</f>
        <v>SatyamC355</v>
      </c>
      <c r="C8871" s="8">
        <f>IFERROR(__xludf.DUMMYFUNCTION("""COMPUTED_VALUE"""),0.0)</f>
        <v>0</v>
      </c>
      <c r="D8871" s="8"/>
    </row>
    <row r="8872">
      <c r="A8872" s="9" t="str">
        <f>IFERROR(__xludf.DUMMYFUNCTION("""COMPUTED_VALUE"""),"Batch 355")</f>
        <v>Batch 355</v>
      </c>
      <c r="B8872" s="9" t="str">
        <f>IFERROR(__xludf.DUMMYFUNCTION("""COMPUTED_VALUE"""),"Sd.RizwanaC355")</f>
        <v>Sd.RizwanaC355</v>
      </c>
      <c r="C8872" s="8">
        <f>IFERROR(__xludf.DUMMYFUNCTION("""COMPUTED_VALUE"""),3.0)</f>
        <v>3</v>
      </c>
      <c r="D8872" s="8">
        <f>IFERROR(__xludf.DUMMYFUNCTION("""COMPUTED_VALUE"""),3.0)</f>
        <v>3</v>
      </c>
    </row>
    <row r="8873">
      <c r="A8873" s="9" t="str">
        <f>IFERROR(__xludf.DUMMYFUNCTION("""COMPUTED_VALUE"""),"Batch 355")</f>
        <v>Batch 355</v>
      </c>
      <c r="B8873" s="9" t="str">
        <f>IFERROR(__xludf.DUMMYFUNCTION("""COMPUTED_VALUE"""),"KritagyaC355")</f>
        <v>KritagyaC355</v>
      </c>
      <c r="C8873" s="8">
        <f>IFERROR(__xludf.DUMMYFUNCTION("""COMPUTED_VALUE"""),0.0)</f>
        <v>0</v>
      </c>
      <c r="D8873" s="8"/>
    </row>
    <row r="8874">
      <c r="A8874" s="9" t="str">
        <f>IFERROR(__xludf.DUMMYFUNCTION("""COMPUTED_VALUE"""),"Batch 355")</f>
        <v>Batch 355</v>
      </c>
      <c r="B8874" s="9" t="str">
        <f>IFERROR(__xludf.DUMMYFUNCTION("""COMPUTED_VALUE"""),"SamrinC355")</f>
        <v>SamrinC355</v>
      </c>
      <c r="C8874" s="8">
        <f>IFERROR(__xludf.DUMMYFUNCTION("""COMPUTED_VALUE"""),0.0)</f>
        <v>0</v>
      </c>
      <c r="D8874" s="8"/>
    </row>
    <row r="8875">
      <c r="A8875" s="9" t="str">
        <f>IFERROR(__xludf.DUMMYFUNCTION("""COMPUTED_VALUE"""),"Batch 355")</f>
        <v>Batch 355</v>
      </c>
      <c r="B8875" s="9" t="str">
        <f>IFERROR(__xludf.DUMMYFUNCTION("""COMPUTED_VALUE"""),"SnehC355")</f>
        <v>SnehC355</v>
      </c>
      <c r="C8875" s="8">
        <f>IFERROR(__xludf.DUMMYFUNCTION("""COMPUTED_VALUE"""),2.0)</f>
        <v>2</v>
      </c>
      <c r="D8875" s="8"/>
    </row>
    <row r="8876">
      <c r="A8876" s="9" t="str">
        <f>IFERROR(__xludf.DUMMYFUNCTION("""COMPUTED_VALUE"""),"Batch 355")</f>
        <v>Batch 355</v>
      </c>
      <c r="B8876" s="9" t="str">
        <f>IFERROR(__xludf.DUMMYFUNCTION("""COMPUTED_VALUE"""),"OmairC355")</f>
        <v>OmairC355</v>
      </c>
      <c r="C8876" s="8">
        <f>IFERROR(__xludf.DUMMYFUNCTION("""COMPUTED_VALUE"""),0.0)</f>
        <v>0</v>
      </c>
      <c r="D8876" s="8"/>
    </row>
    <row r="8877">
      <c r="A8877" s="9" t="str">
        <f>IFERROR(__xludf.DUMMYFUNCTION("""COMPUTED_VALUE"""),"Batch 355")</f>
        <v>Batch 355</v>
      </c>
      <c r="B8877" s="9" t="str">
        <f>IFERROR(__xludf.DUMMYFUNCTION("""COMPUTED_VALUE"""),"NandaniC355")</f>
        <v>NandaniC355</v>
      </c>
      <c r="C8877" s="8">
        <f>IFERROR(__xludf.DUMMYFUNCTION("""COMPUTED_VALUE"""),0.0)</f>
        <v>0</v>
      </c>
      <c r="D8877" s="8"/>
    </row>
    <row r="8878">
      <c r="A8878" s="9" t="str">
        <f>IFERROR(__xludf.DUMMYFUNCTION("""COMPUTED_VALUE"""),"Batch 355")</f>
        <v>Batch 355</v>
      </c>
      <c r="B8878" s="9" t="str">
        <f>IFERROR(__xludf.DUMMYFUNCTION("""COMPUTED_VALUE"""),"SumanaaC355")</f>
        <v>SumanaaC355</v>
      </c>
      <c r="C8878" s="8">
        <f>IFERROR(__xludf.DUMMYFUNCTION("""COMPUTED_VALUE"""),0.0)</f>
        <v>0</v>
      </c>
      <c r="D8878" s="8"/>
    </row>
    <row r="8879">
      <c r="A8879" s="9" t="str">
        <f>IFERROR(__xludf.DUMMYFUNCTION("""COMPUTED_VALUE"""),"Batch 355")</f>
        <v>Batch 355</v>
      </c>
      <c r="B8879" s="9" t="str">
        <f>IFERROR(__xludf.DUMMYFUNCTION("""COMPUTED_VALUE"""),"DivyaC355")</f>
        <v>DivyaC355</v>
      </c>
      <c r="C8879" s="8">
        <f>IFERROR(__xludf.DUMMYFUNCTION("""COMPUTED_VALUE"""),1.0)</f>
        <v>1</v>
      </c>
      <c r="D8879" s="8"/>
    </row>
    <row r="8880">
      <c r="A8880" s="9" t="str">
        <f>IFERROR(__xludf.DUMMYFUNCTION("""COMPUTED_VALUE"""),"Batch 355")</f>
        <v>Batch 355</v>
      </c>
      <c r="B8880" s="9" t="str">
        <f>IFERROR(__xludf.DUMMYFUNCTION("""COMPUTED_VALUE"""),"AzimullahC355")</f>
        <v>AzimullahC355</v>
      </c>
      <c r="C8880" s="8">
        <f>IFERROR(__xludf.DUMMYFUNCTION("""COMPUTED_VALUE"""),0.0)</f>
        <v>0</v>
      </c>
      <c r="D8880" s="8"/>
    </row>
    <row r="8881">
      <c r="A8881" s="9" t="str">
        <f>IFERROR(__xludf.DUMMYFUNCTION("""COMPUTED_VALUE"""),"Batch 355")</f>
        <v>Batch 355</v>
      </c>
      <c r="B8881" s="9" t="str">
        <f>IFERROR(__xludf.DUMMYFUNCTION("""COMPUTED_VALUE"""),"RotimiC355")</f>
        <v>RotimiC355</v>
      </c>
      <c r="C8881" s="8">
        <f>IFERROR(__xludf.DUMMYFUNCTION("""COMPUTED_VALUE"""),0.0)</f>
        <v>0</v>
      </c>
      <c r="D8881" s="8"/>
    </row>
    <row r="8882">
      <c r="A8882" s="9" t="str">
        <f>IFERROR(__xludf.DUMMYFUNCTION("""COMPUTED_VALUE"""),"Batch 355")</f>
        <v>Batch 355</v>
      </c>
      <c r="B8882" s="9" t="str">
        <f>IFERROR(__xludf.DUMMYFUNCTION("""COMPUTED_VALUE"""),"YamunaC355")</f>
        <v>YamunaC355</v>
      </c>
      <c r="C8882" s="8">
        <f>IFERROR(__xludf.DUMMYFUNCTION("""COMPUTED_VALUE"""),0.0)</f>
        <v>0</v>
      </c>
      <c r="D8882" s="8"/>
    </row>
    <row r="8883">
      <c r="A8883" s="9" t="str">
        <f>IFERROR(__xludf.DUMMYFUNCTION("""COMPUTED_VALUE"""),"Batch 355")</f>
        <v>Batch 355</v>
      </c>
      <c r="B8883" s="9" t="str">
        <f>IFERROR(__xludf.DUMMYFUNCTION("""COMPUTED_VALUE"""),"SushmaC355")</f>
        <v>SushmaC355</v>
      </c>
      <c r="C8883" s="8">
        <f>IFERROR(__xludf.DUMMYFUNCTION("""COMPUTED_VALUE"""),0.0)</f>
        <v>0</v>
      </c>
      <c r="D8883" s="8"/>
    </row>
    <row r="8884">
      <c r="A8884" s="9" t="str">
        <f>IFERROR(__xludf.DUMMYFUNCTION("""COMPUTED_VALUE"""),"Batch 355")</f>
        <v>Batch 355</v>
      </c>
      <c r="B8884" s="9" t="str">
        <f>IFERROR(__xludf.DUMMYFUNCTION("""COMPUTED_VALUE"""),"KritikaC355")</f>
        <v>KritikaC355</v>
      </c>
      <c r="C8884" s="8">
        <f>IFERROR(__xludf.DUMMYFUNCTION("""COMPUTED_VALUE"""),0.0)</f>
        <v>0</v>
      </c>
      <c r="D8884" s="8"/>
    </row>
    <row r="8885">
      <c r="A8885" s="9" t="str">
        <f>IFERROR(__xludf.DUMMYFUNCTION("""COMPUTED_VALUE"""),"Batch 355")</f>
        <v>Batch 355</v>
      </c>
      <c r="B8885" s="9" t="str">
        <f>IFERROR(__xludf.DUMMYFUNCTION("""COMPUTED_VALUE"""),"AryanC355")</f>
        <v>AryanC355</v>
      </c>
      <c r="C8885" s="8">
        <f>IFERROR(__xludf.DUMMYFUNCTION("""COMPUTED_VALUE"""),0.0)</f>
        <v>0</v>
      </c>
      <c r="D8885" s="8"/>
    </row>
    <row r="8886">
      <c r="A8886" s="9" t="str">
        <f>IFERROR(__xludf.DUMMYFUNCTION("""COMPUTED_VALUE"""),"Batch 355")</f>
        <v>Batch 355</v>
      </c>
      <c r="B8886" s="9" t="str">
        <f>IFERROR(__xludf.DUMMYFUNCTION("""COMPUTED_VALUE"""),"DebopriyaC355")</f>
        <v>DebopriyaC355</v>
      </c>
      <c r="C8886" s="8">
        <f>IFERROR(__xludf.DUMMYFUNCTION("""COMPUTED_VALUE"""),0.0)</f>
        <v>0</v>
      </c>
      <c r="D8886" s="8"/>
    </row>
    <row r="8887">
      <c r="A8887" s="9" t="str">
        <f>IFERROR(__xludf.DUMMYFUNCTION("""COMPUTED_VALUE"""),"Batch 355")</f>
        <v>Batch 355</v>
      </c>
      <c r="B8887" s="9" t="str">
        <f>IFERROR(__xludf.DUMMYFUNCTION("""COMPUTED_VALUE"""),"PrinceC355")</f>
        <v>PrinceC355</v>
      </c>
      <c r="C8887" s="8">
        <f>IFERROR(__xludf.DUMMYFUNCTION("""COMPUTED_VALUE"""),0.0)</f>
        <v>0</v>
      </c>
      <c r="D8887" s="8"/>
    </row>
    <row r="8888">
      <c r="A8888" s="9" t="str">
        <f>IFERROR(__xludf.DUMMYFUNCTION("""COMPUTED_VALUE"""),"Batch 355")</f>
        <v>Batch 355</v>
      </c>
      <c r="B8888" s="9" t="str">
        <f>IFERROR(__xludf.DUMMYFUNCTION("""COMPUTED_VALUE"""),"PariC355")</f>
        <v>PariC355</v>
      </c>
      <c r="C8888" s="8">
        <f>IFERROR(__xludf.DUMMYFUNCTION("""COMPUTED_VALUE"""),0.0)</f>
        <v>0</v>
      </c>
      <c r="D8888" s="8"/>
    </row>
    <row r="8889">
      <c r="A8889" s="9" t="str">
        <f>IFERROR(__xludf.DUMMYFUNCTION("""COMPUTED_VALUE"""),"Batch 355")</f>
        <v>Batch 355</v>
      </c>
      <c r="B8889" s="9" t="str">
        <f>IFERROR(__xludf.DUMMYFUNCTION("""COMPUTED_VALUE"""),"NayanjotC355")</f>
        <v>NayanjotC355</v>
      </c>
      <c r="C8889" s="8">
        <f>IFERROR(__xludf.DUMMYFUNCTION("""COMPUTED_VALUE"""),0.0)</f>
        <v>0</v>
      </c>
      <c r="D8889" s="8"/>
    </row>
    <row r="8890">
      <c r="A8890" s="9" t="str">
        <f>IFERROR(__xludf.DUMMYFUNCTION("""COMPUTED_VALUE"""),"Batch 355")</f>
        <v>Batch 355</v>
      </c>
      <c r="B8890" s="9" t="str">
        <f>IFERROR(__xludf.DUMMYFUNCTION("""COMPUTED_VALUE"""),"EshaC355")</f>
        <v>EshaC355</v>
      </c>
      <c r="C8890" s="8">
        <f>IFERROR(__xludf.DUMMYFUNCTION("""COMPUTED_VALUE"""),0.0)</f>
        <v>0</v>
      </c>
      <c r="D8890" s="8"/>
    </row>
    <row r="8891">
      <c r="A8891" s="9" t="str">
        <f>IFERROR(__xludf.DUMMYFUNCTION("""COMPUTED_VALUE"""),"Batch 355")</f>
        <v>Batch 355</v>
      </c>
      <c r="B8891" s="9" t="str">
        <f>IFERROR(__xludf.DUMMYFUNCTION("""COMPUTED_VALUE"""),"SanidhiC355")</f>
        <v>SanidhiC355</v>
      </c>
      <c r="C8891" s="8">
        <f>IFERROR(__xludf.DUMMYFUNCTION("""COMPUTED_VALUE"""),0.0)</f>
        <v>0</v>
      </c>
      <c r="D8891" s="8"/>
    </row>
    <row r="8892">
      <c r="A8892" s="9" t="str">
        <f>IFERROR(__xludf.DUMMYFUNCTION("""COMPUTED_VALUE"""),"Batch 355")</f>
        <v>Batch 355</v>
      </c>
      <c r="B8892" s="9" t="str">
        <f>IFERROR(__xludf.DUMMYFUNCTION("""COMPUTED_VALUE"""),"DivyaC355")</f>
        <v>DivyaC355</v>
      </c>
      <c r="C8892" s="8">
        <f>IFERROR(__xludf.DUMMYFUNCTION("""COMPUTED_VALUE"""),0.0)</f>
        <v>0</v>
      </c>
      <c r="D8892" s="8"/>
    </row>
    <row r="8893">
      <c r="A8893" s="9" t="str">
        <f>IFERROR(__xludf.DUMMYFUNCTION("""COMPUTED_VALUE"""),"Batch 355")</f>
        <v>Batch 355</v>
      </c>
      <c r="B8893" s="9" t="str">
        <f>IFERROR(__xludf.DUMMYFUNCTION("""COMPUTED_VALUE"""),"NusrathC355")</f>
        <v>NusrathC355</v>
      </c>
      <c r="C8893" s="8">
        <f>IFERROR(__xludf.DUMMYFUNCTION("""COMPUTED_VALUE"""),0.0)</f>
        <v>0</v>
      </c>
      <c r="D8893" s="8"/>
    </row>
    <row r="8894">
      <c r="A8894" s="9" t="str">
        <f>IFERROR(__xludf.DUMMYFUNCTION("""COMPUTED_VALUE"""),"Batch 355")</f>
        <v>Batch 355</v>
      </c>
      <c r="B8894" s="9" t="str">
        <f>IFERROR(__xludf.DUMMYFUNCTION("""COMPUTED_VALUE"""),"ReshminC355")</f>
        <v>ReshminC355</v>
      </c>
      <c r="C8894" s="8">
        <f>IFERROR(__xludf.DUMMYFUNCTION("""COMPUTED_VALUE"""),0.0)</f>
        <v>0</v>
      </c>
      <c r="D8894" s="8"/>
    </row>
    <row r="8895">
      <c r="A8895" s="9" t="str">
        <f>IFERROR(__xludf.DUMMYFUNCTION("""COMPUTED_VALUE"""),"Batch 355")</f>
        <v>Batch 355</v>
      </c>
      <c r="B8895" s="9" t="str">
        <f>IFERROR(__xludf.DUMMYFUNCTION("""COMPUTED_VALUE"""),"GopigaC355")</f>
        <v>GopigaC355</v>
      </c>
      <c r="C8895" s="8">
        <f>IFERROR(__xludf.DUMMYFUNCTION("""COMPUTED_VALUE"""),0.0)</f>
        <v>0</v>
      </c>
      <c r="D8895" s="8"/>
    </row>
    <row r="8896">
      <c r="A8896" s="9" t="str">
        <f>IFERROR(__xludf.DUMMYFUNCTION("""COMPUTED_VALUE"""),"Batch 355")</f>
        <v>Batch 355</v>
      </c>
      <c r="B8896" s="9" t="str">
        <f>IFERROR(__xludf.DUMMYFUNCTION("""COMPUTED_VALUE"""),"RiyaC355")</f>
        <v>RiyaC355</v>
      </c>
      <c r="C8896" s="8">
        <f>IFERROR(__xludf.DUMMYFUNCTION("""COMPUTED_VALUE"""),0.0)</f>
        <v>0</v>
      </c>
      <c r="D8896" s="8"/>
    </row>
    <row r="8897">
      <c r="A8897" s="9" t="str">
        <f>IFERROR(__xludf.DUMMYFUNCTION("""COMPUTED_VALUE"""),"Batch 355")</f>
        <v>Batch 355</v>
      </c>
      <c r="B8897" s="9" t="str">
        <f>IFERROR(__xludf.DUMMYFUNCTION("""COMPUTED_VALUE"""),"kurnoolC355")</f>
        <v>kurnoolC355</v>
      </c>
      <c r="C8897" s="8">
        <f>IFERROR(__xludf.DUMMYFUNCTION("""COMPUTED_VALUE"""),0.0)</f>
        <v>0</v>
      </c>
      <c r="D8897" s="8"/>
    </row>
    <row r="8898">
      <c r="A8898" s="9" t="str">
        <f>IFERROR(__xludf.DUMMYFUNCTION("""COMPUTED_VALUE"""),"Batch 355")</f>
        <v>Batch 355</v>
      </c>
      <c r="B8898" s="9" t="str">
        <f>IFERROR(__xludf.DUMMYFUNCTION("""COMPUTED_VALUE"""),"C355")</f>
        <v>C355</v>
      </c>
      <c r="C8898" s="8">
        <f>IFERROR(__xludf.DUMMYFUNCTION("""COMPUTED_VALUE"""),0.0)</f>
        <v>0</v>
      </c>
      <c r="D8898" s="8"/>
    </row>
    <row r="8899">
      <c r="A8899" s="9" t="str">
        <f>IFERROR(__xludf.DUMMYFUNCTION("""COMPUTED_VALUE"""),"Batch 355")</f>
        <v>Batch 355</v>
      </c>
      <c r="B8899" s="9" t="str">
        <f>IFERROR(__xludf.DUMMYFUNCTION("""COMPUTED_VALUE"""),"HimanshiC355")</f>
        <v>HimanshiC355</v>
      </c>
      <c r="C8899" s="8">
        <f>IFERROR(__xludf.DUMMYFUNCTION("""COMPUTED_VALUE"""),0.0)</f>
        <v>0</v>
      </c>
      <c r="D8899" s="8"/>
    </row>
    <row r="8900">
      <c r="A8900" s="9"/>
      <c r="B8900" s="9"/>
      <c r="C8900" s="8">
        <f>IFERROR(__xludf.DUMMYFUNCTION("""COMPUTED_VALUE"""),0.0)</f>
        <v>0</v>
      </c>
      <c r="D8900" s="8"/>
    </row>
    <row r="8901">
      <c r="A8901" s="9" t="str">
        <f>IFERROR(__xludf.DUMMYFUNCTION("""COMPUTED_VALUE"""),"Batch 356")</f>
        <v>Batch 356</v>
      </c>
      <c r="B8901" s="9" t="str">
        <f>IFERROR(__xludf.DUMMYFUNCTION("""COMPUTED_VALUE"""),"AadishC356")</f>
        <v>AadishC356</v>
      </c>
      <c r="C8901" s="8">
        <f>IFERROR(__xludf.DUMMYFUNCTION("""COMPUTED_VALUE"""),100.0)</f>
        <v>100</v>
      </c>
      <c r="D8901" s="8">
        <f>IFERROR(__xludf.DUMMYFUNCTION("""COMPUTED_VALUE"""),39.0)</f>
        <v>39</v>
      </c>
    </row>
    <row r="8902">
      <c r="A8902" s="9" t="str">
        <f>IFERROR(__xludf.DUMMYFUNCTION("""COMPUTED_VALUE"""),"Batch 356")</f>
        <v>Batch 356</v>
      </c>
      <c r="B8902" s="9" t="str">
        <f>IFERROR(__xludf.DUMMYFUNCTION("""COMPUTED_VALUE"""),"MadihaC356")</f>
        <v>MadihaC356</v>
      </c>
      <c r="C8902" s="8">
        <f>IFERROR(__xludf.DUMMYFUNCTION("""COMPUTED_VALUE"""),0.0)</f>
        <v>0</v>
      </c>
      <c r="D8902" s="8"/>
    </row>
    <row r="8903">
      <c r="A8903" s="9" t="str">
        <f>IFERROR(__xludf.DUMMYFUNCTION("""COMPUTED_VALUE"""),"Batch 356")</f>
        <v>Batch 356</v>
      </c>
      <c r="B8903" s="9" t="str">
        <f>IFERROR(__xludf.DUMMYFUNCTION("""COMPUTED_VALUE"""),"KapilC356")</f>
        <v>KapilC356</v>
      </c>
      <c r="C8903" s="8">
        <f>IFERROR(__xludf.DUMMYFUNCTION("""COMPUTED_VALUE"""),0.0)</f>
        <v>0</v>
      </c>
      <c r="D8903" s="8"/>
    </row>
    <row r="8904">
      <c r="A8904" s="9" t="str">
        <f>IFERROR(__xludf.DUMMYFUNCTION("""COMPUTED_VALUE"""),"Batch 356")</f>
        <v>Batch 356</v>
      </c>
      <c r="B8904" s="9" t="str">
        <f>IFERROR(__xludf.DUMMYFUNCTION("""COMPUTED_VALUE"""),"SukratiC356")</f>
        <v>SukratiC356</v>
      </c>
      <c r="C8904" s="8">
        <f>IFERROR(__xludf.DUMMYFUNCTION("""COMPUTED_VALUE"""),0.0)</f>
        <v>0</v>
      </c>
      <c r="D8904" s="8"/>
    </row>
    <row r="8905">
      <c r="A8905" s="9" t="str">
        <f>IFERROR(__xludf.DUMMYFUNCTION("""COMPUTED_VALUE"""),"Batch 356")</f>
        <v>Batch 356</v>
      </c>
      <c r="B8905" s="9" t="str">
        <f>IFERROR(__xludf.DUMMYFUNCTION("""COMPUTED_VALUE"""),"MarishaC356")</f>
        <v>MarishaC356</v>
      </c>
      <c r="C8905" s="8">
        <f>IFERROR(__xludf.DUMMYFUNCTION("""COMPUTED_VALUE"""),0.0)</f>
        <v>0</v>
      </c>
      <c r="D8905" s="8"/>
    </row>
    <row r="8906">
      <c r="A8906" s="9" t="str">
        <f>IFERROR(__xludf.DUMMYFUNCTION("""COMPUTED_VALUE"""),"Batch 356")</f>
        <v>Batch 356</v>
      </c>
      <c r="B8906" s="9" t="str">
        <f>IFERROR(__xludf.DUMMYFUNCTION("""COMPUTED_VALUE"""),"VisheshC356")</f>
        <v>VisheshC356</v>
      </c>
      <c r="C8906" s="8">
        <f>IFERROR(__xludf.DUMMYFUNCTION("""COMPUTED_VALUE"""),0.0)</f>
        <v>0</v>
      </c>
      <c r="D8906" s="8"/>
    </row>
    <row r="8907">
      <c r="A8907" s="9" t="str">
        <f>IFERROR(__xludf.DUMMYFUNCTION("""COMPUTED_VALUE"""),"Batch 356")</f>
        <v>Batch 356</v>
      </c>
      <c r="B8907" s="9" t="str">
        <f>IFERROR(__xludf.DUMMYFUNCTION("""COMPUTED_VALUE"""),"GorantlaC356")</f>
        <v>GorantlaC356</v>
      </c>
      <c r="C8907" s="8">
        <f>IFERROR(__xludf.DUMMYFUNCTION("""COMPUTED_VALUE"""),0.0)</f>
        <v>0</v>
      </c>
      <c r="D8907" s="8"/>
    </row>
    <row r="8908">
      <c r="A8908" s="9" t="str">
        <f>IFERROR(__xludf.DUMMYFUNCTION("""COMPUTED_VALUE"""),"Batch 356")</f>
        <v>Batch 356</v>
      </c>
      <c r="B8908" s="9" t="str">
        <f>IFERROR(__xludf.DUMMYFUNCTION("""COMPUTED_VALUE"""),"MuhammedC356")</f>
        <v>MuhammedC356</v>
      </c>
      <c r="C8908" s="8">
        <f>IFERROR(__xludf.DUMMYFUNCTION("""COMPUTED_VALUE"""),0.0)</f>
        <v>0</v>
      </c>
      <c r="D8908" s="8"/>
    </row>
    <row r="8909">
      <c r="A8909" s="9" t="str">
        <f>IFERROR(__xludf.DUMMYFUNCTION("""COMPUTED_VALUE"""),"Batch 356")</f>
        <v>Batch 356</v>
      </c>
      <c r="B8909" s="9" t="str">
        <f>IFERROR(__xludf.DUMMYFUNCTION("""COMPUTED_VALUE"""),"MdC356")</f>
        <v>MdC356</v>
      </c>
      <c r="C8909" s="8">
        <f>IFERROR(__xludf.DUMMYFUNCTION("""COMPUTED_VALUE"""),0.0)</f>
        <v>0</v>
      </c>
      <c r="D8909" s="8"/>
    </row>
    <row r="8910">
      <c r="A8910" s="9" t="str">
        <f>IFERROR(__xludf.DUMMYFUNCTION("""COMPUTED_VALUE"""),"Batch 356")</f>
        <v>Batch 356</v>
      </c>
      <c r="B8910" s="9" t="str">
        <f>IFERROR(__xludf.DUMMYFUNCTION("""COMPUTED_VALUE"""),"JharnaC356")</f>
        <v>JharnaC356</v>
      </c>
      <c r="C8910" s="8">
        <f>IFERROR(__xludf.DUMMYFUNCTION("""COMPUTED_VALUE"""),0.0)</f>
        <v>0</v>
      </c>
      <c r="D8910" s="8"/>
    </row>
    <row r="8911">
      <c r="A8911" s="9" t="str">
        <f>IFERROR(__xludf.DUMMYFUNCTION("""COMPUTED_VALUE"""),"Batch 356")</f>
        <v>Batch 356</v>
      </c>
      <c r="B8911" s="9" t="str">
        <f>IFERROR(__xludf.DUMMYFUNCTION("""COMPUTED_VALUE"""),"MustansirC356")</f>
        <v>MustansirC356</v>
      </c>
      <c r="C8911" s="8">
        <f>IFERROR(__xludf.DUMMYFUNCTION("""COMPUTED_VALUE"""),0.0)</f>
        <v>0</v>
      </c>
      <c r="D8911" s="8"/>
    </row>
    <row r="8912">
      <c r="A8912" s="9" t="str">
        <f>IFERROR(__xludf.DUMMYFUNCTION("""COMPUTED_VALUE"""),"Batch 356")</f>
        <v>Batch 356</v>
      </c>
      <c r="B8912" s="9" t="str">
        <f>IFERROR(__xludf.DUMMYFUNCTION("""COMPUTED_VALUE"""),"A.VenkatC356")</f>
        <v>A.VenkatC356</v>
      </c>
      <c r="C8912" s="8">
        <f>IFERROR(__xludf.DUMMYFUNCTION("""COMPUTED_VALUE"""),0.0)</f>
        <v>0</v>
      </c>
      <c r="D8912" s="8"/>
    </row>
    <row r="8913">
      <c r="A8913" s="9" t="str">
        <f>IFERROR(__xludf.DUMMYFUNCTION("""COMPUTED_VALUE"""),"Batch 356")</f>
        <v>Batch 356</v>
      </c>
      <c r="B8913" s="9" t="str">
        <f>IFERROR(__xludf.DUMMYFUNCTION("""COMPUTED_VALUE"""),"YashC356")</f>
        <v>YashC356</v>
      </c>
      <c r="C8913" s="8">
        <f>IFERROR(__xludf.DUMMYFUNCTION("""COMPUTED_VALUE"""),0.0)</f>
        <v>0</v>
      </c>
      <c r="D8913" s="8"/>
    </row>
    <row r="8914">
      <c r="A8914" s="9" t="str">
        <f>IFERROR(__xludf.DUMMYFUNCTION("""COMPUTED_VALUE"""),"Batch 356")</f>
        <v>Batch 356</v>
      </c>
      <c r="B8914" s="9" t="str">
        <f>IFERROR(__xludf.DUMMYFUNCTION("""COMPUTED_VALUE"""),"PranamC356")</f>
        <v>PranamC356</v>
      </c>
      <c r="C8914" s="8">
        <f>IFERROR(__xludf.DUMMYFUNCTION("""COMPUTED_VALUE"""),0.0)</f>
        <v>0</v>
      </c>
      <c r="D8914" s="8"/>
    </row>
    <row r="8915">
      <c r="A8915" s="9" t="str">
        <f>IFERROR(__xludf.DUMMYFUNCTION("""COMPUTED_VALUE"""),"Batch 356")</f>
        <v>Batch 356</v>
      </c>
      <c r="B8915" s="9" t="str">
        <f>IFERROR(__xludf.DUMMYFUNCTION("""COMPUTED_VALUE"""),"RaviC356")</f>
        <v>RaviC356</v>
      </c>
      <c r="C8915" s="8">
        <f>IFERROR(__xludf.DUMMYFUNCTION("""COMPUTED_VALUE"""),0.0)</f>
        <v>0</v>
      </c>
      <c r="D8915" s="8"/>
    </row>
    <row r="8916">
      <c r="A8916" s="9" t="str">
        <f>IFERROR(__xludf.DUMMYFUNCTION("""COMPUTED_VALUE"""),"Batch 356")</f>
        <v>Batch 356</v>
      </c>
      <c r="B8916" s="9" t="str">
        <f>IFERROR(__xludf.DUMMYFUNCTION("""COMPUTED_VALUE"""),"DishaC356")</f>
        <v>DishaC356</v>
      </c>
      <c r="C8916" s="8">
        <f>IFERROR(__xludf.DUMMYFUNCTION("""COMPUTED_VALUE"""),0.0)</f>
        <v>0</v>
      </c>
      <c r="D8916" s="8"/>
    </row>
    <row r="8917">
      <c r="A8917" s="9" t="str">
        <f>IFERROR(__xludf.DUMMYFUNCTION("""COMPUTED_VALUE"""),"Batch 356")</f>
        <v>Batch 356</v>
      </c>
      <c r="B8917" s="9" t="str">
        <f>IFERROR(__xludf.DUMMYFUNCTION("""COMPUTED_VALUE"""),"RiyaaC356")</f>
        <v>RiyaaC356</v>
      </c>
      <c r="C8917" s="8">
        <f>IFERROR(__xludf.DUMMYFUNCTION("""COMPUTED_VALUE"""),0.0)</f>
        <v>0</v>
      </c>
      <c r="D8917" s="8"/>
    </row>
    <row r="8918">
      <c r="A8918" s="9" t="str">
        <f>IFERROR(__xludf.DUMMYFUNCTION("""COMPUTED_VALUE"""),"Batch 356")</f>
        <v>Batch 356</v>
      </c>
      <c r="B8918" s="9" t="str">
        <f>IFERROR(__xludf.DUMMYFUNCTION("""COMPUTED_VALUE"""),"KanakC356")</f>
        <v>KanakC356</v>
      </c>
      <c r="C8918" s="8">
        <f>IFERROR(__xludf.DUMMYFUNCTION("""COMPUTED_VALUE"""),0.0)</f>
        <v>0</v>
      </c>
      <c r="D8918" s="8"/>
    </row>
    <row r="8919">
      <c r="A8919" s="9" t="str">
        <f>IFERROR(__xludf.DUMMYFUNCTION("""COMPUTED_VALUE"""),"Batch 356")</f>
        <v>Batch 356</v>
      </c>
      <c r="B8919" s="9" t="str">
        <f>IFERROR(__xludf.DUMMYFUNCTION("""COMPUTED_VALUE"""),"ParikhC356")</f>
        <v>ParikhC356</v>
      </c>
      <c r="C8919" s="8">
        <f>IFERROR(__xludf.DUMMYFUNCTION("""COMPUTED_VALUE"""),0.0)</f>
        <v>0</v>
      </c>
      <c r="D8919" s="8"/>
    </row>
    <row r="8920">
      <c r="A8920" s="9" t="str">
        <f>IFERROR(__xludf.DUMMYFUNCTION("""COMPUTED_VALUE"""),"Batch 356")</f>
        <v>Batch 356</v>
      </c>
      <c r="B8920" s="9" t="str">
        <f>IFERROR(__xludf.DUMMYFUNCTION("""COMPUTED_VALUE"""),"NandiniC356")</f>
        <v>NandiniC356</v>
      </c>
      <c r="C8920" s="8">
        <f>IFERROR(__xludf.DUMMYFUNCTION("""COMPUTED_VALUE"""),0.0)</f>
        <v>0</v>
      </c>
      <c r="D8920" s="8"/>
    </row>
    <row r="8921">
      <c r="A8921" s="9" t="str">
        <f>IFERROR(__xludf.DUMMYFUNCTION("""COMPUTED_VALUE"""),"Batch 356")</f>
        <v>Batch 356</v>
      </c>
      <c r="B8921" s="9" t="str">
        <f>IFERROR(__xludf.DUMMYFUNCTION("""COMPUTED_VALUE"""),"AbhishekC356")</f>
        <v>AbhishekC356</v>
      </c>
      <c r="C8921" s="8">
        <f>IFERROR(__xludf.DUMMYFUNCTION("""COMPUTED_VALUE"""),0.0)</f>
        <v>0</v>
      </c>
      <c r="D8921" s="8"/>
    </row>
    <row r="8922">
      <c r="A8922" s="9" t="str">
        <f>IFERROR(__xludf.DUMMYFUNCTION("""COMPUTED_VALUE"""),"Batch 356")</f>
        <v>Batch 356</v>
      </c>
      <c r="B8922" s="9" t="str">
        <f>IFERROR(__xludf.DUMMYFUNCTION("""COMPUTED_VALUE"""),"VC356")</f>
        <v>VC356</v>
      </c>
      <c r="C8922" s="8">
        <f>IFERROR(__xludf.DUMMYFUNCTION("""COMPUTED_VALUE"""),2.0)</f>
        <v>2</v>
      </c>
      <c r="D8922" s="8"/>
    </row>
    <row r="8923">
      <c r="A8923" s="9" t="str">
        <f>IFERROR(__xludf.DUMMYFUNCTION("""COMPUTED_VALUE"""),"Batch 356")</f>
        <v>Batch 356</v>
      </c>
      <c r="B8923" s="9" t="str">
        <f>IFERROR(__xludf.DUMMYFUNCTION("""COMPUTED_VALUE"""),"VanshC356")</f>
        <v>VanshC356</v>
      </c>
      <c r="C8923" s="8">
        <f>IFERROR(__xludf.DUMMYFUNCTION("""COMPUTED_VALUE"""),0.0)</f>
        <v>0</v>
      </c>
      <c r="D8923" s="8"/>
    </row>
    <row r="8924">
      <c r="A8924" s="9" t="str">
        <f>IFERROR(__xludf.DUMMYFUNCTION("""COMPUTED_VALUE"""),"Batch 356")</f>
        <v>Batch 356</v>
      </c>
      <c r="B8924" s="9" t="str">
        <f>IFERROR(__xludf.DUMMYFUNCTION("""COMPUTED_VALUE"""),"SurabhiC356")</f>
        <v>SurabhiC356</v>
      </c>
      <c r="C8924" s="8">
        <f>IFERROR(__xludf.DUMMYFUNCTION("""COMPUTED_VALUE"""),119.0)</f>
        <v>119</v>
      </c>
      <c r="D8924" s="8">
        <f>IFERROR(__xludf.DUMMYFUNCTION("""COMPUTED_VALUE"""),9.0)</f>
        <v>9</v>
      </c>
    </row>
    <row r="8925">
      <c r="A8925" s="9" t="str">
        <f>IFERROR(__xludf.DUMMYFUNCTION("""COMPUTED_VALUE"""),"Batch 356")</f>
        <v>Batch 356</v>
      </c>
      <c r="B8925" s="9" t="str">
        <f>IFERROR(__xludf.DUMMYFUNCTION("""COMPUTED_VALUE"""),"RiddhimaC356")</f>
        <v>RiddhimaC356</v>
      </c>
      <c r="C8925" s="8">
        <f>IFERROR(__xludf.DUMMYFUNCTION("""COMPUTED_VALUE"""),0.0)</f>
        <v>0</v>
      </c>
      <c r="D8925" s="8"/>
    </row>
    <row r="8926">
      <c r="A8926" s="9" t="str">
        <f>IFERROR(__xludf.DUMMYFUNCTION("""COMPUTED_VALUE"""),"Batch 356")</f>
        <v>Batch 356</v>
      </c>
      <c r="B8926" s="9" t="str">
        <f>IFERROR(__xludf.DUMMYFUNCTION("""COMPUTED_VALUE"""),"BerniceC356")</f>
        <v>BerniceC356</v>
      </c>
      <c r="C8926" s="8">
        <f>IFERROR(__xludf.DUMMYFUNCTION("""COMPUTED_VALUE"""),0.0)</f>
        <v>0</v>
      </c>
      <c r="D8926" s="8"/>
    </row>
    <row r="8927">
      <c r="A8927" s="9" t="str">
        <f>IFERROR(__xludf.DUMMYFUNCTION("""COMPUTED_VALUE"""),"Batch 356")</f>
        <v>Batch 356</v>
      </c>
      <c r="B8927" s="9" t="str">
        <f>IFERROR(__xludf.DUMMYFUNCTION("""COMPUTED_VALUE"""),"AadilC356")</f>
        <v>AadilC356</v>
      </c>
      <c r="C8927" s="8">
        <f>IFERROR(__xludf.DUMMYFUNCTION("""COMPUTED_VALUE"""),0.0)</f>
        <v>0</v>
      </c>
      <c r="D8927" s="8"/>
    </row>
    <row r="8928">
      <c r="A8928" s="9" t="str">
        <f>IFERROR(__xludf.DUMMYFUNCTION("""COMPUTED_VALUE"""),"Batch 356")</f>
        <v>Batch 356</v>
      </c>
      <c r="B8928" s="9" t="str">
        <f>IFERROR(__xludf.DUMMYFUNCTION("""COMPUTED_VALUE"""),"HetalC356")</f>
        <v>HetalC356</v>
      </c>
      <c r="C8928" s="8">
        <f>IFERROR(__xludf.DUMMYFUNCTION("""COMPUTED_VALUE"""),0.0)</f>
        <v>0</v>
      </c>
      <c r="D8928" s="8"/>
    </row>
    <row r="8929">
      <c r="A8929" s="9" t="str">
        <f>IFERROR(__xludf.DUMMYFUNCTION("""COMPUTED_VALUE"""),"Batch 356")</f>
        <v>Batch 356</v>
      </c>
      <c r="B8929" s="9" t="str">
        <f>IFERROR(__xludf.DUMMYFUNCTION("""COMPUTED_VALUE"""),"PratyushC356")</f>
        <v>PratyushC356</v>
      </c>
      <c r="C8929" s="8">
        <f>IFERROR(__xludf.DUMMYFUNCTION("""COMPUTED_VALUE"""),0.0)</f>
        <v>0</v>
      </c>
      <c r="D8929" s="8"/>
    </row>
    <row r="8930">
      <c r="A8930" s="9" t="str">
        <f>IFERROR(__xludf.DUMMYFUNCTION("""COMPUTED_VALUE"""),"Batch 356")</f>
        <v>Batch 356</v>
      </c>
      <c r="B8930" s="9" t="str">
        <f>IFERROR(__xludf.DUMMYFUNCTION("""COMPUTED_VALUE"""),"ManjuC356")</f>
        <v>ManjuC356</v>
      </c>
      <c r="C8930" s="8">
        <f>IFERROR(__xludf.DUMMYFUNCTION("""COMPUTED_VALUE"""),0.0)</f>
        <v>0</v>
      </c>
      <c r="D8930" s="8"/>
    </row>
    <row r="8931">
      <c r="A8931" s="9" t="str">
        <f>IFERROR(__xludf.DUMMYFUNCTION("""COMPUTED_VALUE"""),"Batch 356")</f>
        <v>Batch 356</v>
      </c>
      <c r="B8931" s="9" t="str">
        <f>IFERROR(__xludf.DUMMYFUNCTION("""COMPUTED_VALUE"""),"NandiniC356")</f>
        <v>NandiniC356</v>
      </c>
      <c r="C8931" s="8">
        <f>IFERROR(__xludf.DUMMYFUNCTION("""COMPUTED_VALUE"""),0.0)</f>
        <v>0</v>
      </c>
      <c r="D8931" s="8"/>
    </row>
    <row r="8932">
      <c r="A8932" s="9" t="str">
        <f>IFERROR(__xludf.DUMMYFUNCTION("""COMPUTED_VALUE"""),"Batch 356")</f>
        <v>Batch 356</v>
      </c>
      <c r="B8932" s="9" t="str">
        <f>IFERROR(__xludf.DUMMYFUNCTION("""COMPUTED_VALUE"""),"KhushiC356")</f>
        <v>KhushiC356</v>
      </c>
      <c r="C8932" s="8">
        <f>IFERROR(__xludf.DUMMYFUNCTION("""COMPUTED_VALUE"""),0.0)</f>
        <v>0</v>
      </c>
      <c r="D8932" s="8"/>
    </row>
    <row r="8933">
      <c r="A8933" s="9" t="str">
        <f>IFERROR(__xludf.DUMMYFUNCTION("""COMPUTED_VALUE"""),"Batch 356")</f>
        <v>Batch 356</v>
      </c>
      <c r="B8933" s="9" t="str">
        <f>IFERROR(__xludf.DUMMYFUNCTION("""COMPUTED_VALUE"""),"NayanjotC356")</f>
        <v>NayanjotC356</v>
      </c>
      <c r="C8933" s="8">
        <f>IFERROR(__xludf.DUMMYFUNCTION("""COMPUTED_VALUE"""),0.0)</f>
        <v>0</v>
      </c>
      <c r="D8933" s="8"/>
    </row>
    <row r="8934">
      <c r="A8934" s="9" t="str">
        <f>IFERROR(__xludf.DUMMYFUNCTION("""COMPUTED_VALUE"""),"Batch 356")</f>
        <v>Batch 356</v>
      </c>
      <c r="B8934" s="9" t="str">
        <f>IFERROR(__xludf.DUMMYFUNCTION("""COMPUTED_VALUE"""),"TarunC356")</f>
        <v>TarunC356</v>
      </c>
      <c r="C8934" s="8">
        <f>IFERROR(__xludf.DUMMYFUNCTION("""COMPUTED_VALUE"""),0.0)</f>
        <v>0</v>
      </c>
      <c r="D8934" s="8">
        <f>IFERROR(__xludf.DUMMYFUNCTION("""COMPUTED_VALUE"""),2.0)</f>
        <v>2</v>
      </c>
    </row>
    <row r="8935">
      <c r="A8935" s="9" t="str">
        <f>IFERROR(__xludf.DUMMYFUNCTION("""COMPUTED_VALUE"""),"Batch 356")</f>
        <v>Batch 356</v>
      </c>
      <c r="B8935" s="9" t="str">
        <f>IFERROR(__xludf.DUMMYFUNCTION("""COMPUTED_VALUE"""),"DishaC356")</f>
        <v>DishaC356</v>
      </c>
      <c r="C8935" s="8">
        <f>IFERROR(__xludf.DUMMYFUNCTION("""COMPUTED_VALUE"""),0.0)</f>
        <v>0</v>
      </c>
      <c r="D8935" s="8"/>
    </row>
    <row r="8936">
      <c r="A8936" s="9" t="str">
        <f>IFERROR(__xludf.DUMMYFUNCTION("""COMPUTED_VALUE"""),"Batch 356")</f>
        <v>Batch 356</v>
      </c>
      <c r="B8936" s="9" t="str">
        <f>IFERROR(__xludf.DUMMYFUNCTION("""COMPUTED_VALUE"""),"PudiC356")</f>
        <v>PudiC356</v>
      </c>
      <c r="C8936" s="8">
        <f>IFERROR(__xludf.DUMMYFUNCTION("""COMPUTED_VALUE"""),0.0)</f>
        <v>0</v>
      </c>
      <c r="D8936" s="8"/>
    </row>
    <row r="8937">
      <c r="A8937" s="9" t="str">
        <f>IFERROR(__xludf.DUMMYFUNCTION("""COMPUTED_VALUE"""),"Batch 356")</f>
        <v>Batch 356</v>
      </c>
      <c r="B8937" s="9" t="str">
        <f>IFERROR(__xludf.DUMMYFUNCTION("""COMPUTED_VALUE"""),"KaranC356")</f>
        <v>KaranC356</v>
      </c>
      <c r="C8937" s="8">
        <f>IFERROR(__xludf.DUMMYFUNCTION("""COMPUTED_VALUE"""),0.0)</f>
        <v>0</v>
      </c>
      <c r="D8937" s="8"/>
    </row>
    <row r="8938">
      <c r="A8938" s="9" t="str">
        <f>IFERROR(__xludf.DUMMYFUNCTION("""COMPUTED_VALUE"""),"Batch 356")</f>
        <v>Batch 356</v>
      </c>
      <c r="B8938" s="9" t="str">
        <f>IFERROR(__xludf.DUMMYFUNCTION("""COMPUTED_VALUE"""),"ShivenC356")</f>
        <v>ShivenC356</v>
      </c>
      <c r="C8938" s="8">
        <f>IFERROR(__xludf.DUMMYFUNCTION("""COMPUTED_VALUE"""),0.0)</f>
        <v>0</v>
      </c>
      <c r="D8938" s="8"/>
    </row>
    <row r="8939">
      <c r="A8939" s="9" t="str">
        <f>IFERROR(__xludf.DUMMYFUNCTION("""COMPUTED_VALUE"""),"Batch 356")</f>
        <v>Batch 356</v>
      </c>
      <c r="B8939" s="9" t="str">
        <f>IFERROR(__xludf.DUMMYFUNCTION("""COMPUTED_VALUE"""),"MayankC356")</f>
        <v>MayankC356</v>
      </c>
      <c r="C8939" s="8">
        <f>IFERROR(__xludf.DUMMYFUNCTION("""COMPUTED_VALUE"""),0.0)</f>
        <v>0</v>
      </c>
      <c r="D8939" s="8"/>
    </row>
    <row r="8940">
      <c r="A8940" s="9" t="str">
        <f>IFERROR(__xludf.DUMMYFUNCTION("""COMPUTED_VALUE"""),"Batch 356")</f>
        <v>Batch 356</v>
      </c>
      <c r="B8940" s="9" t="str">
        <f>IFERROR(__xludf.DUMMYFUNCTION("""COMPUTED_VALUE"""),"AryaveerC356")</f>
        <v>AryaveerC356</v>
      </c>
      <c r="C8940" s="8">
        <f>IFERROR(__xludf.DUMMYFUNCTION("""COMPUTED_VALUE"""),0.0)</f>
        <v>0</v>
      </c>
      <c r="D8940" s="8"/>
    </row>
    <row r="8941">
      <c r="A8941" s="9" t="str">
        <f>IFERROR(__xludf.DUMMYFUNCTION("""COMPUTED_VALUE"""),"Batch 356")</f>
        <v>Batch 356</v>
      </c>
      <c r="B8941" s="9" t="str">
        <f>IFERROR(__xludf.DUMMYFUNCTION("""COMPUTED_VALUE"""),"PriyanshuC356")</f>
        <v>PriyanshuC356</v>
      </c>
      <c r="C8941" s="8">
        <f>IFERROR(__xludf.DUMMYFUNCTION("""COMPUTED_VALUE"""),0.0)</f>
        <v>0</v>
      </c>
      <c r="D8941" s="8"/>
    </row>
    <row r="8942">
      <c r="A8942" s="9" t="str">
        <f>IFERROR(__xludf.DUMMYFUNCTION("""COMPUTED_VALUE"""),"Batch 356")</f>
        <v>Batch 356</v>
      </c>
      <c r="B8942" s="9" t="str">
        <f>IFERROR(__xludf.DUMMYFUNCTION("""COMPUTED_VALUE"""),"GunikaC356")</f>
        <v>GunikaC356</v>
      </c>
      <c r="C8942" s="8">
        <f>IFERROR(__xludf.DUMMYFUNCTION("""COMPUTED_VALUE"""),0.0)</f>
        <v>0</v>
      </c>
      <c r="D8942" s="8"/>
    </row>
    <row r="8943">
      <c r="A8943" s="9" t="str">
        <f>IFERROR(__xludf.DUMMYFUNCTION("""COMPUTED_VALUE"""),"Batch 356")</f>
        <v>Batch 356</v>
      </c>
      <c r="B8943" s="9" t="str">
        <f>IFERROR(__xludf.DUMMYFUNCTION("""COMPUTED_VALUE"""),"AkshatC356")</f>
        <v>AkshatC356</v>
      </c>
      <c r="C8943" s="8">
        <f>IFERROR(__xludf.DUMMYFUNCTION("""COMPUTED_VALUE"""),0.0)</f>
        <v>0</v>
      </c>
      <c r="D8943" s="8"/>
    </row>
    <row r="8944">
      <c r="A8944" s="9" t="str">
        <f>IFERROR(__xludf.DUMMYFUNCTION("""COMPUTED_VALUE"""),"Batch 356")</f>
        <v>Batch 356</v>
      </c>
      <c r="B8944" s="9" t="str">
        <f>IFERROR(__xludf.DUMMYFUNCTION("""COMPUTED_VALUE"""),"AmitC356")</f>
        <v>AmitC356</v>
      </c>
      <c r="C8944" s="8">
        <f>IFERROR(__xludf.DUMMYFUNCTION("""COMPUTED_VALUE"""),0.0)</f>
        <v>0</v>
      </c>
      <c r="D8944" s="8"/>
    </row>
    <row r="8945">
      <c r="A8945" s="9" t="str">
        <f>IFERROR(__xludf.DUMMYFUNCTION("""COMPUTED_VALUE"""),"Batch 356")</f>
        <v>Batch 356</v>
      </c>
      <c r="B8945" s="9" t="str">
        <f>IFERROR(__xludf.DUMMYFUNCTION("""COMPUTED_VALUE"""),"P.PriyadharshiniC356")</f>
        <v>P.PriyadharshiniC356</v>
      </c>
      <c r="C8945" s="8">
        <f>IFERROR(__xludf.DUMMYFUNCTION("""COMPUTED_VALUE"""),0.0)</f>
        <v>0</v>
      </c>
      <c r="D8945" s="8"/>
    </row>
    <row r="8946">
      <c r="A8946" s="9" t="str">
        <f>IFERROR(__xludf.DUMMYFUNCTION("""COMPUTED_VALUE"""),"Batch 356")</f>
        <v>Batch 356</v>
      </c>
      <c r="B8946" s="9" t="str">
        <f>IFERROR(__xludf.DUMMYFUNCTION("""COMPUTED_VALUE"""),"KritiC356")</f>
        <v>KritiC356</v>
      </c>
      <c r="C8946" s="8">
        <f>IFERROR(__xludf.DUMMYFUNCTION("""COMPUTED_VALUE"""),0.0)</f>
        <v>0</v>
      </c>
      <c r="D8946" s="8"/>
    </row>
    <row r="8947">
      <c r="A8947" s="9" t="str">
        <f>IFERROR(__xludf.DUMMYFUNCTION("""COMPUTED_VALUE"""),"Batch 356")</f>
        <v>Batch 356</v>
      </c>
      <c r="B8947" s="9" t="str">
        <f>IFERROR(__xludf.DUMMYFUNCTION("""COMPUTED_VALUE"""),"MUSHARRAFC356")</f>
        <v>MUSHARRAFC356</v>
      </c>
      <c r="C8947" s="8">
        <f>IFERROR(__xludf.DUMMYFUNCTION("""COMPUTED_VALUE"""),0.0)</f>
        <v>0</v>
      </c>
      <c r="D8947" s="8"/>
    </row>
    <row r="8948">
      <c r="A8948" s="9" t="str">
        <f>IFERROR(__xludf.DUMMYFUNCTION("""COMPUTED_VALUE"""),"Batch 356")</f>
        <v>Batch 356</v>
      </c>
      <c r="B8948" s="9" t="str">
        <f>IFERROR(__xludf.DUMMYFUNCTION("""COMPUTED_VALUE"""),"AbhinandanC356")</f>
        <v>AbhinandanC356</v>
      </c>
      <c r="C8948" s="8">
        <f>IFERROR(__xludf.DUMMYFUNCTION("""COMPUTED_VALUE"""),0.0)</f>
        <v>0</v>
      </c>
      <c r="D8948" s="8"/>
    </row>
    <row r="8949">
      <c r="A8949" s="9" t="str">
        <f>IFERROR(__xludf.DUMMYFUNCTION("""COMPUTED_VALUE"""),"Batch 356")</f>
        <v>Batch 356</v>
      </c>
      <c r="B8949" s="9" t="str">
        <f>IFERROR(__xludf.DUMMYFUNCTION("""COMPUTED_VALUE"""),"KarthikC356")</f>
        <v>KarthikC356</v>
      </c>
      <c r="C8949" s="8">
        <f>IFERROR(__xludf.DUMMYFUNCTION("""COMPUTED_VALUE"""),0.0)</f>
        <v>0</v>
      </c>
      <c r="D8949" s="8"/>
    </row>
    <row r="8950">
      <c r="A8950" s="9" t="str">
        <f>IFERROR(__xludf.DUMMYFUNCTION("""COMPUTED_VALUE"""),"Batch 356")</f>
        <v>Batch 356</v>
      </c>
      <c r="B8950" s="9" t="str">
        <f>IFERROR(__xludf.DUMMYFUNCTION("""COMPUTED_VALUE"""),"AnkitC356")</f>
        <v>AnkitC356</v>
      </c>
      <c r="C8950" s="8">
        <f>IFERROR(__xludf.DUMMYFUNCTION("""COMPUTED_VALUE"""),0.0)</f>
        <v>0</v>
      </c>
      <c r="D8950" s="8"/>
    </row>
    <row r="8951">
      <c r="A8951" s="9" t="str">
        <f>IFERROR(__xludf.DUMMYFUNCTION("""COMPUTED_VALUE"""),"Batch 356")</f>
        <v>Batch 356</v>
      </c>
      <c r="B8951" s="9" t="str">
        <f>IFERROR(__xludf.DUMMYFUNCTION("""COMPUTED_VALUE"""),"AaryaC356")</f>
        <v>AaryaC356</v>
      </c>
      <c r="C8951" s="8">
        <f>IFERROR(__xludf.DUMMYFUNCTION("""COMPUTED_VALUE"""),0.0)</f>
        <v>0</v>
      </c>
      <c r="D8951" s="8"/>
    </row>
    <row r="8952">
      <c r="A8952" s="9" t="str">
        <f>IFERROR(__xludf.DUMMYFUNCTION("""COMPUTED_VALUE"""),"Batch 356")</f>
        <v>Batch 356</v>
      </c>
      <c r="B8952" s="9" t="str">
        <f>IFERROR(__xludf.DUMMYFUNCTION("""COMPUTED_VALUE"""),"devC356")</f>
        <v>devC356</v>
      </c>
      <c r="C8952" s="8">
        <f>IFERROR(__xludf.DUMMYFUNCTION("""COMPUTED_VALUE"""),0.0)</f>
        <v>0</v>
      </c>
      <c r="D8952" s="8"/>
    </row>
    <row r="8953">
      <c r="A8953" s="9" t="str">
        <f>IFERROR(__xludf.DUMMYFUNCTION("""COMPUTED_VALUE"""),"Batch 356")</f>
        <v>Batch 356</v>
      </c>
      <c r="B8953" s="9" t="str">
        <f>IFERROR(__xludf.DUMMYFUNCTION("""COMPUTED_VALUE"""),"SuhaniC356")</f>
        <v>SuhaniC356</v>
      </c>
      <c r="C8953" s="8">
        <f>IFERROR(__xludf.DUMMYFUNCTION("""COMPUTED_VALUE"""),0.0)</f>
        <v>0</v>
      </c>
      <c r="D8953" s="8"/>
    </row>
    <row r="8954">
      <c r="A8954" s="9" t="str">
        <f>IFERROR(__xludf.DUMMYFUNCTION("""COMPUTED_VALUE"""),"Batch 356")</f>
        <v>Batch 356</v>
      </c>
      <c r="B8954" s="9" t="str">
        <f>IFERROR(__xludf.DUMMYFUNCTION("""COMPUTED_VALUE"""),"DiyaC356")</f>
        <v>DiyaC356</v>
      </c>
      <c r="C8954" s="8">
        <f>IFERROR(__xludf.DUMMYFUNCTION("""COMPUTED_VALUE"""),0.0)</f>
        <v>0</v>
      </c>
      <c r="D8954" s="8"/>
    </row>
    <row r="8955">
      <c r="A8955" s="9" t="str">
        <f>IFERROR(__xludf.DUMMYFUNCTION("""COMPUTED_VALUE"""),"Batch 356")</f>
        <v>Batch 356</v>
      </c>
      <c r="B8955" s="9" t="str">
        <f>IFERROR(__xludf.DUMMYFUNCTION("""COMPUTED_VALUE"""),"AnushreeC356")</f>
        <v>AnushreeC356</v>
      </c>
      <c r="C8955" s="8">
        <f>IFERROR(__xludf.DUMMYFUNCTION("""COMPUTED_VALUE"""),0.0)</f>
        <v>0</v>
      </c>
      <c r="D8955" s="8"/>
    </row>
    <row r="8956">
      <c r="A8956" s="9" t="str">
        <f>IFERROR(__xludf.DUMMYFUNCTION("""COMPUTED_VALUE"""),"Batch 356")</f>
        <v>Batch 356</v>
      </c>
      <c r="B8956" s="9" t="str">
        <f>IFERROR(__xludf.DUMMYFUNCTION("""COMPUTED_VALUE"""),"AdityaC356")</f>
        <v>AdityaC356</v>
      </c>
      <c r="C8956" s="8">
        <f>IFERROR(__xludf.DUMMYFUNCTION("""COMPUTED_VALUE"""),0.0)</f>
        <v>0</v>
      </c>
      <c r="D8956" s="8"/>
    </row>
    <row r="8957">
      <c r="A8957" s="9" t="str">
        <f>IFERROR(__xludf.DUMMYFUNCTION("""COMPUTED_VALUE"""),"Batch 356")</f>
        <v>Batch 356</v>
      </c>
      <c r="B8957" s="9" t="str">
        <f>IFERROR(__xludf.DUMMYFUNCTION("""COMPUTED_VALUE"""),"KrrishC356")</f>
        <v>KrrishC356</v>
      </c>
      <c r="C8957" s="8">
        <f>IFERROR(__xludf.DUMMYFUNCTION("""COMPUTED_VALUE"""),0.0)</f>
        <v>0</v>
      </c>
      <c r="D8957" s="8"/>
    </row>
    <row r="8958">
      <c r="A8958" s="9" t="str">
        <f>IFERROR(__xludf.DUMMYFUNCTION("""COMPUTED_VALUE"""),"Batch 356")</f>
        <v>Batch 356</v>
      </c>
      <c r="B8958" s="9" t="str">
        <f>IFERROR(__xludf.DUMMYFUNCTION("""COMPUTED_VALUE"""),"AnoushkaC356")</f>
        <v>AnoushkaC356</v>
      </c>
      <c r="C8958" s="8">
        <f>IFERROR(__xludf.DUMMYFUNCTION("""COMPUTED_VALUE"""),0.0)</f>
        <v>0</v>
      </c>
      <c r="D8958" s="8"/>
    </row>
    <row r="8959">
      <c r="A8959" s="9" t="str">
        <f>IFERROR(__xludf.DUMMYFUNCTION("""COMPUTED_VALUE"""),"Batch 356")</f>
        <v>Batch 356</v>
      </c>
      <c r="B8959" s="9" t="str">
        <f>IFERROR(__xludf.DUMMYFUNCTION("""COMPUTED_VALUE"""),"DarshanC356")</f>
        <v>DarshanC356</v>
      </c>
      <c r="C8959" s="8">
        <f>IFERROR(__xludf.DUMMYFUNCTION("""COMPUTED_VALUE"""),7.0)</f>
        <v>7</v>
      </c>
      <c r="D8959" s="8"/>
    </row>
    <row r="8960">
      <c r="A8960" s="9" t="str">
        <f>IFERROR(__xludf.DUMMYFUNCTION("""COMPUTED_VALUE"""),"Batch 356")</f>
        <v>Batch 356</v>
      </c>
      <c r="B8960" s="9" t="str">
        <f>IFERROR(__xludf.DUMMYFUNCTION("""COMPUTED_VALUE"""),"IdrisiC356")</f>
        <v>IdrisiC356</v>
      </c>
      <c r="C8960" s="8">
        <f>IFERROR(__xludf.DUMMYFUNCTION("""COMPUTED_VALUE"""),0.0)</f>
        <v>0</v>
      </c>
      <c r="D8960" s="8"/>
    </row>
    <row r="8961">
      <c r="A8961" s="9" t="str">
        <f>IFERROR(__xludf.DUMMYFUNCTION("""COMPUTED_VALUE"""),"Batch 356")</f>
        <v>Batch 356</v>
      </c>
      <c r="B8961" s="9" t="str">
        <f>IFERROR(__xludf.DUMMYFUNCTION("""COMPUTED_VALUE"""),"SakshiC356")</f>
        <v>SakshiC356</v>
      </c>
      <c r="C8961" s="8">
        <f>IFERROR(__xludf.DUMMYFUNCTION("""COMPUTED_VALUE"""),0.0)</f>
        <v>0</v>
      </c>
      <c r="D8961" s="8"/>
    </row>
    <row r="8962">
      <c r="A8962" s="9" t="str">
        <f>IFERROR(__xludf.DUMMYFUNCTION("""COMPUTED_VALUE"""),"Batch 356")</f>
        <v>Batch 356</v>
      </c>
      <c r="B8962" s="9" t="str">
        <f>IFERROR(__xludf.DUMMYFUNCTION("""COMPUTED_VALUE"""),"RohanC356")</f>
        <v>RohanC356</v>
      </c>
      <c r="C8962" s="8">
        <f>IFERROR(__xludf.DUMMYFUNCTION("""COMPUTED_VALUE"""),0.0)</f>
        <v>0</v>
      </c>
      <c r="D8962" s="8"/>
    </row>
    <row r="8963">
      <c r="A8963" s="9" t="str">
        <f>IFERROR(__xludf.DUMMYFUNCTION("""COMPUTED_VALUE"""),"Batch 356")</f>
        <v>Batch 356</v>
      </c>
      <c r="B8963" s="9" t="str">
        <f>IFERROR(__xludf.DUMMYFUNCTION("""COMPUTED_VALUE"""),"RehanC356")</f>
        <v>RehanC356</v>
      </c>
      <c r="C8963" s="8">
        <f>IFERROR(__xludf.DUMMYFUNCTION("""COMPUTED_VALUE"""),0.0)</f>
        <v>0</v>
      </c>
      <c r="D8963" s="8"/>
    </row>
    <row r="8964">
      <c r="A8964" s="9" t="str">
        <f>IFERROR(__xludf.DUMMYFUNCTION("""COMPUTED_VALUE"""),"Batch 356")</f>
        <v>Batch 356</v>
      </c>
      <c r="B8964" s="9" t="str">
        <f>IFERROR(__xludf.DUMMYFUNCTION("""COMPUTED_VALUE"""),"KusumC356")</f>
        <v>KusumC356</v>
      </c>
      <c r="C8964" s="8">
        <f>IFERROR(__xludf.DUMMYFUNCTION("""COMPUTED_VALUE"""),0.0)</f>
        <v>0</v>
      </c>
      <c r="D8964" s="8"/>
    </row>
    <row r="8965">
      <c r="A8965" s="9" t="str">
        <f>IFERROR(__xludf.DUMMYFUNCTION("""COMPUTED_VALUE"""),"Batch 356")</f>
        <v>Batch 356</v>
      </c>
      <c r="B8965" s="9" t="str">
        <f>IFERROR(__xludf.DUMMYFUNCTION("""COMPUTED_VALUE"""),"HC356")</f>
        <v>HC356</v>
      </c>
      <c r="C8965" s="8">
        <f>IFERROR(__xludf.DUMMYFUNCTION("""COMPUTED_VALUE"""),0.0)</f>
        <v>0</v>
      </c>
      <c r="D8965" s="8"/>
    </row>
    <row r="8966">
      <c r="A8966" s="9" t="str">
        <f>IFERROR(__xludf.DUMMYFUNCTION("""COMPUTED_VALUE"""),"Batch 356")</f>
        <v>Batch 356</v>
      </c>
      <c r="B8966" s="9" t="str">
        <f>IFERROR(__xludf.DUMMYFUNCTION("""COMPUTED_VALUE"""),"OmC356")</f>
        <v>OmC356</v>
      </c>
      <c r="C8966" s="8">
        <f>IFERROR(__xludf.DUMMYFUNCTION("""COMPUTED_VALUE"""),1.0)</f>
        <v>1</v>
      </c>
      <c r="D8966" s="8">
        <f>IFERROR(__xludf.DUMMYFUNCTION("""COMPUTED_VALUE"""),1.0)</f>
        <v>1</v>
      </c>
    </row>
    <row r="8967">
      <c r="A8967" s="9" t="str">
        <f>IFERROR(__xludf.DUMMYFUNCTION("""COMPUTED_VALUE"""),"Batch 356")</f>
        <v>Batch 356</v>
      </c>
      <c r="B8967" s="9" t="str">
        <f>IFERROR(__xludf.DUMMYFUNCTION("""COMPUTED_VALUE"""),"NikhilC356")</f>
        <v>NikhilC356</v>
      </c>
      <c r="C8967" s="8">
        <f>IFERROR(__xludf.DUMMYFUNCTION("""COMPUTED_VALUE"""),0.0)</f>
        <v>0</v>
      </c>
      <c r="D8967" s="8"/>
    </row>
    <row r="8968">
      <c r="A8968" s="9" t="str">
        <f>IFERROR(__xludf.DUMMYFUNCTION("""COMPUTED_VALUE"""),"Batch 356")</f>
        <v>Batch 356</v>
      </c>
      <c r="B8968" s="9" t="str">
        <f>IFERROR(__xludf.DUMMYFUNCTION("""COMPUTED_VALUE"""),"MALLADIC356")</f>
        <v>MALLADIC356</v>
      </c>
      <c r="C8968" s="8">
        <f>IFERROR(__xludf.DUMMYFUNCTION("""COMPUTED_VALUE"""),0.0)</f>
        <v>0</v>
      </c>
      <c r="D8968" s="8"/>
    </row>
    <row r="8969">
      <c r="A8969" s="9" t="str">
        <f>IFERROR(__xludf.DUMMYFUNCTION("""COMPUTED_VALUE"""),"Batch 356")</f>
        <v>Batch 356</v>
      </c>
      <c r="B8969" s="9" t="str">
        <f>IFERROR(__xludf.DUMMYFUNCTION("""COMPUTED_VALUE"""),"VAIBHAVIC356")</f>
        <v>VAIBHAVIC356</v>
      </c>
      <c r="C8969" s="8">
        <f>IFERROR(__xludf.DUMMYFUNCTION("""COMPUTED_VALUE"""),0.0)</f>
        <v>0</v>
      </c>
      <c r="D8969" s="8"/>
    </row>
    <row r="8970">
      <c r="A8970" s="9" t="str">
        <f>IFERROR(__xludf.DUMMYFUNCTION("""COMPUTED_VALUE"""),"Batch 356")</f>
        <v>Batch 356</v>
      </c>
      <c r="B8970" s="9" t="str">
        <f>IFERROR(__xludf.DUMMYFUNCTION("""COMPUTED_VALUE"""),"SarmistaC356")</f>
        <v>SarmistaC356</v>
      </c>
      <c r="C8970" s="8">
        <f>IFERROR(__xludf.DUMMYFUNCTION("""COMPUTED_VALUE"""),0.0)</f>
        <v>0</v>
      </c>
      <c r="D8970" s="8"/>
    </row>
    <row r="8971">
      <c r="A8971" s="9" t="str">
        <f>IFERROR(__xludf.DUMMYFUNCTION("""COMPUTED_VALUE"""),"Batch 356")</f>
        <v>Batch 356</v>
      </c>
      <c r="B8971" s="9" t="str">
        <f>IFERROR(__xludf.DUMMYFUNCTION("""COMPUTED_VALUE"""),"BalamuruganC356")</f>
        <v>BalamuruganC356</v>
      </c>
      <c r="C8971" s="8">
        <f>IFERROR(__xludf.DUMMYFUNCTION("""COMPUTED_VALUE"""),22.0)</f>
        <v>22</v>
      </c>
      <c r="D8971" s="8"/>
    </row>
    <row r="8972">
      <c r="A8972" s="9" t="str">
        <f>IFERROR(__xludf.DUMMYFUNCTION("""COMPUTED_VALUE"""),"Batch 356")</f>
        <v>Batch 356</v>
      </c>
      <c r="B8972" s="9" t="str">
        <f>IFERROR(__xludf.DUMMYFUNCTION("""COMPUTED_VALUE"""),"AlkasiyaC356")</f>
        <v>AlkasiyaC356</v>
      </c>
      <c r="C8972" s="8">
        <f>IFERROR(__xludf.DUMMYFUNCTION("""COMPUTED_VALUE"""),0.0)</f>
        <v>0</v>
      </c>
      <c r="D8972" s="8"/>
    </row>
    <row r="8973">
      <c r="A8973" s="9" t="str">
        <f>IFERROR(__xludf.DUMMYFUNCTION("""COMPUTED_VALUE"""),"Batch 356")</f>
        <v>Batch 356</v>
      </c>
      <c r="B8973" s="9" t="str">
        <f>IFERROR(__xludf.DUMMYFUNCTION("""COMPUTED_VALUE"""),"SuhanaC356")</f>
        <v>SuhanaC356</v>
      </c>
      <c r="C8973" s="8">
        <f>IFERROR(__xludf.DUMMYFUNCTION("""COMPUTED_VALUE"""),0.0)</f>
        <v>0</v>
      </c>
      <c r="D8973" s="8"/>
    </row>
    <row r="8974">
      <c r="A8974" s="9" t="str">
        <f>IFERROR(__xludf.DUMMYFUNCTION("""COMPUTED_VALUE"""),"Batch 352")</f>
        <v>Batch 352</v>
      </c>
      <c r="B8974" s="9" t="str">
        <f>IFERROR(__xludf.DUMMYFUNCTION("""COMPUTED_VALUE"""),"himaniC356")</f>
        <v>himaniC356</v>
      </c>
      <c r="C8974" s="8">
        <f>IFERROR(__xludf.DUMMYFUNCTION("""COMPUTED_VALUE"""),0.0)</f>
        <v>0</v>
      </c>
      <c r="D8974" s="8"/>
    </row>
    <row r="8975">
      <c r="A8975" s="9"/>
      <c r="B8975" s="9"/>
      <c r="C8975" s="8">
        <f>IFERROR(__xludf.DUMMYFUNCTION("""COMPUTED_VALUE"""),0.0)</f>
        <v>0</v>
      </c>
      <c r="D8975" s="8"/>
    </row>
    <row r="8976">
      <c r="A8976" s="9" t="str">
        <f>IFERROR(__xludf.DUMMYFUNCTION("""COMPUTED_VALUE"""),"Batch 357")</f>
        <v>Batch 357</v>
      </c>
      <c r="B8976" s="9" t="str">
        <f>IFERROR(__xludf.DUMMYFUNCTION("""COMPUTED_VALUE"""),"ChestaC357")</f>
        <v>ChestaC357</v>
      </c>
      <c r="C8976" s="8">
        <f>IFERROR(__xludf.DUMMYFUNCTION("""COMPUTED_VALUE"""),0.0)</f>
        <v>0</v>
      </c>
      <c r="D8976" s="8"/>
    </row>
    <row r="8977">
      <c r="A8977" s="9" t="str">
        <f>IFERROR(__xludf.DUMMYFUNCTION("""COMPUTED_VALUE"""),"Batch 357")</f>
        <v>Batch 357</v>
      </c>
      <c r="B8977" s="9" t="str">
        <f>IFERROR(__xludf.DUMMYFUNCTION("""COMPUTED_VALUE"""),"DrishtiC357")</f>
        <v>DrishtiC357</v>
      </c>
      <c r="C8977" s="8">
        <f>IFERROR(__xludf.DUMMYFUNCTION("""COMPUTED_VALUE"""),0.0)</f>
        <v>0</v>
      </c>
      <c r="D8977" s="8"/>
    </row>
    <row r="8978">
      <c r="A8978" s="9" t="str">
        <f>IFERROR(__xludf.DUMMYFUNCTION("""COMPUTED_VALUE"""),"Batch 357")</f>
        <v>Batch 357</v>
      </c>
      <c r="B8978" s="9" t="str">
        <f>IFERROR(__xludf.DUMMYFUNCTION("""COMPUTED_VALUE"""),"BodhaneC357")</f>
        <v>BodhaneC357</v>
      </c>
      <c r="C8978" s="8">
        <f>IFERROR(__xludf.DUMMYFUNCTION("""COMPUTED_VALUE"""),0.0)</f>
        <v>0</v>
      </c>
      <c r="D8978" s="8"/>
    </row>
    <row r="8979">
      <c r="A8979" s="9" t="str">
        <f>IFERROR(__xludf.DUMMYFUNCTION("""COMPUTED_VALUE"""),"Batch 357")</f>
        <v>Batch 357</v>
      </c>
      <c r="B8979" s="9" t="str">
        <f>IFERROR(__xludf.DUMMYFUNCTION("""COMPUTED_VALUE"""),"PriyankaC357")</f>
        <v>PriyankaC357</v>
      </c>
      <c r="C8979" s="8">
        <f>IFERROR(__xludf.DUMMYFUNCTION("""COMPUTED_VALUE"""),0.0)</f>
        <v>0</v>
      </c>
      <c r="D8979" s="8"/>
    </row>
    <row r="8980">
      <c r="A8980" s="9" t="str">
        <f>IFERROR(__xludf.DUMMYFUNCTION("""COMPUTED_VALUE"""),"Batch 357")</f>
        <v>Batch 357</v>
      </c>
      <c r="B8980" s="9" t="str">
        <f>IFERROR(__xludf.DUMMYFUNCTION("""COMPUTED_VALUE"""),"RudraC357")</f>
        <v>RudraC357</v>
      </c>
      <c r="C8980" s="8">
        <f>IFERROR(__xludf.DUMMYFUNCTION("""COMPUTED_VALUE"""),0.0)</f>
        <v>0</v>
      </c>
      <c r="D8980" s="8"/>
    </row>
    <row r="8981">
      <c r="A8981" s="9" t="str">
        <f>IFERROR(__xludf.DUMMYFUNCTION("""COMPUTED_VALUE"""),"Batch 357")</f>
        <v>Batch 357</v>
      </c>
      <c r="B8981" s="9" t="str">
        <f>IFERROR(__xludf.DUMMYFUNCTION("""COMPUTED_VALUE"""),"NimraC357")</f>
        <v>NimraC357</v>
      </c>
      <c r="C8981" s="8">
        <f>IFERROR(__xludf.DUMMYFUNCTION("""COMPUTED_VALUE"""),0.0)</f>
        <v>0</v>
      </c>
      <c r="D8981" s="8"/>
    </row>
    <row r="8982">
      <c r="A8982" s="9" t="str">
        <f>IFERROR(__xludf.DUMMYFUNCTION("""COMPUTED_VALUE"""),"Batch 357")</f>
        <v>Batch 357</v>
      </c>
      <c r="B8982" s="9" t="str">
        <f>IFERROR(__xludf.DUMMYFUNCTION("""COMPUTED_VALUE"""),"VaibhaviC357")</f>
        <v>VaibhaviC357</v>
      </c>
      <c r="C8982" s="8">
        <f>IFERROR(__xludf.DUMMYFUNCTION("""COMPUTED_VALUE"""),0.0)</f>
        <v>0</v>
      </c>
      <c r="D8982" s="8"/>
    </row>
    <row r="8983">
      <c r="A8983" s="9" t="str">
        <f>IFERROR(__xludf.DUMMYFUNCTION("""COMPUTED_VALUE"""),"Batch 357")</f>
        <v>Batch 357</v>
      </c>
      <c r="B8983" s="9" t="str">
        <f>IFERROR(__xludf.DUMMYFUNCTION("""COMPUTED_VALUE"""),"YashC357")</f>
        <v>YashC357</v>
      </c>
      <c r="C8983" s="8">
        <f>IFERROR(__xludf.DUMMYFUNCTION("""COMPUTED_VALUE"""),0.0)</f>
        <v>0</v>
      </c>
      <c r="D8983" s="8"/>
    </row>
    <row r="8984">
      <c r="A8984" s="9" t="str">
        <f>IFERROR(__xludf.DUMMYFUNCTION("""COMPUTED_VALUE"""),"Batch 357")</f>
        <v>Batch 357</v>
      </c>
      <c r="B8984" s="9" t="str">
        <f>IFERROR(__xludf.DUMMYFUNCTION("""COMPUTED_VALUE"""),"SimranC357")</f>
        <v>SimranC357</v>
      </c>
      <c r="C8984" s="8">
        <f>IFERROR(__xludf.DUMMYFUNCTION("""COMPUTED_VALUE"""),34.0)</f>
        <v>34</v>
      </c>
      <c r="D8984" s="8">
        <f>IFERROR(__xludf.DUMMYFUNCTION("""COMPUTED_VALUE"""),9.0)</f>
        <v>9</v>
      </c>
    </row>
    <row r="8985">
      <c r="A8985" s="9" t="str">
        <f>IFERROR(__xludf.DUMMYFUNCTION("""COMPUTED_VALUE"""),"Batch 357")</f>
        <v>Batch 357</v>
      </c>
      <c r="B8985" s="9" t="str">
        <f>IFERROR(__xludf.DUMMYFUNCTION("""COMPUTED_VALUE"""),"VardaC357")</f>
        <v>VardaC357</v>
      </c>
      <c r="C8985" s="8">
        <f>IFERROR(__xludf.DUMMYFUNCTION("""COMPUTED_VALUE"""),0.0)</f>
        <v>0</v>
      </c>
      <c r="D8985" s="8"/>
    </row>
    <row r="8986">
      <c r="A8986" s="9" t="str">
        <f>IFERROR(__xludf.DUMMYFUNCTION("""COMPUTED_VALUE"""),"Batch 357")</f>
        <v>Batch 357</v>
      </c>
      <c r="B8986" s="9" t="str">
        <f>IFERROR(__xludf.DUMMYFUNCTION("""COMPUTED_VALUE"""),"HrithikC357")</f>
        <v>HrithikC357</v>
      </c>
      <c r="C8986" s="8">
        <f>IFERROR(__xludf.DUMMYFUNCTION("""COMPUTED_VALUE"""),0.0)</f>
        <v>0</v>
      </c>
      <c r="D8986" s="8"/>
    </row>
    <row r="8987">
      <c r="A8987" s="9" t="str">
        <f>IFERROR(__xludf.DUMMYFUNCTION("""COMPUTED_VALUE"""),"Batch 357")</f>
        <v>Batch 357</v>
      </c>
      <c r="B8987" s="9" t="str">
        <f>IFERROR(__xludf.DUMMYFUNCTION("""COMPUTED_VALUE"""),"DiyaC357")</f>
        <v>DiyaC357</v>
      </c>
      <c r="C8987" s="8">
        <f>IFERROR(__xludf.DUMMYFUNCTION("""COMPUTED_VALUE"""),0.0)</f>
        <v>0</v>
      </c>
      <c r="D8987" s="8"/>
    </row>
    <row r="8988">
      <c r="A8988" s="9" t="str">
        <f>IFERROR(__xludf.DUMMYFUNCTION("""COMPUTED_VALUE"""),"Batch 357")</f>
        <v>Batch 357</v>
      </c>
      <c r="B8988" s="9" t="str">
        <f>IFERROR(__xludf.DUMMYFUNCTION("""COMPUTED_VALUE"""),"RafeC357")</f>
        <v>RafeC357</v>
      </c>
      <c r="C8988" s="8">
        <f>IFERROR(__xludf.DUMMYFUNCTION("""COMPUTED_VALUE"""),0.0)</f>
        <v>0</v>
      </c>
      <c r="D8988" s="8"/>
    </row>
    <row r="8989">
      <c r="A8989" s="9" t="str">
        <f>IFERROR(__xludf.DUMMYFUNCTION("""COMPUTED_VALUE"""),"Batch 357")</f>
        <v>Batch 357</v>
      </c>
      <c r="B8989" s="9" t="str">
        <f>IFERROR(__xludf.DUMMYFUNCTION("""COMPUTED_VALUE"""),"AnmolpreetC357")</f>
        <v>AnmolpreetC357</v>
      </c>
      <c r="C8989" s="8">
        <f>IFERROR(__xludf.DUMMYFUNCTION("""COMPUTED_VALUE"""),0.0)</f>
        <v>0</v>
      </c>
      <c r="D8989" s="8"/>
    </row>
    <row r="8990">
      <c r="A8990" s="9" t="str">
        <f>IFERROR(__xludf.DUMMYFUNCTION("""COMPUTED_VALUE"""),"Batch 357")</f>
        <v>Batch 357</v>
      </c>
      <c r="B8990" s="9" t="str">
        <f>IFERROR(__xludf.DUMMYFUNCTION("""COMPUTED_VALUE"""),"AbhraC357")</f>
        <v>AbhraC357</v>
      </c>
      <c r="C8990" s="8">
        <f>IFERROR(__xludf.DUMMYFUNCTION("""COMPUTED_VALUE"""),0.0)</f>
        <v>0</v>
      </c>
      <c r="D8990" s="8"/>
    </row>
    <row r="8991">
      <c r="A8991" s="9" t="str">
        <f>IFERROR(__xludf.DUMMYFUNCTION("""COMPUTED_VALUE"""),"Batch 357")</f>
        <v>Batch 357</v>
      </c>
      <c r="B8991" s="9" t="str">
        <f>IFERROR(__xludf.DUMMYFUNCTION("""COMPUTED_VALUE"""),"SwapnilC357")</f>
        <v>SwapnilC357</v>
      </c>
      <c r="C8991" s="8">
        <f>IFERROR(__xludf.DUMMYFUNCTION("""COMPUTED_VALUE"""),0.0)</f>
        <v>0</v>
      </c>
      <c r="D8991" s="8"/>
    </row>
    <row r="8992">
      <c r="A8992" s="9" t="str">
        <f>IFERROR(__xludf.DUMMYFUNCTION("""COMPUTED_VALUE"""),"Batch 357")</f>
        <v>Batch 357</v>
      </c>
      <c r="B8992" s="9" t="str">
        <f>IFERROR(__xludf.DUMMYFUNCTION("""COMPUTED_VALUE"""),"KIRTIC357")</f>
        <v>KIRTIC357</v>
      </c>
      <c r="C8992" s="8">
        <f>IFERROR(__xludf.DUMMYFUNCTION("""COMPUTED_VALUE"""),10.0)</f>
        <v>10</v>
      </c>
      <c r="D8992" s="8">
        <f>IFERROR(__xludf.DUMMYFUNCTION("""COMPUTED_VALUE"""),3.0)</f>
        <v>3</v>
      </c>
    </row>
    <row r="8993">
      <c r="A8993" s="9" t="str">
        <f>IFERROR(__xludf.DUMMYFUNCTION("""COMPUTED_VALUE"""),"Batch 357")</f>
        <v>Batch 357</v>
      </c>
      <c r="B8993" s="9" t="str">
        <f>IFERROR(__xludf.DUMMYFUNCTION("""COMPUTED_VALUE"""),"KeerthiC357")</f>
        <v>KeerthiC357</v>
      </c>
      <c r="C8993" s="8">
        <f>IFERROR(__xludf.DUMMYFUNCTION("""COMPUTED_VALUE"""),0.0)</f>
        <v>0</v>
      </c>
      <c r="D8993" s="8"/>
    </row>
    <row r="8994">
      <c r="A8994" s="9" t="str">
        <f>IFERROR(__xludf.DUMMYFUNCTION("""COMPUTED_VALUE"""),"Batch 357")</f>
        <v>Batch 357</v>
      </c>
      <c r="B8994" s="9" t="str">
        <f>IFERROR(__xludf.DUMMYFUNCTION("""COMPUTED_VALUE"""),"VartikaC357")</f>
        <v>VartikaC357</v>
      </c>
      <c r="C8994" s="8">
        <f>IFERROR(__xludf.DUMMYFUNCTION("""COMPUTED_VALUE"""),0.0)</f>
        <v>0</v>
      </c>
      <c r="D8994" s="8"/>
    </row>
    <row r="8995">
      <c r="A8995" s="9" t="str">
        <f>IFERROR(__xludf.DUMMYFUNCTION("""COMPUTED_VALUE"""),"Batch 357")</f>
        <v>Batch 357</v>
      </c>
      <c r="B8995" s="9" t="str">
        <f>IFERROR(__xludf.DUMMYFUNCTION("""COMPUTED_VALUE"""),"AnshuC357")</f>
        <v>AnshuC357</v>
      </c>
      <c r="C8995" s="8">
        <f>IFERROR(__xludf.DUMMYFUNCTION("""COMPUTED_VALUE"""),0.0)</f>
        <v>0</v>
      </c>
      <c r="D8995" s="8"/>
    </row>
    <row r="8996">
      <c r="A8996" s="9" t="str">
        <f>IFERROR(__xludf.DUMMYFUNCTION("""COMPUTED_VALUE"""),"Batch 357")</f>
        <v>Batch 357</v>
      </c>
      <c r="B8996" s="9" t="str">
        <f>IFERROR(__xludf.DUMMYFUNCTION("""COMPUTED_VALUE"""),"PranjalC357")</f>
        <v>PranjalC357</v>
      </c>
      <c r="C8996" s="8">
        <f>IFERROR(__xludf.DUMMYFUNCTION("""COMPUTED_VALUE"""),2.0)</f>
        <v>2</v>
      </c>
      <c r="D8996" s="8"/>
    </row>
    <row r="8997">
      <c r="A8997" s="9" t="str">
        <f>IFERROR(__xludf.DUMMYFUNCTION("""COMPUTED_VALUE"""),"Batch 357")</f>
        <v>Batch 357</v>
      </c>
      <c r="B8997" s="9" t="str">
        <f>IFERROR(__xludf.DUMMYFUNCTION("""COMPUTED_VALUE"""),"AmanC357")</f>
        <v>AmanC357</v>
      </c>
      <c r="C8997" s="8">
        <f>IFERROR(__xludf.DUMMYFUNCTION("""COMPUTED_VALUE"""),0.0)</f>
        <v>0</v>
      </c>
      <c r="D8997" s="8"/>
    </row>
    <row r="8998">
      <c r="A8998" s="9" t="str">
        <f>IFERROR(__xludf.DUMMYFUNCTION("""COMPUTED_VALUE"""),"Batch 357")</f>
        <v>Batch 357</v>
      </c>
      <c r="B8998" s="9" t="str">
        <f>IFERROR(__xludf.DUMMYFUNCTION("""COMPUTED_VALUE"""),"MohammadC357")</f>
        <v>MohammadC357</v>
      </c>
      <c r="C8998" s="8">
        <f>IFERROR(__xludf.DUMMYFUNCTION("""COMPUTED_VALUE"""),0.0)</f>
        <v>0</v>
      </c>
      <c r="D8998" s="8"/>
    </row>
    <row r="8999">
      <c r="A8999" s="9" t="str">
        <f>IFERROR(__xludf.DUMMYFUNCTION("""COMPUTED_VALUE"""),"Batch 357")</f>
        <v>Batch 357</v>
      </c>
      <c r="B8999" s="9" t="str">
        <f>IFERROR(__xludf.DUMMYFUNCTION("""COMPUTED_VALUE"""),"OmarC357")</f>
        <v>OmarC357</v>
      </c>
      <c r="C8999" s="8">
        <f>IFERROR(__xludf.DUMMYFUNCTION("""COMPUTED_VALUE"""),0.0)</f>
        <v>0</v>
      </c>
      <c r="D8999" s="8"/>
    </row>
    <row r="9000">
      <c r="A9000" s="9" t="str">
        <f>IFERROR(__xludf.DUMMYFUNCTION("""COMPUTED_VALUE"""),"Batch 357")</f>
        <v>Batch 357</v>
      </c>
      <c r="B9000" s="9" t="str">
        <f>IFERROR(__xludf.DUMMYFUNCTION("""COMPUTED_VALUE"""),"JanhaviC357")</f>
        <v>JanhaviC357</v>
      </c>
      <c r="C9000" s="8">
        <f>IFERROR(__xludf.DUMMYFUNCTION("""COMPUTED_VALUE"""),0.0)</f>
        <v>0</v>
      </c>
      <c r="D9000" s="8"/>
    </row>
    <row r="9001">
      <c r="A9001" s="9" t="str">
        <f>IFERROR(__xludf.DUMMYFUNCTION("""COMPUTED_VALUE"""),"Batch 357")</f>
        <v>Batch 357</v>
      </c>
      <c r="B9001" s="9" t="str">
        <f>IFERROR(__xludf.DUMMYFUNCTION("""COMPUTED_VALUE"""),"SarthakC357")</f>
        <v>SarthakC357</v>
      </c>
      <c r="C9001" s="8">
        <f>IFERROR(__xludf.DUMMYFUNCTION("""COMPUTED_VALUE"""),0.0)</f>
        <v>0</v>
      </c>
      <c r="D9001" s="8"/>
    </row>
    <row r="9002">
      <c r="A9002" s="9" t="str">
        <f>IFERROR(__xludf.DUMMYFUNCTION("""COMPUTED_VALUE"""),"Batch 357")</f>
        <v>Batch 357</v>
      </c>
      <c r="B9002" s="9" t="str">
        <f>IFERROR(__xludf.DUMMYFUNCTION("""COMPUTED_VALUE"""),"DikshaC357")</f>
        <v>DikshaC357</v>
      </c>
      <c r="C9002" s="8">
        <f>IFERROR(__xludf.DUMMYFUNCTION("""COMPUTED_VALUE"""),0.0)</f>
        <v>0</v>
      </c>
      <c r="D9002" s="8"/>
    </row>
    <row r="9003">
      <c r="A9003" s="9" t="str">
        <f>IFERROR(__xludf.DUMMYFUNCTION("""COMPUTED_VALUE"""),"Batch 357")</f>
        <v>Batch 357</v>
      </c>
      <c r="B9003" s="9" t="str">
        <f>IFERROR(__xludf.DUMMYFUNCTION("""COMPUTED_VALUE"""),"SahilaC357")</f>
        <v>SahilaC357</v>
      </c>
      <c r="C9003" s="8">
        <f>IFERROR(__xludf.DUMMYFUNCTION("""COMPUTED_VALUE"""),5.0)</f>
        <v>5</v>
      </c>
      <c r="D9003" s="8">
        <f>IFERROR(__xludf.DUMMYFUNCTION("""COMPUTED_VALUE"""),1.0)</f>
        <v>1</v>
      </c>
    </row>
    <row r="9004">
      <c r="A9004" s="9" t="str">
        <f>IFERROR(__xludf.DUMMYFUNCTION("""COMPUTED_VALUE"""),"Batch 357")</f>
        <v>Batch 357</v>
      </c>
      <c r="B9004" s="9" t="str">
        <f>IFERROR(__xludf.DUMMYFUNCTION("""COMPUTED_VALUE"""),"SnehaC357")</f>
        <v>SnehaC357</v>
      </c>
      <c r="C9004" s="8">
        <f>IFERROR(__xludf.DUMMYFUNCTION("""COMPUTED_VALUE"""),0.0)</f>
        <v>0</v>
      </c>
      <c r="D9004" s="8"/>
    </row>
    <row r="9005">
      <c r="A9005" s="9" t="str">
        <f>IFERROR(__xludf.DUMMYFUNCTION("""COMPUTED_VALUE"""),"Batch 357")</f>
        <v>Batch 357</v>
      </c>
      <c r="B9005" s="9" t="str">
        <f>IFERROR(__xludf.DUMMYFUNCTION("""COMPUTED_VALUE"""),"CharuC357")</f>
        <v>CharuC357</v>
      </c>
      <c r="C9005" s="8">
        <f>IFERROR(__xludf.DUMMYFUNCTION("""COMPUTED_VALUE"""),0.0)</f>
        <v>0</v>
      </c>
      <c r="D9005" s="8"/>
    </row>
    <row r="9006">
      <c r="A9006" s="9" t="str">
        <f>IFERROR(__xludf.DUMMYFUNCTION("""COMPUTED_VALUE"""),"Batch 357")</f>
        <v>Batch 357</v>
      </c>
      <c r="B9006" s="9" t="str">
        <f>IFERROR(__xludf.DUMMYFUNCTION("""COMPUTED_VALUE"""),"AdityaC357")</f>
        <v>AdityaC357</v>
      </c>
      <c r="C9006" s="8">
        <f>IFERROR(__xludf.DUMMYFUNCTION("""COMPUTED_VALUE"""),0.0)</f>
        <v>0</v>
      </c>
      <c r="D9006" s="8"/>
    </row>
    <row r="9007">
      <c r="A9007" s="9" t="str">
        <f>IFERROR(__xludf.DUMMYFUNCTION("""COMPUTED_VALUE"""),"Batch 357")</f>
        <v>Batch 357</v>
      </c>
      <c r="B9007" s="9" t="str">
        <f>IFERROR(__xludf.DUMMYFUNCTION("""COMPUTED_VALUE"""),"AbhayC357")</f>
        <v>AbhayC357</v>
      </c>
      <c r="C9007" s="8">
        <f>IFERROR(__xludf.DUMMYFUNCTION("""COMPUTED_VALUE"""),3.0)</f>
        <v>3</v>
      </c>
      <c r="D9007" s="8">
        <f>IFERROR(__xludf.DUMMYFUNCTION("""COMPUTED_VALUE"""),1.0)</f>
        <v>1</v>
      </c>
    </row>
    <row r="9008">
      <c r="A9008" s="9" t="str">
        <f>IFERROR(__xludf.DUMMYFUNCTION("""COMPUTED_VALUE"""),"Batch 357")</f>
        <v>Batch 357</v>
      </c>
      <c r="B9008" s="9" t="str">
        <f>IFERROR(__xludf.DUMMYFUNCTION("""COMPUTED_VALUE"""),"SamikshaC357")</f>
        <v>SamikshaC357</v>
      </c>
      <c r="C9008" s="8">
        <f>IFERROR(__xludf.DUMMYFUNCTION("""COMPUTED_VALUE"""),0.0)</f>
        <v>0</v>
      </c>
      <c r="D9008" s="8"/>
    </row>
    <row r="9009">
      <c r="A9009" s="9" t="str">
        <f>IFERROR(__xludf.DUMMYFUNCTION("""COMPUTED_VALUE"""),"Batch 357")</f>
        <v>Batch 357</v>
      </c>
      <c r="B9009" s="9" t="str">
        <f>IFERROR(__xludf.DUMMYFUNCTION("""COMPUTED_VALUE"""),"PrinceC357")</f>
        <v>PrinceC357</v>
      </c>
      <c r="C9009" s="8">
        <f>IFERROR(__xludf.DUMMYFUNCTION("""COMPUTED_VALUE"""),1.0)</f>
        <v>1</v>
      </c>
      <c r="D9009" s="8"/>
    </row>
    <row r="9010">
      <c r="A9010" s="9" t="str">
        <f>IFERROR(__xludf.DUMMYFUNCTION("""COMPUTED_VALUE"""),"Batch 357")</f>
        <v>Batch 357</v>
      </c>
      <c r="B9010" s="9" t="str">
        <f>IFERROR(__xludf.DUMMYFUNCTION("""COMPUTED_VALUE"""),"ShriyaC357")</f>
        <v>ShriyaC357</v>
      </c>
      <c r="C9010" s="8">
        <f>IFERROR(__xludf.DUMMYFUNCTION("""COMPUTED_VALUE"""),0.0)</f>
        <v>0</v>
      </c>
      <c r="D9010" s="8"/>
    </row>
    <row r="9011">
      <c r="A9011" s="9" t="str">
        <f>IFERROR(__xludf.DUMMYFUNCTION("""COMPUTED_VALUE"""),"Batch 357")</f>
        <v>Batch 357</v>
      </c>
      <c r="B9011" s="9" t="str">
        <f>IFERROR(__xludf.DUMMYFUNCTION("""COMPUTED_VALUE"""),"neelamC357")</f>
        <v>neelamC357</v>
      </c>
      <c r="C9011" s="8">
        <f>IFERROR(__xludf.DUMMYFUNCTION("""COMPUTED_VALUE"""),0.0)</f>
        <v>0</v>
      </c>
      <c r="D9011" s="8"/>
    </row>
    <row r="9012">
      <c r="A9012" s="9" t="str">
        <f>IFERROR(__xludf.DUMMYFUNCTION("""COMPUTED_VALUE"""),"Batch 357")</f>
        <v>Batch 357</v>
      </c>
      <c r="B9012" s="9" t="str">
        <f>IFERROR(__xludf.DUMMYFUNCTION("""COMPUTED_VALUE"""),"SaniyaC357")</f>
        <v>SaniyaC357</v>
      </c>
      <c r="C9012" s="8">
        <f>IFERROR(__xludf.DUMMYFUNCTION("""COMPUTED_VALUE"""),0.0)</f>
        <v>0</v>
      </c>
      <c r="D9012" s="8"/>
    </row>
    <row r="9013">
      <c r="A9013" s="9" t="str">
        <f>IFERROR(__xludf.DUMMYFUNCTION("""COMPUTED_VALUE"""),"Batch 357")</f>
        <v>Batch 357</v>
      </c>
      <c r="B9013" s="9" t="str">
        <f>IFERROR(__xludf.DUMMYFUNCTION("""COMPUTED_VALUE"""),"BharatC357")</f>
        <v>BharatC357</v>
      </c>
      <c r="C9013" s="8">
        <f>IFERROR(__xludf.DUMMYFUNCTION("""COMPUTED_VALUE"""),0.0)</f>
        <v>0</v>
      </c>
      <c r="D9013" s="8"/>
    </row>
    <row r="9014">
      <c r="A9014" s="9" t="str">
        <f>IFERROR(__xludf.DUMMYFUNCTION("""COMPUTED_VALUE"""),"Batch 357")</f>
        <v>Batch 357</v>
      </c>
      <c r="B9014" s="9" t="str">
        <f>IFERROR(__xludf.DUMMYFUNCTION("""COMPUTED_VALUE"""),"RutujaC357")</f>
        <v>RutujaC357</v>
      </c>
      <c r="C9014" s="8">
        <f>IFERROR(__xludf.DUMMYFUNCTION("""COMPUTED_VALUE"""),0.0)</f>
        <v>0</v>
      </c>
      <c r="D9014" s="8"/>
    </row>
    <row r="9015">
      <c r="A9015" s="9" t="str">
        <f>IFERROR(__xludf.DUMMYFUNCTION("""COMPUTED_VALUE"""),"Batch 357")</f>
        <v>Batch 357</v>
      </c>
      <c r="B9015" s="9" t="str">
        <f>IFERROR(__xludf.DUMMYFUNCTION("""COMPUTED_VALUE"""),"SejalC357")</f>
        <v>SejalC357</v>
      </c>
      <c r="C9015" s="8">
        <f>IFERROR(__xludf.DUMMYFUNCTION("""COMPUTED_VALUE"""),3.0)</f>
        <v>3</v>
      </c>
      <c r="D9015" s="8"/>
    </row>
    <row r="9016">
      <c r="A9016" s="9" t="str">
        <f>IFERROR(__xludf.DUMMYFUNCTION("""COMPUTED_VALUE"""),"Batch 357")</f>
        <v>Batch 357</v>
      </c>
      <c r="B9016" s="9" t="str">
        <f>IFERROR(__xludf.DUMMYFUNCTION("""COMPUTED_VALUE"""),"VISHNUC357")</f>
        <v>VISHNUC357</v>
      </c>
      <c r="C9016" s="8">
        <f>IFERROR(__xludf.DUMMYFUNCTION("""COMPUTED_VALUE"""),63.0)</f>
        <v>63</v>
      </c>
      <c r="D9016" s="8">
        <f>IFERROR(__xludf.DUMMYFUNCTION("""COMPUTED_VALUE"""),5.0)</f>
        <v>5</v>
      </c>
    </row>
    <row r="9017">
      <c r="A9017" s="9" t="str">
        <f>IFERROR(__xludf.DUMMYFUNCTION("""COMPUTED_VALUE"""),"Batch 357")</f>
        <v>Batch 357</v>
      </c>
      <c r="B9017" s="9" t="str">
        <f>IFERROR(__xludf.DUMMYFUNCTION("""COMPUTED_VALUE"""),"ADITYAC357")</f>
        <v>ADITYAC357</v>
      </c>
      <c r="C9017" s="8">
        <f>IFERROR(__xludf.DUMMYFUNCTION("""COMPUTED_VALUE"""),0.0)</f>
        <v>0</v>
      </c>
      <c r="D9017" s="8"/>
    </row>
    <row r="9018">
      <c r="A9018" s="9" t="str">
        <f>IFERROR(__xludf.DUMMYFUNCTION("""COMPUTED_VALUE"""),"Batch 357")</f>
        <v>Batch 357</v>
      </c>
      <c r="B9018" s="9" t="str">
        <f>IFERROR(__xludf.DUMMYFUNCTION("""COMPUTED_VALUE"""),"KrishnaC357")</f>
        <v>KrishnaC357</v>
      </c>
      <c r="C9018" s="8">
        <f>IFERROR(__xludf.DUMMYFUNCTION("""COMPUTED_VALUE"""),0.0)</f>
        <v>0</v>
      </c>
      <c r="D9018" s="8"/>
    </row>
    <row r="9019">
      <c r="A9019" s="9" t="str">
        <f>IFERROR(__xludf.DUMMYFUNCTION("""COMPUTED_VALUE"""),"Batch 357")</f>
        <v>Batch 357</v>
      </c>
      <c r="B9019" s="9" t="str">
        <f>IFERROR(__xludf.DUMMYFUNCTION("""COMPUTED_VALUE"""),"RamC357")</f>
        <v>RamC357</v>
      </c>
      <c r="C9019" s="8">
        <f>IFERROR(__xludf.DUMMYFUNCTION("""COMPUTED_VALUE"""),0.0)</f>
        <v>0</v>
      </c>
      <c r="D9019" s="8"/>
    </row>
    <row r="9020">
      <c r="A9020" s="9" t="str">
        <f>IFERROR(__xludf.DUMMYFUNCTION("""COMPUTED_VALUE"""),"Batch 357")</f>
        <v>Batch 357</v>
      </c>
      <c r="B9020" s="9" t="str">
        <f>IFERROR(__xludf.DUMMYFUNCTION("""COMPUTED_VALUE"""),"MuskanC357")</f>
        <v>MuskanC357</v>
      </c>
      <c r="C9020" s="8">
        <f>IFERROR(__xludf.DUMMYFUNCTION("""COMPUTED_VALUE"""),0.0)</f>
        <v>0</v>
      </c>
      <c r="D9020" s="8"/>
    </row>
    <row r="9021">
      <c r="A9021" s="9" t="str">
        <f>IFERROR(__xludf.DUMMYFUNCTION("""COMPUTED_VALUE"""),"Batch 357")</f>
        <v>Batch 357</v>
      </c>
      <c r="B9021" s="9" t="str">
        <f>IFERROR(__xludf.DUMMYFUNCTION("""COMPUTED_VALUE"""),"SonalC357")</f>
        <v>SonalC357</v>
      </c>
      <c r="C9021" s="8">
        <f>IFERROR(__xludf.DUMMYFUNCTION("""COMPUTED_VALUE"""),0.0)</f>
        <v>0</v>
      </c>
      <c r="D9021" s="8"/>
    </row>
    <row r="9022">
      <c r="A9022" s="9" t="str">
        <f>IFERROR(__xludf.DUMMYFUNCTION("""COMPUTED_VALUE"""),"Batch 357")</f>
        <v>Batch 357</v>
      </c>
      <c r="B9022" s="9" t="str">
        <f>IFERROR(__xludf.DUMMYFUNCTION("""COMPUTED_VALUE"""),"AnushkaC357")</f>
        <v>AnushkaC357</v>
      </c>
      <c r="C9022" s="8">
        <f>IFERROR(__xludf.DUMMYFUNCTION("""COMPUTED_VALUE"""),0.0)</f>
        <v>0</v>
      </c>
      <c r="D9022" s="8"/>
    </row>
    <row r="9023">
      <c r="A9023" s="9" t="str">
        <f>IFERROR(__xludf.DUMMYFUNCTION("""COMPUTED_VALUE"""),"Batch 357")</f>
        <v>Batch 357</v>
      </c>
      <c r="B9023" s="9" t="str">
        <f>IFERROR(__xludf.DUMMYFUNCTION("""COMPUTED_VALUE"""),"DIKSHAC357")</f>
        <v>DIKSHAC357</v>
      </c>
      <c r="C9023" s="8">
        <f>IFERROR(__xludf.DUMMYFUNCTION("""COMPUTED_VALUE"""),0.0)</f>
        <v>0</v>
      </c>
      <c r="D9023" s="8"/>
    </row>
    <row r="9024">
      <c r="A9024" s="9" t="str">
        <f>IFERROR(__xludf.DUMMYFUNCTION("""COMPUTED_VALUE"""),"Batch 357")</f>
        <v>Batch 357</v>
      </c>
      <c r="B9024" s="9" t="str">
        <f>IFERROR(__xludf.DUMMYFUNCTION("""COMPUTED_VALUE"""),"KanishkaC357")</f>
        <v>KanishkaC357</v>
      </c>
      <c r="C9024" s="8">
        <f>IFERROR(__xludf.DUMMYFUNCTION("""COMPUTED_VALUE"""),0.0)</f>
        <v>0</v>
      </c>
      <c r="D9024" s="8"/>
    </row>
    <row r="9025">
      <c r="A9025" s="9" t="str">
        <f>IFERROR(__xludf.DUMMYFUNCTION("""COMPUTED_VALUE"""),"Batch 357")</f>
        <v>Batch 357</v>
      </c>
      <c r="B9025" s="9" t="str">
        <f>IFERROR(__xludf.DUMMYFUNCTION("""COMPUTED_VALUE"""),"YEDIDAC357")</f>
        <v>YEDIDAC357</v>
      </c>
      <c r="C9025" s="8">
        <f>IFERROR(__xludf.DUMMYFUNCTION("""COMPUTED_VALUE"""),0.0)</f>
        <v>0</v>
      </c>
      <c r="D9025" s="8"/>
    </row>
    <row r="9026">
      <c r="A9026" s="9" t="str">
        <f>IFERROR(__xludf.DUMMYFUNCTION("""COMPUTED_VALUE"""),"Batch 357")</f>
        <v>Batch 357</v>
      </c>
      <c r="B9026" s="9" t="str">
        <f>IFERROR(__xludf.DUMMYFUNCTION("""COMPUTED_VALUE"""),"ShikhaC357")</f>
        <v>ShikhaC357</v>
      </c>
      <c r="C9026" s="8">
        <f>IFERROR(__xludf.DUMMYFUNCTION("""COMPUTED_VALUE"""),0.0)</f>
        <v>0</v>
      </c>
      <c r="D9026" s="8"/>
    </row>
    <row r="9027">
      <c r="A9027" s="9" t="str">
        <f>IFERROR(__xludf.DUMMYFUNCTION("""COMPUTED_VALUE"""),"Batch 357")</f>
        <v>Batch 357</v>
      </c>
      <c r="B9027" s="9" t="str">
        <f>IFERROR(__xludf.DUMMYFUNCTION("""COMPUTED_VALUE"""),"YashiC357")</f>
        <v>YashiC357</v>
      </c>
      <c r="C9027" s="8">
        <f>IFERROR(__xludf.DUMMYFUNCTION("""COMPUTED_VALUE"""),0.0)</f>
        <v>0</v>
      </c>
      <c r="D9027" s="8"/>
    </row>
    <row r="9028">
      <c r="A9028" s="9" t="str">
        <f>IFERROR(__xludf.DUMMYFUNCTION("""COMPUTED_VALUE"""),"Batch 357")</f>
        <v>Batch 357</v>
      </c>
      <c r="B9028" s="9" t="str">
        <f>IFERROR(__xludf.DUMMYFUNCTION("""COMPUTED_VALUE"""),"NamanC357")</f>
        <v>NamanC357</v>
      </c>
      <c r="C9028" s="8">
        <f>IFERROR(__xludf.DUMMYFUNCTION("""COMPUTED_VALUE"""),0.0)</f>
        <v>0</v>
      </c>
      <c r="D9028" s="8"/>
    </row>
    <row r="9029">
      <c r="A9029" s="9" t="str">
        <f>IFERROR(__xludf.DUMMYFUNCTION("""COMPUTED_VALUE"""),"Batch 357")</f>
        <v>Batch 357</v>
      </c>
      <c r="B9029" s="9" t="str">
        <f>IFERROR(__xludf.DUMMYFUNCTION("""COMPUTED_VALUE"""),"PoojaC357")</f>
        <v>PoojaC357</v>
      </c>
      <c r="C9029" s="8">
        <f>IFERROR(__xludf.DUMMYFUNCTION("""COMPUTED_VALUE"""),0.0)</f>
        <v>0</v>
      </c>
      <c r="D9029" s="8"/>
    </row>
    <row r="9030">
      <c r="A9030" s="9" t="str">
        <f>IFERROR(__xludf.DUMMYFUNCTION("""COMPUTED_VALUE"""),"Batch 357")</f>
        <v>Batch 357</v>
      </c>
      <c r="B9030" s="9" t="str">
        <f>IFERROR(__xludf.DUMMYFUNCTION("""COMPUTED_VALUE"""),"MC357")</f>
        <v>MC357</v>
      </c>
      <c r="C9030" s="8">
        <f>IFERROR(__xludf.DUMMYFUNCTION("""COMPUTED_VALUE"""),0.0)</f>
        <v>0</v>
      </c>
      <c r="D9030" s="8"/>
    </row>
    <row r="9031">
      <c r="A9031" s="9" t="str">
        <f>IFERROR(__xludf.DUMMYFUNCTION("""COMPUTED_VALUE"""),"Batch 357")</f>
        <v>Batch 357</v>
      </c>
      <c r="B9031" s="9" t="str">
        <f>IFERROR(__xludf.DUMMYFUNCTION("""COMPUTED_VALUE"""),"RPC357")</f>
        <v>RPC357</v>
      </c>
      <c r="C9031" s="8">
        <f>IFERROR(__xludf.DUMMYFUNCTION("""COMPUTED_VALUE"""),0.0)</f>
        <v>0</v>
      </c>
      <c r="D9031" s="8"/>
    </row>
    <row r="9032">
      <c r="A9032" s="9" t="str">
        <f>IFERROR(__xludf.DUMMYFUNCTION("""COMPUTED_VALUE"""),"Batch 357")</f>
        <v>Batch 357</v>
      </c>
      <c r="B9032" s="9" t="str">
        <f>IFERROR(__xludf.DUMMYFUNCTION("""COMPUTED_VALUE"""),"SanskarC357")</f>
        <v>SanskarC357</v>
      </c>
      <c r="C9032" s="8">
        <f>IFERROR(__xludf.DUMMYFUNCTION("""COMPUTED_VALUE"""),0.0)</f>
        <v>0</v>
      </c>
      <c r="D9032" s="8">
        <f>IFERROR(__xludf.DUMMYFUNCTION("""COMPUTED_VALUE"""),2.0)</f>
        <v>2</v>
      </c>
    </row>
    <row r="9033">
      <c r="A9033" s="9" t="str">
        <f>IFERROR(__xludf.DUMMYFUNCTION("""COMPUTED_VALUE"""),"Batch 357")</f>
        <v>Batch 357</v>
      </c>
      <c r="B9033" s="9" t="str">
        <f>IFERROR(__xludf.DUMMYFUNCTION("""COMPUTED_VALUE"""),"RishibhaC357")</f>
        <v>RishibhaC357</v>
      </c>
      <c r="C9033" s="8">
        <f>IFERROR(__xludf.DUMMYFUNCTION("""COMPUTED_VALUE"""),0.0)</f>
        <v>0</v>
      </c>
      <c r="D9033" s="8"/>
    </row>
    <row r="9034">
      <c r="A9034" s="9" t="str">
        <f>IFERROR(__xludf.DUMMYFUNCTION("""COMPUTED_VALUE"""),"Batch 357")</f>
        <v>Batch 357</v>
      </c>
      <c r="B9034" s="9" t="str">
        <f>IFERROR(__xludf.DUMMYFUNCTION("""COMPUTED_VALUE"""),"TamannaC357")</f>
        <v>TamannaC357</v>
      </c>
      <c r="C9034" s="8">
        <f>IFERROR(__xludf.DUMMYFUNCTION("""COMPUTED_VALUE"""),0.0)</f>
        <v>0</v>
      </c>
      <c r="D9034" s="8"/>
    </row>
    <row r="9035">
      <c r="A9035" s="9" t="str">
        <f>IFERROR(__xludf.DUMMYFUNCTION("""COMPUTED_VALUE"""),"Batch 357")</f>
        <v>Batch 357</v>
      </c>
      <c r="B9035" s="9" t="str">
        <f>IFERROR(__xludf.DUMMYFUNCTION("""COMPUTED_VALUE"""),"IfshitaC357")</f>
        <v>IfshitaC357</v>
      </c>
      <c r="C9035" s="8">
        <f>IFERROR(__xludf.DUMMYFUNCTION("""COMPUTED_VALUE"""),0.0)</f>
        <v>0</v>
      </c>
      <c r="D9035" s="8"/>
    </row>
    <row r="9036">
      <c r="A9036" s="9" t="str">
        <f>IFERROR(__xludf.DUMMYFUNCTION("""COMPUTED_VALUE"""),"Batch 357")</f>
        <v>Batch 357</v>
      </c>
      <c r="B9036" s="9" t="str">
        <f>IFERROR(__xludf.DUMMYFUNCTION("""COMPUTED_VALUE"""),"LakshmiC357")</f>
        <v>LakshmiC357</v>
      </c>
      <c r="C9036" s="8">
        <f>IFERROR(__xludf.DUMMYFUNCTION("""COMPUTED_VALUE"""),0.0)</f>
        <v>0</v>
      </c>
      <c r="D9036" s="8"/>
    </row>
    <row r="9037">
      <c r="A9037" s="9" t="str">
        <f>IFERROR(__xludf.DUMMYFUNCTION("""COMPUTED_VALUE"""),"Batch 357")</f>
        <v>Batch 357</v>
      </c>
      <c r="B9037" s="9" t="str">
        <f>IFERROR(__xludf.DUMMYFUNCTION("""COMPUTED_VALUE"""),"KohinoorC357")</f>
        <v>KohinoorC357</v>
      </c>
      <c r="C9037" s="8">
        <f>IFERROR(__xludf.DUMMYFUNCTION("""COMPUTED_VALUE"""),6.0)</f>
        <v>6</v>
      </c>
      <c r="D9037" s="8"/>
    </row>
    <row r="9038">
      <c r="A9038" s="9" t="str">
        <f>IFERROR(__xludf.DUMMYFUNCTION("""COMPUTED_VALUE"""),"Batch 357")</f>
        <v>Batch 357</v>
      </c>
      <c r="B9038" s="9" t="str">
        <f>IFERROR(__xludf.DUMMYFUNCTION("""COMPUTED_VALUE"""),"LavanyaC357")</f>
        <v>LavanyaC357</v>
      </c>
      <c r="C9038" s="8">
        <f>IFERROR(__xludf.DUMMYFUNCTION("""COMPUTED_VALUE"""),0.0)</f>
        <v>0</v>
      </c>
      <c r="D9038" s="8"/>
    </row>
    <row r="9039">
      <c r="A9039" s="9" t="str">
        <f>IFERROR(__xludf.DUMMYFUNCTION("""COMPUTED_VALUE"""),"Batch 357")</f>
        <v>Batch 357</v>
      </c>
      <c r="B9039" s="9" t="str">
        <f>IFERROR(__xludf.DUMMYFUNCTION("""COMPUTED_VALUE"""),"AparnaC357")</f>
        <v>AparnaC357</v>
      </c>
      <c r="C9039" s="8">
        <f>IFERROR(__xludf.DUMMYFUNCTION("""COMPUTED_VALUE"""),0.0)</f>
        <v>0</v>
      </c>
      <c r="D9039" s="8"/>
    </row>
    <row r="9040">
      <c r="A9040" s="9" t="str">
        <f>IFERROR(__xludf.DUMMYFUNCTION("""COMPUTED_VALUE"""),"Batch 357")</f>
        <v>Batch 357</v>
      </c>
      <c r="B9040" s="9" t="str">
        <f>IFERROR(__xludf.DUMMYFUNCTION("""COMPUTED_VALUE"""),"HarshitaC357")</f>
        <v>HarshitaC357</v>
      </c>
      <c r="C9040" s="8">
        <f>IFERROR(__xludf.DUMMYFUNCTION("""COMPUTED_VALUE"""),0.0)</f>
        <v>0</v>
      </c>
      <c r="D9040" s="8"/>
    </row>
    <row r="9041">
      <c r="A9041" s="9" t="str">
        <f>IFERROR(__xludf.DUMMYFUNCTION("""COMPUTED_VALUE"""),"Batch 357")</f>
        <v>Batch 357</v>
      </c>
      <c r="B9041" s="9" t="str">
        <f>IFERROR(__xludf.DUMMYFUNCTION("""COMPUTED_VALUE"""),"BinitC357")</f>
        <v>BinitC357</v>
      </c>
      <c r="C9041" s="8">
        <f>IFERROR(__xludf.DUMMYFUNCTION("""COMPUTED_VALUE"""),0.0)</f>
        <v>0</v>
      </c>
      <c r="D9041" s="8"/>
    </row>
    <row r="9042">
      <c r="A9042" s="9" t="str">
        <f>IFERROR(__xludf.DUMMYFUNCTION("""COMPUTED_VALUE"""),"Batch 357")</f>
        <v>Batch 357</v>
      </c>
      <c r="B9042" s="9" t="str">
        <f>IFERROR(__xludf.DUMMYFUNCTION("""COMPUTED_VALUE"""),"RadhikaC357")</f>
        <v>RadhikaC357</v>
      </c>
      <c r="C9042" s="8">
        <f>IFERROR(__xludf.DUMMYFUNCTION("""COMPUTED_VALUE"""),0.0)</f>
        <v>0</v>
      </c>
      <c r="D9042" s="8"/>
    </row>
    <row r="9043">
      <c r="A9043" s="9" t="str">
        <f>IFERROR(__xludf.DUMMYFUNCTION("""COMPUTED_VALUE"""),"Batch 357")</f>
        <v>Batch 357</v>
      </c>
      <c r="B9043" s="9" t="str">
        <f>IFERROR(__xludf.DUMMYFUNCTION("""COMPUTED_VALUE"""),"AradhanaC357")</f>
        <v>AradhanaC357</v>
      </c>
      <c r="C9043" s="8">
        <f>IFERROR(__xludf.DUMMYFUNCTION("""COMPUTED_VALUE"""),0.0)</f>
        <v>0</v>
      </c>
      <c r="D9043" s="8"/>
    </row>
    <row r="9044">
      <c r="A9044" s="9" t="str">
        <f>IFERROR(__xludf.DUMMYFUNCTION("""COMPUTED_VALUE"""),"Batch 357")</f>
        <v>Batch 357</v>
      </c>
      <c r="B9044" s="9" t="str">
        <f>IFERROR(__xludf.DUMMYFUNCTION("""COMPUTED_VALUE"""),"SameerC357")</f>
        <v>SameerC357</v>
      </c>
      <c r="C9044" s="8">
        <f>IFERROR(__xludf.DUMMYFUNCTION("""COMPUTED_VALUE"""),0.0)</f>
        <v>0</v>
      </c>
      <c r="D9044" s="8"/>
    </row>
    <row r="9045">
      <c r="A9045" s="9" t="str">
        <f>IFERROR(__xludf.DUMMYFUNCTION("""COMPUTED_VALUE"""),"Batch 357")</f>
        <v>Batch 357</v>
      </c>
      <c r="B9045" s="9" t="str">
        <f>IFERROR(__xludf.DUMMYFUNCTION("""COMPUTED_VALUE"""),"VanshC357")</f>
        <v>VanshC357</v>
      </c>
      <c r="C9045" s="8">
        <f>IFERROR(__xludf.DUMMYFUNCTION("""COMPUTED_VALUE"""),0.0)</f>
        <v>0</v>
      </c>
      <c r="D9045" s="8"/>
    </row>
    <row r="9046">
      <c r="A9046" s="9" t="str">
        <f>IFERROR(__xludf.DUMMYFUNCTION("""COMPUTED_VALUE"""),"Batch 357")</f>
        <v>Batch 357</v>
      </c>
      <c r="B9046" s="9" t="str">
        <f>IFERROR(__xludf.DUMMYFUNCTION("""COMPUTED_VALUE"""),"AdityaKC357")</f>
        <v>AdityaKC357</v>
      </c>
      <c r="C9046" s="8">
        <f>IFERROR(__xludf.DUMMYFUNCTION("""COMPUTED_VALUE"""),0.0)</f>
        <v>0</v>
      </c>
      <c r="D9046" s="8"/>
    </row>
    <row r="9047">
      <c r="A9047" s="9" t="str">
        <f>IFERROR(__xludf.DUMMYFUNCTION("""COMPUTED_VALUE"""),"Batch 357")</f>
        <v>Batch 357</v>
      </c>
      <c r="B9047" s="9" t="str">
        <f>IFERROR(__xludf.DUMMYFUNCTION("""COMPUTED_VALUE"""),"ManyaC357")</f>
        <v>ManyaC357</v>
      </c>
      <c r="C9047" s="8">
        <f>IFERROR(__xludf.DUMMYFUNCTION("""COMPUTED_VALUE"""),0.0)</f>
        <v>0</v>
      </c>
      <c r="D9047" s="8"/>
    </row>
    <row r="9048">
      <c r="A9048" s="9" t="str">
        <f>IFERROR(__xludf.DUMMYFUNCTION("""COMPUTED_VALUE"""),"Batch 357")</f>
        <v>Batch 357</v>
      </c>
      <c r="B9048" s="9" t="str">
        <f>IFERROR(__xludf.DUMMYFUNCTION("""COMPUTED_VALUE"""),"AkankshaC357")</f>
        <v>AkankshaC357</v>
      </c>
      <c r="C9048" s="8">
        <f>IFERROR(__xludf.DUMMYFUNCTION("""COMPUTED_VALUE"""),17.0)</f>
        <v>17</v>
      </c>
      <c r="D9048" s="8">
        <f>IFERROR(__xludf.DUMMYFUNCTION("""COMPUTED_VALUE"""),3.0)</f>
        <v>3</v>
      </c>
    </row>
    <row r="9049">
      <c r="A9049" s="9" t="str">
        <f>IFERROR(__xludf.DUMMYFUNCTION("""COMPUTED_VALUE"""),"Batch 357")</f>
        <v>Batch 357</v>
      </c>
      <c r="B9049" s="9" t="str">
        <f>IFERROR(__xludf.DUMMYFUNCTION("""COMPUTED_VALUE"""),"AritraC357")</f>
        <v>AritraC357</v>
      </c>
      <c r="C9049" s="8">
        <f>IFERROR(__xludf.DUMMYFUNCTION("""COMPUTED_VALUE"""),0.0)</f>
        <v>0</v>
      </c>
      <c r="D9049" s="8"/>
    </row>
    <row r="9050">
      <c r="A9050" s="9" t="str">
        <f>IFERROR(__xludf.DUMMYFUNCTION("""COMPUTED_VALUE"""),"Batch 357")</f>
        <v>Batch 357</v>
      </c>
      <c r="B9050" s="9" t="str">
        <f>IFERROR(__xludf.DUMMYFUNCTION("""COMPUTED_VALUE"""),"RishabhC357")</f>
        <v>RishabhC357</v>
      </c>
      <c r="C9050" s="8">
        <f>IFERROR(__xludf.DUMMYFUNCTION("""COMPUTED_VALUE"""),0.0)</f>
        <v>0</v>
      </c>
      <c r="D9050" s="8"/>
    </row>
    <row r="9051">
      <c r="A9051" s="9" t="str">
        <f>IFERROR(__xludf.DUMMYFUNCTION("""COMPUTED_VALUE"""),"Batch 357")</f>
        <v>Batch 357</v>
      </c>
      <c r="B9051" s="9" t="str">
        <f>IFERROR(__xludf.DUMMYFUNCTION("""COMPUTED_VALUE"""),"KunjC357")</f>
        <v>KunjC357</v>
      </c>
      <c r="C9051" s="8">
        <f>IFERROR(__xludf.DUMMYFUNCTION("""COMPUTED_VALUE"""),0.0)</f>
        <v>0</v>
      </c>
      <c r="D9051" s="8"/>
    </row>
    <row r="9052">
      <c r="A9052" s="9" t="str">
        <f>IFERROR(__xludf.DUMMYFUNCTION("""COMPUTED_VALUE"""),"Batch 357")</f>
        <v>Batch 357</v>
      </c>
      <c r="B9052" s="9" t="str">
        <f>IFERROR(__xludf.DUMMYFUNCTION("""COMPUTED_VALUE"""),"YasaC357")</f>
        <v>YasaC357</v>
      </c>
      <c r="C9052" s="8">
        <f>IFERROR(__xludf.DUMMYFUNCTION("""COMPUTED_VALUE"""),0.0)</f>
        <v>0</v>
      </c>
      <c r="D9052" s="8"/>
    </row>
    <row r="9053">
      <c r="A9053" s="9" t="str">
        <f>IFERROR(__xludf.DUMMYFUNCTION("""COMPUTED_VALUE"""),"Batch 357")</f>
        <v>Batch 357</v>
      </c>
      <c r="B9053" s="9" t="str">
        <f>IFERROR(__xludf.DUMMYFUNCTION("""COMPUTED_VALUE"""),"BhooomiC357")</f>
        <v>BhooomiC357</v>
      </c>
      <c r="C9053" s="8">
        <f>IFERROR(__xludf.DUMMYFUNCTION("""COMPUTED_VALUE"""),0.0)</f>
        <v>0</v>
      </c>
      <c r="D9053" s="8"/>
    </row>
    <row r="9054">
      <c r="A9054" s="9" t="str">
        <f>IFERROR(__xludf.DUMMYFUNCTION("""COMPUTED_VALUE"""),"Batch 357")</f>
        <v>Batch 357</v>
      </c>
      <c r="B9054" s="9" t="str">
        <f>IFERROR(__xludf.DUMMYFUNCTION("""COMPUTED_VALUE"""),"VimalC357")</f>
        <v>VimalC357</v>
      </c>
      <c r="C9054" s="8">
        <f>IFERROR(__xludf.DUMMYFUNCTION("""COMPUTED_VALUE"""),0.0)</f>
        <v>0</v>
      </c>
      <c r="D9054" s="8"/>
    </row>
    <row r="9055">
      <c r="A9055" s="9" t="str">
        <f>IFERROR(__xludf.DUMMYFUNCTION("""COMPUTED_VALUE"""),"Batch 357")</f>
        <v>Batch 357</v>
      </c>
      <c r="B9055" s="9" t="str">
        <f>IFERROR(__xludf.DUMMYFUNCTION("""COMPUTED_VALUE"""),"MeghaC357")</f>
        <v>MeghaC357</v>
      </c>
      <c r="C9055" s="8">
        <f>IFERROR(__xludf.DUMMYFUNCTION("""COMPUTED_VALUE"""),0.0)</f>
        <v>0</v>
      </c>
      <c r="D9055" s="8"/>
    </row>
    <row r="9056">
      <c r="A9056" s="9" t="str">
        <f>IFERROR(__xludf.DUMMYFUNCTION("""COMPUTED_VALUE"""),"Batch 357")</f>
        <v>Batch 357</v>
      </c>
      <c r="B9056" s="9" t="str">
        <f>IFERROR(__xludf.DUMMYFUNCTION("""COMPUTED_VALUE"""),"SanchayC357")</f>
        <v>SanchayC357</v>
      </c>
      <c r="C9056" s="8">
        <f>IFERROR(__xludf.DUMMYFUNCTION("""COMPUTED_VALUE"""),0.0)</f>
        <v>0</v>
      </c>
      <c r="D9056" s="8"/>
    </row>
    <row r="9057">
      <c r="A9057" s="9" t="str">
        <f>IFERROR(__xludf.DUMMYFUNCTION("""COMPUTED_VALUE"""),"Batch 357")</f>
        <v>Batch 357</v>
      </c>
      <c r="B9057" s="9" t="str">
        <f>IFERROR(__xludf.DUMMYFUNCTION("""COMPUTED_VALUE"""),"AdityaC357")</f>
        <v>AdityaC357</v>
      </c>
      <c r="C9057" s="8">
        <f>IFERROR(__xludf.DUMMYFUNCTION("""COMPUTED_VALUE"""),0.0)</f>
        <v>0</v>
      </c>
      <c r="D9057" s="8"/>
    </row>
    <row r="9058">
      <c r="A9058" s="9" t="str">
        <f>IFERROR(__xludf.DUMMYFUNCTION("""COMPUTED_VALUE"""),"Batch 357")</f>
        <v>Batch 357</v>
      </c>
      <c r="B9058" s="9" t="str">
        <f>IFERROR(__xludf.DUMMYFUNCTION("""COMPUTED_VALUE"""),"BODDAPATIC357")</f>
        <v>BODDAPATIC357</v>
      </c>
      <c r="C9058" s="8">
        <f>IFERROR(__xludf.DUMMYFUNCTION("""COMPUTED_VALUE"""),0.0)</f>
        <v>0</v>
      </c>
      <c r="D9058" s="8"/>
    </row>
    <row r="9059">
      <c r="A9059" s="9" t="str">
        <f>IFERROR(__xludf.DUMMYFUNCTION("""COMPUTED_VALUE"""),"Batch 357")</f>
        <v>Batch 357</v>
      </c>
      <c r="B9059" s="9" t="str">
        <f>IFERROR(__xludf.DUMMYFUNCTION("""COMPUTED_VALUE"""),"NamanC357")</f>
        <v>NamanC357</v>
      </c>
      <c r="C9059" s="8">
        <f>IFERROR(__xludf.DUMMYFUNCTION("""COMPUTED_VALUE"""),0.0)</f>
        <v>0</v>
      </c>
      <c r="D9059" s="8"/>
    </row>
    <row r="9060">
      <c r="A9060" s="9" t="str">
        <f>IFERROR(__xludf.DUMMYFUNCTION("""COMPUTED_VALUE"""),"Batch 357")</f>
        <v>Batch 357</v>
      </c>
      <c r="B9060" s="9" t="str">
        <f>IFERROR(__xludf.DUMMYFUNCTION("""COMPUTED_VALUE"""),"DaggubatiC357")</f>
        <v>DaggubatiC357</v>
      </c>
      <c r="C9060" s="8">
        <f>IFERROR(__xludf.DUMMYFUNCTION("""COMPUTED_VALUE"""),0.0)</f>
        <v>0</v>
      </c>
      <c r="D9060" s="8"/>
    </row>
    <row r="9061">
      <c r="A9061" s="9" t="str">
        <f>IFERROR(__xludf.DUMMYFUNCTION("""COMPUTED_VALUE"""),"Batch 357")</f>
        <v>Batch 357</v>
      </c>
      <c r="B9061" s="9" t="str">
        <f>IFERROR(__xludf.DUMMYFUNCTION("""COMPUTED_VALUE"""),"BhoomiC357")</f>
        <v>BhoomiC357</v>
      </c>
      <c r="C9061" s="8">
        <f>IFERROR(__xludf.DUMMYFUNCTION("""COMPUTED_VALUE"""),0.0)</f>
        <v>0</v>
      </c>
      <c r="D9061" s="8"/>
    </row>
    <row r="9062">
      <c r="A9062" s="9" t="str">
        <f>IFERROR(__xludf.DUMMYFUNCTION("""COMPUTED_VALUE"""),"Batch 357")</f>
        <v>Batch 357</v>
      </c>
      <c r="B9062" s="9" t="str">
        <f>IFERROR(__xludf.DUMMYFUNCTION("""COMPUTED_VALUE"""),"DeepeshC357")</f>
        <v>DeepeshC357</v>
      </c>
      <c r="C9062" s="8">
        <f>IFERROR(__xludf.DUMMYFUNCTION("""COMPUTED_VALUE"""),0.0)</f>
        <v>0</v>
      </c>
      <c r="D9062" s="8"/>
    </row>
    <row r="9063">
      <c r="A9063" s="9" t="str">
        <f>IFERROR(__xludf.DUMMYFUNCTION("""COMPUTED_VALUE"""),"Batch 357")</f>
        <v>Batch 357</v>
      </c>
      <c r="B9063" s="9" t="str">
        <f>IFERROR(__xludf.DUMMYFUNCTION("""COMPUTED_VALUE"""),"KhushiC357")</f>
        <v>KhushiC357</v>
      </c>
      <c r="C9063" s="8">
        <f>IFERROR(__xludf.DUMMYFUNCTION("""COMPUTED_VALUE"""),0.0)</f>
        <v>0</v>
      </c>
      <c r="D9063" s="8"/>
    </row>
    <row r="9064">
      <c r="A9064" s="9" t="str">
        <f>IFERROR(__xludf.DUMMYFUNCTION("""COMPUTED_VALUE"""),"Batch 357")</f>
        <v>Batch 357</v>
      </c>
      <c r="B9064" s="9" t="str">
        <f>IFERROR(__xludf.DUMMYFUNCTION("""COMPUTED_VALUE"""),"ShashankC357")</f>
        <v>ShashankC357</v>
      </c>
      <c r="C9064" s="8">
        <f>IFERROR(__xludf.DUMMYFUNCTION("""COMPUTED_VALUE"""),0.0)</f>
        <v>0</v>
      </c>
      <c r="D9064" s="8"/>
    </row>
    <row r="9065">
      <c r="A9065" s="9" t="str">
        <f>IFERROR(__xludf.DUMMYFUNCTION("""COMPUTED_VALUE"""),"Batch 357")</f>
        <v>Batch 357</v>
      </c>
      <c r="B9065" s="9" t="str">
        <f>IFERROR(__xludf.DUMMYFUNCTION("""COMPUTED_VALUE"""),"JayaC357")</f>
        <v>JayaC357</v>
      </c>
      <c r="C9065" s="8">
        <f>IFERROR(__xludf.DUMMYFUNCTION("""COMPUTED_VALUE"""),0.0)</f>
        <v>0</v>
      </c>
      <c r="D9065" s="8"/>
    </row>
    <row r="9066">
      <c r="A9066" s="9" t="str">
        <f>IFERROR(__xludf.DUMMYFUNCTION("""COMPUTED_VALUE"""),"Batch 357")</f>
        <v>Batch 357</v>
      </c>
      <c r="B9066" s="9" t="str">
        <f>IFERROR(__xludf.DUMMYFUNCTION("""COMPUTED_VALUE"""),"HarkiratC357")</f>
        <v>HarkiratC357</v>
      </c>
      <c r="C9066" s="8">
        <f>IFERROR(__xludf.DUMMYFUNCTION("""COMPUTED_VALUE"""),0.0)</f>
        <v>0</v>
      </c>
      <c r="D9066" s="8"/>
    </row>
    <row r="9067">
      <c r="A9067" s="9" t="str">
        <f>IFERROR(__xludf.DUMMYFUNCTION("""COMPUTED_VALUE"""),"Batch 357")</f>
        <v>Batch 357</v>
      </c>
      <c r="B9067" s="9" t="str">
        <f>IFERROR(__xludf.DUMMYFUNCTION("""COMPUTED_VALUE"""),"OmC357")</f>
        <v>OmC357</v>
      </c>
      <c r="C9067" s="8">
        <f>IFERROR(__xludf.DUMMYFUNCTION("""COMPUTED_VALUE"""),0.0)</f>
        <v>0</v>
      </c>
      <c r="D9067" s="8"/>
    </row>
    <row r="9068">
      <c r="A9068" s="9" t="str">
        <f>IFERROR(__xludf.DUMMYFUNCTION("""COMPUTED_VALUE"""),"Batch 357")</f>
        <v>Batch 357</v>
      </c>
      <c r="B9068" s="9" t="str">
        <f>IFERROR(__xludf.DUMMYFUNCTION("""COMPUTED_VALUE"""),"AryamanC357")</f>
        <v>AryamanC357</v>
      </c>
      <c r="C9068" s="8">
        <f>IFERROR(__xludf.DUMMYFUNCTION("""COMPUTED_VALUE"""),0.0)</f>
        <v>0</v>
      </c>
      <c r="D9068" s="8"/>
    </row>
    <row r="9069">
      <c r="A9069" s="9" t="str">
        <f>IFERROR(__xludf.DUMMYFUNCTION("""COMPUTED_VALUE"""),"Batch 357")</f>
        <v>Batch 357</v>
      </c>
      <c r="B9069" s="9" t="str">
        <f>IFERROR(__xludf.DUMMYFUNCTION("""COMPUTED_VALUE"""),"SauravC357")</f>
        <v>SauravC357</v>
      </c>
      <c r="C9069" s="8">
        <f>IFERROR(__xludf.DUMMYFUNCTION("""COMPUTED_VALUE"""),0.0)</f>
        <v>0</v>
      </c>
      <c r="D9069" s="8"/>
    </row>
    <row r="9070">
      <c r="A9070" s="9" t="str">
        <f>IFERROR(__xludf.DUMMYFUNCTION("""COMPUTED_VALUE"""),"Batch 357")</f>
        <v>Batch 357</v>
      </c>
      <c r="B9070" s="9" t="str">
        <f>IFERROR(__xludf.DUMMYFUNCTION("""COMPUTED_VALUE"""),"NeetiC357")</f>
        <v>NeetiC357</v>
      </c>
      <c r="C9070" s="8">
        <f>IFERROR(__xludf.DUMMYFUNCTION("""COMPUTED_VALUE"""),0.0)</f>
        <v>0</v>
      </c>
      <c r="D9070" s="8"/>
    </row>
    <row r="9071">
      <c r="A9071" s="9" t="str">
        <f>IFERROR(__xludf.DUMMYFUNCTION("""COMPUTED_VALUE"""),"Batch 357")</f>
        <v>Batch 357</v>
      </c>
      <c r="B9071" s="9" t="str">
        <f>IFERROR(__xludf.DUMMYFUNCTION("""COMPUTED_VALUE"""),"KalpanaC357")</f>
        <v>KalpanaC357</v>
      </c>
      <c r="C9071" s="8">
        <f>IFERROR(__xludf.DUMMYFUNCTION("""COMPUTED_VALUE"""),0.0)</f>
        <v>0</v>
      </c>
      <c r="D9071" s="8"/>
    </row>
    <row r="9072">
      <c r="A9072" s="9" t="str">
        <f>IFERROR(__xludf.DUMMYFUNCTION("""COMPUTED_VALUE"""),"Batch 357")</f>
        <v>Batch 357</v>
      </c>
      <c r="B9072" s="9" t="str">
        <f>IFERROR(__xludf.DUMMYFUNCTION("""COMPUTED_VALUE"""),"HanishaC357")</f>
        <v>HanishaC357</v>
      </c>
      <c r="C9072" s="8">
        <f>IFERROR(__xludf.DUMMYFUNCTION("""COMPUTED_VALUE"""),0.0)</f>
        <v>0</v>
      </c>
      <c r="D9072" s="8">
        <f>IFERROR(__xludf.DUMMYFUNCTION("""COMPUTED_VALUE"""),4.0)</f>
        <v>4</v>
      </c>
    </row>
    <row r="9073">
      <c r="A9073" s="9" t="str">
        <f>IFERROR(__xludf.DUMMYFUNCTION("""COMPUTED_VALUE"""),"Batch 357")</f>
        <v>Batch 357</v>
      </c>
      <c r="B9073" s="9" t="str">
        <f>IFERROR(__xludf.DUMMYFUNCTION("""COMPUTED_VALUE"""),"ShivanshC357")</f>
        <v>ShivanshC357</v>
      </c>
      <c r="C9073" s="8">
        <f>IFERROR(__xludf.DUMMYFUNCTION("""COMPUTED_VALUE"""),0.0)</f>
        <v>0</v>
      </c>
      <c r="D9073" s="8"/>
    </row>
    <row r="9074">
      <c r="A9074" s="9" t="str">
        <f>IFERROR(__xludf.DUMMYFUNCTION("""COMPUTED_VALUE"""),"Batch 357")</f>
        <v>Batch 357</v>
      </c>
      <c r="B9074" s="9" t="str">
        <f>IFERROR(__xludf.DUMMYFUNCTION("""COMPUTED_VALUE"""),"SkC357")</f>
        <v>SkC357</v>
      </c>
      <c r="C9074" s="8">
        <f>IFERROR(__xludf.DUMMYFUNCTION("""COMPUTED_VALUE"""),0.0)</f>
        <v>0</v>
      </c>
      <c r="D9074" s="8"/>
    </row>
    <row r="9075">
      <c r="A9075" s="9" t="str">
        <f>IFERROR(__xludf.DUMMYFUNCTION("""COMPUTED_VALUE"""),"Batch 357")</f>
        <v>Batch 357</v>
      </c>
      <c r="B9075" s="9" t="str">
        <f>IFERROR(__xludf.DUMMYFUNCTION("""COMPUTED_VALUE"""),"AC357")</f>
        <v>AC357</v>
      </c>
      <c r="C9075" s="8">
        <f>IFERROR(__xludf.DUMMYFUNCTION("""COMPUTED_VALUE"""),0.0)</f>
        <v>0</v>
      </c>
      <c r="D9075" s="8"/>
    </row>
    <row r="9076">
      <c r="A9076" s="9" t="str">
        <f>IFERROR(__xludf.DUMMYFUNCTION("""COMPUTED_VALUE"""),"Batch 357")</f>
        <v>Batch 357</v>
      </c>
      <c r="B9076" s="9" t="str">
        <f>IFERROR(__xludf.DUMMYFUNCTION("""COMPUTED_VALUE"""),"NishaC357")</f>
        <v>NishaC357</v>
      </c>
      <c r="C9076" s="8">
        <f>IFERROR(__xludf.DUMMYFUNCTION("""COMPUTED_VALUE"""),3.0)</f>
        <v>3</v>
      </c>
      <c r="D9076" s="8">
        <f>IFERROR(__xludf.DUMMYFUNCTION("""COMPUTED_VALUE"""),6.0)</f>
        <v>6</v>
      </c>
    </row>
    <row r="9077">
      <c r="A9077" s="9" t="str">
        <f>IFERROR(__xludf.DUMMYFUNCTION("""COMPUTED_VALUE"""),"Batch 357")</f>
        <v>Batch 357</v>
      </c>
      <c r="B9077" s="9" t="str">
        <f>IFERROR(__xludf.DUMMYFUNCTION("""COMPUTED_VALUE"""),"kashishC357")</f>
        <v>kashishC357</v>
      </c>
      <c r="C9077" s="8">
        <f>IFERROR(__xludf.DUMMYFUNCTION("""COMPUTED_VALUE"""),0.0)</f>
        <v>0</v>
      </c>
      <c r="D9077" s="8"/>
    </row>
    <row r="9078">
      <c r="A9078" s="9" t="str">
        <f>IFERROR(__xludf.DUMMYFUNCTION("""COMPUTED_VALUE"""),"Batch 357")</f>
        <v>Batch 357</v>
      </c>
      <c r="B9078" s="9" t="str">
        <f>IFERROR(__xludf.DUMMYFUNCTION("""COMPUTED_VALUE"""),"YogitaC357")</f>
        <v>YogitaC357</v>
      </c>
      <c r="C9078" s="8">
        <f>IFERROR(__xludf.DUMMYFUNCTION("""COMPUTED_VALUE"""),0.0)</f>
        <v>0</v>
      </c>
      <c r="D9078" s="8"/>
    </row>
    <row r="9079">
      <c r="A9079" s="9" t="str">
        <f>IFERROR(__xludf.DUMMYFUNCTION("""COMPUTED_VALUE"""),"Batch 357")</f>
        <v>Batch 357</v>
      </c>
      <c r="B9079" s="9" t="str">
        <f>IFERROR(__xludf.DUMMYFUNCTION("""COMPUTED_VALUE"""),"JITENDRAC357")</f>
        <v>JITENDRAC357</v>
      </c>
      <c r="C9079" s="8">
        <f>IFERROR(__xludf.DUMMYFUNCTION("""COMPUTED_VALUE"""),0.0)</f>
        <v>0</v>
      </c>
      <c r="D9079" s="8"/>
    </row>
    <row r="9080">
      <c r="A9080" s="9" t="str">
        <f>IFERROR(__xludf.DUMMYFUNCTION("""COMPUTED_VALUE"""),"Batch 357")</f>
        <v>Batch 357</v>
      </c>
      <c r="B9080" s="9" t="str">
        <f>IFERROR(__xludf.DUMMYFUNCTION("""COMPUTED_VALUE"""),"JiyaC357")</f>
        <v>JiyaC357</v>
      </c>
      <c r="C9080" s="8">
        <f>IFERROR(__xludf.DUMMYFUNCTION("""COMPUTED_VALUE"""),0.0)</f>
        <v>0</v>
      </c>
      <c r="D9080" s="8"/>
    </row>
    <row r="9081">
      <c r="A9081" s="9" t="str">
        <f>IFERROR(__xludf.DUMMYFUNCTION("""COMPUTED_VALUE"""),"Batch 357")</f>
        <v>Batch 357</v>
      </c>
      <c r="B9081" s="9" t="str">
        <f>IFERROR(__xludf.DUMMYFUNCTION("""COMPUTED_VALUE"""),"JaywantC357")</f>
        <v>JaywantC357</v>
      </c>
      <c r="C9081" s="8">
        <f>IFERROR(__xludf.DUMMYFUNCTION("""COMPUTED_VALUE"""),0.0)</f>
        <v>0</v>
      </c>
      <c r="D9081" s="8"/>
    </row>
    <row r="9082">
      <c r="A9082" s="9" t="str">
        <f>IFERROR(__xludf.DUMMYFUNCTION("""COMPUTED_VALUE"""),"Batch 357")</f>
        <v>Batch 357</v>
      </c>
      <c r="B9082" s="9" t="str">
        <f>IFERROR(__xludf.DUMMYFUNCTION("""COMPUTED_VALUE"""),"ThrishnaC357")</f>
        <v>ThrishnaC357</v>
      </c>
      <c r="C9082" s="8">
        <f>IFERROR(__xludf.DUMMYFUNCTION("""COMPUTED_VALUE"""),0.0)</f>
        <v>0</v>
      </c>
      <c r="D9082" s="8"/>
    </row>
    <row r="9083">
      <c r="A9083" s="9" t="str">
        <f>IFERROR(__xludf.DUMMYFUNCTION("""COMPUTED_VALUE"""),"Batch 357")</f>
        <v>Batch 357</v>
      </c>
      <c r="B9083" s="9" t="str">
        <f>IFERROR(__xludf.DUMMYFUNCTION("""COMPUTED_VALUE"""),"BhartiC357")</f>
        <v>BhartiC357</v>
      </c>
      <c r="C9083" s="8">
        <f>IFERROR(__xludf.DUMMYFUNCTION("""COMPUTED_VALUE"""),0.0)</f>
        <v>0</v>
      </c>
      <c r="D9083" s="8"/>
    </row>
    <row r="9084">
      <c r="A9084" s="9"/>
      <c r="B9084" s="9"/>
      <c r="C9084" s="8">
        <f>IFERROR(__xludf.DUMMYFUNCTION("""COMPUTED_VALUE"""),0.0)</f>
        <v>0</v>
      </c>
      <c r="D9084" s="8"/>
    </row>
    <row r="9085">
      <c r="A9085" s="9" t="str">
        <f>IFERROR(__xludf.DUMMYFUNCTION("""COMPUTED_VALUE"""),"Batch 358")</f>
        <v>Batch 358</v>
      </c>
      <c r="B9085" s="9" t="str">
        <f>IFERROR(__xludf.DUMMYFUNCTION("""COMPUTED_VALUE"""),"PreetiC358")</f>
        <v>PreetiC358</v>
      </c>
      <c r="C9085" s="8">
        <f>IFERROR(__xludf.DUMMYFUNCTION("""COMPUTED_VALUE"""),0.0)</f>
        <v>0</v>
      </c>
      <c r="D9085" s="8"/>
    </row>
    <row r="9086">
      <c r="A9086" s="9" t="str">
        <f>IFERROR(__xludf.DUMMYFUNCTION("""COMPUTED_VALUE"""),"Batch 358")</f>
        <v>Batch 358</v>
      </c>
      <c r="B9086" s="9" t="str">
        <f>IFERROR(__xludf.DUMMYFUNCTION("""COMPUTED_VALUE"""),"ShivamC358")</f>
        <v>ShivamC358</v>
      </c>
      <c r="C9086" s="8">
        <f>IFERROR(__xludf.DUMMYFUNCTION("""COMPUTED_VALUE"""),0.0)</f>
        <v>0</v>
      </c>
      <c r="D9086" s="8"/>
    </row>
    <row r="9087">
      <c r="A9087" s="9" t="str">
        <f>IFERROR(__xludf.DUMMYFUNCTION("""COMPUTED_VALUE"""),"Batch 358")</f>
        <v>Batch 358</v>
      </c>
      <c r="B9087" s="9" t="str">
        <f>IFERROR(__xludf.DUMMYFUNCTION("""COMPUTED_VALUE"""),"UppalaC358")</f>
        <v>UppalaC358</v>
      </c>
      <c r="C9087" s="8">
        <f>IFERROR(__xludf.DUMMYFUNCTION("""COMPUTED_VALUE"""),21.0)</f>
        <v>21</v>
      </c>
      <c r="D9087" s="8">
        <f>IFERROR(__xludf.DUMMYFUNCTION("""COMPUTED_VALUE"""),4.0)</f>
        <v>4</v>
      </c>
    </row>
    <row r="9088">
      <c r="A9088" s="9" t="str">
        <f>IFERROR(__xludf.DUMMYFUNCTION("""COMPUTED_VALUE"""),"Batch 358")</f>
        <v>Batch 358</v>
      </c>
      <c r="B9088" s="9" t="str">
        <f>IFERROR(__xludf.DUMMYFUNCTION("""COMPUTED_VALUE"""),"KrishnaBC358")</f>
        <v>KrishnaBC358</v>
      </c>
      <c r="C9088" s="8">
        <f>IFERROR(__xludf.DUMMYFUNCTION("""COMPUTED_VALUE"""),0.0)</f>
        <v>0</v>
      </c>
      <c r="D9088" s="8"/>
    </row>
    <row r="9089">
      <c r="A9089" s="9" t="str">
        <f>IFERROR(__xludf.DUMMYFUNCTION("""COMPUTED_VALUE"""),"Batch 358")</f>
        <v>Batch 358</v>
      </c>
      <c r="B9089" s="9" t="str">
        <f>IFERROR(__xludf.DUMMYFUNCTION("""COMPUTED_VALUE"""),"DeveshC358")</f>
        <v>DeveshC358</v>
      </c>
      <c r="C9089" s="8">
        <f>IFERROR(__xludf.DUMMYFUNCTION("""COMPUTED_VALUE"""),0.0)</f>
        <v>0</v>
      </c>
      <c r="D9089" s="8"/>
    </row>
    <row r="9090">
      <c r="A9090" s="9" t="str">
        <f>IFERROR(__xludf.DUMMYFUNCTION("""COMPUTED_VALUE"""),"Batch 358")</f>
        <v>Batch 358</v>
      </c>
      <c r="B9090" s="9" t="str">
        <f>IFERROR(__xludf.DUMMYFUNCTION("""COMPUTED_VALUE"""),"HarshC358")</f>
        <v>HarshC358</v>
      </c>
      <c r="C9090" s="8">
        <f>IFERROR(__xludf.DUMMYFUNCTION("""COMPUTED_VALUE"""),0.0)</f>
        <v>0</v>
      </c>
      <c r="D9090" s="8"/>
    </row>
    <row r="9091">
      <c r="A9091" s="9" t="str">
        <f>IFERROR(__xludf.DUMMYFUNCTION("""COMPUTED_VALUE"""),"Batch 358")</f>
        <v>Batch 358</v>
      </c>
      <c r="B9091" s="9" t="str">
        <f>IFERROR(__xludf.DUMMYFUNCTION("""COMPUTED_VALUE"""),"SanjanaC358")</f>
        <v>SanjanaC358</v>
      </c>
      <c r="C9091" s="8">
        <f>IFERROR(__xludf.DUMMYFUNCTION("""COMPUTED_VALUE"""),0.0)</f>
        <v>0</v>
      </c>
      <c r="D9091" s="8"/>
    </row>
    <row r="9092">
      <c r="A9092" s="9" t="str">
        <f>IFERROR(__xludf.DUMMYFUNCTION("""COMPUTED_VALUE"""),"Batch 358")</f>
        <v>Batch 358</v>
      </c>
      <c r="B9092" s="9" t="str">
        <f>IFERROR(__xludf.DUMMYFUNCTION("""COMPUTED_VALUE"""),"DASARIC358")</f>
        <v>DASARIC358</v>
      </c>
      <c r="C9092" s="8">
        <f>IFERROR(__xludf.DUMMYFUNCTION("""COMPUTED_VALUE"""),0.0)</f>
        <v>0</v>
      </c>
      <c r="D9092" s="8"/>
    </row>
    <row r="9093">
      <c r="A9093" s="9" t="str">
        <f>IFERROR(__xludf.DUMMYFUNCTION("""COMPUTED_VALUE"""),"Batch 358")</f>
        <v>Batch 358</v>
      </c>
      <c r="B9093" s="9" t="str">
        <f>IFERROR(__xludf.DUMMYFUNCTION("""COMPUTED_VALUE"""),"YogendraC358")</f>
        <v>YogendraC358</v>
      </c>
      <c r="C9093" s="8">
        <f>IFERROR(__xludf.DUMMYFUNCTION("""COMPUTED_VALUE"""),0.0)</f>
        <v>0</v>
      </c>
      <c r="D9093" s="8"/>
    </row>
    <row r="9094">
      <c r="A9094" s="9" t="str">
        <f>IFERROR(__xludf.DUMMYFUNCTION("""COMPUTED_VALUE"""),"Batch 358")</f>
        <v>Batch 358</v>
      </c>
      <c r="B9094" s="9" t="str">
        <f>IFERROR(__xludf.DUMMYFUNCTION("""COMPUTED_VALUE"""),"TalhaC358")</f>
        <v>TalhaC358</v>
      </c>
      <c r="C9094" s="8">
        <f>IFERROR(__xludf.DUMMYFUNCTION("""COMPUTED_VALUE"""),0.0)</f>
        <v>0</v>
      </c>
      <c r="D9094" s="8">
        <f>IFERROR(__xludf.DUMMYFUNCTION("""COMPUTED_VALUE"""),2.0)</f>
        <v>2</v>
      </c>
    </row>
    <row r="9095">
      <c r="A9095" s="9" t="str">
        <f>IFERROR(__xludf.DUMMYFUNCTION("""COMPUTED_VALUE"""),"Batch 358")</f>
        <v>Batch 358</v>
      </c>
      <c r="B9095" s="9" t="str">
        <f>IFERROR(__xludf.DUMMYFUNCTION("""COMPUTED_VALUE"""),"DimpalC358")</f>
        <v>DimpalC358</v>
      </c>
      <c r="C9095" s="8">
        <f>IFERROR(__xludf.DUMMYFUNCTION("""COMPUTED_VALUE"""),0.0)</f>
        <v>0</v>
      </c>
      <c r="D9095" s="8"/>
    </row>
    <row r="9096">
      <c r="A9096" s="9" t="str">
        <f>IFERROR(__xludf.DUMMYFUNCTION("""COMPUTED_VALUE"""),"Batch 358")</f>
        <v>Batch 358</v>
      </c>
      <c r="B9096" s="9" t="str">
        <f>IFERROR(__xludf.DUMMYFUNCTION("""COMPUTED_VALUE"""),"dishacC358")</f>
        <v>dishacC358</v>
      </c>
      <c r="C9096" s="8">
        <f>IFERROR(__xludf.DUMMYFUNCTION("""COMPUTED_VALUE"""),0.0)</f>
        <v>0</v>
      </c>
      <c r="D9096" s="8"/>
    </row>
    <row r="9097">
      <c r="A9097" s="9" t="str">
        <f>IFERROR(__xludf.DUMMYFUNCTION("""COMPUTED_VALUE"""),"Batch 358")</f>
        <v>Batch 358</v>
      </c>
      <c r="B9097" s="9" t="str">
        <f>IFERROR(__xludf.DUMMYFUNCTION("""COMPUTED_VALUE"""),"AaradhyC358")</f>
        <v>AaradhyC358</v>
      </c>
      <c r="C9097" s="8">
        <f>IFERROR(__xludf.DUMMYFUNCTION("""COMPUTED_VALUE"""),0.0)</f>
        <v>0</v>
      </c>
      <c r="D9097" s="8"/>
    </row>
    <row r="9098">
      <c r="A9098" s="9" t="str">
        <f>IFERROR(__xludf.DUMMYFUNCTION("""COMPUTED_VALUE"""),"Batch 358")</f>
        <v>Batch 358</v>
      </c>
      <c r="B9098" s="9" t="str">
        <f>IFERROR(__xludf.DUMMYFUNCTION("""COMPUTED_VALUE"""),"MuskanC358")</f>
        <v>MuskanC358</v>
      </c>
      <c r="C9098" s="8">
        <f>IFERROR(__xludf.DUMMYFUNCTION("""COMPUTED_VALUE"""),0.0)</f>
        <v>0</v>
      </c>
      <c r="D9098" s="8"/>
    </row>
    <row r="9099">
      <c r="A9099" s="9" t="str">
        <f>IFERROR(__xludf.DUMMYFUNCTION("""COMPUTED_VALUE"""),"Batch 358")</f>
        <v>Batch 358</v>
      </c>
      <c r="B9099" s="9" t="str">
        <f>IFERROR(__xludf.DUMMYFUNCTION("""COMPUTED_VALUE"""),"SnehaC358")</f>
        <v>SnehaC358</v>
      </c>
      <c r="C9099" s="8">
        <f>IFERROR(__xludf.DUMMYFUNCTION("""COMPUTED_VALUE"""),0.0)</f>
        <v>0</v>
      </c>
      <c r="D9099" s="8"/>
    </row>
    <row r="9100">
      <c r="A9100" s="9" t="str">
        <f>IFERROR(__xludf.DUMMYFUNCTION("""COMPUTED_VALUE"""),"Batch 358")</f>
        <v>Batch 358</v>
      </c>
      <c r="B9100" s="9" t="str">
        <f>IFERROR(__xludf.DUMMYFUNCTION("""COMPUTED_VALUE"""),"SudarshanC358")</f>
        <v>SudarshanC358</v>
      </c>
      <c r="C9100" s="8">
        <f>IFERROR(__xludf.DUMMYFUNCTION("""COMPUTED_VALUE"""),0.0)</f>
        <v>0</v>
      </c>
      <c r="D9100" s="8"/>
    </row>
    <row r="9101">
      <c r="A9101" s="9" t="str">
        <f>IFERROR(__xludf.DUMMYFUNCTION("""COMPUTED_VALUE"""),"Batch 358")</f>
        <v>Batch 358</v>
      </c>
      <c r="B9101" s="9" t="str">
        <f>IFERROR(__xludf.DUMMYFUNCTION("""COMPUTED_VALUE"""),"KalashC358")</f>
        <v>KalashC358</v>
      </c>
      <c r="C9101" s="8">
        <f>IFERROR(__xludf.DUMMYFUNCTION("""COMPUTED_VALUE"""),0.0)</f>
        <v>0</v>
      </c>
      <c r="D9101" s="8"/>
    </row>
    <row r="9102">
      <c r="A9102" s="9" t="str">
        <f>IFERROR(__xludf.DUMMYFUNCTION("""COMPUTED_VALUE"""),"Batch 358")</f>
        <v>Batch 358</v>
      </c>
      <c r="B9102" s="9" t="str">
        <f>IFERROR(__xludf.DUMMYFUNCTION("""COMPUTED_VALUE"""),"SADIAC358")</f>
        <v>SADIAC358</v>
      </c>
      <c r="C9102" s="8">
        <f>IFERROR(__xludf.DUMMYFUNCTION("""COMPUTED_VALUE"""),0.0)</f>
        <v>0</v>
      </c>
      <c r="D9102" s="8"/>
    </row>
    <row r="9103">
      <c r="A9103" s="9" t="str">
        <f>IFERROR(__xludf.DUMMYFUNCTION("""COMPUTED_VALUE"""),"Batch 358")</f>
        <v>Batch 358</v>
      </c>
      <c r="B9103" s="9" t="str">
        <f>IFERROR(__xludf.DUMMYFUNCTION("""COMPUTED_VALUE"""),"SanyaC358")</f>
        <v>SanyaC358</v>
      </c>
      <c r="C9103" s="8">
        <f>IFERROR(__xludf.DUMMYFUNCTION("""COMPUTED_VALUE"""),0.0)</f>
        <v>0</v>
      </c>
      <c r="D9103" s="8"/>
    </row>
    <row r="9104">
      <c r="A9104" s="9" t="str">
        <f>IFERROR(__xludf.DUMMYFUNCTION("""COMPUTED_VALUE"""),"Batch 358")</f>
        <v>Batch 358</v>
      </c>
      <c r="B9104" s="9" t="str">
        <f>IFERROR(__xludf.DUMMYFUNCTION("""COMPUTED_VALUE"""),"AdeelC358")</f>
        <v>AdeelC358</v>
      </c>
      <c r="C9104" s="8">
        <f>IFERROR(__xludf.DUMMYFUNCTION("""COMPUTED_VALUE"""),0.0)</f>
        <v>0</v>
      </c>
      <c r="D9104" s="8"/>
    </row>
    <row r="9105">
      <c r="A9105" s="9" t="str">
        <f>IFERROR(__xludf.DUMMYFUNCTION("""COMPUTED_VALUE"""),"Batch 358")</f>
        <v>Batch 358</v>
      </c>
      <c r="B9105" s="9" t="str">
        <f>IFERROR(__xludf.DUMMYFUNCTION("""COMPUTED_VALUE"""),"YashC358")</f>
        <v>YashC358</v>
      </c>
      <c r="C9105" s="8">
        <f>IFERROR(__xludf.DUMMYFUNCTION("""COMPUTED_VALUE"""),1.0)</f>
        <v>1</v>
      </c>
      <c r="D9105" s="8"/>
    </row>
    <row r="9106">
      <c r="A9106" s="9" t="str">
        <f>IFERROR(__xludf.DUMMYFUNCTION("""COMPUTED_VALUE"""),"Batch 358")</f>
        <v>Batch 358</v>
      </c>
      <c r="B9106" s="9" t="str">
        <f>IFERROR(__xludf.DUMMYFUNCTION("""COMPUTED_VALUE"""),"ZiberiyaC358")</f>
        <v>ZiberiyaC358</v>
      </c>
      <c r="C9106" s="8">
        <f>IFERROR(__xludf.DUMMYFUNCTION("""COMPUTED_VALUE"""),0.0)</f>
        <v>0</v>
      </c>
      <c r="D9106" s="8"/>
    </row>
    <row r="9107">
      <c r="A9107" s="9" t="str">
        <f>IFERROR(__xludf.DUMMYFUNCTION("""COMPUTED_VALUE"""),"Batch 358")</f>
        <v>Batch 358</v>
      </c>
      <c r="B9107" s="9" t="str">
        <f>IFERROR(__xludf.DUMMYFUNCTION("""COMPUTED_VALUE"""),"zarqaC358")</f>
        <v>zarqaC358</v>
      </c>
      <c r="C9107" s="8">
        <f>IFERROR(__xludf.DUMMYFUNCTION("""COMPUTED_VALUE"""),0.0)</f>
        <v>0</v>
      </c>
      <c r="D9107" s="8"/>
    </row>
    <row r="9108">
      <c r="A9108" s="9" t="str">
        <f>IFERROR(__xludf.DUMMYFUNCTION("""COMPUTED_VALUE"""),"Batch 358")</f>
        <v>Batch 358</v>
      </c>
      <c r="B9108" s="9" t="str">
        <f>IFERROR(__xludf.DUMMYFUNCTION("""COMPUTED_VALUE"""),"KritikaC358")</f>
        <v>KritikaC358</v>
      </c>
      <c r="C9108" s="8">
        <f>IFERROR(__xludf.DUMMYFUNCTION("""COMPUTED_VALUE"""),0.0)</f>
        <v>0</v>
      </c>
      <c r="D9108" s="8"/>
    </row>
    <row r="9109">
      <c r="A9109" s="9" t="str">
        <f>IFERROR(__xludf.DUMMYFUNCTION("""COMPUTED_VALUE"""),"Batch 358")</f>
        <v>Batch 358</v>
      </c>
      <c r="B9109" s="9" t="str">
        <f>IFERROR(__xludf.DUMMYFUNCTION("""COMPUTED_VALUE"""),"RaginiC358")</f>
        <v>RaginiC358</v>
      </c>
      <c r="C9109" s="8">
        <f>IFERROR(__xludf.DUMMYFUNCTION("""COMPUTED_VALUE"""),0.0)</f>
        <v>0</v>
      </c>
      <c r="D9109" s="8"/>
    </row>
    <row r="9110">
      <c r="A9110" s="9" t="str">
        <f>IFERROR(__xludf.DUMMYFUNCTION("""COMPUTED_VALUE"""),"Batch 358")</f>
        <v>Batch 358</v>
      </c>
      <c r="B9110" s="9" t="str">
        <f>IFERROR(__xludf.DUMMYFUNCTION("""COMPUTED_VALUE"""),"AmandeepC358")</f>
        <v>AmandeepC358</v>
      </c>
      <c r="C9110" s="8">
        <f>IFERROR(__xludf.DUMMYFUNCTION("""COMPUTED_VALUE"""),1.0)</f>
        <v>1</v>
      </c>
      <c r="D9110" s="8">
        <f>IFERROR(__xludf.DUMMYFUNCTION("""COMPUTED_VALUE"""),1.0)</f>
        <v>1</v>
      </c>
    </row>
    <row r="9111">
      <c r="A9111" s="9" t="str">
        <f>IFERROR(__xludf.DUMMYFUNCTION("""COMPUTED_VALUE"""),"Batch 358")</f>
        <v>Batch 358</v>
      </c>
      <c r="B9111" s="9" t="str">
        <f>IFERROR(__xludf.DUMMYFUNCTION("""COMPUTED_VALUE"""),"KRISHNAC358")</f>
        <v>KRISHNAC358</v>
      </c>
      <c r="C9111" s="8">
        <f>IFERROR(__xludf.DUMMYFUNCTION("""COMPUTED_VALUE"""),0.0)</f>
        <v>0</v>
      </c>
      <c r="D9111" s="8"/>
    </row>
    <row r="9112">
      <c r="A9112" s="9" t="str">
        <f>IFERROR(__xludf.DUMMYFUNCTION("""COMPUTED_VALUE"""),"Batch 358")</f>
        <v>Batch 358</v>
      </c>
      <c r="B9112" s="9" t="str">
        <f>IFERROR(__xludf.DUMMYFUNCTION("""COMPUTED_VALUE"""),"AshwinC358")</f>
        <v>AshwinC358</v>
      </c>
      <c r="C9112" s="8">
        <f>IFERROR(__xludf.DUMMYFUNCTION("""COMPUTED_VALUE"""),0.0)</f>
        <v>0</v>
      </c>
      <c r="D9112" s="8"/>
    </row>
    <row r="9113">
      <c r="A9113" s="9" t="str">
        <f>IFERROR(__xludf.DUMMYFUNCTION("""COMPUTED_VALUE"""),"Batch 358")</f>
        <v>Batch 358</v>
      </c>
      <c r="B9113" s="9" t="str">
        <f>IFERROR(__xludf.DUMMYFUNCTION("""COMPUTED_VALUE"""),"KartikayC358")</f>
        <v>KartikayC358</v>
      </c>
      <c r="C9113" s="8">
        <f>IFERROR(__xludf.DUMMYFUNCTION("""COMPUTED_VALUE"""),0.0)</f>
        <v>0</v>
      </c>
      <c r="D9113" s="8"/>
    </row>
    <row r="9114">
      <c r="A9114" s="9" t="str">
        <f>IFERROR(__xludf.DUMMYFUNCTION("""COMPUTED_VALUE"""),"Batch 358")</f>
        <v>Batch 358</v>
      </c>
      <c r="B9114" s="9" t="str">
        <f>IFERROR(__xludf.DUMMYFUNCTION("""COMPUTED_VALUE"""),"SanjanaC358")</f>
        <v>SanjanaC358</v>
      </c>
      <c r="C9114" s="8">
        <f>IFERROR(__xludf.DUMMYFUNCTION("""COMPUTED_VALUE"""),0.0)</f>
        <v>0</v>
      </c>
      <c r="D9114" s="8"/>
    </row>
    <row r="9115">
      <c r="A9115" s="9" t="str">
        <f>IFERROR(__xludf.DUMMYFUNCTION("""COMPUTED_VALUE"""),"Batch 358")</f>
        <v>Batch 358</v>
      </c>
      <c r="B9115" s="9" t="str">
        <f>IFERROR(__xludf.DUMMYFUNCTION("""COMPUTED_VALUE"""),"PushpendraC358")</f>
        <v>PushpendraC358</v>
      </c>
      <c r="C9115" s="8">
        <f>IFERROR(__xludf.DUMMYFUNCTION("""COMPUTED_VALUE"""),15.0)</f>
        <v>15</v>
      </c>
      <c r="D9115" s="8"/>
    </row>
    <row r="9116">
      <c r="A9116" s="9" t="str">
        <f>IFERROR(__xludf.DUMMYFUNCTION("""COMPUTED_VALUE"""),"Batch 358")</f>
        <v>Batch 358</v>
      </c>
      <c r="B9116" s="9" t="str">
        <f>IFERROR(__xludf.DUMMYFUNCTION("""COMPUTED_VALUE"""),"HarshC358")</f>
        <v>HarshC358</v>
      </c>
      <c r="C9116" s="8">
        <f>IFERROR(__xludf.DUMMYFUNCTION("""COMPUTED_VALUE"""),0.0)</f>
        <v>0</v>
      </c>
      <c r="D9116" s="8"/>
    </row>
    <row r="9117">
      <c r="A9117" s="9" t="str">
        <f>IFERROR(__xludf.DUMMYFUNCTION("""COMPUTED_VALUE"""),"Batch 358")</f>
        <v>Batch 358</v>
      </c>
      <c r="B9117" s="9" t="str">
        <f>IFERROR(__xludf.DUMMYFUNCTION("""COMPUTED_VALUE"""),"KaveriC358")</f>
        <v>KaveriC358</v>
      </c>
      <c r="C9117" s="8">
        <f>IFERROR(__xludf.DUMMYFUNCTION("""COMPUTED_VALUE"""),0.0)</f>
        <v>0</v>
      </c>
      <c r="D9117" s="8"/>
    </row>
    <row r="9118">
      <c r="A9118" s="9" t="str">
        <f>IFERROR(__xludf.DUMMYFUNCTION("""COMPUTED_VALUE"""),"Batch 358")</f>
        <v>Batch 358</v>
      </c>
      <c r="B9118" s="9" t="str">
        <f>IFERROR(__xludf.DUMMYFUNCTION("""COMPUTED_VALUE"""),"AabhasC358")</f>
        <v>AabhasC358</v>
      </c>
      <c r="C9118" s="8">
        <f>IFERROR(__xludf.DUMMYFUNCTION("""COMPUTED_VALUE"""),0.0)</f>
        <v>0</v>
      </c>
      <c r="D9118" s="8"/>
    </row>
    <row r="9119">
      <c r="A9119" s="9" t="str">
        <f>IFERROR(__xludf.DUMMYFUNCTION("""COMPUTED_VALUE"""),"Batch 358")</f>
        <v>Batch 358</v>
      </c>
      <c r="B9119" s="9" t="str">
        <f>IFERROR(__xludf.DUMMYFUNCTION("""COMPUTED_VALUE"""),"SaloniC358")</f>
        <v>SaloniC358</v>
      </c>
      <c r="C9119" s="8">
        <f>IFERROR(__xludf.DUMMYFUNCTION("""COMPUTED_VALUE"""),0.0)</f>
        <v>0</v>
      </c>
      <c r="D9119" s="8"/>
    </row>
    <row r="9120">
      <c r="A9120" s="9" t="str">
        <f>IFERROR(__xludf.DUMMYFUNCTION("""COMPUTED_VALUE"""),"Batch 358")</f>
        <v>Batch 358</v>
      </c>
      <c r="B9120" s="9" t="str">
        <f>IFERROR(__xludf.DUMMYFUNCTION("""COMPUTED_VALUE"""),"SameerC358")</f>
        <v>SameerC358</v>
      </c>
      <c r="C9120" s="8">
        <f>IFERROR(__xludf.DUMMYFUNCTION("""COMPUTED_VALUE"""),0.0)</f>
        <v>0</v>
      </c>
      <c r="D9120" s="8"/>
    </row>
    <row r="9121">
      <c r="A9121" s="9" t="str">
        <f>IFERROR(__xludf.DUMMYFUNCTION("""COMPUTED_VALUE"""),"Batch 358")</f>
        <v>Batch 358</v>
      </c>
      <c r="B9121" s="9" t="str">
        <f>IFERROR(__xludf.DUMMYFUNCTION("""COMPUTED_VALUE"""),"HarnadarC358")</f>
        <v>HarnadarC358</v>
      </c>
      <c r="C9121" s="8">
        <f>IFERROR(__xludf.DUMMYFUNCTION("""COMPUTED_VALUE"""),0.0)</f>
        <v>0</v>
      </c>
      <c r="D9121" s="8"/>
    </row>
    <row r="9122">
      <c r="A9122" s="9" t="str">
        <f>IFERROR(__xludf.DUMMYFUNCTION("""COMPUTED_VALUE"""),"Batch 358")</f>
        <v>Batch 358</v>
      </c>
      <c r="B9122" s="9" t="str">
        <f>IFERROR(__xludf.DUMMYFUNCTION("""COMPUTED_VALUE"""),"AsthaC358")</f>
        <v>AsthaC358</v>
      </c>
      <c r="C9122" s="8">
        <f>IFERROR(__xludf.DUMMYFUNCTION("""COMPUTED_VALUE"""),0.0)</f>
        <v>0</v>
      </c>
      <c r="D9122" s="8"/>
    </row>
    <row r="9123">
      <c r="A9123" s="9" t="str">
        <f>IFERROR(__xludf.DUMMYFUNCTION("""COMPUTED_VALUE"""),"Batch 358")</f>
        <v>Batch 358</v>
      </c>
      <c r="B9123" s="9" t="str">
        <f>IFERROR(__xludf.DUMMYFUNCTION("""COMPUTED_VALUE"""),"VijaylaxmiC358")</f>
        <v>VijaylaxmiC358</v>
      </c>
      <c r="C9123" s="8">
        <f>IFERROR(__xludf.DUMMYFUNCTION("""COMPUTED_VALUE"""),0.0)</f>
        <v>0</v>
      </c>
      <c r="D9123" s="8"/>
    </row>
    <row r="9124">
      <c r="A9124" s="9" t="str">
        <f>IFERROR(__xludf.DUMMYFUNCTION("""COMPUTED_VALUE"""),"Batch 358")</f>
        <v>Batch 358</v>
      </c>
      <c r="B9124" s="9" t="str">
        <f>IFERROR(__xludf.DUMMYFUNCTION("""COMPUTED_VALUE"""),"YashC358")</f>
        <v>YashC358</v>
      </c>
      <c r="C9124" s="8">
        <f>IFERROR(__xludf.DUMMYFUNCTION("""COMPUTED_VALUE"""),0.0)</f>
        <v>0</v>
      </c>
      <c r="D9124" s="8"/>
    </row>
    <row r="9125">
      <c r="A9125" s="9" t="str">
        <f>IFERROR(__xludf.DUMMYFUNCTION("""COMPUTED_VALUE"""),"Batch 358")</f>
        <v>Batch 358</v>
      </c>
      <c r="B9125" s="9" t="str">
        <f>IFERROR(__xludf.DUMMYFUNCTION("""COMPUTED_VALUE"""),"PrathamC358")</f>
        <v>PrathamC358</v>
      </c>
      <c r="C9125" s="8">
        <f>IFERROR(__xludf.DUMMYFUNCTION("""COMPUTED_VALUE"""),0.0)</f>
        <v>0</v>
      </c>
      <c r="D9125" s="8"/>
    </row>
    <row r="9126">
      <c r="A9126" s="9" t="str">
        <f>IFERROR(__xludf.DUMMYFUNCTION("""COMPUTED_VALUE"""),"Batch 358")</f>
        <v>Batch 358</v>
      </c>
      <c r="B9126" s="9" t="str">
        <f>IFERROR(__xludf.DUMMYFUNCTION("""COMPUTED_VALUE"""),"ManviC358")</f>
        <v>ManviC358</v>
      </c>
      <c r="C9126" s="8">
        <f>IFERROR(__xludf.DUMMYFUNCTION("""COMPUTED_VALUE"""),0.0)</f>
        <v>0</v>
      </c>
      <c r="D9126" s="8"/>
    </row>
    <row r="9127">
      <c r="A9127" s="9" t="str">
        <f>IFERROR(__xludf.DUMMYFUNCTION("""COMPUTED_VALUE"""),"Batch 358")</f>
        <v>Batch 358</v>
      </c>
      <c r="B9127" s="9" t="str">
        <f>IFERROR(__xludf.DUMMYFUNCTION("""COMPUTED_VALUE"""),"DivyanshC358")</f>
        <v>DivyanshC358</v>
      </c>
      <c r="C9127" s="8">
        <f>IFERROR(__xludf.DUMMYFUNCTION("""COMPUTED_VALUE"""),0.0)</f>
        <v>0</v>
      </c>
      <c r="D9127" s="8"/>
    </row>
    <row r="9128">
      <c r="A9128" s="9" t="str">
        <f>IFERROR(__xludf.DUMMYFUNCTION("""COMPUTED_VALUE"""),"Batch 358")</f>
        <v>Batch 358</v>
      </c>
      <c r="B9128" s="9" t="str">
        <f>IFERROR(__xludf.DUMMYFUNCTION("""COMPUTED_VALUE"""),"ABHISHEKC358")</f>
        <v>ABHISHEKC358</v>
      </c>
      <c r="C9128" s="8">
        <f>IFERROR(__xludf.DUMMYFUNCTION("""COMPUTED_VALUE"""),0.0)</f>
        <v>0</v>
      </c>
      <c r="D9128" s="8"/>
    </row>
    <row r="9129">
      <c r="A9129" s="9" t="str">
        <f>IFERROR(__xludf.DUMMYFUNCTION("""COMPUTED_VALUE"""),"Batch 358")</f>
        <v>Batch 358</v>
      </c>
      <c r="B9129" s="9" t="str">
        <f>IFERROR(__xludf.DUMMYFUNCTION("""COMPUTED_VALUE"""),"PalakC358")</f>
        <v>PalakC358</v>
      </c>
      <c r="C9129" s="8">
        <f>IFERROR(__xludf.DUMMYFUNCTION("""COMPUTED_VALUE"""),0.0)</f>
        <v>0</v>
      </c>
      <c r="D9129" s="8"/>
    </row>
    <row r="9130">
      <c r="A9130" s="9" t="str">
        <f>IFERROR(__xludf.DUMMYFUNCTION("""COMPUTED_VALUE"""),"Batch 358")</f>
        <v>Batch 358</v>
      </c>
      <c r="B9130" s="9" t="str">
        <f>IFERROR(__xludf.DUMMYFUNCTION("""COMPUTED_VALUE"""),"AtharvaC358")</f>
        <v>AtharvaC358</v>
      </c>
      <c r="C9130" s="8">
        <f>IFERROR(__xludf.DUMMYFUNCTION("""COMPUTED_VALUE"""),0.0)</f>
        <v>0</v>
      </c>
      <c r="D9130" s="8"/>
    </row>
    <row r="9131">
      <c r="A9131" s="9" t="str">
        <f>IFERROR(__xludf.DUMMYFUNCTION("""COMPUTED_VALUE"""),"Batch 358")</f>
        <v>Batch 358</v>
      </c>
      <c r="B9131" s="9" t="str">
        <f>IFERROR(__xludf.DUMMYFUNCTION("""COMPUTED_VALUE"""),"ShreyanshC358")</f>
        <v>ShreyanshC358</v>
      </c>
      <c r="C9131" s="8">
        <f>IFERROR(__xludf.DUMMYFUNCTION("""COMPUTED_VALUE"""),0.0)</f>
        <v>0</v>
      </c>
      <c r="D9131" s="8"/>
    </row>
    <row r="9132">
      <c r="A9132" s="9" t="str">
        <f>IFERROR(__xludf.DUMMYFUNCTION("""COMPUTED_VALUE"""),"Batch 358")</f>
        <v>Batch 358</v>
      </c>
      <c r="B9132" s="9" t="str">
        <f>IFERROR(__xludf.DUMMYFUNCTION("""COMPUTED_VALUE"""),"OmC358")</f>
        <v>OmC358</v>
      </c>
      <c r="C9132" s="8">
        <f>IFERROR(__xludf.DUMMYFUNCTION("""COMPUTED_VALUE"""),0.0)</f>
        <v>0</v>
      </c>
      <c r="D9132" s="8"/>
    </row>
    <row r="9133">
      <c r="A9133" s="9" t="str">
        <f>IFERROR(__xludf.DUMMYFUNCTION("""COMPUTED_VALUE"""),"Batch 358")</f>
        <v>Batch 358</v>
      </c>
      <c r="B9133" s="9" t="str">
        <f>IFERROR(__xludf.DUMMYFUNCTION("""COMPUTED_VALUE"""),"AmanC358")</f>
        <v>AmanC358</v>
      </c>
      <c r="C9133" s="8">
        <f>IFERROR(__xludf.DUMMYFUNCTION("""COMPUTED_VALUE"""),0.0)</f>
        <v>0</v>
      </c>
      <c r="D9133" s="8"/>
    </row>
    <row r="9134">
      <c r="A9134" s="9" t="str">
        <f>IFERROR(__xludf.DUMMYFUNCTION("""COMPUTED_VALUE"""),"Batch 358")</f>
        <v>Batch 358</v>
      </c>
      <c r="B9134" s="9" t="str">
        <f>IFERROR(__xludf.DUMMYFUNCTION("""COMPUTED_VALUE"""),"DevanshC358")</f>
        <v>DevanshC358</v>
      </c>
      <c r="C9134" s="8">
        <f>IFERROR(__xludf.DUMMYFUNCTION("""COMPUTED_VALUE"""),2.0)</f>
        <v>2</v>
      </c>
      <c r="D9134" s="8">
        <f>IFERROR(__xludf.DUMMYFUNCTION("""COMPUTED_VALUE"""),1.0)</f>
        <v>1</v>
      </c>
    </row>
    <row r="9135">
      <c r="A9135" s="9" t="str">
        <f>IFERROR(__xludf.DUMMYFUNCTION("""COMPUTED_VALUE"""),"Batch 358")</f>
        <v>Batch 358</v>
      </c>
      <c r="B9135" s="9" t="str">
        <f>IFERROR(__xludf.DUMMYFUNCTION("""COMPUTED_VALUE"""),"RajaC358")</f>
        <v>RajaC358</v>
      </c>
      <c r="C9135" s="8">
        <f>IFERROR(__xludf.DUMMYFUNCTION("""COMPUTED_VALUE"""),0.0)</f>
        <v>0</v>
      </c>
      <c r="D9135" s="8"/>
    </row>
    <row r="9136">
      <c r="A9136" s="9" t="str">
        <f>IFERROR(__xludf.DUMMYFUNCTION("""COMPUTED_VALUE"""),"Batch 358")</f>
        <v>Batch 358</v>
      </c>
      <c r="B9136" s="9" t="str">
        <f>IFERROR(__xludf.DUMMYFUNCTION("""COMPUTED_VALUE"""),"AkhilC358")</f>
        <v>AkhilC358</v>
      </c>
      <c r="C9136" s="8">
        <f>IFERROR(__xludf.DUMMYFUNCTION("""COMPUTED_VALUE"""),0.0)</f>
        <v>0</v>
      </c>
      <c r="D9136" s="8"/>
    </row>
    <row r="9137">
      <c r="A9137" s="9" t="str">
        <f>IFERROR(__xludf.DUMMYFUNCTION("""COMPUTED_VALUE"""),"Batch 358")</f>
        <v>Batch 358</v>
      </c>
      <c r="B9137" s="9" t="str">
        <f>IFERROR(__xludf.DUMMYFUNCTION("""COMPUTED_VALUE"""),"ShriyaC358")</f>
        <v>ShriyaC358</v>
      </c>
      <c r="C9137" s="8">
        <f>IFERROR(__xludf.DUMMYFUNCTION("""COMPUTED_VALUE"""),0.0)</f>
        <v>0</v>
      </c>
      <c r="D9137" s="8"/>
    </row>
    <row r="9138">
      <c r="A9138" s="9" t="str">
        <f>IFERROR(__xludf.DUMMYFUNCTION("""COMPUTED_VALUE"""),"Batch 358")</f>
        <v>Batch 358</v>
      </c>
      <c r="B9138" s="9" t="str">
        <f>IFERROR(__xludf.DUMMYFUNCTION("""COMPUTED_VALUE"""),"KoyelC358")</f>
        <v>KoyelC358</v>
      </c>
      <c r="C9138" s="8">
        <f>IFERROR(__xludf.DUMMYFUNCTION("""COMPUTED_VALUE"""),0.0)</f>
        <v>0</v>
      </c>
      <c r="D9138" s="8"/>
    </row>
    <row r="9139">
      <c r="A9139" s="9" t="str">
        <f>IFERROR(__xludf.DUMMYFUNCTION("""COMPUTED_VALUE"""),"Batch 358")</f>
        <v>Batch 358</v>
      </c>
      <c r="B9139" s="9" t="str">
        <f>IFERROR(__xludf.DUMMYFUNCTION("""COMPUTED_VALUE"""),"KhushalC358")</f>
        <v>KhushalC358</v>
      </c>
      <c r="C9139" s="8">
        <f>IFERROR(__xludf.DUMMYFUNCTION("""COMPUTED_VALUE"""),0.0)</f>
        <v>0</v>
      </c>
      <c r="D9139" s="8"/>
    </row>
    <row r="9140">
      <c r="A9140" s="9" t="str">
        <f>IFERROR(__xludf.DUMMYFUNCTION("""COMPUTED_VALUE"""),"Batch 358")</f>
        <v>Batch 358</v>
      </c>
      <c r="B9140" s="9" t="str">
        <f>IFERROR(__xludf.DUMMYFUNCTION("""COMPUTED_VALUE"""),"DevendraC358")</f>
        <v>DevendraC358</v>
      </c>
      <c r="C9140" s="8">
        <f>IFERROR(__xludf.DUMMYFUNCTION("""COMPUTED_VALUE"""),0.0)</f>
        <v>0</v>
      </c>
      <c r="D9140" s="8"/>
    </row>
    <row r="9141">
      <c r="A9141" s="9" t="str">
        <f>IFERROR(__xludf.DUMMYFUNCTION("""COMPUTED_VALUE"""),"Batch 358")</f>
        <v>Batch 358</v>
      </c>
      <c r="B9141" s="9" t="str">
        <f>IFERROR(__xludf.DUMMYFUNCTION("""COMPUTED_VALUE"""),"TusharC358")</f>
        <v>TusharC358</v>
      </c>
      <c r="C9141" s="8">
        <f>IFERROR(__xludf.DUMMYFUNCTION("""COMPUTED_VALUE"""),0.0)</f>
        <v>0</v>
      </c>
      <c r="D9141" s="8"/>
    </row>
    <row r="9142">
      <c r="A9142" s="9" t="str">
        <f>IFERROR(__xludf.DUMMYFUNCTION("""COMPUTED_VALUE"""),"Batch 358")</f>
        <v>Batch 358</v>
      </c>
      <c r="B9142" s="9" t="str">
        <f>IFERROR(__xludf.DUMMYFUNCTION("""COMPUTED_VALUE"""),"AmritanjalyC358")</f>
        <v>AmritanjalyC358</v>
      </c>
      <c r="C9142" s="8">
        <f>IFERROR(__xludf.DUMMYFUNCTION("""COMPUTED_VALUE"""),0.0)</f>
        <v>0</v>
      </c>
      <c r="D9142" s="8"/>
    </row>
    <row r="9143">
      <c r="A9143" s="9" t="str">
        <f>IFERROR(__xludf.DUMMYFUNCTION("""COMPUTED_VALUE"""),"Batch 358")</f>
        <v>Batch 358</v>
      </c>
      <c r="B9143" s="9" t="str">
        <f>IFERROR(__xludf.DUMMYFUNCTION("""COMPUTED_VALUE"""),"IshaC358")</f>
        <v>IshaC358</v>
      </c>
      <c r="C9143" s="8">
        <f>IFERROR(__xludf.DUMMYFUNCTION("""COMPUTED_VALUE"""),41.0)</f>
        <v>41</v>
      </c>
      <c r="D9143" s="8">
        <f>IFERROR(__xludf.DUMMYFUNCTION("""COMPUTED_VALUE"""),6.0)</f>
        <v>6</v>
      </c>
    </row>
    <row r="9144">
      <c r="A9144" s="9" t="str">
        <f>IFERROR(__xludf.DUMMYFUNCTION("""COMPUTED_VALUE"""),"Batch 358")</f>
        <v>Batch 358</v>
      </c>
      <c r="B9144" s="9" t="str">
        <f>IFERROR(__xludf.DUMMYFUNCTION("""COMPUTED_VALUE"""),"AryanC358")</f>
        <v>AryanC358</v>
      </c>
      <c r="C9144" s="8">
        <f>IFERROR(__xludf.DUMMYFUNCTION("""COMPUTED_VALUE"""),0.0)</f>
        <v>0</v>
      </c>
      <c r="D9144" s="8"/>
    </row>
    <row r="9145">
      <c r="A9145" s="9" t="str">
        <f>IFERROR(__xludf.DUMMYFUNCTION("""COMPUTED_VALUE"""),"Batch 358")</f>
        <v>Batch 358</v>
      </c>
      <c r="B9145" s="9" t="str">
        <f>IFERROR(__xludf.DUMMYFUNCTION("""COMPUTED_VALUE"""),"PrayagC358")</f>
        <v>PrayagC358</v>
      </c>
      <c r="C9145" s="8">
        <f>IFERROR(__xludf.DUMMYFUNCTION("""COMPUTED_VALUE"""),4.0)</f>
        <v>4</v>
      </c>
      <c r="D9145" s="8"/>
    </row>
    <row r="9146">
      <c r="A9146" s="9" t="str">
        <f>IFERROR(__xludf.DUMMYFUNCTION("""COMPUTED_VALUE"""),"Batch 358")</f>
        <v>Batch 358</v>
      </c>
      <c r="B9146" s="9" t="str">
        <f>IFERROR(__xludf.DUMMYFUNCTION("""COMPUTED_VALUE"""),"SupriyaC358")</f>
        <v>SupriyaC358</v>
      </c>
      <c r="C9146" s="8">
        <f>IFERROR(__xludf.DUMMYFUNCTION("""COMPUTED_VALUE"""),0.0)</f>
        <v>0</v>
      </c>
      <c r="D9146" s="8"/>
    </row>
    <row r="9147">
      <c r="A9147" s="9" t="str">
        <f>IFERROR(__xludf.DUMMYFUNCTION("""COMPUTED_VALUE"""),"Batch 358")</f>
        <v>Batch 358</v>
      </c>
      <c r="B9147" s="9" t="str">
        <f>IFERROR(__xludf.DUMMYFUNCTION("""COMPUTED_VALUE"""),"DebashmitaC358")</f>
        <v>DebashmitaC358</v>
      </c>
      <c r="C9147" s="8">
        <f>IFERROR(__xludf.DUMMYFUNCTION("""COMPUTED_VALUE"""),0.0)</f>
        <v>0</v>
      </c>
      <c r="D9147" s="8"/>
    </row>
    <row r="9148">
      <c r="A9148" s="9" t="str">
        <f>IFERROR(__xludf.DUMMYFUNCTION("""COMPUTED_VALUE"""),"Batch 358")</f>
        <v>Batch 358</v>
      </c>
      <c r="B9148" s="9" t="str">
        <f>IFERROR(__xludf.DUMMYFUNCTION("""COMPUTED_VALUE"""),"RonitC358")</f>
        <v>RonitC358</v>
      </c>
      <c r="C9148" s="8">
        <f>IFERROR(__xludf.DUMMYFUNCTION("""COMPUTED_VALUE"""),0.0)</f>
        <v>0</v>
      </c>
      <c r="D9148" s="8"/>
    </row>
    <row r="9149">
      <c r="A9149" s="9" t="str">
        <f>IFERROR(__xludf.DUMMYFUNCTION("""COMPUTED_VALUE"""),"Batch 358")</f>
        <v>Batch 358</v>
      </c>
      <c r="B9149" s="9" t="str">
        <f>IFERROR(__xludf.DUMMYFUNCTION("""COMPUTED_VALUE"""),"SakshiC358")</f>
        <v>SakshiC358</v>
      </c>
      <c r="C9149" s="8">
        <f>IFERROR(__xludf.DUMMYFUNCTION("""COMPUTED_VALUE"""),0.0)</f>
        <v>0</v>
      </c>
      <c r="D9149" s="8"/>
    </row>
    <row r="9150">
      <c r="A9150" s="9" t="str">
        <f>IFERROR(__xludf.DUMMYFUNCTION("""COMPUTED_VALUE"""),"Batch 358")</f>
        <v>Batch 358</v>
      </c>
      <c r="B9150" s="9" t="str">
        <f>IFERROR(__xludf.DUMMYFUNCTION("""COMPUTED_VALUE"""),"ShouvikC358")</f>
        <v>ShouvikC358</v>
      </c>
      <c r="C9150" s="8">
        <f>IFERROR(__xludf.DUMMYFUNCTION("""COMPUTED_VALUE"""),6.0)</f>
        <v>6</v>
      </c>
      <c r="D9150" s="8">
        <f>IFERROR(__xludf.DUMMYFUNCTION("""COMPUTED_VALUE"""),3.0)</f>
        <v>3</v>
      </c>
    </row>
    <row r="9151">
      <c r="A9151" s="9" t="str">
        <f>IFERROR(__xludf.DUMMYFUNCTION("""COMPUTED_VALUE"""),"Batch 358")</f>
        <v>Batch 358</v>
      </c>
      <c r="B9151" s="9" t="str">
        <f>IFERROR(__xludf.DUMMYFUNCTION("""COMPUTED_VALUE"""),"PraneetC358")</f>
        <v>PraneetC358</v>
      </c>
      <c r="C9151" s="8">
        <f>IFERROR(__xludf.DUMMYFUNCTION("""COMPUTED_VALUE"""),1.0)</f>
        <v>1</v>
      </c>
      <c r="D9151" s="8"/>
    </row>
    <row r="9152">
      <c r="A9152" s="9" t="str">
        <f>IFERROR(__xludf.DUMMYFUNCTION("""COMPUTED_VALUE"""),"Batch 358")</f>
        <v>Batch 358</v>
      </c>
      <c r="B9152" s="9" t="str">
        <f>IFERROR(__xludf.DUMMYFUNCTION("""COMPUTED_VALUE"""),"SrishtyC358")</f>
        <v>SrishtyC358</v>
      </c>
      <c r="C9152" s="8">
        <f>IFERROR(__xludf.DUMMYFUNCTION("""COMPUTED_VALUE"""),5.0)</f>
        <v>5</v>
      </c>
      <c r="D9152" s="8"/>
    </row>
    <row r="9153">
      <c r="A9153" s="9" t="str">
        <f>IFERROR(__xludf.DUMMYFUNCTION("""COMPUTED_VALUE"""),"Batch 358")</f>
        <v>Batch 358</v>
      </c>
      <c r="B9153" s="9" t="str">
        <f>IFERROR(__xludf.DUMMYFUNCTION("""COMPUTED_VALUE"""),"KoppisettiC358")</f>
        <v>KoppisettiC358</v>
      </c>
      <c r="C9153" s="8">
        <f>IFERROR(__xludf.DUMMYFUNCTION("""COMPUTED_VALUE"""),2.0)</f>
        <v>2</v>
      </c>
      <c r="D9153" s="8">
        <f>IFERROR(__xludf.DUMMYFUNCTION("""COMPUTED_VALUE"""),3.0)</f>
        <v>3</v>
      </c>
    </row>
    <row r="9154">
      <c r="A9154" s="9" t="str">
        <f>IFERROR(__xludf.DUMMYFUNCTION("""COMPUTED_VALUE"""),"Batch 358")</f>
        <v>Batch 358</v>
      </c>
      <c r="B9154" s="9" t="str">
        <f>IFERROR(__xludf.DUMMYFUNCTION("""COMPUTED_VALUE"""),"MayankC358")</f>
        <v>MayankC358</v>
      </c>
      <c r="C9154" s="8">
        <f>IFERROR(__xludf.DUMMYFUNCTION("""COMPUTED_VALUE"""),0.0)</f>
        <v>0</v>
      </c>
      <c r="D9154" s="8"/>
    </row>
    <row r="9155">
      <c r="A9155" s="9" t="str">
        <f>IFERROR(__xludf.DUMMYFUNCTION("""COMPUTED_VALUE"""),"Batch 358")</f>
        <v>Batch 358</v>
      </c>
      <c r="B9155" s="9" t="str">
        <f>IFERROR(__xludf.DUMMYFUNCTION("""COMPUTED_VALUE"""),"sakshiC358")</f>
        <v>sakshiC358</v>
      </c>
      <c r="C9155" s="8">
        <f>IFERROR(__xludf.DUMMYFUNCTION("""COMPUTED_VALUE"""),0.0)</f>
        <v>0</v>
      </c>
      <c r="D9155" s="8"/>
    </row>
    <row r="9156">
      <c r="A9156" s="9" t="str">
        <f>IFERROR(__xludf.DUMMYFUNCTION("""COMPUTED_VALUE"""),"Batch 358")</f>
        <v>Batch 358</v>
      </c>
      <c r="B9156" s="9" t="str">
        <f>IFERROR(__xludf.DUMMYFUNCTION("""COMPUTED_VALUE"""),"GauravC358")</f>
        <v>GauravC358</v>
      </c>
      <c r="C9156" s="8">
        <f>IFERROR(__xludf.DUMMYFUNCTION("""COMPUTED_VALUE"""),0.0)</f>
        <v>0</v>
      </c>
      <c r="D9156" s="8"/>
    </row>
    <row r="9157">
      <c r="A9157" s="9" t="str">
        <f>IFERROR(__xludf.DUMMYFUNCTION("""COMPUTED_VALUE"""),"Batch 358")</f>
        <v>Batch 358</v>
      </c>
      <c r="B9157" s="9" t="str">
        <f>IFERROR(__xludf.DUMMYFUNCTION("""COMPUTED_VALUE"""),"PrakritiC358")</f>
        <v>PrakritiC358</v>
      </c>
      <c r="C9157" s="8">
        <f>IFERROR(__xludf.DUMMYFUNCTION("""COMPUTED_VALUE"""),0.0)</f>
        <v>0</v>
      </c>
      <c r="D9157" s="8"/>
    </row>
    <row r="9158">
      <c r="A9158" s="9" t="str">
        <f>IFERROR(__xludf.DUMMYFUNCTION("""COMPUTED_VALUE"""),"Batch 358")</f>
        <v>Batch 358</v>
      </c>
      <c r="B9158" s="9" t="str">
        <f>IFERROR(__xludf.DUMMYFUNCTION("""COMPUTED_VALUE"""),"TwinkleC358")</f>
        <v>TwinkleC358</v>
      </c>
      <c r="C9158" s="8">
        <f>IFERROR(__xludf.DUMMYFUNCTION("""COMPUTED_VALUE"""),0.0)</f>
        <v>0</v>
      </c>
      <c r="D9158" s="8"/>
    </row>
    <row r="9159">
      <c r="A9159" s="9" t="str">
        <f>IFERROR(__xludf.DUMMYFUNCTION("""COMPUTED_VALUE"""),"Batch 358")</f>
        <v>Batch 358</v>
      </c>
      <c r="B9159" s="9" t="str">
        <f>IFERROR(__xludf.DUMMYFUNCTION("""COMPUTED_VALUE"""),"SUTARIYAC358")</f>
        <v>SUTARIYAC358</v>
      </c>
      <c r="C9159" s="8">
        <f>IFERROR(__xludf.DUMMYFUNCTION("""COMPUTED_VALUE"""),0.0)</f>
        <v>0</v>
      </c>
      <c r="D9159" s="8"/>
    </row>
    <row r="9160">
      <c r="A9160" s="9" t="str">
        <f>IFERROR(__xludf.DUMMYFUNCTION("""COMPUTED_VALUE"""),"Batch 358")</f>
        <v>Batch 358</v>
      </c>
      <c r="B9160" s="9" t="str">
        <f>IFERROR(__xludf.DUMMYFUNCTION("""COMPUTED_VALUE"""),"HarnadarC358")</f>
        <v>HarnadarC358</v>
      </c>
      <c r="C9160" s="8">
        <f>IFERROR(__xludf.DUMMYFUNCTION("""COMPUTED_VALUE"""),0.0)</f>
        <v>0</v>
      </c>
      <c r="D9160" s="8"/>
    </row>
    <row r="9161">
      <c r="A9161" s="9" t="str">
        <f>IFERROR(__xludf.DUMMYFUNCTION("""COMPUTED_VALUE"""),"Batch 358")</f>
        <v>Batch 358</v>
      </c>
      <c r="B9161" s="9" t="str">
        <f>IFERROR(__xludf.DUMMYFUNCTION("""COMPUTED_VALUE"""),"RahulC358")</f>
        <v>RahulC358</v>
      </c>
      <c r="C9161" s="8">
        <f>IFERROR(__xludf.DUMMYFUNCTION("""COMPUTED_VALUE"""),0.0)</f>
        <v>0</v>
      </c>
      <c r="D9161" s="8"/>
    </row>
    <row r="9162">
      <c r="A9162" s="9" t="str">
        <f>IFERROR(__xludf.DUMMYFUNCTION("""COMPUTED_VALUE"""),"Batch 358")</f>
        <v>Batch 358</v>
      </c>
      <c r="B9162" s="9" t="str">
        <f>IFERROR(__xludf.DUMMYFUNCTION("""COMPUTED_VALUE"""),"SyedC358")</f>
        <v>SyedC358</v>
      </c>
      <c r="C9162" s="8">
        <f>IFERROR(__xludf.DUMMYFUNCTION("""COMPUTED_VALUE"""),0.0)</f>
        <v>0</v>
      </c>
      <c r="D9162" s="8"/>
    </row>
    <row r="9163">
      <c r="A9163" s="9"/>
      <c r="B9163" s="9"/>
      <c r="C9163" s="8">
        <f>IFERROR(__xludf.DUMMYFUNCTION("""COMPUTED_VALUE"""),0.0)</f>
        <v>0</v>
      </c>
      <c r="D9163" s="8"/>
    </row>
    <row r="9164">
      <c r="A9164" s="9" t="str">
        <f>IFERROR(__xludf.DUMMYFUNCTION("""COMPUTED_VALUE"""),"Batch 359")</f>
        <v>Batch 359</v>
      </c>
      <c r="B9164" s="9" t="str">
        <f>IFERROR(__xludf.DUMMYFUNCTION("""COMPUTED_VALUE"""),"PrachiC359")</f>
        <v>PrachiC359</v>
      </c>
      <c r="C9164" s="8">
        <f>IFERROR(__xludf.DUMMYFUNCTION("""COMPUTED_VALUE"""),0.0)</f>
        <v>0</v>
      </c>
      <c r="D9164" s="8"/>
    </row>
    <row r="9165">
      <c r="A9165" s="9" t="str">
        <f>IFERROR(__xludf.DUMMYFUNCTION("""COMPUTED_VALUE"""),"Batch 359")</f>
        <v>Batch 359</v>
      </c>
      <c r="B9165" s="9" t="str">
        <f>IFERROR(__xludf.DUMMYFUNCTION("""COMPUTED_VALUE"""),"AnnaramC359")</f>
        <v>AnnaramC359</v>
      </c>
      <c r="C9165" s="8">
        <f>IFERROR(__xludf.DUMMYFUNCTION("""COMPUTED_VALUE"""),0.0)</f>
        <v>0</v>
      </c>
      <c r="D9165" s="8"/>
    </row>
    <row r="9166">
      <c r="A9166" s="9" t="str">
        <f>IFERROR(__xludf.DUMMYFUNCTION("""COMPUTED_VALUE"""),"Batch 359")</f>
        <v>Batch 359</v>
      </c>
      <c r="B9166" s="9" t="str">
        <f>IFERROR(__xludf.DUMMYFUNCTION("""COMPUTED_VALUE"""),"LakshitC359")</f>
        <v>LakshitC359</v>
      </c>
      <c r="C9166" s="8">
        <f>IFERROR(__xludf.DUMMYFUNCTION("""COMPUTED_VALUE"""),0.0)</f>
        <v>0</v>
      </c>
      <c r="D9166" s="8"/>
    </row>
    <row r="9167">
      <c r="A9167" s="9" t="str">
        <f>IFERROR(__xludf.DUMMYFUNCTION("""COMPUTED_VALUE"""),"Batch 359")</f>
        <v>Batch 359</v>
      </c>
      <c r="B9167" s="9" t="str">
        <f>IFERROR(__xludf.DUMMYFUNCTION("""COMPUTED_VALUE"""),"DuaC359")</f>
        <v>DuaC359</v>
      </c>
      <c r="C9167" s="8">
        <f>IFERROR(__xludf.DUMMYFUNCTION("""COMPUTED_VALUE"""),0.0)</f>
        <v>0</v>
      </c>
      <c r="D9167" s="8"/>
    </row>
    <row r="9168">
      <c r="A9168" s="9" t="str">
        <f>IFERROR(__xludf.DUMMYFUNCTION("""COMPUTED_VALUE"""),"Batch 359")</f>
        <v>Batch 359</v>
      </c>
      <c r="B9168" s="9" t="str">
        <f>IFERROR(__xludf.DUMMYFUNCTION("""COMPUTED_VALUE"""),"NiveditaC359")</f>
        <v>NiveditaC359</v>
      </c>
      <c r="C9168" s="8">
        <f>IFERROR(__xludf.DUMMYFUNCTION("""COMPUTED_VALUE"""),0.0)</f>
        <v>0</v>
      </c>
      <c r="D9168" s="8"/>
    </row>
    <row r="9169">
      <c r="A9169" s="9" t="str">
        <f>IFERROR(__xludf.DUMMYFUNCTION("""COMPUTED_VALUE"""),"Batch 359")</f>
        <v>Batch 359</v>
      </c>
      <c r="B9169" s="9" t="str">
        <f>IFERROR(__xludf.DUMMYFUNCTION("""COMPUTED_VALUE"""),"DeepikaC359")</f>
        <v>DeepikaC359</v>
      </c>
      <c r="C9169" s="8">
        <f>IFERROR(__xludf.DUMMYFUNCTION("""COMPUTED_VALUE"""),0.0)</f>
        <v>0</v>
      </c>
      <c r="D9169" s="8"/>
    </row>
    <row r="9170">
      <c r="A9170" s="9" t="str">
        <f>IFERROR(__xludf.DUMMYFUNCTION("""COMPUTED_VALUE"""),"Batch 359")</f>
        <v>Batch 359</v>
      </c>
      <c r="B9170" s="9" t="str">
        <f>IFERROR(__xludf.DUMMYFUNCTION("""COMPUTED_VALUE"""),"AdityaC359")</f>
        <v>AdityaC359</v>
      </c>
      <c r="C9170" s="8">
        <f>IFERROR(__xludf.DUMMYFUNCTION("""COMPUTED_VALUE"""),0.0)</f>
        <v>0</v>
      </c>
      <c r="D9170" s="8"/>
    </row>
    <row r="9171">
      <c r="A9171" s="9" t="str">
        <f>IFERROR(__xludf.DUMMYFUNCTION("""COMPUTED_VALUE"""),"Batch 359")</f>
        <v>Batch 359</v>
      </c>
      <c r="B9171" s="9" t="str">
        <f>IFERROR(__xludf.DUMMYFUNCTION("""COMPUTED_VALUE"""),"sanchitaC359")</f>
        <v>sanchitaC359</v>
      </c>
      <c r="C9171" s="8">
        <f>IFERROR(__xludf.DUMMYFUNCTION("""COMPUTED_VALUE"""),0.0)</f>
        <v>0</v>
      </c>
      <c r="D9171" s="8"/>
    </row>
    <row r="9172">
      <c r="A9172" s="9" t="str">
        <f>IFERROR(__xludf.DUMMYFUNCTION("""COMPUTED_VALUE"""),"Batch 359")</f>
        <v>Batch 359</v>
      </c>
      <c r="B9172" s="9" t="str">
        <f>IFERROR(__xludf.DUMMYFUNCTION("""COMPUTED_VALUE"""),"SANDESHC359")</f>
        <v>SANDESHC359</v>
      </c>
      <c r="C9172" s="8">
        <f>IFERROR(__xludf.DUMMYFUNCTION("""COMPUTED_VALUE"""),0.0)</f>
        <v>0</v>
      </c>
      <c r="D9172" s="8"/>
    </row>
    <row r="9173">
      <c r="A9173" s="9" t="str">
        <f>IFERROR(__xludf.DUMMYFUNCTION("""COMPUTED_VALUE"""),"Batch 359")</f>
        <v>Batch 359</v>
      </c>
      <c r="B9173" s="9" t="str">
        <f>IFERROR(__xludf.DUMMYFUNCTION("""COMPUTED_VALUE"""),"KarnicaC359")</f>
        <v>KarnicaC359</v>
      </c>
      <c r="C9173" s="8">
        <f>IFERROR(__xludf.DUMMYFUNCTION("""COMPUTED_VALUE"""),0.0)</f>
        <v>0</v>
      </c>
      <c r="D9173" s="8"/>
    </row>
    <row r="9174">
      <c r="A9174" s="9" t="str">
        <f>IFERROR(__xludf.DUMMYFUNCTION("""COMPUTED_VALUE"""),"Batch 359")</f>
        <v>Batch 359</v>
      </c>
      <c r="B9174" s="9" t="str">
        <f>IFERROR(__xludf.DUMMYFUNCTION("""COMPUTED_VALUE"""),"SanchayC359")</f>
        <v>SanchayC359</v>
      </c>
      <c r="C9174" s="8">
        <f>IFERROR(__xludf.DUMMYFUNCTION("""COMPUTED_VALUE"""),0.0)</f>
        <v>0</v>
      </c>
      <c r="D9174" s="8"/>
    </row>
    <row r="9175">
      <c r="A9175" s="9" t="str">
        <f>IFERROR(__xludf.DUMMYFUNCTION("""COMPUTED_VALUE"""),"Batch 359")</f>
        <v>Batch 359</v>
      </c>
      <c r="B9175" s="9" t="str">
        <f>IFERROR(__xludf.DUMMYFUNCTION("""COMPUTED_VALUE"""),"MohammadC359")</f>
        <v>MohammadC359</v>
      </c>
      <c r="C9175" s="8">
        <f>IFERROR(__xludf.DUMMYFUNCTION("""COMPUTED_VALUE"""),1.0)</f>
        <v>1</v>
      </c>
      <c r="D9175" s="8"/>
    </row>
    <row r="9176">
      <c r="A9176" s="9" t="str">
        <f>IFERROR(__xludf.DUMMYFUNCTION("""COMPUTED_VALUE"""),"Batch 359")</f>
        <v>Batch 359</v>
      </c>
      <c r="B9176" s="9" t="str">
        <f>IFERROR(__xludf.DUMMYFUNCTION("""COMPUTED_VALUE"""),"RohnitC359")</f>
        <v>RohnitC359</v>
      </c>
      <c r="C9176" s="8">
        <f>IFERROR(__xludf.DUMMYFUNCTION("""COMPUTED_VALUE"""),0.0)</f>
        <v>0</v>
      </c>
      <c r="D9176" s="8"/>
    </row>
    <row r="9177">
      <c r="A9177" s="9" t="str">
        <f>IFERROR(__xludf.DUMMYFUNCTION("""COMPUTED_VALUE"""),"Batch 359")</f>
        <v>Batch 359</v>
      </c>
      <c r="B9177" s="9" t="str">
        <f>IFERROR(__xludf.DUMMYFUNCTION("""COMPUTED_VALUE"""),"SnehaC359")</f>
        <v>SnehaC359</v>
      </c>
      <c r="C9177" s="8">
        <f>IFERROR(__xludf.DUMMYFUNCTION("""COMPUTED_VALUE"""),0.0)</f>
        <v>0</v>
      </c>
      <c r="D9177" s="8"/>
    </row>
    <row r="9178">
      <c r="A9178" s="9" t="str">
        <f>IFERROR(__xludf.DUMMYFUNCTION("""COMPUTED_VALUE"""),"Batch 359")</f>
        <v>Batch 359</v>
      </c>
      <c r="B9178" s="9" t="str">
        <f>IFERROR(__xludf.DUMMYFUNCTION("""COMPUTED_VALUE"""),"KISHANC359")</f>
        <v>KISHANC359</v>
      </c>
      <c r="C9178" s="8">
        <f>IFERROR(__xludf.DUMMYFUNCTION("""COMPUTED_VALUE"""),0.0)</f>
        <v>0</v>
      </c>
      <c r="D9178" s="8"/>
    </row>
    <row r="9179">
      <c r="A9179" s="9" t="str">
        <f>IFERROR(__xludf.DUMMYFUNCTION("""COMPUTED_VALUE"""),"Batch 359")</f>
        <v>Batch 359</v>
      </c>
      <c r="B9179" s="9" t="str">
        <f>IFERROR(__xludf.DUMMYFUNCTION("""COMPUTED_VALUE"""),"JeetC359")</f>
        <v>JeetC359</v>
      </c>
      <c r="C9179" s="8">
        <f>IFERROR(__xludf.DUMMYFUNCTION("""COMPUTED_VALUE"""),0.0)</f>
        <v>0</v>
      </c>
      <c r="D9179" s="8"/>
    </row>
    <row r="9180">
      <c r="A9180" s="9" t="str">
        <f>IFERROR(__xludf.DUMMYFUNCTION("""COMPUTED_VALUE"""),"Batch 359")</f>
        <v>Batch 359</v>
      </c>
      <c r="B9180" s="9" t="str">
        <f>IFERROR(__xludf.DUMMYFUNCTION("""COMPUTED_VALUE"""),"SOMPALLIC359")</f>
        <v>SOMPALLIC359</v>
      </c>
      <c r="C9180" s="8">
        <f>IFERROR(__xludf.DUMMYFUNCTION("""COMPUTED_VALUE"""),0.0)</f>
        <v>0</v>
      </c>
      <c r="D9180" s="8"/>
    </row>
    <row r="9181">
      <c r="A9181" s="9" t="str">
        <f>IFERROR(__xludf.DUMMYFUNCTION("""COMPUTED_VALUE"""),"Batch 359")</f>
        <v>Batch 359</v>
      </c>
      <c r="B9181" s="9" t="str">
        <f>IFERROR(__xludf.DUMMYFUNCTION("""COMPUTED_VALUE"""),"PritiC359")</f>
        <v>PritiC359</v>
      </c>
      <c r="C9181" s="8">
        <f>IFERROR(__xludf.DUMMYFUNCTION("""COMPUTED_VALUE"""),0.0)</f>
        <v>0</v>
      </c>
      <c r="D9181" s="8"/>
    </row>
    <row r="9182">
      <c r="A9182" s="9" t="str">
        <f>IFERROR(__xludf.DUMMYFUNCTION("""COMPUTED_VALUE"""),"Batch 359")</f>
        <v>Batch 359</v>
      </c>
      <c r="B9182" s="9" t="str">
        <f>IFERROR(__xludf.DUMMYFUNCTION("""COMPUTED_VALUE"""),"VadlamudiC359")</f>
        <v>VadlamudiC359</v>
      </c>
      <c r="C9182" s="8">
        <f>IFERROR(__xludf.DUMMYFUNCTION("""COMPUTED_VALUE"""),0.0)</f>
        <v>0</v>
      </c>
      <c r="D9182" s="8"/>
    </row>
    <row r="9183">
      <c r="A9183" s="9" t="str">
        <f>IFERROR(__xludf.DUMMYFUNCTION("""COMPUTED_VALUE"""),"Batch 359")</f>
        <v>Batch 359</v>
      </c>
      <c r="B9183" s="9" t="str">
        <f>IFERROR(__xludf.DUMMYFUNCTION("""COMPUTED_VALUE"""),"YogeshC359")</f>
        <v>YogeshC359</v>
      </c>
      <c r="C9183" s="8">
        <f>IFERROR(__xludf.DUMMYFUNCTION("""COMPUTED_VALUE"""),0.0)</f>
        <v>0</v>
      </c>
      <c r="D9183" s="8"/>
    </row>
    <row r="9184">
      <c r="A9184" s="9" t="str">
        <f>IFERROR(__xludf.DUMMYFUNCTION("""COMPUTED_VALUE"""),"Batch 359")</f>
        <v>Batch 359</v>
      </c>
      <c r="B9184" s="9" t="str">
        <f>IFERROR(__xludf.DUMMYFUNCTION("""COMPUTED_VALUE"""),"NitishC359")</f>
        <v>NitishC359</v>
      </c>
      <c r="C9184" s="8">
        <f>IFERROR(__xludf.DUMMYFUNCTION("""COMPUTED_VALUE"""),1.0)</f>
        <v>1</v>
      </c>
      <c r="D9184" s="8"/>
    </row>
    <row r="9185">
      <c r="A9185" s="9" t="str">
        <f>IFERROR(__xludf.DUMMYFUNCTION("""COMPUTED_VALUE"""),"Batch 359")</f>
        <v>Batch 359</v>
      </c>
      <c r="B9185" s="9" t="str">
        <f>IFERROR(__xludf.DUMMYFUNCTION("""COMPUTED_VALUE"""),"KrishnaC359")</f>
        <v>KrishnaC359</v>
      </c>
      <c r="C9185" s="8">
        <f>IFERROR(__xludf.DUMMYFUNCTION("""COMPUTED_VALUE"""),7.0)</f>
        <v>7</v>
      </c>
      <c r="D9185" s="8">
        <f>IFERROR(__xludf.DUMMYFUNCTION("""COMPUTED_VALUE"""),1.0)</f>
        <v>1</v>
      </c>
    </row>
    <row r="9186">
      <c r="A9186" s="9" t="str">
        <f>IFERROR(__xludf.DUMMYFUNCTION("""COMPUTED_VALUE"""),"Batch 359")</f>
        <v>Batch 359</v>
      </c>
      <c r="B9186" s="9" t="str">
        <f>IFERROR(__xludf.DUMMYFUNCTION("""COMPUTED_VALUE"""),"JapleenC359")</f>
        <v>JapleenC359</v>
      </c>
      <c r="C9186" s="8">
        <f>IFERROR(__xludf.DUMMYFUNCTION("""COMPUTED_VALUE"""),0.0)</f>
        <v>0</v>
      </c>
      <c r="D9186" s="8"/>
    </row>
    <row r="9187">
      <c r="A9187" s="9" t="str">
        <f>IFERROR(__xludf.DUMMYFUNCTION("""COMPUTED_VALUE"""),"Batch 359")</f>
        <v>Batch 359</v>
      </c>
      <c r="B9187" s="9" t="str">
        <f>IFERROR(__xludf.DUMMYFUNCTION("""COMPUTED_VALUE"""),"SuvamC359")</f>
        <v>SuvamC359</v>
      </c>
      <c r="C9187" s="8">
        <f>IFERROR(__xludf.DUMMYFUNCTION("""COMPUTED_VALUE"""),0.0)</f>
        <v>0</v>
      </c>
      <c r="D9187" s="8"/>
    </row>
    <row r="9188">
      <c r="A9188" s="9" t="str">
        <f>IFERROR(__xludf.DUMMYFUNCTION("""COMPUTED_VALUE"""),"Batch 359")</f>
        <v>Batch 359</v>
      </c>
      <c r="B9188" s="9" t="str">
        <f>IFERROR(__xludf.DUMMYFUNCTION("""COMPUTED_VALUE"""),"YashC359")</f>
        <v>YashC359</v>
      </c>
      <c r="C9188" s="8">
        <f>IFERROR(__xludf.DUMMYFUNCTION("""COMPUTED_VALUE"""),0.0)</f>
        <v>0</v>
      </c>
      <c r="D9188" s="8"/>
    </row>
    <row r="9189">
      <c r="A9189" s="9" t="str">
        <f>IFERROR(__xludf.DUMMYFUNCTION("""COMPUTED_VALUE"""),"Batch 359")</f>
        <v>Batch 359</v>
      </c>
      <c r="B9189" s="9" t="str">
        <f>IFERROR(__xludf.DUMMYFUNCTION("""COMPUTED_VALUE"""),"PreetiC359")</f>
        <v>PreetiC359</v>
      </c>
      <c r="C9189" s="8">
        <f>IFERROR(__xludf.DUMMYFUNCTION("""COMPUTED_VALUE"""),0.0)</f>
        <v>0</v>
      </c>
      <c r="D9189" s="8"/>
    </row>
    <row r="9190">
      <c r="A9190" s="9" t="str">
        <f>IFERROR(__xludf.DUMMYFUNCTION("""COMPUTED_VALUE"""),"Batch 359")</f>
        <v>Batch 359</v>
      </c>
      <c r="B9190" s="9" t="str">
        <f>IFERROR(__xludf.DUMMYFUNCTION("""COMPUTED_VALUE"""),"ShrashtiC359")</f>
        <v>ShrashtiC359</v>
      </c>
      <c r="C9190" s="8">
        <f>IFERROR(__xludf.DUMMYFUNCTION("""COMPUTED_VALUE"""),0.0)</f>
        <v>0</v>
      </c>
      <c r="D9190" s="8"/>
    </row>
    <row r="9191">
      <c r="A9191" s="9" t="str">
        <f>IFERROR(__xludf.DUMMYFUNCTION("""COMPUTED_VALUE"""),"Batch 359")</f>
        <v>Batch 359</v>
      </c>
      <c r="B9191" s="9" t="str">
        <f>IFERROR(__xludf.DUMMYFUNCTION("""COMPUTED_VALUE"""),"ShubhiC359")</f>
        <v>ShubhiC359</v>
      </c>
      <c r="C9191" s="8">
        <f>IFERROR(__xludf.DUMMYFUNCTION("""COMPUTED_VALUE"""),0.0)</f>
        <v>0</v>
      </c>
      <c r="D9191" s="8"/>
    </row>
    <row r="9192">
      <c r="A9192" s="9" t="str">
        <f>IFERROR(__xludf.DUMMYFUNCTION("""COMPUTED_VALUE"""),"Batch 359")</f>
        <v>Batch 359</v>
      </c>
      <c r="B9192" s="9" t="str">
        <f>IFERROR(__xludf.DUMMYFUNCTION("""COMPUTED_VALUE"""),"FayrouzC359")</f>
        <v>FayrouzC359</v>
      </c>
      <c r="C9192" s="8">
        <f>IFERROR(__xludf.DUMMYFUNCTION("""COMPUTED_VALUE"""),0.0)</f>
        <v>0</v>
      </c>
      <c r="D9192" s="8"/>
    </row>
    <row r="9193">
      <c r="A9193" s="9" t="str">
        <f>IFERROR(__xludf.DUMMYFUNCTION("""COMPUTED_VALUE"""),"Batch 359")</f>
        <v>Batch 359</v>
      </c>
      <c r="B9193" s="9" t="str">
        <f>IFERROR(__xludf.DUMMYFUNCTION("""COMPUTED_VALUE"""),"GauriC359")</f>
        <v>GauriC359</v>
      </c>
      <c r="C9193" s="8">
        <f>IFERROR(__xludf.DUMMYFUNCTION("""COMPUTED_VALUE"""),0.0)</f>
        <v>0</v>
      </c>
      <c r="D9193" s="8"/>
    </row>
    <row r="9194">
      <c r="A9194" s="9" t="str">
        <f>IFERROR(__xludf.DUMMYFUNCTION("""COMPUTED_VALUE"""),"Batch 359")</f>
        <v>Batch 359</v>
      </c>
      <c r="B9194" s="9" t="str">
        <f>IFERROR(__xludf.DUMMYFUNCTION("""COMPUTED_VALUE"""),"AmitC359")</f>
        <v>AmitC359</v>
      </c>
      <c r="C9194" s="8">
        <f>IFERROR(__xludf.DUMMYFUNCTION("""COMPUTED_VALUE"""),0.0)</f>
        <v>0</v>
      </c>
      <c r="D9194" s="8"/>
    </row>
    <row r="9195">
      <c r="A9195" s="9" t="str">
        <f>IFERROR(__xludf.DUMMYFUNCTION("""COMPUTED_VALUE"""),"Batch 359")</f>
        <v>Batch 359</v>
      </c>
      <c r="B9195" s="9" t="str">
        <f>IFERROR(__xludf.DUMMYFUNCTION("""COMPUTED_VALUE"""),"DevC359")</f>
        <v>DevC359</v>
      </c>
      <c r="C9195" s="8">
        <f>IFERROR(__xludf.DUMMYFUNCTION("""COMPUTED_VALUE"""),0.0)</f>
        <v>0</v>
      </c>
      <c r="D9195" s="8"/>
    </row>
    <row r="9196">
      <c r="A9196" s="9" t="str">
        <f>IFERROR(__xludf.DUMMYFUNCTION("""COMPUTED_VALUE"""),"Batch 359")</f>
        <v>Batch 359</v>
      </c>
      <c r="B9196" s="9" t="str">
        <f>IFERROR(__xludf.DUMMYFUNCTION("""COMPUTED_VALUE"""),"YeswanthC359")</f>
        <v>YeswanthC359</v>
      </c>
      <c r="C9196" s="8">
        <f>IFERROR(__xludf.DUMMYFUNCTION("""COMPUTED_VALUE"""),3.0)</f>
        <v>3</v>
      </c>
      <c r="D9196" s="8"/>
    </row>
    <row r="9197">
      <c r="A9197" s="9" t="str">
        <f>IFERROR(__xludf.DUMMYFUNCTION("""COMPUTED_VALUE"""),"Batch 359")</f>
        <v>Batch 359</v>
      </c>
      <c r="B9197" s="9" t="str">
        <f>IFERROR(__xludf.DUMMYFUNCTION("""COMPUTED_VALUE"""),"HARSIMRANC359")</f>
        <v>HARSIMRANC359</v>
      </c>
      <c r="C9197" s="8">
        <f>IFERROR(__xludf.DUMMYFUNCTION("""COMPUTED_VALUE"""),0.0)</f>
        <v>0</v>
      </c>
      <c r="D9197" s="8"/>
    </row>
    <row r="9198">
      <c r="A9198" s="9" t="str">
        <f>IFERROR(__xludf.DUMMYFUNCTION("""COMPUTED_VALUE"""),"Batch 359")</f>
        <v>Batch 359</v>
      </c>
      <c r="B9198" s="9" t="str">
        <f>IFERROR(__xludf.DUMMYFUNCTION("""COMPUTED_VALUE"""),"RishibhaC359")</f>
        <v>RishibhaC359</v>
      </c>
      <c r="C9198" s="8">
        <f>IFERROR(__xludf.DUMMYFUNCTION("""COMPUTED_VALUE"""),0.0)</f>
        <v>0</v>
      </c>
      <c r="D9198" s="8"/>
    </row>
    <row r="9199">
      <c r="A9199" s="9" t="str">
        <f>IFERROR(__xludf.DUMMYFUNCTION("""COMPUTED_VALUE"""),"Batch 359")</f>
        <v>Batch 359</v>
      </c>
      <c r="B9199" s="9" t="str">
        <f>IFERROR(__xludf.DUMMYFUNCTION("""COMPUTED_VALUE"""),"VishalC359")</f>
        <v>VishalC359</v>
      </c>
      <c r="C9199" s="8">
        <f>IFERROR(__xludf.DUMMYFUNCTION("""COMPUTED_VALUE"""),1.0)</f>
        <v>1</v>
      </c>
      <c r="D9199" s="8">
        <f>IFERROR(__xludf.DUMMYFUNCTION("""COMPUTED_VALUE"""),3.0)</f>
        <v>3</v>
      </c>
    </row>
    <row r="9200">
      <c r="A9200" s="9" t="str">
        <f>IFERROR(__xludf.DUMMYFUNCTION("""COMPUTED_VALUE"""),"Batch 359")</f>
        <v>Batch 359</v>
      </c>
      <c r="B9200" s="9" t="str">
        <f>IFERROR(__xludf.DUMMYFUNCTION("""COMPUTED_VALUE"""),"ShlokC359")</f>
        <v>ShlokC359</v>
      </c>
      <c r="C9200" s="8">
        <f>IFERROR(__xludf.DUMMYFUNCTION("""COMPUTED_VALUE"""),0.0)</f>
        <v>0</v>
      </c>
      <c r="D9200" s="8"/>
    </row>
    <row r="9201">
      <c r="A9201" s="9" t="str">
        <f>IFERROR(__xludf.DUMMYFUNCTION("""COMPUTED_VALUE"""),"Batch 359")</f>
        <v>Batch 359</v>
      </c>
      <c r="B9201" s="9" t="str">
        <f>IFERROR(__xludf.DUMMYFUNCTION("""COMPUTED_VALUE"""),"NandhaC359")</f>
        <v>NandhaC359</v>
      </c>
      <c r="C9201" s="8">
        <f>IFERROR(__xludf.DUMMYFUNCTION("""COMPUTED_VALUE"""),0.0)</f>
        <v>0</v>
      </c>
      <c r="D9201" s="8"/>
    </row>
    <row r="9202">
      <c r="A9202" s="9" t="str">
        <f>IFERROR(__xludf.DUMMYFUNCTION("""COMPUTED_VALUE"""),"Batch 359")</f>
        <v>Batch 359</v>
      </c>
      <c r="B9202" s="9" t="str">
        <f>IFERROR(__xludf.DUMMYFUNCTION("""COMPUTED_VALUE"""),"AishwaryaC359")</f>
        <v>AishwaryaC359</v>
      </c>
      <c r="C9202" s="8">
        <f>IFERROR(__xludf.DUMMYFUNCTION("""COMPUTED_VALUE"""),0.0)</f>
        <v>0</v>
      </c>
      <c r="D9202" s="8"/>
    </row>
    <row r="9203">
      <c r="A9203" s="9" t="str">
        <f>IFERROR(__xludf.DUMMYFUNCTION("""COMPUTED_VALUE"""),"Batch 359")</f>
        <v>Batch 359</v>
      </c>
      <c r="B9203" s="9" t="str">
        <f>IFERROR(__xludf.DUMMYFUNCTION("""COMPUTED_VALUE"""),"HarshitC359")</f>
        <v>HarshitC359</v>
      </c>
      <c r="C9203" s="8">
        <f>IFERROR(__xludf.DUMMYFUNCTION("""COMPUTED_VALUE"""),3.0)</f>
        <v>3</v>
      </c>
      <c r="D9203" s="8"/>
    </row>
    <row r="9204">
      <c r="A9204" s="9" t="str">
        <f>IFERROR(__xludf.DUMMYFUNCTION("""COMPUTED_VALUE"""),"Batch 359")</f>
        <v>Batch 359</v>
      </c>
      <c r="B9204" s="9" t="str">
        <f>IFERROR(__xludf.DUMMYFUNCTION("""COMPUTED_VALUE"""),"VadlamudiC359")</f>
        <v>VadlamudiC359</v>
      </c>
      <c r="C9204" s="8">
        <f>IFERROR(__xludf.DUMMYFUNCTION("""COMPUTED_VALUE"""),0.0)</f>
        <v>0</v>
      </c>
      <c r="D9204" s="8"/>
    </row>
    <row r="9205">
      <c r="A9205" s="9" t="str">
        <f>IFERROR(__xludf.DUMMYFUNCTION("""COMPUTED_VALUE"""),"Batch 359")</f>
        <v>Batch 359</v>
      </c>
      <c r="B9205" s="9" t="str">
        <f>IFERROR(__xludf.DUMMYFUNCTION("""COMPUTED_VALUE"""),"VishalSC359")</f>
        <v>VishalSC359</v>
      </c>
      <c r="C9205" s="8">
        <f>IFERROR(__xludf.DUMMYFUNCTION("""COMPUTED_VALUE"""),0.0)</f>
        <v>0</v>
      </c>
      <c r="D9205" s="8"/>
    </row>
    <row r="9206">
      <c r="A9206" s="9" t="str">
        <f>IFERROR(__xludf.DUMMYFUNCTION("""COMPUTED_VALUE"""),"Batch 359")</f>
        <v>Batch 359</v>
      </c>
      <c r="B9206" s="9" t="str">
        <f>IFERROR(__xludf.DUMMYFUNCTION("""COMPUTED_VALUE"""),"SoujanyaaC359")</f>
        <v>SoujanyaaC359</v>
      </c>
      <c r="C9206" s="8">
        <f>IFERROR(__xludf.DUMMYFUNCTION("""COMPUTED_VALUE"""),0.0)</f>
        <v>0</v>
      </c>
      <c r="D9206" s="8"/>
    </row>
    <row r="9207">
      <c r="A9207" s="9" t="str">
        <f>IFERROR(__xludf.DUMMYFUNCTION("""COMPUTED_VALUE"""),"Batch 359")</f>
        <v>Batch 359</v>
      </c>
      <c r="B9207" s="9" t="str">
        <f>IFERROR(__xludf.DUMMYFUNCTION("""COMPUTED_VALUE"""),"AnushaC359")</f>
        <v>AnushaC359</v>
      </c>
      <c r="C9207" s="8">
        <f>IFERROR(__xludf.DUMMYFUNCTION("""COMPUTED_VALUE"""),10.0)</f>
        <v>10</v>
      </c>
      <c r="D9207" s="8">
        <f>IFERROR(__xludf.DUMMYFUNCTION("""COMPUTED_VALUE"""),1.0)</f>
        <v>1</v>
      </c>
    </row>
    <row r="9208">
      <c r="A9208" s="9" t="str">
        <f>IFERROR(__xludf.DUMMYFUNCTION("""COMPUTED_VALUE"""),"Batch 359")</f>
        <v>Batch 359</v>
      </c>
      <c r="B9208" s="9" t="str">
        <f>IFERROR(__xludf.DUMMYFUNCTION("""COMPUTED_VALUE"""),"AnjaliC359")</f>
        <v>AnjaliC359</v>
      </c>
      <c r="C9208" s="8">
        <f>IFERROR(__xludf.DUMMYFUNCTION("""COMPUTED_VALUE"""),0.0)</f>
        <v>0</v>
      </c>
      <c r="D9208" s="8">
        <f>IFERROR(__xludf.DUMMYFUNCTION("""COMPUTED_VALUE"""),3.0)</f>
        <v>3</v>
      </c>
    </row>
    <row r="9209">
      <c r="A9209" s="9" t="str">
        <f>IFERROR(__xludf.DUMMYFUNCTION("""COMPUTED_VALUE"""),"Batch 359")</f>
        <v>Batch 359</v>
      </c>
      <c r="B9209" s="9" t="str">
        <f>IFERROR(__xludf.DUMMYFUNCTION("""COMPUTED_VALUE"""),"ShivambikaC359")</f>
        <v>ShivambikaC359</v>
      </c>
      <c r="C9209" s="8">
        <f>IFERROR(__xludf.DUMMYFUNCTION("""COMPUTED_VALUE"""),0.0)</f>
        <v>0</v>
      </c>
      <c r="D9209" s="8"/>
    </row>
    <row r="9210">
      <c r="A9210" s="9" t="str">
        <f>IFERROR(__xludf.DUMMYFUNCTION("""COMPUTED_VALUE"""),"Batch 359")</f>
        <v>Batch 359</v>
      </c>
      <c r="B9210" s="9" t="str">
        <f>IFERROR(__xludf.DUMMYFUNCTION("""COMPUTED_VALUE"""),"AnjaliC359")</f>
        <v>AnjaliC359</v>
      </c>
      <c r="C9210" s="8">
        <f>IFERROR(__xludf.DUMMYFUNCTION("""COMPUTED_VALUE"""),0.0)</f>
        <v>0</v>
      </c>
      <c r="D9210" s="8"/>
    </row>
    <row r="9211">
      <c r="A9211" s="9" t="str">
        <f>IFERROR(__xludf.DUMMYFUNCTION("""COMPUTED_VALUE"""),"Batch 359")</f>
        <v>Batch 359</v>
      </c>
      <c r="B9211" s="9" t="str">
        <f>IFERROR(__xludf.DUMMYFUNCTION("""COMPUTED_VALUE"""),"ChandruC359")</f>
        <v>ChandruC359</v>
      </c>
      <c r="C9211" s="8">
        <f>IFERROR(__xludf.DUMMYFUNCTION("""COMPUTED_VALUE"""),101.0)</f>
        <v>101</v>
      </c>
      <c r="D9211" s="8">
        <f>IFERROR(__xludf.DUMMYFUNCTION("""COMPUTED_VALUE"""),22.0)</f>
        <v>22</v>
      </c>
    </row>
    <row r="9212">
      <c r="A9212" s="9" t="str">
        <f>IFERROR(__xludf.DUMMYFUNCTION("""COMPUTED_VALUE"""),"Batch 359")</f>
        <v>Batch 359</v>
      </c>
      <c r="B9212" s="9" t="str">
        <f>IFERROR(__xludf.DUMMYFUNCTION("""COMPUTED_VALUE"""),"AnubhavC359")</f>
        <v>AnubhavC359</v>
      </c>
      <c r="C9212" s="8">
        <f>IFERROR(__xludf.DUMMYFUNCTION("""COMPUTED_VALUE"""),0.0)</f>
        <v>0</v>
      </c>
      <c r="D9212" s="8"/>
    </row>
    <row r="9213">
      <c r="A9213" s="9" t="str">
        <f>IFERROR(__xludf.DUMMYFUNCTION("""COMPUTED_VALUE"""),"Batch 359")</f>
        <v>Batch 359</v>
      </c>
      <c r="B9213" s="9" t="str">
        <f>IFERROR(__xludf.DUMMYFUNCTION("""COMPUTED_VALUE"""),"DeepeshC359")</f>
        <v>DeepeshC359</v>
      </c>
      <c r="C9213" s="8">
        <f>IFERROR(__xludf.DUMMYFUNCTION("""COMPUTED_VALUE"""),0.0)</f>
        <v>0</v>
      </c>
      <c r="D9213" s="8"/>
    </row>
    <row r="9214">
      <c r="A9214" s="9" t="str">
        <f>IFERROR(__xludf.DUMMYFUNCTION("""COMPUTED_VALUE"""),"Batch 359")</f>
        <v>Batch 359</v>
      </c>
      <c r="B9214" s="9" t="str">
        <f>IFERROR(__xludf.DUMMYFUNCTION("""COMPUTED_VALUE"""),"AnupreetC359")</f>
        <v>AnupreetC359</v>
      </c>
      <c r="C9214" s="8">
        <f>IFERROR(__xludf.DUMMYFUNCTION("""COMPUTED_VALUE"""),0.0)</f>
        <v>0</v>
      </c>
      <c r="D9214" s="8"/>
    </row>
    <row r="9215">
      <c r="A9215" s="9" t="str">
        <f>IFERROR(__xludf.DUMMYFUNCTION("""COMPUTED_VALUE"""),"Batch 359")</f>
        <v>Batch 359</v>
      </c>
      <c r="B9215" s="9" t="str">
        <f>IFERROR(__xludf.DUMMYFUNCTION("""COMPUTED_VALUE"""),"JhalakC359")</f>
        <v>JhalakC359</v>
      </c>
      <c r="C9215" s="8">
        <f>IFERROR(__xludf.DUMMYFUNCTION("""COMPUTED_VALUE"""),0.0)</f>
        <v>0</v>
      </c>
      <c r="D9215" s="8"/>
    </row>
    <row r="9216">
      <c r="A9216" s="9" t="str">
        <f>IFERROR(__xludf.DUMMYFUNCTION("""COMPUTED_VALUE"""),"Batch 359")</f>
        <v>Batch 359</v>
      </c>
      <c r="B9216" s="9" t="str">
        <f>IFERROR(__xludf.DUMMYFUNCTION("""COMPUTED_VALUE"""),"SrishtiC359")</f>
        <v>SrishtiC359</v>
      </c>
      <c r="C9216" s="8">
        <f>IFERROR(__xludf.DUMMYFUNCTION("""COMPUTED_VALUE"""),0.0)</f>
        <v>0</v>
      </c>
      <c r="D9216" s="8"/>
    </row>
    <row r="9217">
      <c r="A9217" s="9" t="str">
        <f>IFERROR(__xludf.DUMMYFUNCTION("""COMPUTED_VALUE"""),"Batch 359")</f>
        <v>Batch 359</v>
      </c>
      <c r="B9217" s="9" t="str">
        <f>IFERROR(__xludf.DUMMYFUNCTION("""COMPUTED_VALUE"""),"KhushbuC359")</f>
        <v>KhushbuC359</v>
      </c>
      <c r="C9217" s="8">
        <f>IFERROR(__xludf.DUMMYFUNCTION("""COMPUTED_VALUE"""),0.0)</f>
        <v>0</v>
      </c>
      <c r="D9217" s="8"/>
    </row>
    <row r="9218">
      <c r="A9218" s="9" t="str">
        <f>IFERROR(__xludf.DUMMYFUNCTION("""COMPUTED_VALUE"""),"Batch 359")</f>
        <v>Batch 359</v>
      </c>
      <c r="B9218" s="9" t="str">
        <f>IFERROR(__xludf.DUMMYFUNCTION("""COMPUTED_VALUE"""),"ArshpreetC359")</f>
        <v>ArshpreetC359</v>
      </c>
      <c r="C9218" s="8">
        <f>IFERROR(__xludf.DUMMYFUNCTION("""COMPUTED_VALUE"""),0.0)</f>
        <v>0</v>
      </c>
      <c r="D9218" s="8"/>
    </row>
    <row r="9219">
      <c r="A9219" s="9" t="str">
        <f>IFERROR(__xludf.DUMMYFUNCTION("""COMPUTED_VALUE"""),"Batch 359")</f>
        <v>Batch 359</v>
      </c>
      <c r="B9219" s="9" t="str">
        <f>IFERROR(__xludf.DUMMYFUNCTION("""COMPUTED_VALUE"""),"DampetlaC359")</f>
        <v>DampetlaC359</v>
      </c>
      <c r="C9219" s="8">
        <f>IFERROR(__xludf.DUMMYFUNCTION("""COMPUTED_VALUE"""),0.0)</f>
        <v>0</v>
      </c>
      <c r="D9219" s="8"/>
    </row>
    <row r="9220">
      <c r="A9220" s="9" t="str">
        <f>IFERROR(__xludf.DUMMYFUNCTION("""COMPUTED_VALUE"""),"Batch 359")</f>
        <v>Batch 359</v>
      </c>
      <c r="B9220" s="9" t="str">
        <f>IFERROR(__xludf.DUMMYFUNCTION("""COMPUTED_VALUE"""),"ReshmaC359")</f>
        <v>ReshmaC359</v>
      </c>
      <c r="C9220" s="8">
        <f>IFERROR(__xludf.DUMMYFUNCTION("""COMPUTED_VALUE"""),22.0)</f>
        <v>22</v>
      </c>
      <c r="D9220" s="8">
        <f>IFERROR(__xludf.DUMMYFUNCTION("""COMPUTED_VALUE"""),3.0)</f>
        <v>3</v>
      </c>
    </row>
    <row r="9221">
      <c r="A9221" s="9" t="str">
        <f>IFERROR(__xludf.DUMMYFUNCTION("""COMPUTED_VALUE"""),"Batch 359")</f>
        <v>Batch 359</v>
      </c>
      <c r="B9221" s="9" t="str">
        <f>IFERROR(__xludf.DUMMYFUNCTION("""COMPUTED_VALUE"""),"RejuC359")</f>
        <v>RejuC359</v>
      </c>
      <c r="C9221" s="8">
        <f>IFERROR(__xludf.DUMMYFUNCTION("""COMPUTED_VALUE"""),15.0)</f>
        <v>15</v>
      </c>
      <c r="D9221" s="8">
        <f>IFERROR(__xludf.DUMMYFUNCTION("""COMPUTED_VALUE"""),5.0)</f>
        <v>5</v>
      </c>
    </row>
    <row r="9222">
      <c r="A9222" s="9" t="str">
        <f>IFERROR(__xludf.DUMMYFUNCTION("""COMPUTED_VALUE"""),"Batch 359")</f>
        <v>Batch 359</v>
      </c>
      <c r="B9222" s="9" t="str">
        <f>IFERROR(__xludf.DUMMYFUNCTION("""COMPUTED_VALUE"""),"ChandanaC359")</f>
        <v>ChandanaC359</v>
      </c>
      <c r="C9222" s="8">
        <f>IFERROR(__xludf.DUMMYFUNCTION("""COMPUTED_VALUE"""),0.0)</f>
        <v>0</v>
      </c>
      <c r="D9222" s="8"/>
    </row>
    <row r="9223">
      <c r="A9223" s="9" t="str">
        <f>IFERROR(__xludf.DUMMYFUNCTION("""COMPUTED_VALUE"""),"Batch 359")</f>
        <v>Batch 359</v>
      </c>
      <c r="B9223" s="9" t="str">
        <f>IFERROR(__xludf.DUMMYFUNCTION("""COMPUTED_VALUE"""),"KarishmaC359")</f>
        <v>KarishmaC359</v>
      </c>
      <c r="C9223" s="8">
        <f>IFERROR(__xludf.DUMMYFUNCTION("""COMPUTED_VALUE"""),0.0)</f>
        <v>0</v>
      </c>
      <c r="D9223" s="8"/>
    </row>
    <row r="9224">
      <c r="A9224" s="9" t="str">
        <f>IFERROR(__xludf.DUMMYFUNCTION("""COMPUTED_VALUE"""),"Batch 359")</f>
        <v>Batch 359</v>
      </c>
      <c r="B9224" s="9" t="str">
        <f>IFERROR(__xludf.DUMMYFUNCTION("""COMPUTED_VALUE"""),"MandarC359")</f>
        <v>MandarC359</v>
      </c>
      <c r="C9224" s="8">
        <f>IFERROR(__xludf.DUMMYFUNCTION("""COMPUTED_VALUE"""),0.0)</f>
        <v>0</v>
      </c>
      <c r="D9224" s="8"/>
    </row>
    <row r="9225">
      <c r="A9225" s="9" t="str">
        <f>IFERROR(__xludf.DUMMYFUNCTION("""COMPUTED_VALUE"""),"Batch 359")</f>
        <v>Batch 359</v>
      </c>
      <c r="B9225" s="9" t="str">
        <f>IFERROR(__xludf.DUMMYFUNCTION("""COMPUTED_VALUE"""),"AashmanC359")</f>
        <v>AashmanC359</v>
      </c>
      <c r="C9225" s="8">
        <f>IFERROR(__xludf.DUMMYFUNCTION("""COMPUTED_VALUE"""),0.0)</f>
        <v>0</v>
      </c>
      <c r="D9225" s="8"/>
    </row>
    <row r="9226">
      <c r="A9226" s="9" t="str">
        <f>IFERROR(__xludf.DUMMYFUNCTION("""COMPUTED_VALUE"""),"Batch 359")</f>
        <v>Batch 359</v>
      </c>
      <c r="B9226" s="9" t="str">
        <f>IFERROR(__xludf.DUMMYFUNCTION("""COMPUTED_VALUE"""),"HarshithaC359")</f>
        <v>HarshithaC359</v>
      </c>
      <c r="C9226" s="8">
        <f>IFERROR(__xludf.DUMMYFUNCTION("""COMPUTED_VALUE"""),0.0)</f>
        <v>0</v>
      </c>
      <c r="D9226" s="8"/>
    </row>
    <row r="9227">
      <c r="A9227" s="9" t="str">
        <f>IFERROR(__xludf.DUMMYFUNCTION("""COMPUTED_VALUE"""),"Batch 359")</f>
        <v>Batch 359</v>
      </c>
      <c r="B9227" s="9" t="str">
        <f>IFERROR(__xludf.DUMMYFUNCTION("""COMPUTED_VALUE"""),"KaushikiC359")</f>
        <v>KaushikiC359</v>
      </c>
      <c r="C9227" s="8">
        <f>IFERROR(__xludf.DUMMYFUNCTION("""COMPUTED_VALUE"""),0.0)</f>
        <v>0</v>
      </c>
      <c r="D9227" s="8"/>
    </row>
    <row r="9228">
      <c r="A9228" s="9" t="str">
        <f>IFERROR(__xludf.DUMMYFUNCTION("""COMPUTED_VALUE"""),"Batch 359")</f>
        <v>Batch 359</v>
      </c>
      <c r="B9228" s="9" t="str">
        <f>IFERROR(__xludf.DUMMYFUNCTION("""COMPUTED_VALUE"""),"NikitaC359")</f>
        <v>NikitaC359</v>
      </c>
      <c r="C9228" s="8">
        <f>IFERROR(__xludf.DUMMYFUNCTION("""COMPUTED_VALUE"""),0.0)</f>
        <v>0</v>
      </c>
      <c r="D9228" s="8"/>
    </row>
    <row r="9229">
      <c r="A9229" s="9" t="str">
        <f>IFERROR(__xludf.DUMMYFUNCTION("""COMPUTED_VALUE"""),"Batch 359")</f>
        <v>Batch 359</v>
      </c>
      <c r="B9229" s="9" t="str">
        <f>IFERROR(__xludf.DUMMYFUNCTION("""COMPUTED_VALUE"""),"AlkasiyaC359")</f>
        <v>AlkasiyaC359</v>
      </c>
      <c r="C9229" s="8">
        <f>IFERROR(__xludf.DUMMYFUNCTION("""COMPUTED_VALUE"""),0.0)</f>
        <v>0</v>
      </c>
      <c r="D9229" s="8"/>
    </row>
    <row r="9230">
      <c r="A9230" s="9" t="str">
        <f>IFERROR(__xludf.DUMMYFUNCTION("""COMPUTED_VALUE"""),"Batch 359")</f>
        <v>Batch 359</v>
      </c>
      <c r="B9230" s="9" t="str">
        <f>IFERROR(__xludf.DUMMYFUNCTION("""COMPUTED_VALUE"""),"sriC359")</f>
        <v>sriC359</v>
      </c>
      <c r="C9230" s="8">
        <f>IFERROR(__xludf.DUMMYFUNCTION("""COMPUTED_VALUE"""),0.0)</f>
        <v>0</v>
      </c>
      <c r="D9230" s="8"/>
    </row>
    <row r="9231">
      <c r="A9231" s="9" t="str">
        <f>IFERROR(__xludf.DUMMYFUNCTION("""COMPUTED_VALUE"""),"Batch 359")</f>
        <v>Batch 359</v>
      </c>
      <c r="B9231" s="9" t="str">
        <f>IFERROR(__xludf.DUMMYFUNCTION("""COMPUTED_VALUE"""),"GaganpreetC359")</f>
        <v>GaganpreetC359</v>
      </c>
      <c r="C9231" s="8">
        <f>IFERROR(__xludf.DUMMYFUNCTION("""COMPUTED_VALUE"""),0.0)</f>
        <v>0</v>
      </c>
      <c r="D9231" s="8"/>
    </row>
    <row r="9232">
      <c r="A9232" s="9" t="str">
        <f>IFERROR(__xludf.DUMMYFUNCTION("""COMPUTED_VALUE"""),"Batch 359")</f>
        <v>Batch 359</v>
      </c>
      <c r="B9232" s="9" t="str">
        <f>IFERROR(__xludf.DUMMYFUNCTION("""COMPUTED_VALUE"""),"HarjotC359")</f>
        <v>HarjotC359</v>
      </c>
      <c r="C9232" s="8">
        <f>IFERROR(__xludf.DUMMYFUNCTION("""COMPUTED_VALUE"""),0.0)</f>
        <v>0</v>
      </c>
      <c r="D9232" s="8"/>
    </row>
    <row r="9233">
      <c r="A9233" s="9" t="str">
        <f>IFERROR(__xludf.DUMMYFUNCTION("""COMPUTED_VALUE"""),"Batch 359")</f>
        <v>Batch 359</v>
      </c>
      <c r="B9233" s="9" t="str">
        <f>IFERROR(__xludf.DUMMYFUNCTION("""COMPUTED_VALUE"""),"SaharshC359")</f>
        <v>SaharshC359</v>
      </c>
      <c r="C9233" s="8">
        <f>IFERROR(__xludf.DUMMYFUNCTION("""COMPUTED_VALUE"""),0.0)</f>
        <v>0</v>
      </c>
      <c r="D9233" s="8"/>
    </row>
    <row r="9234">
      <c r="A9234" s="9" t="str">
        <f>IFERROR(__xludf.DUMMYFUNCTION("""COMPUTED_VALUE"""),"Batch 359")</f>
        <v>Batch 359</v>
      </c>
      <c r="B9234" s="9" t="str">
        <f>IFERROR(__xludf.DUMMYFUNCTION("""COMPUTED_VALUE"""),"PasupuletiC359")</f>
        <v>PasupuletiC359</v>
      </c>
      <c r="C9234" s="8">
        <f>IFERROR(__xludf.DUMMYFUNCTION("""COMPUTED_VALUE"""),0.0)</f>
        <v>0</v>
      </c>
      <c r="D9234" s="8"/>
    </row>
    <row r="9235">
      <c r="A9235" s="9" t="str">
        <f>IFERROR(__xludf.DUMMYFUNCTION("""COMPUTED_VALUE"""),"Batch 359")</f>
        <v>Batch 359</v>
      </c>
      <c r="B9235" s="9" t="str">
        <f>IFERROR(__xludf.DUMMYFUNCTION("""COMPUTED_VALUE"""),"HarshitC359")</f>
        <v>HarshitC359</v>
      </c>
      <c r="C9235" s="8">
        <f>IFERROR(__xludf.DUMMYFUNCTION("""COMPUTED_VALUE"""),0.0)</f>
        <v>0</v>
      </c>
      <c r="D9235" s="8"/>
    </row>
    <row r="9236">
      <c r="A9236" s="9" t="str">
        <f>IFERROR(__xludf.DUMMYFUNCTION("""COMPUTED_VALUE"""),"Batch 359")</f>
        <v>Batch 359</v>
      </c>
      <c r="B9236" s="9" t="str">
        <f>IFERROR(__xludf.DUMMYFUNCTION("""COMPUTED_VALUE"""),"RoshanC359")</f>
        <v>RoshanC359</v>
      </c>
      <c r="C9236" s="8">
        <f>IFERROR(__xludf.DUMMYFUNCTION("""COMPUTED_VALUE"""),0.0)</f>
        <v>0</v>
      </c>
      <c r="D9236" s="8"/>
    </row>
    <row r="9237">
      <c r="A9237" s="9" t="str">
        <f>IFERROR(__xludf.DUMMYFUNCTION("""COMPUTED_VALUE"""),"Batch 359")</f>
        <v>Batch 359</v>
      </c>
      <c r="B9237" s="9" t="str">
        <f>IFERROR(__xludf.DUMMYFUNCTION("""COMPUTED_VALUE"""),"DebmalyaC359")</f>
        <v>DebmalyaC359</v>
      </c>
      <c r="C9237" s="8">
        <f>IFERROR(__xludf.DUMMYFUNCTION("""COMPUTED_VALUE"""),0.0)</f>
        <v>0</v>
      </c>
      <c r="D9237" s="8"/>
    </row>
    <row r="9238">
      <c r="A9238" s="9" t="str">
        <f>IFERROR(__xludf.DUMMYFUNCTION("""COMPUTED_VALUE"""),"Batch 359")</f>
        <v>Batch 359</v>
      </c>
      <c r="B9238" s="9" t="str">
        <f>IFERROR(__xludf.DUMMYFUNCTION("""COMPUTED_VALUE"""),"TanavC359")</f>
        <v>TanavC359</v>
      </c>
      <c r="C9238" s="8">
        <f>IFERROR(__xludf.DUMMYFUNCTION("""COMPUTED_VALUE"""),0.0)</f>
        <v>0</v>
      </c>
      <c r="D9238" s="8"/>
    </row>
    <row r="9239">
      <c r="A9239" s="9" t="str">
        <f>IFERROR(__xludf.DUMMYFUNCTION("""COMPUTED_VALUE"""),"Batch 359")</f>
        <v>Batch 359</v>
      </c>
      <c r="B9239" s="9" t="str">
        <f>IFERROR(__xludf.DUMMYFUNCTION("""COMPUTED_VALUE"""),"KhushalC359")</f>
        <v>KhushalC359</v>
      </c>
      <c r="C9239" s="8">
        <f>IFERROR(__xludf.DUMMYFUNCTION("""COMPUTED_VALUE"""),0.0)</f>
        <v>0</v>
      </c>
      <c r="D9239" s="8"/>
    </row>
    <row r="9240">
      <c r="A9240" s="9" t="str">
        <f>IFERROR(__xludf.DUMMYFUNCTION("""COMPUTED_VALUE"""),"Batch 359")</f>
        <v>Batch 359</v>
      </c>
      <c r="B9240" s="9" t="str">
        <f>IFERROR(__xludf.DUMMYFUNCTION("""COMPUTED_VALUE"""),"ChiranthanC359")</f>
        <v>ChiranthanC359</v>
      </c>
      <c r="C9240" s="8">
        <f>IFERROR(__xludf.DUMMYFUNCTION("""COMPUTED_VALUE"""),0.0)</f>
        <v>0</v>
      </c>
      <c r="D9240" s="8"/>
    </row>
    <row r="9241">
      <c r="A9241" s="9" t="str">
        <f>IFERROR(__xludf.DUMMYFUNCTION("""COMPUTED_VALUE"""),"Batch 359")</f>
        <v>Batch 359</v>
      </c>
      <c r="B9241" s="9" t="str">
        <f>IFERROR(__xludf.DUMMYFUNCTION("""COMPUTED_VALUE"""),"SHAHEENC359")</f>
        <v>SHAHEENC359</v>
      </c>
      <c r="C9241" s="8">
        <f>IFERROR(__xludf.DUMMYFUNCTION("""COMPUTED_VALUE"""),0.0)</f>
        <v>0</v>
      </c>
      <c r="D9241" s="8"/>
    </row>
    <row r="9242">
      <c r="A9242" s="9" t="str">
        <f>IFERROR(__xludf.DUMMYFUNCTION("""COMPUTED_VALUE"""),"Batch 359")</f>
        <v>Batch 359</v>
      </c>
      <c r="B9242" s="9" t="str">
        <f>IFERROR(__xludf.DUMMYFUNCTION("""COMPUTED_VALUE"""),"RaaghavC359")</f>
        <v>RaaghavC359</v>
      </c>
      <c r="C9242" s="8">
        <f>IFERROR(__xludf.DUMMYFUNCTION("""COMPUTED_VALUE"""),0.0)</f>
        <v>0</v>
      </c>
      <c r="D9242" s="8"/>
    </row>
    <row r="9243">
      <c r="A9243" s="9" t="str">
        <f>IFERROR(__xludf.DUMMYFUNCTION("""COMPUTED_VALUE"""),"Batch 359")</f>
        <v>Batch 359</v>
      </c>
      <c r="B9243" s="9" t="str">
        <f>IFERROR(__xludf.DUMMYFUNCTION("""COMPUTED_VALUE"""),"DivyanshiC359")</f>
        <v>DivyanshiC359</v>
      </c>
      <c r="C9243" s="8">
        <f>IFERROR(__xludf.DUMMYFUNCTION("""COMPUTED_VALUE"""),0.0)</f>
        <v>0</v>
      </c>
      <c r="D9243" s="8"/>
    </row>
    <row r="9244">
      <c r="A9244" s="9" t="str">
        <f>IFERROR(__xludf.DUMMYFUNCTION("""COMPUTED_VALUE"""),"Batch 359")</f>
        <v>Batch 359</v>
      </c>
      <c r="B9244" s="9" t="str">
        <f>IFERROR(__xludf.DUMMYFUNCTION("""COMPUTED_VALUE"""),"ChanchalC359")</f>
        <v>ChanchalC359</v>
      </c>
      <c r="C9244" s="8">
        <f>IFERROR(__xludf.DUMMYFUNCTION("""COMPUTED_VALUE"""),0.0)</f>
        <v>0</v>
      </c>
      <c r="D9244" s="8"/>
    </row>
    <row r="9245">
      <c r="A9245" s="9" t="str">
        <f>IFERROR(__xludf.DUMMYFUNCTION("""COMPUTED_VALUE"""),"Batch 359")</f>
        <v>Batch 359</v>
      </c>
      <c r="B9245" s="9" t="str">
        <f>IFERROR(__xludf.DUMMYFUNCTION("""COMPUTED_VALUE"""),"NikhilC359")</f>
        <v>NikhilC359</v>
      </c>
      <c r="C9245" s="8">
        <f>IFERROR(__xludf.DUMMYFUNCTION("""COMPUTED_VALUE"""),0.0)</f>
        <v>0</v>
      </c>
      <c r="D9245" s="8"/>
    </row>
    <row r="9246">
      <c r="A9246" s="9" t="str">
        <f>IFERROR(__xludf.DUMMYFUNCTION("""COMPUTED_VALUE"""),"Batch 359")</f>
        <v>Batch 359</v>
      </c>
      <c r="B9246" s="9" t="str">
        <f>IFERROR(__xludf.DUMMYFUNCTION("""COMPUTED_VALUE"""),"TanviC359")</f>
        <v>TanviC359</v>
      </c>
      <c r="C9246" s="8">
        <f>IFERROR(__xludf.DUMMYFUNCTION("""COMPUTED_VALUE"""),0.0)</f>
        <v>0</v>
      </c>
      <c r="D9246" s="8"/>
    </row>
    <row r="9247">
      <c r="A9247" s="9" t="str">
        <f>IFERROR(__xludf.DUMMYFUNCTION("""COMPUTED_VALUE"""),"Batch 359")</f>
        <v>Batch 359</v>
      </c>
      <c r="B9247" s="9" t="str">
        <f>IFERROR(__xludf.DUMMYFUNCTION("""COMPUTED_VALUE"""),"EshikaC359")</f>
        <v>EshikaC359</v>
      </c>
      <c r="C9247" s="8">
        <f>IFERROR(__xludf.DUMMYFUNCTION("""COMPUTED_VALUE"""),0.0)</f>
        <v>0</v>
      </c>
      <c r="D9247" s="8"/>
    </row>
    <row r="9248">
      <c r="A9248" s="9" t="str">
        <f>IFERROR(__xludf.DUMMYFUNCTION("""COMPUTED_VALUE"""),"Batch 359")</f>
        <v>Batch 359</v>
      </c>
      <c r="B9248" s="9" t="str">
        <f>IFERROR(__xludf.DUMMYFUNCTION("""COMPUTED_VALUE"""),"sahilC359")</f>
        <v>sahilC359</v>
      </c>
      <c r="C9248" s="8">
        <f>IFERROR(__xludf.DUMMYFUNCTION("""COMPUTED_VALUE"""),0.0)</f>
        <v>0</v>
      </c>
      <c r="D9248" s="8"/>
    </row>
    <row r="9249">
      <c r="A9249" s="9" t="str">
        <f>IFERROR(__xludf.DUMMYFUNCTION("""COMPUTED_VALUE"""),"Batch 359")</f>
        <v>Batch 359</v>
      </c>
      <c r="B9249" s="9" t="str">
        <f>IFERROR(__xludf.DUMMYFUNCTION("""COMPUTED_VALUE"""),"KaranC359")</f>
        <v>KaranC359</v>
      </c>
      <c r="C9249" s="8">
        <f>IFERROR(__xludf.DUMMYFUNCTION("""COMPUTED_VALUE"""),0.0)</f>
        <v>0</v>
      </c>
      <c r="D9249" s="8"/>
    </row>
    <row r="9250">
      <c r="A9250" s="9" t="str">
        <f>IFERROR(__xludf.DUMMYFUNCTION("""COMPUTED_VALUE"""),"Batch 359")</f>
        <v>Batch 359</v>
      </c>
      <c r="B9250" s="9" t="str">
        <f>IFERROR(__xludf.DUMMYFUNCTION("""COMPUTED_VALUE"""),"AdwiteeyC359")</f>
        <v>AdwiteeyC359</v>
      </c>
      <c r="C9250" s="8">
        <f>IFERROR(__xludf.DUMMYFUNCTION("""COMPUTED_VALUE"""),98.0)</f>
        <v>98</v>
      </c>
      <c r="D9250" s="8">
        <f>IFERROR(__xludf.DUMMYFUNCTION("""COMPUTED_VALUE"""),17.0)</f>
        <v>17</v>
      </c>
    </row>
    <row r="9251">
      <c r="A9251" s="9" t="str">
        <f>IFERROR(__xludf.DUMMYFUNCTION("""COMPUTED_VALUE"""),"Batch 359")</f>
        <v>Batch 359</v>
      </c>
      <c r="B9251" s="9" t="str">
        <f>IFERROR(__xludf.DUMMYFUNCTION("""COMPUTED_VALUE"""),"SanskrithiC359")</f>
        <v>SanskrithiC359</v>
      </c>
      <c r="C9251" s="8">
        <f>IFERROR(__xludf.DUMMYFUNCTION("""COMPUTED_VALUE"""),0.0)</f>
        <v>0</v>
      </c>
      <c r="D9251" s="8"/>
    </row>
    <row r="9252">
      <c r="A9252" s="9" t="str">
        <f>IFERROR(__xludf.DUMMYFUNCTION("""COMPUTED_VALUE"""),"Batch 359")</f>
        <v>Batch 359</v>
      </c>
      <c r="B9252" s="9" t="str">
        <f>IFERROR(__xludf.DUMMYFUNCTION("""COMPUTED_VALUE"""),"AdilC359")</f>
        <v>AdilC359</v>
      </c>
      <c r="C9252" s="8">
        <f>IFERROR(__xludf.DUMMYFUNCTION("""COMPUTED_VALUE"""),0.0)</f>
        <v>0</v>
      </c>
      <c r="D9252" s="8"/>
    </row>
    <row r="9253">
      <c r="A9253" s="9" t="str">
        <f>IFERROR(__xludf.DUMMYFUNCTION("""COMPUTED_VALUE"""),"Batch 359")</f>
        <v>Batch 359</v>
      </c>
      <c r="B9253" s="9" t="str">
        <f>IFERROR(__xludf.DUMMYFUNCTION("""COMPUTED_VALUE"""),"ArhamC359")</f>
        <v>ArhamC359</v>
      </c>
      <c r="C9253" s="8">
        <f>IFERROR(__xludf.DUMMYFUNCTION("""COMPUTED_VALUE"""),0.0)</f>
        <v>0</v>
      </c>
      <c r="D9253" s="8"/>
    </row>
    <row r="9254">
      <c r="A9254" s="9" t="str">
        <f>IFERROR(__xludf.DUMMYFUNCTION("""COMPUTED_VALUE"""),"Batch 359")</f>
        <v>Batch 359</v>
      </c>
      <c r="B9254" s="9" t="str">
        <f>IFERROR(__xludf.DUMMYFUNCTION("""COMPUTED_VALUE"""),"ananyaC359")</f>
        <v>ananyaC359</v>
      </c>
      <c r="C9254" s="8">
        <f>IFERROR(__xludf.DUMMYFUNCTION("""COMPUTED_VALUE"""),0.0)</f>
        <v>0</v>
      </c>
      <c r="D9254" s="8"/>
    </row>
    <row r="9255">
      <c r="A9255" s="9" t="str">
        <f>IFERROR(__xludf.DUMMYFUNCTION("""COMPUTED_VALUE"""),"Batch 359")</f>
        <v>Batch 359</v>
      </c>
      <c r="B9255" s="9" t="str">
        <f>IFERROR(__xludf.DUMMYFUNCTION("""COMPUTED_VALUE"""),"lieshaC359")</f>
        <v>lieshaC359</v>
      </c>
      <c r="C9255" s="8">
        <f>IFERROR(__xludf.DUMMYFUNCTION("""COMPUTED_VALUE"""),0.0)</f>
        <v>0</v>
      </c>
      <c r="D9255" s="8"/>
    </row>
    <row r="9256">
      <c r="A9256" s="9" t="str">
        <f>IFERROR(__xludf.DUMMYFUNCTION("""COMPUTED_VALUE"""),"Batch 359")</f>
        <v>Batch 359</v>
      </c>
      <c r="B9256" s="9" t="str">
        <f>IFERROR(__xludf.DUMMYFUNCTION("""COMPUTED_VALUE"""),"ManeyC359")</f>
        <v>ManeyC359</v>
      </c>
      <c r="C9256" s="8">
        <f>IFERROR(__xludf.DUMMYFUNCTION("""COMPUTED_VALUE"""),0.0)</f>
        <v>0</v>
      </c>
      <c r="D9256" s="8"/>
    </row>
    <row r="9257">
      <c r="A9257" s="9" t="str">
        <f>IFERROR(__xludf.DUMMYFUNCTION("""COMPUTED_VALUE"""),"Batch 359")</f>
        <v>Batch 359</v>
      </c>
      <c r="B9257" s="9" t="str">
        <f>IFERROR(__xludf.DUMMYFUNCTION("""COMPUTED_VALUE"""),"AdilC359")</f>
        <v>AdilC359</v>
      </c>
      <c r="C9257" s="8">
        <f>IFERROR(__xludf.DUMMYFUNCTION("""COMPUTED_VALUE"""),0.0)</f>
        <v>0</v>
      </c>
      <c r="D9257" s="8"/>
    </row>
    <row r="9258">
      <c r="A9258" s="9" t="str">
        <f>IFERROR(__xludf.DUMMYFUNCTION("""COMPUTED_VALUE"""),"Batch 359")</f>
        <v>Batch 359</v>
      </c>
      <c r="B9258" s="9" t="str">
        <f>IFERROR(__xludf.DUMMYFUNCTION("""COMPUTED_VALUE"""),"AgamC359")</f>
        <v>AgamC359</v>
      </c>
      <c r="C9258" s="8">
        <f>IFERROR(__xludf.DUMMYFUNCTION("""COMPUTED_VALUE"""),0.0)</f>
        <v>0</v>
      </c>
      <c r="D9258" s="8"/>
    </row>
    <row r="9259">
      <c r="A9259" s="9" t="str">
        <f>IFERROR(__xludf.DUMMYFUNCTION("""COMPUTED_VALUE"""),"Batch 359")</f>
        <v>Batch 359</v>
      </c>
      <c r="B9259" s="9" t="str">
        <f>IFERROR(__xludf.DUMMYFUNCTION("""COMPUTED_VALUE"""),"KhushiC359")</f>
        <v>KhushiC359</v>
      </c>
      <c r="C9259" s="8">
        <f>IFERROR(__xludf.DUMMYFUNCTION("""COMPUTED_VALUE"""),0.0)</f>
        <v>0</v>
      </c>
      <c r="D9259" s="8"/>
    </row>
    <row r="9260">
      <c r="A9260" s="9" t="str">
        <f>IFERROR(__xludf.DUMMYFUNCTION("""COMPUTED_VALUE"""),"Batch 359")</f>
        <v>Batch 359</v>
      </c>
      <c r="B9260" s="9" t="str">
        <f>IFERROR(__xludf.DUMMYFUNCTION("""COMPUTED_VALUE"""),"DivyanshuC359")</f>
        <v>DivyanshuC359</v>
      </c>
      <c r="C9260" s="8">
        <f>IFERROR(__xludf.DUMMYFUNCTION("""COMPUTED_VALUE"""),0.0)</f>
        <v>0</v>
      </c>
      <c r="D9260" s="8"/>
    </row>
    <row r="9261">
      <c r="A9261" s="9" t="str">
        <f>IFERROR(__xludf.DUMMYFUNCTION("""COMPUTED_VALUE"""),"Batch 359")</f>
        <v>Batch 359</v>
      </c>
      <c r="B9261" s="9" t="str">
        <f>IFERROR(__xludf.DUMMYFUNCTION("""COMPUTED_VALUE"""),"NishaC359")</f>
        <v>NishaC359</v>
      </c>
      <c r="C9261" s="8">
        <f>IFERROR(__xludf.DUMMYFUNCTION("""COMPUTED_VALUE"""),0.0)</f>
        <v>0</v>
      </c>
      <c r="D9261" s="8"/>
    </row>
    <row r="9262">
      <c r="A9262" s="9" t="str">
        <f>IFERROR(__xludf.DUMMYFUNCTION("""COMPUTED_VALUE"""),"Batch 359")</f>
        <v>Batch 359</v>
      </c>
      <c r="B9262" s="9" t="str">
        <f>IFERROR(__xludf.DUMMYFUNCTION("""COMPUTED_VALUE"""),"PrishaC359")</f>
        <v>PrishaC359</v>
      </c>
      <c r="C9262" s="8">
        <f>IFERROR(__xludf.DUMMYFUNCTION("""COMPUTED_VALUE"""),0.0)</f>
        <v>0</v>
      </c>
      <c r="D9262" s="8"/>
    </row>
    <row r="9263">
      <c r="A9263" s="9" t="str">
        <f>IFERROR(__xludf.DUMMYFUNCTION("""COMPUTED_VALUE"""),"Batch 359")</f>
        <v>Batch 359</v>
      </c>
      <c r="B9263" s="9" t="str">
        <f>IFERROR(__xludf.DUMMYFUNCTION("""COMPUTED_VALUE"""),"RionaC359")</f>
        <v>RionaC359</v>
      </c>
      <c r="C9263" s="8">
        <f>IFERROR(__xludf.DUMMYFUNCTION("""COMPUTED_VALUE"""),0.0)</f>
        <v>0</v>
      </c>
      <c r="D9263" s="8"/>
    </row>
    <row r="9264">
      <c r="A9264" s="9" t="str">
        <f>IFERROR(__xludf.DUMMYFUNCTION("""COMPUTED_VALUE"""),"Batch 359")</f>
        <v>Batch 359</v>
      </c>
      <c r="B9264" s="9" t="str">
        <f>IFERROR(__xludf.DUMMYFUNCTION("""COMPUTED_VALUE"""),"SamridhiC359")</f>
        <v>SamridhiC359</v>
      </c>
      <c r="C9264" s="8">
        <f>IFERROR(__xludf.DUMMYFUNCTION("""COMPUTED_VALUE"""),0.0)</f>
        <v>0</v>
      </c>
      <c r="D9264" s="8"/>
    </row>
    <row r="9265">
      <c r="A9265" s="9" t="str">
        <f>IFERROR(__xludf.DUMMYFUNCTION("""COMPUTED_VALUE"""),"Batch 359")</f>
        <v>Batch 359</v>
      </c>
      <c r="B9265" s="9" t="str">
        <f>IFERROR(__xludf.DUMMYFUNCTION("""COMPUTED_VALUE"""),"AfanC359")</f>
        <v>AfanC359</v>
      </c>
      <c r="C9265" s="8">
        <f>IFERROR(__xludf.DUMMYFUNCTION("""COMPUTED_VALUE"""),0.0)</f>
        <v>0</v>
      </c>
      <c r="D9265" s="8"/>
    </row>
    <row r="9266">
      <c r="A9266" s="9"/>
      <c r="B9266" s="9"/>
      <c r="C9266" s="8">
        <f>IFERROR(__xludf.DUMMYFUNCTION("""COMPUTED_VALUE"""),0.0)</f>
        <v>0</v>
      </c>
      <c r="D9266" s="8"/>
    </row>
    <row r="9267">
      <c r="A9267" s="9" t="str">
        <f>IFERROR(__xludf.DUMMYFUNCTION("""COMPUTED_VALUE"""),"Batch 361")</f>
        <v>Batch 361</v>
      </c>
      <c r="B9267" s="9" t="str">
        <f>IFERROR(__xludf.DUMMYFUNCTION("""COMPUTED_VALUE"""),"ShubhamC361")</f>
        <v>ShubhamC361</v>
      </c>
      <c r="C9267" s="8">
        <f>IFERROR(__xludf.DUMMYFUNCTION("""COMPUTED_VALUE"""),2.0)</f>
        <v>2</v>
      </c>
      <c r="D9267" s="8"/>
    </row>
    <row r="9268">
      <c r="A9268" s="9" t="str">
        <f>IFERROR(__xludf.DUMMYFUNCTION("""COMPUTED_VALUE"""),"Batch 361")</f>
        <v>Batch 361</v>
      </c>
      <c r="B9268" s="9" t="str">
        <f>IFERROR(__xludf.DUMMYFUNCTION("""COMPUTED_VALUE"""),"AnirbanC361")</f>
        <v>AnirbanC361</v>
      </c>
      <c r="C9268" s="8">
        <f>IFERROR(__xludf.DUMMYFUNCTION("""COMPUTED_VALUE"""),0.0)</f>
        <v>0</v>
      </c>
      <c r="D9268" s="8"/>
    </row>
    <row r="9269">
      <c r="A9269" s="9" t="str">
        <f>IFERROR(__xludf.DUMMYFUNCTION("""COMPUTED_VALUE"""),"Batch 361")</f>
        <v>Batch 361</v>
      </c>
      <c r="B9269" s="9" t="str">
        <f>IFERROR(__xludf.DUMMYFUNCTION("""COMPUTED_VALUE"""),"SwagataC361")</f>
        <v>SwagataC361</v>
      </c>
      <c r="C9269" s="8">
        <f>IFERROR(__xludf.DUMMYFUNCTION("""COMPUTED_VALUE"""),0.0)</f>
        <v>0</v>
      </c>
      <c r="D9269" s="8"/>
    </row>
    <row r="9270">
      <c r="A9270" s="9" t="str">
        <f>IFERROR(__xludf.DUMMYFUNCTION("""COMPUTED_VALUE"""),"Batch 361")</f>
        <v>Batch 361</v>
      </c>
      <c r="B9270" s="9" t="str">
        <f>IFERROR(__xludf.DUMMYFUNCTION("""COMPUTED_VALUE"""),"kratikaC361")</f>
        <v>kratikaC361</v>
      </c>
      <c r="C9270" s="8">
        <f>IFERROR(__xludf.DUMMYFUNCTION("""COMPUTED_VALUE"""),0.0)</f>
        <v>0</v>
      </c>
      <c r="D9270" s="8"/>
    </row>
    <row r="9271">
      <c r="A9271" s="9" t="str">
        <f>IFERROR(__xludf.DUMMYFUNCTION("""COMPUTED_VALUE"""),"Batch 361")</f>
        <v>Batch 361</v>
      </c>
      <c r="B9271" s="9" t="str">
        <f>IFERROR(__xludf.DUMMYFUNCTION("""COMPUTED_VALUE"""),"HarshitaC361")</f>
        <v>HarshitaC361</v>
      </c>
      <c r="C9271" s="8">
        <f>IFERROR(__xludf.DUMMYFUNCTION("""COMPUTED_VALUE"""),0.0)</f>
        <v>0</v>
      </c>
      <c r="D9271" s="8"/>
    </row>
    <row r="9272">
      <c r="A9272" s="9" t="str">
        <f>IFERROR(__xludf.DUMMYFUNCTION("""COMPUTED_VALUE"""),"Batch 361")</f>
        <v>Batch 361</v>
      </c>
      <c r="B9272" s="9" t="str">
        <f>IFERROR(__xludf.DUMMYFUNCTION("""COMPUTED_VALUE"""),"HemaC361")</f>
        <v>HemaC361</v>
      </c>
      <c r="C9272" s="8">
        <f>IFERROR(__xludf.DUMMYFUNCTION("""COMPUTED_VALUE"""),0.0)</f>
        <v>0</v>
      </c>
      <c r="D9272" s="8"/>
    </row>
    <row r="9273">
      <c r="A9273" s="9" t="str">
        <f>IFERROR(__xludf.DUMMYFUNCTION("""COMPUTED_VALUE"""),"Batch 361")</f>
        <v>Batch 361</v>
      </c>
      <c r="B9273" s="9" t="str">
        <f>IFERROR(__xludf.DUMMYFUNCTION("""COMPUTED_VALUE"""),"anveshaC361")</f>
        <v>anveshaC361</v>
      </c>
      <c r="C9273" s="8">
        <f>IFERROR(__xludf.DUMMYFUNCTION("""COMPUTED_VALUE"""),0.0)</f>
        <v>0</v>
      </c>
      <c r="D9273" s="8"/>
    </row>
    <row r="9274">
      <c r="A9274" s="9" t="str">
        <f>IFERROR(__xludf.DUMMYFUNCTION("""COMPUTED_VALUE"""),"Batch 361")</f>
        <v>Batch 361</v>
      </c>
      <c r="B9274" s="9" t="str">
        <f>IFERROR(__xludf.DUMMYFUNCTION("""COMPUTED_VALUE"""),"SudiptaC361")</f>
        <v>SudiptaC361</v>
      </c>
      <c r="C9274" s="8">
        <f>IFERROR(__xludf.DUMMYFUNCTION("""COMPUTED_VALUE"""),0.0)</f>
        <v>0</v>
      </c>
      <c r="D9274" s="8"/>
    </row>
    <row r="9275">
      <c r="A9275" s="9" t="str">
        <f>IFERROR(__xludf.DUMMYFUNCTION("""COMPUTED_VALUE"""),"Batch 361")</f>
        <v>Batch 361</v>
      </c>
      <c r="B9275" s="9" t="str">
        <f>IFERROR(__xludf.DUMMYFUNCTION("""COMPUTED_VALUE"""),"DikshaC361")</f>
        <v>DikshaC361</v>
      </c>
      <c r="C9275" s="8">
        <f>IFERROR(__xludf.DUMMYFUNCTION("""COMPUTED_VALUE"""),20.0)</f>
        <v>20</v>
      </c>
      <c r="D9275" s="8">
        <f>IFERROR(__xludf.DUMMYFUNCTION("""COMPUTED_VALUE"""),16.0)</f>
        <v>16</v>
      </c>
    </row>
    <row r="9276">
      <c r="A9276" s="9" t="str">
        <f>IFERROR(__xludf.DUMMYFUNCTION("""COMPUTED_VALUE"""),"Batch 361")</f>
        <v>Batch 361</v>
      </c>
      <c r="B9276" s="9" t="str">
        <f>IFERROR(__xludf.DUMMYFUNCTION("""COMPUTED_VALUE"""),"JaskiratC361")</f>
        <v>JaskiratC361</v>
      </c>
      <c r="C9276" s="8">
        <f>IFERROR(__xludf.DUMMYFUNCTION("""COMPUTED_VALUE"""),0.0)</f>
        <v>0</v>
      </c>
      <c r="D9276" s="8"/>
    </row>
    <row r="9277">
      <c r="A9277" s="9" t="str">
        <f>IFERROR(__xludf.DUMMYFUNCTION("""COMPUTED_VALUE"""),"Batch 361")</f>
        <v>Batch 361</v>
      </c>
      <c r="B9277" s="9" t="str">
        <f>IFERROR(__xludf.DUMMYFUNCTION("""COMPUTED_VALUE"""),"NandhaC361")</f>
        <v>NandhaC361</v>
      </c>
      <c r="C9277" s="8">
        <f>IFERROR(__xludf.DUMMYFUNCTION("""COMPUTED_VALUE"""),0.0)</f>
        <v>0</v>
      </c>
      <c r="D9277" s="8"/>
    </row>
    <row r="9278">
      <c r="A9278" s="9" t="str">
        <f>IFERROR(__xludf.DUMMYFUNCTION("""COMPUTED_VALUE"""),"Batch 361")</f>
        <v>Batch 361</v>
      </c>
      <c r="B9278" s="9" t="str">
        <f>IFERROR(__xludf.DUMMYFUNCTION("""COMPUTED_VALUE"""),"JayanthC361")</f>
        <v>JayanthC361</v>
      </c>
      <c r="C9278" s="8">
        <f>IFERROR(__xludf.DUMMYFUNCTION("""COMPUTED_VALUE"""),0.0)</f>
        <v>0</v>
      </c>
      <c r="D9278" s="8"/>
    </row>
    <row r="9279">
      <c r="A9279" s="9" t="str">
        <f>IFERROR(__xludf.DUMMYFUNCTION("""COMPUTED_VALUE"""),"Batch 361")</f>
        <v>Batch 361</v>
      </c>
      <c r="B9279" s="9" t="str">
        <f>IFERROR(__xludf.DUMMYFUNCTION("""COMPUTED_VALUE"""),"AryaC361")</f>
        <v>AryaC361</v>
      </c>
      <c r="C9279" s="8">
        <f>IFERROR(__xludf.DUMMYFUNCTION("""COMPUTED_VALUE"""),30.0)</f>
        <v>30</v>
      </c>
      <c r="D9279" s="8"/>
    </row>
    <row r="9280">
      <c r="A9280" s="9" t="str">
        <f>IFERROR(__xludf.DUMMYFUNCTION("""COMPUTED_VALUE"""),"Batch 361")</f>
        <v>Batch 361</v>
      </c>
      <c r="B9280" s="9" t="str">
        <f>IFERROR(__xludf.DUMMYFUNCTION("""COMPUTED_VALUE"""),"AmanC361")</f>
        <v>AmanC361</v>
      </c>
      <c r="C9280" s="8">
        <f>IFERROR(__xludf.DUMMYFUNCTION("""COMPUTED_VALUE"""),0.0)</f>
        <v>0</v>
      </c>
      <c r="D9280" s="8"/>
    </row>
    <row r="9281">
      <c r="A9281" s="9" t="str">
        <f>IFERROR(__xludf.DUMMYFUNCTION("""COMPUTED_VALUE"""),"Batch 361")</f>
        <v>Batch 361</v>
      </c>
      <c r="B9281" s="9" t="str">
        <f>IFERROR(__xludf.DUMMYFUNCTION("""COMPUTED_VALUE"""),"KalisettiC361")</f>
        <v>KalisettiC361</v>
      </c>
      <c r="C9281" s="8">
        <f>IFERROR(__xludf.DUMMYFUNCTION("""COMPUTED_VALUE"""),0.0)</f>
        <v>0</v>
      </c>
      <c r="D9281" s="8"/>
    </row>
    <row r="9282">
      <c r="A9282" s="9" t="str">
        <f>IFERROR(__xludf.DUMMYFUNCTION("""COMPUTED_VALUE"""),"Batch 361")</f>
        <v>Batch 361</v>
      </c>
      <c r="B9282" s="9" t="str">
        <f>IFERROR(__xludf.DUMMYFUNCTION("""COMPUTED_VALUE"""),"AmitC361")</f>
        <v>AmitC361</v>
      </c>
      <c r="C9282" s="8">
        <f>IFERROR(__xludf.DUMMYFUNCTION("""COMPUTED_VALUE"""),0.0)</f>
        <v>0</v>
      </c>
      <c r="D9282" s="8"/>
    </row>
    <row r="9283">
      <c r="A9283" s="9" t="str">
        <f>IFERROR(__xludf.DUMMYFUNCTION("""COMPUTED_VALUE"""),"Batch 361")</f>
        <v>Batch 361</v>
      </c>
      <c r="B9283" s="9" t="str">
        <f>IFERROR(__xludf.DUMMYFUNCTION("""COMPUTED_VALUE"""),"AnshitaC361")</f>
        <v>AnshitaC361</v>
      </c>
      <c r="C9283" s="8">
        <f>IFERROR(__xludf.DUMMYFUNCTION("""COMPUTED_VALUE"""),0.0)</f>
        <v>0</v>
      </c>
      <c r="D9283" s="8"/>
    </row>
    <row r="9284">
      <c r="A9284" s="9" t="str">
        <f>IFERROR(__xludf.DUMMYFUNCTION("""COMPUTED_VALUE"""),"Batch 361")</f>
        <v>Batch 361</v>
      </c>
      <c r="B9284" s="9" t="str">
        <f>IFERROR(__xludf.DUMMYFUNCTION("""COMPUTED_VALUE"""),"OliviaC361")</f>
        <v>OliviaC361</v>
      </c>
      <c r="C9284" s="8">
        <f>IFERROR(__xludf.DUMMYFUNCTION("""COMPUTED_VALUE"""),0.0)</f>
        <v>0</v>
      </c>
      <c r="D9284" s="8"/>
    </row>
    <row r="9285">
      <c r="A9285" s="9" t="str">
        <f>IFERROR(__xludf.DUMMYFUNCTION("""COMPUTED_VALUE"""),"Batch 361")</f>
        <v>Batch 361</v>
      </c>
      <c r="B9285" s="9" t="str">
        <f>IFERROR(__xludf.DUMMYFUNCTION("""COMPUTED_VALUE"""),"C.W.SangeethaC361")</f>
        <v>C.W.SangeethaC361</v>
      </c>
      <c r="C9285" s="8">
        <f>IFERROR(__xludf.DUMMYFUNCTION("""COMPUTED_VALUE"""),0.0)</f>
        <v>0</v>
      </c>
      <c r="D9285" s="8"/>
    </row>
    <row r="9286">
      <c r="A9286" s="9" t="str">
        <f>IFERROR(__xludf.DUMMYFUNCTION("""COMPUTED_VALUE"""),"Batch 361")</f>
        <v>Batch 361</v>
      </c>
      <c r="B9286" s="9" t="str">
        <f>IFERROR(__xludf.DUMMYFUNCTION("""COMPUTED_VALUE"""),"SalihaC361")</f>
        <v>SalihaC361</v>
      </c>
      <c r="C9286" s="8">
        <f>IFERROR(__xludf.DUMMYFUNCTION("""COMPUTED_VALUE"""),0.0)</f>
        <v>0</v>
      </c>
      <c r="D9286" s="8"/>
    </row>
    <row r="9287">
      <c r="A9287" s="9" t="str">
        <f>IFERROR(__xludf.DUMMYFUNCTION("""COMPUTED_VALUE"""),"Batch 361")</f>
        <v>Batch 361</v>
      </c>
      <c r="B9287" s="9" t="str">
        <f>IFERROR(__xludf.DUMMYFUNCTION("""COMPUTED_VALUE"""),"SnehaC361")</f>
        <v>SnehaC361</v>
      </c>
      <c r="C9287" s="8">
        <f>IFERROR(__xludf.DUMMYFUNCTION("""COMPUTED_VALUE"""),0.0)</f>
        <v>0</v>
      </c>
      <c r="D9287" s="8"/>
    </row>
    <row r="9288">
      <c r="A9288" s="9" t="str">
        <f>IFERROR(__xludf.DUMMYFUNCTION("""COMPUTED_VALUE"""),"Batch 361")</f>
        <v>Batch 361</v>
      </c>
      <c r="B9288" s="9" t="str">
        <f>IFERROR(__xludf.DUMMYFUNCTION("""COMPUTED_VALUE"""),"SoumenC361")</f>
        <v>SoumenC361</v>
      </c>
      <c r="C9288" s="8">
        <f>IFERROR(__xludf.DUMMYFUNCTION("""COMPUTED_VALUE"""),4.0)</f>
        <v>4</v>
      </c>
      <c r="D9288" s="8"/>
    </row>
    <row r="9289">
      <c r="A9289" s="9" t="str">
        <f>IFERROR(__xludf.DUMMYFUNCTION("""COMPUTED_VALUE"""),"Batch 361")</f>
        <v>Batch 361</v>
      </c>
      <c r="B9289" s="9" t="str">
        <f>IFERROR(__xludf.DUMMYFUNCTION("""COMPUTED_VALUE"""),"HarshalC361")</f>
        <v>HarshalC361</v>
      </c>
      <c r="C9289" s="8">
        <f>IFERROR(__xludf.DUMMYFUNCTION("""COMPUTED_VALUE"""),0.0)</f>
        <v>0</v>
      </c>
      <c r="D9289" s="8"/>
    </row>
    <row r="9290">
      <c r="A9290" s="9" t="str">
        <f>IFERROR(__xludf.DUMMYFUNCTION("""COMPUTED_VALUE"""),"Batch 361")</f>
        <v>Batch 361</v>
      </c>
      <c r="B9290" s="9" t="str">
        <f>IFERROR(__xludf.DUMMYFUNCTION("""COMPUTED_VALUE"""),"AnshuC361")</f>
        <v>AnshuC361</v>
      </c>
      <c r="C9290" s="8">
        <f>IFERROR(__xludf.DUMMYFUNCTION("""COMPUTED_VALUE"""),0.0)</f>
        <v>0</v>
      </c>
      <c r="D9290" s="8"/>
    </row>
    <row r="9291">
      <c r="A9291" s="9" t="str">
        <f>IFERROR(__xludf.DUMMYFUNCTION("""COMPUTED_VALUE"""),"Batch 361")</f>
        <v>Batch 361</v>
      </c>
      <c r="B9291" s="9" t="str">
        <f>IFERROR(__xludf.DUMMYFUNCTION("""COMPUTED_VALUE"""),"PriyankaC361")</f>
        <v>PriyankaC361</v>
      </c>
      <c r="C9291" s="8">
        <f>IFERROR(__xludf.DUMMYFUNCTION("""COMPUTED_VALUE"""),0.0)</f>
        <v>0</v>
      </c>
      <c r="D9291" s="8"/>
    </row>
    <row r="9292">
      <c r="A9292" s="9" t="str">
        <f>IFERROR(__xludf.DUMMYFUNCTION("""COMPUTED_VALUE"""),"Batch 361")</f>
        <v>Batch 361</v>
      </c>
      <c r="B9292" s="9" t="str">
        <f>IFERROR(__xludf.DUMMYFUNCTION("""COMPUTED_VALUE"""),"VaishnaviC361")</f>
        <v>VaishnaviC361</v>
      </c>
      <c r="C9292" s="8">
        <f>IFERROR(__xludf.DUMMYFUNCTION("""COMPUTED_VALUE"""),0.0)</f>
        <v>0</v>
      </c>
      <c r="D9292" s="8"/>
    </row>
    <row r="9293">
      <c r="A9293" s="9" t="str">
        <f>IFERROR(__xludf.DUMMYFUNCTION("""COMPUTED_VALUE"""),"Batch 361")</f>
        <v>Batch 361</v>
      </c>
      <c r="B9293" s="9" t="str">
        <f>IFERROR(__xludf.DUMMYFUNCTION("""COMPUTED_VALUE"""),"KirtiC361")</f>
        <v>KirtiC361</v>
      </c>
      <c r="C9293" s="8">
        <f>IFERROR(__xludf.DUMMYFUNCTION("""COMPUTED_VALUE"""),0.0)</f>
        <v>0</v>
      </c>
      <c r="D9293" s="8"/>
    </row>
    <row r="9294">
      <c r="A9294" s="9" t="str">
        <f>IFERROR(__xludf.DUMMYFUNCTION("""COMPUTED_VALUE"""),"Batch 361")</f>
        <v>Batch 361</v>
      </c>
      <c r="B9294" s="9" t="str">
        <f>IFERROR(__xludf.DUMMYFUNCTION("""COMPUTED_VALUE"""),"KushagraC361")</f>
        <v>KushagraC361</v>
      </c>
      <c r="C9294" s="8">
        <f>IFERROR(__xludf.DUMMYFUNCTION("""COMPUTED_VALUE"""),0.0)</f>
        <v>0</v>
      </c>
      <c r="D9294" s="8"/>
    </row>
    <row r="9295">
      <c r="A9295" s="9" t="str">
        <f>IFERROR(__xludf.DUMMYFUNCTION("""COMPUTED_VALUE"""),"Batch 361")</f>
        <v>Batch 361</v>
      </c>
      <c r="B9295" s="9" t="str">
        <f>IFERROR(__xludf.DUMMYFUNCTION("""COMPUTED_VALUE"""),"YatiC361")</f>
        <v>YatiC361</v>
      </c>
      <c r="C9295" s="8">
        <f>IFERROR(__xludf.DUMMYFUNCTION("""COMPUTED_VALUE"""),0.0)</f>
        <v>0</v>
      </c>
      <c r="D9295" s="8"/>
    </row>
    <row r="9296">
      <c r="A9296" s="9" t="str">
        <f>IFERROR(__xludf.DUMMYFUNCTION("""COMPUTED_VALUE"""),"Batch 361")</f>
        <v>Batch 361</v>
      </c>
      <c r="B9296" s="9" t="str">
        <f>IFERROR(__xludf.DUMMYFUNCTION("""COMPUTED_VALUE"""),"SnehaCC361")</f>
        <v>SnehaCC361</v>
      </c>
      <c r="C9296" s="8">
        <f>IFERROR(__xludf.DUMMYFUNCTION("""COMPUTED_VALUE"""),0.0)</f>
        <v>0</v>
      </c>
      <c r="D9296" s="8"/>
    </row>
    <row r="9297">
      <c r="A9297" s="9" t="str">
        <f>IFERROR(__xludf.DUMMYFUNCTION("""COMPUTED_VALUE"""),"Batch 361")</f>
        <v>Batch 361</v>
      </c>
      <c r="B9297" s="9" t="str">
        <f>IFERROR(__xludf.DUMMYFUNCTION("""COMPUTED_VALUE"""),"GauravC361")</f>
        <v>GauravC361</v>
      </c>
      <c r="C9297" s="8">
        <f>IFERROR(__xludf.DUMMYFUNCTION("""COMPUTED_VALUE"""),0.0)</f>
        <v>0</v>
      </c>
      <c r="D9297" s="8"/>
    </row>
    <row r="9298">
      <c r="A9298" s="9" t="str">
        <f>IFERROR(__xludf.DUMMYFUNCTION("""COMPUTED_VALUE"""),"Batch 361")</f>
        <v>Batch 361</v>
      </c>
      <c r="B9298" s="9" t="str">
        <f>IFERROR(__xludf.DUMMYFUNCTION("""COMPUTED_VALUE"""),"MantavyaC361")</f>
        <v>MantavyaC361</v>
      </c>
      <c r="C9298" s="8">
        <f>IFERROR(__xludf.DUMMYFUNCTION("""COMPUTED_VALUE"""),0.0)</f>
        <v>0</v>
      </c>
      <c r="D9298" s="8"/>
    </row>
    <row r="9299">
      <c r="A9299" s="9" t="str">
        <f>IFERROR(__xludf.DUMMYFUNCTION("""COMPUTED_VALUE"""),"Batch 361")</f>
        <v>Batch 361</v>
      </c>
      <c r="B9299" s="9" t="str">
        <f>IFERROR(__xludf.DUMMYFUNCTION("""COMPUTED_VALUE"""),"DonthiC361")</f>
        <v>DonthiC361</v>
      </c>
      <c r="C9299" s="8">
        <f>IFERROR(__xludf.DUMMYFUNCTION("""COMPUTED_VALUE"""),0.0)</f>
        <v>0</v>
      </c>
      <c r="D9299" s="8"/>
    </row>
    <row r="9300">
      <c r="A9300" s="9" t="str">
        <f>IFERROR(__xludf.DUMMYFUNCTION("""COMPUTED_VALUE"""),"Batch 361")</f>
        <v>Batch 361</v>
      </c>
      <c r="B9300" s="9" t="str">
        <f>IFERROR(__xludf.DUMMYFUNCTION("""COMPUTED_VALUE"""),"AlisettiC361")</f>
        <v>AlisettiC361</v>
      </c>
      <c r="C9300" s="8">
        <f>IFERROR(__xludf.DUMMYFUNCTION("""COMPUTED_VALUE"""),1.0)</f>
        <v>1</v>
      </c>
      <c r="D9300" s="8"/>
    </row>
    <row r="9301">
      <c r="A9301" s="9" t="str">
        <f>IFERROR(__xludf.DUMMYFUNCTION("""COMPUTED_VALUE"""),"Batch 361")</f>
        <v>Batch 361</v>
      </c>
      <c r="B9301" s="9" t="str">
        <f>IFERROR(__xludf.DUMMYFUNCTION("""COMPUTED_VALUE"""),"SonamC361")</f>
        <v>SonamC361</v>
      </c>
      <c r="C9301" s="8">
        <f>IFERROR(__xludf.DUMMYFUNCTION("""COMPUTED_VALUE"""),0.0)</f>
        <v>0</v>
      </c>
      <c r="D9301" s="8"/>
    </row>
    <row r="9302">
      <c r="A9302" s="9" t="str">
        <f>IFERROR(__xludf.DUMMYFUNCTION("""COMPUTED_VALUE"""),"Batch 361")</f>
        <v>Batch 361</v>
      </c>
      <c r="B9302" s="9" t="str">
        <f>IFERROR(__xludf.DUMMYFUNCTION("""COMPUTED_VALUE"""),"KURUVAC361")</f>
        <v>KURUVAC361</v>
      </c>
      <c r="C9302" s="8">
        <f>IFERROR(__xludf.DUMMYFUNCTION("""COMPUTED_VALUE"""),0.0)</f>
        <v>0</v>
      </c>
      <c r="D9302" s="8"/>
    </row>
    <row r="9303">
      <c r="A9303" s="9" t="str">
        <f>IFERROR(__xludf.DUMMYFUNCTION("""COMPUTED_VALUE"""),"Batch 361")</f>
        <v>Batch 361</v>
      </c>
      <c r="B9303" s="9" t="str">
        <f>IFERROR(__xludf.DUMMYFUNCTION("""COMPUTED_VALUE"""),"BhattC361")</f>
        <v>BhattC361</v>
      </c>
      <c r="C9303" s="8">
        <f>IFERROR(__xludf.DUMMYFUNCTION("""COMPUTED_VALUE"""),0.0)</f>
        <v>0</v>
      </c>
      <c r="D9303" s="8"/>
    </row>
    <row r="9304">
      <c r="A9304" s="9" t="str">
        <f>IFERROR(__xludf.DUMMYFUNCTION("""COMPUTED_VALUE"""),"Batch 361")</f>
        <v>Batch 361</v>
      </c>
      <c r="B9304" s="9" t="str">
        <f>IFERROR(__xludf.DUMMYFUNCTION("""COMPUTED_VALUE"""),"ShahidC361")</f>
        <v>ShahidC361</v>
      </c>
      <c r="C9304" s="8">
        <f>IFERROR(__xludf.DUMMYFUNCTION("""COMPUTED_VALUE"""),0.0)</f>
        <v>0</v>
      </c>
      <c r="D9304" s="8"/>
    </row>
    <row r="9305">
      <c r="A9305" s="9" t="str">
        <f>IFERROR(__xludf.DUMMYFUNCTION("""COMPUTED_VALUE"""),"Batch 361")</f>
        <v>Batch 361</v>
      </c>
      <c r="B9305" s="9" t="str">
        <f>IFERROR(__xludf.DUMMYFUNCTION("""COMPUTED_VALUE"""),"SattineniC361")</f>
        <v>SattineniC361</v>
      </c>
      <c r="C9305" s="8">
        <f>IFERROR(__xludf.DUMMYFUNCTION("""COMPUTED_VALUE"""),30.0)</f>
        <v>30</v>
      </c>
      <c r="D9305" s="8">
        <f>IFERROR(__xludf.DUMMYFUNCTION("""COMPUTED_VALUE"""),21.0)</f>
        <v>21</v>
      </c>
    </row>
    <row r="9306">
      <c r="A9306" s="9" t="str">
        <f>IFERROR(__xludf.DUMMYFUNCTION("""COMPUTED_VALUE"""),"Batch 361")</f>
        <v>Batch 361</v>
      </c>
      <c r="B9306" s="9" t="str">
        <f>IFERROR(__xludf.DUMMYFUNCTION("""COMPUTED_VALUE"""),"ShaliniC361")</f>
        <v>ShaliniC361</v>
      </c>
      <c r="C9306" s="8">
        <f>IFERROR(__xludf.DUMMYFUNCTION("""COMPUTED_VALUE"""),0.0)</f>
        <v>0</v>
      </c>
      <c r="D9306" s="8"/>
    </row>
    <row r="9307">
      <c r="A9307" s="9" t="str">
        <f>IFERROR(__xludf.DUMMYFUNCTION("""COMPUTED_VALUE"""),"Batch 361")</f>
        <v>Batch 361</v>
      </c>
      <c r="B9307" s="9" t="str">
        <f>IFERROR(__xludf.DUMMYFUNCTION("""COMPUTED_VALUE"""),"ShivaC361")</f>
        <v>ShivaC361</v>
      </c>
      <c r="C9307" s="8">
        <f>IFERROR(__xludf.DUMMYFUNCTION("""COMPUTED_VALUE"""),0.0)</f>
        <v>0</v>
      </c>
      <c r="D9307" s="8"/>
    </row>
    <row r="9308">
      <c r="A9308" s="9" t="str">
        <f>IFERROR(__xludf.DUMMYFUNCTION("""COMPUTED_VALUE"""),"Batch 361")</f>
        <v>Batch 361</v>
      </c>
      <c r="B9308" s="9" t="str">
        <f>IFERROR(__xludf.DUMMYFUNCTION("""COMPUTED_VALUE"""),"JiyaC361")</f>
        <v>JiyaC361</v>
      </c>
      <c r="C9308" s="8">
        <f>IFERROR(__xludf.DUMMYFUNCTION("""COMPUTED_VALUE"""),0.0)</f>
        <v>0</v>
      </c>
      <c r="D9308" s="8"/>
    </row>
    <row r="9309">
      <c r="A9309" s="9" t="str">
        <f>IFERROR(__xludf.DUMMYFUNCTION("""COMPUTED_VALUE"""),"Batch 361")</f>
        <v>Batch 361</v>
      </c>
      <c r="B9309" s="9" t="str">
        <f>IFERROR(__xludf.DUMMYFUNCTION("""COMPUTED_VALUE"""),"A.kavyasriC361")</f>
        <v>A.kavyasriC361</v>
      </c>
      <c r="C9309" s="8">
        <f>IFERROR(__xludf.DUMMYFUNCTION("""COMPUTED_VALUE"""),0.0)</f>
        <v>0</v>
      </c>
      <c r="D9309" s="8"/>
    </row>
    <row r="9310">
      <c r="A9310" s="9" t="str">
        <f>IFERROR(__xludf.DUMMYFUNCTION("""COMPUTED_VALUE"""),"Batch 361")</f>
        <v>Batch 361</v>
      </c>
      <c r="B9310" s="9" t="str">
        <f>IFERROR(__xludf.DUMMYFUNCTION("""COMPUTED_VALUE"""),"GarimaC361")</f>
        <v>GarimaC361</v>
      </c>
      <c r="C9310" s="8">
        <f>IFERROR(__xludf.DUMMYFUNCTION("""COMPUTED_VALUE"""),0.0)</f>
        <v>0</v>
      </c>
      <c r="D9310" s="8"/>
    </row>
    <row r="9311">
      <c r="A9311" s="9" t="str">
        <f>IFERROR(__xludf.DUMMYFUNCTION("""COMPUTED_VALUE"""),"Batch 361")</f>
        <v>Batch 361</v>
      </c>
      <c r="B9311" s="9" t="str">
        <f>IFERROR(__xludf.DUMMYFUNCTION("""COMPUTED_VALUE"""),"AshmeetC361")</f>
        <v>AshmeetC361</v>
      </c>
      <c r="C9311" s="8">
        <f>IFERROR(__xludf.DUMMYFUNCTION("""COMPUTED_VALUE"""),0.0)</f>
        <v>0</v>
      </c>
      <c r="D9311" s="8"/>
    </row>
    <row r="9312">
      <c r="A9312" s="9" t="str">
        <f>IFERROR(__xludf.DUMMYFUNCTION("""COMPUTED_VALUE"""),"Batch 361")</f>
        <v>Batch 361</v>
      </c>
      <c r="B9312" s="9" t="str">
        <f>IFERROR(__xludf.DUMMYFUNCTION("""COMPUTED_VALUE"""),"NandiniC361")</f>
        <v>NandiniC361</v>
      </c>
      <c r="C9312" s="8">
        <f>IFERROR(__xludf.DUMMYFUNCTION("""COMPUTED_VALUE"""),3.0)</f>
        <v>3</v>
      </c>
      <c r="D9312" s="8">
        <f>IFERROR(__xludf.DUMMYFUNCTION("""COMPUTED_VALUE"""),1.0)</f>
        <v>1</v>
      </c>
    </row>
    <row r="9313">
      <c r="A9313" s="9" t="str">
        <f>IFERROR(__xludf.DUMMYFUNCTION("""COMPUTED_VALUE"""),"Batch 361")</f>
        <v>Batch 361</v>
      </c>
      <c r="B9313" s="9" t="str">
        <f>IFERROR(__xludf.DUMMYFUNCTION("""COMPUTED_VALUE"""),"GuthiC361")</f>
        <v>GuthiC361</v>
      </c>
      <c r="C9313" s="8">
        <f>IFERROR(__xludf.DUMMYFUNCTION("""COMPUTED_VALUE"""),0.0)</f>
        <v>0</v>
      </c>
      <c r="D9313" s="8"/>
    </row>
    <row r="9314">
      <c r="A9314" s="9" t="str">
        <f>IFERROR(__xludf.DUMMYFUNCTION("""COMPUTED_VALUE"""),"Batch 361")</f>
        <v>Batch 361</v>
      </c>
      <c r="B9314" s="9" t="str">
        <f>IFERROR(__xludf.DUMMYFUNCTION("""COMPUTED_VALUE"""),"KHUSHIC361")</f>
        <v>KHUSHIC361</v>
      </c>
      <c r="C9314" s="8">
        <f>IFERROR(__xludf.DUMMYFUNCTION("""COMPUTED_VALUE"""),0.0)</f>
        <v>0</v>
      </c>
      <c r="D9314" s="8"/>
    </row>
    <row r="9315">
      <c r="A9315" s="9" t="str">
        <f>IFERROR(__xludf.DUMMYFUNCTION("""COMPUTED_VALUE"""),"Batch 361")</f>
        <v>Batch 361</v>
      </c>
      <c r="B9315" s="9" t="str">
        <f>IFERROR(__xludf.DUMMYFUNCTION("""COMPUTED_VALUE"""),"BihangiC361")</f>
        <v>BihangiC361</v>
      </c>
      <c r="C9315" s="8">
        <f>IFERROR(__xludf.DUMMYFUNCTION("""COMPUTED_VALUE"""),0.0)</f>
        <v>0</v>
      </c>
      <c r="D9315" s="8"/>
    </row>
    <row r="9316">
      <c r="A9316" s="9" t="str">
        <f>IFERROR(__xludf.DUMMYFUNCTION("""COMPUTED_VALUE"""),"Batch 361")</f>
        <v>Batch 361</v>
      </c>
      <c r="B9316" s="9" t="str">
        <f>IFERROR(__xludf.DUMMYFUNCTION("""COMPUTED_VALUE"""),"ABHAYC361")</f>
        <v>ABHAYC361</v>
      </c>
      <c r="C9316" s="8">
        <f>IFERROR(__xludf.DUMMYFUNCTION("""COMPUTED_VALUE"""),4.0)</f>
        <v>4</v>
      </c>
      <c r="D9316" s="8">
        <f>IFERROR(__xludf.DUMMYFUNCTION("""COMPUTED_VALUE"""),4.0)</f>
        <v>4</v>
      </c>
    </row>
    <row r="9317">
      <c r="A9317" s="9" t="str">
        <f>IFERROR(__xludf.DUMMYFUNCTION("""COMPUTED_VALUE"""),"Batch 361")</f>
        <v>Batch 361</v>
      </c>
      <c r="B9317" s="9" t="str">
        <f>IFERROR(__xludf.DUMMYFUNCTION("""COMPUTED_VALUE"""),"RounaqC361")</f>
        <v>RounaqC361</v>
      </c>
      <c r="C9317" s="8">
        <f>IFERROR(__xludf.DUMMYFUNCTION("""COMPUTED_VALUE"""),0.0)</f>
        <v>0</v>
      </c>
      <c r="D9317" s="8"/>
    </row>
    <row r="9318">
      <c r="A9318" s="9" t="str">
        <f>IFERROR(__xludf.DUMMYFUNCTION("""COMPUTED_VALUE"""),"Batch 361")</f>
        <v>Batch 361</v>
      </c>
      <c r="B9318" s="9" t="str">
        <f>IFERROR(__xludf.DUMMYFUNCTION("""COMPUTED_VALUE"""),"SaniyaC361")</f>
        <v>SaniyaC361</v>
      </c>
      <c r="C9318" s="8">
        <f>IFERROR(__xludf.DUMMYFUNCTION("""COMPUTED_VALUE"""),0.0)</f>
        <v>0</v>
      </c>
      <c r="D9318" s="8"/>
    </row>
    <row r="9319">
      <c r="A9319" s="9" t="str">
        <f>IFERROR(__xludf.DUMMYFUNCTION("""COMPUTED_VALUE"""),"Batch 361")</f>
        <v>Batch 361</v>
      </c>
      <c r="B9319" s="9" t="str">
        <f>IFERROR(__xludf.DUMMYFUNCTION("""COMPUTED_VALUE"""),"SohamC361")</f>
        <v>SohamC361</v>
      </c>
      <c r="C9319" s="8">
        <f>IFERROR(__xludf.DUMMYFUNCTION("""COMPUTED_VALUE"""),0.0)</f>
        <v>0</v>
      </c>
      <c r="D9319" s="8"/>
    </row>
    <row r="9320">
      <c r="A9320" s="9" t="str">
        <f>IFERROR(__xludf.DUMMYFUNCTION("""COMPUTED_VALUE"""),"Batch 361")</f>
        <v>Batch 361</v>
      </c>
      <c r="B9320" s="9" t="str">
        <f>IFERROR(__xludf.DUMMYFUNCTION("""COMPUTED_VALUE"""),"GayathriC361")</f>
        <v>GayathriC361</v>
      </c>
      <c r="C9320" s="8">
        <f>IFERROR(__xludf.DUMMYFUNCTION("""COMPUTED_VALUE"""),1.0)</f>
        <v>1</v>
      </c>
      <c r="D9320" s="8"/>
    </row>
    <row r="9321">
      <c r="A9321" s="9" t="str">
        <f>IFERROR(__xludf.DUMMYFUNCTION("""COMPUTED_VALUE"""),"Batch 361")</f>
        <v>Batch 361</v>
      </c>
      <c r="B9321" s="9" t="str">
        <f>IFERROR(__xludf.DUMMYFUNCTION("""COMPUTED_VALUE"""),"BandelaC361")</f>
        <v>BandelaC361</v>
      </c>
      <c r="C9321" s="8">
        <f>IFERROR(__xludf.DUMMYFUNCTION("""COMPUTED_VALUE"""),0.0)</f>
        <v>0</v>
      </c>
      <c r="D9321" s="8"/>
    </row>
    <row r="9322">
      <c r="A9322" s="9" t="str">
        <f>IFERROR(__xludf.DUMMYFUNCTION("""COMPUTED_VALUE"""),"Batch 361")</f>
        <v>Batch 361</v>
      </c>
      <c r="B9322" s="9" t="str">
        <f>IFERROR(__xludf.DUMMYFUNCTION("""COMPUTED_VALUE"""),"sanyaC361")</f>
        <v>sanyaC361</v>
      </c>
      <c r="C9322" s="8">
        <f>IFERROR(__xludf.DUMMYFUNCTION("""COMPUTED_VALUE"""),0.0)</f>
        <v>0</v>
      </c>
      <c r="D9322" s="8"/>
    </row>
    <row r="9323">
      <c r="A9323" s="9" t="str">
        <f>IFERROR(__xludf.DUMMYFUNCTION("""COMPUTED_VALUE"""),"Batch 361")</f>
        <v>Batch 361</v>
      </c>
      <c r="B9323" s="9" t="str">
        <f>IFERROR(__xludf.DUMMYFUNCTION("""COMPUTED_VALUE"""),"RishikeshC361")</f>
        <v>RishikeshC361</v>
      </c>
      <c r="C9323" s="8">
        <f>IFERROR(__xludf.DUMMYFUNCTION("""COMPUTED_VALUE"""),4.0)</f>
        <v>4</v>
      </c>
      <c r="D9323" s="8">
        <f>IFERROR(__xludf.DUMMYFUNCTION("""COMPUTED_VALUE"""),1.0)</f>
        <v>1</v>
      </c>
    </row>
    <row r="9324">
      <c r="A9324" s="9" t="str">
        <f>IFERROR(__xludf.DUMMYFUNCTION("""COMPUTED_VALUE"""),"Batch 361")</f>
        <v>Batch 361</v>
      </c>
      <c r="B9324" s="9" t="str">
        <f>IFERROR(__xludf.DUMMYFUNCTION("""COMPUTED_VALUE"""),"MC361")</f>
        <v>MC361</v>
      </c>
      <c r="C9324" s="8">
        <f>IFERROR(__xludf.DUMMYFUNCTION("""COMPUTED_VALUE"""),0.0)</f>
        <v>0</v>
      </c>
      <c r="D9324" s="8"/>
    </row>
    <row r="9325">
      <c r="A9325" s="9" t="str">
        <f>IFERROR(__xludf.DUMMYFUNCTION("""COMPUTED_VALUE"""),"Batch 361")</f>
        <v>Batch 361</v>
      </c>
      <c r="B9325" s="9" t="str">
        <f>IFERROR(__xludf.DUMMYFUNCTION("""COMPUTED_VALUE"""),"DharshiniC361")</f>
        <v>DharshiniC361</v>
      </c>
      <c r="C9325" s="8">
        <f>IFERROR(__xludf.DUMMYFUNCTION("""COMPUTED_VALUE"""),0.0)</f>
        <v>0</v>
      </c>
      <c r="D9325" s="8"/>
    </row>
    <row r="9326">
      <c r="A9326" s="9" t="str">
        <f>IFERROR(__xludf.DUMMYFUNCTION("""COMPUTED_VALUE"""),"Batch 361")</f>
        <v>Batch 361</v>
      </c>
      <c r="B9326" s="9" t="str">
        <f>IFERROR(__xludf.DUMMYFUNCTION("""COMPUTED_VALUE"""),"RohitC361")</f>
        <v>RohitC361</v>
      </c>
      <c r="C9326" s="8">
        <f>IFERROR(__xludf.DUMMYFUNCTION("""COMPUTED_VALUE"""),0.0)</f>
        <v>0</v>
      </c>
      <c r="D9326" s="8"/>
    </row>
    <row r="9327">
      <c r="A9327" s="9" t="str">
        <f>IFERROR(__xludf.DUMMYFUNCTION("""COMPUTED_VALUE"""),"Batch 361")</f>
        <v>Batch 361</v>
      </c>
      <c r="B9327" s="9" t="str">
        <f>IFERROR(__xludf.DUMMYFUNCTION("""COMPUTED_VALUE"""),"KHUSHBUC361")</f>
        <v>KHUSHBUC361</v>
      </c>
      <c r="C9327" s="8">
        <f>IFERROR(__xludf.DUMMYFUNCTION("""COMPUTED_VALUE"""),0.0)</f>
        <v>0</v>
      </c>
      <c r="D9327" s="8"/>
    </row>
    <row r="9328">
      <c r="A9328" s="9" t="str">
        <f>IFERROR(__xludf.DUMMYFUNCTION("""COMPUTED_VALUE"""),"Batch 361")</f>
        <v>Batch 361</v>
      </c>
      <c r="B9328" s="9" t="str">
        <f>IFERROR(__xludf.DUMMYFUNCTION("""COMPUTED_VALUE"""),"ABHISHEKC361")</f>
        <v>ABHISHEKC361</v>
      </c>
      <c r="C9328" s="8">
        <f>IFERROR(__xludf.DUMMYFUNCTION("""COMPUTED_VALUE"""),0.0)</f>
        <v>0</v>
      </c>
      <c r="D9328" s="8"/>
    </row>
    <row r="9329">
      <c r="A9329" s="9" t="str">
        <f>IFERROR(__xludf.DUMMYFUNCTION("""COMPUTED_VALUE"""),"Batch 361")</f>
        <v>Batch 361</v>
      </c>
      <c r="B9329" s="9" t="str">
        <f>IFERROR(__xludf.DUMMYFUNCTION("""COMPUTED_VALUE"""),"JinamC361")</f>
        <v>JinamC361</v>
      </c>
      <c r="C9329" s="8">
        <f>IFERROR(__xludf.DUMMYFUNCTION("""COMPUTED_VALUE"""),0.0)</f>
        <v>0</v>
      </c>
      <c r="D9329" s="8"/>
    </row>
    <row r="9330">
      <c r="A9330" s="9" t="str">
        <f>IFERROR(__xludf.DUMMYFUNCTION("""COMPUTED_VALUE"""),"Batch 361")</f>
        <v>Batch 361</v>
      </c>
      <c r="B9330" s="9" t="str">
        <f>IFERROR(__xludf.DUMMYFUNCTION("""COMPUTED_VALUE"""),"AkshatC361")</f>
        <v>AkshatC361</v>
      </c>
      <c r="C9330" s="8">
        <f>IFERROR(__xludf.DUMMYFUNCTION("""COMPUTED_VALUE"""),0.0)</f>
        <v>0</v>
      </c>
      <c r="D9330" s="8"/>
    </row>
    <row r="9331">
      <c r="A9331" s="9" t="str">
        <f>IFERROR(__xludf.DUMMYFUNCTION("""COMPUTED_VALUE"""),"Batch 361")</f>
        <v>Batch 361</v>
      </c>
      <c r="B9331" s="9" t="str">
        <f>IFERROR(__xludf.DUMMYFUNCTION("""COMPUTED_VALUE"""),"tanishqC361")</f>
        <v>tanishqC361</v>
      </c>
      <c r="C9331" s="8">
        <f>IFERROR(__xludf.DUMMYFUNCTION("""COMPUTED_VALUE"""),0.0)</f>
        <v>0</v>
      </c>
      <c r="D9331" s="8"/>
    </row>
    <row r="9332">
      <c r="A9332" s="9" t="str">
        <f>IFERROR(__xludf.DUMMYFUNCTION("""COMPUTED_VALUE"""),"Batch 361")</f>
        <v>Batch 361</v>
      </c>
      <c r="B9332" s="9" t="str">
        <f>IFERROR(__xludf.DUMMYFUNCTION("""COMPUTED_VALUE"""),"AshutoshC361")</f>
        <v>AshutoshC361</v>
      </c>
      <c r="C9332" s="8">
        <f>IFERROR(__xludf.DUMMYFUNCTION("""COMPUTED_VALUE"""),0.0)</f>
        <v>0</v>
      </c>
      <c r="D9332" s="8"/>
    </row>
    <row r="9333">
      <c r="A9333" s="9" t="str">
        <f>IFERROR(__xludf.DUMMYFUNCTION("""COMPUTED_VALUE"""),"Batch 361")</f>
        <v>Batch 361</v>
      </c>
      <c r="B9333" s="9" t="str">
        <f>IFERROR(__xludf.DUMMYFUNCTION("""COMPUTED_VALUE"""),"SyedC361")</f>
        <v>SyedC361</v>
      </c>
      <c r="C9333" s="8">
        <f>IFERROR(__xludf.DUMMYFUNCTION("""COMPUTED_VALUE"""),0.0)</f>
        <v>0</v>
      </c>
      <c r="D9333" s="8"/>
    </row>
    <row r="9334">
      <c r="A9334" s="9" t="str">
        <f>IFERROR(__xludf.DUMMYFUNCTION("""COMPUTED_VALUE"""),"Batch 361")</f>
        <v>Batch 361</v>
      </c>
      <c r="B9334" s="9" t="str">
        <f>IFERROR(__xludf.DUMMYFUNCTION("""COMPUTED_VALUE"""),"ChakshuC361")</f>
        <v>ChakshuC361</v>
      </c>
      <c r="C9334" s="8">
        <f>IFERROR(__xludf.DUMMYFUNCTION("""COMPUTED_VALUE"""),0.0)</f>
        <v>0</v>
      </c>
      <c r="D9334" s="8"/>
    </row>
    <row r="9335">
      <c r="A9335" s="9" t="str">
        <f>IFERROR(__xludf.DUMMYFUNCTION("""COMPUTED_VALUE"""),"Batch 361")</f>
        <v>Batch 361</v>
      </c>
      <c r="B9335" s="9" t="str">
        <f>IFERROR(__xludf.DUMMYFUNCTION("""COMPUTED_VALUE"""),"AneekC361")</f>
        <v>AneekC361</v>
      </c>
      <c r="C9335" s="8">
        <f>IFERROR(__xludf.DUMMYFUNCTION("""COMPUTED_VALUE"""),0.0)</f>
        <v>0</v>
      </c>
      <c r="D9335" s="8"/>
    </row>
    <row r="9336">
      <c r="A9336" s="9" t="str">
        <f>IFERROR(__xludf.DUMMYFUNCTION("""COMPUTED_VALUE"""),"Batch 361")</f>
        <v>Batch 361</v>
      </c>
      <c r="B9336" s="9" t="str">
        <f>IFERROR(__xludf.DUMMYFUNCTION("""COMPUTED_VALUE"""),"AlinaC361")</f>
        <v>AlinaC361</v>
      </c>
      <c r="C9336" s="8">
        <f>IFERROR(__xludf.DUMMYFUNCTION("""COMPUTED_VALUE"""),1.0)</f>
        <v>1</v>
      </c>
      <c r="D9336" s="8"/>
    </row>
    <row r="9337">
      <c r="A9337" s="9" t="str">
        <f>IFERROR(__xludf.DUMMYFUNCTION("""COMPUTED_VALUE"""),"Batch 361")</f>
        <v>Batch 361</v>
      </c>
      <c r="B9337" s="9" t="str">
        <f>IFERROR(__xludf.DUMMYFUNCTION("""COMPUTED_VALUE"""),"AkshitaC361")</f>
        <v>AkshitaC361</v>
      </c>
      <c r="C9337" s="8">
        <f>IFERROR(__xludf.DUMMYFUNCTION("""COMPUTED_VALUE"""),0.0)</f>
        <v>0</v>
      </c>
      <c r="D9337" s="8"/>
    </row>
    <row r="9338">
      <c r="A9338" s="9" t="str">
        <f>IFERROR(__xludf.DUMMYFUNCTION("""COMPUTED_VALUE"""),"Batch 361")</f>
        <v>Batch 361</v>
      </c>
      <c r="B9338" s="9" t="str">
        <f>IFERROR(__xludf.DUMMYFUNCTION("""COMPUTED_VALUE"""),"DrishtiC361")</f>
        <v>DrishtiC361</v>
      </c>
      <c r="C9338" s="8">
        <f>IFERROR(__xludf.DUMMYFUNCTION("""COMPUTED_VALUE"""),0.0)</f>
        <v>0</v>
      </c>
      <c r="D9338" s="8"/>
    </row>
    <row r="9339">
      <c r="A9339" s="9" t="str">
        <f>IFERROR(__xludf.DUMMYFUNCTION("""COMPUTED_VALUE"""),"Batch 361")</f>
        <v>Batch 361</v>
      </c>
      <c r="B9339" s="9" t="str">
        <f>IFERROR(__xludf.DUMMYFUNCTION("""COMPUTED_VALUE"""),"RidaC361")</f>
        <v>RidaC361</v>
      </c>
      <c r="C9339" s="8">
        <f>IFERROR(__xludf.DUMMYFUNCTION("""COMPUTED_VALUE"""),0.0)</f>
        <v>0</v>
      </c>
      <c r="D9339" s="8"/>
    </row>
    <row r="9340">
      <c r="A9340" s="9" t="str">
        <f>IFERROR(__xludf.DUMMYFUNCTION("""COMPUTED_VALUE"""),"Batch 361")</f>
        <v>Batch 361</v>
      </c>
      <c r="B9340" s="9" t="str">
        <f>IFERROR(__xludf.DUMMYFUNCTION("""COMPUTED_VALUE"""),"MadhanC361")</f>
        <v>MadhanC361</v>
      </c>
      <c r="C9340" s="8">
        <f>IFERROR(__xludf.DUMMYFUNCTION("""COMPUTED_VALUE"""),0.0)</f>
        <v>0</v>
      </c>
      <c r="D9340" s="8"/>
    </row>
    <row r="9341">
      <c r="A9341" s="9" t="str">
        <f>IFERROR(__xludf.DUMMYFUNCTION("""COMPUTED_VALUE"""),"Batch 361")</f>
        <v>Batch 361</v>
      </c>
      <c r="B9341" s="9" t="str">
        <f>IFERROR(__xludf.DUMMYFUNCTION("""COMPUTED_VALUE"""),"DivyaC361")</f>
        <v>DivyaC361</v>
      </c>
      <c r="C9341" s="8">
        <f>IFERROR(__xludf.DUMMYFUNCTION("""COMPUTED_VALUE"""),0.0)</f>
        <v>0</v>
      </c>
      <c r="D9341" s="8"/>
    </row>
    <row r="9342">
      <c r="A9342" s="9" t="str">
        <f>IFERROR(__xludf.DUMMYFUNCTION("""COMPUTED_VALUE"""),"Batch 361")</f>
        <v>Batch 361</v>
      </c>
      <c r="B9342" s="9" t="str">
        <f>IFERROR(__xludf.DUMMYFUNCTION("""COMPUTED_VALUE"""),"ChiragC361")</f>
        <v>ChiragC361</v>
      </c>
      <c r="C9342" s="8">
        <f>IFERROR(__xludf.DUMMYFUNCTION("""COMPUTED_VALUE"""),0.0)</f>
        <v>0</v>
      </c>
      <c r="D9342" s="8"/>
    </row>
    <row r="9343">
      <c r="A9343" s="9" t="str">
        <f>IFERROR(__xludf.DUMMYFUNCTION("""COMPUTED_VALUE"""),"Batch 361")</f>
        <v>Batch 361</v>
      </c>
      <c r="B9343" s="9" t="str">
        <f>IFERROR(__xludf.DUMMYFUNCTION("""COMPUTED_VALUE"""),"MeetC361")</f>
        <v>MeetC361</v>
      </c>
      <c r="C9343" s="8">
        <f>IFERROR(__xludf.DUMMYFUNCTION("""COMPUTED_VALUE"""),0.0)</f>
        <v>0</v>
      </c>
      <c r="D9343" s="8"/>
    </row>
    <row r="9344">
      <c r="A9344" s="9" t="str">
        <f>IFERROR(__xludf.DUMMYFUNCTION("""COMPUTED_VALUE"""),"Batch 361")</f>
        <v>Batch 361</v>
      </c>
      <c r="B9344" s="9" t="str">
        <f>IFERROR(__xludf.DUMMYFUNCTION("""COMPUTED_VALUE"""),"AanyaC361")</f>
        <v>AanyaC361</v>
      </c>
      <c r="C9344" s="8">
        <f>IFERROR(__xludf.DUMMYFUNCTION("""COMPUTED_VALUE"""),0.0)</f>
        <v>0</v>
      </c>
      <c r="D9344" s="8"/>
    </row>
    <row r="9345">
      <c r="A9345" s="9" t="str">
        <f>IFERROR(__xludf.DUMMYFUNCTION("""COMPUTED_VALUE"""),"Batch 361")</f>
        <v>Batch 361</v>
      </c>
      <c r="B9345" s="9" t="str">
        <f>IFERROR(__xludf.DUMMYFUNCTION("""COMPUTED_VALUE"""),"RithikhaC361")</f>
        <v>RithikhaC361</v>
      </c>
      <c r="C9345" s="8">
        <f>IFERROR(__xludf.DUMMYFUNCTION("""COMPUTED_VALUE"""),0.0)</f>
        <v>0</v>
      </c>
      <c r="D9345" s="8"/>
    </row>
    <row r="9346">
      <c r="A9346" s="9" t="str">
        <f>IFERROR(__xludf.DUMMYFUNCTION("""COMPUTED_VALUE"""),"Batch 361")</f>
        <v>Batch 361</v>
      </c>
      <c r="B9346" s="9" t="str">
        <f>IFERROR(__xludf.DUMMYFUNCTION("""COMPUTED_VALUE"""),"UpasnaC361")</f>
        <v>UpasnaC361</v>
      </c>
      <c r="C9346" s="8">
        <f>IFERROR(__xludf.DUMMYFUNCTION("""COMPUTED_VALUE"""),3.0)</f>
        <v>3</v>
      </c>
      <c r="D9346" s="8">
        <f>IFERROR(__xludf.DUMMYFUNCTION("""COMPUTED_VALUE"""),3.0)</f>
        <v>3</v>
      </c>
    </row>
    <row r="9347">
      <c r="A9347" s="9" t="str">
        <f>IFERROR(__xludf.DUMMYFUNCTION("""COMPUTED_VALUE"""),"Batch 361")</f>
        <v>Batch 361</v>
      </c>
      <c r="B9347" s="9" t="str">
        <f>IFERROR(__xludf.DUMMYFUNCTION("""COMPUTED_VALUE"""),"ShreyaC361")</f>
        <v>ShreyaC361</v>
      </c>
      <c r="C9347" s="8">
        <f>IFERROR(__xludf.DUMMYFUNCTION("""COMPUTED_VALUE"""),0.0)</f>
        <v>0</v>
      </c>
      <c r="D9347" s="8"/>
    </row>
    <row r="9348">
      <c r="A9348" s="9" t="str">
        <f>IFERROR(__xludf.DUMMYFUNCTION("""COMPUTED_VALUE"""),"Batch 361")</f>
        <v>Batch 361</v>
      </c>
      <c r="B9348" s="9" t="str">
        <f>IFERROR(__xludf.DUMMYFUNCTION("""COMPUTED_VALUE"""),"PratikC361")</f>
        <v>PratikC361</v>
      </c>
      <c r="C9348" s="8">
        <f>IFERROR(__xludf.DUMMYFUNCTION("""COMPUTED_VALUE"""),0.0)</f>
        <v>0</v>
      </c>
      <c r="D9348" s="8"/>
    </row>
    <row r="9349">
      <c r="A9349" s="9" t="str">
        <f>IFERROR(__xludf.DUMMYFUNCTION("""COMPUTED_VALUE"""),"Batch 361")</f>
        <v>Batch 361</v>
      </c>
      <c r="B9349" s="9" t="str">
        <f>IFERROR(__xludf.DUMMYFUNCTION("""COMPUTED_VALUE"""),"RevanthC361")</f>
        <v>RevanthC361</v>
      </c>
      <c r="C9349" s="8">
        <f>IFERROR(__xludf.DUMMYFUNCTION("""COMPUTED_VALUE"""),0.0)</f>
        <v>0</v>
      </c>
      <c r="D9349" s="8"/>
    </row>
    <row r="9350">
      <c r="A9350" s="9"/>
      <c r="B9350" s="9"/>
      <c r="C9350" s="8">
        <f>IFERROR(__xludf.DUMMYFUNCTION("""COMPUTED_VALUE"""),0.0)</f>
        <v>0</v>
      </c>
      <c r="D9350" s="8"/>
    </row>
    <row r="9351">
      <c r="A9351" s="9" t="str">
        <f>IFERROR(__xludf.DUMMYFUNCTION("""COMPUTED_VALUE"""),"Batch 362")</f>
        <v>Batch 362</v>
      </c>
      <c r="B9351" s="9" t="str">
        <f>IFERROR(__xludf.DUMMYFUNCTION("""COMPUTED_VALUE"""),"MahfuzC362")</f>
        <v>MahfuzC362</v>
      </c>
      <c r="C9351" s="8">
        <f>IFERROR(__xludf.DUMMYFUNCTION("""COMPUTED_VALUE"""),3.0)</f>
        <v>3</v>
      </c>
      <c r="D9351" s="8">
        <f>IFERROR(__xludf.DUMMYFUNCTION("""COMPUTED_VALUE"""),7.0)</f>
        <v>7</v>
      </c>
    </row>
    <row r="9352">
      <c r="A9352" s="9" t="str">
        <f>IFERROR(__xludf.DUMMYFUNCTION("""COMPUTED_VALUE"""),"Batch 362")</f>
        <v>Batch 362</v>
      </c>
      <c r="B9352" s="9" t="str">
        <f>IFERROR(__xludf.DUMMYFUNCTION("""COMPUTED_VALUE"""),"ShinaC362")</f>
        <v>ShinaC362</v>
      </c>
      <c r="C9352" s="8">
        <f>IFERROR(__xludf.DUMMYFUNCTION("""COMPUTED_VALUE"""),0.0)</f>
        <v>0</v>
      </c>
      <c r="D9352" s="8"/>
    </row>
    <row r="9353">
      <c r="A9353" s="9" t="str">
        <f>IFERROR(__xludf.DUMMYFUNCTION("""COMPUTED_VALUE"""),"Batch 362")</f>
        <v>Batch 362</v>
      </c>
      <c r="B9353" s="9" t="str">
        <f>IFERROR(__xludf.DUMMYFUNCTION("""COMPUTED_VALUE"""),"AnshikaC362")</f>
        <v>AnshikaC362</v>
      </c>
      <c r="C9353" s="8">
        <f>IFERROR(__xludf.DUMMYFUNCTION("""COMPUTED_VALUE"""),0.0)</f>
        <v>0</v>
      </c>
      <c r="D9353" s="8"/>
    </row>
    <row r="9354">
      <c r="A9354" s="9" t="str">
        <f>IFERROR(__xludf.DUMMYFUNCTION("""COMPUTED_VALUE"""),"Batch 362")</f>
        <v>Batch 362</v>
      </c>
      <c r="B9354" s="9" t="str">
        <f>IFERROR(__xludf.DUMMYFUNCTION("""COMPUTED_VALUE"""),"AadyaC362")</f>
        <v>AadyaC362</v>
      </c>
      <c r="C9354" s="8">
        <f>IFERROR(__xludf.DUMMYFUNCTION("""COMPUTED_VALUE"""),0.0)</f>
        <v>0</v>
      </c>
      <c r="D9354" s="8"/>
    </row>
    <row r="9355">
      <c r="A9355" s="9" t="str">
        <f>IFERROR(__xludf.DUMMYFUNCTION("""COMPUTED_VALUE"""),"Batch 362")</f>
        <v>Batch 362</v>
      </c>
      <c r="B9355" s="9" t="str">
        <f>IFERROR(__xludf.DUMMYFUNCTION("""COMPUTED_VALUE"""),"Shaik.ShinaC362")</f>
        <v>Shaik.ShinaC362</v>
      </c>
      <c r="C9355" s="8">
        <f>IFERROR(__xludf.DUMMYFUNCTION("""COMPUTED_VALUE"""),0.0)</f>
        <v>0</v>
      </c>
      <c r="D9355" s="8"/>
    </row>
    <row r="9356">
      <c r="A9356" s="9" t="str">
        <f>IFERROR(__xludf.DUMMYFUNCTION("""COMPUTED_VALUE"""),"Batch 362")</f>
        <v>Batch 362</v>
      </c>
      <c r="B9356" s="9" t="str">
        <f>IFERROR(__xludf.DUMMYFUNCTION("""COMPUTED_VALUE"""),"KaranC362")</f>
        <v>KaranC362</v>
      </c>
      <c r="C9356" s="8">
        <f>IFERROR(__xludf.DUMMYFUNCTION("""COMPUTED_VALUE"""),0.0)</f>
        <v>0</v>
      </c>
      <c r="D9356" s="8"/>
    </row>
    <row r="9357">
      <c r="A9357" s="9" t="str">
        <f>IFERROR(__xludf.DUMMYFUNCTION("""COMPUTED_VALUE"""),"Batch 362")</f>
        <v>Batch 362</v>
      </c>
      <c r="B9357" s="9" t="str">
        <f>IFERROR(__xludf.DUMMYFUNCTION("""COMPUTED_VALUE"""),"MursilC362")</f>
        <v>MursilC362</v>
      </c>
      <c r="C9357" s="8">
        <f>IFERROR(__xludf.DUMMYFUNCTION("""COMPUTED_VALUE"""),1.0)</f>
        <v>1</v>
      </c>
      <c r="D9357" s="8"/>
    </row>
    <row r="9358">
      <c r="A9358" s="9" t="str">
        <f>IFERROR(__xludf.DUMMYFUNCTION("""COMPUTED_VALUE"""),"Batch 362")</f>
        <v>Batch 362</v>
      </c>
      <c r="B9358" s="9" t="str">
        <f>IFERROR(__xludf.DUMMYFUNCTION("""COMPUTED_VALUE"""),"TanujC362")</f>
        <v>TanujC362</v>
      </c>
      <c r="C9358" s="8">
        <f>IFERROR(__xludf.DUMMYFUNCTION("""COMPUTED_VALUE"""),0.0)</f>
        <v>0</v>
      </c>
      <c r="D9358" s="8"/>
    </row>
    <row r="9359">
      <c r="A9359" s="9" t="str">
        <f>IFERROR(__xludf.DUMMYFUNCTION("""COMPUTED_VALUE"""),"Batch 362")</f>
        <v>Batch 362</v>
      </c>
      <c r="B9359" s="9" t="str">
        <f>IFERROR(__xludf.DUMMYFUNCTION("""COMPUTED_VALUE"""),"AnanjanC362")</f>
        <v>AnanjanC362</v>
      </c>
      <c r="C9359" s="8">
        <f>IFERROR(__xludf.DUMMYFUNCTION("""COMPUTED_VALUE"""),2.0)</f>
        <v>2</v>
      </c>
      <c r="D9359" s="8"/>
    </row>
    <row r="9360">
      <c r="A9360" s="9" t="str">
        <f>IFERROR(__xludf.DUMMYFUNCTION("""COMPUTED_VALUE"""),"Batch 362")</f>
        <v>Batch 362</v>
      </c>
      <c r="B9360" s="9" t="str">
        <f>IFERROR(__xludf.DUMMYFUNCTION("""COMPUTED_VALUE"""),"ShreyaC362")</f>
        <v>ShreyaC362</v>
      </c>
      <c r="C9360" s="8">
        <f>IFERROR(__xludf.DUMMYFUNCTION("""COMPUTED_VALUE"""),0.0)</f>
        <v>0</v>
      </c>
      <c r="D9360" s="8"/>
    </row>
    <row r="9361">
      <c r="A9361" s="9" t="str">
        <f>IFERROR(__xludf.DUMMYFUNCTION("""COMPUTED_VALUE"""),"Batch 362")</f>
        <v>Batch 362</v>
      </c>
      <c r="B9361" s="9" t="str">
        <f>IFERROR(__xludf.DUMMYFUNCTION("""COMPUTED_VALUE"""),"ShaliniC362")</f>
        <v>ShaliniC362</v>
      </c>
      <c r="C9361" s="8">
        <f>IFERROR(__xludf.DUMMYFUNCTION("""COMPUTED_VALUE"""),0.0)</f>
        <v>0</v>
      </c>
      <c r="D9361" s="8"/>
    </row>
    <row r="9362">
      <c r="A9362" s="9" t="str">
        <f>IFERROR(__xludf.DUMMYFUNCTION("""COMPUTED_VALUE"""),"Batch 362")</f>
        <v>Batch 362</v>
      </c>
      <c r="B9362" s="9" t="str">
        <f>IFERROR(__xludf.DUMMYFUNCTION("""COMPUTED_VALUE"""),"PraneetC362")</f>
        <v>PraneetC362</v>
      </c>
      <c r="C9362" s="8">
        <f>IFERROR(__xludf.DUMMYFUNCTION("""COMPUTED_VALUE"""),0.0)</f>
        <v>0</v>
      </c>
      <c r="D9362" s="8"/>
    </row>
    <row r="9363">
      <c r="A9363" s="9" t="str">
        <f>IFERROR(__xludf.DUMMYFUNCTION("""COMPUTED_VALUE"""),"Batch 362")</f>
        <v>Batch 362</v>
      </c>
      <c r="B9363" s="9" t="str">
        <f>IFERROR(__xludf.DUMMYFUNCTION("""COMPUTED_VALUE"""),"RabariC362")</f>
        <v>RabariC362</v>
      </c>
      <c r="C9363" s="8">
        <f>IFERROR(__xludf.DUMMYFUNCTION("""COMPUTED_VALUE"""),0.0)</f>
        <v>0</v>
      </c>
      <c r="D9363" s="8"/>
    </row>
    <row r="9364">
      <c r="A9364" s="9" t="str">
        <f>IFERROR(__xludf.DUMMYFUNCTION("""COMPUTED_VALUE"""),"Batch 362")</f>
        <v>Batch 362</v>
      </c>
      <c r="B9364" s="9" t="str">
        <f>IFERROR(__xludf.DUMMYFUNCTION("""COMPUTED_VALUE"""),"RishikaaC362")</f>
        <v>RishikaaC362</v>
      </c>
      <c r="C9364" s="8">
        <f>IFERROR(__xludf.DUMMYFUNCTION("""COMPUTED_VALUE"""),0.0)</f>
        <v>0</v>
      </c>
      <c r="D9364" s="8"/>
    </row>
    <row r="9365">
      <c r="A9365" s="9" t="str">
        <f>IFERROR(__xludf.DUMMYFUNCTION("""COMPUTED_VALUE"""),"Batch 362")</f>
        <v>Batch 362</v>
      </c>
      <c r="B9365" s="9" t="str">
        <f>IFERROR(__xludf.DUMMYFUNCTION("""COMPUTED_VALUE"""),"ShreyaCC362")</f>
        <v>ShreyaCC362</v>
      </c>
      <c r="C9365" s="8">
        <f>IFERROR(__xludf.DUMMYFUNCTION("""COMPUTED_VALUE"""),35.0)</f>
        <v>35</v>
      </c>
      <c r="D9365" s="8">
        <f>IFERROR(__xludf.DUMMYFUNCTION("""COMPUTED_VALUE"""),10.0)</f>
        <v>10</v>
      </c>
    </row>
    <row r="9366">
      <c r="A9366" s="9" t="str">
        <f>IFERROR(__xludf.DUMMYFUNCTION("""COMPUTED_VALUE"""),"Batch 362")</f>
        <v>Batch 362</v>
      </c>
      <c r="B9366" s="9" t="str">
        <f>IFERROR(__xludf.DUMMYFUNCTION("""COMPUTED_VALUE"""),"AnamikaC362")</f>
        <v>AnamikaC362</v>
      </c>
      <c r="C9366" s="8">
        <f>IFERROR(__xludf.DUMMYFUNCTION("""COMPUTED_VALUE"""),0.0)</f>
        <v>0</v>
      </c>
      <c r="D9366" s="8"/>
    </row>
    <row r="9367">
      <c r="A9367" s="9" t="str">
        <f>IFERROR(__xludf.DUMMYFUNCTION("""COMPUTED_VALUE"""),"Batch 362")</f>
        <v>Batch 362</v>
      </c>
      <c r="B9367" s="9" t="str">
        <f>IFERROR(__xludf.DUMMYFUNCTION("""COMPUTED_VALUE"""),"PrajwalC362")</f>
        <v>PrajwalC362</v>
      </c>
      <c r="C9367" s="8">
        <f>IFERROR(__xludf.DUMMYFUNCTION("""COMPUTED_VALUE"""),0.0)</f>
        <v>0</v>
      </c>
      <c r="D9367" s="8"/>
    </row>
    <row r="9368">
      <c r="A9368" s="9" t="str">
        <f>IFERROR(__xludf.DUMMYFUNCTION("""COMPUTED_VALUE"""),"Batch 362")</f>
        <v>Batch 362</v>
      </c>
      <c r="B9368" s="9" t="str">
        <f>IFERROR(__xludf.DUMMYFUNCTION("""COMPUTED_VALUE"""),"ArshC362")</f>
        <v>ArshC362</v>
      </c>
      <c r="C9368" s="8">
        <f>IFERROR(__xludf.DUMMYFUNCTION("""COMPUTED_VALUE"""),0.0)</f>
        <v>0</v>
      </c>
      <c r="D9368" s="8"/>
    </row>
    <row r="9369">
      <c r="A9369" s="9" t="str">
        <f>IFERROR(__xludf.DUMMYFUNCTION("""COMPUTED_VALUE"""),"Batch 362")</f>
        <v>Batch 362</v>
      </c>
      <c r="B9369" s="9" t="str">
        <f>IFERROR(__xludf.DUMMYFUNCTION("""COMPUTED_VALUE"""),"ViraliC362")</f>
        <v>ViraliC362</v>
      </c>
      <c r="C9369" s="8">
        <f>IFERROR(__xludf.DUMMYFUNCTION("""COMPUTED_VALUE"""),0.0)</f>
        <v>0</v>
      </c>
      <c r="D9369" s="8"/>
    </row>
    <row r="9370">
      <c r="A9370" s="9" t="str">
        <f>IFERROR(__xludf.DUMMYFUNCTION("""COMPUTED_VALUE"""),"Batch 362")</f>
        <v>Batch 362</v>
      </c>
      <c r="B9370" s="9" t="str">
        <f>IFERROR(__xludf.DUMMYFUNCTION("""COMPUTED_VALUE"""),"VaibhavC362")</f>
        <v>VaibhavC362</v>
      </c>
      <c r="C9370" s="8">
        <f>IFERROR(__xludf.DUMMYFUNCTION("""COMPUTED_VALUE"""),0.0)</f>
        <v>0</v>
      </c>
      <c r="D9370" s="8"/>
    </row>
    <row r="9371">
      <c r="A9371" s="9" t="str">
        <f>IFERROR(__xludf.DUMMYFUNCTION("""COMPUTED_VALUE"""),"Batch 362")</f>
        <v>Batch 362</v>
      </c>
      <c r="B9371" s="9" t="str">
        <f>IFERROR(__xludf.DUMMYFUNCTION("""COMPUTED_VALUE"""),"RahulC362")</f>
        <v>RahulC362</v>
      </c>
      <c r="C9371" s="8">
        <f>IFERROR(__xludf.DUMMYFUNCTION("""COMPUTED_VALUE"""),0.0)</f>
        <v>0</v>
      </c>
      <c r="D9371" s="8"/>
    </row>
    <row r="9372">
      <c r="A9372" s="9" t="str">
        <f>IFERROR(__xludf.DUMMYFUNCTION("""COMPUTED_VALUE"""),"Batch 362")</f>
        <v>Batch 362</v>
      </c>
      <c r="B9372" s="9" t="str">
        <f>IFERROR(__xludf.DUMMYFUNCTION("""COMPUTED_VALUE"""),"PoralC362")</f>
        <v>PoralC362</v>
      </c>
      <c r="C9372" s="8">
        <f>IFERROR(__xludf.DUMMYFUNCTION("""COMPUTED_VALUE"""),10.0)</f>
        <v>10</v>
      </c>
      <c r="D9372" s="8"/>
    </row>
    <row r="9373">
      <c r="A9373" s="9" t="str">
        <f>IFERROR(__xludf.DUMMYFUNCTION("""COMPUTED_VALUE"""),"Batch 362")</f>
        <v>Batch 362</v>
      </c>
      <c r="B9373" s="9" t="str">
        <f>IFERROR(__xludf.DUMMYFUNCTION("""COMPUTED_VALUE"""),"VARSHINIC362")</f>
        <v>VARSHINIC362</v>
      </c>
      <c r="C9373" s="8">
        <f>IFERROR(__xludf.DUMMYFUNCTION("""COMPUTED_VALUE"""),0.0)</f>
        <v>0</v>
      </c>
      <c r="D9373" s="8"/>
    </row>
    <row r="9374">
      <c r="A9374" s="9" t="str">
        <f>IFERROR(__xludf.DUMMYFUNCTION("""COMPUTED_VALUE"""),"Batch 362")</f>
        <v>Batch 362</v>
      </c>
      <c r="B9374" s="9" t="str">
        <f>IFERROR(__xludf.DUMMYFUNCTION("""COMPUTED_VALUE"""),"LavanyaC362")</f>
        <v>LavanyaC362</v>
      </c>
      <c r="C9374" s="8">
        <f>IFERROR(__xludf.DUMMYFUNCTION("""COMPUTED_VALUE"""),0.0)</f>
        <v>0</v>
      </c>
      <c r="D9374" s="8"/>
    </row>
    <row r="9375">
      <c r="A9375" s="9" t="str">
        <f>IFERROR(__xludf.DUMMYFUNCTION("""COMPUTED_VALUE"""),"Batch 362")</f>
        <v>Batch 362</v>
      </c>
      <c r="B9375" s="9" t="str">
        <f>IFERROR(__xludf.DUMMYFUNCTION("""COMPUTED_VALUE"""),"NikitaC362")</f>
        <v>NikitaC362</v>
      </c>
      <c r="C9375" s="8">
        <f>IFERROR(__xludf.DUMMYFUNCTION("""COMPUTED_VALUE"""),1.0)</f>
        <v>1</v>
      </c>
      <c r="D9375" s="8"/>
    </row>
    <row r="9376">
      <c r="A9376" s="9" t="str">
        <f>IFERROR(__xludf.DUMMYFUNCTION("""COMPUTED_VALUE"""),"Batch 362")</f>
        <v>Batch 362</v>
      </c>
      <c r="B9376" s="9" t="str">
        <f>IFERROR(__xludf.DUMMYFUNCTION("""COMPUTED_VALUE"""),"MythiliC362")</f>
        <v>MythiliC362</v>
      </c>
      <c r="C9376" s="8">
        <f>IFERROR(__xludf.DUMMYFUNCTION("""COMPUTED_VALUE"""),0.0)</f>
        <v>0</v>
      </c>
      <c r="D9376" s="8"/>
    </row>
    <row r="9377">
      <c r="A9377" s="9" t="str">
        <f>IFERROR(__xludf.DUMMYFUNCTION("""COMPUTED_VALUE"""),"Batch 362")</f>
        <v>Batch 362</v>
      </c>
      <c r="B9377" s="9" t="str">
        <f>IFERROR(__xludf.DUMMYFUNCTION("""COMPUTED_VALUE"""),"ShagunC362")</f>
        <v>ShagunC362</v>
      </c>
      <c r="C9377" s="8">
        <f>IFERROR(__xludf.DUMMYFUNCTION("""COMPUTED_VALUE"""),0.0)</f>
        <v>0</v>
      </c>
      <c r="D9377" s="8"/>
    </row>
    <row r="9378">
      <c r="A9378" s="9" t="str">
        <f>IFERROR(__xludf.DUMMYFUNCTION("""COMPUTED_VALUE"""),"Batch 362")</f>
        <v>Batch 362</v>
      </c>
      <c r="B9378" s="9" t="str">
        <f>IFERROR(__xludf.DUMMYFUNCTION("""COMPUTED_VALUE"""),"AnshiC362")</f>
        <v>AnshiC362</v>
      </c>
      <c r="C9378" s="8">
        <f>IFERROR(__xludf.DUMMYFUNCTION("""COMPUTED_VALUE"""),0.0)</f>
        <v>0</v>
      </c>
      <c r="D9378" s="8"/>
    </row>
    <row r="9379">
      <c r="A9379" s="9" t="str">
        <f>IFERROR(__xludf.DUMMYFUNCTION("""COMPUTED_VALUE"""),"Batch 362")</f>
        <v>Batch 362</v>
      </c>
      <c r="B9379" s="9" t="str">
        <f>IFERROR(__xludf.DUMMYFUNCTION("""COMPUTED_VALUE"""),"PriyaliC362")</f>
        <v>PriyaliC362</v>
      </c>
      <c r="C9379" s="8">
        <f>IFERROR(__xludf.DUMMYFUNCTION("""COMPUTED_VALUE"""),0.0)</f>
        <v>0</v>
      </c>
      <c r="D9379" s="8"/>
    </row>
    <row r="9380">
      <c r="A9380" s="9" t="str">
        <f>IFERROR(__xludf.DUMMYFUNCTION("""COMPUTED_VALUE"""),"Batch 362")</f>
        <v>Batch 362</v>
      </c>
      <c r="B9380" s="9" t="str">
        <f>IFERROR(__xludf.DUMMYFUNCTION("""COMPUTED_VALUE"""),"AishwaryaC362")</f>
        <v>AishwaryaC362</v>
      </c>
      <c r="C9380" s="8">
        <f>IFERROR(__xludf.DUMMYFUNCTION("""COMPUTED_VALUE"""),0.0)</f>
        <v>0</v>
      </c>
      <c r="D9380" s="8"/>
    </row>
    <row r="9381">
      <c r="A9381" s="9" t="str">
        <f>IFERROR(__xludf.DUMMYFUNCTION("""COMPUTED_VALUE"""),"Batch 362")</f>
        <v>Batch 362</v>
      </c>
      <c r="B9381" s="9" t="str">
        <f>IFERROR(__xludf.DUMMYFUNCTION("""COMPUTED_VALUE"""),"UdayC362")</f>
        <v>UdayC362</v>
      </c>
      <c r="C9381" s="8">
        <f>IFERROR(__xludf.DUMMYFUNCTION("""COMPUTED_VALUE"""),0.0)</f>
        <v>0</v>
      </c>
      <c r="D9381" s="8"/>
    </row>
    <row r="9382">
      <c r="A9382" s="9" t="str">
        <f>IFERROR(__xludf.DUMMYFUNCTION("""COMPUTED_VALUE"""),"Batch 362")</f>
        <v>Batch 362</v>
      </c>
      <c r="B9382" s="9" t="str">
        <f>IFERROR(__xludf.DUMMYFUNCTION("""COMPUTED_VALUE"""),"vivekC362")</f>
        <v>vivekC362</v>
      </c>
      <c r="C9382" s="8">
        <f>IFERROR(__xludf.DUMMYFUNCTION("""COMPUTED_VALUE"""),0.0)</f>
        <v>0</v>
      </c>
      <c r="D9382" s="8"/>
    </row>
    <row r="9383">
      <c r="A9383" s="9" t="str">
        <f>IFERROR(__xludf.DUMMYFUNCTION("""COMPUTED_VALUE"""),"Batch 362")</f>
        <v>Batch 362</v>
      </c>
      <c r="B9383" s="9" t="str">
        <f>IFERROR(__xludf.DUMMYFUNCTION("""COMPUTED_VALUE"""),"AdityaC362")</f>
        <v>AdityaC362</v>
      </c>
      <c r="C9383" s="8">
        <f>IFERROR(__xludf.DUMMYFUNCTION("""COMPUTED_VALUE"""),0.0)</f>
        <v>0</v>
      </c>
      <c r="D9383" s="8"/>
    </row>
    <row r="9384">
      <c r="A9384" s="9" t="str">
        <f>IFERROR(__xludf.DUMMYFUNCTION("""COMPUTED_VALUE"""),"Batch 362")</f>
        <v>Batch 362</v>
      </c>
      <c r="B9384" s="9" t="str">
        <f>IFERROR(__xludf.DUMMYFUNCTION("""COMPUTED_VALUE"""),"SuryanshC362")</f>
        <v>SuryanshC362</v>
      </c>
      <c r="C9384" s="8">
        <f>IFERROR(__xludf.DUMMYFUNCTION("""COMPUTED_VALUE"""),0.0)</f>
        <v>0</v>
      </c>
      <c r="D9384" s="8"/>
    </row>
    <row r="9385">
      <c r="A9385" s="9" t="str">
        <f>IFERROR(__xludf.DUMMYFUNCTION("""COMPUTED_VALUE"""),"Batch 362")</f>
        <v>Batch 362</v>
      </c>
      <c r="B9385" s="9" t="str">
        <f>IFERROR(__xludf.DUMMYFUNCTION("""COMPUTED_VALUE"""),"PushtiC362")</f>
        <v>PushtiC362</v>
      </c>
      <c r="C9385" s="8">
        <f>IFERROR(__xludf.DUMMYFUNCTION("""COMPUTED_VALUE"""),0.0)</f>
        <v>0</v>
      </c>
      <c r="D9385" s="8"/>
    </row>
    <row r="9386">
      <c r="A9386" s="9" t="str">
        <f>IFERROR(__xludf.DUMMYFUNCTION("""COMPUTED_VALUE"""),"Batch 362")</f>
        <v>Batch 362</v>
      </c>
      <c r="B9386" s="9" t="str">
        <f>IFERROR(__xludf.DUMMYFUNCTION("""COMPUTED_VALUE"""),"ShaikhC362")</f>
        <v>ShaikhC362</v>
      </c>
      <c r="C9386" s="8">
        <f>IFERROR(__xludf.DUMMYFUNCTION("""COMPUTED_VALUE"""),0.0)</f>
        <v>0</v>
      </c>
      <c r="D9386" s="8"/>
    </row>
    <row r="9387">
      <c r="A9387" s="9" t="str">
        <f>IFERROR(__xludf.DUMMYFUNCTION("""COMPUTED_VALUE"""),"Batch 362")</f>
        <v>Batch 362</v>
      </c>
      <c r="B9387" s="9" t="str">
        <f>IFERROR(__xludf.DUMMYFUNCTION("""COMPUTED_VALUE"""),"HappyC362")</f>
        <v>HappyC362</v>
      </c>
      <c r="C9387" s="8">
        <f>IFERROR(__xludf.DUMMYFUNCTION("""COMPUTED_VALUE"""),0.0)</f>
        <v>0</v>
      </c>
      <c r="D9387" s="8"/>
    </row>
    <row r="9388">
      <c r="A9388" s="9" t="str">
        <f>IFERROR(__xludf.DUMMYFUNCTION("""COMPUTED_VALUE"""),"Batch 362")</f>
        <v>Batch 362</v>
      </c>
      <c r="B9388" s="9" t="str">
        <f>IFERROR(__xludf.DUMMYFUNCTION("""COMPUTED_VALUE"""),"NileshC362")</f>
        <v>NileshC362</v>
      </c>
      <c r="C9388" s="8">
        <f>IFERROR(__xludf.DUMMYFUNCTION("""COMPUTED_VALUE"""),0.0)</f>
        <v>0</v>
      </c>
      <c r="D9388" s="8"/>
    </row>
    <row r="9389">
      <c r="A9389" s="9" t="str">
        <f>IFERROR(__xludf.DUMMYFUNCTION("""COMPUTED_VALUE"""),"Batch 362")</f>
        <v>Batch 362</v>
      </c>
      <c r="B9389" s="9" t="str">
        <f>IFERROR(__xludf.DUMMYFUNCTION("""COMPUTED_VALUE"""),"PaturiC362")</f>
        <v>PaturiC362</v>
      </c>
      <c r="C9389" s="8">
        <f>IFERROR(__xludf.DUMMYFUNCTION("""COMPUTED_VALUE"""),10.0)</f>
        <v>10</v>
      </c>
      <c r="D9389" s="8">
        <f>IFERROR(__xludf.DUMMYFUNCTION("""COMPUTED_VALUE"""),5.0)</f>
        <v>5</v>
      </c>
    </row>
    <row r="9390">
      <c r="A9390" s="9" t="str">
        <f>IFERROR(__xludf.DUMMYFUNCTION("""COMPUTED_VALUE"""),"Batch 362")</f>
        <v>Batch 362</v>
      </c>
      <c r="B9390" s="9" t="str">
        <f>IFERROR(__xludf.DUMMYFUNCTION("""COMPUTED_VALUE"""),"MohdC362")</f>
        <v>MohdC362</v>
      </c>
      <c r="C9390" s="8">
        <f>IFERROR(__xludf.DUMMYFUNCTION("""COMPUTED_VALUE"""),11.0)</f>
        <v>11</v>
      </c>
      <c r="D9390" s="8">
        <f>IFERROR(__xludf.DUMMYFUNCTION("""COMPUTED_VALUE"""),1.0)</f>
        <v>1</v>
      </c>
    </row>
    <row r="9391">
      <c r="A9391" s="9" t="str">
        <f>IFERROR(__xludf.DUMMYFUNCTION("""COMPUTED_VALUE"""),"Batch 362")</f>
        <v>Batch 362</v>
      </c>
      <c r="B9391" s="9" t="str">
        <f>IFERROR(__xludf.DUMMYFUNCTION("""COMPUTED_VALUE"""),"SiratC362")</f>
        <v>SiratC362</v>
      </c>
      <c r="C9391" s="8">
        <f>IFERROR(__xludf.DUMMYFUNCTION("""COMPUTED_VALUE"""),0.0)</f>
        <v>0</v>
      </c>
      <c r="D9391" s="8"/>
    </row>
    <row r="9392">
      <c r="A9392" s="9" t="str">
        <f>IFERROR(__xludf.DUMMYFUNCTION("""COMPUTED_VALUE"""),"Batch 362")</f>
        <v>Batch 362</v>
      </c>
      <c r="B9392" s="9" t="str">
        <f>IFERROR(__xludf.DUMMYFUNCTION("""COMPUTED_VALUE"""),"VijayasriC362")</f>
        <v>VijayasriC362</v>
      </c>
      <c r="C9392" s="8">
        <f>IFERROR(__xludf.DUMMYFUNCTION("""COMPUTED_VALUE"""),6.0)</f>
        <v>6</v>
      </c>
      <c r="D9392" s="8">
        <f>IFERROR(__xludf.DUMMYFUNCTION("""COMPUTED_VALUE"""),1.0)</f>
        <v>1</v>
      </c>
    </row>
    <row r="9393">
      <c r="A9393" s="9" t="str">
        <f>IFERROR(__xludf.DUMMYFUNCTION("""COMPUTED_VALUE"""),"Batch 362")</f>
        <v>Batch 362</v>
      </c>
      <c r="B9393" s="9" t="str">
        <f>IFERROR(__xludf.DUMMYFUNCTION("""COMPUTED_VALUE"""),"BOBANC362")</f>
        <v>BOBANC362</v>
      </c>
      <c r="C9393" s="8">
        <f>IFERROR(__xludf.DUMMYFUNCTION("""COMPUTED_VALUE"""),0.0)</f>
        <v>0</v>
      </c>
      <c r="D9393" s="8"/>
    </row>
    <row r="9394">
      <c r="A9394" s="9" t="str">
        <f>IFERROR(__xludf.DUMMYFUNCTION("""COMPUTED_VALUE"""),"Batch 362")</f>
        <v>Batch 362</v>
      </c>
      <c r="B9394" s="9" t="str">
        <f>IFERROR(__xludf.DUMMYFUNCTION("""COMPUTED_VALUE"""),"LokeshC362")</f>
        <v>LokeshC362</v>
      </c>
      <c r="C9394" s="8">
        <f>IFERROR(__xludf.DUMMYFUNCTION("""COMPUTED_VALUE"""),0.0)</f>
        <v>0</v>
      </c>
      <c r="D9394" s="8"/>
    </row>
    <row r="9395">
      <c r="A9395" s="9" t="str">
        <f>IFERROR(__xludf.DUMMYFUNCTION("""COMPUTED_VALUE"""),"Batch 362")</f>
        <v>Batch 362</v>
      </c>
      <c r="B9395" s="9" t="str">
        <f>IFERROR(__xludf.DUMMYFUNCTION("""COMPUTED_VALUE"""),"MiliC362")</f>
        <v>MiliC362</v>
      </c>
      <c r="C9395" s="8">
        <f>IFERROR(__xludf.DUMMYFUNCTION("""COMPUTED_VALUE"""),0.0)</f>
        <v>0</v>
      </c>
      <c r="D9395" s="8"/>
    </row>
    <row r="9396">
      <c r="A9396" s="9" t="str">
        <f>IFERROR(__xludf.DUMMYFUNCTION("""COMPUTED_VALUE"""),"Batch 362")</f>
        <v>Batch 362</v>
      </c>
      <c r="B9396" s="9" t="str">
        <f>IFERROR(__xludf.DUMMYFUNCTION("""COMPUTED_VALUE"""),"NitinC362")</f>
        <v>NitinC362</v>
      </c>
      <c r="C9396" s="8">
        <f>IFERROR(__xludf.DUMMYFUNCTION("""COMPUTED_VALUE"""),0.0)</f>
        <v>0</v>
      </c>
      <c r="D9396" s="8"/>
    </row>
    <row r="9397">
      <c r="A9397" s="9" t="str">
        <f>IFERROR(__xludf.DUMMYFUNCTION("""COMPUTED_VALUE"""),"Batch 362")</f>
        <v>Batch 362</v>
      </c>
      <c r="B9397" s="9" t="str">
        <f>IFERROR(__xludf.DUMMYFUNCTION("""COMPUTED_VALUE"""),"ChelisyaC362")</f>
        <v>ChelisyaC362</v>
      </c>
      <c r="C9397" s="8">
        <f>IFERROR(__xludf.DUMMYFUNCTION("""COMPUTED_VALUE"""),0.0)</f>
        <v>0</v>
      </c>
      <c r="D9397" s="8"/>
    </row>
    <row r="9398">
      <c r="A9398" s="9" t="str">
        <f>IFERROR(__xludf.DUMMYFUNCTION("""COMPUTED_VALUE"""),"Batch 362")</f>
        <v>Batch 362</v>
      </c>
      <c r="B9398" s="9" t="str">
        <f>IFERROR(__xludf.DUMMYFUNCTION("""COMPUTED_VALUE"""),"SadiaC362")</f>
        <v>SadiaC362</v>
      </c>
      <c r="C9398" s="8">
        <f>IFERROR(__xludf.DUMMYFUNCTION("""COMPUTED_VALUE"""),0.0)</f>
        <v>0</v>
      </c>
      <c r="D9398" s="8"/>
    </row>
    <row r="9399">
      <c r="A9399" s="9" t="str">
        <f>IFERROR(__xludf.DUMMYFUNCTION("""COMPUTED_VALUE"""),"Batch 362")</f>
        <v>Batch 362</v>
      </c>
      <c r="B9399" s="9" t="str">
        <f>IFERROR(__xludf.DUMMYFUNCTION("""COMPUTED_VALUE"""),"YashiC362")</f>
        <v>YashiC362</v>
      </c>
      <c r="C9399" s="8">
        <f>IFERROR(__xludf.DUMMYFUNCTION("""COMPUTED_VALUE"""),2.0)</f>
        <v>2</v>
      </c>
      <c r="D9399" s="8"/>
    </row>
    <row r="9400">
      <c r="A9400" s="9" t="str">
        <f>IFERROR(__xludf.DUMMYFUNCTION("""COMPUTED_VALUE"""),"Batch 362")</f>
        <v>Batch 362</v>
      </c>
      <c r="B9400" s="9" t="str">
        <f>IFERROR(__xludf.DUMMYFUNCTION("""COMPUTED_VALUE"""),"OliviaC362")</f>
        <v>OliviaC362</v>
      </c>
      <c r="C9400" s="8">
        <f>IFERROR(__xludf.DUMMYFUNCTION("""COMPUTED_VALUE"""),52.0)</f>
        <v>52</v>
      </c>
      <c r="D9400" s="8">
        <f>IFERROR(__xludf.DUMMYFUNCTION("""COMPUTED_VALUE"""),33.0)</f>
        <v>33</v>
      </c>
    </row>
    <row r="9401">
      <c r="A9401" s="9" t="str">
        <f>IFERROR(__xludf.DUMMYFUNCTION("""COMPUTED_VALUE"""),"Batch 362")</f>
        <v>Batch 362</v>
      </c>
      <c r="B9401" s="9" t="str">
        <f>IFERROR(__xludf.DUMMYFUNCTION("""COMPUTED_VALUE"""),"ManashviC362")</f>
        <v>ManashviC362</v>
      </c>
      <c r="C9401" s="8">
        <f>IFERROR(__xludf.DUMMYFUNCTION("""COMPUTED_VALUE"""),0.0)</f>
        <v>0</v>
      </c>
      <c r="D9401" s="8"/>
    </row>
    <row r="9402">
      <c r="A9402" s="9" t="str">
        <f>IFERROR(__xludf.DUMMYFUNCTION("""COMPUTED_VALUE"""),"Batch 362")</f>
        <v>Batch 362</v>
      </c>
      <c r="B9402" s="9" t="str">
        <f>IFERROR(__xludf.DUMMYFUNCTION("""COMPUTED_VALUE"""),"NavneetC362")</f>
        <v>NavneetC362</v>
      </c>
      <c r="C9402" s="8">
        <f>IFERROR(__xludf.DUMMYFUNCTION("""COMPUTED_VALUE"""),30.0)</f>
        <v>30</v>
      </c>
      <c r="D9402" s="8">
        <f>IFERROR(__xludf.DUMMYFUNCTION("""COMPUTED_VALUE"""),4.0)</f>
        <v>4</v>
      </c>
    </row>
    <row r="9403">
      <c r="A9403" s="9" t="str">
        <f>IFERROR(__xludf.DUMMYFUNCTION("""COMPUTED_VALUE"""),"Batch 362")</f>
        <v>Batch 362</v>
      </c>
      <c r="B9403" s="9" t="str">
        <f>IFERROR(__xludf.DUMMYFUNCTION("""COMPUTED_VALUE"""),"Keerthana.sC362")</f>
        <v>Keerthana.sC362</v>
      </c>
      <c r="C9403" s="8">
        <f>IFERROR(__xludf.DUMMYFUNCTION("""COMPUTED_VALUE"""),0.0)</f>
        <v>0</v>
      </c>
      <c r="D9403" s="8"/>
    </row>
    <row r="9404">
      <c r="A9404" s="9" t="str">
        <f>IFERROR(__xludf.DUMMYFUNCTION("""COMPUTED_VALUE"""),"Batch 362")</f>
        <v>Batch 362</v>
      </c>
      <c r="B9404" s="9" t="str">
        <f>IFERROR(__xludf.DUMMYFUNCTION("""COMPUTED_VALUE"""),"OjasC362")</f>
        <v>OjasC362</v>
      </c>
      <c r="C9404" s="8">
        <f>IFERROR(__xludf.DUMMYFUNCTION("""COMPUTED_VALUE"""),27.0)</f>
        <v>27</v>
      </c>
      <c r="D9404" s="8">
        <f>IFERROR(__xludf.DUMMYFUNCTION("""COMPUTED_VALUE"""),12.0)</f>
        <v>12</v>
      </c>
    </row>
    <row r="9405">
      <c r="A9405" s="9" t="str">
        <f>IFERROR(__xludf.DUMMYFUNCTION("""COMPUTED_VALUE"""),"Batch 362")</f>
        <v>Batch 362</v>
      </c>
      <c r="B9405" s="9" t="str">
        <f>IFERROR(__xludf.DUMMYFUNCTION("""COMPUTED_VALUE"""),"NajlaC362")</f>
        <v>NajlaC362</v>
      </c>
      <c r="C9405" s="8">
        <f>IFERROR(__xludf.DUMMYFUNCTION("""COMPUTED_VALUE"""),0.0)</f>
        <v>0</v>
      </c>
      <c r="D9405" s="8"/>
    </row>
    <row r="9406">
      <c r="A9406" s="9" t="str">
        <f>IFERROR(__xludf.DUMMYFUNCTION("""COMPUTED_VALUE"""),"Batch 362")</f>
        <v>Batch 362</v>
      </c>
      <c r="B9406" s="9" t="str">
        <f>IFERROR(__xludf.DUMMYFUNCTION("""COMPUTED_VALUE"""),"AnushC362")</f>
        <v>AnushC362</v>
      </c>
      <c r="C9406" s="8">
        <f>IFERROR(__xludf.DUMMYFUNCTION("""COMPUTED_VALUE"""),0.0)</f>
        <v>0</v>
      </c>
      <c r="D9406" s="8"/>
    </row>
    <row r="9407">
      <c r="A9407" s="9" t="str">
        <f>IFERROR(__xludf.DUMMYFUNCTION("""COMPUTED_VALUE"""),"Batch 362")</f>
        <v>Batch 362</v>
      </c>
      <c r="B9407" s="9" t="str">
        <f>IFERROR(__xludf.DUMMYFUNCTION("""COMPUTED_VALUE"""),"KashikaC362")</f>
        <v>KashikaC362</v>
      </c>
      <c r="C9407" s="8">
        <f>IFERROR(__xludf.DUMMYFUNCTION("""COMPUTED_VALUE"""),0.0)</f>
        <v>0</v>
      </c>
      <c r="D9407" s="8"/>
    </row>
    <row r="9408">
      <c r="A9408" s="9" t="str">
        <f>IFERROR(__xludf.DUMMYFUNCTION("""COMPUTED_VALUE"""),"Batch 362")</f>
        <v>Batch 362</v>
      </c>
      <c r="B9408" s="9" t="str">
        <f>IFERROR(__xludf.DUMMYFUNCTION("""COMPUTED_VALUE"""),"RC362")</f>
        <v>RC362</v>
      </c>
      <c r="C9408" s="8">
        <f>IFERROR(__xludf.DUMMYFUNCTION("""COMPUTED_VALUE"""),0.0)</f>
        <v>0</v>
      </c>
      <c r="D9408" s="8"/>
    </row>
    <row r="9409">
      <c r="A9409" s="9" t="str">
        <f>IFERROR(__xludf.DUMMYFUNCTION("""COMPUTED_VALUE"""),"Batch 362")</f>
        <v>Batch 362</v>
      </c>
      <c r="B9409" s="9" t="str">
        <f>IFERROR(__xludf.DUMMYFUNCTION("""COMPUTED_VALUE"""),"RHITHICKC362")</f>
        <v>RHITHICKC362</v>
      </c>
      <c r="C9409" s="8">
        <f>IFERROR(__xludf.DUMMYFUNCTION("""COMPUTED_VALUE"""),0.0)</f>
        <v>0</v>
      </c>
      <c r="D9409" s="8"/>
    </row>
    <row r="9410">
      <c r="A9410" s="9"/>
      <c r="B9410" s="9"/>
      <c r="C9410" s="8">
        <f>IFERROR(__xludf.DUMMYFUNCTION("""COMPUTED_VALUE"""),0.0)</f>
        <v>0</v>
      </c>
      <c r="D9410" s="8"/>
    </row>
    <row r="9411">
      <c r="A9411" s="9" t="str">
        <f>IFERROR(__xludf.DUMMYFUNCTION("""COMPUTED_VALUE"""),"Batch 363")</f>
        <v>Batch 363</v>
      </c>
      <c r="B9411" s="9" t="str">
        <f>IFERROR(__xludf.DUMMYFUNCTION("""COMPUTED_VALUE"""),"HarishC363")</f>
        <v>HarishC363</v>
      </c>
      <c r="C9411" s="8">
        <f>IFERROR(__xludf.DUMMYFUNCTION("""COMPUTED_VALUE"""),0.0)</f>
        <v>0</v>
      </c>
      <c r="D9411" s="8"/>
    </row>
    <row r="9412">
      <c r="A9412" s="9" t="str">
        <f>IFERROR(__xludf.DUMMYFUNCTION("""COMPUTED_VALUE"""),"Batch 363")</f>
        <v>Batch 363</v>
      </c>
      <c r="B9412" s="9" t="str">
        <f>IFERROR(__xludf.DUMMYFUNCTION("""COMPUTED_VALUE"""),"MizanulC363")</f>
        <v>MizanulC363</v>
      </c>
      <c r="C9412" s="8">
        <f>IFERROR(__xludf.DUMMYFUNCTION("""COMPUTED_VALUE"""),0.0)</f>
        <v>0</v>
      </c>
      <c r="D9412" s="8"/>
    </row>
    <row r="9413">
      <c r="A9413" s="9" t="str">
        <f>IFERROR(__xludf.DUMMYFUNCTION("""COMPUTED_VALUE"""),"Batch 363")</f>
        <v>Batch 363</v>
      </c>
      <c r="B9413" s="9" t="str">
        <f>IFERROR(__xludf.DUMMYFUNCTION("""COMPUTED_VALUE"""),"AmberC363")</f>
        <v>AmberC363</v>
      </c>
      <c r="C9413" s="8">
        <f>IFERROR(__xludf.DUMMYFUNCTION("""COMPUTED_VALUE"""),0.0)</f>
        <v>0</v>
      </c>
      <c r="D9413" s="8"/>
    </row>
    <row r="9414">
      <c r="A9414" s="9" t="str">
        <f>IFERROR(__xludf.DUMMYFUNCTION("""COMPUTED_VALUE"""),"Batch 363")</f>
        <v>Batch 363</v>
      </c>
      <c r="B9414" s="9" t="str">
        <f>IFERROR(__xludf.DUMMYFUNCTION("""COMPUTED_VALUE"""),"SaraC363")</f>
        <v>SaraC363</v>
      </c>
      <c r="C9414" s="8">
        <f>IFERROR(__xludf.DUMMYFUNCTION("""COMPUTED_VALUE"""),0.0)</f>
        <v>0</v>
      </c>
      <c r="D9414" s="8"/>
    </row>
    <row r="9415">
      <c r="A9415" s="9" t="str">
        <f>IFERROR(__xludf.DUMMYFUNCTION("""COMPUTED_VALUE"""),"Batch 363")</f>
        <v>Batch 363</v>
      </c>
      <c r="B9415" s="9" t="str">
        <f>IFERROR(__xludf.DUMMYFUNCTION("""COMPUTED_VALUE"""),"Thanmai363")</f>
        <v>Thanmai363</v>
      </c>
      <c r="C9415" s="8">
        <f>IFERROR(__xludf.DUMMYFUNCTION("""COMPUTED_VALUE"""),0.0)</f>
        <v>0</v>
      </c>
      <c r="D9415" s="8"/>
    </row>
    <row r="9416">
      <c r="A9416" s="9" t="str">
        <f>IFERROR(__xludf.DUMMYFUNCTION("""COMPUTED_VALUE"""),"Batch 363")</f>
        <v>Batch 363</v>
      </c>
      <c r="B9416" s="9" t="str">
        <f>IFERROR(__xludf.DUMMYFUNCTION("""COMPUTED_VALUE"""),"SoniaC363")</f>
        <v>SoniaC363</v>
      </c>
      <c r="C9416" s="8">
        <f>IFERROR(__xludf.DUMMYFUNCTION("""COMPUTED_VALUE"""),0.0)</f>
        <v>0</v>
      </c>
      <c r="D9416" s="8"/>
    </row>
    <row r="9417">
      <c r="A9417" s="9" t="str">
        <f>IFERROR(__xludf.DUMMYFUNCTION("""COMPUTED_VALUE"""),"Batch 363")</f>
        <v>Batch 363</v>
      </c>
      <c r="B9417" s="9" t="str">
        <f>IFERROR(__xludf.DUMMYFUNCTION("""COMPUTED_VALUE"""),"DivyankaC363")</f>
        <v>DivyankaC363</v>
      </c>
      <c r="C9417" s="8">
        <f>IFERROR(__xludf.DUMMYFUNCTION("""COMPUTED_VALUE"""),0.0)</f>
        <v>0</v>
      </c>
      <c r="D9417" s="8"/>
    </row>
    <row r="9418">
      <c r="A9418" s="9" t="str">
        <f>IFERROR(__xludf.DUMMYFUNCTION("""COMPUTED_VALUE"""),"Batch 363")</f>
        <v>Batch 363</v>
      </c>
      <c r="B9418" s="9" t="str">
        <f>IFERROR(__xludf.DUMMYFUNCTION("""COMPUTED_VALUE"""),"ShubhamC363")</f>
        <v>ShubhamC363</v>
      </c>
      <c r="C9418" s="8">
        <f>IFERROR(__xludf.DUMMYFUNCTION("""COMPUTED_VALUE"""),0.0)</f>
        <v>0</v>
      </c>
      <c r="D9418" s="8"/>
    </row>
    <row r="9419">
      <c r="A9419" s="9" t="str">
        <f>IFERROR(__xludf.DUMMYFUNCTION("""COMPUTED_VALUE"""),"Batch 363")</f>
        <v>Batch 363</v>
      </c>
      <c r="B9419" s="9" t="str">
        <f>IFERROR(__xludf.DUMMYFUNCTION("""COMPUTED_VALUE"""),"dheiryaC363")</f>
        <v>dheiryaC363</v>
      </c>
      <c r="C9419" s="8">
        <f>IFERROR(__xludf.DUMMYFUNCTION("""COMPUTED_VALUE"""),0.0)</f>
        <v>0</v>
      </c>
      <c r="D9419" s="8"/>
    </row>
    <row r="9420">
      <c r="A9420" s="9" t="str">
        <f>IFERROR(__xludf.DUMMYFUNCTION("""COMPUTED_VALUE"""),"Batch 363")</f>
        <v>Batch 363</v>
      </c>
      <c r="B9420" s="9" t="str">
        <f>IFERROR(__xludf.DUMMYFUNCTION("""COMPUTED_VALUE"""),"JouhanC363")</f>
        <v>JouhanC363</v>
      </c>
      <c r="C9420" s="8">
        <f>IFERROR(__xludf.DUMMYFUNCTION("""COMPUTED_VALUE"""),0.0)</f>
        <v>0</v>
      </c>
      <c r="D9420" s="8"/>
    </row>
    <row r="9421">
      <c r="A9421" s="9" t="str">
        <f>IFERROR(__xludf.DUMMYFUNCTION("""COMPUTED_VALUE"""),"Batch 363")</f>
        <v>Batch 363</v>
      </c>
      <c r="B9421" s="9" t="str">
        <f>IFERROR(__xludf.DUMMYFUNCTION("""COMPUTED_VALUE"""),"MayankC363")</f>
        <v>MayankC363</v>
      </c>
      <c r="C9421" s="8">
        <f>IFERROR(__xludf.DUMMYFUNCTION("""COMPUTED_VALUE"""),0.0)</f>
        <v>0</v>
      </c>
      <c r="D9421" s="8"/>
    </row>
    <row r="9422">
      <c r="A9422" s="9" t="str">
        <f>IFERROR(__xludf.DUMMYFUNCTION("""COMPUTED_VALUE"""),"Batch 363")</f>
        <v>Batch 363</v>
      </c>
      <c r="B9422" s="9" t="str">
        <f>IFERROR(__xludf.DUMMYFUNCTION("""COMPUTED_VALUE"""),"JyotiC363")</f>
        <v>JyotiC363</v>
      </c>
      <c r="C9422" s="8">
        <f>IFERROR(__xludf.DUMMYFUNCTION("""COMPUTED_VALUE"""),0.0)</f>
        <v>0</v>
      </c>
      <c r="D9422" s="8"/>
    </row>
    <row r="9423">
      <c r="A9423" s="9" t="str">
        <f>IFERROR(__xludf.DUMMYFUNCTION("""COMPUTED_VALUE"""),"Batch 363")</f>
        <v>Batch 363</v>
      </c>
      <c r="B9423" s="9" t="str">
        <f>IFERROR(__xludf.DUMMYFUNCTION("""COMPUTED_VALUE"""),"AsmitaC363")</f>
        <v>AsmitaC363</v>
      </c>
      <c r="C9423" s="8">
        <f>IFERROR(__xludf.DUMMYFUNCTION("""COMPUTED_VALUE"""),4.0)</f>
        <v>4</v>
      </c>
      <c r="D9423" s="8"/>
    </row>
    <row r="9424">
      <c r="A9424" s="9" t="str">
        <f>IFERROR(__xludf.DUMMYFUNCTION("""COMPUTED_VALUE"""),"Batch 363")</f>
        <v>Batch 363</v>
      </c>
      <c r="B9424" s="9" t="str">
        <f>IFERROR(__xludf.DUMMYFUNCTION("""COMPUTED_VALUE"""),"SnehaC363")</f>
        <v>SnehaC363</v>
      </c>
      <c r="C9424" s="8">
        <f>IFERROR(__xludf.DUMMYFUNCTION("""COMPUTED_VALUE"""),0.0)</f>
        <v>0</v>
      </c>
      <c r="D9424" s="8"/>
    </row>
    <row r="9425">
      <c r="A9425" s="9" t="str">
        <f>IFERROR(__xludf.DUMMYFUNCTION("""COMPUTED_VALUE"""),"Batch 363")</f>
        <v>Batch 363</v>
      </c>
      <c r="B9425" s="9" t="str">
        <f>IFERROR(__xludf.DUMMYFUNCTION("""COMPUTED_VALUE"""),"SimranC363")</f>
        <v>SimranC363</v>
      </c>
      <c r="C9425" s="8">
        <f>IFERROR(__xludf.DUMMYFUNCTION("""COMPUTED_VALUE"""),0.0)</f>
        <v>0</v>
      </c>
      <c r="D9425" s="8"/>
    </row>
    <row r="9426">
      <c r="A9426" s="9" t="str">
        <f>IFERROR(__xludf.DUMMYFUNCTION("""COMPUTED_VALUE"""),"Batch 363")</f>
        <v>Batch 363</v>
      </c>
      <c r="B9426" s="9" t="str">
        <f>IFERROR(__xludf.DUMMYFUNCTION("""COMPUTED_VALUE"""),"AdithyaC363")</f>
        <v>AdithyaC363</v>
      </c>
      <c r="C9426" s="8">
        <f>IFERROR(__xludf.DUMMYFUNCTION("""COMPUTED_VALUE"""),0.0)</f>
        <v>0</v>
      </c>
      <c r="D9426" s="8"/>
    </row>
    <row r="9427">
      <c r="A9427" s="9" t="str">
        <f>IFERROR(__xludf.DUMMYFUNCTION("""COMPUTED_VALUE"""),"Batch 363")</f>
        <v>Batch 363</v>
      </c>
      <c r="B9427" s="9" t="str">
        <f>IFERROR(__xludf.DUMMYFUNCTION("""COMPUTED_VALUE"""),"VighneshC363")</f>
        <v>VighneshC363</v>
      </c>
      <c r="C9427" s="8">
        <f>IFERROR(__xludf.DUMMYFUNCTION("""COMPUTED_VALUE"""),0.0)</f>
        <v>0</v>
      </c>
      <c r="D9427" s="8"/>
    </row>
    <row r="9428">
      <c r="A9428" s="9" t="str">
        <f>IFERROR(__xludf.DUMMYFUNCTION("""COMPUTED_VALUE"""),"Batch 363")</f>
        <v>Batch 363</v>
      </c>
      <c r="B9428" s="9" t="str">
        <f>IFERROR(__xludf.DUMMYFUNCTION("""COMPUTED_VALUE"""),"BhagyashriC363")</f>
        <v>BhagyashriC363</v>
      </c>
      <c r="C9428" s="8">
        <f>IFERROR(__xludf.DUMMYFUNCTION("""COMPUTED_VALUE"""),0.0)</f>
        <v>0</v>
      </c>
      <c r="D9428" s="8"/>
    </row>
    <row r="9429">
      <c r="A9429" s="9" t="str">
        <f>IFERROR(__xludf.DUMMYFUNCTION("""COMPUTED_VALUE"""),"Batch 363")</f>
        <v>Batch 363</v>
      </c>
      <c r="B9429" s="9" t="str">
        <f>IFERROR(__xludf.DUMMYFUNCTION("""COMPUTED_VALUE"""),"DishaC363")</f>
        <v>DishaC363</v>
      </c>
      <c r="C9429" s="8">
        <f>IFERROR(__xludf.DUMMYFUNCTION("""COMPUTED_VALUE"""),0.0)</f>
        <v>0</v>
      </c>
      <c r="D9429" s="8"/>
    </row>
    <row r="9430">
      <c r="A9430" s="9" t="str">
        <f>IFERROR(__xludf.DUMMYFUNCTION("""COMPUTED_VALUE"""),"Batch 363")</f>
        <v>Batch 363</v>
      </c>
      <c r="B9430" s="9" t="str">
        <f>IFERROR(__xludf.DUMMYFUNCTION("""COMPUTED_VALUE"""),"AnshikaC363")</f>
        <v>AnshikaC363</v>
      </c>
      <c r="C9430" s="8">
        <f>IFERROR(__xludf.DUMMYFUNCTION("""COMPUTED_VALUE"""),0.0)</f>
        <v>0</v>
      </c>
      <c r="D9430" s="8"/>
    </row>
    <row r="9431">
      <c r="A9431" s="9" t="str">
        <f>IFERROR(__xludf.DUMMYFUNCTION("""COMPUTED_VALUE"""),"Batch 363")</f>
        <v>Batch 363</v>
      </c>
      <c r="B9431" s="9" t="str">
        <f>IFERROR(__xludf.DUMMYFUNCTION("""COMPUTED_VALUE"""),"KalpanaC363")</f>
        <v>KalpanaC363</v>
      </c>
      <c r="C9431" s="8">
        <f>IFERROR(__xludf.DUMMYFUNCTION("""COMPUTED_VALUE"""),0.0)</f>
        <v>0</v>
      </c>
      <c r="D9431" s="8"/>
    </row>
    <row r="9432">
      <c r="A9432" s="9" t="str">
        <f>IFERROR(__xludf.DUMMYFUNCTION("""COMPUTED_VALUE"""),"Batch 363")</f>
        <v>Batch 363</v>
      </c>
      <c r="B9432" s="9" t="str">
        <f>IFERROR(__xludf.DUMMYFUNCTION("""COMPUTED_VALUE"""),"DebarghyaC363")</f>
        <v>DebarghyaC363</v>
      </c>
      <c r="C9432" s="8">
        <f>IFERROR(__xludf.DUMMYFUNCTION("""COMPUTED_VALUE"""),0.0)</f>
        <v>0</v>
      </c>
      <c r="D9432" s="8"/>
    </row>
    <row r="9433">
      <c r="A9433" s="9" t="str">
        <f>IFERROR(__xludf.DUMMYFUNCTION("""COMPUTED_VALUE"""),"Batch 363")</f>
        <v>Batch 363</v>
      </c>
      <c r="B9433" s="9" t="str">
        <f>IFERROR(__xludf.DUMMYFUNCTION("""COMPUTED_VALUE"""),"NidhiC363")</f>
        <v>NidhiC363</v>
      </c>
      <c r="C9433" s="8">
        <f>IFERROR(__xludf.DUMMYFUNCTION("""COMPUTED_VALUE"""),6.0)</f>
        <v>6</v>
      </c>
      <c r="D9433" s="8"/>
    </row>
    <row r="9434">
      <c r="A9434" s="9" t="str">
        <f>IFERROR(__xludf.DUMMYFUNCTION("""COMPUTED_VALUE"""),"Batch 363")</f>
        <v>Batch 363</v>
      </c>
      <c r="B9434" s="9" t="str">
        <f>IFERROR(__xludf.DUMMYFUNCTION("""COMPUTED_VALUE"""),"NamepalliC363")</f>
        <v>NamepalliC363</v>
      </c>
      <c r="C9434" s="8">
        <f>IFERROR(__xludf.DUMMYFUNCTION("""COMPUTED_VALUE"""),0.0)</f>
        <v>0</v>
      </c>
      <c r="D9434" s="8"/>
    </row>
    <row r="9435">
      <c r="A9435" s="9" t="str">
        <f>IFERROR(__xludf.DUMMYFUNCTION("""COMPUTED_VALUE"""),"Batch 363")</f>
        <v>Batch 363</v>
      </c>
      <c r="B9435" s="9" t="str">
        <f>IFERROR(__xludf.DUMMYFUNCTION("""COMPUTED_VALUE"""),"SuyashC363")</f>
        <v>SuyashC363</v>
      </c>
      <c r="C9435" s="8">
        <f>IFERROR(__xludf.DUMMYFUNCTION("""COMPUTED_VALUE"""),0.0)</f>
        <v>0</v>
      </c>
      <c r="D9435" s="8"/>
    </row>
    <row r="9436">
      <c r="A9436" s="9" t="str">
        <f>IFERROR(__xludf.DUMMYFUNCTION("""COMPUTED_VALUE"""),"Batch 363")</f>
        <v>Batch 363</v>
      </c>
      <c r="B9436" s="9" t="str">
        <f>IFERROR(__xludf.DUMMYFUNCTION("""COMPUTED_VALUE"""),"SriC363")</f>
        <v>SriC363</v>
      </c>
      <c r="C9436" s="8">
        <f>IFERROR(__xludf.DUMMYFUNCTION("""COMPUTED_VALUE"""),0.0)</f>
        <v>0</v>
      </c>
      <c r="D9436" s="8"/>
    </row>
    <row r="9437">
      <c r="A9437" s="9" t="str">
        <f>IFERROR(__xludf.DUMMYFUNCTION("""COMPUTED_VALUE"""),"Batch 363")</f>
        <v>Batch 363</v>
      </c>
      <c r="B9437" s="9" t="str">
        <f>IFERROR(__xludf.DUMMYFUNCTION("""COMPUTED_VALUE"""),"VavilapalliC363")</f>
        <v>VavilapalliC363</v>
      </c>
      <c r="C9437" s="8">
        <f>IFERROR(__xludf.DUMMYFUNCTION("""COMPUTED_VALUE"""),0.0)</f>
        <v>0</v>
      </c>
      <c r="D9437" s="8"/>
    </row>
    <row r="9438">
      <c r="A9438" s="9" t="str">
        <f>IFERROR(__xludf.DUMMYFUNCTION("""COMPUTED_VALUE"""),"Batch 363")</f>
        <v>Batch 363</v>
      </c>
      <c r="B9438" s="9" t="str">
        <f>IFERROR(__xludf.DUMMYFUNCTION("""COMPUTED_VALUE"""),"KhyatiC363")</f>
        <v>KhyatiC363</v>
      </c>
      <c r="C9438" s="8">
        <f>IFERROR(__xludf.DUMMYFUNCTION("""COMPUTED_VALUE"""),0.0)</f>
        <v>0</v>
      </c>
      <c r="D9438" s="8"/>
    </row>
    <row r="9439">
      <c r="A9439" s="9" t="str">
        <f>IFERROR(__xludf.DUMMYFUNCTION("""COMPUTED_VALUE"""),"Batch 363")</f>
        <v>Batch 363</v>
      </c>
      <c r="B9439" s="9" t="str">
        <f>IFERROR(__xludf.DUMMYFUNCTION("""COMPUTED_VALUE"""),"SujeetC363")</f>
        <v>SujeetC363</v>
      </c>
      <c r="C9439" s="8">
        <f>IFERROR(__xludf.DUMMYFUNCTION("""COMPUTED_VALUE"""),0.0)</f>
        <v>0</v>
      </c>
      <c r="D9439" s="8"/>
    </row>
    <row r="9440">
      <c r="A9440" s="9" t="str">
        <f>IFERROR(__xludf.DUMMYFUNCTION("""COMPUTED_VALUE"""),"Batch 363")</f>
        <v>Batch 363</v>
      </c>
      <c r="B9440" s="9" t="str">
        <f>IFERROR(__xludf.DUMMYFUNCTION("""COMPUTED_VALUE"""),"CraigC363")</f>
        <v>CraigC363</v>
      </c>
      <c r="C9440" s="8">
        <f>IFERROR(__xludf.DUMMYFUNCTION("""COMPUTED_VALUE"""),0.0)</f>
        <v>0</v>
      </c>
      <c r="D9440" s="8"/>
    </row>
    <row r="9441">
      <c r="A9441" s="9" t="str">
        <f>IFERROR(__xludf.DUMMYFUNCTION("""COMPUTED_VALUE"""),"Batch 363")</f>
        <v>Batch 363</v>
      </c>
      <c r="B9441" s="9" t="str">
        <f>IFERROR(__xludf.DUMMYFUNCTION("""COMPUTED_VALUE"""),"RotimC363")</f>
        <v>RotimC363</v>
      </c>
      <c r="C9441" s="8">
        <f>IFERROR(__xludf.DUMMYFUNCTION("""COMPUTED_VALUE"""),2.0)</f>
        <v>2</v>
      </c>
      <c r="D9441" s="8"/>
    </row>
    <row r="9442">
      <c r="A9442" s="9" t="str">
        <f>IFERROR(__xludf.DUMMYFUNCTION("""COMPUTED_VALUE"""),"Batch 363")</f>
        <v>Batch 363</v>
      </c>
      <c r="B9442" s="9" t="str">
        <f>IFERROR(__xludf.DUMMYFUNCTION("""COMPUTED_VALUE"""),"NaveenC363")</f>
        <v>NaveenC363</v>
      </c>
      <c r="C9442" s="8">
        <f>IFERROR(__xludf.DUMMYFUNCTION("""COMPUTED_VALUE"""),2.0)</f>
        <v>2</v>
      </c>
      <c r="D9442" s="8"/>
    </row>
    <row r="9443">
      <c r="A9443" s="9" t="str">
        <f>IFERROR(__xludf.DUMMYFUNCTION("""COMPUTED_VALUE"""),"Batch 363")</f>
        <v>Batch 363</v>
      </c>
      <c r="B9443" s="9" t="str">
        <f>IFERROR(__xludf.DUMMYFUNCTION("""COMPUTED_VALUE"""),"YashasviC363")</f>
        <v>YashasviC363</v>
      </c>
      <c r="C9443" s="8">
        <f>IFERROR(__xludf.DUMMYFUNCTION("""COMPUTED_VALUE"""),0.0)</f>
        <v>0</v>
      </c>
      <c r="D9443" s="8"/>
    </row>
    <row r="9444">
      <c r="A9444" s="9" t="str">
        <f>IFERROR(__xludf.DUMMYFUNCTION("""COMPUTED_VALUE"""),"Batch 363")</f>
        <v>Batch 363</v>
      </c>
      <c r="B9444" s="9" t="str">
        <f>IFERROR(__xludf.DUMMYFUNCTION("""COMPUTED_VALUE"""),"AjayC363")</f>
        <v>AjayC363</v>
      </c>
      <c r="C9444" s="8">
        <f>IFERROR(__xludf.DUMMYFUNCTION("""COMPUTED_VALUE"""),0.0)</f>
        <v>0</v>
      </c>
      <c r="D9444" s="8"/>
    </row>
    <row r="9445">
      <c r="A9445" s="9" t="str">
        <f>IFERROR(__xludf.DUMMYFUNCTION("""COMPUTED_VALUE"""),"Batch 363")</f>
        <v>Batch 363</v>
      </c>
      <c r="B9445" s="9" t="str">
        <f>IFERROR(__xludf.DUMMYFUNCTION("""COMPUTED_VALUE"""),"KeshavC363")</f>
        <v>KeshavC363</v>
      </c>
      <c r="C9445" s="8">
        <f>IFERROR(__xludf.DUMMYFUNCTION("""COMPUTED_VALUE"""),0.0)</f>
        <v>0</v>
      </c>
      <c r="D9445" s="8"/>
    </row>
    <row r="9446">
      <c r="A9446" s="9" t="str">
        <f>IFERROR(__xludf.DUMMYFUNCTION("""COMPUTED_VALUE"""),"Batch 363")</f>
        <v>Batch 363</v>
      </c>
      <c r="B9446" s="9" t="str">
        <f>IFERROR(__xludf.DUMMYFUNCTION("""COMPUTED_VALUE"""),"AsthaC363")</f>
        <v>AsthaC363</v>
      </c>
      <c r="C9446" s="8">
        <f>IFERROR(__xludf.DUMMYFUNCTION("""COMPUTED_VALUE"""),0.0)</f>
        <v>0</v>
      </c>
      <c r="D9446" s="8"/>
    </row>
    <row r="9447">
      <c r="A9447" s="9" t="str">
        <f>IFERROR(__xludf.DUMMYFUNCTION("""COMPUTED_VALUE"""),"Batch 363")</f>
        <v>Batch 363</v>
      </c>
      <c r="B9447" s="9" t="str">
        <f>IFERROR(__xludf.DUMMYFUNCTION("""COMPUTED_VALUE"""),"AnkitaC363")</f>
        <v>AnkitaC363</v>
      </c>
      <c r="C9447" s="8">
        <f>IFERROR(__xludf.DUMMYFUNCTION("""COMPUTED_VALUE"""),0.0)</f>
        <v>0</v>
      </c>
      <c r="D9447" s="8"/>
    </row>
    <row r="9448">
      <c r="A9448" s="9" t="str">
        <f>IFERROR(__xludf.DUMMYFUNCTION("""COMPUTED_VALUE"""),"Batch 363")</f>
        <v>Batch 363</v>
      </c>
      <c r="B9448" s="9" t="str">
        <f>IFERROR(__xludf.DUMMYFUNCTION("""COMPUTED_VALUE"""),"SatyamC363")</f>
        <v>SatyamC363</v>
      </c>
      <c r="C9448" s="8">
        <f>IFERROR(__xludf.DUMMYFUNCTION("""COMPUTED_VALUE"""),0.0)</f>
        <v>0</v>
      </c>
      <c r="D9448" s="8"/>
    </row>
    <row r="9449">
      <c r="A9449" s="9" t="str">
        <f>IFERROR(__xludf.DUMMYFUNCTION("""COMPUTED_VALUE"""),"Batch 363")</f>
        <v>Batch 363</v>
      </c>
      <c r="B9449" s="9" t="str">
        <f>IFERROR(__xludf.DUMMYFUNCTION("""COMPUTED_VALUE"""),"SrushtiC363")</f>
        <v>SrushtiC363</v>
      </c>
      <c r="C9449" s="8">
        <f>IFERROR(__xludf.DUMMYFUNCTION("""COMPUTED_VALUE"""),0.0)</f>
        <v>0</v>
      </c>
      <c r="D9449" s="8"/>
    </row>
    <row r="9450">
      <c r="A9450" s="9" t="str">
        <f>IFERROR(__xludf.DUMMYFUNCTION("""COMPUTED_VALUE"""),"Batch 363")</f>
        <v>Batch 363</v>
      </c>
      <c r="B9450" s="9" t="str">
        <f>IFERROR(__xludf.DUMMYFUNCTION("""COMPUTED_VALUE"""),"vaibhaviC363")</f>
        <v>vaibhaviC363</v>
      </c>
      <c r="C9450" s="8">
        <f>IFERROR(__xludf.DUMMYFUNCTION("""COMPUTED_VALUE"""),0.0)</f>
        <v>0</v>
      </c>
      <c r="D9450" s="8"/>
    </row>
    <row r="9451">
      <c r="A9451" s="9" t="str">
        <f>IFERROR(__xludf.DUMMYFUNCTION("""COMPUTED_VALUE"""),"Batch 363")</f>
        <v>Batch 363</v>
      </c>
      <c r="B9451" s="9" t="str">
        <f>IFERROR(__xludf.DUMMYFUNCTION("""COMPUTED_VALUE"""),"RitikaC363")</f>
        <v>RitikaC363</v>
      </c>
      <c r="C9451" s="8">
        <f>IFERROR(__xludf.DUMMYFUNCTION("""COMPUTED_VALUE"""),0.0)</f>
        <v>0</v>
      </c>
      <c r="D9451" s="8">
        <f>IFERROR(__xludf.DUMMYFUNCTION("""COMPUTED_VALUE"""),5.0)</f>
        <v>5</v>
      </c>
    </row>
    <row r="9452">
      <c r="A9452" s="9" t="str">
        <f>IFERROR(__xludf.DUMMYFUNCTION("""COMPUTED_VALUE"""),"Batch 363")</f>
        <v>Batch 363</v>
      </c>
      <c r="B9452" s="9" t="str">
        <f>IFERROR(__xludf.DUMMYFUNCTION("""COMPUTED_VALUE"""),"AnandC363")</f>
        <v>AnandC363</v>
      </c>
      <c r="C9452" s="8">
        <f>IFERROR(__xludf.DUMMYFUNCTION("""COMPUTED_VALUE"""),0.0)</f>
        <v>0</v>
      </c>
      <c r="D9452" s="8"/>
    </row>
    <row r="9453">
      <c r="A9453" s="9" t="str">
        <f>IFERROR(__xludf.DUMMYFUNCTION("""COMPUTED_VALUE"""),"Batch 363")</f>
        <v>Batch 363</v>
      </c>
      <c r="B9453" s="9" t="str">
        <f>IFERROR(__xludf.DUMMYFUNCTION("""COMPUTED_VALUE"""),"KomalC363")</f>
        <v>KomalC363</v>
      </c>
      <c r="C9453" s="8">
        <f>IFERROR(__xludf.DUMMYFUNCTION("""COMPUTED_VALUE"""),0.0)</f>
        <v>0</v>
      </c>
      <c r="D9453" s="8"/>
    </row>
    <row r="9454">
      <c r="A9454" s="9" t="str">
        <f>IFERROR(__xludf.DUMMYFUNCTION("""COMPUTED_VALUE"""),"Batch 363")</f>
        <v>Batch 363</v>
      </c>
      <c r="B9454" s="9" t="str">
        <f>IFERROR(__xludf.DUMMYFUNCTION("""COMPUTED_VALUE"""),"BhavnathC363")</f>
        <v>BhavnathC363</v>
      </c>
      <c r="C9454" s="8">
        <f>IFERROR(__xludf.DUMMYFUNCTION("""COMPUTED_VALUE"""),0.0)</f>
        <v>0</v>
      </c>
      <c r="D9454" s="8"/>
    </row>
    <row r="9455">
      <c r="A9455" s="9" t="str">
        <f>IFERROR(__xludf.DUMMYFUNCTION("""COMPUTED_VALUE"""),"Batch 363")</f>
        <v>Batch 363</v>
      </c>
      <c r="B9455" s="9" t="str">
        <f>IFERROR(__xludf.DUMMYFUNCTION("""COMPUTED_VALUE"""),"DimpleC363")</f>
        <v>DimpleC363</v>
      </c>
      <c r="C9455" s="8">
        <f>IFERROR(__xludf.DUMMYFUNCTION("""COMPUTED_VALUE"""),0.0)</f>
        <v>0</v>
      </c>
      <c r="D9455" s="8"/>
    </row>
    <row r="9456">
      <c r="A9456" s="9" t="str">
        <f>IFERROR(__xludf.DUMMYFUNCTION("""COMPUTED_VALUE"""),"Batch 363")</f>
        <v>Batch 363</v>
      </c>
      <c r="B9456" s="9" t="str">
        <f>IFERROR(__xludf.DUMMYFUNCTION("""COMPUTED_VALUE"""),"ManyaC363")</f>
        <v>ManyaC363</v>
      </c>
      <c r="C9456" s="8">
        <f>IFERROR(__xludf.DUMMYFUNCTION("""COMPUTED_VALUE"""),0.0)</f>
        <v>0</v>
      </c>
      <c r="D9456" s="8"/>
    </row>
    <row r="9457">
      <c r="A9457" s="9" t="str">
        <f>IFERROR(__xludf.DUMMYFUNCTION("""COMPUTED_VALUE"""),"Batch 363")</f>
        <v>Batch 363</v>
      </c>
      <c r="B9457" s="9" t="str">
        <f>IFERROR(__xludf.DUMMYFUNCTION("""COMPUTED_VALUE"""),"AnugrahaC363")</f>
        <v>AnugrahaC363</v>
      </c>
      <c r="C9457" s="8">
        <f>IFERROR(__xludf.DUMMYFUNCTION("""COMPUTED_VALUE"""),0.0)</f>
        <v>0</v>
      </c>
      <c r="D9457" s="8"/>
    </row>
    <row r="9458">
      <c r="A9458" s="9" t="str">
        <f>IFERROR(__xludf.DUMMYFUNCTION("""COMPUTED_VALUE"""),"Batch 363")</f>
        <v>Batch 363</v>
      </c>
      <c r="B9458" s="9" t="str">
        <f>IFERROR(__xludf.DUMMYFUNCTION("""COMPUTED_VALUE"""),"SankalpC363")</f>
        <v>SankalpC363</v>
      </c>
      <c r="C9458" s="8">
        <f>IFERROR(__xludf.DUMMYFUNCTION("""COMPUTED_VALUE"""),0.0)</f>
        <v>0</v>
      </c>
      <c r="D9458" s="8"/>
    </row>
    <row r="9459">
      <c r="A9459" s="9" t="str">
        <f>IFERROR(__xludf.DUMMYFUNCTION("""COMPUTED_VALUE"""),"Batch 363")</f>
        <v>Batch 363</v>
      </c>
      <c r="B9459" s="9" t="str">
        <f>IFERROR(__xludf.DUMMYFUNCTION("""COMPUTED_VALUE"""),"AbhayC363")</f>
        <v>AbhayC363</v>
      </c>
      <c r="C9459" s="8">
        <f>IFERROR(__xludf.DUMMYFUNCTION("""COMPUTED_VALUE"""),0.0)</f>
        <v>0</v>
      </c>
      <c r="D9459" s="8"/>
    </row>
    <row r="9460">
      <c r="A9460" s="9" t="str">
        <f>IFERROR(__xludf.DUMMYFUNCTION("""COMPUTED_VALUE"""),"Batch 363")</f>
        <v>Batch 363</v>
      </c>
      <c r="B9460" s="9" t="str">
        <f>IFERROR(__xludf.DUMMYFUNCTION("""COMPUTED_VALUE"""),"KashishC363")</f>
        <v>KashishC363</v>
      </c>
      <c r="C9460" s="8">
        <f>IFERROR(__xludf.DUMMYFUNCTION("""COMPUTED_VALUE"""),0.0)</f>
        <v>0</v>
      </c>
      <c r="D9460" s="8"/>
    </row>
    <row r="9461">
      <c r="A9461" s="9" t="str">
        <f>IFERROR(__xludf.DUMMYFUNCTION("""COMPUTED_VALUE"""),"Batch 363")</f>
        <v>Batch 363</v>
      </c>
      <c r="B9461" s="9" t="str">
        <f>IFERROR(__xludf.DUMMYFUNCTION("""COMPUTED_VALUE"""),"AarthiC363")</f>
        <v>AarthiC363</v>
      </c>
      <c r="C9461" s="8">
        <f>IFERROR(__xludf.DUMMYFUNCTION("""COMPUTED_VALUE"""),0.0)</f>
        <v>0</v>
      </c>
      <c r="D9461" s="8"/>
    </row>
    <row r="9462">
      <c r="A9462" s="9" t="str">
        <f>IFERROR(__xludf.DUMMYFUNCTION("""COMPUTED_VALUE"""),"Batch 363")</f>
        <v>Batch 363</v>
      </c>
      <c r="B9462" s="9" t="str">
        <f>IFERROR(__xludf.DUMMYFUNCTION("""COMPUTED_VALUE"""),"VIJETHC363")</f>
        <v>VIJETHC363</v>
      </c>
      <c r="C9462" s="8">
        <f>IFERROR(__xludf.DUMMYFUNCTION("""COMPUTED_VALUE"""),3.0)</f>
        <v>3</v>
      </c>
      <c r="D9462" s="8">
        <f>IFERROR(__xludf.DUMMYFUNCTION("""COMPUTED_VALUE"""),1.0)</f>
        <v>1</v>
      </c>
    </row>
    <row r="9463">
      <c r="A9463" s="9" t="str">
        <f>IFERROR(__xludf.DUMMYFUNCTION("""COMPUTED_VALUE"""),"Batch 363")</f>
        <v>Batch 363</v>
      </c>
      <c r="B9463" s="9" t="str">
        <f>IFERROR(__xludf.DUMMYFUNCTION("""COMPUTED_VALUE"""),"NishaC363")</f>
        <v>NishaC363</v>
      </c>
      <c r="C9463" s="8">
        <f>IFERROR(__xludf.DUMMYFUNCTION("""COMPUTED_VALUE"""),0.0)</f>
        <v>0</v>
      </c>
      <c r="D9463" s="8"/>
    </row>
    <row r="9464">
      <c r="A9464" s="9" t="str">
        <f>IFERROR(__xludf.DUMMYFUNCTION("""COMPUTED_VALUE"""),"Batch 363")</f>
        <v>Batch 363</v>
      </c>
      <c r="B9464" s="9" t="str">
        <f>IFERROR(__xludf.DUMMYFUNCTION("""COMPUTED_VALUE"""),"YaswithaC363")</f>
        <v>YaswithaC363</v>
      </c>
      <c r="C9464" s="8">
        <f>IFERROR(__xludf.DUMMYFUNCTION("""COMPUTED_VALUE"""),0.0)</f>
        <v>0</v>
      </c>
      <c r="D9464" s="8"/>
    </row>
    <row r="9465">
      <c r="A9465" s="9" t="str">
        <f>IFERROR(__xludf.DUMMYFUNCTION("""COMPUTED_VALUE"""),"Batch 363")</f>
        <v>Batch 363</v>
      </c>
      <c r="B9465" s="9" t="str">
        <f>IFERROR(__xludf.DUMMYFUNCTION("""COMPUTED_VALUE"""),"AnilC363")</f>
        <v>AnilC363</v>
      </c>
      <c r="C9465" s="8">
        <f>IFERROR(__xludf.DUMMYFUNCTION("""COMPUTED_VALUE"""),0.0)</f>
        <v>0</v>
      </c>
      <c r="D9465" s="8"/>
    </row>
    <row r="9466">
      <c r="A9466" s="9" t="str">
        <f>IFERROR(__xludf.DUMMYFUNCTION("""COMPUTED_VALUE"""),"Batch 363")</f>
        <v>Batch 363</v>
      </c>
      <c r="B9466" s="9" t="str">
        <f>IFERROR(__xludf.DUMMYFUNCTION("""COMPUTED_VALUE"""),"HarshC363")</f>
        <v>HarshC363</v>
      </c>
      <c r="C9466" s="8">
        <f>IFERROR(__xludf.DUMMYFUNCTION("""COMPUTED_VALUE"""),1.0)</f>
        <v>1</v>
      </c>
      <c r="D9466" s="8"/>
    </row>
    <row r="9467">
      <c r="A9467" s="9" t="str">
        <f>IFERROR(__xludf.DUMMYFUNCTION("""COMPUTED_VALUE"""),"Batch 363")</f>
        <v>Batch 363</v>
      </c>
      <c r="B9467" s="9" t="str">
        <f>IFERROR(__xludf.DUMMYFUNCTION("""COMPUTED_VALUE"""),"B.ShrawyaC363")</f>
        <v>B.ShrawyaC363</v>
      </c>
      <c r="C9467" s="8">
        <f>IFERROR(__xludf.DUMMYFUNCTION("""COMPUTED_VALUE"""),0.0)</f>
        <v>0</v>
      </c>
      <c r="D9467" s="8"/>
    </row>
    <row r="9468">
      <c r="A9468" s="9" t="str">
        <f>IFERROR(__xludf.DUMMYFUNCTION("""COMPUTED_VALUE"""),"Batch 363")</f>
        <v>Batch 363</v>
      </c>
      <c r="B9468" s="9" t="str">
        <f>IFERROR(__xludf.DUMMYFUNCTION("""COMPUTED_VALUE"""),"Manasa.RC363")</f>
        <v>Manasa.RC363</v>
      </c>
      <c r="C9468" s="8">
        <f>IFERROR(__xludf.DUMMYFUNCTION("""COMPUTED_VALUE"""),0.0)</f>
        <v>0</v>
      </c>
      <c r="D9468" s="8"/>
    </row>
    <row r="9469">
      <c r="A9469" s="9" t="str">
        <f>IFERROR(__xludf.DUMMYFUNCTION("""COMPUTED_VALUE"""),"Batch 363")</f>
        <v>Batch 363</v>
      </c>
      <c r="B9469" s="9" t="str">
        <f>IFERROR(__xludf.DUMMYFUNCTION("""COMPUTED_VALUE"""),"KuldeepC363")</f>
        <v>KuldeepC363</v>
      </c>
      <c r="C9469" s="8">
        <f>IFERROR(__xludf.DUMMYFUNCTION("""COMPUTED_VALUE"""),0.0)</f>
        <v>0</v>
      </c>
      <c r="D9469" s="8"/>
    </row>
    <row r="9470">
      <c r="A9470" s="9" t="str">
        <f>IFERROR(__xludf.DUMMYFUNCTION("""COMPUTED_VALUE"""),"Batch 363")</f>
        <v>Batch 363</v>
      </c>
      <c r="B9470" s="9" t="str">
        <f>IFERROR(__xludf.DUMMYFUNCTION("""COMPUTED_VALUE"""),"AbhishekSC363")</f>
        <v>AbhishekSC363</v>
      </c>
      <c r="C9470" s="8">
        <f>IFERROR(__xludf.DUMMYFUNCTION("""COMPUTED_VALUE"""),0.0)</f>
        <v>0</v>
      </c>
      <c r="D9470" s="8"/>
    </row>
    <row r="9471">
      <c r="A9471" s="9" t="str">
        <f>IFERROR(__xludf.DUMMYFUNCTION("""COMPUTED_VALUE"""),"Batch 363")</f>
        <v>Batch 363</v>
      </c>
      <c r="B9471" s="9" t="str">
        <f>IFERROR(__xludf.DUMMYFUNCTION("""COMPUTED_VALUE"""),"MadhumitaC363")</f>
        <v>MadhumitaC363</v>
      </c>
      <c r="C9471" s="8">
        <f>IFERROR(__xludf.DUMMYFUNCTION("""COMPUTED_VALUE"""),0.0)</f>
        <v>0</v>
      </c>
      <c r="D9471" s="8"/>
    </row>
    <row r="9472">
      <c r="A9472" s="9" t="str">
        <f>IFERROR(__xludf.DUMMYFUNCTION("""COMPUTED_VALUE"""),"Batch 363")</f>
        <v>Batch 363</v>
      </c>
      <c r="B9472" s="9" t="str">
        <f>IFERROR(__xludf.DUMMYFUNCTION("""COMPUTED_VALUE"""),"SinchanC363")</f>
        <v>SinchanC363</v>
      </c>
      <c r="C9472" s="8">
        <f>IFERROR(__xludf.DUMMYFUNCTION("""COMPUTED_VALUE"""),0.0)</f>
        <v>0</v>
      </c>
      <c r="D9472" s="8"/>
    </row>
    <row r="9473">
      <c r="A9473" s="9" t="str">
        <f>IFERROR(__xludf.DUMMYFUNCTION("""COMPUTED_VALUE"""),"Batch 363")</f>
        <v>Batch 363</v>
      </c>
      <c r="B9473" s="9" t="str">
        <f>IFERROR(__xludf.DUMMYFUNCTION("""COMPUTED_VALUE"""),"DiyaC363")</f>
        <v>DiyaC363</v>
      </c>
      <c r="C9473" s="8">
        <f>IFERROR(__xludf.DUMMYFUNCTION("""COMPUTED_VALUE"""),27.0)</f>
        <v>27</v>
      </c>
      <c r="D9473" s="8">
        <f>IFERROR(__xludf.DUMMYFUNCTION("""COMPUTED_VALUE"""),24.0)</f>
        <v>24</v>
      </c>
    </row>
    <row r="9474">
      <c r="A9474" s="9" t="str">
        <f>IFERROR(__xludf.DUMMYFUNCTION("""COMPUTED_VALUE"""),"Batch 363")</f>
        <v>Batch 363</v>
      </c>
      <c r="B9474" s="9" t="str">
        <f>IFERROR(__xludf.DUMMYFUNCTION("""COMPUTED_VALUE"""),"DhanushreeC363")</f>
        <v>DhanushreeC363</v>
      </c>
      <c r="C9474" s="8">
        <f>IFERROR(__xludf.DUMMYFUNCTION("""COMPUTED_VALUE"""),3.0)</f>
        <v>3</v>
      </c>
      <c r="D9474" s="8"/>
    </row>
    <row r="9475">
      <c r="A9475" s="9" t="str">
        <f>IFERROR(__xludf.DUMMYFUNCTION("""COMPUTED_VALUE"""),"Batch 363")</f>
        <v>Batch 363</v>
      </c>
      <c r="B9475" s="9" t="str">
        <f>IFERROR(__xludf.DUMMYFUNCTION("""COMPUTED_VALUE"""),"DollvyC363")</f>
        <v>DollvyC363</v>
      </c>
      <c r="C9475" s="8">
        <f>IFERROR(__xludf.DUMMYFUNCTION("""COMPUTED_VALUE"""),0.0)</f>
        <v>0</v>
      </c>
      <c r="D9475" s="8"/>
    </row>
    <row r="9476">
      <c r="A9476" s="9" t="str">
        <f>IFERROR(__xludf.DUMMYFUNCTION("""COMPUTED_VALUE"""),"Batch 363")</f>
        <v>Batch 363</v>
      </c>
      <c r="B9476" s="9" t="str">
        <f>IFERROR(__xludf.DUMMYFUNCTION("""COMPUTED_VALUE"""),"RiyaC363")</f>
        <v>RiyaC363</v>
      </c>
      <c r="C9476" s="8">
        <f>IFERROR(__xludf.DUMMYFUNCTION("""COMPUTED_VALUE"""),0.0)</f>
        <v>0</v>
      </c>
      <c r="D9476" s="8"/>
    </row>
    <row r="9477">
      <c r="A9477" s="9" t="str">
        <f>IFERROR(__xludf.DUMMYFUNCTION("""COMPUTED_VALUE"""),"Batch 363")</f>
        <v>Batch 363</v>
      </c>
      <c r="B9477" s="9" t="str">
        <f>IFERROR(__xludf.DUMMYFUNCTION("""COMPUTED_VALUE"""),"EktaC363")</f>
        <v>EktaC363</v>
      </c>
      <c r="C9477" s="8">
        <f>IFERROR(__xludf.DUMMYFUNCTION("""COMPUTED_VALUE"""),0.0)</f>
        <v>0</v>
      </c>
      <c r="D9477" s="8"/>
    </row>
    <row r="9478">
      <c r="A9478" s="9" t="str">
        <f>IFERROR(__xludf.DUMMYFUNCTION("""COMPUTED_VALUE"""),"Batch 363")</f>
        <v>Batch 363</v>
      </c>
      <c r="B9478" s="9" t="str">
        <f>IFERROR(__xludf.DUMMYFUNCTION("""COMPUTED_VALUE"""),"NoorC363")</f>
        <v>NoorC363</v>
      </c>
      <c r="C9478" s="8">
        <f>IFERROR(__xludf.DUMMYFUNCTION("""COMPUTED_VALUE"""),1.0)</f>
        <v>1</v>
      </c>
      <c r="D9478" s="8"/>
    </row>
    <row r="9479">
      <c r="A9479" s="9" t="str">
        <f>IFERROR(__xludf.DUMMYFUNCTION("""COMPUTED_VALUE"""),"Batch 363")</f>
        <v>Batch 363</v>
      </c>
      <c r="B9479" s="9" t="str">
        <f>IFERROR(__xludf.DUMMYFUNCTION("""COMPUTED_VALUE"""),"sonaliC363")</f>
        <v>sonaliC363</v>
      </c>
      <c r="C9479" s="8">
        <f>IFERROR(__xludf.DUMMYFUNCTION("""COMPUTED_VALUE"""),0.0)</f>
        <v>0</v>
      </c>
      <c r="D9479" s="8"/>
    </row>
    <row r="9480">
      <c r="A9480" s="9" t="str">
        <f>IFERROR(__xludf.DUMMYFUNCTION("""COMPUTED_VALUE"""),"Batch 363")</f>
        <v>Batch 363</v>
      </c>
      <c r="B9480" s="9" t="str">
        <f>IFERROR(__xludf.DUMMYFUNCTION("""COMPUTED_VALUE"""),"AdityaC363")</f>
        <v>AdityaC363</v>
      </c>
      <c r="C9480" s="8">
        <f>IFERROR(__xludf.DUMMYFUNCTION("""COMPUTED_VALUE"""),1.0)</f>
        <v>1</v>
      </c>
      <c r="D9480" s="8"/>
    </row>
    <row r="9481">
      <c r="A9481" s="9" t="str">
        <f>IFERROR(__xludf.DUMMYFUNCTION("""COMPUTED_VALUE"""),"Batch 363")</f>
        <v>Batch 363</v>
      </c>
      <c r="B9481" s="9" t="str">
        <f>IFERROR(__xludf.DUMMYFUNCTION("""COMPUTED_VALUE"""),"BAPATHUC363")</f>
        <v>BAPATHUC363</v>
      </c>
      <c r="C9481" s="8">
        <f>IFERROR(__xludf.DUMMYFUNCTION("""COMPUTED_VALUE"""),0.0)</f>
        <v>0</v>
      </c>
      <c r="D9481" s="8"/>
    </row>
    <row r="9482">
      <c r="A9482" s="9" t="str">
        <f>IFERROR(__xludf.DUMMYFUNCTION("""COMPUTED_VALUE"""),"Batch 363")</f>
        <v>Batch 363</v>
      </c>
      <c r="B9482" s="9" t="str">
        <f>IFERROR(__xludf.DUMMYFUNCTION("""COMPUTED_VALUE"""),"SalmaC363")</f>
        <v>SalmaC363</v>
      </c>
      <c r="C9482" s="8">
        <f>IFERROR(__xludf.DUMMYFUNCTION("""COMPUTED_VALUE"""),2.0)</f>
        <v>2</v>
      </c>
      <c r="D9482" s="8"/>
    </row>
    <row r="9483">
      <c r="A9483" s="9" t="str">
        <f>IFERROR(__xludf.DUMMYFUNCTION("""COMPUTED_VALUE"""),"Batch 363")</f>
        <v>Batch 363</v>
      </c>
      <c r="B9483" s="9" t="str">
        <f>IFERROR(__xludf.DUMMYFUNCTION("""COMPUTED_VALUE"""),"AnubhavC363")</f>
        <v>AnubhavC363</v>
      </c>
      <c r="C9483" s="8">
        <f>IFERROR(__xludf.DUMMYFUNCTION("""COMPUTED_VALUE"""),0.0)</f>
        <v>0</v>
      </c>
      <c r="D9483" s="8"/>
    </row>
    <row r="9484">
      <c r="A9484" s="9" t="str">
        <f>IFERROR(__xludf.DUMMYFUNCTION("""COMPUTED_VALUE"""),"Batch 363")</f>
        <v>Batch 363</v>
      </c>
      <c r="B9484" s="9" t="str">
        <f>IFERROR(__xludf.DUMMYFUNCTION("""COMPUTED_VALUE"""),"AlfiyaC363")</f>
        <v>AlfiyaC363</v>
      </c>
      <c r="C9484" s="8">
        <f>IFERROR(__xludf.DUMMYFUNCTION("""COMPUTED_VALUE"""),0.0)</f>
        <v>0</v>
      </c>
      <c r="D9484" s="8"/>
    </row>
    <row r="9485">
      <c r="A9485" s="9" t="str">
        <f>IFERROR(__xludf.DUMMYFUNCTION("""COMPUTED_VALUE"""),"Batch 363")</f>
        <v>Batch 363</v>
      </c>
      <c r="B9485" s="9" t="str">
        <f>IFERROR(__xludf.DUMMYFUNCTION("""COMPUTED_VALUE"""),"KrushnaC363")</f>
        <v>KrushnaC363</v>
      </c>
      <c r="C9485" s="8">
        <f>IFERROR(__xludf.DUMMYFUNCTION("""COMPUTED_VALUE"""),1.0)</f>
        <v>1</v>
      </c>
      <c r="D9485" s="8"/>
    </row>
    <row r="9486">
      <c r="A9486" s="9" t="str">
        <f>IFERROR(__xludf.DUMMYFUNCTION("""COMPUTED_VALUE"""),"Batch 363")</f>
        <v>Batch 363</v>
      </c>
      <c r="B9486" s="9" t="str">
        <f>IFERROR(__xludf.DUMMYFUNCTION("""COMPUTED_VALUE"""),"YuktaC363")</f>
        <v>YuktaC363</v>
      </c>
      <c r="C9486" s="8">
        <f>IFERROR(__xludf.DUMMYFUNCTION("""COMPUTED_VALUE"""),0.0)</f>
        <v>0</v>
      </c>
      <c r="D9486" s="8"/>
    </row>
    <row r="9487">
      <c r="A9487" s="9" t="str">
        <f>IFERROR(__xludf.DUMMYFUNCTION("""COMPUTED_VALUE"""),"Batch 363")</f>
        <v>Batch 363</v>
      </c>
      <c r="B9487" s="9" t="str">
        <f>IFERROR(__xludf.DUMMYFUNCTION("""COMPUTED_VALUE"""),"VijayaC363")</f>
        <v>VijayaC363</v>
      </c>
      <c r="C9487" s="8">
        <f>IFERROR(__xludf.DUMMYFUNCTION("""COMPUTED_VALUE"""),2.0)</f>
        <v>2</v>
      </c>
      <c r="D9487" s="8"/>
    </row>
    <row r="9488">
      <c r="A9488" s="9" t="str">
        <f>IFERROR(__xludf.DUMMYFUNCTION("""COMPUTED_VALUE"""),"Batch 363")</f>
        <v>Batch 363</v>
      </c>
      <c r="B9488" s="9" t="str">
        <f>IFERROR(__xludf.DUMMYFUNCTION("""COMPUTED_VALUE"""),"ShaikhC363")</f>
        <v>ShaikhC363</v>
      </c>
      <c r="C9488" s="8">
        <f>IFERROR(__xludf.DUMMYFUNCTION("""COMPUTED_VALUE"""),0.0)</f>
        <v>0</v>
      </c>
      <c r="D9488" s="8"/>
    </row>
    <row r="9489">
      <c r="A9489" s="9" t="str">
        <f>IFERROR(__xludf.DUMMYFUNCTION("""COMPUTED_VALUE"""),"Batch 363")</f>
        <v>Batch 363</v>
      </c>
      <c r="B9489" s="9" t="str">
        <f>IFERROR(__xludf.DUMMYFUNCTION("""COMPUTED_VALUE"""),"AwaizkhanC363")</f>
        <v>AwaizkhanC363</v>
      </c>
      <c r="C9489" s="8">
        <f>IFERROR(__xludf.DUMMYFUNCTION("""COMPUTED_VALUE"""),0.0)</f>
        <v>0</v>
      </c>
      <c r="D9489" s="8"/>
    </row>
    <row r="9490">
      <c r="A9490" s="9" t="str">
        <f>IFERROR(__xludf.DUMMYFUNCTION("""COMPUTED_VALUE"""),"Batch 363")</f>
        <v>Batch 363</v>
      </c>
      <c r="B9490" s="9" t="str">
        <f>IFERROR(__xludf.DUMMYFUNCTION("""COMPUTED_VALUE"""),"DivyankaC363")</f>
        <v>DivyankaC363</v>
      </c>
      <c r="C9490" s="8">
        <f>IFERROR(__xludf.DUMMYFUNCTION("""COMPUTED_VALUE"""),0.0)</f>
        <v>0</v>
      </c>
      <c r="D9490" s="8"/>
    </row>
    <row r="9491">
      <c r="A9491" s="9" t="str">
        <f>IFERROR(__xludf.DUMMYFUNCTION("""COMPUTED_VALUE"""),"Batch 363")</f>
        <v>Batch 363</v>
      </c>
      <c r="B9491" s="9" t="str">
        <f>IFERROR(__xludf.DUMMYFUNCTION("""COMPUTED_VALUE"""),"RanjithaC363")</f>
        <v>RanjithaC363</v>
      </c>
      <c r="C9491" s="8">
        <f>IFERROR(__xludf.DUMMYFUNCTION("""COMPUTED_VALUE"""),27.0)</f>
        <v>27</v>
      </c>
      <c r="D9491" s="8">
        <f>IFERROR(__xludf.DUMMYFUNCTION("""COMPUTED_VALUE"""),11.0)</f>
        <v>11</v>
      </c>
    </row>
    <row r="9492">
      <c r="A9492" s="9" t="str">
        <f>IFERROR(__xludf.DUMMYFUNCTION("""COMPUTED_VALUE"""),"Batch 363")</f>
        <v>Batch 363</v>
      </c>
      <c r="B9492" s="9" t="str">
        <f>IFERROR(__xludf.DUMMYFUNCTION("""COMPUTED_VALUE"""),"LokeshC363")</f>
        <v>LokeshC363</v>
      </c>
      <c r="C9492" s="8">
        <f>IFERROR(__xludf.DUMMYFUNCTION("""COMPUTED_VALUE"""),0.0)</f>
        <v>0</v>
      </c>
      <c r="D9492" s="8"/>
    </row>
    <row r="9493">
      <c r="A9493" s="9" t="str">
        <f>IFERROR(__xludf.DUMMYFUNCTION("""COMPUTED_VALUE"""),"Batch 363")</f>
        <v>Batch 363</v>
      </c>
      <c r="B9493" s="9" t="str">
        <f>IFERROR(__xludf.DUMMYFUNCTION("""COMPUTED_VALUE"""),"YugC363")</f>
        <v>YugC363</v>
      </c>
      <c r="C9493" s="8">
        <f>IFERROR(__xludf.DUMMYFUNCTION("""COMPUTED_VALUE"""),0.0)</f>
        <v>0</v>
      </c>
      <c r="D9493" s="8"/>
    </row>
    <row r="9494">
      <c r="A9494" s="9" t="str">
        <f>IFERROR(__xludf.DUMMYFUNCTION("""COMPUTED_VALUE"""),"Batch 363")</f>
        <v>Batch 363</v>
      </c>
      <c r="B9494" s="9" t="str">
        <f>IFERROR(__xludf.DUMMYFUNCTION("""COMPUTED_VALUE"""),"RiyaC363")</f>
        <v>RiyaC363</v>
      </c>
      <c r="C9494" s="8">
        <f>IFERROR(__xludf.DUMMYFUNCTION("""COMPUTED_VALUE"""),0.0)</f>
        <v>0</v>
      </c>
      <c r="D9494" s="8"/>
    </row>
    <row r="9495">
      <c r="A9495" s="9" t="str">
        <f>IFERROR(__xludf.DUMMYFUNCTION("""COMPUTED_VALUE"""),"Batch 363")</f>
        <v>Batch 363</v>
      </c>
      <c r="B9495" s="9" t="str">
        <f>IFERROR(__xludf.DUMMYFUNCTION("""COMPUTED_VALUE"""),"YashC363")</f>
        <v>YashC363</v>
      </c>
      <c r="C9495" s="8">
        <f>IFERROR(__xludf.DUMMYFUNCTION("""COMPUTED_VALUE"""),0.0)</f>
        <v>0</v>
      </c>
      <c r="D9495" s="8"/>
    </row>
    <row r="9496">
      <c r="A9496" s="9" t="str">
        <f>IFERROR(__xludf.DUMMYFUNCTION("""COMPUTED_VALUE"""),"Batch 363")</f>
        <v>Batch 363</v>
      </c>
      <c r="B9496" s="9" t="str">
        <f>IFERROR(__xludf.DUMMYFUNCTION("""COMPUTED_VALUE"""),"MuhammedC363")</f>
        <v>MuhammedC363</v>
      </c>
      <c r="C9496" s="8">
        <f>IFERROR(__xludf.DUMMYFUNCTION("""COMPUTED_VALUE"""),6.0)</f>
        <v>6</v>
      </c>
      <c r="D9496" s="8">
        <f>IFERROR(__xludf.DUMMYFUNCTION("""COMPUTED_VALUE"""),1.0)</f>
        <v>1</v>
      </c>
    </row>
    <row r="9497">
      <c r="A9497" s="9" t="str">
        <f>IFERROR(__xludf.DUMMYFUNCTION("""COMPUTED_VALUE"""),"Batch 363")</f>
        <v>Batch 363</v>
      </c>
      <c r="B9497" s="9" t="str">
        <f>IFERROR(__xludf.DUMMYFUNCTION("""COMPUTED_VALUE"""),"RaginC363")</f>
        <v>RaginC363</v>
      </c>
      <c r="C9497" s="8">
        <f>IFERROR(__xludf.DUMMYFUNCTION("""COMPUTED_VALUE"""),0.0)</f>
        <v>0</v>
      </c>
      <c r="D9497" s="8"/>
    </row>
    <row r="9498">
      <c r="A9498" s="9" t="str">
        <f>IFERROR(__xludf.DUMMYFUNCTION("""COMPUTED_VALUE"""),"Batch 363")</f>
        <v>Batch 363</v>
      </c>
      <c r="B9498" s="9" t="str">
        <f>IFERROR(__xludf.DUMMYFUNCTION("""COMPUTED_VALUE"""),"AnjaliC363")</f>
        <v>AnjaliC363</v>
      </c>
      <c r="C9498" s="8">
        <f>IFERROR(__xludf.DUMMYFUNCTION("""COMPUTED_VALUE"""),1.0)</f>
        <v>1</v>
      </c>
      <c r="D9498" s="8"/>
    </row>
    <row r="9499">
      <c r="A9499" s="9" t="str">
        <f>IFERROR(__xludf.DUMMYFUNCTION("""COMPUTED_VALUE"""),"Batch 363")</f>
        <v>Batch 363</v>
      </c>
      <c r="B9499" s="9" t="str">
        <f>IFERROR(__xludf.DUMMYFUNCTION("""COMPUTED_VALUE"""),"HarshitaC363")</f>
        <v>HarshitaC363</v>
      </c>
      <c r="C9499" s="8">
        <f>IFERROR(__xludf.DUMMYFUNCTION("""COMPUTED_VALUE"""),0.0)</f>
        <v>0</v>
      </c>
      <c r="D9499" s="8"/>
    </row>
    <row r="9500">
      <c r="A9500" s="9" t="str">
        <f>IFERROR(__xludf.DUMMYFUNCTION("""COMPUTED_VALUE"""),"Batch 363")</f>
        <v>Batch 363</v>
      </c>
      <c r="B9500" s="9" t="str">
        <f>IFERROR(__xludf.DUMMYFUNCTION("""COMPUTED_VALUE"""),"BhavneeshC363")</f>
        <v>BhavneeshC363</v>
      </c>
      <c r="C9500" s="8">
        <f>IFERROR(__xludf.DUMMYFUNCTION("""COMPUTED_VALUE"""),1.0)</f>
        <v>1</v>
      </c>
      <c r="D9500" s="8"/>
    </row>
    <row r="9501">
      <c r="A9501" s="9" t="str">
        <f>IFERROR(__xludf.DUMMYFUNCTION("""COMPUTED_VALUE"""),"Batch 363")</f>
        <v>Batch 363</v>
      </c>
      <c r="B9501" s="9" t="str">
        <f>IFERROR(__xludf.DUMMYFUNCTION("""COMPUTED_VALUE"""),"IshanC363")</f>
        <v>IshanC363</v>
      </c>
      <c r="C9501" s="8">
        <f>IFERROR(__xludf.DUMMYFUNCTION("""COMPUTED_VALUE"""),0.0)</f>
        <v>0</v>
      </c>
      <c r="D9501" s="8"/>
    </row>
    <row r="9502">
      <c r="A9502" s="9" t="str">
        <f>IFERROR(__xludf.DUMMYFUNCTION("""COMPUTED_VALUE"""),"Batch 363")</f>
        <v>Batch 363</v>
      </c>
      <c r="B9502" s="9" t="str">
        <f>IFERROR(__xludf.DUMMYFUNCTION("""COMPUTED_VALUE"""),"AbhishekC363")</f>
        <v>AbhishekC363</v>
      </c>
      <c r="C9502" s="8">
        <f>IFERROR(__xludf.DUMMYFUNCTION("""COMPUTED_VALUE"""),1.0)</f>
        <v>1</v>
      </c>
      <c r="D9502" s="8"/>
    </row>
    <row r="9503">
      <c r="A9503" s="9" t="str">
        <f>IFERROR(__xludf.DUMMYFUNCTION("""COMPUTED_VALUE"""),"Batch 363")</f>
        <v>Batch 363</v>
      </c>
      <c r="B9503" s="9" t="str">
        <f>IFERROR(__xludf.DUMMYFUNCTION("""COMPUTED_VALUE"""),"TaherC363")</f>
        <v>TaherC363</v>
      </c>
      <c r="C9503" s="8">
        <f>IFERROR(__xludf.DUMMYFUNCTION("""COMPUTED_VALUE"""),0.0)</f>
        <v>0</v>
      </c>
      <c r="D9503" s="8"/>
    </row>
    <row r="9504">
      <c r="A9504" s="9" t="str">
        <f>IFERROR(__xludf.DUMMYFUNCTION("""COMPUTED_VALUE"""),"Batch 363")</f>
        <v>Batch 363</v>
      </c>
      <c r="B9504" s="9" t="str">
        <f>IFERROR(__xludf.DUMMYFUNCTION("""COMPUTED_VALUE"""),"ManujC363")</f>
        <v>ManujC363</v>
      </c>
      <c r="C9504" s="8">
        <f>IFERROR(__xludf.DUMMYFUNCTION("""COMPUTED_VALUE"""),10.0)</f>
        <v>10</v>
      </c>
      <c r="D9504" s="8"/>
    </row>
    <row r="9505">
      <c r="A9505" s="9"/>
      <c r="B9505" s="9"/>
      <c r="C9505" s="8">
        <f>IFERROR(__xludf.DUMMYFUNCTION("""COMPUTED_VALUE"""),0.0)</f>
        <v>0</v>
      </c>
      <c r="D9505" s="8"/>
    </row>
    <row r="9506">
      <c r="A9506" s="9" t="str">
        <f>IFERROR(__xludf.DUMMYFUNCTION("""COMPUTED_VALUE"""),"Batch 364")</f>
        <v>Batch 364</v>
      </c>
      <c r="B9506" s="9" t="str">
        <f>IFERROR(__xludf.DUMMYFUNCTION("""COMPUTED_VALUE"""),"TaherC364")</f>
        <v>TaherC364</v>
      </c>
      <c r="C9506" s="8">
        <f>IFERROR(__xludf.DUMMYFUNCTION("""COMPUTED_VALUE"""),0.0)</f>
        <v>0</v>
      </c>
      <c r="D9506" s="8"/>
    </row>
    <row r="9507">
      <c r="A9507" s="9" t="str">
        <f>IFERROR(__xludf.DUMMYFUNCTION("""COMPUTED_VALUE"""),"Batch 364")</f>
        <v>Batch 364</v>
      </c>
      <c r="B9507" s="9" t="str">
        <f>IFERROR(__xludf.DUMMYFUNCTION("""COMPUTED_VALUE"""),"ZeeshanC364")</f>
        <v>ZeeshanC364</v>
      </c>
      <c r="C9507" s="8">
        <f>IFERROR(__xludf.DUMMYFUNCTION("""COMPUTED_VALUE"""),0.0)</f>
        <v>0</v>
      </c>
      <c r="D9507" s="8"/>
    </row>
    <row r="9508">
      <c r="A9508" s="9" t="str">
        <f>IFERROR(__xludf.DUMMYFUNCTION("""COMPUTED_VALUE"""),"Batch 364")</f>
        <v>Batch 364</v>
      </c>
      <c r="B9508" s="9" t="str">
        <f>IFERROR(__xludf.DUMMYFUNCTION("""COMPUTED_VALUE"""),"SubhankarC364")</f>
        <v>SubhankarC364</v>
      </c>
      <c r="C9508" s="8">
        <f>IFERROR(__xludf.DUMMYFUNCTION("""COMPUTED_VALUE"""),0.0)</f>
        <v>0</v>
      </c>
      <c r="D9508" s="8"/>
    </row>
    <row r="9509">
      <c r="A9509" s="9" t="str">
        <f>IFERROR(__xludf.DUMMYFUNCTION("""COMPUTED_VALUE"""),"Batch 364")</f>
        <v>Batch 364</v>
      </c>
      <c r="B9509" s="9" t="str">
        <f>IFERROR(__xludf.DUMMYFUNCTION("""COMPUTED_VALUE"""),"SANYAMC364")</f>
        <v>SANYAMC364</v>
      </c>
      <c r="C9509" s="8">
        <f>IFERROR(__xludf.DUMMYFUNCTION("""COMPUTED_VALUE"""),0.0)</f>
        <v>0</v>
      </c>
      <c r="D9509" s="8"/>
    </row>
    <row r="9510">
      <c r="A9510" s="9" t="str">
        <f>IFERROR(__xludf.DUMMYFUNCTION("""COMPUTED_VALUE"""),"Batch 364")</f>
        <v>Batch 364</v>
      </c>
      <c r="B9510" s="9" t="str">
        <f>IFERROR(__xludf.DUMMYFUNCTION("""COMPUTED_VALUE"""),"ArunimaC364")</f>
        <v>ArunimaC364</v>
      </c>
      <c r="C9510" s="8">
        <f>IFERROR(__xludf.DUMMYFUNCTION("""COMPUTED_VALUE"""),0.0)</f>
        <v>0</v>
      </c>
      <c r="D9510" s="8"/>
    </row>
    <row r="9511">
      <c r="A9511" s="9" t="str">
        <f>IFERROR(__xludf.DUMMYFUNCTION("""COMPUTED_VALUE"""),"Batch 364")</f>
        <v>Batch 364</v>
      </c>
      <c r="B9511" s="9" t="str">
        <f>IFERROR(__xludf.DUMMYFUNCTION("""COMPUTED_VALUE"""),"PaulamiC364")</f>
        <v>PaulamiC364</v>
      </c>
      <c r="C9511" s="8">
        <f>IFERROR(__xludf.DUMMYFUNCTION("""COMPUTED_VALUE"""),0.0)</f>
        <v>0</v>
      </c>
      <c r="D9511" s="8"/>
    </row>
    <row r="9512">
      <c r="A9512" s="9" t="str">
        <f>IFERROR(__xludf.DUMMYFUNCTION("""COMPUTED_VALUE"""),"Batch 364")</f>
        <v>Batch 364</v>
      </c>
      <c r="B9512" s="9" t="str">
        <f>IFERROR(__xludf.DUMMYFUNCTION("""COMPUTED_VALUE"""),"KamaldeepC364")</f>
        <v>KamaldeepC364</v>
      </c>
      <c r="C9512" s="8">
        <f>IFERROR(__xludf.DUMMYFUNCTION("""COMPUTED_VALUE"""),0.0)</f>
        <v>0</v>
      </c>
      <c r="D9512" s="8"/>
    </row>
    <row r="9513">
      <c r="A9513" s="9" t="str">
        <f>IFERROR(__xludf.DUMMYFUNCTION("""COMPUTED_VALUE"""),"Batch 364")</f>
        <v>Batch 364</v>
      </c>
      <c r="B9513" s="9" t="str">
        <f>IFERROR(__xludf.DUMMYFUNCTION("""COMPUTED_VALUE"""),"SurajC364")</f>
        <v>SurajC364</v>
      </c>
      <c r="C9513" s="8">
        <f>IFERROR(__xludf.DUMMYFUNCTION("""COMPUTED_VALUE"""),1.0)</f>
        <v>1</v>
      </c>
      <c r="D9513" s="8"/>
    </row>
    <row r="9514">
      <c r="A9514" s="9" t="str">
        <f>IFERROR(__xludf.DUMMYFUNCTION("""COMPUTED_VALUE"""),"Batch 364")</f>
        <v>Batch 364</v>
      </c>
      <c r="B9514" s="9" t="str">
        <f>IFERROR(__xludf.DUMMYFUNCTION("""COMPUTED_VALUE"""),"AnkitaC364")</f>
        <v>AnkitaC364</v>
      </c>
      <c r="C9514" s="8">
        <f>IFERROR(__xludf.DUMMYFUNCTION("""COMPUTED_VALUE"""),1.0)</f>
        <v>1</v>
      </c>
      <c r="D9514" s="8"/>
    </row>
    <row r="9515">
      <c r="A9515" s="9" t="str">
        <f>IFERROR(__xludf.DUMMYFUNCTION("""COMPUTED_VALUE"""),"Batch 364")</f>
        <v>Batch 364</v>
      </c>
      <c r="B9515" s="9" t="str">
        <f>IFERROR(__xludf.DUMMYFUNCTION("""COMPUTED_VALUE"""),"DANDAC364")</f>
        <v>DANDAC364</v>
      </c>
      <c r="C9515" s="8">
        <f>IFERROR(__xludf.DUMMYFUNCTION("""COMPUTED_VALUE"""),0.0)</f>
        <v>0</v>
      </c>
      <c r="D9515" s="8"/>
    </row>
    <row r="9516">
      <c r="A9516" s="9" t="str">
        <f>IFERROR(__xludf.DUMMYFUNCTION("""COMPUTED_VALUE"""),"Batch 364")</f>
        <v>Batch 364</v>
      </c>
      <c r="B9516" s="9" t="str">
        <f>IFERROR(__xludf.DUMMYFUNCTION("""COMPUTED_VALUE"""),"ShreyC364")</f>
        <v>ShreyC364</v>
      </c>
      <c r="C9516" s="8">
        <f>IFERROR(__xludf.DUMMYFUNCTION("""COMPUTED_VALUE"""),0.0)</f>
        <v>0</v>
      </c>
      <c r="D9516" s="8"/>
    </row>
    <row r="9517">
      <c r="A9517" s="9" t="str">
        <f>IFERROR(__xludf.DUMMYFUNCTION("""COMPUTED_VALUE"""),"Batch 364")</f>
        <v>Batch 364</v>
      </c>
      <c r="B9517" s="9" t="str">
        <f>IFERROR(__xludf.DUMMYFUNCTION("""COMPUTED_VALUE"""),"SaniyaC364")</f>
        <v>SaniyaC364</v>
      </c>
      <c r="C9517" s="8">
        <f>IFERROR(__xludf.DUMMYFUNCTION("""COMPUTED_VALUE"""),0.0)</f>
        <v>0</v>
      </c>
      <c r="D9517" s="8"/>
    </row>
    <row r="9518">
      <c r="A9518" s="9" t="str">
        <f>IFERROR(__xludf.DUMMYFUNCTION("""COMPUTED_VALUE"""),"Batch 364")</f>
        <v>Batch 364</v>
      </c>
      <c r="B9518" s="9" t="str">
        <f>IFERROR(__xludf.DUMMYFUNCTION("""COMPUTED_VALUE"""),"SYEDC364")</f>
        <v>SYEDC364</v>
      </c>
      <c r="C9518" s="8">
        <f>IFERROR(__xludf.DUMMYFUNCTION("""COMPUTED_VALUE"""),0.0)</f>
        <v>0</v>
      </c>
      <c r="D9518" s="8"/>
    </row>
    <row r="9519">
      <c r="A9519" s="9" t="str">
        <f>IFERROR(__xludf.DUMMYFUNCTION("""COMPUTED_VALUE"""),"Batch 364")</f>
        <v>Batch 364</v>
      </c>
      <c r="B9519" s="9" t="str">
        <f>IFERROR(__xludf.DUMMYFUNCTION("""COMPUTED_VALUE"""),"IshanC364")</f>
        <v>IshanC364</v>
      </c>
      <c r="C9519" s="8">
        <f>IFERROR(__xludf.DUMMYFUNCTION("""COMPUTED_VALUE"""),0.0)</f>
        <v>0</v>
      </c>
      <c r="D9519" s="8"/>
    </row>
    <row r="9520">
      <c r="A9520" s="9" t="str">
        <f>IFERROR(__xludf.DUMMYFUNCTION("""COMPUTED_VALUE"""),"Batch 364")</f>
        <v>Batch 364</v>
      </c>
      <c r="B9520" s="9" t="str">
        <f>IFERROR(__xludf.DUMMYFUNCTION("""COMPUTED_VALUE"""),"M.ShafiyaC364")</f>
        <v>M.ShafiyaC364</v>
      </c>
      <c r="C9520" s="8">
        <f>IFERROR(__xludf.DUMMYFUNCTION("""COMPUTED_VALUE"""),0.0)</f>
        <v>0</v>
      </c>
      <c r="D9520" s="8"/>
    </row>
    <row r="9521">
      <c r="A9521" s="9" t="str">
        <f>IFERROR(__xludf.DUMMYFUNCTION("""COMPUTED_VALUE"""),"Batch 364")</f>
        <v>Batch 364</v>
      </c>
      <c r="B9521" s="9" t="str">
        <f>IFERROR(__xludf.DUMMYFUNCTION("""COMPUTED_VALUE"""),"TannuC364")</f>
        <v>TannuC364</v>
      </c>
      <c r="C9521" s="8">
        <f>IFERROR(__xludf.DUMMYFUNCTION("""COMPUTED_VALUE"""),0.0)</f>
        <v>0</v>
      </c>
      <c r="D9521" s="8"/>
    </row>
    <row r="9522">
      <c r="A9522" s="9" t="str">
        <f>IFERROR(__xludf.DUMMYFUNCTION("""COMPUTED_VALUE"""),"Batch 364")</f>
        <v>Batch 364</v>
      </c>
      <c r="B9522" s="9" t="str">
        <f>IFERROR(__xludf.DUMMYFUNCTION("""COMPUTED_VALUE"""),"SoumyaC364")</f>
        <v>SoumyaC364</v>
      </c>
      <c r="C9522" s="8">
        <f>IFERROR(__xludf.DUMMYFUNCTION("""COMPUTED_VALUE"""),0.0)</f>
        <v>0</v>
      </c>
      <c r="D9522" s="8"/>
    </row>
    <row r="9523">
      <c r="A9523" s="9" t="str">
        <f>IFERROR(__xludf.DUMMYFUNCTION("""COMPUTED_VALUE"""),"Batch 364")</f>
        <v>Batch 364</v>
      </c>
      <c r="B9523" s="9" t="str">
        <f>IFERROR(__xludf.DUMMYFUNCTION("""COMPUTED_VALUE"""),"Adithi.C364")</f>
        <v>Adithi.C364</v>
      </c>
      <c r="C9523" s="8">
        <f>IFERROR(__xludf.DUMMYFUNCTION("""COMPUTED_VALUE"""),0.0)</f>
        <v>0</v>
      </c>
      <c r="D9523" s="8"/>
    </row>
    <row r="9524">
      <c r="A9524" s="9" t="str">
        <f>IFERROR(__xludf.DUMMYFUNCTION("""COMPUTED_VALUE"""),"Batch 364")</f>
        <v>Batch 364</v>
      </c>
      <c r="B9524" s="9" t="str">
        <f>IFERROR(__xludf.DUMMYFUNCTION("""COMPUTED_VALUE"""),"SumanC364")</f>
        <v>SumanC364</v>
      </c>
      <c r="C9524" s="8">
        <f>IFERROR(__xludf.DUMMYFUNCTION("""COMPUTED_VALUE"""),3.0)</f>
        <v>3</v>
      </c>
      <c r="D9524" s="8"/>
    </row>
    <row r="9525">
      <c r="A9525" s="9" t="str">
        <f>IFERROR(__xludf.DUMMYFUNCTION("""COMPUTED_VALUE"""),"Batch 364")</f>
        <v>Batch 364</v>
      </c>
      <c r="B9525" s="9" t="str">
        <f>IFERROR(__xludf.DUMMYFUNCTION("""COMPUTED_VALUE"""),"BitupanC364")</f>
        <v>BitupanC364</v>
      </c>
      <c r="C9525" s="8">
        <f>IFERROR(__xludf.DUMMYFUNCTION("""COMPUTED_VALUE"""),0.0)</f>
        <v>0</v>
      </c>
      <c r="D9525" s="8">
        <f>IFERROR(__xludf.DUMMYFUNCTION("""COMPUTED_VALUE"""),1.0)</f>
        <v>1</v>
      </c>
    </row>
    <row r="9526">
      <c r="A9526" s="9" t="str">
        <f>IFERROR(__xludf.DUMMYFUNCTION("""COMPUTED_VALUE"""),"Batch 364")</f>
        <v>Batch 364</v>
      </c>
      <c r="B9526" s="9" t="str">
        <f>IFERROR(__xludf.DUMMYFUNCTION("""COMPUTED_VALUE"""),"AshuC364")</f>
        <v>AshuC364</v>
      </c>
      <c r="C9526" s="8">
        <f>IFERROR(__xludf.DUMMYFUNCTION("""COMPUTED_VALUE"""),0.0)</f>
        <v>0</v>
      </c>
      <c r="D9526" s="8"/>
    </row>
    <row r="9527">
      <c r="A9527" s="9" t="str">
        <f>IFERROR(__xludf.DUMMYFUNCTION("""COMPUTED_VALUE"""),"Batch 364")</f>
        <v>Batch 364</v>
      </c>
      <c r="B9527" s="9" t="str">
        <f>IFERROR(__xludf.DUMMYFUNCTION("""COMPUTED_VALUE"""),"KolliC364")</f>
        <v>KolliC364</v>
      </c>
      <c r="C9527" s="8">
        <f>IFERROR(__xludf.DUMMYFUNCTION("""COMPUTED_VALUE"""),0.0)</f>
        <v>0</v>
      </c>
      <c r="D9527" s="8"/>
    </row>
    <row r="9528">
      <c r="A9528" s="9" t="str">
        <f>IFERROR(__xludf.DUMMYFUNCTION("""COMPUTED_VALUE"""),"Batch 364")</f>
        <v>Batch 364</v>
      </c>
      <c r="B9528" s="9" t="str">
        <f>IFERROR(__xludf.DUMMYFUNCTION("""COMPUTED_VALUE"""),"KhushC364")</f>
        <v>KhushC364</v>
      </c>
      <c r="C9528" s="8">
        <f>IFERROR(__xludf.DUMMYFUNCTION("""COMPUTED_VALUE"""),0.0)</f>
        <v>0</v>
      </c>
      <c r="D9528" s="8"/>
    </row>
    <row r="9529">
      <c r="A9529" s="9" t="str">
        <f>IFERROR(__xludf.DUMMYFUNCTION("""COMPUTED_VALUE"""),"Batch 364")</f>
        <v>Batch 364</v>
      </c>
      <c r="B9529" s="9" t="str">
        <f>IFERROR(__xludf.DUMMYFUNCTION("""COMPUTED_VALUE"""),"GargiC364")</f>
        <v>GargiC364</v>
      </c>
      <c r="C9529" s="8">
        <f>IFERROR(__xludf.DUMMYFUNCTION("""COMPUTED_VALUE"""),0.0)</f>
        <v>0</v>
      </c>
      <c r="D9529" s="8"/>
    </row>
    <row r="9530">
      <c r="A9530" s="9" t="str">
        <f>IFERROR(__xludf.DUMMYFUNCTION("""COMPUTED_VALUE"""),"Batch 364")</f>
        <v>Batch 364</v>
      </c>
      <c r="B9530" s="9" t="str">
        <f>IFERROR(__xludf.DUMMYFUNCTION("""COMPUTED_VALUE"""),"khushmeetC364")</f>
        <v>khushmeetC364</v>
      </c>
      <c r="C9530" s="8">
        <f>IFERROR(__xludf.DUMMYFUNCTION("""COMPUTED_VALUE"""),0.0)</f>
        <v>0</v>
      </c>
      <c r="D9530" s="8"/>
    </row>
    <row r="9531">
      <c r="A9531" s="9" t="str">
        <f>IFERROR(__xludf.DUMMYFUNCTION("""COMPUTED_VALUE"""),"Batch 364")</f>
        <v>Batch 364</v>
      </c>
      <c r="B9531" s="9" t="str">
        <f>IFERROR(__xludf.DUMMYFUNCTION("""COMPUTED_VALUE"""),"RaginC364")</f>
        <v>RaginC364</v>
      </c>
      <c r="C9531" s="8">
        <f>IFERROR(__xludf.DUMMYFUNCTION("""COMPUTED_VALUE"""),0.0)</f>
        <v>0</v>
      </c>
      <c r="D9531" s="8"/>
    </row>
    <row r="9532">
      <c r="A9532" s="9" t="str">
        <f>IFERROR(__xludf.DUMMYFUNCTION("""COMPUTED_VALUE"""),"Batch 364")</f>
        <v>Batch 364</v>
      </c>
      <c r="B9532" s="9" t="str">
        <f>IFERROR(__xludf.DUMMYFUNCTION("""COMPUTED_VALUE"""),"AvinashC364")</f>
        <v>AvinashC364</v>
      </c>
      <c r="C9532" s="8">
        <f>IFERROR(__xludf.DUMMYFUNCTION("""COMPUTED_VALUE"""),0.0)</f>
        <v>0</v>
      </c>
      <c r="D9532" s="8"/>
    </row>
    <row r="9533">
      <c r="A9533" s="9" t="str">
        <f>IFERROR(__xludf.DUMMYFUNCTION("""COMPUTED_VALUE"""),"Batch 364")</f>
        <v>Batch 364</v>
      </c>
      <c r="B9533" s="9" t="str">
        <f>IFERROR(__xludf.DUMMYFUNCTION("""COMPUTED_VALUE"""),"RaiyyanC364")</f>
        <v>RaiyyanC364</v>
      </c>
      <c r="C9533" s="8">
        <f>IFERROR(__xludf.DUMMYFUNCTION("""COMPUTED_VALUE"""),0.0)</f>
        <v>0</v>
      </c>
      <c r="D9533" s="8"/>
    </row>
    <row r="9534">
      <c r="A9534" s="9" t="str">
        <f>IFERROR(__xludf.DUMMYFUNCTION("""COMPUTED_VALUE"""),"Batch 364")</f>
        <v>Batch 364</v>
      </c>
      <c r="B9534" s="9" t="str">
        <f>IFERROR(__xludf.DUMMYFUNCTION("""COMPUTED_VALUE"""),"OjalC364")</f>
        <v>OjalC364</v>
      </c>
      <c r="C9534" s="8">
        <f>IFERROR(__xludf.DUMMYFUNCTION("""COMPUTED_VALUE"""),0.0)</f>
        <v>0</v>
      </c>
      <c r="D9534" s="8"/>
    </row>
    <row r="9535">
      <c r="A9535" s="9" t="str">
        <f>IFERROR(__xludf.DUMMYFUNCTION("""COMPUTED_VALUE"""),"Batch 364")</f>
        <v>Batch 364</v>
      </c>
      <c r="B9535" s="9" t="str">
        <f>IFERROR(__xludf.DUMMYFUNCTION("""COMPUTED_VALUE"""),"HarjotC364")</f>
        <v>HarjotC364</v>
      </c>
      <c r="C9535" s="8">
        <f>IFERROR(__xludf.DUMMYFUNCTION("""COMPUTED_VALUE"""),0.0)</f>
        <v>0</v>
      </c>
      <c r="D9535" s="8"/>
    </row>
    <row r="9536">
      <c r="A9536" s="9" t="str">
        <f>IFERROR(__xludf.DUMMYFUNCTION("""COMPUTED_VALUE"""),"Batch 364")</f>
        <v>Batch 364</v>
      </c>
      <c r="B9536" s="9" t="str">
        <f>IFERROR(__xludf.DUMMYFUNCTION("""COMPUTED_VALUE"""),"MohammadC364")</f>
        <v>MohammadC364</v>
      </c>
      <c r="C9536" s="8">
        <f>IFERROR(__xludf.DUMMYFUNCTION("""COMPUTED_VALUE"""),0.0)</f>
        <v>0</v>
      </c>
      <c r="D9536" s="8"/>
    </row>
    <row r="9537">
      <c r="A9537" s="9" t="str">
        <f>IFERROR(__xludf.DUMMYFUNCTION("""COMPUTED_VALUE"""),"Batch 364")</f>
        <v>Batch 364</v>
      </c>
      <c r="B9537" s="9" t="str">
        <f>IFERROR(__xludf.DUMMYFUNCTION("""COMPUTED_VALUE"""),"SnehaC364")</f>
        <v>SnehaC364</v>
      </c>
      <c r="C9537" s="8">
        <f>IFERROR(__xludf.DUMMYFUNCTION("""COMPUTED_VALUE"""),0.0)</f>
        <v>0</v>
      </c>
      <c r="D9537" s="8"/>
    </row>
    <row r="9538">
      <c r="A9538" s="9" t="str">
        <f>IFERROR(__xludf.DUMMYFUNCTION("""COMPUTED_VALUE"""),"Batch 364")</f>
        <v>Batch 364</v>
      </c>
      <c r="B9538" s="9" t="str">
        <f>IFERROR(__xludf.DUMMYFUNCTION("""COMPUTED_VALUE"""),"AratiC364")</f>
        <v>AratiC364</v>
      </c>
      <c r="C9538" s="8">
        <f>IFERROR(__xludf.DUMMYFUNCTION("""COMPUTED_VALUE"""),0.0)</f>
        <v>0</v>
      </c>
      <c r="D9538" s="8"/>
    </row>
    <row r="9539">
      <c r="A9539" s="9" t="str">
        <f>IFERROR(__xludf.DUMMYFUNCTION("""COMPUTED_VALUE"""),"Batch 364")</f>
        <v>Batch 364</v>
      </c>
      <c r="B9539" s="9" t="str">
        <f>IFERROR(__xludf.DUMMYFUNCTION("""COMPUTED_VALUE"""),"SricharanC364")</f>
        <v>SricharanC364</v>
      </c>
      <c r="C9539" s="8">
        <f>IFERROR(__xludf.DUMMYFUNCTION("""COMPUTED_VALUE"""),0.0)</f>
        <v>0</v>
      </c>
      <c r="D9539" s="8"/>
    </row>
    <row r="9540">
      <c r="A9540" s="9" t="str">
        <f>IFERROR(__xludf.DUMMYFUNCTION("""COMPUTED_VALUE"""),"Batch 364")</f>
        <v>Batch 364</v>
      </c>
      <c r="B9540" s="9" t="str">
        <f>IFERROR(__xludf.DUMMYFUNCTION("""COMPUTED_VALUE"""),"SounakC364")</f>
        <v>SounakC364</v>
      </c>
      <c r="C9540" s="8">
        <f>IFERROR(__xludf.DUMMYFUNCTION("""COMPUTED_VALUE"""),0.0)</f>
        <v>0</v>
      </c>
      <c r="D9540" s="8"/>
    </row>
    <row r="9541">
      <c r="A9541" s="9" t="str">
        <f>IFERROR(__xludf.DUMMYFUNCTION("""COMPUTED_VALUE"""),"Batch 364")</f>
        <v>Batch 364</v>
      </c>
      <c r="B9541" s="9" t="str">
        <f>IFERROR(__xludf.DUMMYFUNCTION("""COMPUTED_VALUE"""),"ManishC364")</f>
        <v>ManishC364</v>
      </c>
      <c r="C9541" s="8">
        <f>IFERROR(__xludf.DUMMYFUNCTION("""COMPUTED_VALUE"""),6.0)</f>
        <v>6</v>
      </c>
      <c r="D9541" s="8"/>
    </row>
    <row r="9542">
      <c r="A9542" s="9" t="str">
        <f>IFERROR(__xludf.DUMMYFUNCTION("""COMPUTED_VALUE"""),"Batch 364")</f>
        <v>Batch 364</v>
      </c>
      <c r="B9542" s="9" t="str">
        <f>IFERROR(__xludf.DUMMYFUNCTION("""COMPUTED_VALUE"""),"BikramC364")</f>
        <v>BikramC364</v>
      </c>
      <c r="C9542" s="8">
        <f>IFERROR(__xludf.DUMMYFUNCTION("""COMPUTED_VALUE"""),5.0)</f>
        <v>5</v>
      </c>
      <c r="D9542" s="8">
        <f>IFERROR(__xludf.DUMMYFUNCTION("""COMPUTED_VALUE"""),2.0)</f>
        <v>2</v>
      </c>
    </row>
    <row r="9543">
      <c r="A9543" s="9" t="str">
        <f>IFERROR(__xludf.DUMMYFUNCTION("""COMPUTED_VALUE"""),"Batch 364")</f>
        <v>Batch 364</v>
      </c>
      <c r="B9543" s="9" t="str">
        <f>IFERROR(__xludf.DUMMYFUNCTION("""COMPUTED_VALUE"""),"PritiC364")</f>
        <v>PritiC364</v>
      </c>
      <c r="C9543" s="8">
        <f>IFERROR(__xludf.DUMMYFUNCTION("""COMPUTED_VALUE"""),0.0)</f>
        <v>0</v>
      </c>
      <c r="D9543" s="8"/>
    </row>
    <row r="9544">
      <c r="A9544" s="9" t="str">
        <f>IFERROR(__xludf.DUMMYFUNCTION("""COMPUTED_VALUE"""),"Batch 364")</f>
        <v>Batch 364</v>
      </c>
      <c r="B9544" s="9" t="str">
        <f>IFERROR(__xludf.DUMMYFUNCTION("""COMPUTED_VALUE"""),"PranjalC364")</f>
        <v>PranjalC364</v>
      </c>
      <c r="C9544" s="8">
        <f>IFERROR(__xludf.DUMMYFUNCTION("""COMPUTED_VALUE"""),0.0)</f>
        <v>0</v>
      </c>
      <c r="D9544" s="8"/>
    </row>
    <row r="9545">
      <c r="A9545" s="9" t="str">
        <f>IFERROR(__xludf.DUMMYFUNCTION("""COMPUTED_VALUE"""),"Batch 364")</f>
        <v>Batch 364</v>
      </c>
      <c r="B9545" s="9" t="str">
        <f>IFERROR(__xludf.DUMMYFUNCTION("""COMPUTED_VALUE"""),"MufeedaC364")</f>
        <v>MufeedaC364</v>
      </c>
      <c r="C9545" s="8">
        <f>IFERROR(__xludf.DUMMYFUNCTION("""COMPUTED_VALUE"""),0.0)</f>
        <v>0</v>
      </c>
      <c r="D9545" s="8"/>
    </row>
    <row r="9546">
      <c r="A9546" s="9" t="str">
        <f>IFERROR(__xludf.DUMMYFUNCTION("""COMPUTED_VALUE"""),"Batch 364")</f>
        <v>Batch 364</v>
      </c>
      <c r="B9546" s="9" t="str">
        <f>IFERROR(__xludf.DUMMYFUNCTION("""COMPUTED_VALUE"""),"ShivaniC364")</f>
        <v>ShivaniC364</v>
      </c>
      <c r="C9546" s="8">
        <f>IFERROR(__xludf.DUMMYFUNCTION("""COMPUTED_VALUE"""),1.0)</f>
        <v>1</v>
      </c>
      <c r="D9546" s="8"/>
    </row>
    <row r="9547">
      <c r="A9547" s="9" t="str">
        <f>IFERROR(__xludf.DUMMYFUNCTION("""COMPUTED_VALUE"""),"Batch 364")</f>
        <v>Batch 364</v>
      </c>
      <c r="B9547" s="9" t="str">
        <f>IFERROR(__xludf.DUMMYFUNCTION("""COMPUTED_VALUE"""),"TanyaC364")</f>
        <v>TanyaC364</v>
      </c>
      <c r="C9547" s="8">
        <f>IFERROR(__xludf.DUMMYFUNCTION("""COMPUTED_VALUE"""),0.0)</f>
        <v>0</v>
      </c>
      <c r="D9547" s="8"/>
    </row>
    <row r="9548">
      <c r="A9548" s="9" t="str">
        <f>IFERROR(__xludf.DUMMYFUNCTION("""COMPUTED_VALUE"""),"Batch 364")</f>
        <v>Batch 364</v>
      </c>
      <c r="B9548" s="9" t="str">
        <f>IFERROR(__xludf.DUMMYFUNCTION("""COMPUTED_VALUE"""),"RudrapuC364")</f>
        <v>RudrapuC364</v>
      </c>
      <c r="C9548" s="8">
        <f>IFERROR(__xludf.DUMMYFUNCTION("""COMPUTED_VALUE"""),0.0)</f>
        <v>0</v>
      </c>
      <c r="D9548" s="8"/>
    </row>
    <row r="9549">
      <c r="A9549" s="9"/>
      <c r="B9549" s="9"/>
      <c r="C9549" s="8">
        <f>IFERROR(__xludf.DUMMYFUNCTION("""COMPUTED_VALUE"""),0.0)</f>
        <v>0</v>
      </c>
      <c r="D9549" s="8"/>
    </row>
    <row r="9550">
      <c r="A9550" s="9" t="str">
        <f>IFERROR(__xludf.DUMMYFUNCTION("""COMPUTED_VALUE"""),"Batch 365")</f>
        <v>Batch 365</v>
      </c>
      <c r="B9550" s="9" t="str">
        <f>IFERROR(__xludf.DUMMYFUNCTION("""COMPUTED_VALUE"""),"RaunakC365")</f>
        <v>RaunakC365</v>
      </c>
      <c r="C9550" s="8">
        <f>IFERROR(__xludf.DUMMYFUNCTION("""COMPUTED_VALUE"""),0.0)</f>
        <v>0</v>
      </c>
      <c r="D9550" s="8"/>
    </row>
    <row r="9551">
      <c r="A9551" s="9" t="str">
        <f>IFERROR(__xludf.DUMMYFUNCTION("""COMPUTED_VALUE"""),"Batch 365")</f>
        <v>Batch 365</v>
      </c>
      <c r="B9551" s="9" t="str">
        <f>IFERROR(__xludf.DUMMYFUNCTION("""COMPUTED_VALUE"""),"B.BhavithaC365")</f>
        <v>B.BhavithaC365</v>
      </c>
      <c r="C9551" s="8">
        <f>IFERROR(__xludf.DUMMYFUNCTION("""COMPUTED_VALUE"""),0.0)</f>
        <v>0</v>
      </c>
      <c r="D9551" s="8"/>
    </row>
    <row r="9552">
      <c r="A9552" s="9" t="str">
        <f>IFERROR(__xludf.DUMMYFUNCTION("""COMPUTED_VALUE"""),"Batch 365")</f>
        <v>Batch 365</v>
      </c>
      <c r="B9552" s="9" t="str">
        <f>IFERROR(__xludf.DUMMYFUNCTION("""COMPUTED_VALUE"""),"PiyusheeC365")</f>
        <v>PiyusheeC365</v>
      </c>
      <c r="C9552" s="8">
        <f>IFERROR(__xludf.DUMMYFUNCTION("""COMPUTED_VALUE"""),6.0)</f>
        <v>6</v>
      </c>
      <c r="D9552" s="8"/>
    </row>
    <row r="9553">
      <c r="A9553" s="9" t="str">
        <f>IFERROR(__xludf.DUMMYFUNCTION("""COMPUTED_VALUE"""),"Batch 365")</f>
        <v>Batch 365</v>
      </c>
      <c r="B9553" s="9" t="str">
        <f>IFERROR(__xludf.DUMMYFUNCTION("""COMPUTED_VALUE"""),"KuntaC365")</f>
        <v>KuntaC365</v>
      </c>
      <c r="C9553" s="8">
        <f>IFERROR(__xludf.DUMMYFUNCTION("""COMPUTED_VALUE"""),0.0)</f>
        <v>0</v>
      </c>
      <c r="D9553" s="8"/>
    </row>
    <row r="9554">
      <c r="A9554" s="9" t="str">
        <f>IFERROR(__xludf.DUMMYFUNCTION("""COMPUTED_VALUE"""),"Batch 365")</f>
        <v>Batch 365</v>
      </c>
      <c r="B9554" s="9" t="str">
        <f>IFERROR(__xludf.DUMMYFUNCTION("""COMPUTED_VALUE"""),"OjeshwarC365")</f>
        <v>OjeshwarC365</v>
      </c>
      <c r="C9554" s="8">
        <f>IFERROR(__xludf.DUMMYFUNCTION("""COMPUTED_VALUE"""),0.0)</f>
        <v>0</v>
      </c>
      <c r="D9554" s="8"/>
    </row>
    <row r="9555">
      <c r="A9555" s="9" t="str">
        <f>IFERROR(__xludf.DUMMYFUNCTION("""COMPUTED_VALUE"""),"Batch 365")</f>
        <v>Batch 365</v>
      </c>
      <c r="B9555" s="9" t="str">
        <f>IFERROR(__xludf.DUMMYFUNCTION("""COMPUTED_VALUE"""),"AyushiC365")</f>
        <v>AyushiC365</v>
      </c>
      <c r="C9555" s="8">
        <f>IFERROR(__xludf.DUMMYFUNCTION("""COMPUTED_VALUE"""),0.0)</f>
        <v>0</v>
      </c>
      <c r="D9555" s="8"/>
    </row>
    <row r="9556">
      <c r="A9556" s="9" t="str">
        <f>IFERROR(__xludf.DUMMYFUNCTION("""COMPUTED_VALUE"""),"Batch 365")</f>
        <v>Batch 365</v>
      </c>
      <c r="B9556" s="9" t="str">
        <f>IFERROR(__xludf.DUMMYFUNCTION("""COMPUTED_VALUE"""),"RamanC365")</f>
        <v>RamanC365</v>
      </c>
      <c r="C9556" s="8">
        <f>IFERROR(__xludf.DUMMYFUNCTION("""COMPUTED_VALUE"""),0.0)</f>
        <v>0</v>
      </c>
      <c r="D9556" s="8"/>
    </row>
    <row r="9557">
      <c r="A9557" s="9" t="str">
        <f>IFERROR(__xludf.DUMMYFUNCTION("""COMPUTED_VALUE"""),"Batch 365")</f>
        <v>Batch 365</v>
      </c>
      <c r="B9557" s="9" t="str">
        <f>IFERROR(__xludf.DUMMYFUNCTION("""COMPUTED_VALUE"""),"SamarthC365")</f>
        <v>SamarthC365</v>
      </c>
      <c r="C9557" s="8">
        <f>IFERROR(__xludf.DUMMYFUNCTION("""COMPUTED_VALUE"""),8.0)</f>
        <v>8</v>
      </c>
      <c r="D9557" s="8">
        <f>IFERROR(__xludf.DUMMYFUNCTION("""COMPUTED_VALUE"""),1.0)</f>
        <v>1</v>
      </c>
    </row>
    <row r="9558">
      <c r="A9558" s="9" t="str">
        <f>IFERROR(__xludf.DUMMYFUNCTION("""COMPUTED_VALUE"""),"Batch 365")</f>
        <v>Batch 365</v>
      </c>
      <c r="B9558" s="9" t="str">
        <f>IFERROR(__xludf.DUMMYFUNCTION("""COMPUTED_VALUE"""),"DeekondaC365")</f>
        <v>DeekondaC365</v>
      </c>
      <c r="C9558" s="8">
        <f>IFERROR(__xludf.DUMMYFUNCTION("""COMPUTED_VALUE"""),0.0)</f>
        <v>0</v>
      </c>
      <c r="D9558" s="8"/>
    </row>
    <row r="9559">
      <c r="A9559" s="9" t="str">
        <f>IFERROR(__xludf.DUMMYFUNCTION("""COMPUTED_VALUE"""),"Batch 365")</f>
        <v>Batch 365</v>
      </c>
      <c r="B9559" s="9" t="str">
        <f>IFERROR(__xludf.DUMMYFUNCTION("""COMPUTED_VALUE"""),"AachalC365")</f>
        <v>AachalC365</v>
      </c>
      <c r="C9559" s="8">
        <f>IFERROR(__xludf.DUMMYFUNCTION("""COMPUTED_VALUE"""),0.0)</f>
        <v>0</v>
      </c>
      <c r="D9559" s="8"/>
    </row>
    <row r="9560">
      <c r="A9560" s="9" t="str">
        <f>IFERROR(__xludf.DUMMYFUNCTION("""COMPUTED_VALUE"""),"Batch 365")</f>
        <v>Batch 365</v>
      </c>
      <c r="B9560" s="9" t="str">
        <f>IFERROR(__xludf.DUMMYFUNCTION("""COMPUTED_VALUE"""),"ShubhangiC365")</f>
        <v>ShubhangiC365</v>
      </c>
      <c r="C9560" s="8">
        <f>IFERROR(__xludf.DUMMYFUNCTION("""COMPUTED_VALUE"""),0.0)</f>
        <v>0</v>
      </c>
      <c r="D9560" s="8"/>
    </row>
    <row r="9561">
      <c r="A9561" s="9" t="str">
        <f>IFERROR(__xludf.DUMMYFUNCTION("""COMPUTED_VALUE"""),"Batch 365")</f>
        <v>Batch 365</v>
      </c>
      <c r="B9561" s="9" t="str">
        <f>IFERROR(__xludf.DUMMYFUNCTION("""COMPUTED_VALUE"""),"VikasC365")</f>
        <v>VikasC365</v>
      </c>
      <c r="C9561" s="8">
        <f>IFERROR(__xludf.DUMMYFUNCTION("""COMPUTED_VALUE"""),0.0)</f>
        <v>0</v>
      </c>
      <c r="D9561" s="8"/>
    </row>
    <row r="9562">
      <c r="A9562" s="9" t="str">
        <f>IFERROR(__xludf.DUMMYFUNCTION("""COMPUTED_VALUE"""),"Batch 365")</f>
        <v>Batch 365</v>
      </c>
      <c r="B9562" s="9" t="str">
        <f>IFERROR(__xludf.DUMMYFUNCTION("""COMPUTED_VALUE"""),"OmkarC365")</f>
        <v>OmkarC365</v>
      </c>
      <c r="C9562" s="8">
        <f>IFERROR(__xludf.DUMMYFUNCTION("""COMPUTED_VALUE"""),0.0)</f>
        <v>0</v>
      </c>
      <c r="D9562" s="8"/>
    </row>
    <row r="9563">
      <c r="A9563" s="9" t="str">
        <f>IFERROR(__xludf.DUMMYFUNCTION("""COMPUTED_VALUE"""),"Batch 365")</f>
        <v>Batch 365</v>
      </c>
      <c r="B9563" s="9" t="str">
        <f>IFERROR(__xludf.DUMMYFUNCTION("""COMPUTED_VALUE"""),"ritikC365")</f>
        <v>ritikC365</v>
      </c>
      <c r="C9563" s="8">
        <f>IFERROR(__xludf.DUMMYFUNCTION("""COMPUTED_VALUE"""),0.0)</f>
        <v>0</v>
      </c>
      <c r="D9563" s="8"/>
    </row>
    <row r="9564">
      <c r="A9564" s="9" t="str">
        <f>IFERROR(__xludf.DUMMYFUNCTION("""COMPUTED_VALUE"""),"Batch 365")</f>
        <v>Batch 365</v>
      </c>
      <c r="B9564" s="9" t="str">
        <f>IFERROR(__xludf.DUMMYFUNCTION("""COMPUTED_VALUE"""),"ShivamBC365")</f>
        <v>ShivamBC365</v>
      </c>
      <c r="C9564" s="8">
        <f>IFERROR(__xludf.DUMMYFUNCTION("""COMPUTED_VALUE"""),0.0)</f>
        <v>0</v>
      </c>
      <c r="D9564" s="8">
        <f>IFERROR(__xludf.DUMMYFUNCTION("""COMPUTED_VALUE"""),3.0)</f>
        <v>3</v>
      </c>
    </row>
    <row r="9565">
      <c r="A9565" s="9" t="str">
        <f>IFERROR(__xludf.DUMMYFUNCTION("""COMPUTED_VALUE"""),"Batch 365")</f>
        <v>Batch 365</v>
      </c>
      <c r="B9565" s="9" t="str">
        <f>IFERROR(__xludf.DUMMYFUNCTION("""COMPUTED_VALUE"""),"SanshrutiC365")</f>
        <v>SanshrutiC365</v>
      </c>
      <c r="C9565" s="8">
        <f>IFERROR(__xludf.DUMMYFUNCTION("""COMPUTED_VALUE"""),0.0)</f>
        <v>0</v>
      </c>
      <c r="D9565" s="8"/>
    </row>
    <row r="9566">
      <c r="A9566" s="9" t="str">
        <f>IFERROR(__xludf.DUMMYFUNCTION("""COMPUTED_VALUE"""),"Batch 365")</f>
        <v>Batch 365</v>
      </c>
      <c r="B9566" s="9" t="str">
        <f>IFERROR(__xludf.DUMMYFUNCTION("""COMPUTED_VALUE"""),"LakshyaC365")</f>
        <v>LakshyaC365</v>
      </c>
      <c r="C9566" s="8">
        <f>IFERROR(__xludf.DUMMYFUNCTION("""COMPUTED_VALUE"""),4.0)</f>
        <v>4</v>
      </c>
      <c r="D9566" s="8"/>
    </row>
    <row r="9567">
      <c r="A9567" s="9" t="str">
        <f>IFERROR(__xludf.DUMMYFUNCTION("""COMPUTED_VALUE"""),"Batch 365")</f>
        <v>Batch 365</v>
      </c>
      <c r="B9567" s="9" t="str">
        <f>IFERROR(__xludf.DUMMYFUNCTION("""COMPUTED_VALUE"""),"AnirbanC365")</f>
        <v>AnirbanC365</v>
      </c>
      <c r="C9567" s="8">
        <f>IFERROR(__xludf.DUMMYFUNCTION("""COMPUTED_VALUE"""),0.0)</f>
        <v>0</v>
      </c>
      <c r="D9567" s="8"/>
    </row>
    <row r="9568">
      <c r="A9568" s="9" t="str">
        <f>IFERROR(__xludf.DUMMYFUNCTION("""COMPUTED_VALUE"""),"Batch 365")</f>
        <v>Batch 365</v>
      </c>
      <c r="B9568" s="9" t="str">
        <f>IFERROR(__xludf.DUMMYFUNCTION("""COMPUTED_VALUE"""),"ArpitaC365")</f>
        <v>ArpitaC365</v>
      </c>
      <c r="C9568" s="8">
        <f>IFERROR(__xludf.DUMMYFUNCTION("""COMPUTED_VALUE"""),0.0)</f>
        <v>0</v>
      </c>
      <c r="D9568" s="8"/>
    </row>
    <row r="9569">
      <c r="A9569" s="9" t="str">
        <f>IFERROR(__xludf.DUMMYFUNCTION("""COMPUTED_VALUE"""),"Batch 365")</f>
        <v>Batch 365</v>
      </c>
      <c r="B9569" s="9" t="str">
        <f>IFERROR(__xludf.DUMMYFUNCTION("""COMPUTED_VALUE"""),"VatsalC365")</f>
        <v>VatsalC365</v>
      </c>
      <c r="C9569" s="8">
        <f>IFERROR(__xludf.DUMMYFUNCTION("""COMPUTED_VALUE"""),5.0)</f>
        <v>5</v>
      </c>
      <c r="D9569" s="8">
        <f>IFERROR(__xludf.DUMMYFUNCTION("""COMPUTED_VALUE"""),1.0)</f>
        <v>1</v>
      </c>
    </row>
    <row r="9570">
      <c r="A9570" s="9" t="str">
        <f>IFERROR(__xludf.DUMMYFUNCTION("""COMPUTED_VALUE"""),"Batch 365")</f>
        <v>Batch 365</v>
      </c>
      <c r="B9570" s="9" t="str">
        <f>IFERROR(__xludf.DUMMYFUNCTION("""COMPUTED_VALUE"""),"AdityaC365")</f>
        <v>AdityaC365</v>
      </c>
      <c r="C9570" s="8">
        <f>IFERROR(__xludf.DUMMYFUNCTION("""COMPUTED_VALUE"""),0.0)</f>
        <v>0</v>
      </c>
      <c r="D9570" s="8"/>
    </row>
    <row r="9571">
      <c r="A9571" s="9" t="str">
        <f>IFERROR(__xludf.DUMMYFUNCTION("""COMPUTED_VALUE"""),"Batch 365")</f>
        <v>Batch 365</v>
      </c>
      <c r="B9571" s="9" t="str">
        <f>IFERROR(__xludf.DUMMYFUNCTION("""COMPUTED_VALUE"""),"DepeshC365")</f>
        <v>DepeshC365</v>
      </c>
      <c r="C9571" s="8">
        <f>IFERROR(__xludf.DUMMYFUNCTION("""COMPUTED_VALUE"""),1.0)</f>
        <v>1</v>
      </c>
      <c r="D9571" s="8"/>
    </row>
    <row r="9572">
      <c r="A9572" s="9" t="str">
        <f>IFERROR(__xludf.DUMMYFUNCTION("""COMPUTED_VALUE"""),"Batch 365")</f>
        <v>Batch 365</v>
      </c>
      <c r="B9572" s="9" t="str">
        <f>IFERROR(__xludf.DUMMYFUNCTION("""COMPUTED_VALUE"""),"AshankC365")</f>
        <v>AshankC365</v>
      </c>
      <c r="C9572" s="8">
        <f>IFERROR(__xludf.DUMMYFUNCTION("""COMPUTED_VALUE"""),0.0)</f>
        <v>0</v>
      </c>
      <c r="D9572" s="8"/>
    </row>
    <row r="9573">
      <c r="A9573" s="9" t="str">
        <f>IFERROR(__xludf.DUMMYFUNCTION("""COMPUTED_VALUE"""),"Batch 365")</f>
        <v>Batch 365</v>
      </c>
      <c r="B9573" s="9" t="str">
        <f>IFERROR(__xludf.DUMMYFUNCTION("""COMPUTED_VALUE"""),"DineshC365")</f>
        <v>DineshC365</v>
      </c>
      <c r="C9573" s="8">
        <f>IFERROR(__xludf.DUMMYFUNCTION("""COMPUTED_VALUE"""),0.0)</f>
        <v>0</v>
      </c>
      <c r="D9573" s="8"/>
    </row>
    <row r="9574">
      <c r="A9574" s="9" t="str">
        <f>IFERROR(__xludf.DUMMYFUNCTION("""COMPUTED_VALUE"""),"Batch 365")</f>
        <v>Batch 365</v>
      </c>
      <c r="B9574" s="9" t="str">
        <f>IFERROR(__xludf.DUMMYFUNCTION("""COMPUTED_VALUE"""),"YogitaC365")</f>
        <v>YogitaC365</v>
      </c>
      <c r="C9574" s="8">
        <f>IFERROR(__xludf.DUMMYFUNCTION("""COMPUTED_VALUE"""),0.0)</f>
        <v>0</v>
      </c>
      <c r="D9574" s="8"/>
    </row>
    <row r="9575">
      <c r="A9575" s="9" t="str">
        <f>IFERROR(__xludf.DUMMYFUNCTION("""COMPUTED_VALUE"""),"Batch 365")</f>
        <v>Batch 365</v>
      </c>
      <c r="B9575" s="9" t="str">
        <f>IFERROR(__xludf.DUMMYFUNCTION("""COMPUTED_VALUE"""),"NikitarasalllC365")</f>
        <v>NikitarasalllC365</v>
      </c>
      <c r="C9575" s="8">
        <f>IFERROR(__xludf.DUMMYFUNCTION("""COMPUTED_VALUE"""),0.0)</f>
        <v>0</v>
      </c>
      <c r="D9575" s="8"/>
    </row>
    <row r="9576">
      <c r="A9576" s="9" t="str">
        <f>IFERROR(__xludf.DUMMYFUNCTION("""COMPUTED_VALUE"""),"Batch 365")</f>
        <v>Batch 365</v>
      </c>
      <c r="B9576" s="9" t="str">
        <f>IFERROR(__xludf.DUMMYFUNCTION("""COMPUTED_VALUE"""),"JayantiC365")</f>
        <v>JayantiC365</v>
      </c>
      <c r="C9576" s="8">
        <f>IFERROR(__xludf.DUMMYFUNCTION("""COMPUTED_VALUE"""),0.0)</f>
        <v>0</v>
      </c>
      <c r="D9576" s="8"/>
    </row>
    <row r="9577">
      <c r="A9577" s="9" t="str">
        <f>IFERROR(__xludf.DUMMYFUNCTION("""COMPUTED_VALUE"""),"Batch 365")</f>
        <v>Batch 365</v>
      </c>
      <c r="B9577" s="9" t="str">
        <f>IFERROR(__xludf.DUMMYFUNCTION("""COMPUTED_VALUE"""),"YarraiahgariC365")</f>
        <v>YarraiahgariC365</v>
      </c>
      <c r="C9577" s="8">
        <f>IFERROR(__xludf.DUMMYFUNCTION("""COMPUTED_VALUE"""),0.0)</f>
        <v>0</v>
      </c>
      <c r="D9577" s="8"/>
    </row>
    <row r="9578">
      <c r="A9578" s="9" t="str">
        <f>IFERROR(__xludf.DUMMYFUNCTION("""COMPUTED_VALUE"""),"Batch 365")</f>
        <v>Batch 365</v>
      </c>
      <c r="B9578" s="9" t="str">
        <f>IFERROR(__xludf.DUMMYFUNCTION("""COMPUTED_VALUE"""),"TanviC365")</f>
        <v>TanviC365</v>
      </c>
      <c r="C9578" s="8">
        <f>IFERROR(__xludf.DUMMYFUNCTION("""COMPUTED_VALUE"""),0.0)</f>
        <v>0</v>
      </c>
      <c r="D9578" s="8"/>
    </row>
    <row r="9579">
      <c r="A9579" s="9" t="str">
        <f>IFERROR(__xludf.DUMMYFUNCTION("""COMPUTED_VALUE"""),"Batch 365")</f>
        <v>Batch 365</v>
      </c>
      <c r="B9579" s="9" t="str">
        <f>IFERROR(__xludf.DUMMYFUNCTION("""COMPUTED_VALUE"""),"AkashC365")</f>
        <v>AkashC365</v>
      </c>
      <c r="C9579" s="8">
        <f>IFERROR(__xludf.DUMMYFUNCTION("""COMPUTED_VALUE"""),0.0)</f>
        <v>0</v>
      </c>
      <c r="D9579" s="8"/>
    </row>
    <row r="9580">
      <c r="A9580" s="9" t="str">
        <f>IFERROR(__xludf.DUMMYFUNCTION("""COMPUTED_VALUE"""),"Batch 365")</f>
        <v>Batch 365</v>
      </c>
      <c r="B9580" s="9" t="str">
        <f>IFERROR(__xludf.DUMMYFUNCTION("""COMPUTED_VALUE"""),"ShreyaC365")</f>
        <v>ShreyaC365</v>
      </c>
      <c r="C9580" s="8">
        <f>IFERROR(__xludf.DUMMYFUNCTION("""COMPUTED_VALUE"""),0.0)</f>
        <v>0</v>
      </c>
      <c r="D9580" s="8"/>
    </row>
    <row r="9581">
      <c r="A9581" s="9" t="str">
        <f>IFERROR(__xludf.DUMMYFUNCTION("""COMPUTED_VALUE"""),"Batch 365")</f>
        <v>Batch 365</v>
      </c>
      <c r="B9581" s="9" t="str">
        <f>IFERROR(__xludf.DUMMYFUNCTION("""COMPUTED_VALUE"""),"chanchalC365")</f>
        <v>chanchalC365</v>
      </c>
      <c r="C9581" s="8">
        <f>IFERROR(__xludf.DUMMYFUNCTION("""COMPUTED_VALUE"""),0.0)</f>
        <v>0</v>
      </c>
      <c r="D9581" s="8"/>
    </row>
    <row r="9582">
      <c r="A9582" s="9" t="str">
        <f>IFERROR(__xludf.DUMMYFUNCTION("""COMPUTED_VALUE"""),"Batch 365")</f>
        <v>Batch 365</v>
      </c>
      <c r="B9582" s="9" t="str">
        <f>IFERROR(__xludf.DUMMYFUNCTION("""COMPUTED_VALUE"""),"KavyaC365")</f>
        <v>KavyaC365</v>
      </c>
      <c r="C9582" s="8">
        <f>IFERROR(__xludf.DUMMYFUNCTION("""COMPUTED_VALUE"""),8.0)</f>
        <v>8</v>
      </c>
      <c r="D9582" s="8">
        <f>IFERROR(__xludf.DUMMYFUNCTION("""COMPUTED_VALUE"""),1.0)</f>
        <v>1</v>
      </c>
    </row>
    <row r="9583">
      <c r="A9583" s="9" t="str">
        <f>IFERROR(__xludf.DUMMYFUNCTION("""COMPUTED_VALUE"""),"Batch 365")</f>
        <v>Batch 365</v>
      </c>
      <c r="B9583" s="9" t="str">
        <f>IFERROR(__xludf.DUMMYFUNCTION("""COMPUTED_VALUE"""),"GIRISHC365")</f>
        <v>GIRISHC365</v>
      </c>
      <c r="C9583" s="8">
        <f>IFERROR(__xludf.DUMMYFUNCTION("""COMPUTED_VALUE"""),1.0)</f>
        <v>1</v>
      </c>
      <c r="D9583" s="8"/>
    </row>
    <row r="9584">
      <c r="A9584" s="9" t="str">
        <f>IFERROR(__xludf.DUMMYFUNCTION("""COMPUTED_VALUE"""),"Batch 365")</f>
        <v>Batch 365</v>
      </c>
      <c r="B9584" s="9" t="str">
        <f>IFERROR(__xludf.DUMMYFUNCTION("""COMPUTED_VALUE"""),"HargunC365")</f>
        <v>HargunC365</v>
      </c>
      <c r="C9584" s="8">
        <f>IFERROR(__xludf.DUMMYFUNCTION("""COMPUTED_VALUE"""),0.0)</f>
        <v>0</v>
      </c>
      <c r="D9584" s="8"/>
    </row>
    <row r="9585">
      <c r="A9585" s="9" t="str">
        <f>IFERROR(__xludf.DUMMYFUNCTION("""COMPUTED_VALUE"""),"Batch 365")</f>
        <v>Batch 365</v>
      </c>
      <c r="B9585" s="9" t="str">
        <f>IFERROR(__xludf.DUMMYFUNCTION("""COMPUTED_VALUE"""),"DhruvC365")</f>
        <v>DhruvC365</v>
      </c>
      <c r="C9585" s="8">
        <f>IFERROR(__xludf.DUMMYFUNCTION("""COMPUTED_VALUE"""),0.0)</f>
        <v>0</v>
      </c>
      <c r="D9585" s="8"/>
    </row>
    <row r="9586">
      <c r="A9586" s="9" t="str">
        <f>IFERROR(__xludf.DUMMYFUNCTION("""COMPUTED_VALUE"""),"Batch 365")</f>
        <v>Batch 365</v>
      </c>
      <c r="B9586" s="9" t="str">
        <f>IFERROR(__xludf.DUMMYFUNCTION("""COMPUTED_VALUE"""),"SoaibC365")</f>
        <v>SoaibC365</v>
      </c>
      <c r="C9586" s="8">
        <f>IFERROR(__xludf.DUMMYFUNCTION("""COMPUTED_VALUE"""),0.0)</f>
        <v>0</v>
      </c>
      <c r="D9586" s="8"/>
    </row>
    <row r="9587">
      <c r="A9587" s="9" t="str">
        <f>IFERROR(__xludf.DUMMYFUNCTION("""COMPUTED_VALUE"""),"Batch 365")</f>
        <v>Batch 365</v>
      </c>
      <c r="B9587" s="9" t="str">
        <f>IFERROR(__xludf.DUMMYFUNCTION("""COMPUTED_VALUE"""),"HargunC365")</f>
        <v>HargunC365</v>
      </c>
      <c r="C9587" s="8">
        <f>IFERROR(__xludf.DUMMYFUNCTION("""COMPUTED_VALUE"""),0.0)</f>
        <v>0</v>
      </c>
      <c r="D9587" s="8"/>
    </row>
    <row r="9588">
      <c r="A9588" s="9" t="str">
        <f>IFERROR(__xludf.DUMMYFUNCTION("""COMPUTED_VALUE"""),"Batch 365")</f>
        <v>Batch 365</v>
      </c>
      <c r="B9588" s="9" t="str">
        <f>IFERROR(__xludf.DUMMYFUNCTION("""COMPUTED_VALUE"""),"RithikaC365")</f>
        <v>RithikaC365</v>
      </c>
      <c r="C9588" s="8">
        <f>IFERROR(__xludf.DUMMYFUNCTION("""COMPUTED_VALUE"""),0.0)</f>
        <v>0</v>
      </c>
      <c r="D9588" s="8"/>
    </row>
    <row r="9589">
      <c r="A9589" s="9" t="str">
        <f>IFERROR(__xludf.DUMMYFUNCTION("""COMPUTED_VALUE"""),"Batch 365")</f>
        <v>Batch 365</v>
      </c>
      <c r="B9589" s="9" t="str">
        <f>IFERROR(__xludf.DUMMYFUNCTION("""COMPUTED_VALUE"""),"MdC365")</f>
        <v>MdC365</v>
      </c>
      <c r="C9589" s="8">
        <f>IFERROR(__xludf.DUMMYFUNCTION("""COMPUTED_VALUE"""),0.0)</f>
        <v>0</v>
      </c>
      <c r="D9589" s="8"/>
    </row>
    <row r="9590">
      <c r="A9590" s="9" t="str">
        <f>IFERROR(__xludf.DUMMYFUNCTION("""COMPUTED_VALUE"""),"Batch 365")</f>
        <v>Batch 365</v>
      </c>
      <c r="B9590" s="9" t="str">
        <f>IFERROR(__xludf.DUMMYFUNCTION("""COMPUTED_VALUE"""),"RaghvendraC365")</f>
        <v>RaghvendraC365</v>
      </c>
      <c r="C9590" s="8">
        <f>IFERROR(__xludf.DUMMYFUNCTION("""COMPUTED_VALUE"""),0.0)</f>
        <v>0</v>
      </c>
      <c r="D9590" s="8"/>
    </row>
    <row r="9591">
      <c r="A9591" s="9" t="str">
        <f>IFERROR(__xludf.DUMMYFUNCTION("""COMPUTED_VALUE"""),"Batch 365")</f>
        <v>Batch 365</v>
      </c>
      <c r="B9591" s="9" t="str">
        <f>IFERROR(__xludf.DUMMYFUNCTION("""COMPUTED_VALUE"""),"RamyaC365")</f>
        <v>RamyaC365</v>
      </c>
      <c r="C9591" s="8">
        <f>IFERROR(__xludf.DUMMYFUNCTION("""COMPUTED_VALUE"""),1.0)</f>
        <v>1</v>
      </c>
      <c r="D9591" s="8"/>
    </row>
    <row r="9592">
      <c r="A9592" s="9" t="str">
        <f>IFERROR(__xludf.DUMMYFUNCTION("""COMPUTED_VALUE"""),"Batch 365")</f>
        <v>Batch 365</v>
      </c>
      <c r="B9592" s="9" t="str">
        <f>IFERROR(__xludf.DUMMYFUNCTION("""COMPUTED_VALUE"""),"N.C365")</f>
        <v>N.C365</v>
      </c>
      <c r="C9592" s="8">
        <f>IFERROR(__xludf.DUMMYFUNCTION("""COMPUTED_VALUE"""),0.0)</f>
        <v>0</v>
      </c>
      <c r="D9592" s="8"/>
    </row>
    <row r="9593">
      <c r="A9593" s="9" t="str">
        <f>IFERROR(__xludf.DUMMYFUNCTION("""COMPUTED_VALUE"""),"Batch 365")</f>
        <v>Batch 365</v>
      </c>
      <c r="B9593" s="9" t="str">
        <f>IFERROR(__xludf.DUMMYFUNCTION("""COMPUTED_VALUE"""),"SaistaC365")</f>
        <v>SaistaC365</v>
      </c>
      <c r="C9593" s="8">
        <f>IFERROR(__xludf.DUMMYFUNCTION("""COMPUTED_VALUE"""),0.0)</f>
        <v>0</v>
      </c>
      <c r="D9593" s="8"/>
    </row>
    <row r="9594">
      <c r="A9594" s="9" t="str">
        <f>IFERROR(__xludf.DUMMYFUNCTION("""COMPUTED_VALUE"""),"Batch 365")</f>
        <v>Batch 365</v>
      </c>
      <c r="B9594" s="9" t="str">
        <f>IFERROR(__xludf.DUMMYFUNCTION("""COMPUTED_VALUE"""),"NiteshC365")</f>
        <v>NiteshC365</v>
      </c>
      <c r="C9594" s="8">
        <f>IFERROR(__xludf.DUMMYFUNCTION("""COMPUTED_VALUE"""),0.0)</f>
        <v>0</v>
      </c>
      <c r="D9594" s="8"/>
    </row>
    <row r="9595">
      <c r="A9595" s="9" t="str">
        <f>IFERROR(__xludf.DUMMYFUNCTION("""COMPUTED_VALUE"""),"Batch 365")</f>
        <v>Batch 365</v>
      </c>
      <c r="B9595" s="9" t="str">
        <f>IFERROR(__xludf.DUMMYFUNCTION("""COMPUTED_VALUE"""),"RaghavC365")</f>
        <v>RaghavC365</v>
      </c>
      <c r="C9595" s="8">
        <f>IFERROR(__xludf.DUMMYFUNCTION("""COMPUTED_VALUE"""),0.0)</f>
        <v>0</v>
      </c>
      <c r="D9595" s="8"/>
    </row>
    <row r="9596">
      <c r="A9596" s="9" t="str">
        <f>IFERROR(__xludf.DUMMYFUNCTION("""COMPUTED_VALUE"""),"Batch 365")</f>
        <v>Batch 365</v>
      </c>
      <c r="B9596" s="9" t="str">
        <f>IFERROR(__xludf.DUMMYFUNCTION("""COMPUTED_VALUE"""),"SwapnilC365")</f>
        <v>SwapnilC365</v>
      </c>
      <c r="C9596" s="8">
        <f>IFERROR(__xludf.DUMMYFUNCTION("""COMPUTED_VALUE"""),1.0)</f>
        <v>1</v>
      </c>
      <c r="D9596" s="8"/>
    </row>
    <row r="9597">
      <c r="A9597" s="9" t="str">
        <f>IFERROR(__xludf.DUMMYFUNCTION("""COMPUTED_VALUE"""),"Batch 365")</f>
        <v>Batch 365</v>
      </c>
      <c r="B9597" s="9" t="str">
        <f>IFERROR(__xludf.DUMMYFUNCTION("""COMPUTED_VALUE"""),"PushkarC365")</f>
        <v>PushkarC365</v>
      </c>
      <c r="C9597" s="8">
        <f>IFERROR(__xludf.DUMMYFUNCTION("""COMPUTED_VALUE"""),0.0)</f>
        <v>0</v>
      </c>
      <c r="D9597" s="8"/>
    </row>
    <row r="9598">
      <c r="A9598" s="9" t="str">
        <f>IFERROR(__xludf.DUMMYFUNCTION("""COMPUTED_VALUE"""),"Batch 365")</f>
        <v>Batch 365</v>
      </c>
      <c r="B9598" s="9" t="str">
        <f>IFERROR(__xludf.DUMMYFUNCTION("""COMPUTED_VALUE"""),"AshishC365")</f>
        <v>AshishC365</v>
      </c>
      <c r="C9598" s="8">
        <f>IFERROR(__xludf.DUMMYFUNCTION("""COMPUTED_VALUE"""),0.0)</f>
        <v>0</v>
      </c>
      <c r="D9598" s="8"/>
    </row>
    <row r="9599">
      <c r="A9599" s="9" t="str">
        <f>IFERROR(__xludf.DUMMYFUNCTION("""COMPUTED_VALUE"""),"Batch 365")</f>
        <v>Batch 365</v>
      </c>
      <c r="B9599" s="9" t="str">
        <f>IFERROR(__xludf.DUMMYFUNCTION("""COMPUTED_VALUE"""),"HarshC365")</f>
        <v>HarshC365</v>
      </c>
      <c r="C9599" s="8">
        <f>IFERROR(__xludf.DUMMYFUNCTION("""COMPUTED_VALUE"""),4.0)</f>
        <v>4</v>
      </c>
      <c r="D9599" s="8"/>
    </row>
    <row r="9600">
      <c r="A9600" s="9" t="str">
        <f>IFERROR(__xludf.DUMMYFUNCTION("""COMPUTED_VALUE"""),"Batch 365")</f>
        <v>Batch 365</v>
      </c>
      <c r="B9600" s="9" t="str">
        <f>IFERROR(__xludf.DUMMYFUNCTION("""COMPUTED_VALUE"""),"HarshitC365")</f>
        <v>HarshitC365</v>
      </c>
      <c r="C9600" s="8">
        <f>IFERROR(__xludf.DUMMYFUNCTION("""COMPUTED_VALUE"""),0.0)</f>
        <v>0</v>
      </c>
      <c r="D9600" s="8"/>
    </row>
    <row r="9601">
      <c r="A9601" s="9" t="str">
        <f>IFERROR(__xludf.DUMMYFUNCTION("""COMPUTED_VALUE"""),"Batch 365")</f>
        <v>Batch 365</v>
      </c>
      <c r="B9601" s="9" t="str">
        <f>IFERROR(__xludf.DUMMYFUNCTION("""COMPUTED_VALUE"""),"YasmeenC365")</f>
        <v>YasmeenC365</v>
      </c>
      <c r="C9601" s="8">
        <f>IFERROR(__xludf.DUMMYFUNCTION("""COMPUTED_VALUE"""),0.0)</f>
        <v>0</v>
      </c>
      <c r="D9601" s="8"/>
    </row>
    <row r="9602">
      <c r="A9602" s="9" t="str">
        <f>IFERROR(__xludf.DUMMYFUNCTION("""COMPUTED_VALUE"""),"Batch 365")</f>
        <v>Batch 365</v>
      </c>
      <c r="B9602" s="9" t="str">
        <f>IFERROR(__xludf.DUMMYFUNCTION("""COMPUTED_VALUE"""),"OmC365")</f>
        <v>OmC365</v>
      </c>
      <c r="C9602" s="8">
        <f>IFERROR(__xludf.DUMMYFUNCTION("""COMPUTED_VALUE"""),0.0)</f>
        <v>0</v>
      </c>
      <c r="D9602" s="8"/>
    </row>
    <row r="9603">
      <c r="A9603" s="9" t="str">
        <f>IFERROR(__xludf.DUMMYFUNCTION("""COMPUTED_VALUE"""),"Batch 365")</f>
        <v>Batch 365</v>
      </c>
      <c r="B9603" s="9" t="str">
        <f>IFERROR(__xludf.DUMMYFUNCTION("""COMPUTED_VALUE"""),"KAJALC365")</f>
        <v>KAJALC365</v>
      </c>
      <c r="C9603" s="8">
        <f>IFERROR(__xludf.DUMMYFUNCTION("""COMPUTED_VALUE"""),0.0)</f>
        <v>0</v>
      </c>
      <c r="D9603" s="8"/>
    </row>
    <row r="9604">
      <c r="A9604" s="9" t="str">
        <f>IFERROR(__xludf.DUMMYFUNCTION("""COMPUTED_VALUE"""),"Batch 365")</f>
        <v>Batch 365</v>
      </c>
      <c r="B9604" s="9" t="str">
        <f>IFERROR(__xludf.DUMMYFUNCTION("""COMPUTED_VALUE"""),"SunilC365")</f>
        <v>SunilC365</v>
      </c>
      <c r="C9604" s="8">
        <f>IFERROR(__xludf.DUMMYFUNCTION("""COMPUTED_VALUE"""),0.0)</f>
        <v>0</v>
      </c>
      <c r="D9604" s="8"/>
    </row>
    <row r="9605">
      <c r="A9605" s="9" t="str">
        <f>IFERROR(__xludf.DUMMYFUNCTION("""COMPUTED_VALUE"""),"Batch 365")</f>
        <v>Batch 365</v>
      </c>
      <c r="B9605" s="9" t="str">
        <f>IFERROR(__xludf.DUMMYFUNCTION("""COMPUTED_VALUE"""),"ChandraC365")</f>
        <v>ChandraC365</v>
      </c>
      <c r="C9605" s="8">
        <f>IFERROR(__xludf.DUMMYFUNCTION("""COMPUTED_VALUE"""),0.0)</f>
        <v>0</v>
      </c>
      <c r="D9605" s="8"/>
    </row>
    <row r="9606">
      <c r="A9606" s="9" t="str">
        <f>IFERROR(__xludf.DUMMYFUNCTION("""COMPUTED_VALUE"""),"Batch 365")</f>
        <v>Batch 365</v>
      </c>
      <c r="B9606" s="9" t="str">
        <f>IFERROR(__xludf.DUMMYFUNCTION("""COMPUTED_VALUE"""),"SRIC365")</f>
        <v>SRIC365</v>
      </c>
      <c r="C9606" s="8">
        <f>IFERROR(__xludf.DUMMYFUNCTION("""COMPUTED_VALUE"""),0.0)</f>
        <v>0</v>
      </c>
      <c r="D9606" s="8"/>
    </row>
    <row r="9607">
      <c r="A9607" s="9" t="str">
        <f>IFERROR(__xludf.DUMMYFUNCTION("""COMPUTED_VALUE"""),"Batch 365")</f>
        <v>Batch 365</v>
      </c>
      <c r="B9607" s="9" t="str">
        <f>IFERROR(__xludf.DUMMYFUNCTION("""COMPUTED_VALUE"""),"shravyaC365")</f>
        <v>shravyaC365</v>
      </c>
      <c r="C9607" s="8">
        <f>IFERROR(__xludf.DUMMYFUNCTION("""COMPUTED_VALUE"""),0.0)</f>
        <v>0</v>
      </c>
      <c r="D9607" s="8"/>
    </row>
    <row r="9608">
      <c r="A9608" s="9" t="str">
        <f>IFERROR(__xludf.DUMMYFUNCTION("""COMPUTED_VALUE"""),"Batch 365")</f>
        <v>Batch 365</v>
      </c>
      <c r="B9608" s="9" t="str">
        <f>IFERROR(__xludf.DUMMYFUNCTION("""COMPUTED_VALUE"""),"SwathiC365")</f>
        <v>SwathiC365</v>
      </c>
      <c r="C9608" s="8">
        <f>IFERROR(__xludf.DUMMYFUNCTION("""COMPUTED_VALUE"""),0.0)</f>
        <v>0</v>
      </c>
      <c r="D9608" s="8"/>
    </row>
    <row r="9609">
      <c r="A9609" s="9" t="str">
        <f>IFERROR(__xludf.DUMMYFUNCTION("""COMPUTED_VALUE"""),"Batch 365")</f>
        <v>Batch 365</v>
      </c>
      <c r="B9609" s="9" t="str">
        <f>IFERROR(__xludf.DUMMYFUNCTION("""COMPUTED_VALUE"""),"DivyaC365")</f>
        <v>DivyaC365</v>
      </c>
      <c r="C9609" s="8">
        <f>IFERROR(__xludf.DUMMYFUNCTION("""COMPUTED_VALUE"""),0.0)</f>
        <v>0</v>
      </c>
      <c r="D9609" s="8"/>
    </row>
    <row r="9610">
      <c r="A9610" s="9" t="str">
        <f>IFERROR(__xludf.DUMMYFUNCTION("""COMPUTED_VALUE"""),"Batch 365")</f>
        <v>Batch 365</v>
      </c>
      <c r="B9610" s="9" t="str">
        <f>IFERROR(__xludf.DUMMYFUNCTION("""COMPUTED_VALUE"""),"SuyashC365")</f>
        <v>SuyashC365</v>
      </c>
      <c r="C9610" s="8">
        <f>IFERROR(__xludf.DUMMYFUNCTION("""COMPUTED_VALUE"""),0.0)</f>
        <v>0</v>
      </c>
      <c r="D9610" s="8"/>
    </row>
    <row r="9611">
      <c r="A9611" s="9" t="str">
        <f>IFERROR(__xludf.DUMMYFUNCTION("""COMPUTED_VALUE"""),"Batch 365")</f>
        <v>Batch 365</v>
      </c>
      <c r="B9611" s="9" t="str">
        <f>IFERROR(__xludf.DUMMYFUNCTION("""COMPUTED_VALUE"""),"AkankshaC365")</f>
        <v>AkankshaC365</v>
      </c>
      <c r="C9611" s="8">
        <f>IFERROR(__xludf.DUMMYFUNCTION("""COMPUTED_VALUE"""),0.0)</f>
        <v>0</v>
      </c>
      <c r="D9611" s="8"/>
    </row>
    <row r="9612">
      <c r="A9612" s="9" t="str">
        <f>IFERROR(__xludf.DUMMYFUNCTION("""COMPUTED_VALUE"""),"Batch 365")</f>
        <v>Batch 365</v>
      </c>
      <c r="B9612" s="9" t="str">
        <f>IFERROR(__xludf.DUMMYFUNCTION("""COMPUTED_VALUE"""),"RadhikaC365")</f>
        <v>RadhikaC365</v>
      </c>
      <c r="C9612" s="8">
        <f>IFERROR(__xludf.DUMMYFUNCTION("""COMPUTED_VALUE"""),0.0)</f>
        <v>0</v>
      </c>
      <c r="D9612" s="8"/>
    </row>
    <row r="9613">
      <c r="A9613" s="9" t="str">
        <f>IFERROR(__xludf.DUMMYFUNCTION("""COMPUTED_VALUE"""),"Batch 365")</f>
        <v>Batch 365</v>
      </c>
      <c r="B9613" s="9" t="str">
        <f>IFERROR(__xludf.DUMMYFUNCTION("""COMPUTED_VALUE"""),"SrishtiC365")</f>
        <v>SrishtiC365</v>
      </c>
      <c r="C9613" s="8">
        <f>IFERROR(__xludf.DUMMYFUNCTION("""COMPUTED_VALUE"""),0.0)</f>
        <v>0</v>
      </c>
      <c r="D9613" s="8"/>
    </row>
    <row r="9614">
      <c r="A9614" s="9" t="str">
        <f>IFERROR(__xludf.DUMMYFUNCTION("""COMPUTED_VALUE"""),"Batch 365")</f>
        <v>Batch 365</v>
      </c>
      <c r="B9614" s="9" t="str">
        <f>IFERROR(__xludf.DUMMYFUNCTION("""COMPUTED_VALUE"""),"SabarinathC365")</f>
        <v>SabarinathC365</v>
      </c>
      <c r="C9614" s="8">
        <f>IFERROR(__xludf.DUMMYFUNCTION("""COMPUTED_VALUE"""),0.0)</f>
        <v>0</v>
      </c>
      <c r="D9614" s="8"/>
    </row>
    <row r="9615">
      <c r="A9615" s="9" t="str">
        <f>IFERROR(__xludf.DUMMYFUNCTION("""COMPUTED_VALUE"""),"Batch 365")</f>
        <v>Batch 365</v>
      </c>
      <c r="B9615" s="9" t="str">
        <f>IFERROR(__xludf.DUMMYFUNCTION("""COMPUTED_VALUE"""),"MansiC365")</f>
        <v>MansiC365</v>
      </c>
      <c r="C9615" s="8">
        <f>IFERROR(__xludf.DUMMYFUNCTION("""COMPUTED_VALUE"""),0.0)</f>
        <v>0</v>
      </c>
      <c r="D9615" s="8"/>
    </row>
    <row r="9616">
      <c r="A9616" s="9" t="str">
        <f>IFERROR(__xludf.DUMMYFUNCTION("""COMPUTED_VALUE"""),"Batch 365")</f>
        <v>Batch 365</v>
      </c>
      <c r="B9616" s="9" t="str">
        <f>IFERROR(__xludf.DUMMYFUNCTION("""COMPUTED_VALUE"""),"ShaikhC365")</f>
        <v>ShaikhC365</v>
      </c>
      <c r="C9616" s="8">
        <f>IFERROR(__xludf.DUMMYFUNCTION("""COMPUTED_VALUE"""),0.0)</f>
        <v>0</v>
      </c>
      <c r="D9616" s="8"/>
    </row>
    <row r="9617">
      <c r="A9617" s="9" t="str">
        <f>IFERROR(__xludf.DUMMYFUNCTION("""COMPUTED_VALUE"""),"Batch 365")</f>
        <v>Batch 365</v>
      </c>
      <c r="B9617" s="9" t="str">
        <f>IFERROR(__xludf.DUMMYFUNCTION("""COMPUTED_VALUE"""),"RajnishC365")</f>
        <v>RajnishC365</v>
      </c>
      <c r="C9617" s="8">
        <f>IFERROR(__xludf.DUMMYFUNCTION("""COMPUTED_VALUE"""),0.0)</f>
        <v>0</v>
      </c>
      <c r="D9617" s="8"/>
    </row>
    <row r="9618">
      <c r="A9618" s="9" t="str">
        <f>IFERROR(__xludf.DUMMYFUNCTION("""COMPUTED_VALUE"""),"Batch 365")</f>
        <v>Batch 365</v>
      </c>
      <c r="B9618" s="9" t="str">
        <f>IFERROR(__xludf.DUMMYFUNCTION("""COMPUTED_VALUE"""),"KarunasankarC365")</f>
        <v>KarunasankarC365</v>
      </c>
      <c r="C9618" s="8">
        <f>IFERROR(__xludf.DUMMYFUNCTION("""COMPUTED_VALUE"""),0.0)</f>
        <v>0</v>
      </c>
      <c r="D9618" s="8"/>
    </row>
    <row r="9619">
      <c r="A9619" s="9" t="str">
        <f>IFERROR(__xludf.DUMMYFUNCTION("""COMPUTED_VALUE"""),"Batch 365")</f>
        <v>Batch 365</v>
      </c>
      <c r="B9619" s="9" t="str">
        <f>IFERROR(__xludf.DUMMYFUNCTION("""COMPUTED_VALUE"""),"ANSHC365")</f>
        <v>ANSHC365</v>
      </c>
      <c r="C9619" s="8">
        <f>IFERROR(__xludf.DUMMYFUNCTION("""COMPUTED_VALUE"""),0.0)</f>
        <v>0</v>
      </c>
      <c r="D9619" s="8"/>
    </row>
    <row r="9620">
      <c r="A9620" s="9" t="str">
        <f>IFERROR(__xludf.DUMMYFUNCTION("""COMPUTED_VALUE"""),"Batch 365")</f>
        <v>Batch 365</v>
      </c>
      <c r="B9620" s="9" t="str">
        <f>IFERROR(__xludf.DUMMYFUNCTION("""COMPUTED_VALUE"""),"DikshaC365")</f>
        <v>DikshaC365</v>
      </c>
      <c r="C9620" s="8">
        <f>IFERROR(__xludf.DUMMYFUNCTION("""COMPUTED_VALUE"""),4.0)</f>
        <v>4</v>
      </c>
      <c r="D9620" s="8"/>
    </row>
    <row r="9621">
      <c r="A9621" s="9" t="str">
        <f>IFERROR(__xludf.DUMMYFUNCTION("""COMPUTED_VALUE"""),"Batch 365")</f>
        <v>Batch 365</v>
      </c>
      <c r="B9621" s="9" t="str">
        <f>IFERROR(__xludf.DUMMYFUNCTION("""COMPUTED_VALUE"""),"YasmeenC365")</f>
        <v>YasmeenC365</v>
      </c>
      <c r="C9621" s="8">
        <f>IFERROR(__xludf.DUMMYFUNCTION("""COMPUTED_VALUE"""),0.0)</f>
        <v>0</v>
      </c>
      <c r="D9621" s="8"/>
    </row>
    <row r="9622">
      <c r="A9622" s="9" t="str">
        <f>IFERROR(__xludf.DUMMYFUNCTION("""COMPUTED_VALUE"""),"Batch 365")</f>
        <v>Batch 365</v>
      </c>
      <c r="B9622" s="9" t="str">
        <f>IFERROR(__xludf.DUMMYFUNCTION("""COMPUTED_VALUE"""),"VishalC365")</f>
        <v>VishalC365</v>
      </c>
      <c r="C9622" s="8">
        <f>IFERROR(__xludf.DUMMYFUNCTION("""COMPUTED_VALUE"""),0.0)</f>
        <v>0</v>
      </c>
      <c r="D9622" s="8"/>
    </row>
    <row r="9623">
      <c r="A9623" s="9" t="str">
        <f>IFERROR(__xludf.DUMMYFUNCTION("""COMPUTED_VALUE"""),"Batch 365")</f>
        <v>Batch 365</v>
      </c>
      <c r="B9623" s="9" t="str">
        <f>IFERROR(__xludf.DUMMYFUNCTION("""COMPUTED_VALUE"""),"MdC365")</f>
        <v>MdC365</v>
      </c>
      <c r="C9623" s="8">
        <f>IFERROR(__xludf.DUMMYFUNCTION("""COMPUTED_VALUE"""),0.0)</f>
        <v>0</v>
      </c>
      <c r="D9623" s="8"/>
    </row>
    <row r="9624">
      <c r="A9624" s="9" t="str">
        <f>IFERROR(__xludf.DUMMYFUNCTION("""COMPUTED_VALUE"""),"Batch 365")</f>
        <v>Batch 365</v>
      </c>
      <c r="B9624" s="9" t="str">
        <f>IFERROR(__xludf.DUMMYFUNCTION("""COMPUTED_VALUE"""),"kishoreC365")</f>
        <v>kishoreC365</v>
      </c>
      <c r="C9624" s="8">
        <f>IFERROR(__xludf.DUMMYFUNCTION("""COMPUTED_VALUE"""),0.0)</f>
        <v>0</v>
      </c>
      <c r="D9624" s="8"/>
    </row>
    <row r="9625">
      <c r="A9625" s="9" t="str">
        <f>IFERROR(__xludf.DUMMYFUNCTION("""COMPUTED_VALUE"""),"Batch 365")</f>
        <v>Batch 365</v>
      </c>
      <c r="B9625" s="9" t="str">
        <f>IFERROR(__xludf.DUMMYFUNCTION("""COMPUTED_VALUE"""),"AyushiC365")</f>
        <v>AyushiC365</v>
      </c>
      <c r="C9625" s="8">
        <f>IFERROR(__xludf.DUMMYFUNCTION("""COMPUTED_VALUE"""),0.0)</f>
        <v>0</v>
      </c>
      <c r="D9625" s="8"/>
    </row>
    <row r="9626">
      <c r="A9626" s="9" t="str">
        <f>IFERROR(__xludf.DUMMYFUNCTION("""COMPUTED_VALUE"""),"Batch 365")</f>
        <v>Batch 365</v>
      </c>
      <c r="B9626" s="9" t="str">
        <f>IFERROR(__xludf.DUMMYFUNCTION("""COMPUTED_VALUE"""),"PiyushC365")</f>
        <v>PiyushC365</v>
      </c>
      <c r="C9626" s="8">
        <f>IFERROR(__xludf.DUMMYFUNCTION("""COMPUTED_VALUE"""),0.0)</f>
        <v>0</v>
      </c>
      <c r="D9626" s="8"/>
    </row>
    <row r="9627">
      <c r="A9627" s="9" t="str">
        <f>IFERROR(__xludf.DUMMYFUNCTION("""COMPUTED_VALUE"""),"Batch 365")</f>
        <v>Batch 365</v>
      </c>
      <c r="B9627" s="9" t="str">
        <f>IFERROR(__xludf.DUMMYFUNCTION("""COMPUTED_VALUE"""),"RakshithaC365")</f>
        <v>RakshithaC365</v>
      </c>
      <c r="C9627" s="8">
        <f>IFERROR(__xludf.DUMMYFUNCTION("""COMPUTED_VALUE"""),0.0)</f>
        <v>0</v>
      </c>
      <c r="D9627" s="8"/>
    </row>
    <row r="9628">
      <c r="A9628" s="9" t="str">
        <f>IFERROR(__xludf.DUMMYFUNCTION("""COMPUTED_VALUE"""),"Batch 365")</f>
        <v>Batch 365</v>
      </c>
      <c r="B9628" s="9" t="str">
        <f>IFERROR(__xludf.DUMMYFUNCTION("""COMPUTED_VALUE"""),"AshishC365")</f>
        <v>AshishC365</v>
      </c>
      <c r="C9628" s="8">
        <f>IFERROR(__xludf.DUMMYFUNCTION("""COMPUTED_VALUE"""),0.0)</f>
        <v>0</v>
      </c>
      <c r="D9628" s="8"/>
    </row>
    <row r="9629">
      <c r="A9629" s="9" t="str">
        <f>IFERROR(__xludf.DUMMYFUNCTION("""COMPUTED_VALUE"""),"Batch 365")</f>
        <v>Batch 365</v>
      </c>
      <c r="B9629" s="9" t="str">
        <f>IFERROR(__xludf.DUMMYFUNCTION("""COMPUTED_VALUE"""),"ShreyaC365")</f>
        <v>ShreyaC365</v>
      </c>
      <c r="C9629" s="8">
        <f>IFERROR(__xludf.DUMMYFUNCTION("""COMPUTED_VALUE"""),0.0)</f>
        <v>0</v>
      </c>
      <c r="D9629" s="8"/>
    </row>
    <row r="9630">
      <c r="A9630" s="9" t="str">
        <f>IFERROR(__xludf.DUMMYFUNCTION("""COMPUTED_VALUE"""),"Batch 365")</f>
        <v>Batch 365</v>
      </c>
      <c r="B9630" s="9" t="str">
        <f>IFERROR(__xludf.DUMMYFUNCTION("""COMPUTED_VALUE"""),"AlishaC365")</f>
        <v>AlishaC365</v>
      </c>
      <c r="C9630" s="8">
        <f>IFERROR(__xludf.DUMMYFUNCTION("""COMPUTED_VALUE"""),0.0)</f>
        <v>0</v>
      </c>
      <c r="D9630" s="8"/>
    </row>
    <row r="9631">
      <c r="A9631" s="9" t="str">
        <f>IFERROR(__xludf.DUMMYFUNCTION("""COMPUTED_VALUE"""),"Batch 365")</f>
        <v>Batch 365</v>
      </c>
      <c r="B9631" s="9" t="str">
        <f>IFERROR(__xludf.DUMMYFUNCTION("""COMPUTED_VALUE"""),"KartikC365")</f>
        <v>KartikC365</v>
      </c>
      <c r="C9631" s="8">
        <f>IFERROR(__xludf.DUMMYFUNCTION("""COMPUTED_VALUE"""),0.0)</f>
        <v>0</v>
      </c>
      <c r="D9631" s="8"/>
    </row>
    <row r="9632">
      <c r="A9632" s="9" t="str">
        <f>IFERROR(__xludf.DUMMYFUNCTION("""COMPUTED_VALUE"""),"Batch 365")</f>
        <v>Batch 365</v>
      </c>
      <c r="B9632" s="9" t="str">
        <f>IFERROR(__xludf.DUMMYFUNCTION("""COMPUTED_VALUE"""),"BasantC365")</f>
        <v>BasantC365</v>
      </c>
      <c r="C9632" s="8">
        <f>IFERROR(__xludf.DUMMYFUNCTION("""COMPUTED_VALUE"""),0.0)</f>
        <v>0</v>
      </c>
      <c r="D9632" s="8"/>
    </row>
    <row r="9633">
      <c r="A9633" s="9" t="str">
        <f>IFERROR(__xludf.DUMMYFUNCTION("""COMPUTED_VALUE"""),"Batch 365")</f>
        <v>Batch 365</v>
      </c>
      <c r="B9633" s="9" t="str">
        <f>IFERROR(__xludf.DUMMYFUNCTION("""COMPUTED_VALUE"""),"SanjanaC365")</f>
        <v>SanjanaC365</v>
      </c>
      <c r="C9633" s="8">
        <f>IFERROR(__xludf.DUMMYFUNCTION("""COMPUTED_VALUE"""),0.0)</f>
        <v>0</v>
      </c>
      <c r="D9633" s="8"/>
    </row>
    <row r="9634">
      <c r="A9634" s="9" t="str">
        <f>IFERROR(__xludf.DUMMYFUNCTION("""COMPUTED_VALUE"""),"Batch 365")</f>
        <v>Batch 365</v>
      </c>
      <c r="B9634" s="9" t="str">
        <f>IFERROR(__xludf.DUMMYFUNCTION("""COMPUTED_VALUE"""),"ShivamC365")</f>
        <v>ShivamC365</v>
      </c>
      <c r="C9634" s="8">
        <f>IFERROR(__xludf.DUMMYFUNCTION("""COMPUTED_VALUE"""),7.0)</f>
        <v>7</v>
      </c>
      <c r="D9634" s="8">
        <f>IFERROR(__xludf.DUMMYFUNCTION("""COMPUTED_VALUE"""),3.0)</f>
        <v>3</v>
      </c>
    </row>
    <row r="9635">
      <c r="A9635" s="9" t="str">
        <f>IFERROR(__xludf.DUMMYFUNCTION("""COMPUTED_VALUE"""),"Batch 365")</f>
        <v>Batch 365</v>
      </c>
      <c r="B9635" s="9" t="str">
        <f>IFERROR(__xludf.DUMMYFUNCTION("""COMPUTED_VALUE"""),"KC365")</f>
        <v>KC365</v>
      </c>
      <c r="C9635" s="8">
        <f>IFERROR(__xludf.DUMMYFUNCTION("""COMPUTED_VALUE"""),0.0)</f>
        <v>0</v>
      </c>
      <c r="D9635" s="8"/>
    </row>
    <row r="9636">
      <c r="A9636" s="9" t="str">
        <f>IFERROR(__xludf.DUMMYFUNCTION("""COMPUTED_VALUE"""),"Batch 365")</f>
        <v>Batch 365</v>
      </c>
      <c r="B9636" s="9" t="str">
        <f>IFERROR(__xludf.DUMMYFUNCTION("""COMPUTED_VALUE"""),"HarshitaC365")</f>
        <v>HarshitaC365</v>
      </c>
      <c r="C9636" s="8">
        <f>IFERROR(__xludf.DUMMYFUNCTION("""COMPUTED_VALUE"""),0.0)</f>
        <v>0</v>
      </c>
      <c r="D9636" s="8"/>
    </row>
    <row r="9637">
      <c r="A9637" s="9" t="str">
        <f>IFERROR(__xludf.DUMMYFUNCTION("""COMPUTED_VALUE"""),"Batch 365")</f>
        <v>Batch 365</v>
      </c>
      <c r="B9637" s="9" t="str">
        <f>IFERROR(__xludf.DUMMYFUNCTION("""COMPUTED_VALUE"""),"ArshanC365")</f>
        <v>ArshanC365</v>
      </c>
      <c r="C9637" s="8">
        <f>IFERROR(__xludf.DUMMYFUNCTION("""COMPUTED_VALUE"""),82.0)</f>
        <v>82</v>
      </c>
      <c r="D9637" s="8">
        <f>IFERROR(__xludf.DUMMYFUNCTION("""COMPUTED_VALUE"""),32.0)</f>
        <v>32</v>
      </c>
    </row>
    <row r="9638">
      <c r="A9638" s="9" t="str">
        <f>IFERROR(__xludf.DUMMYFUNCTION("""COMPUTED_VALUE"""),"Batch 365")</f>
        <v>Batch 365</v>
      </c>
      <c r="B9638" s="9" t="str">
        <f>IFERROR(__xludf.DUMMYFUNCTION("""COMPUTED_VALUE"""),"TamannaC365")</f>
        <v>TamannaC365</v>
      </c>
      <c r="C9638" s="8">
        <f>IFERROR(__xludf.DUMMYFUNCTION("""COMPUTED_VALUE"""),0.0)</f>
        <v>0</v>
      </c>
      <c r="D9638" s="8"/>
    </row>
    <row r="9639">
      <c r="A9639" s="9" t="str">
        <f>IFERROR(__xludf.DUMMYFUNCTION("""COMPUTED_VALUE"""),"Batch 365")</f>
        <v>Batch 365</v>
      </c>
      <c r="B9639" s="9" t="str">
        <f>IFERROR(__xludf.DUMMYFUNCTION("""COMPUTED_VALUE"""),"AnkitC365")</f>
        <v>AnkitC365</v>
      </c>
      <c r="C9639" s="8">
        <f>IFERROR(__xludf.DUMMYFUNCTION("""COMPUTED_VALUE"""),1.0)</f>
        <v>1</v>
      </c>
      <c r="D9639" s="8"/>
    </row>
    <row r="9640">
      <c r="A9640" s="9"/>
      <c r="B9640" s="9"/>
      <c r="C9640" s="8">
        <f>IFERROR(__xludf.DUMMYFUNCTION("""COMPUTED_VALUE"""),0.0)</f>
        <v>0</v>
      </c>
      <c r="D9640" s="8"/>
    </row>
    <row r="9641">
      <c r="A9641" s="9" t="str">
        <f>IFERROR(__xludf.DUMMYFUNCTION("""COMPUTED_VALUE"""),"Batch 366")</f>
        <v>Batch 366</v>
      </c>
      <c r="B9641" s="9" t="str">
        <f>IFERROR(__xludf.DUMMYFUNCTION("""COMPUTED_VALUE"""),"FaizanbhatC366")</f>
        <v>FaizanbhatC366</v>
      </c>
      <c r="C9641" s="8">
        <f>IFERROR(__xludf.DUMMYFUNCTION("""COMPUTED_VALUE"""),0.0)</f>
        <v>0</v>
      </c>
      <c r="D9641" s="8"/>
    </row>
    <row r="9642">
      <c r="A9642" s="9" t="str">
        <f>IFERROR(__xludf.DUMMYFUNCTION("""COMPUTED_VALUE"""),"Batch 366")</f>
        <v>Batch 366</v>
      </c>
      <c r="B9642" s="9" t="str">
        <f>IFERROR(__xludf.DUMMYFUNCTION("""COMPUTED_VALUE"""),"T.TejaswiniC366")</f>
        <v>T.TejaswiniC366</v>
      </c>
      <c r="C9642" s="8">
        <f>IFERROR(__xludf.DUMMYFUNCTION("""COMPUTED_VALUE"""),0.0)</f>
        <v>0</v>
      </c>
      <c r="D9642" s="8"/>
    </row>
    <row r="9643">
      <c r="A9643" s="9" t="str">
        <f>IFERROR(__xludf.DUMMYFUNCTION("""COMPUTED_VALUE"""),"Batch 366")</f>
        <v>Batch 366</v>
      </c>
      <c r="B9643" s="9" t="str">
        <f>IFERROR(__xludf.DUMMYFUNCTION("""COMPUTED_VALUE"""),"AaliyaC366")</f>
        <v>AaliyaC366</v>
      </c>
      <c r="C9643" s="8">
        <f>IFERROR(__xludf.DUMMYFUNCTION("""COMPUTED_VALUE"""),0.0)</f>
        <v>0</v>
      </c>
      <c r="D9643" s="8"/>
    </row>
    <row r="9644">
      <c r="A9644" s="9" t="str">
        <f>IFERROR(__xludf.DUMMYFUNCTION("""COMPUTED_VALUE"""),"Batch 366")</f>
        <v>Batch 366</v>
      </c>
      <c r="B9644" s="9" t="str">
        <f>IFERROR(__xludf.DUMMYFUNCTION("""COMPUTED_VALUE"""),"AbhishekC366")</f>
        <v>AbhishekC366</v>
      </c>
      <c r="C9644" s="8">
        <f>IFERROR(__xludf.DUMMYFUNCTION("""COMPUTED_VALUE"""),0.0)</f>
        <v>0</v>
      </c>
      <c r="D9644" s="8"/>
    </row>
    <row r="9645">
      <c r="A9645" s="9" t="str">
        <f>IFERROR(__xludf.DUMMYFUNCTION("""COMPUTED_VALUE"""),"Batch 366")</f>
        <v>Batch 366</v>
      </c>
      <c r="B9645" s="9" t="str">
        <f>IFERROR(__xludf.DUMMYFUNCTION("""COMPUTED_VALUE"""),"AnieC366")</f>
        <v>AnieC366</v>
      </c>
      <c r="C9645" s="8">
        <f>IFERROR(__xludf.DUMMYFUNCTION("""COMPUTED_VALUE"""),0.0)</f>
        <v>0</v>
      </c>
      <c r="D9645" s="8"/>
    </row>
    <row r="9646">
      <c r="A9646" s="9" t="str">
        <f>IFERROR(__xludf.DUMMYFUNCTION("""COMPUTED_VALUE"""),"Batch 366")</f>
        <v>Batch 366</v>
      </c>
      <c r="B9646" s="9" t="str">
        <f>IFERROR(__xludf.DUMMYFUNCTION("""COMPUTED_VALUE"""),"HarshitC366")</f>
        <v>HarshitC366</v>
      </c>
      <c r="C9646" s="8">
        <f>IFERROR(__xludf.DUMMYFUNCTION("""COMPUTED_VALUE"""),1.0)</f>
        <v>1</v>
      </c>
      <c r="D9646" s="8"/>
    </row>
    <row r="9647">
      <c r="A9647" s="9" t="str">
        <f>IFERROR(__xludf.DUMMYFUNCTION("""COMPUTED_VALUE"""),"Batch 366")</f>
        <v>Batch 366</v>
      </c>
      <c r="B9647" s="9" t="str">
        <f>IFERROR(__xludf.DUMMYFUNCTION("""COMPUTED_VALUE"""),"C366")</f>
        <v>C366</v>
      </c>
      <c r="C9647" s="8">
        <f>IFERROR(__xludf.DUMMYFUNCTION("""COMPUTED_VALUE"""),0.0)</f>
        <v>0</v>
      </c>
      <c r="D9647" s="8"/>
    </row>
    <row r="9648">
      <c r="A9648" s="9" t="str">
        <f>IFERROR(__xludf.DUMMYFUNCTION("""COMPUTED_VALUE"""),"Batch 366")</f>
        <v>Batch 366</v>
      </c>
      <c r="B9648" s="9" t="str">
        <f>IFERROR(__xludf.DUMMYFUNCTION("""COMPUTED_VALUE"""),"AnilC366")</f>
        <v>AnilC366</v>
      </c>
      <c r="C9648" s="8">
        <f>IFERROR(__xludf.DUMMYFUNCTION("""COMPUTED_VALUE"""),0.0)</f>
        <v>0</v>
      </c>
      <c r="D9648" s="8"/>
    </row>
    <row r="9649">
      <c r="A9649" s="9" t="str">
        <f>IFERROR(__xludf.DUMMYFUNCTION("""COMPUTED_VALUE"""),"Batch 366")</f>
        <v>Batch 366</v>
      </c>
      <c r="B9649" s="9" t="str">
        <f>IFERROR(__xludf.DUMMYFUNCTION("""COMPUTED_VALUE"""),"PriyashaC366")</f>
        <v>PriyashaC366</v>
      </c>
      <c r="C9649" s="8">
        <f>IFERROR(__xludf.DUMMYFUNCTION("""COMPUTED_VALUE"""),0.0)</f>
        <v>0</v>
      </c>
      <c r="D9649" s="8"/>
    </row>
    <row r="9650">
      <c r="A9650" s="9" t="str">
        <f>IFERROR(__xludf.DUMMYFUNCTION("""COMPUTED_VALUE"""),"Batch 366")</f>
        <v>Batch 366</v>
      </c>
      <c r="B9650" s="9" t="str">
        <f>IFERROR(__xludf.DUMMYFUNCTION("""COMPUTED_VALUE"""),"ManvithC366")</f>
        <v>ManvithC366</v>
      </c>
      <c r="C9650" s="8">
        <f>IFERROR(__xludf.DUMMYFUNCTION("""COMPUTED_VALUE"""),1.0)</f>
        <v>1</v>
      </c>
      <c r="D9650" s="8"/>
    </row>
    <row r="9651">
      <c r="A9651" s="9" t="str">
        <f>IFERROR(__xludf.DUMMYFUNCTION("""COMPUTED_VALUE"""),"Batch 366")</f>
        <v>Batch 366</v>
      </c>
      <c r="B9651" s="9" t="str">
        <f>IFERROR(__xludf.DUMMYFUNCTION("""COMPUTED_VALUE"""),"AnushkaC366")</f>
        <v>AnushkaC366</v>
      </c>
      <c r="C9651" s="8">
        <f>IFERROR(__xludf.DUMMYFUNCTION("""COMPUTED_VALUE"""),0.0)</f>
        <v>0</v>
      </c>
      <c r="D9651" s="8"/>
    </row>
    <row r="9652">
      <c r="A9652" s="9" t="str">
        <f>IFERROR(__xludf.DUMMYFUNCTION("""COMPUTED_VALUE"""),"Batch 366")</f>
        <v>Batch 366</v>
      </c>
      <c r="B9652" s="9" t="str">
        <f>IFERROR(__xludf.DUMMYFUNCTION("""COMPUTED_VALUE"""),"DIGVIJAYSINHC366")</f>
        <v>DIGVIJAYSINHC366</v>
      </c>
      <c r="C9652" s="8">
        <f>IFERROR(__xludf.DUMMYFUNCTION("""COMPUTED_VALUE"""),0.0)</f>
        <v>0</v>
      </c>
      <c r="D9652" s="8"/>
    </row>
    <row r="9653">
      <c r="A9653" s="9" t="str">
        <f>IFERROR(__xludf.DUMMYFUNCTION("""COMPUTED_VALUE"""),"Batch 366")</f>
        <v>Batch 366</v>
      </c>
      <c r="B9653" s="9" t="str">
        <f>IFERROR(__xludf.DUMMYFUNCTION("""COMPUTED_VALUE"""),"HetC366")</f>
        <v>HetC366</v>
      </c>
      <c r="C9653" s="8">
        <f>IFERROR(__xludf.DUMMYFUNCTION("""COMPUTED_VALUE"""),0.0)</f>
        <v>0</v>
      </c>
      <c r="D9653" s="8"/>
    </row>
    <row r="9654">
      <c r="A9654" s="9" t="str">
        <f>IFERROR(__xludf.DUMMYFUNCTION("""COMPUTED_VALUE"""),"Batch 366")</f>
        <v>Batch 366</v>
      </c>
      <c r="B9654" s="9" t="str">
        <f>IFERROR(__xludf.DUMMYFUNCTION("""COMPUTED_VALUE"""),"AnkitC366")</f>
        <v>AnkitC366</v>
      </c>
      <c r="C9654" s="8">
        <f>IFERROR(__xludf.DUMMYFUNCTION("""COMPUTED_VALUE"""),0.0)</f>
        <v>0</v>
      </c>
      <c r="D9654" s="8"/>
    </row>
    <row r="9655">
      <c r="A9655" s="9" t="str">
        <f>IFERROR(__xludf.DUMMYFUNCTION("""COMPUTED_VALUE"""),"Batch 366")</f>
        <v>Batch 366</v>
      </c>
      <c r="B9655" s="9" t="str">
        <f>IFERROR(__xludf.DUMMYFUNCTION("""COMPUTED_VALUE"""),"UtkarshaC366")</f>
        <v>UtkarshaC366</v>
      </c>
      <c r="C9655" s="8">
        <f>IFERROR(__xludf.DUMMYFUNCTION("""COMPUTED_VALUE"""),0.0)</f>
        <v>0</v>
      </c>
      <c r="D9655" s="8"/>
    </row>
    <row r="9656">
      <c r="A9656" s="9" t="str">
        <f>IFERROR(__xludf.DUMMYFUNCTION("""COMPUTED_VALUE"""),"Batch 366")</f>
        <v>Batch 366</v>
      </c>
      <c r="B9656" s="9" t="str">
        <f>IFERROR(__xludf.DUMMYFUNCTION("""COMPUTED_VALUE"""),"shaileshC366")</f>
        <v>shaileshC366</v>
      </c>
      <c r="C9656" s="8">
        <f>IFERROR(__xludf.DUMMYFUNCTION("""COMPUTED_VALUE"""),0.0)</f>
        <v>0</v>
      </c>
      <c r="D9656" s="8"/>
    </row>
    <row r="9657">
      <c r="A9657" s="9" t="str">
        <f>IFERROR(__xludf.DUMMYFUNCTION("""COMPUTED_VALUE"""),"Batch 366")</f>
        <v>Batch 366</v>
      </c>
      <c r="B9657" s="9" t="str">
        <f>IFERROR(__xludf.DUMMYFUNCTION("""COMPUTED_VALUE"""),"MadhavC366")</f>
        <v>MadhavC366</v>
      </c>
      <c r="C9657" s="8">
        <f>IFERROR(__xludf.DUMMYFUNCTION("""COMPUTED_VALUE"""),0.0)</f>
        <v>0</v>
      </c>
      <c r="D9657" s="8"/>
    </row>
    <row r="9658">
      <c r="A9658" s="9" t="str">
        <f>IFERROR(__xludf.DUMMYFUNCTION("""COMPUTED_VALUE"""),"Batch 366")</f>
        <v>Batch 366</v>
      </c>
      <c r="B9658" s="9" t="str">
        <f>IFERROR(__xludf.DUMMYFUNCTION("""COMPUTED_VALUE"""),"AdityaC366")</f>
        <v>AdityaC366</v>
      </c>
      <c r="C9658" s="8">
        <f>IFERROR(__xludf.DUMMYFUNCTION("""COMPUTED_VALUE"""),0.0)</f>
        <v>0</v>
      </c>
      <c r="D9658" s="8"/>
    </row>
    <row r="9659">
      <c r="A9659" s="9" t="str">
        <f>IFERROR(__xludf.DUMMYFUNCTION("""COMPUTED_VALUE"""),"Batch 366")</f>
        <v>Batch 366</v>
      </c>
      <c r="B9659" s="9" t="str">
        <f>IFERROR(__xludf.DUMMYFUNCTION("""COMPUTED_VALUE"""),"KrutikC366")</f>
        <v>KrutikC366</v>
      </c>
      <c r="C9659" s="8">
        <f>IFERROR(__xludf.DUMMYFUNCTION("""COMPUTED_VALUE"""),0.0)</f>
        <v>0</v>
      </c>
      <c r="D9659" s="8"/>
    </row>
    <row r="9660">
      <c r="A9660" s="9" t="str">
        <f>IFERROR(__xludf.DUMMYFUNCTION("""COMPUTED_VALUE"""),"Batch 366")</f>
        <v>Batch 366</v>
      </c>
      <c r="B9660" s="9" t="str">
        <f>IFERROR(__xludf.DUMMYFUNCTION("""COMPUTED_VALUE"""),"BhaktiC366")</f>
        <v>BhaktiC366</v>
      </c>
      <c r="C9660" s="8">
        <f>IFERROR(__xludf.DUMMYFUNCTION("""COMPUTED_VALUE"""),0.0)</f>
        <v>0</v>
      </c>
      <c r="D9660" s="8"/>
    </row>
    <row r="9661">
      <c r="A9661" s="9" t="str">
        <f>IFERROR(__xludf.DUMMYFUNCTION("""COMPUTED_VALUE"""),"Batch 366")</f>
        <v>Batch 366</v>
      </c>
      <c r="B9661" s="9" t="str">
        <f>IFERROR(__xludf.DUMMYFUNCTION("""COMPUTED_VALUE"""),"GaganpreetC366")</f>
        <v>GaganpreetC366</v>
      </c>
      <c r="C9661" s="8">
        <f>IFERROR(__xludf.DUMMYFUNCTION("""COMPUTED_VALUE"""),2.0)</f>
        <v>2</v>
      </c>
      <c r="D9661" s="8">
        <f>IFERROR(__xludf.DUMMYFUNCTION("""COMPUTED_VALUE"""),1.0)</f>
        <v>1</v>
      </c>
    </row>
    <row r="9662">
      <c r="A9662" s="9" t="str">
        <f>IFERROR(__xludf.DUMMYFUNCTION("""COMPUTED_VALUE"""),"Batch 366")</f>
        <v>Batch 366</v>
      </c>
      <c r="B9662" s="9" t="str">
        <f>IFERROR(__xludf.DUMMYFUNCTION("""COMPUTED_VALUE"""),"SarbojitC366")</f>
        <v>SarbojitC366</v>
      </c>
      <c r="C9662" s="8">
        <f>IFERROR(__xludf.DUMMYFUNCTION("""COMPUTED_VALUE"""),0.0)</f>
        <v>0</v>
      </c>
      <c r="D9662" s="8"/>
    </row>
    <row r="9663">
      <c r="A9663" s="9" t="str">
        <f>IFERROR(__xludf.DUMMYFUNCTION("""COMPUTED_VALUE"""),"Batch 366")</f>
        <v>Batch 366</v>
      </c>
      <c r="B9663" s="9" t="str">
        <f>IFERROR(__xludf.DUMMYFUNCTION("""COMPUTED_VALUE"""),"NamanC366")</f>
        <v>NamanC366</v>
      </c>
      <c r="C9663" s="8">
        <f>IFERROR(__xludf.DUMMYFUNCTION("""COMPUTED_VALUE"""),0.0)</f>
        <v>0</v>
      </c>
      <c r="D9663" s="8"/>
    </row>
    <row r="9664">
      <c r="A9664" s="9" t="str">
        <f>IFERROR(__xludf.DUMMYFUNCTION("""COMPUTED_VALUE"""),"Batch 366")</f>
        <v>Batch 366</v>
      </c>
      <c r="B9664" s="9" t="str">
        <f>IFERROR(__xludf.DUMMYFUNCTION("""COMPUTED_VALUE"""),"ArunC366")</f>
        <v>ArunC366</v>
      </c>
      <c r="C9664" s="8">
        <f>IFERROR(__xludf.DUMMYFUNCTION("""COMPUTED_VALUE"""),0.0)</f>
        <v>0</v>
      </c>
      <c r="D9664" s="8"/>
    </row>
    <row r="9665">
      <c r="A9665" s="9" t="str">
        <f>IFERROR(__xludf.DUMMYFUNCTION("""COMPUTED_VALUE"""),"Batch 366")</f>
        <v>Batch 366</v>
      </c>
      <c r="B9665" s="9" t="str">
        <f>IFERROR(__xludf.DUMMYFUNCTION("""COMPUTED_VALUE"""),"KunalC366")</f>
        <v>KunalC366</v>
      </c>
      <c r="C9665" s="8">
        <f>IFERROR(__xludf.DUMMYFUNCTION("""COMPUTED_VALUE"""),0.0)</f>
        <v>0</v>
      </c>
      <c r="D9665" s="8"/>
    </row>
    <row r="9666">
      <c r="A9666" s="9" t="str">
        <f>IFERROR(__xludf.DUMMYFUNCTION("""COMPUTED_VALUE"""),"Batch 366")</f>
        <v>Batch 366</v>
      </c>
      <c r="B9666" s="9" t="str">
        <f>IFERROR(__xludf.DUMMYFUNCTION("""COMPUTED_VALUE"""),"RahulC366")</f>
        <v>RahulC366</v>
      </c>
      <c r="C9666" s="8">
        <f>IFERROR(__xludf.DUMMYFUNCTION("""COMPUTED_VALUE"""),0.0)</f>
        <v>0</v>
      </c>
      <c r="D9666" s="8"/>
    </row>
    <row r="9667">
      <c r="A9667" s="9" t="str">
        <f>IFERROR(__xludf.DUMMYFUNCTION("""COMPUTED_VALUE"""),"Batch 366")</f>
        <v>Batch 366</v>
      </c>
      <c r="B9667" s="9" t="str">
        <f>IFERROR(__xludf.DUMMYFUNCTION("""COMPUTED_VALUE"""),"ShrutiC366")</f>
        <v>ShrutiC366</v>
      </c>
      <c r="C9667" s="8">
        <f>IFERROR(__xludf.DUMMYFUNCTION("""COMPUTED_VALUE"""),0.0)</f>
        <v>0</v>
      </c>
      <c r="D9667" s="8"/>
    </row>
    <row r="9668">
      <c r="A9668" s="9" t="str">
        <f>IFERROR(__xludf.DUMMYFUNCTION("""COMPUTED_VALUE"""),"Batch 366")</f>
        <v>Batch 366</v>
      </c>
      <c r="B9668" s="9" t="str">
        <f>IFERROR(__xludf.DUMMYFUNCTION("""COMPUTED_VALUE"""),"RadhikaC366")</f>
        <v>RadhikaC366</v>
      </c>
      <c r="C9668" s="8">
        <f>IFERROR(__xludf.DUMMYFUNCTION("""COMPUTED_VALUE"""),0.0)</f>
        <v>0</v>
      </c>
      <c r="D9668" s="8"/>
    </row>
    <row r="9669">
      <c r="A9669" s="9" t="str">
        <f>IFERROR(__xludf.DUMMYFUNCTION("""COMPUTED_VALUE"""),"Batch 366")</f>
        <v>Batch 366</v>
      </c>
      <c r="B9669" s="9" t="str">
        <f>IFERROR(__xludf.DUMMYFUNCTION("""COMPUTED_VALUE"""),"MadhuC366")</f>
        <v>MadhuC366</v>
      </c>
      <c r="C9669" s="8">
        <f>IFERROR(__xludf.DUMMYFUNCTION("""COMPUTED_VALUE"""),0.0)</f>
        <v>0</v>
      </c>
      <c r="D9669" s="8"/>
    </row>
    <row r="9670">
      <c r="A9670" s="9" t="str">
        <f>IFERROR(__xludf.DUMMYFUNCTION("""COMPUTED_VALUE"""),"Batch 366")</f>
        <v>Batch 366</v>
      </c>
      <c r="B9670" s="9" t="str">
        <f>IFERROR(__xludf.DUMMYFUNCTION("""COMPUTED_VALUE"""),"SudiptaC366")</f>
        <v>SudiptaC366</v>
      </c>
      <c r="C9670" s="8">
        <f>IFERROR(__xludf.DUMMYFUNCTION("""COMPUTED_VALUE"""),0.0)</f>
        <v>0</v>
      </c>
      <c r="D9670" s="8"/>
    </row>
    <row r="9671">
      <c r="A9671" s="9" t="str">
        <f>IFERROR(__xludf.DUMMYFUNCTION("""COMPUTED_VALUE"""),"Batch 366")</f>
        <v>Batch 366</v>
      </c>
      <c r="B9671" s="9" t="str">
        <f>IFERROR(__xludf.DUMMYFUNCTION("""COMPUTED_VALUE"""),"TamannaC366")</f>
        <v>TamannaC366</v>
      </c>
      <c r="C9671" s="8">
        <f>IFERROR(__xludf.DUMMYFUNCTION("""COMPUTED_VALUE"""),0.0)</f>
        <v>0</v>
      </c>
      <c r="D9671" s="8"/>
    </row>
    <row r="9672">
      <c r="A9672" s="9" t="str">
        <f>IFERROR(__xludf.DUMMYFUNCTION("""COMPUTED_VALUE"""),"Batch 366")</f>
        <v>Batch 366</v>
      </c>
      <c r="B9672" s="9" t="str">
        <f>IFERROR(__xludf.DUMMYFUNCTION("""COMPUTED_VALUE"""),"AdeelC366")</f>
        <v>AdeelC366</v>
      </c>
      <c r="C9672" s="8">
        <f>IFERROR(__xludf.DUMMYFUNCTION("""COMPUTED_VALUE"""),0.0)</f>
        <v>0</v>
      </c>
      <c r="D9672" s="8"/>
    </row>
    <row r="9673">
      <c r="A9673" s="9" t="str">
        <f>IFERROR(__xludf.DUMMYFUNCTION("""COMPUTED_VALUE"""),"Batch 366")</f>
        <v>Batch 366</v>
      </c>
      <c r="B9673" s="9" t="str">
        <f>IFERROR(__xludf.DUMMYFUNCTION("""COMPUTED_VALUE"""),"AbhayaC366")</f>
        <v>AbhayaC366</v>
      </c>
      <c r="C9673" s="8">
        <f>IFERROR(__xludf.DUMMYFUNCTION("""COMPUTED_VALUE"""),0.0)</f>
        <v>0</v>
      </c>
      <c r="D9673" s="8"/>
    </row>
    <row r="9674">
      <c r="A9674" s="9" t="str">
        <f>IFERROR(__xludf.DUMMYFUNCTION("""COMPUTED_VALUE"""),"Batch 366")</f>
        <v>Batch 366</v>
      </c>
      <c r="B9674" s="9" t="str">
        <f>IFERROR(__xludf.DUMMYFUNCTION("""COMPUTED_VALUE"""),"NehaC366")</f>
        <v>NehaC366</v>
      </c>
      <c r="C9674" s="8">
        <f>IFERROR(__xludf.DUMMYFUNCTION("""COMPUTED_VALUE"""),0.0)</f>
        <v>0</v>
      </c>
      <c r="D9674" s="8"/>
    </row>
    <row r="9675">
      <c r="A9675" s="9" t="str">
        <f>IFERROR(__xludf.DUMMYFUNCTION("""COMPUTED_VALUE"""),"Batch 366")</f>
        <v>Batch 366</v>
      </c>
      <c r="B9675" s="9" t="str">
        <f>IFERROR(__xludf.DUMMYFUNCTION("""COMPUTED_VALUE"""),"AdarshC366")</f>
        <v>AdarshC366</v>
      </c>
      <c r="C9675" s="8">
        <f>IFERROR(__xludf.DUMMYFUNCTION("""COMPUTED_VALUE"""),0.0)</f>
        <v>0</v>
      </c>
      <c r="D9675" s="8"/>
    </row>
    <row r="9676">
      <c r="A9676" s="9" t="str">
        <f>IFERROR(__xludf.DUMMYFUNCTION("""COMPUTED_VALUE"""),"Batch 366")</f>
        <v>Batch 366</v>
      </c>
      <c r="B9676" s="9" t="str">
        <f>IFERROR(__xludf.DUMMYFUNCTION("""COMPUTED_VALUE"""),"DhatriC366")</f>
        <v>DhatriC366</v>
      </c>
      <c r="C9676" s="8">
        <f>IFERROR(__xludf.DUMMYFUNCTION("""COMPUTED_VALUE"""),2.0)</f>
        <v>2</v>
      </c>
      <c r="D9676" s="8"/>
    </row>
    <row r="9677">
      <c r="A9677" s="9" t="str">
        <f>IFERROR(__xludf.DUMMYFUNCTION("""COMPUTED_VALUE"""),"Batch 366")</f>
        <v>Batch 366</v>
      </c>
      <c r="B9677" s="9" t="str">
        <f>IFERROR(__xludf.DUMMYFUNCTION("""COMPUTED_VALUE"""),"NishithC366")</f>
        <v>NishithC366</v>
      </c>
      <c r="C9677" s="8">
        <f>IFERROR(__xludf.DUMMYFUNCTION("""COMPUTED_VALUE"""),0.0)</f>
        <v>0</v>
      </c>
      <c r="D9677" s="8"/>
    </row>
    <row r="9678">
      <c r="A9678" s="9" t="str">
        <f>IFERROR(__xludf.DUMMYFUNCTION("""COMPUTED_VALUE"""),"Batch 366")</f>
        <v>Batch 366</v>
      </c>
      <c r="B9678" s="9" t="str">
        <f>IFERROR(__xludf.DUMMYFUNCTION("""COMPUTED_VALUE"""),"ShubhraC366")</f>
        <v>ShubhraC366</v>
      </c>
      <c r="C9678" s="8">
        <f>IFERROR(__xludf.DUMMYFUNCTION("""COMPUTED_VALUE"""),0.0)</f>
        <v>0</v>
      </c>
      <c r="D9678" s="8"/>
    </row>
    <row r="9679">
      <c r="A9679" s="9" t="str">
        <f>IFERROR(__xludf.DUMMYFUNCTION("""COMPUTED_VALUE"""),"Batch 366")</f>
        <v>Batch 366</v>
      </c>
      <c r="B9679" s="9" t="str">
        <f>IFERROR(__xludf.DUMMYFUNCTION("""COMPUTED_VALUE"""),"KausikC366")</f>
        <v>KausikC366</v>
      </c>
      <c r="C9679" s="8">
        <f>IFERROR(__xludf.DUMMYFUNCTION("""COMPUTED_VALUE"""),0.0)</f>
        <v>0</v>
      </c>
      <c r="D9679" s="8"/>
    </row>
    <row r="9680">
      <c r="A9680" s="9" t="str">
        <f>IFERROR(__xludf.DUMMYFUNCTION("""COMPUTED_VALUE"""),"Batch 366")</f>
        <v>Batch 366</v>
      </c>
      <c r="B9680" s="9" t="str">
        <f>IFERROR(__xludf.DUMMYFUNCTION("""COMPUTED_VALUE"""),"AanyaC366")</f>
        <v>AanyaC366</v>
      </c>
      <c r="C9680" s="8">
        <f>IFERROR(__xludf.DUMMYFUNCTION("""COMPUTED_VALUE"""),0.0)</f>
        <v>0</v>
      </c>
      <c r="D9680" s="8"/>
    </row>
    <row r="9681">
      <c r="A9681" s="9" t="str">
        <f>IFERROR(__xludf.DUMMYFUNCTION("""COMPUTED_VALUE"""),"Batch 366")</f>
        <v>Batch 366</v>
      </c>
      <c r="B9681" s="9" t="str">
        <f>IFERROR(__xludf.DUMMYFUNCTION("""COMPUTED_VALUE"""),"KaluvagadaC366")</f>
        <v>KaluvagadaC366</v>
      </c>
      <c r="C9681" s="8">
        <f>IFERROR(__xludf.DUMMYFUNCTION("""COMPUTED_VALUE"""),0.0)</f>
        <v>0</v>
      </c>
      <c r="D9681" s="8"/>
    </row>
    <row r="9682">
      <c r="A9682" s="9" t="str">
        <f>IFERROR(__xludf.DUMMYFUNCTION("""COMPUTED_VALUE"""),"Batch 366")</f>
        <v>Batch 366</v>
      </c>
      <c r="B9682" s="9" t="str">
        <f>IFERROR(__xludf.DUMMYFUNCTION("""COMPUTED_VALUE"""),"PreetiC366")</f>
        <v>PreetiC366</v>
      </c>
      <c r="C9682" s="8">
        <f>IFERROR(__xludf.DUMMYFUNCTION("""COMPUTED_VALUE"""),0.0)</f>
        <v>0</v>
      </c>
      <c r="D9682" s="8"/>
    </row>
    <row r="9683">
      <c r="A9683" s="9" t="str">
        <f>IFERROR(__xludf.DUMMYFUNCTION("""COMPUTED_VALUE"""),"Batch 366")</f>
        <v>Batch 366</v>
      </c>
      <c r="B9683" s="9" t="str">
        <f>IFERROR(__xludf.DUMMYFUNCTION("""COMPUTED_VALUE"""),"RishuC366")</f>
        <v>RishuC366</v>
      </c>
      <c r="C9683" s="8">
        <f>IFERROR(__xludf.DUMMYFUNCTION("""COMPUTED_VALUE"""),0.0)</f>
        <v>0</v>
      </c>
      <c r="D9683" s="8"/>
    </row>
    <row r="9684">
      <c r="A9684" s="9" t="str">
        <f>IFERROR(__xludf.DUMMYFUNCTION("""COMPUTED_VALUE"""),"Batch 366")</f>
        <v>Batch 366</v>
      </c>
      <c r="B9684" s="9" t="str">
        <f>IFERROR(__xludf.DUMMYFUNCTION("""COMPUTED_VALUE"""),"GayatriC366")</f>
        <v>GayatriC366</v>
      </c>
      <c r="C9684" s="8">
        <f>IFERROR(__xludf.DUMMYFUNCTION("""COMPUTED_VALUE"""),0.0)</f>
        <v>0</v>
      </c>
      <c r="D9684" s="8"/>
    </row>
    <row r="9685">
      <c r="A9685" s="9" t="str">
        <f>IFERROR(__xludf.DUMMYFUNCTION("""COMPUTED_VALUE"""),"Batch 366")</f>
        <v>Batch 366</v>
      </c>
      <c r="B9685" s="9" t="str">
        <f>IFERROR(__xludf.DUMMYFUNCTION("""COMPUTED_VALUE"""),"RAKSHITHAC366")</f>
        <v>RAKSHITHAC366</v>
      </c>
      <c r="C9685" s="8">
        <f>IFERROR(__xludf.DUMMYFUNCTION("""COMPUTED_VALUE"""),0.0)</f>
        <v>0</v>
      </c>
      <c r="D9685" s="8"/>
    </row>
    <row r="9686">
      <c r="A9686" s="9" t="str">
        <f>IFERROR(__xludf.DUMMYFUNCTION("""COMPUTED_VALUE"""),"Batch 366")</f>
        <v>Batch 366</v>
      </c>
      <c r="B9686" s="9" t="str">
        <f>IFERROR(__xludf.DUMMYFUNCTION("""COMPUTED_VALUE"""),"PeddiC366")</f>
        <v>PeddiC366</v>
      </c>
      <c r="C9686" s="8">
        <f>IFERROR(__xludf.DUMMYFUNCTION("""COMPUTED_VALUE"""),0.0)</f>
        <v>0</v>
      </c>
      <c r="D9686" s="8"/>
    </row>
    <row r="9687">
      <c r="A9687" s="9" t="str">
        <f>IFERROR(__xludf.DUMMYFUNCTION("""COMPUTED_VALUE"""),"Batch 366")</f>
        <v>Batch 366</v>
      </c>
      <c r="B9687" s="9" t="str">
        <f>IFERROR(__xludf.DUMMYFUNCTION("""COMPUTED_VALUE"""),"MuskaanC366")</f>
        <v>MuskaanC366</v>
      </c>
      <c r="C9687" s="8">
        <f>IFERROR(__xludf.DUMMYFUNCTION("""COMPUTED_VALUE"""),0.0)</f>
        <v>0</v>
      </c>
      <c r="D9687" s="8"/>
    </row>
    <row r="9688">
      <c r="A9688" s="9" t="str">
        <f>IFERROR(__xludf.DUMMYFUNCTION("""COMPUTED_VALUE"""),"Batch 366")</f>
        <v>Batch 366</v>
      </c>
      <c r="B9688" s="9" t="str">
        <f>IFERROR(__xludf.DUMMYFUNCTION("""COMPUTED_VALUE"""),"EklavyaC366")</f>
        <v>EklavyaC366</v>
      </c>
      <c r="C9688" s="8">
        <f>IFERROR(__xludf.DUMMYFUNCTION("""COMPUTED_VALUE"""),0.0)</f>
        <v>0</v>
      </c>
      <c r="D9688" s="8"/>
    </row>
    <row r="9689">
      <c r="A9689" s="9" t="str">
        <f>IFERROR(__xludf.DUMMYFUNCTION("""COMPUTED_VALUE"""),"Batch 366")</f>
        <v>Batch 366</v>
      </c>
      <c r="B9689" s="9" t="str">
        <f>IFERROR(__xludf.DUMMYFUNCTION("""COMPUTED_VALUE"""),"PranavC366")</f>
        <v>PranavC366</v>
      </c>
      <c r="C9689" s="8">
        <f>IFERROR(__xludf.DUMMYFUNCTION("""COMPUTED_VALUE"""),0.0)</f>
        <v>0</v>
      </c>
      <c r="D9689" s="8"/>
    </row>
    <row r="9690">
      <c r="A9690" s="9" t="str">
        <f>IFERROR(__xludf.DUMMYFUNCTION("""COMPUTED_VALUE"""),"Batch 366")</f>
        <v>Batch 366</v>
      </c>
      <c r="B9690" s="9" t="str">
        <f>IFERROR(__xludf.DUMMYFUNCTION("""COMPUTED_VALUE"""),"SnigdhaC366")</f>
        <v>SnigdhaC366</v>
      </c>
      <c r="C9690" s="8">
        <f>IFERROR(__xludf.DUMMYFUNCTION("""COMPUTED_VALUE"""),0.0)</f>
        <v>0</v>
      </c>
      <c r="D9690" s="8"/>
    </row>
    <row r="9691">
      <c r="A9691" s="9" t="str">
        <f>IFERROR(__xludf.DUMMYFUNCTION("""COMPUTED_VALUE"""),"Batch 366")</f>
        <v>Batch 366</v>
      </c>
      <c r="B9691" s="9" t="str">
        <f>IFERROR(__xludf.DUMMYFUNCTION("""COMPUTED_VALUE"""),"AbhishekC366")</f>
        <v>AbhishekC366</v>
      </c>
      <c r="C9691" s="8">
        <f>IFERROR(__xludf.DUMMYFUNCTION("""COMPUTED_VALUE"""),0.0)</f>
        <v>0</v>
      </c>
      <c r="D9691" s="8"/>
    </row>
    <row r="9692">
      <c r="A9692" s="9" t="str">
        <f>IFERROR(__xludf.DUMMYFUNCTION("""COMPUTED_VALUE"""),"Batch 366")</f>
        <v>Batch 366</v>
      </c>
      <c r="B9692" s="9" t="str">
        <f>IFERROR(__xludf.DUMMYFUNCTION("""COMPUTED_VALUE"""),"PratikC366")</f>
        <v>PratikC366</v>
      </c>
      <c r="C9692" s="8">
        <f>IFERROR(__xludf.DUMMYFUNCTION("""COMPUTED_VALUE"""),1.0)</f>
        <v>1</v>
      </c>
      <c r="D9692" s="8"/>
    </row>
    <row r="9693">
      <c r="A9693" s="9" t="str">
        <f>IFERROR(__xludf.DUMMYFUNCTION("""COMPUTED_VALUE"""),"Batch 366")</f>
        <v>Batch 366</v>
      </c>
      <c r="B9693" s="9" t="str">
        <f>IFERROR(__xludf.DUMMYFUNCTION("""COMPUTED_VALUE"""),"ThokalapudiC366")</f>
        <v>ThokalapudiC366</v>
      </c>
      <c r="C9693" s="8">
        <f>IFERROR(__xludf.DUMMYFUNCTION("""COMPUTED_VALUE"""),0.0)</f>
        <v>0</v>
      </c>
      <c r="D9693" s="8"/>
    </row>
    <row r="9694">
      <c r="A9694" s="9" t="str">
        <f>IFERROR(__xludf.DUMMYFUNCTION("""COMPUTED_VALUE"""),"Batch 366")</f>
        <v>Batch 366</v>
      </c>
      <c r="B9694" s="9" t="str">
        <f>IFERROR(__xludf.DUMMYFUNCTION("""COMPUTED_VALUE"""),"ShubhamC366")</f>
        <v>ShubhamC366</v>
      </c>
      <c r="C9694" s="8">
        <f>IFERROR(__xludf.DUMMYFUNCTION("""COMPUTED_VALUE"""),0.0)</f>
        <v>0</v>
      </c>
      <c r="D9694" s="8"/>
    </row>
    <row r="9695">
      <c r="A9695" s="9" t="str">
        <f>IFERROR(__xludf.DUMMYFUNCTION("""COMPUTED_VALUE"""),"Batch 366")</f>
        <v>Batch 366</v>
      </c>
      <c r="B9695" s="9" t="str">
        <f>IFERROR(__xludf.DUMMYFUNCTION("""COMPUTED_VALUE"""),"HimaniC366")</f>
        <v>HimaniC366</v>
      </c>
      <c r="C9695" s="8">
        <f>IFERROR(__xludf.DUMMYFUNCTION("""COMPUTED_VALUE"""),0.0)</f>
        <v>0</v>
      </c>
      <c r="D9695" s="8"/>
    </row>
    <row r="9696">
      <c r="A9696" s="9" t="str">
        <f>IFERROR(__xludf.DUMMYFUNCTION("""COMPUTED_VALUE"""),"Batch 366")</f>
        <v>Batch 366</v>
      </c>
      <c r="B9696" s="9" t="str">
        <f>IFERROR(__xludf.DUMMYFUNCTION("""COMPUTED_VALUE"""),"SunayanaC366")</f>
        <v>SunayanaC366</v>
      </c>
      <c r="C9696" s="8">
        <f>IFERROR(__xludf.DUMMYFUNCTION("""COMPUTED_VALUE"""),0.0)</f>
        <v>0</v>
      </c>
      <c r="D9696" s="8"/>
    </row>
    <row r="9697">
      <c r="A9697" s="9" t="str">
        <f>IFERROR(__xludf.DUMMYFUNCTION("""COMPUTED_VALUE"""),"Batch 366")</f>
        <v>Batch 366</v>
      </c>
      <c r="B9697" s="9" t="str">
        <f>IFERROR(__xludf.DUMMYFUNCTION("""COMPUTED_VALUE"""),"BhaveshC366")</f>
        <v>BhaveshC366</v>
      </c>
      <c r="C9697" s="8">
        <f>IFERROR(__xludf.DUMMYFUNCTION("""COMPUTED_VALUE"""),0.0)</f>
        <v>0</v>
      </c>
      <c r="D9697" s="8"/>
    </row>
    <row r="9698">
      <c r="A9698" s="9" t="str">
        <f>IFERROR(__xludf.DUMMYFUNCTION("""COMPUTED_VALUE"""),"Batch 366")</f>
        <v>Batch 366</v>
      </c>
      <c r="B9698" s="9" t="str">
        <f>IFERROR(__xludf.DUMMYFUNCTION("""COMPUTED_VALUE"""),"AdityaC366")</f>
        <v>AdityaC366</v>
      </c>
      <c r="C9698" s="8">
        <f>IFERROR(__xludf.DUMMYFUNCTION("""COMPUTED_VALUE"""),0.0)</f>
        <v>0</v>
      </c>
      <c r="D9698" s="8"/>
    </row>
    <row r="9699">
      <c r="A9699" s="9" t="str">
        <f>IFERROR(__xludf.DUMMYFUNCTION("""COMPUTED_VALUE"""),"Batch 366")</f>
        <v>Batch 366</v>
      </c>
      <c r="B9699" s="9" t="str">
        <f>IFERROR(__xludf.DUMMYFUNCTION("""COMPUTED_VALUE"""),"MahwishC366")</f>
        <v>MahwishC366</v>
      </c>
      <c r="C9699" s="8">
        <f>IFERROR(__xludf.DUMMYFUNCTION("""COMPUTED_VALUE"""),0.0)</f>
        <v>0</v>
      </c>
      <c r="D9699" s="8"/>
    </row>
    <row r="9700">
      <c r="A9700" s="9" t="str">
        <f>IFERROR(__xludf.DUMMYFUNCTION("""COMPUTED_VALUE"""),"Batch 366")</f>
        <v>Batch 366</v>
      </c>
      <c r="B9700" s="9" t="str">
        <f>IFERROR(__xludf.DUMMYFUNCTION("""COMPUTED_VALUE"""),"TusharC366")</f>
        <v>TusharC366</v>
      </c>
      <c r="C9700" s="8">
        <f>IFERROR(__xludf.DUMMYFUNCTION("""COMPUTED_VALUE"""),2.0)</f>
        <v>2</v>
      </c>
      <c r="D9700" s="8">
        <f>IFERROR(__xludf.DUMMYFUNCTION("""COMPUTED_VALUE"""),4.0)</f>
        <v>4</v>
      </c>
    </row>
    <row r="9701">
      <c r="A9701" s="9" t="str">
        <f>IFERROR(__xludf.DUMMYFUNCTION("""COMPUTED_VALUE"""),"Batch 366")</f>
        <v>Batch 366</v>
      </c>
      <c r="B9701" s="9" t="str">
        <f>IFERROR(__xludf.DUMMYFUNCTION("""COMPUTED_VALUE"""),"vivekSC366")</f>
        <v>vivekSC366</v>
      </c>
      <c r="C9701" s="8">
        <f>IFERROR(__xludf.DUMMYFUNCTION("""COMPUTED_VALUE"""),0.0)</f>
        <v>0</v>
      </c>
      <c r="D9701" s="8"/>
    </row>
    <row r="9702">
      <c r="A9702" s="9" t="str">
        <f>IFERROR(__xludf.DUMMYFUNCTION("""COMPUTED_VALUE"""),"Batch 366")</f>
        <v>Batch 366</v>
      </c>
      <c r="B9702" s="9" t="str">
        <f>IFERROR(__xludf.DUMMYFUNCTION("""COMPUTED_VALUE"""),"InsiyaC366")</f>
        <v>InsiyaC366</v>
      </c>
      <c r="C9702" s="8">
        <f>IFERROR(__xludf.DUMMYFUNCTION("""COMPUTED_VALUE"""),0.0)</f>
        <v>0</v>
      </c>
      <c r="D9702" s="8"/>
    </row>
    <row r="9703">
      <c r="A9703" s="9" t="str">
        <f>IFERROR(__xludf.DUMMYFUNCTION("""COMPUTED_VALUE"""),"Batch 366")</f>
        <v>Batch 366</v>
      </c>
      <c r="B9703" s="9" t="str">
        <f>IFERROR(__xludf.DUMMYFUNCTION("""COMPUTED_VALUE"""),"DEBARATIC366")</f>
        <v>DEBARATIC366</v>
      </c>
      <c r="C9703" s="8">
        <f>IFERROR(__xludf.DUMMYFUNCTION("""COMPUTED_VALUE"""),0.0)</f>
        <v>0</v>
      </c>
      <c r="D9703" s="8"/>
    </row>
    <row r="9704">
      <c r="A9704" s="9" t="str">
        <f>IFERROR(__xludf.DUMMYFUNCTION("""COMPUTED_VALUE"""),"Batch 366")</f>
        <v>Batch 366</v>
      </c>
      <c r="B9704" s="9" t="str">
        <f>IFERROR(__xludf.DUMMYFUNCTION("""COMPUTED_VALUE"""),"NabiC366")</f>
        <v>NabiC366</v>
      </c>
      <c r="C9704" s="8">
        <f>IFERROR(__xludf.DUMMYFUNCTION("""COMPUTED_VALUE"""),0.0)</f>
        <v>0</v>
      </c>
      <c r="D9704" s="8"/>
    </row>
    <row r="9705">
      <c r="A9705" s="9" t="str">
        <f>IFERROR(__xludf.DUMMYFUNCTION("""COMPUTED_VALUE"""),"Batch 366")</f>
        <v>Batch 366</v>
      </c>
      <c r="B9705" s="9" t="str">
        <f>IFERROR(__xludf.DUMMYFUNCTION("""COMPUTED_VALUE"""),"MuskanC366")</f>
        <v>MuskanC366</v>
      </c>
      <c r="C9705" s="8">
        <f>IFERROR(__xludf.DUMMYFUNCTION("""COMPUTED_VALUE"""),0.0)</f>
        <v>0</v>
      </c>
      <c r="D9705" s="8"/>
    </row>
    <row r="9706">
      <c r="A9706" s="9" t="str">
        <f>IFERROR(__xludf.DUMMYFUNCTION("""COMPUTED_VALUE"""),"Batch 366")</f>
        <v>Batch 366</v>
      </c>
      <c r="B9706" s="9" t="str">
        <f>IFERROR(__xludf.DUMMYFUNCTION("""COMPUTED_VALUE"""),"AmitC366")</f>
        <v>AmitC366</v>
      </c>
      <c r="C9706" s="8">
        <f>IFERROR(__xludf.DUMMYFUNCTION("""COMPUTED_VALUE"""),2.0)</f>
        <v>2</v>
      </c>
      <c r="D9706" s="8">
        <f>IFERROR(__xludf.DUMMYFUNCTION("""COMPUTED_VALUE"""),1.0)</f>
        <v>1</v>
      </c>
    </row>
    <row r="9707">
      <c r="A9707" s="9" t="str">
        <f>IFERROR(__xludf.DUMMYFUNCTION("""COMPUTED_VALUE"""),"Batch 366")</f>
        <v>Batch 366</v>
      </c>
      <c r="B9707" s="9" t="str">
        <f>IFERROR(__xludf.DUMMYFUNCTION("""COMPUTED_VALUE"""),"TanayC366")</f>
        <v>TanayC366</v>
      </c>
      <c r="C9707" s="8">
        <f>IFERROR(__xludf.DUMMYFUNCTION("""COMPUTED_VALUE"""),0.0)</f>
        <v>0</v>
      </c>
      <c r="D9707" s="8"/>
    </row>
    <row r="9708">
      <c r="A9708" s="9" t="str">
        <f>IFERROR(__xludf.DUMMYFUNCTION("""COMPUTED_VALUE"""),"Batch 366")</f>
        <v>Batch 366</v>
      </c>
      <c r="B9708" s="9" t="str">
        <f>IFERROR(__xludf.DUMMYFUNCTION("""COMPUTED_VALUE"""),"SanthoshC366")</f>
        <v>SanthoshC366</v>
      </c>
      <c r="C9708" s="8">
        <f>IFERROR(__xludf.DUMMYFUNCTION("""COMPUTED_VALUE"""),0.0)</f>
        <v>0</v>
      </c>
      <c r="D9708" s="8"/>
    </row>
    <row r="9709">
      <c r="A9709" s="9" t="str">
        <f>IFERROR(__xludf.DUMMYFUNCTION("""COMPUTED_VALUE"""),"Batch 366")</f>
        <v>Batch 366</v>
      </c>
      <c r="B9709" s="9" t="str">
        <f>IFERROR(__xludf.DUMMYFUNCTION("""COMPUTED_VALUE"""),"MohdC366")</f>
        <v>MohdC366</v>
      </c>
      <c r="C9709" s="8">
        <f>IFERROR(__xludf.DUMMYFUNCTION("""COMPUTED_VALUE"""),0.0)</f>
        <v>0</v>
      </c>
      <c r="D9709" s="8"/>
    </row>
    <row r="9710">
      <c r="A9710" s="9" t="str">
        <f>IFERROR(__xludf.DUMMYFUNCTION("""COMPUTED_VALUE"""),"Batch 366")</f>
        <v>Batch 366</v>
      </c>
      <c r="B9710" s="9" t="str">
        <f>IFERROR(__xludf.DUMMYFUNCTION("""COMPUTED_VALUE"""),"BhaveshC366")</f>
        <v>BhaveshC366</v>
      </c>
      <c r="C9710" s="8">
        <f>IFERROR(__xludf.DUMMYFUNCTION("""COMPUTED_VALUE"""),0.0)</f>
        <v>0</v>
      </c>
      <c r="D9710" s="8"/>
    </row>
    <row r="9711">
      <c r="A9711" s="9" t="str">
        <f>IFERROR(__xludf.DUMMYFUNCTION("""COMPUTED_VALUE"""),"Batch 366")</f>
        <v>Batch 366</v>
      </c>
      <c r="B9711" s="9" t="str">
        <f>IFERROR(__xludf.DUMMYFUNCTION("""COMPUTED_VALUE"""),"AkankshaC366")</f>
        <v>AkankshaC366</v>
      </c>
      <c r="C9711" s="8">
        <f>IFERROR(__xludf.DUMMYFUNCTION("""COMPUTED_VALUE"""),0.0)</f>
        <v>0</v>
      </c>
      <c r="D9711" s="8"/>
    </row>
    <row r="9712">
      <c r="A9712" s="9" t="str">
        <f>IFERROR(__xludf.DUMMYFUNCTION("""COMPUTED_VALUE"""),"Batch 366")</f>
        <v>Batch 366</v>
      </c>
      <c r="B9712" s="9" t="str">
        <f>IFERROR(__xludf.DUMMYFUNCTION("""COMPUTED_VALUE"""),"ShivaneeC366")</f>
        <v>ShivaneeC366</v>
      </c>
      <c r="C9712" s="8">
        <f>IFERROR(__xludf.DUMMYFUNCTION("""COMPUTED_VALUE"""),0.0)</f>
        <v>0</v>
      </c>
      <c r="D9712" s="8"/>
    </row>
    <row r="9713">
      <c r="A9713" s="9" t="str">
        <f>IFERROR(__xludf.DUMMYFUNCTION("""COMPUTED_VALUE"""),"Batch 366")</f>
        <v>Batch 366</v>
      </c>
      <c r="B9713" s="9" t="str">
        <f>IFERROR(__xludf.DUMMYFUNCTION("""COMPUTED_VALUE"""),"PreetiC366")</f>
        <v>PreetiC366</v>
      </c>
      <c r="C9713" s="8">
        <f>IFERROR(__xludf.DUMMYFUNCTION("""COMPUTED_VALUE"""),0.0)</f>
        <v>0</v>
      </c>
      <c r="D9713" s="8"/>
    </row>
    <row r="9714">
      <c r="A9714" s="9" t="str">
        <f>IFERROR(__xludf.DUMMYFUNCTION("""COMPUTED_VALUE"""),"Batch 366")</f>
        <v>Batch 366</v>
      </c>
      <c r="B9714" s="9" t="str">
        <f>IFERROR(__xludf.DUMMYFUNCTION("""COMPUTED_VALUE"""),"AshutoshC366")</f>
        <v>AshutoshC366</v>
      </c>
      <c r="C9714" s="8">
        <f>IFERROR(__xludf.DUMMYFUNCTION("""COMPUTED_VALUE"""),0.0)</f>
        <v>0</v>
      </c>
      <c r="D9714" s="8"/>
    </row>
    <row r="9715">
      <c r="A9715" s="9" t="str">
        <f>IFERROR(__xludf.DUMMYFUNCTION("""COMPUTED_VALUE"""),"Batch 366")</f>
        <v>Batch 366</v>
      </c>
      <c r="B9715" s="9" t="str">
        <f>IFERROR(__xludf.DUMMYFUNCTION("""COMPUTED_VALUE"""),"SujanC366")</f>
        <v>SujanC366</v>
      </c>
      <c r="C9715" s="8">
        <f>IFERROR(__xludf.DUMMYFUNCTION("""COMPUTED_VALUE"""),0.0)</f>
        <v>0</v>
      </c>
      <c r="D9715" s="8"/>
    </row>
    <row r="9716">
      <c r="A9716" s="9" t="str">
        <f>IFERROR(__xludf.DUMMYFUNCTION("""COMPUTED_VALUE"""),"Batch 366")</f>
        <v>Batch 366</v>
      </c>
      <c r="B9716" s="9" t="str">
        <f>IFERROR(__xludf.DUMMYFUNCTION("""COMPUTED_VALUE"""),"BharadwajC366")</f>
        <v>BharadwajC366</v>
      </c>
      <c r="C9716" s="8">
        <f>IFERROR(__xludf.DUMMYFUNCTION("""COMPUTED_VALUE"""),8.0)</f>
        <v>8</v>
      </c>
      <c r="D9716" s="8">
        <f>IFERROR(__xludf.DUMMYFUNCTION("""COMPUTED_VALUE"""),8.0)</f>
        <v>8</v>
      </c>
    </row>
    <row r="9717">
      <c r="A9717" s="9" t="str">
        <f>IFERROR(__xludf.DUMMYFUNCTION("""COMPUTED_VALUE"""),"Batch 366")</f>
        <v>Batch 366</v>
      </c>
      <c r="B9717" s="9" t="str">
        <f>IFERROR(__xludf.DUMMYFUNCTION("""COMPUTED_VALUE"""),"CHETANC366")</f>
        <v>CHETANC366</v>
      </c>
      <c r="C9717" s="8">
        <f>IFERROR(__xludf.DUMMYFUNCTION("""COMPUTED_VALUE"""),0.0)</f>
        <v>0</v>
      </c>
      <c r="D9717" s="8"/>
    </row>
    <row r="9718">
      <c r="A9718" s="9" t="str">
        <f>IFERROR(__xludf.DUMMYFUNCTION("""COMPUTED_VALUE"""),"Batch 366")</f>
        <v>Batch 366</v>
      </c>
      <c r="B9718" s="9" t="str">
        <f>IFERROR(__xludf.DUMMYFUNCTION("""COMPUTED_VALUE"""),"PradeepC366")</f>
        <v>PradeepC366</v>
      </c>
      <c r="C9718" s="8">
        <f>IFERROR(__xludf.DUMMYFUNCTION("""COMPUTED_VALUE"""),0.0)</f>
        <v>0</v>
      </c>
      <c r="D9718" s="8"/>
    </row>
    <row r="9719">
      <c r="A9719" s="9" t="str">
        <f>IFERROR(__xludf.DUMMYFUNCTION("""COMPUTED_VALUE"""),"Batch 366")</f>
        <v>Batch 366</v>
      </c>
      <c r="B9719" s="9" t="str">
        <f>IFERROR(__xludf.DUMMYFUNCTION("""COMPUTED_VALUE"""),"ShrutiC366")</f>
        <v>ShrutiC366</v>
      </c>
      <c r="C9719" s="8">
        <f>IFERROR(__xludf.DUMMYFUNCTION("""COMPUTED_VALUE"""),0.0)</f>
        <v>0</v>
      </c>
      <c r="D9719" s="8"/>
    </row>
    <row r="9720">
      <c r="A9720" s="9" t="str">
        <f>IFERROR(__xludf.DUMMYFUNCTION("""COMPUTED_VALUE"""),"Batch 366")</f>
        <v>Batch 366</v>
      </c>
      <c r="B9720" s="9" t="str">
        <f>IFERROR(__xludf.DUMMYFUNCTION("""COMPUTED_VALUE"""),"TanviC366")</f>
        <v>TanviC366</v>
      </c>
      <c r="C9720" s="8">
        <f>IFERROR(__xludf.DUMMYFUNCTION("""COMPUTED_VALUE"""),0.0)</f>
        <v>0</v>
      </c>
      <c r="D9720" s="8"/>
    </row>
    <row r="9721">
      <c r="A9721" s="9" t="str">
        <f>IFERROR(__xludf.DUMMYFUNCTION("""COMPUTED_VALUE"""),"Batch 366")</f>
        <v>Batch 366</v>
      </c>
      <c r="B9721" s="9" t="str">
        <f>IFERROR(__xludf.DUMMYFUNCTION("""COMPUTED_VALUE"""),"ArshpreetC366")</f>
        <v>ArshpreetC366</v>
      </c>
      <c r="C9721" s="8">
        <f>IFERROR(__xludf.DUMMYFUNCTION("""COMPUTED_VALUE"""),0.0)</f>
        <v>0</v>
      </c>
      <c r="D9721" s="8"/>
    </row>
    <row r="9722">
      <c r="A9722" s="9" t="str">
        <f>IFERROR(__xludf.DUMMYFUNCTION("""COMPUTED_VALUE"""),"Batch 366")</f>
        <v>Batch 366</v>
      </c>
      <c r="B9722" s="9" t="str">
        <f>IFERROR(__xludf.DUMMYFUNCTION("""COMPUTED_VALUE"""),"VivekC366")</f>
        <v>VivekC366</v>
      </c>
      <c r="C9722" s="8">
        <f>IFERROR(__xludf.DUMMYFUNCTION("""COMPUTED_VALUE"""),0.0)</f>
        <v>0</v>
      </c>
      <c r="D9722" s="8"/>
    </row>
    <row r="9723">
      <c r="A9723" s="9" t="str">
        <f>IFERROR(__xludf.DUMMYFUNCTION("""COMPUTED_VALUE"""),"Batch 366")</f>
        <v>Batch 366</v>
      </c>
      <c r="B9723" s="9" t="str">
        <f>IFERROR(__xludf.DUMMYFUNCTION("""COMPUTED_VALUE"""),"PodilaC366")</f>
        <v>PodilaC366</v>
      </c>
      <c r="C9723" s="8">
        <f>IFERROR(__xludf.DUMMYFUNCTION("""COMPUTED_VALUE"""),0.0)</f>
        <v>0</v>
      </c>
      <c r="D9723" s="8"/>
    </row>
    <row r="9724">
      <c r="A9724" s="9" t="str">
        <f>IFERROR(__xludf.DUMMYFUNCTION("""COMPUTED_VALUE"""),"Batch 366")</f>
        <v>Batch 366</v>
      </c>
      <c r="B9724" s="9" t="str">
        <f>IFERROR(__xludf.DUMMYFUNCTION("""COMPUTED_VALUE"""),"KanikaC366")</f>
        <v>KanikaC366</v>
      </c>
      <c r="C9724" s="8">
        <f>IFERROR(__xludf.DUMMYFUNCTION("""COMPUTED_VALUE"""),0.0)</f>
        <v>0</v>
      </c>
      <c r="D9724" s="8"/>
    </row>
    <row r="9725">
      <c r="A9725" s="9"/>
      <c r="B9725" s="9"/>
      <c r="C9725" s="8">
        <f>IFERROR(__xludf.DUMMYFUNCTION("""COMPUTED_VALUE"""),0.0)</f>
        <v>0</v>
      </c>
      <c r="D9725" s="8"/>
    </row>
    <row r="9726">
      <c r="A9726" s="9" t="str">
        <f>IFERROR(__xludf.DUMMYFUNCTION("""COMPUTED_VALUE"""),"Batch 367")</f>
        <v>Batch 367</v>
      </c>
      <c r="B9726" s="9" t="str">
        <f>IFERROR(__xludf.DUMMYFUNCTION("""COMPUTED_VALUE"""),"MdC367")</f>
        <v>MdC367</v>
      </c>
      <c r="C9726" s="8">
        <f>IFERROR(__xludf.DUMMYFUNCTION("""COMPUTED_VALUE"""),0.0)</f>
        <v>0</v>
      </c>
      <c r="D9726" s="8"/>
    </row>
    <row r="9727">
      <c r="A9727" s="9" t="str">
        <f>IFERROR(__xludf.DUMMYFUNCTION("""COMPUTED_VALUE"""),"Batch 367")</f>
        <v>Batch 367</v>
      </c>
      <c r="B9727" s="9" t="str">
        <f>IFERROR(__xludf.DUMMYFUNCTION("""COMPUTED_VALUE"""),"PoonamC367")</f>
        <v>PoonamC367</v>
      </c>
      <c r="C9727" s="8">
        <f>IFERROR(__xludf.DUMMYFUNCTION("""COMPUTED_VALUE"""),0.0)</f>
        <v>0</v>
      </c>
      <c r="D9727" s="8"/>
    </row>
    <row r="9728">
      <c r="A9728" s="9" t="str">
        <f>IFERROR(__xludf.DUMMYFUNCTION("""COMPUTED_VALUE"""),"Batch 367")</f>
        <v>Batch 367</v>
      </c>
      <c r="B9728" s="9" t="str">
        <f>IFERROR(__xludf.DUMMYFUNCTION("""COMPUTED_VALUE"""),"VanshikaC367")</f>
        <v>VanshikaC367</v>
      </c>
      <c r="C9728" s="8">
        <f>IFERROR(__xludf.DUMMYFUNCTION("""COMPUTED_VALUE"""),0.0)</f>
        <v>0</v>
      </c>
      <c r="D9728" s="8"/>
    </row>
    <row r="9729">
      <c r="A9729" s="9" t="str">
        <f>IFERROR(__xludf.DUMMYFUNCTION("""COMPUTED_VALUE"""),"Batch 367")</f>
        <v>Batch 367</v>
      </c>
      <c r="B9729" s="9" t="str">
        <f>IFERROR(__xludf.DUMMYFUNCTION("""COMPUTED_VALUE"""),"N.VikasC367")</f>
        <v>N.VikasC367</v>
      </c>
      <c r="C9729" s="8">
        <f>IFERROR(__xludf.DUMMYFUNCTION("""COMPUTED_VALUE"""),30.0)</f>
        <v>30</v>
      </c>
      <c r="D9729" s="8">
        <f>IFERROR(__xludf.DUMMYFUNCTION("""COMPUTED_VALUE"""),9.0)</f>
        <v>9</v>
      </c>
    </row>
    <row r="9730">
      <c r="A9730" s="9" t="str">
        <f>IFERROR(__xludf.DUMMYFUNCTION("""COMPUTED_VALUE"""),"Batch 367")</f>
        <v>Batch 367</v>
      </c>
      <c r="B9730" s="9" t="str">
        <f>IFERROR(__xludf.DUMMYFUNCTION("""COMPUTED_VALUE"""),"NavyaC367")</f>
        <v>NavyaC367</v>
      </c>
      <c r="C9730" s="8">
        <f>IFERROR(__xludf.DUMMYFUNCTION("""COMPUTED_VALUE"""),0.0)</f>
        <v>0</v>
      </c>
      <c r="D9730" s="8"/>
    </row>
    <row r="9731">
      <c r="A9731" s="9" t="str">
        <f>IFERROR(__xludf.DUMMYFUNCTION("""COMPUTED_VALUE"""),"Batch 367")</f>
        <v>Batch 367</v>
      </c>
      <c r="B9731" s="9" t="str">
        <f>IFERROR(__xludf.DUMMYFUNCTION("""COMPUTED_VALUE"""),"PannalaC367")</f>
        <v>PannalaC367</v>
      </c>
      <c r="C9731" s="8">
        <f>IFERROR(__xludf.DUMMYFUNCTION("""COMPUTED_VALUE"""),0.0)</f>
        <v>0</v>
      </c>
      <c r="D9731" s="8"/>
    </row>
    <row r="9732">
      <c r="A9732" s="9" t="str">
        <f>IFERROR(__xludf.DUMMYFUNCTION("""COMPUTED_VALUE"""),"Batch 367")</f>
        <v>Batch 367</v>
      </c>
      <c r="B9732" s="9" t="str">
        <f>IFERROR(__xludf.DUMMYFUNCTION("""COMPUTED_VALUE"""),"PrashantC367")</f>
        <v>PrashantC367</v>
      </c>
      <c r="C9732" s="8">
        <f>IFERROR(__xludf.DUMMYFUNCTION("""COMPUTED_VALUE"""),0.0)</f>
        <v>0</v>
      </c>
      <c r="D9732" s="8"/>
    </row>
    <row r="9733">
      <c r="A9733" s="9" t="str">
        <f>IFERROR(__xludf.DUMMYFUNCTION("""COMPUTED_VALUE"""),"Batch 367")</f>
        <v>Batch 367</v>
      </c>
      <c r="B9733" s="9" t="str">
        <f>IFERROR(__xludf.DUMMYFUNCTION("""COMPUTED_VALUE"""),"SIRATC367")</f>
        <v>SIRATC367</v>
      </c>
      <c r="C9733" s="8">
        <f>IFERROR(__xludf.DUMMYFUNCTION("""COMPUTED_VALUE"""),0.0)</f>
        <v>0</v>
      </c>
      <c r="D9733" s="8"/>
    </row>
    <row r="9734">
      <c r="A9734" s="9" t="str">
        <f>IFERROR(__xludf.DUMMYFUNCTION("""COMPUTED_VALUE"""),"Batch 367")</f>
        <v>Batch 367</v>
      </c>
      <c r="B9734" s="9" t="str">
        <f>IFERROR(__xludf.DUMMYFUNCTION("""COMPUTED_VALUE"""),"SrijaC367")</f>
        <v>SrijaC367</v>
      </c>
      <c r="C9734" s="8">
        <f>IFERROR(__xludf.DUMMYFUNCTION("""COMPUTED_VALUE"""),0.0)</f>
        <v>0</v>
      </c>
      <c r="D9734" s="8"/>
    </row>
    <row r="9735">
      <c r="A9735" s="9" t="str">
        <f>IFERROR(__xludf.DUMMYFUNCTION("""COMPUTED_VALUE"""),"Batch 367")</f>
        <v>Batch 367</v>
      </c>
      <c r="B9735" s="9" t="str">
        <f>IFERROR(__xludf.DUMMYFUNCTION("""COMPUTED_VALUE"""),"VishalC367")</f>
        <v>VishalC367</v>
      </c>
      <c r="C9735" s="8">
        <f>IFERROR(__xludf.DUMMYFUNCTION("""COMPUTED_VALUE"""),0.0)</f>
        <v>0</v>
      </c>
      <c r="D9735" s="8"/>
    </row>
    <row r="9736">
      <c r="A9736" s="9" t="str">
        <f>IFERROR(__xludf.DUMMYFUNCTION("""COMPUTED_VALUE"""),"Batch 367")</f>
        <v>Batch 367</v>
      </c>
      <c r="B9736" s="9" t="str">
        <f>IFERROR(__xludf.DUMMYFUNCTION("""COMPUTED_VALUE"""),"KomalC367")</f>
        <v>KomalC367</v>
      </c>
      <c r="C9736" s="8">
        <f>IFERROR(__xludf.DUMMYFUNCTION("""COMPUTED_VALUE"""),0.0)</f>
        <v>0</v>
      </c>
      <c r="D9736" s="8"/>
    </row>
    <row r="9737">
      <c r="A9737" s="9" t="str">
        <f>IFERROR(__xludf.DUMMYFUNCTION("""COMPUTED_VALUE"""),"Batch 367")</f>
        <v>Batch 367</v>
      </c>
      <c r="B9737" s="9" t="str">
        <f>IFERROR(__xludf.DUMMYFUNCTION("""COMPUTED_VALUE"""),"ShashankC367")</f>
        <v>ShashankC367</v>
      </c>
      <c r="C9737" s="8">
        <f>IFERROR(__xludf.DUMMYFUNCTION("""COMPUTED_VALUE"""),0.0)</f>
        <v>0</v>
      </c>
      <c r="D9737" s="8"/>
    </row>
    <row r="9738">
      <c r="A9738" s="9" t="str">
        <f>IFERROR(__xludf.DUMMYFUNCTION("""COMPUTED_VALUE"""),"Batch 367")</f>
        <v>Batch 367</v>
      </c>
      <c r="B9738" s="9" t="str">
        <f>IFERROR(__xludf.DUMMYFUNCTION("""COMPUTED_VALUE"""),"SpandanC367")</f>
        <v>SpandanC367</v>
      </c>
      <c r="C9738" s="8">
        <f>IFERROR(__xludf.DUMMYFUNCTION("""COMPUTED_VALUE"""),0.0)</f>
        <v>0</v>
      </c>
      <c r="D9738" s="8"/>
    </row>
    <row r="9739">
      <c r="A9739" s="9" t="str">
        <f>IFERROR(__xludf.DUMMYFUNCTION("""COMPUTED_VALUE"""),"Batch 367")</f>
        <v>Batch 367</v>
      </c>
      <c r="B9739" s="9" t="str">
        <f>IFERROR(__xludf.DUMMYFUNCTION("""COMPUTED_VALUE"""),"RohanC367")</f>
        <v>RohanC367</v>
      </c>
      <c r="C9739" s="8">
        <f>IFERROR(__xludf.DUMMYFUNCTION("""COMPUTED_VALUE"""),0.0)</f>
        <v>0</v>
      </c>
      <c r="D9739" s="8"/>
    </row>
    <row r="9740">
      <c r="A9740" s="9" t="str">
        <f>IFERROR(__xludf.DUMMYFUNCTION("""COMPUTED_VALUE"""),"Batch 367")</f>
        <v>Batch 367</v>
      </c>
      <c r="B9740" s="9" t="str">
        <f>IFERROR(__xludf.DUMMYFUNCTION("""COMPUTED_VALUE"""),"AlishaC367")</f>
        <v>AlishaC367</v>
      </c>
      <c r="C9740" s="8">
        <f>IFERROR(__xludf.DUMMYFUNCTION("""COMPUTED_VALUE"""),0.0)</f>
        <v>0</v>
      </c>
      <c r="D9740" s="8"/>
    </row>
    <row r="9741">
      <c r="A9741" s="9" t="str">
        <f>IFERROR(__xludf.DUMMYFUNCTION("""COMPUTED_VALUE"""),"Batch 367")</f>
        <v>Batch 367</v>
      </c>
      <c r="B9741" s="9" t="str">
        <f>IFERROR(__xludf.DUMMYFUNCTION("""COMPUTED_VALUE"""),"LohithC367")</f>
        <v>LohithC367</v>
      </c>
      <c r="C9741" s="8">
        <f>IFERROR(__xludf.DUMMYFUNCTION("""COMPUTED_VALUE"""),0.0)</f>
        <v>0</v>
      </c>
      <c r="D9741" s="8"/>
    </row>
    <row r="9742">
      <c r="A9742" s="9" t="str">
        <f>IFERROR(__xludf.DUMMYFUNCTION("""COMPUTED_VALUE"""),"Batch 367")</f>
        <v>Batch 367</v>
      </c>
      <c r="B9742" s="9" t="str">
        <f>IFERROR(__xludf.DUMMYFUNCTION("""COMPUTED_VALUE"""),"BhagyashreeC367")</f>
        <v>BhagyashreeC367</v>
      </c>
      <c r="C9742" s="8">
        <f>IFERROR(__xludf.DUMMYFUNCTION("""COMPUTED_VALUE"""),1.0)</f>
        <v>1</v>
      </c>
      <c r="D9742" s="8"/>
    </row>
    <row r="9743">
      <c r="A9743" s="9" t="str">
        <f>IFERROR(__xludf.DUMMYFUNCTION("""COMPUTED_VALUE"""),"Batch 367")</f>
        <v>Batch 367</v>
      </c>
      <c r="B9743" s="9" t="str">
        <f>IFERROR(__xludf.DUMMYFUNCTION("""COMPUTED_VALUE"""),"DeekshithaC367")</f>
        <v>DeekshithaC367</v>
      </c>
      <c r="C9743" s="8">
        <f>IFERROR(__xludf.DUMMYFUNCTION("""COMPUTED_VALUE"""),0.0)</f>
        <v>0</v>
      </c>
      <c r="D9743" s="8"/>
    </row>
    <row r="9744">
      <c r="A9744" s="9" t="str">
        <f>IFERROR(__xludf.DUMMYFUNCTION("""COMPUTED_VALUE"""),"Batch 367")</f>
        <v>Batch 367</v>
      </c>
      <c r="B9744" s="9" t="str">
        <f>IFERROR(__xludf.DUMMYFUNCTION("""COMPUTED_VALUE"""),"AashiyanaC367")</f>
        <v>AashiyanaC367</v>
      </c>
      <c r="C9744" s="8">
        <f>IFERROR(__xludf.DUMMYFUNCTION("""COMPUTED_VALUE"""),9.0)</f>
        <v>9</v>
      </c>
      <c r="D9744" s="8">
        <f>IFERROR(__xludf.DUMMYFUNCTION("""COMPUTED_VALUE"""),4.0)</f>
        <v>4</v>
      </c>
    </row>
    <row r="9745">
      <c r="A9745" s="9" t="str">
        <f>IFERROR(__xludf.DUMMYFUNCTION("""COMPUTED_VALUE"""),"Batch 367")</f>
        <v>Batch 367</v>
      </c>
      <c r="B9745" s="9" t="str">
        <f>IFERROR(__xludf.DUMMYFUNCTION("""COMPUTED_VALUE"""),"AasthaC367")</f>
        <v>AasthaC367</v>
      </c>
      <c r="C9745" s="8">
        <f>IFERROR(__xludf.DUMMYFUNCTION("""COMPUTED_VALUE"""),1.0)</f>
        <v>1</v>
      </c>
      <c r="D9745" s="8"/>
    </row>
    <row r="9746">
      <c r="A9746" s="9" t="str">
        <f>IFERROR(__xludf.DUMMYFUNCTION("""COMPUTED_VALUE"""),"Batch 367")</f>
        <v>Batch 367</v>
      </c>
      <c r="B9746" s="9" t="str">
        <f>IFERROR(__xludf.DUMMYFUNCTION("""COMPUTED_VALUE"""),"ShatakshiC367")</f>
        <v>ShatakshiC367</v>
      </c>
      <c r="C9746" s="8">
        <f>IFERROR(__xludf.DUMMYFUNCTION("""COMPUTED_VALUE"""),0.0)</f>
        <v>0</v>
      </c>
      <c r="D9746" s="8"/>
    </row>
    <row r="9747">
      <c r="A9747" s="9" t="str">
        <f>IFERROR(__xludf.DUMMYFUNCTION("""COMPUTED_VALUE"""),"Batch 367")</f>
        <v>Batch 367</v>
      </c>
      <c r="B9747" s="9" t="str">
        <f>IFERROR(__xludf.DUMMYFUNCTION("""COMPUTED_VALUE"""),"MuskanC367")</f>
        <v>MuskanC367</v>
      </c>
      <c r="C9747" s="8">
        <f>IFERROR(__xludf.DUMMYFUNCTION("""COMPUTED_VALUE"""),0.0)</f>
        <v>0</v>
      </c>
      <c r="D9747" s="8"/>
    </row>
    <row r="9748">
      <c r="A9748" s="9" t="str">
        <f>IFERROR(__xludf.DUMMYFUNCTION("""COMPUTED_VALUE"""),"Batch 367")</f>
        <v>Batch 367</v>
      </c>
      <c r="B9748" s="9" t="str">
        <f>IFERROR(__xludf.DUMMYFUNCTION("""COMPUTED_VALUE"""),"BalaramC367")</f>
        <v>BalaramC367</v>
      </c>
      <c r="C9748" s="8">
        <f>IFERROR(__xludf.DUMMYFUNCTION("""COMPUTED_VALUE"""),0.0)</f>
        <v>0</v>
      </c>
      <c r="D9748" s="8"/>
    </row>
    <row r="9749">
      <c r="A9749" s="9" t="str">
        <f>IFERROR(__xludf.DUMMYFUNCTION("""COMPUTED_VALUE"""),"Batch 367")</f>
        <v>Batch 367</v>
      </c>
      <c r="B9749" s="9" t="str">
        <f>IFERROR(__xludf.DUMMYFUNCTION("""COMPUTED_VALUE"""),"RohitC367")</f>
        <v>RohitC367</v>
      </c>
      <c r="C9749" s="8">
        <f>IFERROR(__xludf.DUMMYFUNCTION("""COMPUTED_VALUE"""),0.0)</f>
        <v>0</v>
      </c>
      <c r="D9749" s="8"/>
    </row>
    <row r="9750">
      <c r="A9750" s="9" t="str">
        <f>IFERROR(__xludf.DUMMYFUNCTION("""COMPUTED_VALUE"""),"Batch 367")</f>
        <v>Batch 367</v>
      </c>
      <c r="B9750" s="9" t="str">
        <f>IFERROR(__xludf.DUMMYFUNCTION("""COMPUTED_VALUE"""),"NoorC367")</f>
        <v>NoorC367</v>
      </c>
      <c r="C9750" s="8">
        <f>IFERROR(__xludf.DUMMYFUNCTION("""COMPUTED_VALUE"""),0.0)</f>
        <v>0</v>
      </c>
      <c r="D9750" s="8"/>
    </row>
    <row r="9751">
      <c r="A9751" s="9" t="str">
        <f>IFERROR(__xludf.DUMMYFUNCTION("""COMPUTED_VALUE"""),"Batch 367")</f>
        <v>Batch 367</v>
      </c>
      <c r="B9751" s="9" t="str">
        <f>IFERROR(__xludf.DUMMYFUNCTION("""COMPUTED_VALUE"""),"AnkushC367")</f>
        <v>AnkushC367</v>
      </c>
      <c r="C9751" s="8">
        <f>IFERROR(__xludf.DUMMYFUNCTION("""COMPUTED_VALUE"""),0.0)</f>
        <v>0</v>
      </c>
      <c r="D9751" s="8"/>
    </row>
    <row r="9752">
      <c r="A9752" s="9" t="str">
        <f>IFERROR(__xludf.DUMMYFUNCTION("""COMPUTED_VALUE"""),"Batch 367")</f>
        <v>Batch 367</v>
      </c>
      <c r="B9752" s="9" t="str">
        <f>IFERROR(__xludf.DUMMYFUNCTION("""COMPUTED_VALUE"""),"RachitC367")</f>
        <v>RachitC367</v>
      </c>
      <c r="C9752" s="8">
        <f>IFERROR(__xludf.DUMMYFUNCTION("""COMPUTED_VALUE"""),0.0)</f>
        <v>0</v>
      </c>
      <c r="D9752" s="8"/>
    </row>
    <row r="9753">
      <c r="A9753" s="9" t="str">
        <f>IFERROR(__xludf.DUMMYFUNCTION("""COMPUTED_VALUE"""),"Batch 367")</f>
        <v>Batch 367</v>
      </c>
      <c r="B9753" s="9" t="str">
        <f>IFERROR(__xludf.DUMMYFUNCTION("""COMPUTED_VALUE"""),"MosinC367")</f>
        <v>MosinC367</v>
      </c>
      <c r="C9753" s="8">
        <f>IFERROR(__xludf.DUMMYFUNCTION("""COMPUTED_VALUE"""),0.0)</f>
        <v>0</v>
      </c>
      <c r="D9753" s="8"/>
    </row>
    <row r="9754">
      <c r="A9754" s="9" t="str">
        <f>IFERROR(__xludf.DUMMYFUNCTION("""COMPUTED_VALUE"""),"Batch 367")</f>
        <v>Batch 367</v>
      </c>
      <c r="B9754" s="9" t="str">
        <f>IFERROR(__xludf.DUMMYFUNCTION("""COMPUTED_VALUE"""),"PrashantC367")</f>
        <v>PrashantC367</v>
      </c>
      <c r="C9754" s="8">
        <f>IFERROR(__xludf.DUMMYFUNCTION("""COMPUTED_VALUE"""),0.0)</f>
        <v>0</v>
      </c>
      <c r="D9754" s="8"/>
    </row>
    <row r="9755">
      <c r="A9755" s="9" t="str">
        <f>IFERROR(__xludf.DUMMYFUNCTION("""COMPUTED_VALUE"""),"Batch 367")</f>
        <v>Batch 367</v>
      </c>
      <c r="B9755" s="9" t="str">
        <f>IFERROR(__xludf.DUMMYFUNCTION("""COMPUTED_VALUE"""),"SimmiC367")</f>
        <v>SimmiC367</v>
      </c>
      <c r="C9755" s="8">
        <f>IFERROR(__xludf.DUMMYFUNCTION("""COMPUTED_VALUE"""),0.0)</f>
        <v>0</v>
      </c>
      <c r="D9755" s="8"/>
    </row>
    <row r="9756">
      <c r="A9756" s="9" t="str">
        <f>IFERROR(__xludf.DUMMYFUNCTION("""COMPUTED_VALUE"""),"Batch 367")</f>
        <v>Batch 367</v>
      </c>
      <c r="B9756" s="9" t="str">
        <f>IFERROR(__xludf.DUMMYFUNCTION("""COMPUTED_VALUE"""),"MahekC367")</f>
        <v>MahekC367</v>
      </c>
      <c r="C9756" s="8">
        <f>IFERROR(__xludf.DUMMYFUNCTION("""COMPUTED_VALUE"""),0.0)</f>
        <v>0</v>
      </c>
      <c r="D9756" s="8"/>
    </row>
    <row r="9757">
      <c r="A9757" s="9" t="str">
        <f>IFERROR(__xludf.DUMMYFUNCTION("""COMPUTED_VALUE"""),"Batch 367")</f>
        <v>Batch 367</v>
      </c>
      <c r="B9757" s="9" t="str">
        <f>IFERROR(__xludf.DUMMYFUNCTION("""COMPUTED_VALUE"""),"kashishC367")</f>
        <v>kashishC367</v>
      </c>
      <c r="C9757" s="8">
        <f>IFERROR(__xludf.DUMMYFUNCTION("""COMPUTED_VALUE"""),0.0)</f>
        <v>0</v>
      </c>
      <c r="D9757" s="8"/>
    </row>
    <row r="9758">
      <c r="A9758" s="9" t="str">
        <f>IFERROR(__xludf.DUMMYFUNCTION("""COMPUTED_VALUE"""),"Batch 367")</f>
        <v>Batch 367</v>
      </c>
      <c r="B9758" s="9" t="str">
        <f>IFERROR(__xludf.DUMMYFUNCTION("""COMPUTED_VALUE"""),"RashikaC367")</f>
        <v>RashikaC367</v>
      </c>
      <c r="C9758" s="8">
        <f>IFERROR(__xludf.DUMMYFUNCTION("""COMPUTED_VALUE"""),0.0)</f>
        <v>0</v>
      </c>
      <c r="D9758" s="8"/>
    </row>
    <row r="9759">
      <c r="A9759" s="9" t="str">
        <f>IFERROR(__xludf.DUMMYFUNCTION("""COMPUTED_VALUE"""),"Batch 367")</f>
        <v>Batch 367</v>
      </c>
      <c r="B9759" s="9" t="str">
        <f>IFERROR(__xludf.DUMMYFUNCTION("""COMPUTED_VALUE"""),"DeekshithaC367")</f>
        <v>DeekshithaC367</v>
      </c>
      <c r="C9759" s="8">
        <f>IFERROR(__xludf.DUMMYFUNCTION("""COMPUTED_VALUE"""),0.0)</f>
        <v>0</v>
      </c>
      <c r="D9759" s="8"/>
    </row>
    <row r="9760">
      <c r="A9760" s="9" t="str">
        <f>IFERROR(__xludf.DUMMYFUNCTION("""COMPUTED_VALUE"""),"Batch 367")</f>
        <v>Batch 367</v>
      </c>
      <c r="B9760" s="9" t="str">
        <f>IFERROR(__xludf.DUMMYFUNCTION("""COMPUTED_VALUE"""),"ManvithC367")</f>
        <v>ManvithC367</v>
      </c>
      <c r="C9760" s="8">
        <f>IFERROR(__xludf.DUMMYFUNCTION("""COMPUTED_VALUE"""),0.0)</f>
        <v>0</v>
      </c>
      <c r="D9760" s="8"/>
    </row>
    <row r="9761">
      <c r="A9761" s="9" t="str">
        <f>IFERROR(__xludf.DUMMYFUNCTION("""COMPUTED_VALUE"""),"Batch 367")</f>
        <v>Batch 367</v>
      </c>
      <c r="B9761" s="9" t="str">
        <f>IFERROR(__xludf.DUMMYFUNCTION("""COMPUTED_VALUE"""),"PallaviC367")</f>
        <v>PallaviC367</v>
      </c>
      <c r="C9761" s="8">
        <f>IFERROR(__xludf.DUMMYFUNCTION("""COMPUTED_VALUE"""),0.0)</f>
        <v>0</v>
      </c>
      <c r="D9761" s="8"/>
    </row>
    <row r="9762">
      <c r="A9762" s="9" t="str">
        <f>IFERROR(__xludf.DUMMYFUNCTION("""COMPUTED_VALUE"""),"Batch 367")</f>
        <v>Batch 367</v>
      </c>
      <c r="B9762" s="9" t="str">
        <f>IFERROR(__xludf.DUMMYFUNCTION("""COMPUTED_VALUE"""),"NethraC367")</f>
        <v>NethraC367</v>
      </c>
      <c r="C9762" s="8">
        <f>IFERROR(__xludf.DUMMYFUNCTION("""COMPUTED_VALUE"""),0.0)</f>
        <v>0</v>
      </c>
      <c r="D9762" s="8"/>
    </row>
    <row r="9763">
      <c r="A9763" s="9" t="str">
        <f>IFERROR(__xludf.DUMMYFUNCTION("""COMPUTED_VALUE"""),"Batch 367")</f>
        <v>Batch 367</v>
      </c>
      <c r="B9763" s="9" t="str">
        <f>IFERROR(__xludf.DUMMYFUNCTION("""COMPUTED_VALUE"""),"HardhikC367")</f>
        <v>HardhikC367</v>
      </c>
      <c r="C9763" s="8">
        <f>IFERROR(__xludf.DUMMYFUNCTION("""COMPUTED_VALUE"""),0.0)</f>
        <v>0</v>
      </c>
      <c r="D9763" s="8"/>
    </row>
    <row r="9764">
      <c r="A9764" s="9" t="str">
        <f>IFERROR(__xludf.DUMMYFUNCTION("""COMPUTED_VALUE"""),"Batch 367")</f>
        <v>Batch 367</v>
      </c>
      <c r="B9764" s="9" t="str">
        <f>IFERROR(__xludf.DUMMYFUNCTION("""COMPUTED_VALUE"""),"PriyanshuKC367")</f>
        <v>PriyanshuKC367</v>
      </c>
      <c r="C9764" s="8">
        <f>IFERROR(__xludf.DUMMYFUNCTION("""COMPUTED_VALUE"""),0.0)</f>
        <v>0</v>
      </c>
      <c r="D9764" s="8"/>
    </row>
    <row r="9765">
      <c r="A9765" s="9" t="str">
        <f>IFERROR(__xludf.DUMMYFUNCTION("""COMPUTED_VALUE"""),"Batch 367")</f>
        <v>Batch 367</v>
      </c>
      <c r="B9765" s="9" t="str">
        <f>IFERROR(__xludf.DUMMYFUNCTION("""COMPUTED_VALUE"""),"AlokC367")</f>
        <v>AlokC367</v>
      </c>
      <c r="C9765" s="8">
        <f>IFERROR(__xludf.DUMMYFUNCTION("""COMPUTED_VALUE"""),1.0)</f>
        <v>1</v>
      </c>
      <c r="D9765" s="8">
        <f>IFERROR(__xludf.DUMMYFUNCTION("""COMPUTED_VALUE"""),4.0)</f>
        <v>4</v>
      </c>
    </row>
    <row r="9766">
      <c r="A9766" s="9" t="str">
        <f>IFERROR(__xludf.DUMMYFUNCTION("""COMPUTED_VALUE"""),"Batch 367")</f>
        <v>Batch 367</v>
      </c>
      <c r="B9766" s="9" t="str">
        <f>IFERROR(__xludf.DUMMYFUNCTION("""COMPUTED_VALUE"""),"NehaC367")</f>
        <v>NehaC367</v>
      </c>
      <c r="C9766" s="8">
        <f>IFERROR(__xludf.DUMMYFUNCTION("""COMPUTED_VALUE"""),0.0)</f>
        <v>0</v>
      </c>
      <c r="D9766" s="8"/>
    </row>
    <row r="9767">
      <c r="A9767" s="9" t="str">
        <f>IFERROR(__xludf.DUMMYFUNCTION("""COMPUTED_VALUE"""),"Batch 367")</f>
        <v>Batch 367</v>
      </c>
      <c r="B9767" s="9" t="str">
        <f>IFERROR(__xludf.DUMMYFUNCTION("""COMPUTED_VALUE"""),"PriyanshuC367")</f>
        <v>PriyanshuC367</v>
      </c>
      <c r="C9767" s="8">
        <f>IFERROR(__xludf.DUMMYFUNCTION("""COMPUTED_VALUE"""),0.0)</f>
        <v>0</v>
      </c>
      <c r="D9767" s="8"/>
    </row>
    <row r="9768">
      <c r="A9768" s="9" t="str">
        <f>IFERROR(__xludf.DUMMYFUNCTION("""COMPUTED_VALUE"""),"Batch 367")</f>
        <v>Batch 367</v>
      </c>
      <c r="B9768" s="9" t="str">
        <f>IFERROR(__xludf.DUMMYFUNCTION("""COMPUTED_VALUE"""),"SohitC367")</f>
        <v>SohitC367</v>
      </c>
      <c r="C9768" s="8">
        <f>IFERROR(__xludf.DUMMYFUNCTION("""COMPUTED_VALUE"""),5.0)</f>
        <v>5</v>
      </c>
      <c r="D9768" s="8">
        <f>IFERROR(__xludf.DUMMYFUNCTION("""COMPUTED_VALUE"""),2.0)</f>
        <v>2</v>
      </c>
    </row>
    <row r="9769">
      <c r="A9769" s="9" t="str">
        <f>IFERROR(__xludf.DUMMYFUNCTION("""COMPUTED_VALUE"""),"Batch 367")</f>
        <v>Batch 367</v>
      </c>
      <c r="B9769" s="9" t="str">
        <f>IFERROR(__xludf.DUMMYFUNCTION("""COMPUTED_VALUE"""),"AyushC367")</f>
        <v>AyushC367</v>
      </c>
      <c r="C9769" s="8">
        <f>IFERROR(__xludf.DUMMYFUNCTION("""COMPUTED_VALUE"""),9.0)</f>
        <v>9</v>
      </c>
      <c r="D9769" s="8"/>
    </row>
    <row r="9770">
      <c r="A9770" s="9" t="str">
        <f>IFERROR(__xludf.DUMMYFUNCTION("""COMPUTED_VALUE"""),"Batch 367")</f>
        <v>Batch 367</v>
      </c>
      <c r="B9770" s="9" t="str">
        <f>IFERROR(__xludf.DUMMYFUNCTION("""COMPUTED_VALUE"""),"SaliniC367")</f>
        <v>SaliniC367</v>
      </c>
      <c r="C9770" s="8">
        <f>IFERROR(__xludf.DUMMYFUNCTION("""COMPUTED_VALUE"""),0.0)</f>
        <v>0</v>
      </c>
      <c r="D9770" s="8"/>
    </row>
    <row r="9771">
      <c r="A9771" s="9" t="str">
        <f>IFERROR(__xludf.DUMMYFUNCTION("""COMPUTED_VALUE"""),"Batch 367")</f>
        <v>Batch 367</v>
      </c>
      <c r="B9771" s="9" t="str">
        <f>IFERROR(__xludf.DUMMYFUNCTION("""COMPUTED_VALUE"""),"SrishmaC367")</f>
        <v>SrishmaC367</v>
      </c>
      <c r="C9771" s="8">
        <f>IFERROR(__xludf.DUMMYFUNCTION("""COMPUTED_VALUE"""),0.0)</f>
        <v>0</v>
      </c>
      <c r="D9771" s="8"/>
    </row>
    <row r="9772">
      <c r="A9772" s="9" t="str">
        <f>IFERROR(__xludf.DUMMYFUNCTION("""COMPUTED_VALUE"""),"Batch 367")</f>
        <v>Batch 367</v>
      </c>
      <c r="B9772" s="9" t="str">
        <f>IFERROR(__xludf.DUMMYFUNCTION("""COMPUTED_VALUE"""),"KanishkaC367")</f>
        <v>KanishkaC367</v>
      </c>
      <c r="C9772" s="8">
        <f>IFERROR(__xludf.DUMMYFUNCTION("""COMPUTED_VALUE"""),0.0)</f>
        <v>0</v>
      </c>
      <c r="D9772" s="8"/>
    </row>
    <row r="9773">
      <c r="A9773" s="9" t="str">
        <f>IFERROR(__xludf.DUMMYFUNCTION("""COMPUTED_VALUE"""),"Batch 367")</f>
        <v>Batch 367</v>
      </c>
      <c r="B9773" s="9" t="str">
        <f>IFERROR(__xludf.DUMMYFUNCTION("""COMPUTED_VALUE"""),"ChesthaC367")</f>
        <v>ChesthaC367</v>
      </c>
      <c r="C9773" s="8">
        <f>IFERROR(__xludf.DUMMYFUNCTION("""COMPUTED_VALUE"""),0.0)</f>
        <v>0</v>
      </c>
      <c r="D9773" s="8"/>
    </row>
    <row r="9774">
      <c r="A9774" s="9" t="str">
        <f>IFERROR(__xludf.DUMMYFUNCTION("""COMPUTED_VALUE"""),"Batch 367")</f>
        <v>Batch 367</v>
      </c>
      <c r="B9774" s="9" t="str">
        <f>IFERROR(__xludf.DUMMYFUNCTION("""COMPUTED_VALUE"""),"RachitC367")</f>
        <v>RachitC367</v>
      </c>
      <c r="C9774" s="8">
        <f>IFERROR(__xludf.DUMMYFUNCTION("""COMPUTED_VALUE"""),0.0)</f>
        <v>0</v>
      </c>
      <c r="D9774" s="8"/>
    </row>
    <row r="9775">
      <c r="A9775" s="9" t="str">
        <f>IFERROR(__xludf.DUMMYFUNCTION("""COMPUTED_VALUE"""),"Batch 367")</f>
        <v>Batch 367</v>
      </c>
      <c r="B9775" s="9" t="str">
        <f>IFERROR(__xludf.DUMMYFUNCTION("""COMPUTED_VALUE"""),"UzerC367")</f>
        <v>UzerC367</v>
      </c>
      <c r="C9775" s="8">
        <f>IFERROR(__xludf.DUMMYFUNCTION("""COMPUTED_VALUE"""),0.0)</f>
        <v>0</v>
      </c>
      <c r="D9775" s="8"/>
    </row>
    <row r="9776">
      <c r="A9776" s="9" t="str">
        <f>IFERROR(__xludf.DUMMYFUNCTION("""COMPUTED_VALUE"""),"Batch 367")</f>
        <v>Batch 367</v>
      </c>
      <c r="B9776" s="9" t="str">
        <f>IFERROR(__xludf.DUMMYFUNCTION("""COMPUTED_VALUE"""),"PrithvirajC367")</f>
        <v>PrithvirajC367</v>
      </c>
      <c r="C9776" s="8">
        <f>IFERROR(__xludf.DUMMYFUNCTION("""COMPUTED_VALUE"""),0.0)</f>
        <v>0</v>
      </c>
      <c r="D9776" s="8"/>
    </row>
    <row r="9777">
      <c r="A9777" s="9" t="str">
        <f>IFERROR(__xludf.DUMMYFUNCTION("""COMPUTED_VALUE"""),"Batch 367")</f>
        <v>Batch 367</v>
      </c>
      <c r="B9777" s="9" t="str">
        <f>IFERROR(__xludf.DUMMYFUNCTION("""COMPUTED_VALUE"""),"PruthwirajC367")</f>
        <v>PruthwirajC367</v>
      </c>
      <c r="C9777" s="8">
        <f>IFERROR(__xludf.DUMMYFUNCTION("""COMPUTED_VALUE"""),0.0)</f>
        <v>0</v>
      </c>
      <c r="D9777" s="8"/>
    </row>
    <row r="9778">
      <c r="A9778" s="9" t="str">
        <f>IFERROR(__xludf.DUMMYFUNCTION("""COMPUTED_VALUE"""),"Batch 367")</f>
        <v>Batch 367</v>
      </c>
      <c r="B9778" s="9" t="str">
        <f>IFERROR(__xludf.DUMMYFUNCTION("""COMPUTED_VALUE"""),"SamridhiC367")</f>
        <v>SamridhiC367</v>
      </c>
      <c r="C9778" s="8">
        <f>IFERROR(__xludf.DUMMYFUNCTION("""COMPUTED_VALUE"""),0.0)</f>
        <v>0</v>
      </c>
      <c r="D9778" s="8"/>
    </row>
    <row r="9779">
      <c r="A9779" s="9" t="str">
        <f>IFERROR(__xludf.DUMMYFUNCTION("""COMPUTED_VALUE"""),"Batch 367")</f>
        <v>Batch 367</v>
      </c>
      <c r="B9779" s="9" t="str">
        <f>IFERROR(__xludf.DUMMYFUNCTION("""COMPUTED_VALUE"""),"PranayaC367")</f>
        <v>PranayaC367</v>
      </c>
      <c r="C9779" s="8">
        <f>IFERROR(__xludf.DUMMYFUNCTION("""COMPUTED_VALUE"""),0.0)</f>
        <v>0</v>
      </c>
      <c r="D9779" s="8"/>
    </row>
    <row r="9780">
      <c r="A9780" s="9" t="str">
        <f>IFERROR(__xludf.DUMMYFUNCTION("""COMPUTED_VALUE"""),"Batch 367")</f>
        <v>Batch 367</v>
      </c>
      <c r="B9780" s="9" t="str">
        <f>IFERROR(__xludf.DUMMYFUNCTION("""COMPUTED_VALUE"""),"DhruviC367")</f>
        <v>DhruviC367</v>
      </c>
      <c r="C9780" s="8">
        <f>IFERROR(__xludf.DUMMYFUNCTION("""COMPUTED_VALUE"""),0.0)</f>
        <v>0</v>
      </c>
      <c r="D9780" s="8"/>
    </row>
    <row r="9781">
      <c r="A9781" s="9" t="str">
        <f>IFERROR(__xludf.DUMMYFUNCTION("""COMPUTED_VALUE"""),"Batch 367")</f>
        <v>Batch 367</v>
      </c>
      <c r="B9781" s="9" t="str">
        <f>IFERROR(__xludf.DUMMYFUNCTION("""COMPUTED_VALUE"""),"SudarshanC367")</f>
        <v>SudarshanC367</v>
      </c>
      <c r="C9781" s="8">
        <f>IFERROR(__xludf.DUMMYFUNCTION("""COMPUTED_VALUE"""),0.0)</f>
        <v>0</v>
      </c>
      <c r="D9781" s="8"/>
    </row>
    <row r="9782">
      <c r="A9782" s="9" t="str">
        <f>IFERROR(__xludf.DUMMYFUNCTION("""COMPUTED_VALUE"""),"Batch 367")</f>
        <v>Batch 367</v>
      </c>
      <c r="B9782" s="9" t="str">
        <f>IFERROR(__xludf.DUMMYFUNCTION("""COMPUTED_VALUE"""),"HemanthC367")</f>
        <v>HemanthC367</v>
      </c>
      <c r="C9782" s="8">
        <f>IFERROR(__xludf.DUMMYFUNCTION("""COMPUTED_VALUE"""),0.0)</f>
        <v>0</v>
      </c>
      <c r="D9782" s="8"/>
    </row>
    <row r="9783">
      <c r="A9783" s="9" t="str">
        <f>IFERROR(__xludf.DUMMYFUNCTION("""COMPUTED_VALUE"""),"Batch 367")</f>
        <v>Batch 367</v>
      </c>
      <c r="B9783" s="9" t="str">
        <f>IFERROR(__xludf.DUMMYFUNCTION("""COMPUTED_VALUE"""),"B.YAZHINIC367")</f>
        <v>B.YAZHINIC367</v>
      </c>
      <c r="C9783" s="8">
        <f>IFERROR(__xludf.DUMMYFUNCTION("""COMPUTED_VALUE"""),0.0)</f>
        <v>0</v>
      </c>
      <c r="D9783" s="8"/>
    </row>
    <row r="9784">
      <c r="A9784" s="9" t="str">
        <f>IFERROR(__xludf.DUMMYFUNCTION("""COMPUTED_VALUE"""),"Batch 367")</f>
        <v>Batch 367</v>
      </c>
      <c r="B9784" s="9" t="str">
        <f>IFERROR(__xludf.DUMMYFUNCTION("""COMPUTED_VALUE"""),"NainaC367")</f>
        <v>NainaC367</v>
      </c>
      <c r="C9784" s="8">
        <f>IFERROR(__xludf.DUMMYFUNCTION("""COMPUTED_VALUE"""),0.0)</f>
        <v>0</v>
      </c>
      <c r="D9784" s="8"/>
    </row>
    <row r="9785">
      <c r="A9785" s="9" t="str">
        <f>IFERROR(__xludf.DUMMYFUNCTION("""COMPUTED_VALUE"""),"Batch 367")</f>
        <v>Batch 367</v>
      </c>
      <c r="B9785" s="9" t="str">
        <f>IFERROR(__xludf.DUMMYFUNCTION("""COMPUTED_VALUE"""),"RenukaC367")</f>
        <v>RenukaC367</v>
      </c>
      <c r="C9785" s="8">
        <f>IFERROR(__xludf.DUMMYFUNCTION("""COMPUTED_VALUE"""),4.0)</f>
        <v>4</v>
      </c>
      <c r="D9785" s="8"/>
    </row>
    <row r="9786">
      <c r="A9786" s="9" t="str">
        <f>IFERROR(__xludf.DUMMYFUNCTION("""COMPUTED_VALUE"""),"Batch 367")</f>
        <v>Batch 367</v>
      </c>
      <c r="B9786" s="9" t="str">
        <f>IFERROR(__xludf.DUMMYFUNCTION("""COMPUTED_VALUE"""),"DeepashaC367")</f>
        <v>DeepashaC367</v>
      </c>
      <c r="C9786" s="8">
        <f>IFERROR(__xludf.DUMMYFUNCTION("""COMPUTED_VALUE"""),0.0)</f>
        <v>0</v>
      </c>
      <c r="D9786" s="8"/>
    </row>
    <row r="9787">
      <c r="A9787" s="9" t="str">
        <f>IFERROR(__xludf.DUMMYFUNCTION("""COMPUTED_VALUE"""),"Batch 367")</f>
        <v>Batch 367</v>
      </c>
      <c r="B9787" s="9" t="str">
        <f>IFERROR(__xludf.DUMMYFUNCTION("""COMPUTED_VALUE"""),"KaushalC367")</f>
        <v>KaushalC367</v>
      </c>
      <c r="C9787" s="8">
        <f>IFERROR(__xludf.DUMMYFUNCTION("""COMPUTED_VALUE"""),0.0)</f>
        <v>0</v>
      </c>
      <c r="D9787" s="8"/>
    </row>
    <row r="9788">
      <c r="A9788" s="9" t="str">
        <f>IFERROR(__xludf.DUMMYFUNCTION("""COMPUTED_VALUE"""),"Batch 367")</f>
        <v>Batch 367</v>
      </c>
      <c r="B9788" s="9" t="str">
        <f>IFERROR(__xludf.DUMMYFUNCTION("""COMPUTED_VALUE"""),"DevanshiC367")</f>
        <v>DevanshiC367</v>
      </c>
      <c r="C9788" s="8">
        <f>IFERROR(__xludf.DUMMYFUNCTION("""COMPUTED_VALUE"""),0.0)</f>
        <v>0</v>
      </c>
      <c r="D9788" s="8"/>
    </row>
    <row r="9789">
      <c r="A9789" s="9" t="str">
        <f>IFERROR(__xludf.DUMMYFUNCTION("""COMPUTED_VALUE"""),"Batch 367")</f>
        <v>Batch 367</v>
      </c>
      <c r="B9789" s="9" t="str">
        <f>IFERROR(__xludf.DUMMYFUNCTION("""COMPUTED_VALUE"""),"VishakhaC367")</f>
        <v>VishakhaC367</v>
      </c>
      <c r="C9789" s="8">
        <f>IFERROR(__xludf.DUMMYFUNCTION("""COMPUTED_VALUE"""),0.0)</f>
        <v>0</v>
      </c>
      <c r="D9789" s="8"/>
    </row>
    <row r="9790">
      <c r="A9790" s="9" t="str">
        <f>IFERROR(__xludf.DUMMYFUNCTION("""COMPUTED_VALUE"""),"Batch 367")</f>
        <v>Batch 367</v>
      </c>
      <c r="B9790" s="9" t="str">
        <f>IFERROR(__xludf.DUMMYFUNCTION("""COMPUTED_VALUE"""),"HarshitaC367")</f>
        <v>HarshitaC367</v>
      </c>
      <c r="C9790" s="8">
        <f>IFERROR(__xludf.DUMMYFUNCTION("""COMPUTED_VALUE"""),0.0)</f>
        <v>0</v>
      </c>
      <c r="D9790" s="8"/>
    </row>
    <row r="9791">
      <c r="A9791" s="9" t="str">
        <f>IFERROR(__xludf.DUMMYFUNCTION("""COMPUTED_VALUE"""),"Batch 367")</f>
        <v>Batch 367</v>
      </c>
      <c r="B9791" s="9" t="str">
        <f>IFERROR(__xludf.DUMMYFUNCTION("""COMPUTED_VALUE"""),"NidhiC367")</f>
        <v>NidhiC367</v>
      </c>
      <c r="C9791" s="8">
        <f>IFERROR(__xludf.DUMMYFUNCTION("""COMPUTED_VALUE"""),0.0)</f>
        <v>0</v>
      </c>
      <c r="D9791" s="8"/>
    </row>
    <row r="9792">
      <c r="A9792" s="9" t="str">
        <f>IFERROR(__xludf.DUMMYFUNCTION("""COMPUTED_VALUE"""),"Batch 367")</f>
        <v>Batch 367</v>
      </c>
      <c r="B9792" s="9" t="str">
        <f>IFERROR(__xludf.DUMMYFUNCTION("""COMPUTED_VALUE"""),"sanskarC367")</f>
        <v>sanskarC367</v>
      </c>
      <c r="C9792" s="8">
        <f>IFERROR(__xludf.DUMMYFUNCTION("""COMPUTED_VALUE"""),0.0)</f>
        <v>0</v>
      </c>
      <c r="D9792" s="8"/>
    </row>
    <row r="9793">
      <c r="A9793" s="9" t="str">
        <f>IFERROR(__xludf.DUMMYFUNCTION("""COMPUTED_VALUE"""),"Batch 367")</f>
        <v>Batch 367</v>
      </c>
      <c r="B9793" s="9" t="str">
        <f>IFERROR(__xludf.DUMMYFUNCTION("""COMPUTED_VALUE"""),"FathimaC367")</f>
        <v>FathimaC367</v>
      </c>
      <c r="C9793" s="8">
        <f>IFERROR(__xludf.DUMMYFUNCTION("""COMPUTED_VALUE"""),0.0)</f>
        <v>0</v>
      </c>
      <c r="D9793" s="8"/>
    </row>
    <row r="9794">
      <c r="A9794" s="9" t="str">
        <f>IFERROR(__xludf.DUMMYFUNCTION("""COMPUTED_VALUE"""),"Batch 367")</f>
        <v>Batch 367</v>
      </c>
      <c r="B9794" s="9" t="str">
        <f>IFERROR(__xludf.DUMMYFUNCTION("""COMPUTED_VALUE"""),"HaleemaC367")</f>
        <v>HaleemaC367</v>
      </c>
      <c r="C9794" s="8">
        <f>IFERROR(__xludf.DUMMYFUNCTION("""COMPUTED_VALUE"""),0.0)</f>
        <v>0</v>
      </c>
      <c r="D9794" s="8"/>
    </row>
    <row r="9795">
      <c r="A9795" s="9" t="str">
        <f>IFERROR(__xludf.DUMMYFUNCTION("""COMPUTED_VALUE"""),"Batch 367")</f>
        <v>Batch 367</v>
      </c>
      <c r="B9795" s="9" t="str">
        <f>IFERROR(__xludf.DUMMYFUNCTION("""COMPUTED_VALUE"""),"AmtojC367")</f>
        <v>AmtojC367</v>
      </c>
      <c r="C9795" s="8">
        <f>IFERROR(__xludf.DUMMYFUNCTION("""COMPUTED_VALUE"""),3.0)</f>
        <v>3</v>
      </c>
      <c r="D9795" s="8"/>
    </row>
    <row r="9796">
      <c r="A9796" s="9" t="str">
        <f>IFERROR(__xludf.DUMMYFUNCTION("""COMPUTED_VALUE"""),"Batch 367")</f>
        <v>Batch 367</v>
      </c>
      <c r="B9796" s="9" t="str">
        <f>IFERROR(__xludf.DUMMYFUNCTION("""COMPUTED_VALUE"""),"RenusreeC367")</f>
        <v>RenusreeC367</v>
      </c>
      <c r="C9796" s="8">
        <f>IFERROR(__xludf.DUMMYFUNCTION("""COMPUTED_VALUE"""),1.0)</f>
        <v>1</v>
      </c>
      <c r="D9796" s="8">
        <f>IFERROR(__xludf.DUMMYFUNCTION("""COMPUTED_VALUE"""),3.0)</f>
        <v>3</v>
      </c>
    </row>
    <row r="9797">
      <c r="A9797" s="9" t="str">
        <f>IFERROR(__xludf.DUMMYFUNCTION("""COMPUTED_VALUE"""),"Batch 367")</f>
        <v>Batch 367</v>
      </c>
      <c r="B9797" s="9" t="str">
        <f>IFERROR(__xludf.DUMMYFUNCTION("""COMPUTED_VALUE"""),"NancyC367")</f>
        <v>NancyC367</v>
      </c>
      <c r="C9797" s="8">
        <f>IFERROR(__xludf.DUMMYFUNCTION("""COMPUTED_VALUE"""),0.0)</f>
        <v>0</v>
      </c>
      <c r="D9797" s="8"/>
    </row>
    <row r="9798">
      <c r="A9798" s="9" t="str">
        <f>IFERROR(__xludf.DUMMYFUNCTION("""COMPUTED_VALUE"""),"Batch 367")</f>
        <v>Batch 367</v>
      </c>
      <c r="B9798" s="9" t="str">
        <f>IFERROR(__xludf.DUMMYFUNCTION("""COMPUTED_VALUE"""),"SUMITC367")</f>
        <v>SUMITC367</v>
      </c>
      <c r="C9798" s="8">
        <f>IFERROR(__xludf.DUMMYFUNCTION("""COMPUTED_VALUE"""),0.0)</f>
        <v>0</v>
      </c>
      <c r="D9798" s="8"/>
    </row>
    <row r="9799">
      <c r="A9799" s="9" t="str">
        <f>IFERROR(__xludf.DUMMYFUNCTION("""COMPUTED_VALUE"""),"Batch 367")</f>
        <v>Batch 367</v>
      </c>
      <c r="B9799" s="9" t="str">
        <f>IFERROR(__xludf.DUMMYFUNCTION("""COMPUTED_VALUE"""),"RajatC367")</f>
        <v>RajatC367</v>
      </c>
      <c r="C9799" s="8">
        <f>IFERROR(__xludf.DUMMYFUNCTION("""COMPUTED_VALUE"""),0.0)</f>
        <v>0</v>
      </c>
      <c r="D9799" s="8"/>
    </row>
    <row r="9800">
      <c r="A9800" s="9" t="str">
        <f>IFERROR(__xludf.DUMMYFUNCTION("""COMPUTED_VALUE"""),"Batch 367")</f>
        <v>Batch 367</v>
      </c>
      <c r="B9800" s="9" t="str">
        <f>IFERROR(__xludf.DUMMYFUNCTION("""COMPUTED_VALUE"""),"MaheshC367")</f>
        <v>MaheshC367</v>
      </c>
      <c r="C9800" s="8">
        <f>IFERROR(__xludf.DUMMYFUNCTION("""COMPUTED_VALUE"""),0.0)</f>
        <v>0</v>
      </c>
      <c r="D9800" s="8"/>
    </row>
    <row r="9801">
      <c r="A9801" s="9" t="str">
        <f>IFERROR(__xludf.DUMMYFUNCTION("""COMPUTED_VALUE"""),"Batch 367")</f>
        <v>Batch 367</v>
      </c>
      <c r="B9801" s="9" t="str">
        <f>IFERROR(__xludf.DUMMYFUNCTION("""COMPUTED_VALUE"""),"KaranC367")</f>
        <v>KaranC367</v>
      </c>
      <c r="C9801" s="8">
        <f>IFERROR(__xludf.DUMMYFUNCTION("""COMPUTED_VALUE"""),0.0)</f>
        <v>0</v>
      </c>
      <c r="D9801" s="8"/>
    </row>
    <row r="9802">
      <c r="A9802" s="9" t="str">
        <f>IFERROR(__xludf.DUMMYFUNCTION("""COMPUTED_VALUE"""),"Batch 367")</f>
        <v>Batch 367</v>
      </c>
      <c r="B9802" s="9" t="str">
        <f>IFERROR(__xludf.DUMMYFUNCTION("""COMPUTED_VALUE"""),"HarshitC367")</f>
        <v>HarshitC367</v>
      </c>
      <c r="C9802" s="8">
        <f>IFERROR(__xludf.DUMMYFUNCTION("""COMPUTED_VALUE"""),0.0)</f>
        <v>0</v>
      </c>
      <c r="D9802" s="8"/>
    </row>
    <row r="9803">
      <c r="A9803" s="9" t="str">
        <f>IFERROR(__xludf.DUMMYFUNCTION("""COMPUTED_VALUE"""),"Batch 367")</f>
        <v>Batch 367</v>
      </c>
      <c r="B9803" s="9" t="str">
        <f>IFERROR(__xludf.DUMMYFUNCTION("""COMPUTED_VALUE"""),"PiyushC367")</f>
        <v>PiyushC367</v>
      </c>
      <c r="C9803" s="8">
        <f>IFERROR(__xludf.DUMMYFUNCTION("""COMPUTED_VALUE"""),2.0)</f>
        <v>2</v>
      </c>
      <c r="D9803" s="8"/>
    </row>
    <row r="9804">
      <c r="A9804" s="9" t="str">
        <f>IFERROR(__xludf.DUMMYFUNCTION("""COMPUTED_VALUE"""),"Batch 367")</f>
        <v>Batch 367</v>
      </c>
      <c r="B9804" s="9" t="str">
        <f>IFERROR(__xludf.DUMMYFUNCTION("""COMPUTED_VALUE"""),"JaiC367")</f>
        <v>JaiC367</v>
      </c>
      <c r="C9804" s="8">
        <f>IFERROR(__xludf.DUMMYFUNCTION("""COMPUTED_VALUE"""),0.0)</f>
        <v>0</v>
      </c>
      <c r="D9804" s="8"/>
    </row>
    <row r="9805">
      <c r="A9805" s="9" t="str">
        <f>IFERROR(__xludf.DUMMYFUNCTION("""COMPUTED_VALUE"""),"Batch 367")</f>
        <v>Batch 367</v>
      </c>
      <c r="B9805" s="9" t="str">
        <f>IFERROR(__xludf.DUMMYFUNCTION("""COMPUTED_VALUE"""),"AdithyaC367")</f>
        <v>AdithyaC367</v>
      </c>
      <c r="C9805" s="8">
        <f>IFERROR(__xludf.DUMMYFUNCTION("""COMPUTED_VALUE"""),0.0)</f>
        <v>0</v>
      </c>
      <c r="D9805" s="8"/>
    </row>
    <row r="9806">
      <c r="A9806" s="9" t="str">
        <f>IFERROR(__xludf.DUMMYFUNCTION("""COMPUTED_VALUE"""),"Batch 367")</f>
        <v>Batch 367</v>
      </c>
      <c r="B9806" s="9" t="str">
        <f>IFERROR(__xludf.DUMMYFUNCTION("""COMPUTED_VALUE"""),"SAFIQC367")</f>
        <v>SAFIQC367</v>
      </c>
      <c r="C9806" s="8">
        <f>IFERROR(__xludf.DUMMYFUNCTION("""COMPUTED_VALUE"""),0.0)</f>
        <v>0</v>
      </c>
      <c r="D9806" s="8"/>
    </row>
    <row r="9807">
      <c r="A9807" s="9"/>
      <c r="B9807" s="9"/>
      <c r="C9807" s="8">
        <f>IFERROR(__xludf.DUMMYFUNCTION("""COMPUTED_VALUE"""),0.0)</f>
        <v>0</v>
      </c>
      <c r="D9807" s="8"/>
    </row>
    <row r="9808">
      <c r="A9808" s="9" t="str">
        <f>IFERROR(__xludf.DUMMYFUNCTION("""COMPUTED_VALUE"""),"Batch 368")</f>
        <v>Batch 368</v>
      </c>
      <c r="B9808" s="9" t="str">
        <f>IFERROR(__xludf.DUMMYFUNCTION("""COMPUTED_VALUE"""),"JoyeetaC368")</f>
        <v>JoyeetaC368</v>
      </c>
      <c r="C9808" s="8">
        <f>IFERROR(__xludf.DUMMYFUNCTION("""COMPUTED_VALUE"""),0.0)</f>
        <v>0</v>
      </c>
      <c r="D9808" s="8"/>
    </row>
    <row r="9809">
      <c r="A9809" s="9" t="str">
        <f>IFERROR(__xludf.DUMMYFUNCTION("""COMPUTED_VALUE"""),"Batch 368")</f>
        <v>Batch 368</v>
      </c>
      <c r="B9809" s="9" t="str">
        <f>IFERROR(__xludf.DUMMYFUNCTION("""COMPUTED_VALUE"""),"RishikaC368")</f>
        <v>RishikaC368</v>
      </c>
      <c r="C9809" s="8">
        <f>IFERROR(__xludf.DUMMYFUNCTION("""COMPUTED_VALUE"""),0.0)</f>
        <v>0</v>
      </c>
      <c r="D9809" s="8"/>
    </row>
    <row r="9810">
      <c r="A9810" s="9" t="str">
        <f>IFERROR(__xludf.DUMMYFUNCTION("""COMPUTED_VALUE"""),"Batch 368")</f>
        <v>Batch 368</v>
      </c>
      <c r="B9810" s="9" t="str">
        <f>IFERROR(__xludf.DUMMYFUNCTION("""COMPUTED_VALUE"""),"MarshaC368")</f>
        <v>MarshaC368</v>
      </c>
      <c r="C9810" s="8">
        <f>IFERROR(__xludf.DUMMYFUNCTION("""COMPUTED_VALUE"""),0.0)</f>
        <v>0</v>
      </c>
      <c r="D9810" s="8"/>
    </row>
    <row r="9811">
      <c r="A9811" s="9" t="str">
        <f>IFERROR(__xludf.DUMMYFUNCTION("""COMPUTED_VALUE"""),"Batch 368")</f>
        <v>Batch 368</v>
      </c>
      <c r="B9811" s="9" t="str">
        <f>IFERROR(__xludf.DUMMYFUNCTION("""COMPUTED_VALUE"""),"KshitijC368")</f>
        <v>KshitijC368</v>
      </c>
      <c r="C9811" s="8">
        <f>IFERROR(__xludf.DUMMYFUNCTION("""COMPUTED_VALUE"""),0.0)</f>
        <v>0</v>
      </c>
      <c r="D9811" s="8"/>
    </row>
    <row r="9812">
      <c r="A9812" s="9" t="str">
        <f>IFERROR(__xludf.DUMMYFUNCTION("""COMPUTED_VALUE"""),"Batch 368")</f>
        <v>Batch 368</v>
      </c>
      <c r="B9812" s="9" t="str">
        <f>IFERROR(__xludf.DUMMYFUNCTION("""COMPUTED_VALUE"""),"OmC368")</f>
        <v>OmC368</v>
      </c>
      <c r="C9812" s="8">
        <f>IFERROR(__xludf.DUMMYFUNCTION("""COMPUTED_VALUE"""),0.0)</f>
        <v>0</v>
      </c>
      <c r="D9812" s="8"/>
    </row>
    <row r="9813">
      <c r="A9813" s="9" t="str">
        <f>IFERROR(__xludf.DUMMYFUNCTION("""COMPUTED_VALUE"""),"Batch 368")</f>
        <v>Batch 368</v>
      </c>
      <c r="B9813" s="9" t="str">
        <f>IFERROR(__xludf.DUMMYFUNCTION("""COMPUTED_VALUE"""),"HusanpreetC368")</f>
        <v>HusanpreetC368</v>
      </c>
      <c r="C9813" s="8">
        <f>IFERROR(__xludf.DUMMYFUNCTION("""COMPUTED_VALUE"""),0.0)</f>
        <v>0</v>
      </c>
      <c r="D9813" s="8"/>
    </row>
    <row r="9814">
      <c r="A9814" s="9" t="str">
        <f>IFERROR(__xludf.DUMMYFUNCTION("""COMPUTED_VALUE"""),"Batch 368")</f>
        <v>Batch 368</v>
      </c>
      <c r="B9814" s="9" t="str">
        <f>IFERROR(__xludf.DUMMYFUNCTION("""COMPUTED_VALUE"""),"AvishC368")</f>
        <v>AvishC368</v>
      </c>
      <c r="C9814" s="8">
        <f>IFERROR(__xludf.DUMMYFUNCTION("""COMPUTED_VALUE"""),0.0)</f>
        <v>0</v>
      </c>
      <c r="D9814" s="8"/>
    </row>
    <row r="9815">
      <c r="A9815" s="9" t="str">
        <f>IFERROR(__xludf.DUMMYFUNCTION("""COMPUTED_VALUE"""),"Batch 368")</f>
        <v>Batch 368</v>
      </c>
      <c r="B9815" s="9" t="str">
        <f>IFERROR(__xludf.DUMMYFUNCTION("""COMPUTED_VALUE"""),"AbdulC368")</f>
        <v>AbdulC368</v>
      </c>
      <c r="C9815" s="8">
        <f>IFERROR(__xludf.DUMMYFUNCTION("""COMPUTED_VALUE"""),0.0)</f>
        <v>0</v>
      </c>
      <c r="D9815" s="8">
        <f>IFERROR(__xludf.DUMMYFUNCTION("""COMPUTED_VALUE"""),5.0)</f>
        <v>5</v>
      </c>
    </row>
    <row r="9816">
      <c r="A9816" s="9" t="str">
        <f>IFERROR(__xludf.DUMMYFUNCTION("""COMPUTED_VALUE"""),"Batch 368")</f>
        <v>Batch 368</v>
      </c>
      <c r="B9816" s="9" t="str">
        <f>IFERROR(__xludf.DUMMYFUNCTION("""COMPUTED_VALUE"""),"GulrajC368")</f>
        <v>GulrajC368</v>
      </c>
      <c r="C9816" s="8">
        <f>IFERROR(__xludf.DUMMYFUNCTION("""COMPUTED_VALUE"""),0.0)</f>
        <v>0</v>
      </c>
      <c r="D9816" s="8"/>
    </row>
    <row r="9817">
      <c r="A9817" s="9" t="str">
        <f>IFERROR(__xludf.DUMMYFUNCTION("""COMPUTED_VALUE"""),"Batch 368")</f>
        <v>Batch 368</v>
      </c>
      <c r="B9817" s="9" t="str">
        <f>IFERROR(__xludf.DUMMYFUNCTION("""COMPUTED_VALUE"""),"ArupC368")</f>
        <v>ArupC368</v>
      </c>
      <c r="C9817" s="8">
        <f>IFERROR(__xludf.DUMMYFUNCTION("""COMPUTED_VALUE"""),0.0)</f>
        <v>0</v>
      </c>
      <c r="D9817" s="8"/>
    </row>
    <row r="9818">
      <c r="A9818" s="9" t="str">
        <f>IFERROR(__xludf.DUMMYFUNCTION("""COMPUTED_VALUE"""),"Batch 368")</f>
        <v>Batch 368</v>
      </c>
      <c r="B9818" s="9" t="str">
        <f>IFERROR(__xludf.DUMMYFUNCTION("""COMPUTED_VALUE"""),"NupurC368")</f>
        <v>NupurC368</v>
      </c>
      <c r="C9818" s="8">
        <f>IFERROR(__xludf.DUMMYFUNCTION("""COMPUTED_VALUE"""),0.0)</f>
        <v>0</v>
      </c>
      <c r="D9818" s="8"/>
    </row>
    <row r="9819">
      <c r="A9819" s="9" t="str">
        <f>IFERROR(__xludf.DUMMYFUNCTION("""COMPUTED_VALUE"""),"Batch 368")</f>
        <v>Batch 368</v>
      </c>
      <c r="B9819" s="9" t="str">
        <f>IFERROR(__xludf.DUMMYFUNCTION("""COMPUTED_VALUE"""),"SanyaC368")</f>
        <v>SanyaC368</v>
      </c>
      <c r="C9819" s="8">
        <f>IFERROR(__xludf.DUMMYFUNCTION("""COMPUTED_VALUE"""),0.0)</f>
        <v>0</v>
      </c>
      <c r="D9819" s="8"/>
    </row>
    <row r="9820">
      <c r="A9820" s="9" t="str">
        <f>IFERROR(__xludf.DUMMYFUNCTION("""COMPUTED_VALUE"""),"Batch 368")</f>
        <v>Batch 368</v>
      </c>
      <c r="B9820" s="9" t="str">
        <f>IFERROR(__xludf.DUMMYFUNCTION("""COMPUTED_VALUE"""),"AayushiC368")</f>
        <v>AayushiC368</v>
      </c>
      <c r="C9820" s="8">
        <f>IFERROR(__xludf.DUMMYFUNCTION("""COMPUTED_VALUE"""),0.0)</f>
        <v>0</v>
      </c>
      <c r="D9820" s="8"/>
    </row>
    <row r="9821">
      <c r="A9821" s="9" t="str">
        <f>IFERROR(__xludf.DUMMYFUNCTION("""COMPUTED_VALUE"""),"Batch 368")</f>
        <v>Batch 368</v>
      </c>
      <c r="B9821" s="9" t="str">
        <f>IFERROR(__xludf.DUMMYFUNCTION("""COMPUTED_VALUE"""),"VishrutC368")</f>
        <v>VishrutC368</v>
      </c>
      <c r="C9821" s="8">
        <f>IFERROR(__xludf.DUMMYFUNCTION("""COMPUTED_VALUE"""),0.0)</f>
        <v>0</v>
      </c>
      <c r="D9821" s="8"/>
    </row>
    <row r="9822">
      <c r="A9822" s="9" t="str">
        <f>IFERROR(__xludf.DUMMYFUNCTION("""COMPUTED_VALUE"""),"Batch 368")</f>
        <v>Batch 368</v>
      </c>
      <c r="B9822" s="9" t="str">
        <f>IFERROR(__xludf.DUMMYFUNCTION("""COMPUTED_VALUE"""),"SangamC368")</f>
        <v>SangamC368</v>
      </c>
      <c r="C9822" s="8">
        <f>IFERROR(__xludf.DUMMYFUNCTION("""COMPUTED_VALUE"""),4.0)</f>
        <v>4</v>
      </c>
      <c r="D9822" s="8"/>
    </row>
    <row r="9823">
      <c r="A9823" s="9" t="str">
        <f>IFERROR(__xludf.DUMMYFUNCTION("""COMPUTED_VALUE"""),"Batch 368")</f>
        <v>Batch 368</v>
      </c>
      <c r="B9823" s="9" t="str">
        <f>IFERROR(__xludf.DUMMYFUNCTION("""COMPUTED_VALUE"""),"DivyaC368")</f>
        <v>DivyaC368</v>
      </c>
      <c r="C9823" s="8">
        <f>IFERROR(__xludf.DUMMYFUNCTION("""COMPUTED_VALUE"""),0.0)</f>
        <v>0</v>
      </c>
      <c r="D9823" s="8"/>
    </row>
    <row r="9824">
      <c r="A9824" s="9" t="str">
        <f>IFERROR(__xludf.DUMMYFUNCTION("""COMPUTED_VALUE"""),"Batch 368")</f>
        <v>Batch 368</v>
      </c>
      <c r="B9824" s="9" t="str">
        <f>IFERROR(__xludf.DUMMYFUNCTION("""COMPUTED_VALUE"""),"ABHISHEKC368")</f>
        <v>ABHISHEKC368</v>
      </c>
      <c r="C9824" s="8">
        <f>IFERROR(__xludf.DUMMYFUNCTION("""COMPUTED_VALUE"""),0.0)</f>
        <v>0</v>
      </c>
      <c r="D9824" s="8"/>
    </row>
    <row r="9825">
      <c r="A9825" s="9" t="str">
        <f>IFERROR(__xludf.DUMMYFUNCTION("""COMPUTED_VALUE"""),"Batch 368")</f>
        <v>Batch 368</v>
      </c>
      <c r="B9825" s="9" t="str">
        <f>IFERROR(__xludf.DUMMYFUNCTION("""COMPUTED_VALUE"""),"KunalC368")</f>
        <v>KunalC368</v>
      </c>
      <c r="C9825" s="8">
        <f>IFERROR(__xludf.DUMMYFUNCTION("""COMPUTED_VALUE"""),0.0)</f>
        <v>0</v>
      </c>
      <c r="D9825" s="8"/>
    </row>
    <row r="9826">
      <c r="A9826" s="9" t="str">
        <f>IFERROR(__xludf.DUMMYFUNCTION("""COMPUTED_VALUE"""),"Batch 368")</f>
        <v>Batch 368</v>
      </c>
      <c r="B9826" s="9" t="str">
        <f>IFERROR(__xludf.DUMMYFUNCTION("""COMPUTED_VALUE"""),"SyedC368")</f>
        <v>SyedC368</v>
      </c>
      <c r="C9826" s="8">
        <f>IFERROR(__xludf.DUMMYFUNCTION("""COMPUTED_VALUE"""),1.0)</f>
        <v>1</v>
      </c>
      <c r="D9826" s="8"/>
    </row>
    <row r="9827">
      <c r="A9827" s="9" t="str">
        <f>IFERROR(__xludf.DUMMYFUNCTION("""COMPUTED_VALUE"""),"Batch 368")</f>
        <v>Batch 368</v>
      </c>
      <c r="B9827" s="9" t="str">
        <f>IFERROR(__xludf.DUMMYFUNCTION("""COMPUTED_VALUE"""),"AnjaliC368")</f>
        <v>AnjaliC368</v>
      </c>
      <c r="C9827" s="8">
        <f>IFERROR(__xludf.DUMMYFUNCTION("""COMPUTED_VALUE"""),0.0)</f>
        <v>0</v>
      </c>
      <c r="D9827" s="8"/>
    </row>
    <row r="9828">
      <c r="A9828" s="9" t="str">
        <f>IFERROR(__xludf.DUMMYFUNCTION("""COMPUTED_VALUE"""),"Batch 368")</f>
        <v>Batch 368</v>
      </c>
      <c r="B9828" s="9" t="str">
        <f>IFERROR(__xludf.DUMMYFUNCTION("""COMPUTED_VALUE"""),"ShivekC368")</f>
        <v>ShivekC368</v>
      </c>
      <c r="C9828" s="8">
        <f>IFERROR(__xludf.DUMMYFUNCTION("""COMPUTED_VALUE"""),0.0)</f>
        <v>0</v>
      </c>
      <c r="D9828" s="8"/>
    </row>
    <row r="9829">
      <c r="A9829" s="9" t="str">
        <f>IFERROR(__xludf.DUMMYFUNCTION("""COMPUTED_VALUE"""),"Batch 368")</f>
        <v>Batch 368</v>
      </c>
      <c r="B9829" s="9" t="str">
        <f>IFERROR(__xludf.DUMMYFUNCTION("""COMPUTED_VALUE"""),"ShubhamC368")</f>
        <v>ShubhamC368</v>
      </c>
      <c r="C9829" s="8">
        <f>IFERROR(__xludf.DUMMYFUNCTION("""COMPUTED_VALUE"""),0.0)</f>
        <v>0</v>
      </c>
      <c r="D9829" s="8"/>
    </row>
    <row r="9830">
      <c r="A9830" s="9" t="str">
        <f>IFERROR(__xludf.DUMMYFUNCTION("""COMPUTED_VALUE"""),"Batch 368")</f>
        <v>Batch 368</v>
      </c>
      <c r="B9830" s="9" t="str">
        <f>IFERROR(__xludf.DUMMYFUNCTION("""COMPUTED_VALUE"""),"AmmireddyC368")</f>
        <v>AmmireddyC368</v>
      </c>
      <c r="C9830" s="8">
        <f>IFERROR(__xludf.DUMMYFUNCTION("""COMPUTED_VALUE"""),100.0)</f>
        <v>100</v>
      </c>
      <c r="D9830" s="8">
        <f>IFERROR(__xludf.DUMMYFUNCTION("""COMPUTED_VALUE"""),36.0)</f>
        <v>36</v>
      </c>
    </row>
    <row r="9831">
      <c r="A9831" s="9" t="str">
        <f>IFERROR(__xludf.DUMMYFUNCTION("""COMPUTED_VALUE"""),"Batch 368")</f>
        <v>Batch 368</v>
      </c>
      <c r="B9831" s="9" t="str">
        <f>IFERROR(__xludf.DUMMYFUNCTION("""COMPUTED_VALUE"""),"ShreyaC368")</f>
        <v>ShreyaC368</v>
      </c>
      <c r="C9831" s="8">
        <f>IFERROR(__xludf.DUMMYFUNCTION("""COMPUTED_VALUE"""),0.0)</f>
        <v>0</v>
      </c>
      <c r="D9831" s="8"/>
    </row>
    <row r="9832">
      <c r="A9832" s="9" t="str">
        <f>IFERROR(__xludf.DUMMYFUNCTION("""COMPUTED_VALUE"""),"Batch 368")</f>
        <v>Batch 368</v>
      </c>
      <c r="B9832" s="9" t="str">
        <f>IFERROR(__xludf.DUMMYFUNCTION("""COMPUTED_VALUE"""),"SanketC368")</f>
        <v>SanketC368</v>
      </c>
      <c r="C9832" s="8">
        <f>IFERROR(__xludf.DUMMYFUNCTION("""COMPUTED_VALUE"""),0.0)</f>
        <v>0</v>
      </c>
      <c r="D9832" s="8"/>
    </row>
    <row r="9833">
      <c r="A9833" s="9" t="str">
        <f>IFERROR(__xludf.DUMMYFUNCTION("""COMPUTED_VALUE"""),"Batch 368")</f>
        <v>Batch 368</v>
      </c>
      <c r="B9833" s="9" t="str">
        <f>IFERROR(__xludf.DUMMYFUNCTION("""COMPUTED_VALUE"""),"AmitC368")</f>
        <v>AmitC368</v>
      </c>
      <c r="C9833" s="8">
        <f>IFERROR(__xludf.DUMMYFUNCTION("""COMPUTED_VALUE"""),0.0)</f>
        <v>0</v>
      </c>
      <c r="D9833" s="8"/>
    </row>
    <row r="9834">
      <c r="A9834" s="9" t="str">
        <f>IFERROR(__xludf.DUMMYFUNCTION("""COMPUTED_VALUE"""),"Batch 368")</f>
        <v>Batch 368</v>
      </c>
      <c r="B9834" s="9" t="str">
        <f>IFERROR(__xludf.DUMMYFUNCTION("""COMPUTED_VALUE"""),"KARTIKC368")</f>
        <v>KARTIKC368</v>
      </c>
      <c r="C9834" s="8">
        <f>IFERROR(__xludf.DUMMYFUNCTION("""COMPUTED_VALUE"""),0.0)</f>
        <v>0</v>
      </c>
      <c r="D9834" s="8"/>
    </row>
    <row r="9835">
      <c r="A9835" s="9" t="str">
        <f>IFERROR(__xludf.DUMMYFUNCTION("""COMPUTED_VALUE"""),"Batch 368")</f>
        <v>Batch 368</v>
      </c>
      <c r="B9835" s="9" t="str">
        <f>IFERROR(__xludf.DUMMYFUNCTION("""COMPUTED_VALUE"""),"LakshC368")</f>
        <v>LakshC368</v>
      </c>
      <c r="C9835" s="8">
        <f>IFERROR(__xludf.DUMMYFUNCTION("""COMPUTED_VALUE"""),0.0)</f>
        <v>0</v>
      </c>
      <c r="D9835" s="8"/>
    </row>
    <row r="9836">
      <c r="A9836" s="9" t="str">
        <f>IFERROR(__xludf.DUMMYFUNCTION("""COMPUTED_VALUE"""),"Batch 368")</f>
        <v>Batch 368</v>
      </c>
      <c r="B9836" s="9" t="str">
        <f>IFERROR(__xludf.DUMMYFUNCTION("""COMPUTED_VALUE"""),"NiteshC368")</f>
        <v>NiteshC368</v>
      </c>
      <c r="C9836" s="8">
        <f>IFERROR(__xludf.DUMMYFUNCTION("""COMPUTED_VALUE"""),0.0)</f>
        <v>0</v>
      </c>
      <c r="D9836" s="8"/>
    </row>
    <row r="9837">
      <c r="A9837" s="9" t="str">
        <f>IFERROR(__xludf.DUMMYFUNCTION("""COMPUTED_VALUE"""),"Batch 368")</f>
        <v>Batch 368</v>
      </c>
      <c r="B9837" s="9" t="str">
        <f>IFERROR(__xludf.DUMMYFUNCTION("""COMPUTED_VALUE"""),"TusarC368")</f>
        <v>TusarC368</v>
      </c>
      <c r="C9837" s="8">
        <f>IFERROR(__xludf.DUMMYFUNCTION("""COMPUTED_VALUE"""),1.0)</f>
        <v>1</v>
      </c>
      <c r="D9837" s="8"/>
    </row>
    <row r="9838">
      <c r="A9838" s="9" t="str">
        <f>IFERROR(__xludf.DUMMYFUNCTION("""COMPUTED_VALUE"""),"Batch 368")</f>
        <v>Batch 368</v>
      </c>
      <c r="B9838" s="9" t="str">
        <f>IFERROR(__xludf.DUMMYFUNCTION("""COMPUTED_VALUE"""),"PrishaC368")</f>
        <v>PrishaC368</v>
      </c>
      <c r="C9838" s="8">
        <f>IFERROR(__xludf.DUMMYFUNCTION("""COMPUTED_VALUE"""),2.0)</f>
        <v>2</v>
      </c>
      <c r="D9838" s="8"/>
    </row>
    <row r="9839">
      <c r="A9839" s="9" t="str">
        <f>IFERROR(__xludf.DUMMYFUNCTION("""COMPUTED_VALUE"""),"Batch 368")</f>
        <v>Batch 368</v>
      </c>
      <c r="B9839" s="9" t="str">
        <f>IFERROR(__xludf.DUMMYFUNCTION("""COMPUTED_VALUE"""),"RishabhC368")</f>
        <v>RishabhC368</v>
      </c>
      <c r="C9839" s="8">
        <f>IFERROR(__xludf.DUMMYFUNCTION("""COMPUTED_VALUE"""),7.0)</f>
        <v>7</v>
      </c>
      <c r="D9839" s="8"/>
    </row>
    <row r="9840">
      <c r="A9840" s="9" t="str">
        <f>IFERROR(__xludf.DUMMYFUNCTION("""COMPUTED_VALUE"""),"Batch 368")</f>
        <v>Batch 368</v>
      </c>
      <c r="B9840" s="9" t="str">
        <f>IFERROR(__xludf.DUMMYFUNCTION("""COMPUTED_VALUE"""),"YashC368")</f>
        <v>YashC368</v>
      </c>
      <c r="C9840" s="8">
        <f>IFERROR(__xludf.DUMMYFUNCTION("""COMPUTED_VALUE"""),3.0)</f>
        <v>3</v>
      </c>
      <c r="D9840" s="8"/>
    </row>
    <row r="9841">
      <c r="A9841" s="9" t="str">
        <f>IFERROR(__xludf.DUMMYFUNCTION("""COMPUTED_VALUE"""),"Batch 368")</f>
        <v>Batch 368</v>
      </c>
      <c r="B9841" s="9" t="str">
        <f>IFERROR(__xludf.DUMMYFUNCTION("""COMPUTED_VALUE"""),"SaniaC368")</f>
        <v>SaniaC368</v>
      </c>
      <c r="C9841" s="8">
        <f>IFERROR(__xludf.DUMMYFUNCTION("""COMPUTED_VALUE"""),18.0)</f>
        <v>18</v>
      </c>
      <c r="D9841" s="8">
        <f>IFERROR(__xludf.DUMMYFUNCTION("""COMPUTED_VALUE"""),2.0)</f>
        <v>2</v>
      </c>
    </row>
    <row r="9842">
      <c r="A9842" s="9" t="str">
        <f>IFERROR(__xludf.DUMMYFUNCTION("""COMPUTED_VALUE"""),"Batch 368")</f>
        <v>Batch 368</v>
      </c>
      <c r="B9842" s="9" t="str">
        <f>IFERROR(__xludf.DUMMYFUNCTION("""COMPUTED_VALUE"""),"RahulC368")</f>
        <v>RahulC368</v>
      </c>
      <c r="C9842" s="8">
        <f>IFERROR(__xludf.DUMMYFUNCTION("""COMPUTED_VALUE"""),0.0)</f>
        <v>0</v>
      </c>
      <c r="D9842" s="8"/>
    </row>
    <row r="9843">
      <c r="A9843" s="9" t="str">
        <f>IFERROR(__xludf.DUMMYFUNCTION("""COMPUTED_VALUE"""),"Batch 368")</f>
        <v>Batch 368</v>
      </c>
      <c r="B9843" s="9" t="str">
        <f>IFERROR(__xludf.DUMMYFUNCTION("""COMPUTED_VALUE"""),"SaurabhC368")</f>
        <v>SaurabhC368</v>
      </c>
      <c r="C9843" s="8">
        <f>IFERROR(__xludf.DUMMYFUNCTION("""COMPUTED_VALUE"""),10.0)</f>
        <v>10</v>
      </c>
      <c r="D9843" s="8">
        <f>IFERROR(__xludf.DUMMYFUNCTION("""COMPUTED_VALUE"""),6.0)</f>
        <v>6</v>
      </c>
    </row>
    <row r="9844">
      <c r="A9844" s="9" t="str">
        <f>IFERROR(__xludf.DUMMYFUNCTION("""COMPUTED_VALUE"""),"Batch 368")</f>
        <v>Batch 368</v>
      </c>
      <c r="B9844" s="9" t="str">
        <f>IFERROR(__xludf.DUMMYFUNCTION("""COMPUTED_VALUE"""),"RatiC368")</f>
        <v>RatiC368</v>
      </c>
      <c r="C9844" s="8">
        <f>IFERROR(__xludf.DUMMYFUNCTION("""COMPUTED_VALUE"""),0.0)</f>
        <v>0</v>
      </c>
      <c r="D9844" s="8"/>
    </row>
    <row r="9845">
      <c r="A9845" s="9" t="str">
        <f>IFERROR(__xludf.DUMMYFUNCTION("""COMPUTED_VALUE"""),"Batch 368")</f>
        <v>Batch 368</v>
      </c>
      <c r="B9845" s="9" t="str">
        <f>IFERROR(__xludf.DUMMYFUNCTION("""COMPUTED_VALUE"""),"NikhilC368")</f>
        <v>NikhilC368</v>
      </c>
      <c r="C9845" s="8">
        <f>IFERROR(__xludf.DUMMYFUNCTION("""COMPUTED_VALUE"""),0.0)</f>
        <v>0</v>
      </c>
      <c r="D9845" s="8"/>
    </row>
    <row r="9846">
      <c r="A9846" s="9" t="str">
        <f>IFERROR(__xludf.DUMMYFUNCTION("""COMPUTED_VALUE"""),"Batch 368")</f>
        <v>Batch 368</v>
      </c>
      <c r="B9846" s="9" t="str">
        <f>IFERROR(__xludf.DUMMYFUNCTION("""COMPUTED_VALUE"""),"SreeC368")</f>
        <v>SreeC368</v>
      </c>
      <c r="C9846" s="8">
        <f>IFERROR(__xludf.DUMMYFUNCTION("""COMPUTED_VALUE"""),0.0)</f>
        <v>0</v>
      </c>
      <c r="D9846" s="8"/>
    </row>
    <row r="9847">
      <c r="A9847" s="9" t="str">
        <f>IFERROR(__xludf.DUMMYFUNCTION("""COMPUTED_VALUE"""),"Batch 368")</f>
        <v>Batch 368</v>
      </c>
      <c r="B9847" s="9" t="str">
        <f>IFERROR(__xludf.DUMMYFUNCTION("""COMPUTED_VALUE"""),"PallabC368")</f>
        <v>PallabC368</v>
      </c>
      <c r="C9847" s="8">
        <f>IFERROR(__xludf.DUMMYFUNCTION("""COMPUTED_VALUE"""),0.0)</f>
        <v>0</v>
      </c>
      <c r="D9847" s="8"/>
    </row>
    <row r="9848">
      <c r="A9848" s="9" t="str">
        <f>IFERROR(__xludf.DUMMYFUNCTION("""COMPUTED_VALUE"""),"Batch 368")</f>
        <v>Batch 368</v>
      </c>
      <c r="B9848" s="9" t="str">
        <f>IFERROR(__xludf.DUMMYFUNCTION("""COMPUTED_VALUE"""),"SabaC368")</f>
        <v>SabaC368</v>
      </c>
      <c r="C9848" s="8">
        <f>IFERROR(__xludf.DUMMYFUNCTION("""COMPUTED_VALUE"""),0.0)</f>
        <v>0</v>
      </c>
      <c r="D9848" s="8"/>
    </row>
    <row r="9849">
      <c r="A9849" s="9" t="str">
        <f>IFERROR(__xludf.DUMMYFUNCTION("""COMPUTED_VALUE"""),"Batch 368")</f>
        <v>Batch 368</v>
      </c>
      <c r="B9849" s="9" t="str">
        <f>IFERROR(__xludf.DUMMYFUNCTION("""COMPUTED_VALUE"""),"GadilliC368")</f>
        <v>GadilliC368</v>
      </c>
      <c r="C9849" s="8">
        <f>IFERROR(__xludf.DUMMYFUNCTION("""COMPUTED_VALUE"""),0.0)</f>
        <v>0</v>
      </c>
      <c r="D9849" s="8"/>
    </row>
    <row r="9850">
      <c r="A9850" s="9" t="str">
        <f>IFERROR(__xludf.DUMMYFUNCTION("""COMPUTED_VALUE"""),"Batch 368")</f>
        <v>Batch 368</v>
      </c>
      <c r="B9850" s="9" t="str">
        <f>IFERROR(__xludf.DUMMYFUNCTION("""COMPUTED_VALUE"""),"SiyaC368")</f>
        <v>SiyaC368</v>
      </c>
      <c r="C9850" s="8">
        <f>IFERROR(__xludf.DUMMYFUNCTION("""COMPUTED_VALUE"""),0.0)</f>
        <v>0</v>
      </c>
      <c r="D9850" s="8"/>
    </row>
    <row r="9851">
      <c r="A9851" s="9" t="str">
        <f>IFERROR(__xludf.DUMMYFUNCTION("""COMPUTED_VALUE"""),"Batch 368")</f>
        <v>Batch 368</v>
      </c>
      <c r="B9851" s="9" t="str">
        <f>IFERROR(__xludf.DUMMYFUNCTION("""COMPUTED_VALUE"""),"SrijaC368")</f>
        <v>SrijaC368</v>
      </c>
      <c r="C9851" s="8">
        <f>IFERROR(__xludf.DUMMYFUNCTION("""COMPUTED_VALUE"""),0.0)</f>
        <v>0</v>
      </c>
      <c r="D9851" s="8"/>
    </row>
    <row r="9852">
      <c r="A9852" s="9" t="str">
        <f>IFERROR(__xludf.DUMMYFUNCTION("""COMPUTED_VALUE"""),"Batch 368")</f>
        <v>Batch 368</v>
      </c>
      <c r="B9852" s="9" t="str">
        <f>IFERROR(__xludf.DUMMYFUNCTION("""COMPUTED_VALUE"""),"SadiyaC368")</f>
        <v>SadiyaC368</v>
      </c>
      <c r="C9852" s="8">
        <f>IFERROR(__xludf.DUMMYFUNCTION("""COMPUTED_VALUE"""),0.0)</f>
        <v>0</v>
      </c>
      <c r="D9852" s="8"/>
    </row>
    <row r="9853">
      <c r="A9853" s="9" t="str">
        <f>IFERROR(__xludf.DUMMYFUNCTION("""COMPUTED_VALUE"""),"Batch 368")</f>
        <v>Batch 368</v>
      </c>
      <c r="B9853" s="9" t="str">
        <f>IFERROR(__xludf.DUMMYFUNCTION("""COMPUTED_VALUE"""),"DarshanaC368")</f>
        <v>DarshanaC368</v>
      </c>
      <c r="C9853" s="8">
        <f>IFERROR(__xludf.DUMMYFUNCTION("""COMPUTED_VALUE"""),0.0)</f>
        <v>0</v>
      </c>
      <c r="D9853" s="8"/>
    </row>
    <row r="9854">
      <c r="A9854" s="9" t="str">
        <f>IFERROR(__xludf.DUMMYFUNCTION("""COMPUTED_VALUE"""),"Batch 368")</f>
        <v>Batch 368</v>
      </c>
      <c r="B9854" s="9" t="str">
        <f>IFERROR(__xludf.DUMMYFUNCTION("""COMPUTED_VALUE"""),"AkashC368")</f>
        <v>AkashC368</v>
      </c>
      <c r="C9854" s="8">
        <f>IFERROR(__xludf.DUMMYFUNCTION("""COMPUTED_VALUE"""),0.0)</f>
        <v>0</v>
      </c>
      <c r="D9854" s="8"/>
    </row>
    <row r="9855">
      <c r="A9855" s="9" t="str">
        <f>IFERROR(__xludf.DUMMYFUNCTION("""COMPUTED_VALUE"""),"Batch 368")</f>
        <v>Batch 368</v>
      </c>
      <c r="B9855" s="9" t="str">
        <f>IFERROR(__xludf.DUMMYFUNCTION("""COMPUTED_VALUE"""),"AaryaC368")</f>
        <v>AaryaC368</v>
      </c>
      <c r="C9855" s="8">
        <f>IFERROR(__xludf.DUMMYFUNCTION("""COMPUTED_VALUE"""),0.0)</f>
        <v>0</v>
      </c>
      <c r="D9855" s="8"/>
    </row>
    <row r="9856">
      <c r="A9856" s="9" t="str">
        <f>IFERROR(__xludf.DUMMYFUNCTION("""COMPUTED_VALUE"""),"Batch 368")</f>
        <v>Batch 368</v>
      </c>
      <c r="B9856" s="9" t="str">
        <f>IFERROR(__xludf.DUMMYFUNCTION("""COMPUTED_VALUE"""),"TuranyaC368")</f>
        <v>TuranyaC368</v>
      </c>
      <c r="C9856" s="8">
        <f>IFERROR(__xludf.DUMMYFUNCTION("""COMPUTED_VALUE"""),0.0)</f>
        <v>0</v>
      </c>
      <c r="D9856" s="8"/>
    </row>
    <row r="9857">
      <c r="A9857" s="9" t="str">
        <f>IFERROR(__xludf.DUMMYFUNCTION("""COMPUTED_VALUE"""),"Batch 368")</f>
        <v>Batch 368</v>
      </c>
      <c r="B9857" s="9" t="str">
        <f>IFERROR(__xludf.DUMMYFUNCTION("""COMPUTED_VALUE"""),"JigyasaC368")</f>
        <v>JigyasaC368</v>
      </c>
      <c r="C9857" s="8">
        <f>IFERROR(__xludf.DUMMYFUNCTION("""COMPUTED_VALUE"""),0.0)</f>
        <v>0</v>
      </c>
      <c r="D9857" s="8"/>
    </row>
    <row r="9858">
      <c r="A9858" s="9" t="str">
        <f>IFERROR(__xludf.DUMMYFUNCTION("""COMPUTED_VALUE"""),"Batch 368")</f>
        <v>Batch 368</v>
      </c>
      <c r="B9858" s="9" t="str">
        <f>IFERROR(__xludf.DUMMYFUNCTION("""COMPUTED_VALUE"""),"luckyC368")</f>
        <v>luckyC368</v>
      </c>
      <c r="C9858" s="8">
        <f>IFERROR(__xludf.DUMMYFUNCTION("""COMPUTED_VALUE"""),0.0)</f>
        <v>0</v>
      </c>
      <c r="D9858" s="8"/>
    </row>
    <row r="9859">
      <c r="A9859" s="9" t="str">
        <f>IFERROR(__xludf.DUMMYFUNCTION("""COMPUTED_VALUE"""),"Batch 368")</f>
        <v>Batch 368</v>
      </c>
      <c r="B9859" s="9" t="str">
        <f>IFERROR(__xludf.DUMMYFUNCTION("""COMPUTED_VALUE"""),"MohammadC368")</f>
        <v>MohammadC368</v>
      </c>
      <c r="C9859" s="8">
        <f>IFERROR(__xludf.DUMMYFUNCTION("""COMPUTED_VALUE"""),0.0)</f>
        <v>0</v>
      </c>
      <c r="D9859" s="8"/>
    </row>
    <row r="9860">
      <c r="A9860" s="9" t="str">
        <f>IFERROR(__xludf.DUMMYFUNCTION("""COMPUTED_VALUE"""),"Batch 368")</f>
        <v>Batch 368</v>
      </c>
      <c r="B9860" s="9" t="str">
        <f>IFERROR(__xludf.DUMMYFUNCTION("""COMPUTED_VALUE"""),"YaminiC368")</f>
        <v>YaminiC368</v>
      </c>
      <c r="C9860" s="8">
        <f>IFERROR(__xludf.DUMMYFUNCTION("""COMPUTED_VALUE"""),0.0)</f>
        <v>0</v>
      </c>
      <c r="D9860" s="8"/>
    </row>
    <row r="9861">
      <c r="A9861" s="9" t="str">
        <f>IFERROR(__xludf.DUMMYFUNCTION("""COMPUTED_VALUE"""),"Batch 368")</f>
        <v>Batch 368</v>
      </c>
      <c r="B9861" s="9" t="str">
        <f>IFERROR(__xludf.DUMMYFUNCTION("""COMPUTED_VALUE"""),"AnusuaC368")</f>
        <v>AnusuaC368</v>
      </c>
      <c r="C9861" s="8">
        <f>IFERROR(__xludf.DUMMYFUNCTION("""COMPUTED_VALUE"""),0.0)</f>
        <v>0</v>
      </c>
      <c r="D9861" s="8"/>
    </row>
    <row r="9862">
      <c r="A9862" s="9" t="str">
        <f>IFERROR(__xludf.DUMMYFUNCTION("""COMPUTED_VALUE"""),"Batch 368")</f>
        <v>Batch 368</v>
      </c>
      <c r="B9862" s="9" t="str">
        <f>IFERROR(__xludf.DUMMYFUNCTION("""COMPUTED_VALUE"""),"PiyushC368")</f>
        <v>PiyushC368</v>
      </c>
      <c r="C9862" s="8">
        <f>IFERROR(__xludf.DUMMYFUNCTION("""COMPUTED_VALUE"""),0.0)</f>
        <v>0</v>
      </c>
      <c r="D9862" s="8"/>
    </row>
    <row r="9863">
      <c r="A9863" s="9" t="str">
        <f>IFERROR(__xludf.DUMMYFUNCTION("""COMPUTED_VALUE"""),"Batch 368")</f>
        <v>Batch 368</v>
      </c>
      <c r="B9863" s="9" t="str">
        <f>IFERROR(__xludf.DUMMYFUNCTION("""COMPUTED_VALUE"""),"RahulC368")</f>
        <v>RahulC368</v>
      </c>
      <c r="C9863" s="8">
        <f>IFERROR(__xludf.DUMMYFUNCTION("""COMPUTED_VALUE"""),0.0)</f>
        <v>0</v>
      </c>
      <c r="D9863" s="8"/>
    </row>
    <row r="9864">
      <c r="A9864" s="9" t="str">
        <f>IFERROR(__xludf.DUMMYFUNCTION("""COMPUTED_VALUE"""),"Batch 368")</f>
        <v>Batch 368</v>
      </c>
      <c r="B9864" s="9" t="str">
        <f>IFERROR(__xludf.DUMMYFUNCTION("""COMPUTED_VALUE"""),"HarshalC368")</f>
        <v>HarshalC368</v>
      </c>
      <c r="C9864" s="8">
        <f>IFERROR(__xludf.DUMMYFUNCTION("""COMPUTED_VALUE"""),0.0)</f>
        <v>0</v>
      </c>
      <c r="D9864" s="8"/>
    </row>
    <row r="9865">
      <c r="A9865" s="9" t="str">
        <f>IFERROR(__xludf.DUMMYFUNCTION("""COMPUTED_VALUE"""),"Batch 368")</f>
        <v>Batch 368</v>
      </c>
      <c r="B9865" s="9" t="str">
        <f>IFERROR(__xludf.DUMMYFUNCTION("""COMPUTED_VALUE"""),"SathwikC368")</f>
        <v>SathwikC368</v>
      </c>
      <c r="C9865" s="8">
        <f>IFERROR(__xludf.DUMMYFUNCTION("""COMPUTED_VALUE"""),0.0)</f>
        <v>0</v>
      </c>
      <c r="D9865" s="8"/>
    </row>
    <row r="9866">
      <c r="A9866" s="9" t="str">
        <f>IFERROR(__xludf.DUMMYFUNCTION("""COMPUTED_VALUE"""),"Batch 368")</f>
        <v>Batch 368</v>
      </c>
      <c r="B9866" s="9" t="str">
        <f>IFERROR(__xludf.DUMMYFUNCTION("""COMPUTED_VALUE"""),"ShubhamC368")</f>
        <v>ShubhamC368</v>
      </c>
      <c r="C9866" s="8">
        <f>IFERROR(__xludf.DUMMYFUNCTION("""COMPUTED_VALUE"""),0.0)</f>
        <v>0</v>
      </c>
      <c r="D9866" s="8"/>
    </row>
    <row r="9867">
      <c r="A9867" s="9" t="str">
        <f>IFERROR(__xludf.DUMMYFUNCTION("""COMPUTED_VALUE"""),"Batch 368")</f>
        <v>Batch 368</v>
      </c>
      <c r="B9867" s="9" t="str">
        <f>IFERROR(__xludf.DUMMYFUNCTION("""COMPUTED_VALUE"""),"SaiprangyaC368")</f>
        <v>SaiprangyaC368</v>
      </c>
      <c r="C9867" s="8">
        <f>IFERROR(__xludf.DUMMYFUNCTION("""COMPUTED_VALUE"""),1.0)</f>
        <v>1</v>
      </c>
      <c r="D9867" s="8"/>
    </row>
    <row r="9868">
      <c r="A9868" s="9" t="str">
        <f>IFERROR(__xludf.DUMMYFUNCTION("""COMPUTED_VALUE"""),"Batch 368")</f>
        <v>Batch 368</v>
      </c>
      <c r="B9868" s="9" t="str">
        <f>IFERROR(__xludf.DUMMYFUNCTION("""COMPUTED_VALUE"""),"AdityaC368")</f>
        <v>AdityaC368</v>
      </c>
      <c r="C9868" s="8">
        <f>IFERROR(__xludf.DUMMYFUNCTION("""COMPUTED_VALUE"""),0.0)</f>
        <v>0</v>
      </c>
      <c r="D9868" s="8"/>
    </row>
    <row r="9869">
      <c r="A9869" s="9" t="str">
        <f>IFERROR(__xludf.DUMMYFUNCTION("""COMPUTED_VALUE"""),"Batch 368")</f>
        <v>Batch 368</v>
      </c>
      <c r="B9869" s="9" t="str">
        <f>IFERROR(__xludf.DUMMYFUNCTION("""COMPUTED_VALUE"""),"SyedC368")</f>
        <v>SyedC368</v>
      </c>
      <c r="C9869" s="8">
        <f>IFERROR(__xludf.DUMMYFUNCTION("""COMPUTED_VALUE"""),0.0)</f>
        <v>0</v>
      </c>
      <c r="D9869" s="8"/>
    </row>
    <row r="9870">
      <c r="A9870" s="9" t="str">
        <f>IFERROR(__xludf.DUMMYFUNCTION("""COMPUTED_VALUE"""),"Batch 368")</f>
        <v>Batch 368</v>
      </c>
      <c r="B9870" s="9" t="str">
        <f>IFERROR(__xludf.DUMMYFUNCTION("""COMPUTED_VALUE"""),"BhuvaneshwariC368")</f>
        <v>BhuvaneshwariC368</v>
      </c>
      <c r="C9870" s="8">
        <f>IFERROR(__xludf.DUMMYFUNCTION("""COMPUTED_VALUE"""),0.0)</f>
        <v>0</v>
      </c>
      <c r="D9870" s="8"/>
    </row>
    <row r="9871">
      <c r="A9871" s="9" t="str">
        <f>IFERROR(__xludf.DUMMYFUNCTION("""COMPUTED_VALUE"""),"Batch 368")</f>
        <v>Batch 368</v>
      </c>
      <c r="B9871" s="9" t="str">
        <f>IFERROR(__xludf.DUMMYFUNCTION("""COMPUTED_VALUE"""),"SanicaC368")</f>
        <v>SanicaC368</v>
      </c>
      <c r="C9871" s="8">
        <f>IFERROR(__xludf.DUMMYFUNCTION("""COMPUTED_VALUE"""),0.0)</f>
        <v>0</v>
      </c>
      <c r="D9871" s="8"/>
    </row>
    <row r="9872">
      <c r="A9872" s="9" t="str">
        <f>IFERROR(__xludf.DUMMYFUNCTION("""COMPUTED_VALUE"""),"Batch 368")</f>
        <v>Batch 368</v>
      </c>
      <c r="B9872" s="9" t="str">
        <f>IFERROR(__xludf.DUMMYFUNCTION("""COMPUTED_VALUE"""),"SakshiC368")</f>
        <v>SakshiC368</v>
      </c>
      <c r="C9872" s="8">
        <f>IFERROR(__xludf.DUMMYFUNCTION("""COMPUTED_VALUE"""),0.0)</f>
        <v>0</v>
      </c>
      <c r="D9872" s="8"/>
    </row>
    <row r="9873">
      <c r="A9873" s="9" t="str">
        <f>IFERROR(__xludf.DUMMYFUNCTION("""COMPUTED_VALUE"""),"Batch 368")</f>
        <v>Batch 368</v>
      </c>
      <c r="B9873" s="9" t="str">
        <f>IFERROR(__xludf.DUMMYFUNCTION("""COMPUTED_VALUE"""),"VinayC368")</f>
        <v>VinayC368</v>
      </c>
      <c r="C9873" s="8">
        <f>IFERROR(__xludf.DUMMYFUNCTION("""COMPUTED_VALUE"""),30.0)</f>
        <v>30</v>
      </c>
      <c r="D9873" s="8">
        <f>IFERROR(__xludf.DUMMYFUNCTION("""COMPUTED_VALUE"""),9.0)</f>
        <v>9</v>
      </c>
    </row>
    <row r="9874">
      <c r="A9874" s="9" t="str">
        <f>IFERROR(__xludf.DUMMYFUNCTION("""COMPUTED_VALUE"""),"Batch 368")</f>
        <v>Batch 368</v>
      </c>
      <c r="B9874" s="9" t="str">
        <f>IFERROR(__xludf.DUMMYFUNCTION("""COMPUTED_VALUE"""),"LakshyaC368")</f>
        <v>LakshyaC368</v>
      </c>
      <c r="C9874" s="8">
        <f>IFERROR(__xludf.DUMMYFUNCTION("""COMPUTED_VALUE"""),0.0)</f>
        <v>0</v>
      </c>
      <c r="D9874" s="8"/>
    </row>
    <row r="9875">
      <c r="A9875" s="9" t="str">
        <f>IFERROR(__xludf.DUMMYFUNCTION("""COMPUTED_VALUE"""),"Batch 368")</f>
        <v>Batch 368</v>
      </c>
      <c r="B9875" s="9" t="str">
        <f>IFERROR(__xludf.DUMMYFUNCTION("""COMPUTED_VALUE"""),"JaidC368")</f>
        <v>JaidC368</v>
      </c>
      <c r="C9875" s="8">
        <f>IFERROR(__xludf.DUMMYFUNCTION("""COMPUTED_VALUE"""),1.0)</f>
        <v>1</v>
      </c>
      <c r="D9875" s="8"/>
    </row>
    <row r="9876">
      <c r="A9876" s="9" t="str">
        <f>IFERROR(__xludf.DUMMYFUNCTION("""COMPUTED_VALUE"""),"Batch 368")</f>
        <v>Batch 368</v>
      </c>
      <c r="B9876" s="9" t="str">
        <f>IFERROR(__xludf.DUMMYFUNCTION("""COMPUTED_VALUE"""),"PrathyulC368")</f>
        <v>PrathyulC368</v>
      </c>
      <c r="C9876" s="8">
        <f>IFERROR(__xludf.DUMMYFUNCTION("""COMPUTED_VALUE"""),0.0)</f>
        <v>0</v>
      </c>
      <c r="D9876" s="8"/>
    </row>
    <row r="9877">
      <c r="A9877" s="9" t="str">
        <f>IFERROR(__xludf.DUMMYFUNCTION("""COMPUTED_VALUE"""),"Batch 368")</f>
        <v>Batch 368</v>
      </c>
      <c r="B9877" s="9" t="str">
        <f>IFERROR(__xludf.DUMMYFUNCTION("""COMPUTED_VALUE"""),"GunjanC368")</f>
        <v>GunjanC368</v>
      </c>
      <c r="C9877" s="8">
        <f>IFERROR(__xludf.DUMMYFUNCTION("""COMPUTED_VALUE"""),1.0)</f>
        <v>1</v>
      </c>
      <c r="D9877" s="8"/>
    </row>
    <row r="9878">
      <c r="A9878" s="9" t="str">
        <f>IFERROR(__xludf.DUMMYFUNCTION("""COMPUTED_VALUE"""),"Batch 368")</f>
        <v>Batch 368</v>
      </c>
      <c r="B9878" s="9" t="str">
        <f>IFERROR(__xludf.DUMMYFUNCTION("""COMPUTED_VALUE"""),"ShrutiC368")</f>
        <v>ShrutiC368</v>
      </c>
      <c r="C9878" s="8">
        <f>IFERROR(__xludf.DUMMYFUNCTION("""COMPUTED_VALUE"""),0.0)</f>
        <v>0</v>
      </c>
      <c r="D9878" s="8"/>
    </row>
    <row r="9879">
      <c r="A9879" s="9" t="str">
        <f>IFERROR(__xludf.DUMMYFUNCTION("""COMPUTED_VALUE"""),"Batch 368")</f>
        <v>Batch 368</v>
      </c>
      <c r="B9879" s="9" t="str">
        <f>IFERROR(__xludf.DUMMYFUNCTION("""COMPUTED_VALUE"""),"SushmitaC368")</f>
        <v>SushmitaC368</v>
      </c>
      <c r="C9879" s="8">
        <f>IFERROR(__xludf.DUMMYFUNCTION("""COMPUTED_VALUE"""),0.0)</f>
        <v>0</v>
      </c>
      <c r="D9879" s="8"/>
    </row>
    <row r="9880">
      <c r="A9880" s="9" t="str">
        <f>IFERROR(__xludf.DUMMYFUNCTION("""COMPUTED_VALUE"""),"Batch 368")</f>
        <v>Batch 368</v>
      </c>
      <c r="B9880" s="9" t="str">
        <f>IFERROR(__xludf.DUMMYFUNCTION("""COMPUTED_VALUE"""),"RaghulC368")</f>
        <v>RaghulC368</v>
      </c>
      <c r="C9880" s="8">
        <f>IFERROR(__xludf.DUMMYFUNCTION("""COMPUTED_VALUE"""),0.0)</f>
        <v>0</v>
      </c>
      <c r="D9880" s="8"/>
    </row>
    <row r="9881">
      <c r="A9881" s="9" t="str">
        <f>IFERROR(__xludf.DUMMYFUNCTION("""COMPUTED_VALUE"""),"Batch 368")</f>
        <v>Batch 368</v>
      </c>
      <c r="B9881" s="9" t="str">
        <f>IFERROR(__xludf.DUMMYFUNCTION("""COMPUTED_VALUE"""),"SufiaC368")</f>
        <v>SufiaC368</v>
      </c>
      <c r="C9881" s="8">
        <f>IFERROR(__xludf.DUMMYFUNCTION("""COMPUTED_VALUE"""),0.0)</f>
        <v>0</v>
      </c>
      <c r="D9881" s="8"/>
    </row>
    <row r="9882">
      <c r="A9882" s="9" t="str">
        <f>IFERROR(__xludf.DUMMYFUNCTION("""COMPUTED_VALUE"""),"Batch 368")</f>
        <v>Batch 368</v>
      </c>
      <c r="B9882" s="9" t="str">
        <f>IFERROR(__xludf.DUMMYFUNCTION("""COMPUTED_VALUE"""),"VaishnaviC368")</f>
        <v>VaishnaviC368</v>
      </c>
      <c r="C9882" s="8">
        <f>IFERROR(__xludf.DUMMYFUNCTION("""COMPUTED_VALUE"""),0.0)</f>
        <v>0</v>
      </c>
      <c r="D9882" s="8"/>
    </row>
    <row r="9883">
      <c r="A9883" s="9" t="str">
        <f>IFERROR(__xludf.DUMMYFUNCTION("""COMPUTED_VALUE"""),"Batch 368")</f>
        <v>Batch 368</v>
      </c>
      <c r="B9883" s="9" t="str">
        <f>IFERROR(__xludf.DUMMYFUNCTION("""COMPUTED_VALUE"""),"YashasviC368")</f>
        <v>YashasviC368</v>
      </c>
      <c r="C9883" s="8">
        <f>IFERROR(__xludf.DUMMYFUNCTION("""COMPUTED_VALUE"""),0.0)</f>
        <v>0</v>
      </c>
      <c r="D9883" s="8"/>
    </row>
    <row r="9884">
      <c r="A9884" s="9" t="str">
        <f>IFERROR(__xludf.DUMMYFUNCTION("""COMPUTED_VALUE"""),"Batch 368")</f>
        <v>Batch 368</v>
      </c>
      <c r="B9884" s="9" t="str">
        <f>IFERROR(__xludf.DUMMYFUNCTION("""COMPUTED_VALUE"""),"VanshikaC368")</f>
        <v>VanshikaC368</v>
      </c>
      <c r="C9884" s="8">
        <f>IFERROR(__xludf.DUMMYFUNCTION("""COMPUTED_VALUE"""),0.0)</f>
        <v>0</v>
      </c>
      <c r="D9884" s="8"/>
    </row>
    <row r="9885">
      <c r="A9885" s="9" t="str">
        <f>IFERROR(__xludf.DUMMYFUNCTION("""COMPUTED_VALUE"""),"Batch 368")</f>
        <v>Batch 368</v>
      </c>
      <c r="B9885" s="9" t="str">
        <f>IFERROR(__xludf.DUMMYFUNCTION("""COMPUTED_VALUE"""),"VaibhavC368")</f>
        <v>VaibhavC368</v>
      </c>
      <c r="C9885" s="8">
        <f>IFERROR(__xludf.DUMMYFUNCTION("""COMPUTED_VALUE"""),0.0)</f>
        <v>0</v>
      </c>
      <c r="D9885" s="8"/>
    </row>
    <row r="9886">
      <c r="A9886" s="9" t="str">
        <f>IFERROR(__xludf.DUMMYFUNCTION("""COMPUTED_VALUE"""),"Batch 368")</f>
        <v>Batch 368</v>
      </c>
      <c r="B9886" s="9" t="str">
        <f>IFERROR(__xludf.DUMMYFUNCTION("""COMPUTED_VALUE"""),"DushyantC368")</f>
        <v>DushyantC368</v>
      </c>
      <c r="C9886" s="8">
        <f>IFERROR(__xludf.DUMMYFUNCTION("""COMPUTED_VALUE"""),8.0)</f>
        <v>8</v>
      </c>
      <c r="D9886" s="8">
        <f>IFERROR(__xludf.DUMMYFUNCTION("""COMPUTED_VALUE"""),11.0)</f>
        <v>11</v>
      </c>
    </row>
    <row r="9887">
      <c r="A9887" s="9" t="str">
        <f>IFERROR(__xludf.DUMMYFUNCTION("""COMPUTED_VALUE"""),"Batch 368")</f>
        <v>Batch 368</v>
      </c>
      <c r="B9887" s="9" t="str">
        <f>IFERROR(__xludf.DUMMYFUNCTION("""COMPUTED_VALUE"""),"KAUSTUBHC368")</f>
        <v>KAUSTUBHC368</v>
      </c>
      <c r="C9887" s="8">
        <f>IFERROR(__xludf.DUMMYFUNCTION("""COMPUTED_VALUE"""),0.0)</f>
        <v>0</v>
      </c>
      <c r="D9887" s="8"/>
    </row>
    <row r="9888">
      <c r="A9888" s="9" t="str">
        <f>IFERROR(__xludf.DUMMYFUNCTION("""COMPUTED_VALUE"""),"Batch 368")</f>
        <v>Batch 368</v>
      </c>
      <c r="B9888" s="9" t="str">
        <f>IFERROR(__xludf.DUMMYFUNCTION("""COMPUTED_VALUE"""),"SoumyaC368")</f>
        <v>SoumyaC368</v>
      </c>
      <c r="C9888" s="8">
        <f>IFERROR(__xludf.DUMMYFUNCTION("""COMPUTED_VALUE"""),0.0)</f>
        <v>0</v>
      </c>
      <c r="D9888" s="8"/>
    </row>
    <row r="9889">
      <c r="A9889" s="9" t="str">
        <f>IFERROR(__xludf.DUMMYFUNCTION("""COMPUTED_VALUE"""),"Batch 368")</f>
        <v>Batch 368</v>
      </c>
      <c r="B9889" s="9" t="str">
        <f>IFERROR(__xludf.DUMMYFUNCTION("""COMPUTED_VALUE"""),"KhushiC368")</f>
        <v>KhushiC368</v>
      </c>
      <c r="C9889" s="8">
        <f>IFERROR(__xludf.DUMMYFUNCTION("""COMPUTED_VALUE"""),0.0)</f>
        <v>0</v>
      </c>
      <c r="D9889" s="8"/>
    </row>
    <row r="9890">
      <c r="A9890" s="9" t="str">
        <f>IFERROR(__xludf.DUMMYFUNCTION("""COMPUTED_VALUE"""),"Batch 368")</f>
        <v>Batch 368</v>
      </c>
      <c r="B9890" s="9" t="str">
        <f>IFERROR(__xludf.DUMMYFUNCTION("""COMPUTED_VALUE"""),"SumitC368")</f>
        <v>SumitC368</v>
      </c>
      <c r="C9890" s="8">
        <f>IFERROR(__xludf.DUMMYFUNCTION("""COMPUTED_VALUE"""),1.0)</f>
        <v>1</v>
      </c>
      <c r="D9890" s="8"/>
    </row>
    <row r="9891">
      <c r="A9891" s="9" t="str">
        <f>IFERROR(__xludf.DUMMYFUNCTION("""COMPUTED_VALUE"""),"Batch 368")</f>
        <v>Batch 368</v>
      </c>
      <c r="B9891" s="9" t="str">
        <f>IFERROR(__xludf.DUMMYFUNCTION("""COMPUTED_VALUE"""),"RitikC368")</f>
        <v>RitikC368</v>
      </c>
      <c r="C9891" s="8">
        <f>IFERROR(__xludf.DUMMYFUNCTION("""COMPUTED_VALUE"""),0.0)</f>
        <v>0</v>
      </c>
      <c r="D9891" s="8"/>
    </row>
    <row r="9892">
      <c r="A9892" s="9" t="str">
        <f>IFERROR(__xludf.DUMMYFUNCTION("""COMPUTED_VALUE"""),"Batch 368")</f>
        <v>Batch 368</v>
      </c>
      <c r="B9892" s="9" t="str">
        <f>IFERROR(__xludf.DUMMYFUNCTION("""COMPUTED_VALUE"""),"VaibhaviC368")</f>
        <v>VaibhaviC368</v>
      </c>
      <c r="C9892" s="8">
        <f>IFERROR(__xludf.DUMMYFUNCTION("""COMPUTED_VALUE"""),0.0)</f>
        <v>0</v>
      </c>
      <c r="D9892" s="8"/>
    </row>
    <row r="9893">
      <c r="A9893" s="9"/>
      <c r="B9893" s="9"/>
      <c r="C9893" s="8">
        <f>IFERROR(__xludf.DUMMYFUNCTION("""COMPUTED_VALUE"""),0.0)</f>
        <v>0</v>
      </c>
      <c r="D9893" s="8"/>
    </row>
    <row r="9894">
      <c r="A9894" s="9" t="str">
        <f>IFERROR(__xludf.DUMMYFUNCTION("""COMPUTED_VALUE"""),"Batch 369")</f>
        <v>Batch 369</v>
      </c>
      <c r="B9894" s="9" t="str">
        <f>IFERROR(__xludf.DUMMYFUNCTION("""COMPUTED_VALUE"""),"SnehaC369")</f>
        <v>SnehaC369</v>
      </c>
      <c r="C9894" s="8">
        <f>IFERROR(__xludf.DUMMYFUNCTION("""COMPUTED_VALUE"""),0.0)</f>
        <v>0</v>
      </c>
      <c r="D9894" s="8"/>
    </row>
    <row r="9895">
      <c r="A9895" s="9" t="str">
        <f>IFERROR(__xludf.DUMMYFUNCTION("""COMPUTED_VALUE"""),"Batch 369")</f>
        <v>Batch 369</v>
      </c>
      <c r="B9895" s="9" t="str">
        <f>IFERROR(__xludf.DUMMYFUNCTION("""COMPUTED_VALUE"""),"SukhdeepC369")</f>
        <v>SukhdeepC369</v>
      </c>
      <c r="C9895" s="8">
        <f>IFERROR(__xludf.DUMMYFUNCTION("""COMPUTED_VALUE"""),0.0)</f>
        <v>0</v>
      </c>
      <c r="D9895" s="8"/>
    </row>
    <row r="9896">
      <c r="A9896" s="9" t="str">
        <f>IFERROR(__xludf.DUMMYFUNCTION("""COMPUTED_VALUE"""),"Batch 369")</f>
        <v>Batch 369</v>
      </c>
      <c r="B9896" s="9" t="str">
        <f>IFERROR(__xludf.DUMMYFUNCTION("""COMPUTED_VALUE"""),"PushparajC369")</f>
        <v>PushparajC369</v>
      </c>
      <c r="C9896" s="8">
        <f>IFERROR(__xludf.DUMMYFUNCTION("""COMPUTED_VALUE"""),0.0)</f>
        <v>0</v>
      </c>
      <c r="D9896" s="8"/>
    </row>
    <row r="9897">
      <c r="A9897" s="9" t="str">
        <f>IFERROR(__xludf.DUMMYFUNCTION("""COMPUTED_VALUE"""),"Batch 369")</f>
        <v>Batch 369</v>
      </c>
      <c r="B9897" s="9" t="str">
        <f>IFERROR(__xludf.DUMMYFUNCTION("""COMPUTED_VALUE"""),"PrajaktaC369")</f>
        <v>PrajaktaC369</v>
      </c>
      <c r="C9897" s="8">
        <f>IFERROR(__xludf.DUMMYFUNCTION("""COMPUTED_VALUE"""),0.0)</f>
        <v>0</v>
      </c>
      <c r="D9897" s="8"/>
    </row>
    <row r="9898">
      <c r="A9898" s="9" t="str">
        <f>IFERROR(__xludf.DUMMYFUNCTION("""COMPUTED_VALUE"""),"Batch 369")</f>
        <v>Batch 369</v>
      </c>
      <c r="B9898" s="9" t="str">
        <f>IFERROR(__xludf.DUMMYFUNCTION("""COMPUTED_VALUE"""),"DevC369")</f>
        <v>DevC369</v>
      </c>
      <c r="C9898" s="8">
        <f>IFERROR(__xludf.DUMMYFUNCTION("""COMPUTED_VALUE"""),0.0)</f>
        <v>0</v>
      </c>
      <c r="D9898" s="8"/>
    </row>
    <row r="9899">
      <c r="A9899" s="9" t="str">
        <f>IFERROR(__xludf.DUMMYFUNCTION("""COMPUTED_VALUE"""),"Batch 369")</f>
        <v>Batch 369</v>
      </c>
      <c r="B9899" s="9" t="str">
        <f>IFERROR(__xludf.DUMMYFUNCTION("""COMPUTED_VALUE"""),"CHEEDELLAC369")</f>
        <v>CHEEDELLAC369</v>
      </c>
      <c r="C9899" s="8">
        <f>IFERROR(__xludf.DUMMYFUNCTION("""COMPUTED_VALUE"""),0.0)</f>
        <v>0</v>
      </c>
      <c r="D9899" s="8"/>
    </row>
    <row r="9900">
      <c r="A9900" s="9" t="str">
        <f>IFERROR(__xludf.DUMMYFUNCTION("""COMPUTED_VALUE"""),"Batch 369")</f>
        <v>Batch 369</v>
      </c>
      <c r="B9900" s="9" t="str">
        <f>IFERROR(__xludf.DUMMYFUNCTION("""COMPUTED_VALUE"""),"RanjeetC369")</f>
        <v>RanjeetC369</v>
      </c>
      <c r="C9900" s="8">
        <f>IFERROR(__xludf.DUMMYFUNCTION("""COMPUTED_VALUE"""),0.0)</f>
        <v>0</v>
      </c>
      <c r="D9900" s="8"/>
    </row>
    <row r="9901">
      <c r="A9901" s="9" t="str">
        <f>IFERROR(__xludf.DUMMYFUNCTION("""COMPUTED_VALUE"""),"Batch 369")</f>
        <v>Batch 369</v>
      </c>
      <c r="B9901" s="9" t="str">
        <f>IFERROR(__xludf.DUMMYFUNCTION("""COMPUTED_VALUE"""),"SIMRANC369")</f>
        <v>SIMRANC369</v>
      </c>
      <c r="C9901" s="8">
        <f>IFERROR(__xludf.DUMMYFUNCTION("""COMPUTED_VALUE"""),0.0)</f>
        <v>0</v>
      </c>
      <c r="D9901" s="8"/>
    </row>
    <row r="9902">
      <c r="A9902" s="9" t="str">
        <f>IFERROR(__xludf.DUMMYFUNCTION("""COMPUTED_VALUE"""),"Batch 369")</f>
        <v>Batch 369</v>
      </c>
      <c r="B9902" s="9" t="str">
        <f>IFERROR(__xludf.DUMMYFUNCTION("""COMPUTED_VALUE"""),"PAROMITAC369")</f>
        <v>PAROMITAC369</v>
      </c>
      <c r="C9902" s="8">
        <f>IFERROR(__xludf.DUMMYFUNCTION("""COMPUTED_VALUE"""),0.0)</f>
        <v>0</v>
      </c>
      <c r="D9902" s="8"/>
    </row>
    <row r="9903">
      <c r="A9903" s="9" t="str">
        <f>IFERROR(__xludf.DUMMYFUNCTION("""COMPUTED_VALUE"""),"Batch 369")</f>
        <v>Batch 369</v>
      </c>
      <c r="B9903" s="9" t="str">
        <f>IFERROR(__xludf.DUMMYFUNCTION("""COMPUTED_VALUE"""),"AmanC369")</f>
        <v>AmanC369</v>
      </c>
      <c r="C9903" s="8">
        <f>IFERROR(__xludf.DUMMYFUNCTION("""COMPUTED_VALUE"""),0.0)</f>
        <v>0</v>
      </c>
      <c r="D9903" s="8"/>
    </row>
    <row r="9904">
      <c r="A9904" s="9" t="str">
        <f>IFERROR(__xludf.DUMMYFUNCTION("""COMPUTED_VALUE"""),"Batch 369")</f>
        <v>Batch 369</v>
      </c>
      <c r="B9904" s="9" t="str">
        <f>IFERROR(__xludf.DUMMYFUNCTION("""COMPUTED_VALUE"""),"HayatunnabiC369")</f>
        <v>HayatunnabiC369</v>
      </c>
      <c r="C9904" s="8">
        <f>IFERROR(__xludf.DUMMYFUNCTION("""COMPUTED_VALUE"""),0.0)</f>
        <v>0</v>
      </c>
      <c r="D9904" s="8"/>
    </row>
    <row r="9905">
      <c r="A9905" s="9" t="str">
        <f>IFERROR(__xludf.DUMMYFUNCTION("""COMPUTED_VALUE"""),"Batch 369")</f>
        <v>Batch 369</v>
      </c>
      <c r="B9905" s="9" t="str">
        <f>IFERROR(__xludf.DUMMYFUNCTION("""COMPUTED_VALUE"""),"bhoomikaC369")</f>
        <v>bhoomikaC369</v>
      </c>
      <c r="C9905" s="8">
        <f>IFERROR(__xludf.DUMMYFUNCTION("""COMPUTED_VALUE"""),0.0)</f>
        <v>0</v>
      </c>
      <c r="D9905" s="8"/>
    </row>
    <row r="9906">
      <c r="A9906" s="9" t="str">
        <f>IFERROR(__xludf.DUMMYFUNCTION("""COMPUTED_VALUE"""),"Batch 369")</f>
        <v>Batch 369</v>
      </c>
      <c r="B9906" s="9" t="str">
        <f>IFERROR(__xludf.DUMMYFUNCTION("""COMPUTED_VALUE"""),"BhavkiratC369")</f>
        <v>BhavkiratC369</v>
      </c>
      <c r="C9906" s="8">
        <f>IFERROR(__xludf.DUMMYFUNCTION("""COMPUTED_VALUE"""),0.0)</f>
        <v>0</v>
      </c>
      <c r="D9906" s="8"/>
    </row>
    <row r="9907">
      <c r="A9907" s="9" t="str">
        <f>IFERROR(__xludf.DUMMYFUNCTION("""COMPUTED_VALUE"""),"Batch 369")</f>
        <v>Batch 369</v>
      </c>
      <c r="B9907" s="9" t="str">
        <f>IFERROR(__xludf.DUMMYFUNCTION("""COMPUTED_VALUE"""),"DivyanshC369")</f>
        <v>DivyanshC369</v>
      </c>
      <c r="C9907" s="8">
        <f>IFERROR(__xludf.DUMMYFUNCTION("""COMPUTED_VALUE"""),15.0)</f>
        <v>15</v>
      </c>
      <c r="D9907" s="8">
        <f>IFERROR(__xludf.DUMMYFUNCTION("""COMPUTED_VALUE"""),2.0)</f>
        <v>2</v>
      </c>
    </row>
    <row r="9908">
      <c r="A9908" s="9" t="str">
        <f>IFERROR(__xludf.DUMMYFUNCTION("""COMPUTED_VALUE"""),"Batch 369")</f>
        <v>Batch 369</v>
      </c>
      <c r="B9908" s="9" t="str">
        <f>IFERROR(__xludf.DUMMYFUNCTION("""COMPUTED_VALUE"""),"JyotiC369")</f>
        <v>JyotiC369</v>
      </c>
      <c r="C9908" s="8">
        <f>IFERROR(__xludf.DUMMYFUNCTION("""COMPUTED_VALUE"""),0.0)</f>
        <v>0</v>
      </c>
      <c r="D9908" s="8"/>
    </row>
    <row r="9909">
      <c r="A9909" s="9" t="str">
        <f>IFERROR(__xludf.DUMMYFUNCTION("""COMPUTED_VALUE"""),"Batch 369")</f>
        <v>Batch 369</v>
      </c>
      <c r="B9909" s="9" t="str">
        <f>IFERROR(__xludf.DUMMYFUNCTION("""COMPUTED_VALUE"""),"IndiraC369")</f>
        <v>IndiraC369</v>
      </c>
      <c r="C9909" s="8">
        <f>IFERROR(__xludf.DUMMYFUNCTION("""COMPUTED_VALUE"""),0.0)</f>
        <v>0</v>
      </c>
      <c r="D9909" s="8"/>
    </row>
    <row r="9910">
      <c r="A9910" s="9" t="str">
        <f>IFERROR(__xludf.DUMMYFUNCTION("""COMPUTED_VALUE"""),"Batch 369")</f>
        <v>Batch 369</v>
      </c>
      <c r="B9910" s="9" t="str">
        <f>IFERROR(__xludf.DUMMYFUNCTION("""COMPUTED_VALUE"""),"MohammadC369")</f>
        <v>MohammadC369</v>
      </c>
      <c r="C9910" s="8">
        <f>IFERROR(__xludf.DUMMYFUNCTION("""COMPUTED_VALUE"""),0.0)</f>
        <v>0</v>
      </c>
      <c r="D9910" s="8"/>
    </row>
    <row r="9911">
      <c r="A9911" s="9" t="str">
        <f>IFERROR(__xludf.DUMMYFUNCTION("""COMPUTED_VALUE"""),"Batch 369")</f>
        <v>Batch 369</v>
      </c>
      <c r="B9911" s="9" t="str">
        <f>IFERROR(__xludf.DUMMYFUNCTION("""COMPUTED_VALUE"""),"AkanshaC369")</f>
        <v>AkanshaC369</v>
      </c>
      <c r="C9911" s="8">
        <f>IFERROR(__xludf.DUMMYFUNCTION("""COMPUTED_VALUE"""),0.0)</f>
        <v>0</v>
      </c>
      <c r="D9911" s="8"/>
    </row>
    <row r="9912">
      <c r="A9912" s="9" t="str">
        <f>IFERROR(__xludf.DUMMYFUNCTION("""COMPUTED_VALUE"""),"Batch 369")</f>
        <v>Batch 369</v>
      </c>
      <c r="B9912" s="9" t="str">
        <f>IFERROR(__xludf.DUMMYFUNCTION("""COMPUTED_VALUE"""),"TrishaC369")</f>
        <v>TrishaC369</v>
      </c>
      <c r="C9912" s="8">
        <f>IFERROR(__xludf.DUMMYFUNCTION("""COMPUTED_VALUE"""),0.0)</f>
        <v>0</v>
      </c>
      <c r="D9912" s="8"/>
    </row>
    <row r="9913">
      <c r="A9913" s="9" t="str">
        <f>IFERROR(__xludf.DUMMYFUNCTION("""COMPUTED_VALUE"""),"Batch 369")</f>
        <v>Batch 369</v>
      </c>
      <c r="B9913" s="9" t="str">
        <f>IFERROR(__xludf.DUMMYFUNCTION("""COMPUTED_VALUE"""),"ShivamC369")</f>
        <v>ShivamC369</v>
      </c>
      <c r="C9913" s="8">
        <f>IFERROR(__xludf.DUMMYFUNCTION("""COMPUTED_VALUE"""),0.0)</f>
        <v>0</v>
      </c>
      <c r="D9913" s="8"/>
    </row>
    <row r="9914">
      <c r="A9914" s="9" t="str">
        <f>IFERROR(__xludf.DUMMYFUNCTION("""COMPUTED_VALUE"""),"Batch 369")</f>
        <v>Batch 369</v>
      </c>
      <c r="B9914" s="9" t="str">
        <f>IFERROR(__xludf.DUMMYFUNCTION("""COMPUTED_VALUE"""),"MC369")</f>
        <v>MC369</v>
      </c>
      <c r="C9914" s="8">
        <f>IFERROR(__xludf.DUMMYFUNCTION("""COMPUTED_VALUE"""),10.0)</f>
        <v>10</v>
      </c>
      <c r="D9914" s="8"/>
    </row>
    <row r="9915">
      <c r="A9915" s="9" t="str">
        <f>IFERROR(__xludf.DUMMYFUNCTION("""COMPUTED_VALUE"""),"Batch 369")</f>
        <v>Batch 369</v>
      </c>
      <c r="B9915" s="9" t="str">
        <f>IFERROR(__xludf.DUMMYFUNCTION("""COMPUTED_VALUE"""),"AaravC369")</f>
        <v>AaravC369</v>
      </c>
      <c r="C9915" s="8">
        <f>IFERROR(__xludf.DUMMYFUNCTION("""COMPUTED_VALUE"""),0.0)</f>
        <v>0</v>
      </c>
      <c r="D9915" s="8"/>
    </row>
    <row r="9916">
      <c r="A9916" s="9" t="str">
        <f>IFERROR(__xludf.DUMMYFUNCTION("""COMPUTED_VALUE"""),"Batch 369")</f>
        <v>Batch 369</v>
      </c>
      <c r="B9916" s="9" t="str">
        <f>IFERROR(__xludf.DUMMYFUNCTION("""COMPUTED_VALUE"""),"AdarshC369")</f>
        <v>AdarshC369</v>
      </c>
      <c r="C9916" s="8">
        <f>IFERROR(__xludf.DUMMYFUNCTION("""COMPUTED_VALUE"""),1.0)</f>
        <v>1</v>
      </c>
      <c r="D9916" s="8">
        <f>IFERROR(__xludf.DUMMYFUNCTION("""COMPUTED_VALUE"""),2.0)</f>
        <v>2</v>
      </c>
    </row>
    <row r="9917">
      <c r="A9917" s="9" t="str">
        <f>IFERROR(__xludf.DUMMYFUNCTION("""COMPUTED_VALUE"""),"Batch 369")</f>
        <v>Batch 369</v>
      </c>
      <c r="B9917" s="9" t="str">
        <f>IFERROR(__xludf.DUMMYFUNCTION("""COMPUTED_VALUE"""),"NandniC369")</f>
        <v>NandniC369</v>
      </c>
      <c r="C9917" s="8">
        <f>IFERROR(__xludf.DUMMYFUNCTION("""COMPUTED_VALUE"""),0.0)</f>
        <v>0</v>
      </c>
      <c r="D9917" s="8"/>
    </row>
    <row r="9918">
      <c r="A9918" s="9" t="str">
        <f>IFERROR(__xludf.DUMMYFUNCTION("""COMPUTED_VALUE"""),"Batch 369")</f>
        <v>Batch 369</v>
      </c>
      <c r="B9918" s="9" t="str">
        <f>IFERROR(__xludf.DUMMYFUNCTION("""COMPUTED_VALUE"""),"SmileC369")</f>
        <v>SmileC369</v>
      </c>
      <c r="C9918" s="8">
        <f>IFERROR(__xludf.DUMMYFUNCTION("""COMPUTED_VALUE"""),30.0)</f>
        <v>30</v>
      </c>
      <c r="D9918" s="8">
        <f>IFERROR(__xludf.DUMMYFUNCTION("""COMPUTED_VALUE"""),19.0)</f>
        <v>19</v>
      </c>
    </row>
    <row r="9919">
      <c r="A9919" s="9" t="str">
        <f>IFERROR(__xludf.DUMMYFUNCTION("""COMPUTED_VALUE"""),"Batch 369")</f>
        <v>Batch 369</v>
      </c>
      <c r="B9919" s="9" t="str">
        <f>IFERROR(__xludf.DUMMYFUNCTION("""COMPUTED_VALUE"""),"HumzaaC369")</f>
        <v>HumzaaC369</v>
      </c>
      <c r="C9919" s="8">
        <f>IFERROR(__xludf.DUMMYFUNCTION("""COMPUTED_VALUE"""),5.0)</f>
        <v>5</v>
      </c>
      <c r="D9919" s="8"/>
    </row>
    <row r="9920">
      <c r="A9920" s="9" t="str">
        <f>IFERROR(__xludf.DUMMYFUNCTION("""COMPUTED_VALUE"""),"Batch 369")</f>
        <v>Batch 369</v>
      </c>
      <c r="B9920" s="9" t="str">
        <f>IFERROR(__xludf.DUMMYFUNCTION("""COMPUTED_VALUE"""),"DanuC369")</f>
        <v>DanuC369</v>
      </c>
      <c r="C9920" s="8">
        <f>IFERROR(__xludf.DUMMYFUNCTION("""COMPUTED_VALUE"""),0.0)</f>
        <v>0</v>
      </c>
      <c r="D9920" s="8"/>
    </row>
    <row r="9921">
      <c r="A9921" s="9" t="str">
        <f>IFERROR(__xludf.DUMMYFUNCTION("""COMPUTED_VALUE"""),"Batch 369")</f>
        <v>Batch 369</v>
      </c>
      <c r="B9921" s="9" t="str">
        <f>IFERROR(__xludf.DUMMYFUNCTION("""COMPUTED_VALUE"""),"sanskarC369")</f>
        <v>sanskarC369</v>
      </c>
      <c r="C9921" s="8">
        <f>IFERROR(__xludf.DUMMYFUNCTION("""COMPUTED_VALUE"""),0.0)</f>
        <v>0</v>
      </c>
      <c r="D9921" s="8"/>
    </row>
    <row r="9922">
      <c r="A9922" s="9" t="str">
        <f>IFERROR(__xludf.DUMMYFUNCTION("""COMPUTED_VALUE"""),"Batch 369")</f>
        <v>Batch 369</v>
      </c>
      <c r="B9922" s="9" t="str">
        <f>IFERROR(__xludf.DUMMYFUNCTION("""COMPUTED_VALUE"""),"DeveshC369")</f>
        <v>DeveshC369</v>
      </c>
      <c r="C9922" s="8">
        <f>IFERROR(__xludf.DUMMYFUNCTION("""COMPUTED_VALUE"""),0.0)</f>
        <v>0</v>
      </c>
      <c r="D9922" s="8"/>
    </row>
    <row r="9923">
      <c r="A9923" s="9" t="str">
        <f>IFERROR(__xludf.DUMMYFUNCTION("""COMPUTED_VALUE"""),"Batch 369")</f>
        <v>Batch 369</v>
      </c>
      <c r="B9923" s="9" t="str">
        <f>IFERROR(__xludf.DUMMYFUNCTION("""COMPUTED_VALUE"""),"SatyamC369")</f>
        <v>SatyamC369</v>
      </c>
      <c r="C9923" s="8">
        <f>IFERROR(__xludf.DUMMYFUNCTION("""COMPUTED_VALUE"""),0.0)</f>
        <v>0</v>
      </c>
      <c r="D9923" s="8"/>
    </row>
    <row r="9924">
      <c r="A9924" s="9" t="str">
        <f>IFERROR(__xludf.DUMMYFUNCTION("""COMPUTED_VALUE"""),"Batch 369")</f>
        <v>Batch 369</v>
      </c>
      <c r="B9924" s="9" t="str">
        <f>IFERROR(__xludf.DUMMYFUNCTION("""COMPUTED_VALUE"""),"RiddhiC369")</f>
        <v>RiddhiC369</v>
      </c>
      <c r="C9924" s="8">
        <f>IFERROR(__xludf.DUMMYFUNCTION("""COMPUTED_VALUE"""),0.0)</f>
        <v>0</v>
      </c>
      <c r="D9924" s="8"/>
    </row>
    <row r="9925">
      <c r="A9925" s="9" t="str">
        <f>IFERROR(__xludf.DUMMYFUNCTION("""COMPUTED_VALUE"""),"Batch 369")</f>
        <v>Batch 369</v>
      </c>
      <c r="B9925" s="9" t="str">
        <f>IFERROR(__xludf.DUMMYFUNCTION("""COMPUTED_VALUE"""),"AshmeetC369")</f>
        <v>AshmeetC369</v>
      </c>
      <c r="C9925" s="8">
        <f>IFERROR(__xludf.DUMMYFUNCTION("""COMPUTED_VALUE"""),0.0)</f>
        <v>0</v>
      </c>
      <c r="D9925" s="8"/>
    </row>
    <row r="9926">
      <c r="A9926" s="9" t="str">
        <f>IFERROR(__xludf.DUMMYFUNCTION("""COMPUTED_VALUE"""),"Batch 369")</f>
        <v>Batch 369</v>
      </c>
      <c r="B9926" s="9" t="str">
        <f>IFERROR(__xludf.DUMMYFUNCTION("""COMPUTED_VALUE"""),"AshiC369")</f>
        <v>AshiC369</v>
      </c>
      <c r="C9926" s="8">
        <f>IFERROR(__xludf.DUMMYFUNCTION("""COMPUTED_VALUE"""),0.0)</f>
        <v>0</v>
      </c>
      <c r="D9926" s="8"/>
    </row>
    <row r="9927">
      <c r="A9927" s="9" t="str">
        <f>IFERROR(__xludf.DUMMYFUNCTION("""COMPUTED_VALUE"""),"Batch 369")</f>
        <v>Batch 369</v>
      </c>
      <c r="B9927" s="9" t="str">
        <f>IFERROR(__xludf.DUMMYFUNCTION("""COMPUTED_VALUE"""),"SanskarC369")</f>
        <v>SanskarC369</v>
      </c>
      <c r="C9927" s="8">
        <f>IFERROR(__xludf.DUMMYFUNCTION("""COMPUTED_VALUE"""),0.0)</f>
        <v>0</v>
      </c>
      <c r="D9927" s="8"/>
    </row>
    <row r="9928">
      <c r="A9928" s="9" t="str">
        <f>IFERROR(__xludf.DUMMYFUNCTION("""COMPUTED_VALUE"""),"Batch 369")</f>
        <v>Batch 369</v>
      </c>
      <c r="B9928" s="9" t="str">
        <f>IFERROR(__xludf.DUMMYFUNCTION("""COMPUTED_VALUE"""),"TanmayeeC369")</f>
        <v>TanmayeeC369</v>
      </c>
      <c r="C9928" s="8">
        <f>IFERROR(__xludf.DUMMYFUNCTION("""COMPUTED_VALUE"""),0.0)</f>
        <v>0</v>
      </c>
      <c r="D9928" s="8"/>
    </row>
    <row r="9929">
      <c r="A9929" s="9" t="str">
        <f>IFERROR(__xludf.DUMMYFUNCTION("""COMPUTED_VALUE"""),"Batch 369")</f>
        <v>Batch 369</v>
      </c>
      <c r="B9929" s="9" t="str">
        <f>IFERROR(__xludf.DUMMYFUNCTION("""COMPUTED_VALUE"""),"LATHAC369")</f>
        <v>LATHAC369</v>
      </c>
      <c r="C9929" s="8">
        <f>IFERROR(__xludf.DUMMYFUNCTION("""COMPUTED_VALUE"""),0.0)</f>
        <v>0</v>
      </c>
      <c r="D9929" s="8"/>
    </row>
    <row r="9930">
      <c r="A9930" s="9" t="str">
        <f>IFERROR(__xludf.DUMMYFUNCTION("""COMPUTED_VALUE"""),"Batch 369")</f>
        <v>Batch 369</v>
      </c>
      <c r="B9930" s="9" t="str">
        <f>IFERROR(__xludf.DUMMYFUNCTION("""COMPUTED_VALUE"""),"ANSHC369")</f>
        <v>ANSHC369</v>
      </c>
      <c r="C9930" s="8">
        <f>IFERROR(__xludf.DUMMYFUNCTION("""COMPUTED_VALUE"""),0.0)</f>
        <v>0</v>
      </c>
      <c r="D9930" s="8"/>
    </row>
    <row r="9931">
      <c r="A9931" s="9" t="str">
        <f>IFERROR(__xludf.DUMMYFUNCTION("""COMPUTED_VALUE"""),"Batch 369")</f>
        <v>Batch 369</v>
      </c>
      <c r="B9931" s="9" t="str">
        <f>IFERROR(__xludf.DUMMYFUNCTION("""COMPUTED_VALUE"""),"AdityaC369")</f>
        <v>AdityaC369</v>
      </c>
      <c r="C9931" s="8">
        <f>IFERROR(__xludf.DUMMYFUNCTION("""COMPUTED_VALUE"""),0.0)</f>
        <v>0</v>
      </c>
      <c r="D9931" s="8"/>
    </row>
    <row r="9932">
      <c r="A9932" s="9" t="str">
        <f>IFERROR(__xludf.DUMMYFUNCTION("""COMPUTED_VALUE"""),"Batch 369")</f>
        <v>Batch 369</v>
      </c>
      <c r="B9932" s="9" t="str">
        <f>IFERROR(__xludf.DUMMYFUNCTION("""COMPUTED_VALUE"""),"KunalC369")</f>
        <v>KunalC369</v>
      </c>
      <c r="C9932" s="8">
        <f>IFERROR(__xludf.DUMMYFUNCTION("""COMPUTED_VALUE"""),5.0)</f>
        <v>5</v>
      </c>
      <c r="D9932" s="8">
        <f>IFERROR(__xludf.DUMMYFUNCTION("""COMPUTED_VALUE"""),4.0)</f>
        <v>4</v>
      </c>
    </row>
    <row r="9933">
      <c r="A9933" s="9" t="str">
        <f>IFERROR(__xludf.DUMMYFUNCTION("""COMPUTED_VALUE"""),"Batch 369")</f>
        <v>Batch 369</v>
      </c>
      <c r="B9933" s="9" t="str">
        <f>IFERROR(__xludf.DUMMYFUNCTION("""COMPUTED_VALUE"""),"AnantC369")</f>
        <v>AnantC369</v>
      </c>
      <c r="C9933" s="8">
        <f>IFERROR(__xludf.DUMMYFUNCTION("""COMPUTED_VALUE"""),1.0)</f>
        <v>1</v>
      </c>
      <c r="D9933" s="8"/>
    </row>
    <row r="9934">
      <c r="A9934" s="9" t="str">
        <f>IFERROR(__xludf.DUMMYFUNCTION("""COMPUTED_VALUE"""),"Batch 369")</f>
        <v>Batch 369</v>
      </c>
      <c r="B9934" s="9" t="str">
        <f>IFERROR(__xludf.DUMMYFUNCTION("""COMPUTED_VALUE"""),"SrashtiC369")</f>
        <v>SrashtiC369</v>
      </c>
      <c r="C9934" s="8">
        <f>IFERROR(__xludf.DUMMYFUNCTION("""COMPUTED_VALUE"""),0.0)</f>
        <v>0</v>
      </c>
      <c r="D9934" s="8"/>
    </row>
    <row r="9935">
      <c r="A9935" s="9" t="str">
        <f>IFERROR(__xludf.DUMMYFUNCTION("""COMPUTED_VALUE"""),"Batch 369")</f>
        <v>Batch 369</v>
      </c>
      <c r="B9935" s="9" t="str">
        <f>IFERROR(__xludf.DUMMYFUNCTION("""COMPUTED_VALUE"""),"SparshC369")</f>
        <v>SparshC369</v>
      </c>
      <c r="C9935" s="8">
        <f>IFERROR(__xludf.DUMMYFUNCTION("""COMPUTED_VALUE"""),0.0)</f>
        <v>0</v>
      </c>
      <c r="D9935" s="8"/>
    </row>
    <row r="9936">
      <c r="A9936" s="9" t="str">
        <f>IFERROR(__xludf.DUMMYFUNCTION("""COMPUTED_VALUE"""),"Batch 369")</f>
        <v>Batch 369</v>
      </c>
      <c r="B9936" s="9" t="str">
        <f>IFERROR(__xludf.DUMMYFUNCTION("""COMPUTED_VALUE"""),"UpasanaC369")</f>
        <v>UpasanaC369</v>
      </c>
      <c r="C9936" s="8">
        <f>IFERROR(__xludf.DUMMYFUNCTION("""COMPUTED_VALUE"""),0.0)</f>
        <v>0</v>
      </c>
      <c r="D9936" s="8"/>
    </row>
    <row r="9937">
      <c r="A9937" s="9" t="str">
        <f>IFERROR(__xludf.DUMMYFUNCTION("""COMPUTED_VALUE"""),"Batch 369")</f>
        <v>Batch 369</v>
      </c>
      <c r="B9937" s="9" t="str">
        <f>IFERROR(__xludf.DUMMYFUNCTION("""COMPUTED_VALUE"""),"VivekC369")</f>
        <v>VivekC369</v>
      </c>
      <c r="C9937" s="8">
        <f>IFERROR(__xludf.DUMMYFUNCTION("""COMPUTED_VALUE"""),0.0)</f>
        <v>0</v>
      </c>
      <c r="D9937" s="8"/>
    </row>
    <row r="9938">
      <c r="A9938" s="9" t="str">
        <f>IFERROR(__xludf.DUMMYFUNCTION("""COMPUTED_VALUE"""),"Batch 369")</f>
        <v>Batch 369</v>
      </c>
      <c r="B9938" s="9" t="str">
        <f>IFERROR(__xludf.DUMMYFUNCTION("""COMPUTED_VALUE"""),"SHUBHAMC369")</f>
        <v>SHUBHAMC369</v>
      </c>
      <c r="C9938" s="8">
        <f>IFERROR(__xludf.DUMMYFUNCTION("""COMPUTED_VALUE"""),7.0)</f>
        <v>7</v>
      </c>
      <c r="D9938" s="8">
        <f>IFERROR(__xludf.DUMMYFUNCTION("""COMPUTED_VALUE"""),2.0)</f>
        <v>2</v>
      </c>
    </row>
    <row r="9939">
      <c r="A9939" s="9" t="str">
        <f>IFERROR(__xludf.DUMMYFUNCTION("""COMPUTED_VALUE"""),"Batch 369")</f>
        <v>Batch 369</v>
      </c>
      <c r="B9939" s="9" t="str">
        <f>IFERROR(__xludf.DUMMYFUNCTION("""COMPUTED_VALUE"""),"MUSHARRAFC369")</f>
        <v>MUSHARRAFC369</v>
      </c>
      <c r="C9939" s="8">
        <f>IFERROR(__xludf.DUMMYFUNCTION("""COMPUTED_VALUE"""),0.0)</f>
        <v>0</v>
      </c>
      <c r="D9939" s="8"/>
    </row>
    <row r="9940">
      <c r="A9940" s="9" t="str">
        <f>IFERROR(__xludf.DUMMYFUNCTION("""COMPUTED_VALUE"""),"Batch 369")</f>
        <v>Batch 369</v>
      </c>
      <c r="B9940" s="9" t="str">
        <f>IFERROR(__xludf.DUMMYFUNCTION("""COMPUTED_VALUE"""),"ParthaC369")</f>
        <v>ParthaC369</v>
      </c>
      <c r="C9940" s="8">
        <f>IFERROR(__xludf.DUMMYFUNCTION("""COMPUTED_VALUE"""),1.0)</f>
        <v>1</v>
      </c>
      <c r="D9940" s="8"/>
    </row>
    <row r="9941">
      <c r="A9941" s="9" t="str">
        <f>IFERROR(__xludf.DUMMYFUNCTION("""COMPUTED_VALUE"""),"Batch 369")</f>
        <v>Batch 369</v>
      </c>
      <c r="B9941" s="9" t="str">
        <f>IFERROR(__xludf.DUMMYFUNCTION("""COMPUTED_VALUE"""),"ManviC369")</f>
        <v>ManviC369</v>
      </c>
      <c r="C9941" s="8">
        <f>IFERROR(__xludf.DUMMYFUNCTION("""COMPUTED_VALUE"""),0.0)</f>
        <v>0</v>
      </c>
      <c r="D9941" s="8"/>
    </row>
    <row r="9942">
      <c r="A9942" s="9" t="str">
        <f>IFERROR(__xludf.DUMMYFUNCTION("""COMPUTED_VALUE"""),"Batch 369")</f>
        <v>Batch 369</v>
      </c>
      <c r="B9942" s="9" t="str">
        <f>IFERROR(__xludf.DUMMYFUNCTION("""COMPUTED_VALUE"""),"AniketC369")</f>
        <v>AniketC369</v>
      </c>
      <c r="C9942" s="8">
        <f>IFERROR(__xludf.DUMMYFUNCTION("""COMPUTED_VALUE"""),0.0)</f>
        <v>0</v>
      </c>
      <c r="D9942" s="8"/>
    </row>
    <row r="9943">
      <c r="A9943" s="9"/>
      <c r="B9943" s="9"/>
      <c r="C9943" s="8">
        <f>IFERROR(__xludf.DUMMYFUNCTION("""COMPUTED_VALUE"""),0.0)</f>
        <v>0</v>
      </c>
      <c r="D9943" s="8"/>
    </row>
    <row r="9944">
      <c r="A9944" s="9" t="str">
        <f>IFERROR(__xludf.DUMMYFUNCTION("""COMPUTED_VALUE"""),"Batch 370")</f>
        <v>Batch 370</v>
      </c>
      <c r="B9944" s="9" t="str">
        <f>IFERROR(__xludf.DUMMYFUNCTION("""COMPUTED_VALUE"""),"SharvarishC370")</f>
        <v>SharvarishC370</v>
      </c>
      <c r="C9944" s="8">
        <f>IFERROR(__xludf.DUMMYFUNCTION("""COMPUTED_VALUE"""),4.0)</f>
        <v>4</v>
      </c>
      <c r="D9944" s="8">
        <f>IFERROR(__xludf.DUMMYFUNCTION("""COMPUTED_VALUE"""),3.0)</f>
        <v>3</v>
      </c>
    </row>
    <row r="9945">
      <c r="A9945" s="9" t="str">
        <f>IFERROR(__xludf.DUMMYFUNCTION("""COMPUTED_VALUE"""),"Batch 370")</f>
        <v>Batch 370</v>
      </c>
      <c r="B9945" s="9" t="str">
        <f>IFERROR(__xludf.DUMMYFUNCTION("""COMPUTED_VALUE"""),"AnishC370")</f>
        <v>AnishC370</v>
      </c>
      <c r="C9945" s="8">
        <f>IFERROR(__xludf.DUMMYFUNCTION("""COMPUTED_VALUE"""),0.0)</f>
        <v>0</v>
      </c>
      <c r="D9945" s="8"/>
    </row>
    <row r="9946">
      <c r="A9946" s="9" t="str">
        <f>IFERROR(__xludf.DUMMYFUNCTION("""COMPUTED_VALUE"""),"Batch 370")</f>
        <v>Batch 370</v>
      </c>
      <c r="B9946" s="9" t="str">
        <f>IFERROR(__xludf.DUMMYFUNCTION("""COMPUTED_VALUE"""),"SrinidhiC370")</f>
        <v>SrinidhiC370</v>
      </c>
      <c r="C9946" s="8">
        <f>IFERROR(__xludf.DUMMYFUNCTION("""COMPUTED_VALUE"""),0.0)</f>
        <v>0</v>
      </c>
      <c r="D9946" s="8"/>
    </row>
    <row r="9947">
      <c r="A9947" s="9" t="str">
        <f>IFERROR(__xludf.DUMMYFUNCTION("""COMPUTED_VALUE"""),"Batch 370")</f>
        <v>Batch 370</v>
      </c>
      <c r="B9947" s="9" t="str">
        <f>IFERROR(__xludf.DUMMYFUNCTION("""COMPUTED_VALUE"""),"GOPIC370")</f>
        <v>GOPIC370</v>
      </c>
      <c r="C9947" s="8">
        <f>IFERROR(__xludf.DUMMYFUNCTION("""COMPUTED_VALUE"""),0.0)</f>
        <v>0</v>
      </c>
      <c r="D9947" s="8"/>
    </row>
    <row r="9948">
      <c r="A9948" s="9" t="str">
        <f>IFERROR(__xludf.DUMMYFUNCTION("""COMPUTED_VALUE"""),"Batch 370")</f>
        <v>Batch 370</v>
      </c>
      <c r="B9948" s="9" t="str">
        <f>IFERROR(__xludf.DUMMYFUNCTION("""COMPUTED_VALUE"""),"IshmeetC370")</f>
        <v>IshmeetC370</v>
      </c>
      <c r="C9948" s="8">
        <f>IFERROR(__xludf.DUMMYFUNCTION("""COMPUTED_VALUE"""),0.0)</f>
        <v>0</v>
      </c>
      <c r="D9948" s="8"/>
    </row>
    <row r="9949">
      <c r="A9949" s="9" t="str">
        <f>IFERROR(__xludf.DUMMYFUNCTION("""COMPUTED_VALUE"""),"Batch 370")</f>
        <v>Batch 370</v>
      </c>
      <c r="B9949" s="9" t="str">
        <f>IFERROR(__xludf.DUMMYFUNCTION("""COMPUTED_VALUE"""),"KanchanC370")</f>
        <v>KanchanC370</v>
      </c>
      <c r="C9949" s="8">
        <f>IFERROR(__xludf.DUMMYFUNCTION("""COMPUTED_VALUE"""),0.0)</f>
        <v>0</v>
      </c>
      <c r="D9949" s="8"/>
    </row>
    <row r="9950">
      <c r="A9950" s="9" t="str">
        <f>IFERROR(__xludf.DUMMYFUNCTION("""COMPUTED_VALUE"""),"Batch 370")</f>
        <v>Batch 370</v>
      </c>
      <c r="B9950" s="9" t="str">
        <f>IFERROR(__xludf.DUMMYFUNCTION("""COMPUTED_VALUE"""),"SaiC370")</f>
        <v>SaiC370</v>
      </c>
      <c r="C9950" s="8">
        <f>IFERROR(__xludf.DUMMYFUNCTION("""COMPUTED_VALUE"""),0.0)</f>
        <v>0</v>
      </c>
      <c r="D9950" s="8"/>
    </row>
    <row r="9951">
      <c r="A9951" s="9" t="str">
        <f>IFERROR(__xludf.DUMMYFUNCTION("""COMPUTED_VALUE"""),"Batch 370")</f>
        <v>Batch 370</v>
      </c>
      <c r="B9951" s="9" t="str">
        <f>IFERROR(__xludf.DUMMYFUNCTION("""COMPUTED_VALUE"""),"MayankC370")</f>
        <v>MayankC370</v>
      </c>
      <c r="C9951" s="8">
        <f>IFERROR(__xludf.DUMMYFUNCTION("""COMPUTED_VALUE"""),0.0)</f>
        <v>0</v>
      </c>
      <c r="D9951" s="8"/>
    </row>
    <row r="9952">
      <c r="A9952" s="9" t="str">
        <f>IFERROR(__xludf.DUMMYFUNCTION("""COMPUTED_VALUE"""),"Batch 370")</f>
        <v>Batch 370</v>
      </c>
      <c r="B9952" s="9" t="str">
        <f>IFERROR(__xludf.DUMMYFUNCTION("""COMPUTED_VALUE"""),"DevenduC370")</f>
        <v>DevenduC370</v>
      </c>
      <c r="C9952" s="8">
        <f>IFERROR(__xludf.DUMMYFUNCTION("""COMPUTED_VALUE"""),0.0)</f>
        <v>0</v>
      </c>
      <c r="D9952" s="8"/>
    </row>
    <row r="9953">
      <c r="A9953" s="9" t="str">
        <f>IFERROR(__xludf.DUMMYFUNCTION("""COMPUTED_VALUE"""),"Batch 370")</f>
        <v>Batch 370</v>
      </c>
      <c r="B9953" s="9" t="str">
        <f>IFERROR(__xludf.DUMMYFUNCTION("""COMPUTED_VALUE"""),"AdityaC370")</f>
        <v>AdityaC370</v>
      </c>
      <c r="C9953" s="8">
        <f>IFERROR(__xludf.DUMMYFUNCTION("""COMPUTED_VALUE"""),0.0)</f>
        <v>0</v>
      </c>
      <c r="D9953" s="8"/>
    </row>
    <row r="9954">
      <c r="A9954" s="9" t="str">
        <f>IFERROR(__xludf.DUMMYFUNCTION("""COMPUTED_VALUE"""),"Batch 370")</f>
        <v>Batch 370</v>
      </c>
      <c r="B9954" s="9" t="str">
        <f>IFERROR(__xludf.DUMMYFUNCTION("""COMPUTED_VALUE"""),"AkankshaC370")</f>
        <v>AkankshaC370</v>
      </c>
      <c r="C9954" s="8">
        <f>IFERROR(__xludf.DUMMYFUNCTION("""COMPUTED_VALUE"""),0.0)</f>
        <v>0</v>
      </c>
      <c r="D9954" s="8"/>
    </row>
    <row r="9955">
      <c r="A9955" s="9" t="str">
        <f>IFERROR(__xludf.DUMMYFUNCTION("""COMPUTED_VALUE"""),"Batch 370")</f>
        <v>Batch 370</v>
      </c>
      <c r="B9955" s="9" t="str">
        <f>IFERROR(__xludf.DUMMYFUNCTION("""COMPUTED_VALUE"""),"MehakC370")</f>
        <v>MehakC370</v>
      </c>
      <c r="C9955" s="8">
        <f>IFERROR(__xludf.DUMMYFUNCTION("""COMPUTED_VALUE"""),0.0)</f>
        <v>0</v>
      </c>
      <c r="D9955" s="8"/>
    </row>
    <row r="9956">
      <c r="A9956" s="9" t="str">
        <f>IFERROR(__xludf.DUMMYFUNCTION("""COMPUTED_VALUE"""),"Batch 370")</f>
        <v>Batch 370</v>
      </c>
      <c r="B9956" s="9" t="str">
        <f>IFERROR(__xludf.DUMMYFUNCTION("""COMPUTED_VALUE"""),"AnsiyaC370")</f>
        <v>AnsiyaC370</v>
      </c>
      <c r="C9956" s="8">
        <f>IFERROR(__xludf.DUMMYFUNCTION("""COMPUTED_VALUE"""),0.0)</f>
        <v>0</v>
      </c>
      <c r="D9956" s="8"/>
    </row>
    <row r="9957">
      <c r="A9957" s="9" t="str">
        <f>IFERROR(__xludf.DUMMYFUNCTION("""COMPUTED_VALUE"""),"Batch 370")</f>
        <v>Batch 370</v>
      </c>
      <c r="B9957" s="9" t="str">
        <f>IFERROR(__xludf.DUMMYFUNCTION("""COMPUTED_VALUE"""),"MuskanC370")</f>
        <v>MuskanC370</v>
      </c>
      <c r="C9957" s="8">
        <f>IFERROR(__xludf.DUMMYFUNCTION("""COMPUTED_VALUE"""),0.0)</f>
        <v>0</v>
      </c>
      <c r="D9957" s="8"/>
    </row>
    <row r="9958">
      <c r="A9958" s="9" t="str">
        <f>IFERROR(__xludf.DUMMYFUNCTION("""COMPUTED_VALUE"""),"Batch 370")</f>
        <v>Batch 370</v>
      </c>
      <c r="B9958" s="9" t="str">
        <f>IFERROR(__xludf.DUMMYFUNCTION("""COMPUTED_VALUE"""),"ShushantC370")</f>
        <v>ShushantC370</v>
      </c>
      <c r="C9958" s="8">
        <f>IFERROR(__xludf.DUMMYFUNCTION("""COMPUTED_VALUE"""),4.0)</f>
        <v>4</v>
      </c>
      <c r="D9958" s="8">
        <f>IFERROR(__xludf.DUMMYFUNCTION("""COMPUTED_VALUE"""),2.0)</f>
        <v>2</v>
      </c>
    </row>
    <row r="9959">
      <c r="A9959" s="9" t="str">
        <f>IFERROR(__xludf.DUMMYFUNCTION("""COMPUTED_VALUE"""),"Batch 370")</f>
        <v>Batch 370</v>
      </c>
      <c r="B9959" s="9" t="str">
        <f>IFERROR(__xludf.DUMMYFUNCTION("""COMPUTED_VALUE"""),"SameerC370")</f>
        <v>SameerC370</v>
      </c>
      <c r="C9959" s="8">
        <f>IFERROR(__xludf.DUMMYFUNCTION("""COMPUTED_VALUE"""),0.0)</f>
        <v>0</v>
      </c>
      <c r="D9959" s="8"/>
    </row>
    <row r="9960">
      <c r="A9960" s="9" t="str">
        <f>IFERROR(__xludf.DUMMYFUNCTION("""COMPUTED_VALUE"""),"Batch 370")</f>
        <v>Batch 370</v>
      </c>
      <c r="B9960" s="9" t="str">
        <f>IFERROR(__xludf.DUMMYFUNCTION("""COMPUTED_VALUE"""),"VarshaC370")</f>
        <v>VarshaC370</v>
      </c>
      <c r="C9960" s="8">
        <f>IFERROR(__xludf.DUMMYFUNCTION("""COMPUTED_VALUE"""),0.0)</f>
        <v>0</v>
      </c>
      <c r="D9960" s="8"/>
    </row>
    <row r="9961">
      <c r="A9961" s="9" t="str">
        <f>IFERROR(__xludf.DUMMYFUNCTION("""COMPUTED_VALUE"""),"Batch 370")</f>
        <v>Batch 370</v>
      </c>
      <c r="B9961" s="9" t="str">
        <f>IFERROR(__xludf.DUMMYFUNCTION("""COMPUTED_VALUE"""),"TejaC370")</f>
        <v>TejaC370</v>
      </c>
      <c r="C9961" s="8">
        <f>IFERROR(__xludf.DUMMYFUNCTION("""COMPUTED_VALUE"""),0.0)</f>
        <v>0</v>
      </c>
      <c r="D9961" s="8"/>
    </row>
    <row r="9962">
      <c r="A9962" s="9" t="str">
        <f>IFERROR(__xludf.DUMMYFUNCTION("""COMPUTED_VALUE"""),"Batch 370")</f>
        <v>Batch 370</v>
      </c>
      <c r="B9962" s="9" t="str">
        <f>IFERROR(__xludf.DUMMYFUNCTION("""COMPUTED_VALUE"""),"SanaC370")</f>
        <v>SanaC370</v>
      </c>
      <c r="C9962" s="8">
        <f>IFERROR(__xludf.DUMMYFUNCTION("""COMPUTED_VALUE"""),0.0)</f>
        <v>0</v>
      </c>
      <c r="D9962" s="8"/>
    </row>
    <row r="9963">
      <c r="A9963" s="9" t="str">
        <f>IFERROR(__xludf.DUMMYFUNCTION("""COMPUTED_VALUE"""),"Batch 370")</f>
        <v>Batch 370</v>
      </c>
      <c r="B9963" s="9" t="str">
        <f>IFERROR(__xludf.DUMMYFUNCTION("""COMPUTED_VALUE"""),"SreeshankC370")</f>
        <v>SreeshankC370</v>
      </c>
      <c r="C9963" s="8">
        <f>IFERROR(__xludf.DUMMYFUNCTION("""COMPUTED_VALUE"""),0.0)</f>
        <v>0</v>
      </c>
      <c r="D9963" s="8"/>
    </row>
    <row r="9964">
      <c r="A9964" s="9" t="str">
        <f>IFERROR(__xludf.DUMMYFUNCTION("""COMPUTED_VALUE"""),"Batch 370")</f>
        <v>Batch 370</v>
      </c>
      <c r="B9964" s="9" t="str">
        <f>IFERROR(__xludf.DUMMYFUNCTION("""COMPUTED_VALUE"""),"RimjhimC370")</f>
        <v>RimjhimC370</v>
      </c>
      <c r="C9964" s="8">
        <f>IFERROR(__xludf.DUMMYFUNCTION("""COMPUTED_VALUE"""),0.0)</f>
        <v>0</v>
      </c>
      <c r="D9964" s="8"/>
    </row>
    <row r="9965">
      <c r="A9965" s="9" t="str">
        <f>IFERROR(__xludf.DUMMYFUNCTION("""COMPUTED_VALUE"""),"Batch 370")</f>
        <v>Batch 370</v>
      </c>
      <c r="B9965" s="9" t="str">
        <f>IFERROR(__xludf.DUMMYFUNCTION("""COMPUTED_VALUE"""),"AnshumanC370")</f>
        <v>AnshumanC370</v>
      </c>
      <c r="C9965" s="8">
        <f>IFERROR(__xludf.DUMMYFUNCTION("""COMPUTED_VALUE"""),0.0)</f>
        <v>0</v>
      </c>
      <c r="D9965" s="8"/>
    </row>
    <row r="9966">
      <c r="A9966" s="9" t="str">
        <f>IFERROR(__xludf.DUMMYFUNCTION("""COMPUTED_VALUE"""),"Batch 370")</f>
        <v>Batch 370</v>
      </c>
      <c r="B9966" s="9" t="str">
        <f>IFERROR(__xludf.DUMMYFUNCTION("""COMPUTED_VALUE"""),"SaurabhC370")</f>
        <v>SaurabhC370</v>
      </c>
      <c r="C9966" s="8">
        <f>IFERROR(__xludf.DUMMYFUNCTION("""COMPUTED_VALUE"""),0.0)</f>
        <v>0</v>
      </c>
      <c r="D9966" s="8"/>
    </row>
    <row r="9967">
      <c r="A9967" s="9" t="str">
        <f>IFERROR(__xludf.DUMMYFUNCTION("""COMPUTED_VALUE"""),"Batch 370")</f>
        <v>Batch 370</v>
      </c>
      <c r="B9967" s="9" t="str">
        <f>IFERROR(__xludf.DUMMYFUNCTION("""COMPUTED_VALUE"""),"AdarshC370")</f>
        <v>AdarshC370</v>
      </c>
      <c r="C9967" s="8">
        <f>IFERROR(__xludf.DUMMYFUNCTION("""COMPUTED_VALUE"""),0.0)</f>
        <v>0</v>
      </c>
      <c r="D9967" s="8"/>
    </row>
    <row r="9968">
      <c r="A9968" s="9" t="str">
        <f>IFERROR(__xludf.DUMMYFUNCTION("""COMPUTED_VALUE"""),"Batch 370")</f>
        <v>Batch 370</v>
      </c>
      <c r="B9968" s="9" t="str">
        <f>IFERROR(__xludf.DUMMYFUNCTION("""COMPUTED_VALUE"""),"abhishekC370")</f>
        <v>abhishekC370</v>
      </c>
      <c r="C9968" s="8">
        <f>IFERROR(__xludf.DUMMYFUNCTION("""COMPUTED_VALUE"""),0.0)</f>
        <v>0</v>
      </c>
      <c r="D9968" s="8"/>
    </row>
    <row r="9969">
      <c r="A9969" s="9" t="str">
        <f>IFERROR(__xludf.DUMMYFUNCTION("""COMPUTED_VALUE"""),"Batch 370")</f>
        <v>Batch 370</v>
      </c>
      <c r="B9969" s="9" t="str">
        <f>IFERROR(__xludf.DUMMYFUNCTION("""COMPUTED_VALUE"""),"KalyaniC370")</f>
        <v>KalyaniC370</v>
      </c>
      <c r="C9969" s="8">
        <f>IFERROR(__xludf.DUMMYFUNCTION("""COMPUTED_VALUE"""),0.0)</f>
        <v>0</v>
      </c>
      <c r="D9969" s="8"/>
    </row>
    <row r="9970">
      <c r="A9970" s="9" t="str">
        <f>IFERROR(__xludf.DUMMYFUNCTION("""COMPUTED_VALUE"""),"Batch 370")</f>
        <v>Batch 370</v>
      </c>
      <c r="B9970" s="9" t="str">
        <f>IFERROR(__xludf.DUMMYFUNCTION("""COMPUTED_VALUE"""),"ArffatC370")</f>
        <v>ArffatC370</v>
      </c>
      <c r="C9970" s="8">
        <f>IFERROR(__xludf.DUMMYFUNCTION("""COMPUTED_VALUE"""),0.0)</f>
        <v>0</v>
      </c>
      <c r="D9970" s="8"/>
    </row>
    <row r="9971">
      <c r="A9971" s="9" t="str">
        <f>IFERROR(__xludf.DUMMYFUNCTION("""COMPUTED_VALUE"""),"Batch 370")</f>
        <v>Batch 370</v>
      </c>
      <c r="B9971" s="9" t="str">
        <f>IFERROR(__xludf.DUMMYFUNCTION("""COMPUTED_VALUE"""),"AkramC370")</f>
        <v>AkramC370</v>
      </c>
      <c r="C9971" s="8">
        <f>IFERROR(__xludf.DUMMYFUNCTION("""COMPUTED_VALUE"""),28.0)</f>
        <v>28</v>
      </c>
      <c r="D9971" s="8">
        <f>IFERROR(__xludf.DUMMYFUNCTION("""COMPUTED_VALUE"""),18.0)</f>
        <v>18</v>
      </c>
    </row>
    <row r="9972">
      <c r="A9972" s="9" t="str">
        <f>IFERROR(__xludf.DUMMYFUNCTION("""COMPUTED_VALUE"""),"Batch 370")</f>
        <v>Batch 370</v>
      </c>
      <c r="B9972" s="9" t="str">
        <f>IFERROR(__xludf.DUMMYFUNCTION("""COMPUTED_VALUE"""),"AdityaGC370")</f>
        <v>AdityaGC370</v>
      </c>
      <c r="C9972" s="8">
        <f>IFERROR(__xludf.DUMMYFUNCTION("""COMPUTED_VALUE"""),0.0)</f>
        <v>0</v>
      </c>
      <c r="D9972" s="8"/>
    </row>
    <row r="9973">
      <c r="A9973" s="9" t="str">
        <f>IFERROR(__xludf.DUMMYFUNCTION("""COMPUTED_VALUE"""),"Batch 370")</f>
        <v>Batch 370</v>
      </c>
      <c r="B9973" s="9" t="str">
        <f>IFERROR(__xludf.DUMMYFUNCTION("""COMPUTED_VALUE"""),"JeevikaC370")</f>
        <v>JeevikaC370</v>
      </c>
      <c r="C9973" s="8">
        <f>IFERROR(__xludf.DUMMYFUNCTION("""COMPUTED_VALUE"""),0.0)</f>
        <v>0</v>
      </c>
      <c r="D9973" s="8"/>
    </row>
    <row r="9974">
      <c r="A9974" s="9" t="str">
        <f>IFERROR(__xludf.DUMMYFUNCTION("""COMPUTED_VALUE"""),"Batch 370")</f>
        <v>Batch 370</v>
      </c>
      <c r="B9974" s="9" t="str">
        <f>IFERROR(__xludf.DUMMYFUNCTION("""COMPUTED_VALUE"""),"AdityaSC370")</f>
        <v>AdityaSC370</v>
      </c>
      <c r="C9974" s="8">
        <f>IFERROR(__xludf.DUMMYFUNCTION("""COMPUTED_VALUE"""),0.0)</f>
        <v>0</v>
      </c>
      <c r="D9974" s="8"/>
    </row>
    <row r="9975">
      <c r="A9975" s="9" t="str">
        <f>IFERROR(__xludf.DUMMYFUNCTION("""COMPUTED_VALUE"""),"Batch 370")</f>
        <v>Batch 370</v>
      </c>
      <c r="B9975" s="9" t="str">
        <f>IFERROR(__xludf.DUMMYFUNCTION("""COMPUTED_VALUE"""),"SandeepC370")</f>
        <v>SandeepC370</v>
      </c>
      <c r="C9975" s="8">
        <f>IFERROR(__xludf.DUMMYFUNCTION("""COMPUTED_VALUE"""),0.0)</f>
        <v>0</v>
      </c>
      <c r="D9975" s="8"/>
    </row>
    <row r="9976">
      <c r="A9976" s="9" t="str">
        <f>IFERROR(__xludf.DUMMYFUNCTION("""COMPUTED_VALUE"""),"Batch 370")</f>
        <v>Batch 370</v>
      </c>
      <c r="B9976" s="9" t="str">
        <f>IFERROR(__xludf.DUMMYFUNCTION("""COMPUTED_VALUE"""),"KusumC370")</f>
        <v>KusumC370</v>
      </c>
      <c r="C9976" s="8">
        <f>IFERROR(__xludf.DUMMYFUNCTION("""COMPUTED_VALUE"""),0.0)</f>
        <v>0</v>
      </c>
      <c r="D9976" s="8"/>
    </row>
    <row r="9977">
      <c r="A9977" s="9" t="str">
        <f>IFERROR(__xludf.DUMMYFUNCTION("""COMPUTED_VALUE"""),"Batch 370")</f>
        <v>Batch 370</v>
      </c>
      <c r="B9977" s="9" t="str">
        <f>IFERROR(__xludf.DUMMYFUNCTION("""COMPUTED_VALUE"""),"ParmarC370")</f>
        <v>ParmarC370</v>
      </c>
      <c r="C9977" s="8">
        <f>IFERROR(__xludf.DUMMYFUNCTION("""COMPUTED_VALUE"""),0.0)</f>
        <v>0</v>
      </c>
      <c r="D9977" s="8"/>
    </row>
    <row r="9978">
      <c r="A9978" s="9" t="str">
        <f>IFERROR(__xludf.DUMMYFUNCTION("""COMPUTED_VALUE"""),"Batch 370")</f>
        <v>Batch 370</v>
      </c>
      <c r="B9978" s="9" t="str">
        <f>IFERROR(__xludf.DUMMYFUNCTION("""COMPUTED_VALUE"""),"AyushiC370")</f>
        <v>AyushiC370</v>
      </c>
      <c r="C9978" s="8">
        <f>IFERROR(__xludf.DUMMYFUNCTION("""COMPUTED_VALUE"""),0.0)</f>
        <v>0</v>
      </c>
      <c r="D9978" s="8"/>
    </row>
    <row r="9979">
      <c r="A9979" s="9" t="str">
        <f>IFERROR(__xludf.DUMMYFUNCTION("""COMPUTED_VALUE"""),"Batch 370")</f>
        <v>Batch 370</v>
      </c>
      <c r="B9979" s="9" t="str">
        <f>IFERROR(__xludf.DUMMYFUNCTION("""COMPUTED_VALUE"""),"NeelC370")</f>
        <v>NeelC370</v>
      </c>
      <c r="C9979" s="8">
        <f>IFERROR(__xludf.DUMMYFUNCTION("""COMPUTED_VALUE"""),0.0)</f>
        <v>0</v>
      </c>
      <c r="D9979" s="8"/>
    </row>
    <row r="9980">
      <c r="A9980" s="9" t="str">
        <f>IFERROR(__xludf.DUMMYFUNCTION("""COMPUTED_VALUE"""),"Batch 370")</f>
        <v>Batch 370</v>
      </c>
      <c r="B9980" s="9" t="str">
        <f>IFERROR(__xludf.DUMMYFUNCTION("""COMPUTED_VALUE"""),"PiyushC370")</f>
        <v>PiyushC370</v>
      </c>
      <c r="C9980" s="8">
        <f>IFERROR(__xludf.DUMMYFUNCTION("""COMPUTED_VALUE"""),0.0)</f>
        <v>0</v>
      </c>
      <c r="D9980" s="8"/>
    </row>
    <row r="9981">
      <c r="A9981" s="9" t="str">
        <f>IFERROR(__xludf.DUMMYFUNCTION("""COMPUTED_VALUE"""),"Batch 370")</f>
        <v>Batch 370</v>
      </c>
      <c r="B9981" s="9" t="str">
        <f>IFERROR(__xludf.DUMMYFUNCTION("""COMPUTED_VALUE"""),"BipanjeetC370")</f>
        <v>BipanjeetC370</v>
      </c>
      <c r="C9981" s="8">
        <f>IFERROR(__xludf.DUMMYFUNCTION("""COMPUTED_VALUE"""),0.0)</f>
        <v>0</v>
      </c>
      <c r="D9981" s="8"/>
    </row>
    <row r="9982">
      <c r="A9982" s="9" t="str">
        <f>IFERROR(__xludf.DUMMYFUNCTION("""COMPUTED_VALUE"""),"Batch 370")</f>
        <v>Batch 370</v>
      </c>
      <c r="B9982" s="9" t="str">
        <f>IFERROR(__xludf.DUMMYFUNCTION("""COMPUTED_VALUE"""),"SanjanaC370")</f>
        <v>SanjanaC370</v>
      </c>
      <c r="C9982" s="8">
        <f>IFERROR(__xludf.DUMMYFUNCTION("""COMPUTED_VALUE"""),0.0)</f>
        <v>0</v>
      </c>
      <c r="D9982" s="8"/>
    </row>
    <row r="9983">
      <c r="A9983" s="9" t="str">
        <f>IFERROR(__xludf.DUMMYFUNCTION("""COMPUTED_VALUE"""),"Batch 370")</f>
        <v>Batch 370</v>
      </c>
      <c r="B9983" s="9" t="str">
        <f>IFERROR(__xludf.DUMMYFUNCTION("""COMPUTED_VALUE"""),"AadityaC370")</f>
        <v>AadityaC370</v>
      </c>
      <c r="C9983" s="8">
        <f>IFERROR(__xludf.DUMMYFUNCTION("""COMPUTED_VALUE"""),0.0)</f>
        <v>0</v>
      </c>
      <c r="D9983" s="8"/>
    </row>
    <row r="9984">
      <c r="A9984" s="9" t="str">
        <f>IFERROR(__xludf.DUMMYFUNCTION("""COMPUTED_VALUE"""),"Batch 370")</f>
        <v>Batch 370</v>
      </c>
      <c r="B9984" s="9" t="str">
        <f>IFERROR(__xludf.DUMMYFUNCTION("""COMPUTED_VALUE"""),"ManasC370")</f>
        <v>ManasC370</v>
      </c>
      <c r="C9984" s="8">
        <f>IFERROR(__xludf.DUMMYFUNCTION("""COMPUTED_VALUE"""),0.0)</f>
        <v>0</v>
      </c>
      <c r="D9984" s="8"/>
    </row>
    <row r="9985">
      <c r="A9985" s="9" t="str">
        <f>IFERROR(__xludf.DUMMYFUNCTION("""COMPUTED_VALUE"""),"Batch 370")</f>
        <v>Batch 370</v>
      </c>
      <c r="B9985" s="9" t="str">
        <f>IFERROR(__xludf.DUMMYFUNCTION("""COMPUTED_VALUE"""),"DivikC370")</f>
        <v>DivikC370</v>
      </c>
      <c r="C9985" s="8">
        <f>IFERROR(__xludf.DUMMYFUNCTION("""COMPUTED_VALUE"""),6.0)</f>
        <v>6</v>
      </c>
      <c r="D9985" s="8"/>
    </row>
    <row r="9986">
      <c r="A9986" s="9" t="str">
        <f>IFERROR(__xludf.DUMMYFUNCTION("""COMPUTED_VALUE"""),"Batch 370")</f>
        <v>Batch 370</v>
      </c>
      <c r="B9986" s="9" t="str">
        <f>IFERROR(__xludf.DUMMYFUNCTION("""COMPUTED_VALUE"""),"TannuC370")</f>
        <v>TannuC370</v>
      </c>
      <c r="C9986" s="8">
        <f>IFERROR(__xludf.DUMMYFUNCTION("""COMPUTED_VALUE"""),0.0)</f>
        <v>0</v>
      </c>
      <c r="D9986" s="8"/>
    </row>
    <row r="9987">
      <c r="A9987" s="9" t="str">
        <f>IFERROR(__xludf.DUMMYFUNCTION("""COMPUTED_VALUE"""),"Batch 370")</f>
        <v>Batch 370</v>
      </c>
      <c r="B9987" s="9" t="str">
        <f>IFERROR(__xludf.DUMMYFUNCTION("""COMPUTED_VALUE"""),"RishavC370")</f>
        <v>RishavC370</v>
      </c>
      <c r="C9987" s="8">
        <f>IFERROR(__xludf.DUMMYFUNCTION("""COMPUTED_VALUE"""),0.0)</f>
        <v>0</v>
      </c>
      <c r="D9987" s="8"/>
    </row>
    <row r="9988">
      <c r="A9988" s="9"/>
      <c r="B9988" s="9"/>
      <c r="C9988" s="8">
        <f>IFERROR(__xludf.DUMMYFUNCTION("""COMPUTED_VALUE"""),0.0)</f>
        <v>0</v>
      </c>
      <c r="D9988" s="8"/>
    </row>
    <row r="9989">
      <c r="A9989" s="9" t="str">
        <f>IFERROR(__xludf.DUMMYFUNCTION("""COMPUTED_VALUE"""),"Batch 371")</f>
        <v>Batch 371</v>
      </c>
      <c r="B9989" s="9" t="str">
        <f>IFERROR(__xludf.DUMMYFUNCTION("""COMPUTED_VALUE"""),"SwatiC371")</f>
        <v>SwatiC371</v>
      </c>
      <c r="C9989" s="8">
        <f>IFERROR(__xludf.DUMMYFUNCTION("""COMPUTED_VALUE"""),0.0)</f>
        <v>0</v>
      </c>
      <c r="D9989" s="8"/>
    </row>
    <row r="9990">
      <c r="A9990" s="9" t="str">
        <f>IFERROR(__xludf.DUMMYFUNCTION("""COMPUTED_VALUE"""),"Batch 371")</f>
        <v>Batch 371</v>
      </c>
      <c r="B9990" s="9" t="str">
        <f>IFERROR(__xludf.DUMMYFUNCTION("""COMPUTED_VALUE"""),"JwalitC371")</f>
        <v>JwalitC371</v>
      </c>
      <c r="C9990" s="8">
        <f>IFERROR(__xludf.DUMMYFUNCTION("""COMPUTED_VALUE"""),0.0)</f>
        <v>0</v>
      </c>
      <c r="D9990" s="8"/>
    </row>
    <row r="9991">
      <c r="A9991" s="9" t="str">
        <f>IFERROR(__xludf.DUMMYFUNCTION("""COMPUTED_VALUE"""),"Batch 371")</f>
        <v>Batch 371</v>
      </c>
      <c r="B9991" s="9" t="str">
        <f>IFERROR(__xludf.DUMMYFUNCTION("""COMPUTED_VALUE"""),"VibhaC371")</f>
        <v>VibhaC371</v>
      </c>
      <c r="C9991" s="8">
        <f>IFERROR(__xludf.DUMMYFUNCTION("""COMPUTED_VALUE"""),0.0)</f>
        <v>0</v>
      </c>
      <c r="D9991" s="8"/>
    </row>
    <row r="9992">
      <c r="A9992" s="9" t="str">
        <f>IFERROR(__xludf.DUMMYFUNCTION("""COMPUTED_VALUE"""),"Batch 371")</f>
        <v>Batch 371</v>
      </c>
      <c r="B9992" s="9" t="str">
        <f>IFERROR(__xludf.DUMMYFUNCTION("""COMPUTED_VALUE"""),"KaranC371")</f>
        <v>KaranC371</v>
      </c>
      <c r="C9992" s="8">
        <f>IFERROR(__xludf.DUMMYFUNCTION("""COMPUTED_VALUE"""),0.0)</f>
        <v>0</v>
      </c>
      <c r="D9992" s="8"/>
    </row>
    <row r="9993">
      <c r="A9993" s="9" t="str">
        <f>IFERROR(__xludf.DUMMYFUNCTION("""COMPUTED_VALUE"""),"Batch 371")</f>
        <v>Batch 371</v>
      </c>
      <c r="B9993" s="9" t="str">
        <f>IFERROR(__xludf.DUMMYFUNCTION("""COMPUTED_VALUE"""),"JaytiC371")</f>
        <v>JaytiC371</v>
      </c>
      <c r="C9993" s="8">
        <f>IFERROR(__xludf.DUMMYFUNCTION("""COMPUTED_VALUE"""),0.0)</f>
        <v>0</v>
      </c>
      <c r="D9993" s="8"/>
    </row>
    <row r="9994">
      <c r="A9994" s="9" t="str">
        <f>IFERROR(__xludf.DUMMYFUNCTION("""COMPUTED_VALUE"""),"Batch 371")</f>
        <v>Batch 371</v>
      </c>
      <c r="B9994" s="9" t="str">
        <f>IFERROR(__xludf.DUMMYFUNCTION("""COMPUTED_VALUE"""),"AlishaC371")</f>
        <v>AlishaC371</v>
      </c>
      <c r="C9994" s="8">
        <f>IFERROR(__xludf.DUMMYFUNCTION("""COMPUTED_VALUE"""),0.0)</f>
        <v>0</v>
      </c>
      <c r="D9994" s="8"/>
    </row>
    <row r="9995">
      <c r="A9995" s="9" t="str">
        <f>IFERROR(__xludf.DUMMYFUNCTION("""COMPUTED_VALUE"""),"Batch 371")</f>
        <v>Batch 371</v>
      </c>
      <c r="B9995" s="9" t="str">
        <f>IFERROR(__xludf.DUMMYFUNCTION("""COMPUTED_VALUE"""),"AbhayC371")</f>
        <v>AbhayC371</v>
      </c>
      <c r="C9995" s="8">
        <f>IFERROR(__xludf.DUMMYFUNCTION("""COMPUTED_VALUE"""),0.0)</f>
        <v>0</v>
      </c>
      <c r="D9995" s="8"/>
    </row>
    <row r="9996">
      <c r="A9996" s="9" t="str">
        <f>IFERROR(__xludf.DUMMYFUNCTION("""COMPUTED_VALUE"""),"Batch 371")</f>
        <v>Batch 371</v>
      </c>
      <c r="B9996" s="9" t="str">
        <f>IFERROR(__xludf.DUMMYFUNCTION("""COMPUTED_VALUE"""),"YashC371")</f>
        <v>YashC371</v>
      </c>
      <c r="C9996" s="8">
        <f>IFERROR(__xludf.DUMMYFUNCTION("""COMPUTED_VALUE"""),0.0)</f>
        <v>0</v>
      </c>
      <c r="D9996" s="8"/>
    </row>
    <row r="9997">
      <c r="A9997" s="9" t="str">
        <f>IFERROR(__xludf.DUMMYFUNCTION("""COMPUTED_VALUE"""),"Batch 371")</f>
        <v>Batch 371</v>
      </c>
      <c r="B9997" s="9" t="str">
        <f>IFERROR(__xludf.DUMMYFUNCTION("""COMPUTED_VALUE"""),"LakshyaC371")</f>
        <v>LakshyaC371</v>
      </c>
      <c r="C9997" s="8">
        <f>IFERROR(__xludf.DUMMYFUNCTION("""COMPUTED_VALUE"""),0.0)</f>
        <v>0</v>
      </c>
      <c r="D9997" s="8"/>
    </row>
    <row r="9998">
      <c r="A9998" s="9" t="str">
        <f>IFERROR(__xludf.DUMMYFUNCTION("""COMPUTED_VALUE"""),"Batch 371")</f>
        <v>Batch 371</v>
      </c>
      <c r="B9998" s="9" t="str">
        <f>IFERROR(__xludf.DUMMYFUNCTION("""COMPUTED_VALUE"""),"HimeshC371")</f>
        <v>HimeshC371</v>
      </c>
      <c r="C9998" s="8">
        <f>IFERROR(__xludf.DUMMYFUNCTION("""COMPUTED_VALUE"""),0.0)</f>
        <v>0</v>
      </c>
      <c r="D9998" s="8"/>
    </row>
    <row r="9999">
      <c r="A9999" s="9" t="str">
        <f>IFERROR(__xludf.DUMMYFUNCTION("""COMPUTED_VALUE"""),"Batch 371")</f>
        <v>Batch 371</v>
      </c>
      <c r="B9999" s="9" t="str">
        <f>IFERROR(__xludf.DUMMYFUNCTION("""COMPUTED_VALUE"""),"KrishnaC371")</f>
        <v>KrishnaC371</v>
      </c>
      <c r="C9999" s="8">
        <f>IFERROR(__xludf.DUMMYFUNCTION("""COMPUTED_VALUE"""),0.0)</f>
        <v>0</v>
      </c>
      <c r="D9999" s="8"/>
    </row>
    <row r="10000">
      <c r="A10000" s="9" t="str">
        <f>IFERROR(__xludf.DUMMYFUNCTION("""COMPUTED_VALUE"""),"Batch 371")</f>
        <v>Batch 371</v>
      </c>
      <c r="B10000" s="9" t="str">
        <f>IFERROR(__xludf.DUMMYFUNCTION("""COMPUTED_VALUE"""),"DEEPAKC371")</f>
        <v>DEEPAKC371</v>
      </c>
      <c r="C10000" s="8">
        <f>IFERROR(__xludf.DUMMYFUNCTION("""COMPUTED_VALUE"""),0.0)</f>
        <v>0</v>
      </c>
      <c r="D10000" s="8"/>
    </row>
    <row r="10001">
      <c r="A10001" s="9" t="str">
        <f>IFERROR(__xludf.DUMMYFUNCTION("""COMPUTED_VALUE"""),"Batch 371")</f>
        <v>Batch 371</v>
      </c>
      <c r="B10001" s="9" t="str">
        <f>IFERROR(__xludf.DUMMYFUNCTION("""COMPUTED_VALUE"""),"DishantC371")</f>
        <v>DishantC371</v>
      </c>
      <c r="C10001" s="8">
        <f>IFERROR(__xludf.DUMMYFUNCTION("""COMPUTED_VALUE"""),0.0)</f>
        <v>0</v>
      </c>
      <c r="D10001" s="8"/>
    </row>
    <row r="10002">
      <c r="A10002" s="9" t="str">
        <f>IFERROR(__xludf.DUMMYFUNCTION("""COMPUTED_VALUE"""),"Batch 371")</f>
        <v>Batch 371</v>
      </c>
      <c r="B10002" s="9" t="str">
        <f>IFERROR(__xludf.DUMMYFUNCTION("""COMPUTED_VALUE"""),"TanviC371")</f>
        <v>TanviC371</v>
      </c>
      <c r="C10002" s="8">
        <f>IFERROR(__xludf.DUMMYFUNCTION("""COMPUTED_VALUE"""),0.0)</f>
        <v>0</v>
      </c>
      <c r="D10002" s="8"/>
    </row>
    <row r="10003">
      <c r="A10003" s="9" t="str">
        <f>IFERROR(__xludf.DUMMYFUNCTION("""COMPUTED_VALUE"""),"Batch 371")</f>
        <v>Batch 371</v>
      </c>
      <c r="B10003" s="9" t="str">
        <f>IFERROR(__xludf.DUMMYFUNCTION("""COMPUTED_VALUE"""),"RudraC371")</f>
        <v>RudraC371</v>
      </c>
      <c r="C10003" s="8">
        <f>IFERROR(__xludf.DUMMYFUNCTION("""COMPUTED_VALUE"""),4.0)</f>
        <v>4</v>
      </c>
      <c r="D10003" s="8"/>
    </row>
    <row r="10004">
      <c r="A10004" s="9" t="str">
        <f>IFERROR(__xludf.DUMMYFUNCTION("""COMPUTED_VALUE"""),"Batch 371")</f>
        <v>Batch 371</v>
      </c>
      <c r="B10004" s="9" t="str">
        <f>IFERROR(__xludf.DUMMYFUNCTION("""COMPUTED_VALUE"""),"ShreeyaC371")</f>
        <v>ShreeyaC371</v>
      </c>
      <c r="C10004" s="8">
        <f>IFERROR(__xludf.DUMMYFUNCTION("""COMPUTED_VALUE"""),0.0)</f>
        <v>0</v>
      </c>
      <c r="D10004" s="8"/>
    </row>
    <row r="10005">
      <c r="A10005" s="9" t="str">
        <f>IFERROR(__xludf.DUMMYFUNCTION("""COMPUTED_VALUE"""),"Batch 371")</f>
        <v>Batch 371</v>
      </c>
      <c r="B10005" s="9" t="str">
        <f>IFERROR(__xludf.DUMMYFUNCTION("""COMPUTED_VALUE"""),"MansiC371")</f>
        <v>MansiC371</v>
      </c>
      <c r="C10005" s="8">
        <f>IFERROR(__xludf.DUMMYFUNCTION("""COMPUTED_VALUE"""),0.0)</f>
        <v>0</v>
      </c>
      <c r="D10005" s="8"/>
    </row>
    <row r="10006">
      <c r="A10006" s="9" t="str">
        <f>IFERROR(__xludf.DUMMYFUNCTION("""COMPUTED_VALUE"""),"Batch 371")</f>
        <v>Batch 371</v>
      </c>
      <c r="B10006" s="9" t="str">
        <f>IFERROR(__xludf.DUMMYFUNCTION("""COMPUTED_VALUE"""),"NikhilC371")</f>
        <v>NikhilC371</v>
      </c>
      <c r="C10006" s="8">
        <f>IFERROR(__xludf.DUMMYFUNCTION("""COMPUTED_VALUE"""),0.0)</f>
        <v>0</v>
      </c>
      <c r="D10006" s="8"/>
    </row>
    <row r="10007">
      <c r="A10007" s="9" t="str">
        <f>IFERROR(__xludf.DUMMYFUNCTION("""COMPUTED_VALUE"""),"Batch 371")</f>
        <v>Batch 371</v>
      </c>
      <c r="B10007" s="9" t="str">
        <f>IFERROR(__xludf.DUMMYFUNCTION("""COMPUTED_VALUE"""),"KARTIKC371")</f>
        <v>KARTIKC371</v>
      </c>
      <c r="C10007" s="8">
        <f>IFERROR(__xludf.DUMMYFUNCTION("""COMPUTED_VALUE"""),0.0)</f>
        <v>0</v>
      </c>
      <c r="D10007" s="8"/>
    </row>
    <row r="10008">
      <c r="A10008" s="9" t="str">
        <f>IFERROR(__xludf.DUMMYFUNCTION("""COMPUTED_VALUE"""),"Batch 371")</f>
        <v>Batch 371</v>
      </c>
      <c r="B10008" s="9" t="str">
        <f>IFERROR(__xludf.DUMMYFUNCTION("""COMPUTED_VALUE"""),"DevlinaC371")</f>
        <v>DevlinaC371</v>
      </c>
      <c r="C10008" s="8">
        <f>IFERROR(__xludf.DUMMYFUNCTION("""COMPUTED_VALUE"""),1.0)</f>
        <v>1</v>
      </c>
      <c r="D10008" s="8">
        <f>IFERROR(__xludf.DUMMYFUNCTION("""COMPUTED_VALUE"""),3.0)</f>
        <v>3</v>
      </c>
    </row>
    <row r="10009">
      <c r="A10009" s="9" t="str">
        <f>IFERROR(__xludf.DUMMYFUNCTION("""COMPUTED_VALUE"""),"Batch 371")</f>
        <v>Batch 371</v>
      </c>
      <c r="B10009" s="9" t="str">
        <f>IFERROR(__xludf.DUMMYFUNCTION("""COMPUTED_VALUE"""),"AshiyaC371")</f>
        <v>AshiyaC371</v>
      </c>
      <c r="C10009" s="8">
        <f>IFERROR(__xludf.DUMMYFUNCTION("""COMPUTED_VALUE"""),2.0)</f>
        <v>2</v>
      </c>
      <c r="D10009" s="8">
        <f>IFERROR(__xludf.DUMMYFUNCTION("""COMPUTED_VALUE"""),5.0)</f>
        <v>5</v>
      </c>
    </row>
    <row r="10010">
      <c r="A10010" s="9" t="str">
        <f>IFERROR(__xludf.DUMMYFUNCTION("""COMPUTED_VALUE"""),"Batch 371")</f>
        <v>Batch 371</v>
      </c>
      <c r="B10010" s="9" t="str">
        <f>IFERROR(__xludf.DUMMYFUNCTION("""COMPUTED_VALUE"""),"MayankC371")</f>
        <v>MayankC371</v>
      </c>
      <c r="C10010" s="8">
        <f>IFERROR(__xludf.DUMMYFUNCTION("""COMPUTED_VALUE"""),0.0)</f>
        <v>0</v>
      </c>
      <c r="D10010" s="8"/>
    </row>
    <row r="10011">
      <c r="A10011" s="9" t="str">
        <f>IFERROR(__xludf.DUMMYFUNCTION("""COMPUTED_VALUE"""),"Batch 371")</f>
        <v>Batch 371</v>
      </c>
      <c r="B10011" s="9" t="str">
        <f>IFERROR(__xludf.DUMMYFUNCTION("""COMPUTED_VALUE"""),"ZainC371")</f>
        <v>ZainC371</v>
      </c>
      <c r="C10011" s="8">
        <f>IFERROR(__xludf.DUMMYFUNCTION("""COMPUTED_VALUE"""),0.0)</f>
        <v>0</v>
      </c>
      <c r="D10011" s="8"/>
    </row>
    <row r="10012">
      <c r="A10012" s="9" t="str">
        <f>IFERROR(__xludf.DUMMYFUNCTION("""COMPUTED_VALUE"""),"Batch 371")</f>
        <v>Batch 371</v>
      </c>
      <c r="B10012" s="9" t="str">
        <f>IFERROR(__xludf.DUMMYFUNCTION("""COMPUTED_VALUE"""),"ReeshmaanC371")</f>
        <v>ReeshmaanC371</v>
      </c>
      <c r="C10012" s="8">
        <f>IFERROR(__xludf.DUMMYFUNCTION("""COMPUTED_VALUE"""),0.0)</f>
        <v>0</v>
      </c>
      <c r="D10012" s="8"/>
    </row>
    <row r="10013">
      <c r="A10013" s="9" t="str">
        <f>IFERROR(__xludf.DUMMYFUNCTION("""COMPUTED_VALUE"""),"Batch 371")</f>
        <v>Batch 371</v>
      </c>
      <c r="B10013" s="9" t="str">
        <f>IFERROR(__xludf.DUMMYFUNCTION("""COMPUTED_VALUE"""),"VinayakC371")</f>
        <v>VinayakC371</v>
      </c>
      <c r="C10013" s="8">
        <f>IFERROR(__xludf.DUMMYFUNCTION("""COMPUTED_VALUE"""),30.0)</f>
        <v>30</v>
      </c>
      <c r="D10013" s="8">
        <f>IFERROR(__xludf.DUMMYFUNCTION("""COMPUTED_VALUE"""),1.0)</f>
        <v>1</v>
      </c>
    </row>
    <row r="10014">
      <c r="A10014" s="9" t="str">
        <f>IFERROR(__xludf.DUMMYFUNCTION("""COMPUTED_VALUE"""),"Batch 371")</f>
        <v>Batch 371</v>
      </c>
      <c r="B10014" s="9" t="str">
        <f>IFERROR(__xludf.DUMMYFUNCTION("""COMPUTED_VALUE"""),"MoinC371")</f>
        <v>MoinC371</v>
      </c>
      <c r="C10014" s="8">
        <f>IFERROR(__xludf.DUMMYFUNCTION("""COMPUTED_VALUE"""),0.0)</f>
        <v>0</v>
      </c>
      <c r="D10014" s="8"/>
    </row>
    <row r="10015">
      <c r="A10015" s="9" t="str">
        <f>IFERROR(__xludf.DUMMYFUNCTION("""COMPUTED_VALUE"""),"Batch 371")</f>
        <v>Batch 371</v>
      </c>
      <c r="B10015" s="9" t="str">
        <f>IFERROR(__xludf.DUMMYFUNCTION("""COMPUTED_VALUE"""),"PoojaC371")</f>
        <v>PoojaC371</v>
      </c>
      <c r="C10015" s="8">
        <f>IFERROR(__xludf.DUMMYFUNCTION("""COMPUTED_VALUE"""),0.0)</f>
        <v>0</v>
      </c>
      <c r="D10015" s="8"/>
    </row>
    <row r="10016">
      <c r="A10016" s="9" t="str">
        <f>IFERROR(__xludf.DUMMYFUNCTION("""COMPUTED_VALUE"""),"Batch 371")</f>
        <v>Batch 371</v>
      </c>
      <c r="B10016" s="9" t="str">
        <f>IFERROR(__xludf.DUMMYFUNCTION("""COMPUTED_VALUE"""),"AkshatC371")</f>
        <v>AkshatC371</v>
      </c>
      <c r="C10016" s="8">
        <f>IFERROR(__xludf.DUMMYFUNCTION("""COMPUTED_VALUE"""),0.0)</f>
        <v>0</v>
      </c>
      <c r="D10016" s="8"/>
    </row>
    <row r="10017">
      <c r="A10017" s="9" t="str">
        <f>IFERROR(__xludf.DUMMYFUNCTION("""COMPUTED_VALUE"""),"Batch 371")</f>
        <v>Batch 371</v>
      </c>
      <c r="B10017" s="9" t="str">
        <f>IFERROR(__xludf.DUMMYFUNCTION("""COMPUTED_VALUE"""),"CHANDRAC371")</f>
        <v>CHANDRAC371</v>
      </c>
      <c r="C10017" s="8">
        <f>IFERROR(__xludf.DUMMYFUNCTION("""COMPUTED_VALUE"""),11.0)</f>
        <v>11</v>
      </c>
      <c r="D10017" s="8">
        <f>IFERROR(__xludf.DUMMYFUNCTION("""COMPUTED_VALUE"""),1.0)</f>
        <v>1</v>
      </c>
    </row>
    <row r="10018">
      <c r="A10018" s="9" t="str">
        <f>IFERROR(__xludf.DUMMYFUNCTION("""COMPUTED_VALUE"""),"Batch 371")</f>
        <v>Batch 371</v>
      </c>
      <c r="B10018" s="9" t="str">
        <f>IFERROR(__xludf.DUMMYFUNCTION("""COMPUTED_VALUE"""),"MayurC371")</f>
        <v>MayurC371</v>
      </c>
      <c r="C10018" s="8">
        <f>IFERROR(__xludf.DUMMYFUNCTION("""COMPUTED_VALUE"""),0.0)</f>
        <v>0</v>
      </c>
      <c r="D10018" s="8"/>
    </row>
    <row r="10019">
      <c r="A10019" s="9" t="str">
        <f>IFERROR(__xludf.DUMMYFUNCTION("""COMPUTED_VALUE"""),"Batch 371")</f>
        <v>Batch 371</v>
      </c>
      <c r="B10019" s="9" t="str">
        <f>IFERROR(__xludf.DUMMYFUNCTION("""COMPUTED_VALUE"""),"AbdullahC371")</f>
        <v>AbdullahC371</v>
      </c>
      <c r="C10019" s="8">
        <f>IFERROR(__xludf.DUMMYFUNCTION("""COMPUTED_VALUE"""),0.0)</f>
        <v>0</v>
      </c>
      <c r="D10019" s="8">
        <f>IFERROR(__xludf.DUMMYFUNCTION("""COMPUTED_VALUE"""),1.0)</f>
        <v>1</v>
      </c>
    </row>
    <row r="10020">
      <c r="A10020" s="9" t="str">
        <f>IFERROR(__xludf.DUMMYFUNCTION("""COMPUTED_VALUE"""),"Batch 371")</f>
        <v>Batch 371</v>
      </c>
      <c r="B10020" s="9" t="str">
        <f>IFERROR(__xludf.DUMMYFUNCTION("""COMPUTED_VALUE"""),"ZeenathC371")</f>
        <v>ZeenathC371</v>
      </c>
      <c r="C10020" s="8">
        <f>IFERROR(__xludf.DUMMYFUNCTION("""COMPUTED_VALUE"""),0.0)</f>
        <v>0</v>
      </c>
      <c r="D10020" s="8"/>
    </row>
    <row r="10021">
      <c r="A10021" s="9" t="str">
        <f>IFERROR(__xludf.DUMMYFUNCTION("""COMPUTED_VALUE"""),"Batch 371")</f>
        <v>Batch 371</v>
      </c>
      <c r="B10021" s="9" t="str">
        <f>IFERROR(__xludf.DUMMYFUNCTION("""COMPUTED_VALUE"""),"MakhanC371")</f>
        <v>MakhanC371</v>
      </c>
      <c r="C10021" s="8">
        <f>IFERROR(__xludf.DUMMYFUNCTION("""COMPUTED_VALUE"""),0.0)</f>
        <v>0</v>
      </c>
      <c r="D10021" s="8"/>
    </row>
    <row r="10022">
      <c r="A10022" s="9" t="str">
        <f>IFERROR(__xludf.DUMMYFUNCTION("""COMPUTED_VALUE"""),"Batch 371")</f>
        <v>Batch 371</v>
      </c>
      <c r="B10022" s="9" t="str">
        <f>IFERROR(__xludf.DUMMYFUNCTION("""COMPUTED_VALUE"""),"ChetanC371")</f>
        <v>ChetanC371</v>
      </c>
      <c r="C10022" s="8">
        <f>IFERROR(__xludf.DUMMYFUNCTION("""COMPUTED_VALUE"""),2.0)</f>
        <v>2</v>
      </c>
      <c r="D10022" s="8">
        <f>IFERROR(__xludf.DUMMYFUNCTION("""COMPUTED_VALUE"""),1.0)</f>
        <v>1</v>
      </c>
    </row>
    <row r="10023">
      <c r="A10023" s="9" t="str">
        <f>IFERROR(__xludf.DUMMYFUNCTION("""COMPUTED_VALUE"""),"Batch 371")</f>
        <v>Batch 371</v>
      </c>
      <c r="B10023" s="9" t="str">
        <f>IFERROR(__xludf.DUMMYFUNCTION("""COMPUTED_VALUE"""),"RitikC371")</f>
        <v>RitikC371</v>
      </c>
      <c r="C10023" s="8">
        <f>IFERROR(__xludf.DUMMYFUNCTION("""COMPUTED_VALUE"""),0.0)</f>
        <v>0</v>
      </c>
      <c r="D10023" s="8"/>
    </row>
    <row r="10024">
      <c r="A10024" s="9" t="str">
        <f>IFERROR(__xludf.DUMMYFUNCTION("""COMPUTED_VALUE"""),"Batch 371")</f>
        <v>Batch 371</v>
      </c>
      <c r="B10024" s="9" t="str">
        <f>IFERROR(__xludf.DUMMYFUNCTION("""COMPUTED_VALUE"""),"AsishC371")</f>
        <v>AsishC371</v>
      </c>
      <c r="C10024" s="8">
        <f>IFERROR(__xludf.DUMMYFUNCTION("""COMPUTED_VALUE"""),0.0)</f>
        <v>0</v>
      </c>
      <c r="D10024" s="8">
        <f>IFERROR(__xludf.DUMMYFUNCTION("""COMPUTED_VALUE"""),7.0)</f>
        <v>7</v>
      </c>
    </row>
    <row r="10025">
      <c r="A10025" s="9" t="str">
        <f>IFERROR(__xludf.DUMMYFUNCTION("""COMPUTED_VALUE"""),"Batch 371")</f>
        <v>Batch 371</v>
      </c>
      <c r="B10025" s="9" t="str">
        <f>IFERROR(__xludf.DUMMYFUNCTION("""COMPUTED_VALUE"""),"PrathamC371")</f>
        <v>PrathamC371</v>
      </c>
      <c r="C10025" s="8">
        <f>IFERROR(__xludf.DUMMYFUNCTION("""COMPUTED_VALUE"""),0.0)</f>
        <v>0</v>
      </c>
      <c r="D10025" s="8"/>
    </row>
    <row r="10026">
      <c r="A10026" s="9" t="str">
        <f>IFERROR(__xludf.DUMMYFUNCTION("""COMPUTED_VALUE"""),"Batch 371")</f>
        <v>Batch 371</v>
      </c>
      <c r="B10026" s="9" t="str">
        <f>IFERROR(__xludf.DUMMYFUNCTION("""COMPUTED_VALUE"""),"AadiC371")</f>
        <v>AadiC371</v>
      </c>
      <c r="C10026" s="8">
        <f>IFERROR(__xludf.DUMMYFUNCTION("""COMPUTED_VALUE"""),0.0)</f>
        <v>0</v>
      </c>
      <c r="D10026" s="8"/>
    </row>
    <row r="10027">
      <c r="A10027" s="9" t="str">
        <f>IFERROR(__xludf.DUMMYFUNCTION("""COMPUTED_VALUE"""),"Batch 371")</f>
        <v>Batch 371</v>
      </c>
      <c r="B10027" s="9" t="str">
        <f>IFERROR(__xludf.DUMMYFUNCTION("""COMPUTED_VALUE"""),"VaishnaviC371")</f>
        <v>VaishnaviC371</v>
      </c>
      <c r="C10027" s="8">
        <f>IFERROR(__xludf.DUMMYFUNCTION("""COMPUTED_VALUE"""),0.0)</f>
        <v>0</v>
      </c>
      <c r="D10027" s="8"/>
    </row>
    <row r="10028">
      <c r="A10028" s="9" t="str">
        <f>IFERROR(__xludf.DUMMYFUNCTION("""COMPUTED_VALUE"""),"Batch 371")</f>
        <v>Batch 371</v>
      </c>
      <c r="B10028" s="9" t="str">
        <f>IFERROR(__xludf.DUMMYFUNCTION("""COMPUTED_VALUE"""),"ABHISHEKC371")</f>
        <v>ABHISHEKC371</v>
      </c>
      <c r="C10028" s="8">
        <f>IFERROR(__xludf.DUMMYFUNCTION("""COMPUTED_VALUE"""),5.0)</f>
        <v>5</v>
      </c>
      <c r="D10028" s="8"/>
    </row>
    <row r="10029">
      <c r="A10029" s="9" t="str">
        <f>IFERROR(__xludf.DUMMYFUNCTION("""COMPUTED_VALUE"""),"Batch 371")</f>
        <v>Batch 371</v>
      </c>
      <c r="B10029" s="9" t="str">
        <f>IFERROR(__xludf.DUMMYFUNCTION("""COMPUTED_VALUE"""),"KumariC371")</f>
        <v>KumariC371</v>
      </c>
      <c r="C10029" s="8">
        <f>IFERROR(__xludf.DUMMYFUNCTION("""COMPUTED_VALUE"""),0.0)</f>
        <v>0</v>
      </c>
      <c r="D10029" s="8"/>
    </row>
    <row r="10030">
      <c r="A10030" s="9" t="str">
        <f>IFERROR(__xludf.DUMMYFUNCTION("""COMPUTED_VALUE"""),"Batch 371")</f>
        <v>Batch 371</v>
      </c>
      <c r="B10030" s="9" t="str">
        <f>IFERROR(__xludf.DUMMYFUNCTION("""COMPUTED_VALUE"""),"PayalC371")</f>
        <v>PayalC371</v>
      </c>
      <c r="C10030" s="8">
        <f>IFERROR(__xludf.DUMMYFUNCTION("""COMPUTED_VALUE"""),1.0)</f>
        <v>1</v>
      </c>
      <c r="D10030" s="8"/>
    </row>
    <row r="10031">
      <c r="A10031" s="9" t="str">
        <f>IFERROR(__xludf.DUMMYFUNCTION("""COMPUTED_VALUE"""),"Batch 371")</f>
        <v>Batch 371</v>
      </c>
      <c r="B10031" s="9" t="str">
        <f>IFERROR(__xludf.DUMMYFUNCTION("""COMPUTED_VALUE"""),"OmkarC371")</f>
        <v>OmkarC371</v>
      </c>
      <c r="C10031" s="8">
        <f>IFERROR(__xludf.DUMMYFUNCTION("""COMPUTED_VALUE"""),0.0)</f>
        <v>0</v>
      </c>
      <c r="D10031" s="8"/>
    </row>
    <row r="10032">
      <c r="A10032" s="9" t="str">
        <f>IFERROR(__xludf.DUMMYFUNCTION("""COMPUTED_VALUE"""),"Batch 371")</f>
        <v>Batch 371</v>
      </c>
      <c r="B10032" s="9" t="str">
        <f>IFERROR(__xludf.DUMMYFUNCTION("""COMPUTED_VALUE"""),"PriyankaC371")</f>
        <v>PriyankaC371</v>
      </c>
      <c r="C10032" s="8">
        <f>IFERROR(__xludf.DUMMYFUNCTION("""COMPUTED_VALUE"""),0.0)</f>
        <v>0</v>
      </c>
      <c r="D10032" s="8"/>
    </row>
    <row r="10033">
      <c r="A10033" s="9" t="str">
        <f>IFERROR(__xludf.DUMMYFUNCTION("""COMPUTED_VALUE"""),"Batch 371")</f>
        <v>Batch 371</v>
      </c>
      <c r="B10033" s="9" t="str">
        <f>IFERROR(__xludf.DUMMYFUNCTION("""COMPUTED_VALUE"""),"BodduC371")</f>
        <v>BodduC371</v>
      </c>
      <c r="C10033" s="8">
        <f>IFERROR(__xludf.DUMMYFUNCTION("""COMPUTED_VALUE"""),0.0)</f>
        <v>0</v>
      </c>
      <c r="D10033" s="8"/>
    </row>
    <row r="10034">
      <c r="A10034" s="9" t="str">
        <f>IFERROR(__xludf.DUMMYFUNCTION("""COMPUTED_VALUE"""),"Batch 371")</f>
        <v>Batch 371</v>
      </c>
      <c r="B10034" s="9" t="str">
        <f>IFERROR(__xludf.DUMMYFUNCTION("""COMPUTED_VALUE"""),"ShreyaC371")</f>
        <v>ShreyaC371</v>
      </c>
      <c r="C10034" s="8">
        <f>IFERROR(__xludf.DUMMYFUNCTION("""COMPUTED_VALUE"""),1.0)</f>
        <v>1</v>
      </c>
      <c r="D10034" s="8"/>
    </row>
    <row r="10035">
      <c r="A10035" s="9" t="str">
        <f>IFERROR(__xludf.DUMMYFUNCTION("""COMPUTED_VALUE"""),"Batch 371")</f>
        <v>Batch 371</v>
      </c>
      <c r="B10035" s="9" t="str">
        <f>IFERROR(__xludf.DUMMYFUNCTION("""COMPUTED_VALUE"""),"RainaC371")</f>
        <v>RainaC371</v>
      </c>
      <c r="C10035" s="8">
        <f>IFERROR(__xludf.DUMMYFUNCTION("""COMPUTED_VALUE"""),0.0)</f>
        <v>0</v>
      </c>
      <c r="D10035" s="8"/>
    </row>
    <row r="10036">
      <c r="A10036" s="9" t="str">
        <f>IFERROR(__xludf.DUMMYFUNCTION("""COMPUTED_VALUE"""),"Batch 371")</f>
        <v>Batch 371</v>
      </c>
      <c r="B10036" s="9" t="str">
        <f>IFERROR(__xludf.DUMMYFUNCTION("""COMPUTED_VALUE"""),"AayushC371")</f>
        <v>AayushC371</v>
      </c>
      <c r="C10036" s="8">
        <f>IFERROR(__xludf.DUMMYFUNCTION("""COMPUTED_VALUE"""),0.0)</f>
        <v>0</v>
      </c>
      <c r="D10036" s="8"/>
    </row>
    <row r="10037">
      <c r="A10037" s="9" t="str">
        <f>IFERROR(__xludf.DUMMYFUNCTION("""COMPUTED_VALUE"""),"Batch 371")</f>
        <v>Batch 371</v>
      </c>
      <c r="B10037" s="9" t="str">
        <f>IFERROR(__xludf.DUMMYFUNCTION("""COMPUTED_VALUE"""),"ManvendraC371")</f>
        <v>ManvendraC371</v>
      </c>
      <c r="C10037" s="8">
        <f>IFERROR(__xludf.DUMMYFUNCTION("""COMPUTED_VALUE"""),0.0)</f>
        <v>0</v>
      </c>
      <c r="D10037" s="8"/>
    </row>
    <row r="10038">
      <c r="A10038" s="9" t="str">
        <f>IFERROR(__xludf.DUMMYFUNCTION("""COMPUTED_VALUE"""),"Batch 371")</f>
        <v>Batch 371</v>
      </c>
      <c r="B10038" s="9" t="str">
        <f>IFERROR(__xludf.DUMMYFUNCTION("""COMPUTED_VALUE"""),"HarshadaC371")</f>
        <v>HarshadaC371</v>
      </c>
      <c r="C10038" s="8">
        <f>IFERROR(__xludf.DUMMYFUNCTION("""COMPUTED_VALUE"""),0.0)</f>
        <v>0</v>
      </c>
      <c r="D10038" s="8"/>
    </row>
    <row r="10039">
      <c r="A10039" s="9" t="str">
        <f>IFERROR(__xludf.DUMMYFUNCTION("""COMPUTED_VALUE"""),"Batch 371")</f>
        <v>Batch 371</v>
      </c>
      <c r="B10039" s="9" t="str">
        <f>IFERROR(__xludf.DUMMYFUNCTION("""COMPUTED_VALUE"""),"AkankshaC371")</f>
        <v>AkankshaC371</v>
      </c>
      <c r="C10039" s="8">
        <f>IFERROR(__xludf.DUMMYFUNCTION("""COMPUTED_VALUE"""),0.0)</f>
        <v>0</v>
      </c>
      <c r="D10039" s="8"/>
    </row>
    <row r="10040">
      <c r="A10040" s="9" t="str">
        <f>IFERROR(__xludf.DUMMYFUNCTION("""COMPUTED_VALUE"""),"Batch 371")</f>
        <v>Batch 371</v>
      </c>
      <c r="B10040" s="9" t="str">
        <f>IFERROR(__xludf.DUMMYFUNCTION("""COMPUTED_VALUE"""),"ManasviC371")</f>
        <v>ManasviC371</v>
      </c>
      <c r="C10040" s="8">
        <f>IFERROR(__xludf.DUMMYFUNCTION("""COMPUTED_VALUE"""),0.0)</f>
        <v>0</v>
      </c>
      <c r="D10040" s="8"/>
    </row>
    <row r="10041">
      <c r="A10041" s="9" t="str">
        <f>IFERROR(__xludf.DUMMYFUNCTION("""COMPUTED_VALUE"""),"Batch 371")</f>
        <v>Batch 371</v>
      </c>
      <c r="B10041" s="9" t="str">
        <f>IFERROR(__xludf.DUMMYFUNCTION("""COMPUTED_VALUE"""),"AbhyudaiC371")</f>
        <v>AbhyudaiC371</v>
      </c>
      <c r="C10041" s="8">
        <f>IFERROR(__xludf.DUMMYFUNCTION("""COMPUTED_VALUE"""),0.0)</f>
        <v>0</v>
      </c>
      <c r="D10041" s="8"/>
    </row>
    <row r="10042">
      <c r="A10042" s="9" t="str">
        <f>IFERROR(__xludf.DUMMYFUNCTION("""COMPUTED_VALUE"""),"Batch 371")</f>
        <v>Batch 371</v>
      </c>
      <c r="B10042" s="9" t="str">
        <f>IFERROR(__xludf.DUMMYFUNCTION("""COMPUTED_VALUE"""),"R.M.PRAGESHPATHIC371")</f>
        <v>R.M.PRAGESHPATHIC371</v>
      </c>
      <c r="C10042" s="8">
        <f>IFERROR(__xludf.DUMMYFUNCTION("""COMPUTED_VALUE"""),0.0)</f>
        <v>0</v>
      </c>
      <c r="D10042" s="8"/>
    </row>
    <row r="10043">
      <c r="A10043" s="9" t="str">
        <f>IFERROR(__xludf.DUMMYFUNCTION("""COMPUTED_VALUE"""),"Batch 371")</f>
        <v>Batch 371</v>
      </c>
      <c r="B10043" s="9" t="str">
        <f>IFERROR(__xludf.DUMMYFUNCTION("""COMPUTED_VALUE"""),"MapaloC371")</f>
        <v>MapaloC371</v>
      </c>
      <c r="C10043" s="8">
        <f>IFERROR(__xludf.DUMMYFUNCTION("""COMPUTED_VALUE"""),0.0)</f>
        <v>0</v>
      </c>
      <c r="D10043" s="8"/>
    </row>
    <row r="10044">
      <c r="A10044" s="9" t="str">
        <f>IFERROR(__xludf.DUMMYFUNCTION("""COMPUTED_VALUE"""),"Batch 371")</f>
        <v>Batch 371</v>
      </c>
      <c r="B10044" s="9" t="str">
        <f>IFERROR(__xludf.DUMMYFUNCTION("""COMPUTED_VALUE"""),"ShwetaC371")</f>
        <v>ShwetaC371</v>
      </c>
      <c r="C10044" s="8">
        <f>IFERROR(__xludf.DUMMYFUNCTION("""COMPUTED_VALUE"""),0.0)</f>
        <v>0</v>
      </c>
      <c r="D10044" s="8"/>
    </row>
    <row r="10045">
      <c r="A10045" s="9" t="str">
        <f>IFERROR(__xludf.DUMMYFUNCTION("""COMPUTED_VALUE"""),"Batch 371")</f>
        <v>Batch 371</v>
      </c>
      <c r="B10045" s="9" t="str">
        <f>IFERROR(__xludf.DUMMYFUNCTION("""COMPUTED_VALUE"""),"KingC371")</f>
        <v>KingC371</v>
      </c>
      <c r="C10045" s="8">
        <f>IFERROR(__xludf.DUMMYFUNCTION("""COMPUTED_VALUE"""),0.0)</f>
        <v>0</v>
      </c>
      <c r="D10045" s="8"/>
    </row>
    <row r="10046">
      <c r="A10046" s="9" t="str">
        <f>IFERROR(__xludf.DUMMYFUNCTION("""COMPUTED_VALUE"""),"Batch 371")</f>
        <v>Batch 371</v>
      </c>
      <c r="B10046" s="9" t="str">
        <f>IFERROR(__xludf.DUMMYFUNCTION("""COMPUTED_VALUE"""),"MohammadC371")</f>
        <v>MohammadC371</v>
      </c>
      <c r="C10046" s="8">
        <f>IFERROR(__xludf.DUMMYFUNCTION("""COMPUTED_VALUE"""),0.0)</f>
        <v>0</v>
      </c>
      <c r="D10046" s="8"/>
    </row>
    <row r="10047">
      <c r="A10047" s="9" t="str">
        <f>IFERROR(__xludf.DUMMYFUNCTION("""COMPUTED_VALUE"""),"Batch 371")</f>
        <v>Batch 371</v>
      </c>
      <c r="B10047" s="9" t="str">
        <f>IFERROR(__xludf.DUMMYFUNCTION("""COMPUTED_VALUE"""),"HarshaC371")</f>
        <v>HarshaC371</v>
      </c>
      <c r="C10047" s="8">
        <f>IFERROR(__xludf.DUMMYFUNCTION("""COMPUTED_VALUE"""),0.0)</f>
        <v>0</v>
      </c>
      <c r="D10047" s="8"/>
    </row>
    <row r="10048">
      <c r="A10048" s="9" t="str">
        <f>IFERROR(__xludf.DUMMYFUNCTION("""COMPUTED_VALUE"""),"Batch 371")</f>
        <v>Batch 371</v>
      </c>
      <c r="B10048" s="9" t="str">
        <f>IFERROR(__xludf.DUMMYFUNCTION("""COMPUTED_VALUE"""),"PalakC371")</f>
        <v>PalakC371</v>
      </c>
      <c r="C10048" s="8">
        <f>IFERROR(__xludf.DUMMYFUNCTION("""COMPUTED_VALUE"""),0.0)</f>
        <v>0</v>
      </c>
      <c r="D10048" s="8"/>
    </row>
    <row r="10049">
      <c r="A10049" s="9" t="str">
        <f>IFERROR(__xludf.DUMMYFUNCTION("""COMPUTED_VALUE"""),"Batch 371")</f>
        <v>Batch 371</v>
      </c>
      <c r="B10049" s="9" t="str">
        <f>IFERROR(__xludf.DUMMYFUNCTION("""COMPUTED_VALUE"""),"pappalaC371")</f>
        <v>pappalaC371</v>
      </c>
      <c r="C10049" s="8">
        <f>IFERROR(__xludf.DUMMYFUNCTION("""COMPUTED_VALUE"""),0.0)</f>
        <v>0</v>
      </c>
      <c r="D10049" s="8"/>
    </row>
    <row r="10050">
      <c r="A10050" s="9" t="str">
        <f>IFERROR(__xludf.DUMMYFUNCTION("""COMPUTED_VALUE"""),"Batch 371")</f>
        <v>Batch 371</v>
      </c>
      <c r="B10050" s="9" t="str">
        <f>IFERROR(__xludf.DUMMYFUNCTION("""COMPUTED_VALUE"""),"SidharthC371")</f>
        <v>SidharthC371</v>
      </c>
      <c r="C10050" s="8">
        <f>IFERROR(__xludf.DUMMYFUNCTION("""COMPUTED_VALUE"""),0.0)</f>
        <v>0</v>
      </c>
      <c r="D10050" s="8"/>
    </row>
    <row r="10051">
      <c r="A10051" s="9" t="str">
        <f>IFERROR(__xludf.DUMMYFUNCTION("""COMPUTED_VALUE"""),"Batch 371")</f>
        <v>Batch 371</v>
      </c>
      <c r="B10051" s="9" t="str">
        <f>IFERROR(__xludf.DUMMYFUNCTION("""COMPUTED_VALUE"""),"ShreyaJC371")</f>
        <v>ShreyaJC371</v>
      </c>
      <c r="C10051" s="8">
        <f>IFERROR(__xludf.DUMMYFUNCTION("""COMPUTED_VALUE"""),6.0)</f>
        <v>6</v>
      </c>
      <c r="D10051" s="8">
        <f>IFERROR(__xludf.DUMMYFUNCTION("""COMPUTED_VALUE"""),2.0)</f>
        <v>2</v>
      </c>
    </row>
    <row r="10052">
      <c r="A10052" s="9" t="str">
        <f>IFERROR(__xludf.DUMMYFUNCTION("""COMPUTED_VALUE"""),"Batch 371")</f>
        <v>Batch 371</v>
      </c>
      <c r="B10052" s="9" t="str">
        <f>IFERROR(__xludf.DUMMYFUNCTION("""COMPUTED_VALUE"""),"DorothyC371")</f>
        <v>DorothyC371</v>
      </c>
      <c r="C10052" s="8">
        <f>IFERROR(__xludf.DUMMYFUNCTION("""COMPUTED_VALUE"""),0.0)</f>
        <v>0</v>
      </c>
      <c r="D10052" s="8"/>
    </row>
    <row r="10053">
      <c r="A10053" s="9" t="str">
        <f>IFERROR(__xludf.DUMMYFUNCTION("""COMPUTED_VALUE"""),"Batch 371")</f>
        <v>Batch 371</v>
      </c>
      <c r="B10053" s="9" t="str">
        <f>IFERROR(__xludf.DUMMYFUNCTION("""COMPUTED_VALUE"""),"ShellyC371")</f>
        <v>ShellyC371</v>
      </c>
      <c r="C10053" s="8">
        <f>IFERROR(__xludf.DUMMYFUNCTION("""COMPUTED_VALUE"""),0.0)</f>
        <v>0</v>
      </c>
      <c r="D10053" s="8"/>
    </row>
    <row r="10054">
      <c r="A10054" s="9"/>
      <c r="B10054" s="9"/>
      <c r="C10054" s="8">
        <f>IFERROR(__xludf.DUMMYFUNCTION("""COMPUTED_VALUE"""),0.0)</f>
        <v>0</v>
      </c>
      <c r="D10054" s="8"/>
    </row>
    <row r="10055">
      <c r="A10055" s="9" t="str">
        <f>IFERROR(__xludf.DUMMYFUNCTION("""COMPUTED_VALUE"""),"Batch 372")</f>
        <v>Batch 372</v>
      </c>
      <c r="B10055" s="9" t="str">
        <f>IFERROR(__xludf.DUMMYFUNCTION("""COMPUTED_VALUE"""),"BalusuC372")</f>
        <v>BalusuC372</v>
      </c>
      <c r="C10055" s="8">
        <f>IFERROR(__xludf.DUMMYFUNCTION("""COMPUTED_VALUE"""),0.0)</f>
        <v>0</v>
      </c>
      <c r="D10055" s="8"/>
    </row>
    <row r="10056">
      <c r="A10056" s="9" t="str">
        <f>IFERROR(__xludf.DUMMYFUNCTION("""COMPUTED_VALUE"""),"Batch 372")</f>
        <v>Batch 372</v>
      </c>
      <c r="B10056" s="9" t="str">
        <f>IFERROR(__xludf.DUMMYFUNCTION("""COMPUTED_VALUE"""),"ShlokaC372")</f>
        <v>ShlokaC372</v>
      </c>
      <c r="C10056" s="8">
        <f>IFERROR(__xludf.DUMMYFUNCTION("""COMPUTED_VALUE"""),0.0)</f>
        <v>0</v>
      </c>
      <c r="D10056" s="8"/>
    </row>
    <row r="10057">
      <c r="A10057" s="9" t="str">
        <f>IFERROR(__xludf.DUMMYFUNCTION("""COMPUTED_VALUE"""),"Batch 372")</f>
        <v>Batch 372</v>
      </c>
      <c r="B10057" s="9" t="str">
        <f>IFERROR(__xludf.DUMMYFUNCTION("""COMPUTED_VALUE"""),"ANITHAC372")</f>
        <v>ANITHAC372</v>
      </c>
      <c r="C10057" s="8">
        <f>IFERROR(__xludf.DUMMYFUNCTION("""COMPUTED_VALUE"""),0.0)</f>
        <v>0</v>
      </c>
      <c r="D10057" s="8"/>
    </row>
    <row r="10058">
      <c r="A10058" s="9" t="str">
        <f>IFERROR(__xludf.DUMMYFUNCTION("""COMPUTED_VALUE"""),"Batch 372")</f>
        <v>Batch 372</v>
      </c>
      <c r="B10058" s="9" t="str">
        <f>IFERROR(__xludf.DUMMYFUNCTION("""COMPUTED_VALUE"""),"MikhaelC372")</f>
        <v>MikhaelC372</v>
      </c>
      <c r="C10058" s="8">
        <f>IFERROR(__xludf.DUMMYFUNCTION("""COMPUTED_VALUE"""),0.0)</f>
        <v>0</v>
      </c>
      <c r="D10058" s="8"/>
    </row>
    <row r="10059">
      <c r="A10059" s="9" t="str">
        <f>IFERROR(__xludf.DUMMYFUNCTION("""COMPUTED_VALUE"""),"Batch 372")</f>
        <v>Batch 372</v>
      </c>
      <c r="B10059" s="9" t="str">
        <f>IFERROR(__xludf.DUMMYFUNCTION("""COMPUTED_VALUE"""),"HemankC372")</f>
        <v>HemankC372</v>
      </c>
      <c r="C10059" s="8">
        <f>IFERROR(__xludf.DUMMYFUNCTION("""COMPUTED_VALUE"""),0.0)</f>
        <v>0</v>
      </c>
      <c r="D10059" s="8"/>
    </row>
    <row r="10060">
      <c r="A10060" s="9" t="str">
        <f>IFERROR(__xludf.DUMMYFUNCTION("""COMPUTED_VALUE"""),"Batch 372")</f>
        <v>Batch 372</v>
      </c>
      <c r="B10060" s="9" t="str">
        <f>IFERROR(__xludf.DUMMYFUNCTION("""COMPUTED_VALUE"""),"PRAGESHPATHIC372")</f>
        <v>PRAGESHPATHIC372</v>
      </c>
      <c r="C10060" s="8">
        <f>IFERROR(__xludf.DUMMYFUNCTION("""COMPUTED_VALUE"""),0.0)</f>
        <v>0</v>
      </c>
      <c r="D10060" s="8"/>
    </row>
    <row r="10061">
      <c r="A10061" s="9" t="str">
        <f>IFERROR(__xludf.DUMMYFUNCTION("""COMPUTED_VALUE"""),"Batch 372")</f>
        <v>Batch 372</v>
      </c>
      <c r="B10061" s="9" t="str">
        <f>IFERROR(__xludf.DUMMYFUNCTION("""COMPUTED_VALUE"""),"DHYEYC372")</f>
        <v>DHYEYC372</v>
      </c>
      <c r="C10061" s="8">
        <f>IFERROR(__xludf.DUMMYFUNCTION("""COMPUTED_VALUE"""),0.0)</f>
        <v>0</v>
      </c>
      <c r="D10061" s="8"/>
    </row>
    <row r="10062">
      <c r="A10062" s="9" t="str">
        <f>IFERROR(__xludf.DUMMYFUNCTION("""COMPUTED_VALUE"""),"Batch 372")</f>
        <v>Batch 372</v>
      </c>
      <c r="B10062" s="9" t="str">
        <f>IFERROR(__xludf.DUMMYFUNCTION("""COMPUTED_VALUE"""),"AmitC372")</f>
        <v>AmitC372</v>
      </c>
      <c r="C10062" s="8">
        <f>IFERROR(__xludf.DUMMYFUNCTION("""COMPUTED_VALUE"""),0.0)</f>
        <v>0</v>
      </c>
      <c r="D10062" s="8"/>
    </row>
    <row r="10063">
      <c r="A10063" s="9" t="str">
        <f>IFERROR(__xludf.DUMMYFUNCTION("""COMPUTED_VALUE"""),"Batch 372")</f>
        <v>Batch 372</v>
      </c>
      <c r="B10063" s="9" t="str">
        <f>IFERROR(__xludf.DUMMYFUNCTION("""COMPUTED_VALUE"""),"RathodC372")</f>
        <v>RathodC372</v>
      </c>
      <c r="C10063" s="8">
        <f>IFERROR(__xludf.DUMMYFUNCTION("""COMPUTED_VALUE"""),0.0)</f>
        <v>0</v>
      </c>
      <c r="D10063" s="8"/>
    </row>
    <row r="10064">
      <c r="A10064" s="9" t="str">
        <f>IFERROR(__xludf.DUMMYFUNCTION("""COMPUTED_VALUE"""),"Batch 372")</f>
        <v>Batch 372</v>
      </c>
      <c r="B10064" s="9" t="str">
        <f>IFERROR(__xludf.DUMMYFUNCTION("""COMPUTED_VALUE"""),"TanujC372")</f>
        <v>TanujC372</v>
      </c>
      <c r="C10064" s="8">
        <f>IFERROR(__xludf.DUMMYFUNCTION("""COMPUTED_VALUE"""),0.0)</f>
        <v>0</v>
      </c>
      <c r="D10064" s="8"/>
    </row>
    <row r="10065">
      <c r="A10065" s="9" t="str">
        <f>IFERROR(__xludf.DUMMYFUNCTION("""COMPUTED_VALUE"""),"Batch 372")</f>
        <v>Batch 372</v>
      </c>
      <c r="B10065" s="9" t="str">
        <f>IFERROR(__xludf.DUMMYFUNCTION("""COMPUTED_VALUE"""),"LavanyaC372")</f>
        <v>LavanyaC372</v>
      </c>
      <c r="C10065" s="8">
        <f>IFERROR(__xludf.DUMMYFUNCTION("""COMPUTED_VALUE"""),0.0)</f>
        <v>0</v>
      </c>
      <c r="D10065" s="8"/>
    </row>
    <row r="10066">
      <c r="A10066" s="9" t="str">
        <f>IFERROR(__xludf.DUMMYFUNCTION("""COMPUTED_VALUE"""),"Batch 372")</f>
        <v>Batch 372</v>
      </c>
      <c r="B10066" s="9" t="str">
        <f>IFERROR(__xludf.DUMMYFUNCTION("""COMPUTED_VALUE"""),"StutiC372")</f>
        <v>StutiC372</v>
      </c>
      <c r="C10066" s="8">
        <f>IFERROR(__xludf.DUMMYFUNCTION("""COMPUTED_VALUE"""),0.0)</f>
        <v>0</v>
      </c>
      <c r="D10066" s="8"/>
    </row>
    <row r="10067">
      <c r="A10067" s="9" t="str">
        <f>IFERROR(__xludf.DUMMYFUNCTION("""COMPUTED_VALUE"""),"Batch 372")</f>
        <v>Batch 372</v>
      </c>
      <c r="B10067" s="9" t="str">
        <f>IFERROR(__xludf.DUMMYFUNCTION("""COMPUTED_VALUE"""),"SrishtiC372")</f>
        <v>SrishtiC372</v>
      </c>
      <c r="C10067" s="8">
        <f>IFERROR(__xludf.DUMMYFUNCTION("""COMPUTED_VALUE"""),0.0)</f>
        <v>0</v>
      </c>
      <c r="D10067" s="8"/>
    </row>
    <row r="10068">
      <c r="A10068" s="9" t="str">
        <f>IFERROR(__xludf.DUMMYFUNCTION("""COMPUTED_VALUE"""),"Batch 372")</f>
        <v>Batch 372</v>
      </c>
      <c r="B10068" s="9" t="str">
        <f>IFERROR(__xludf.DUMMYFUNCTION("""COMPUTED_VALUE"""),"AshishC372")</f>
        <v>AshishC372</v>
      </c>
      <c r="C10068" s="8">
        <f>IFERROR(__xludf.DUMMYFUNCTION("""COMPUTED_VALUE"""),0.0)</f>
        <v>0</v>
      </c>
      <c r="D10068" s="8"/>
    </row>
    <row r="10069">
      <c r="A10069" s="9" t="str">
        <f>IFERROR(__xludf.DUMMYFUNCTION("""COMPUTED_VALUE"""),"Batch 372")</f>
        <v>Batch 372</v>
      </c>
      <c r="B10069" s="9" t="str">
        <f>IFERROR(__xludf.DUMMYFUNCTION("""COMPUTED_VALUE"""),"RitikaC372")</f>
        <v>RitikaC372</v>
      </c>
      <c r="C10069" s="8">
        <f>IFERROR(__xludf.DUMMYFUNCTION("""COMPUTED_VALUE"""),0.0)</f>
        <v>0</v>
      </c>
      <c r="D10069" s="8"/>
    </row>
    <row r="10070">
      <c r="A10070" s="9" t="str">
        <f>IFERROR(__xludf.DUMMYFUNCTION("""COMPUTED_VALUE"""),"Batch 372")</f>
        <v>Batch 372</v>
      </c>
      <c r="B10070" s="9" t="str">
        <f>IFERROR(__xludf.DUMMYFUNCTION("""COMPUTED_VALUE"""),"MahikaC372")</f>
        <v>MahikaC372</v>
      </c>
      <c r="C10070" s="8">
        <f>IFERROR(__xludf.DUMMYFUNCTION("""COMPUTED_VALUE"""),0.0)</f>
        <v>0</v>
      </c>
      <c r="D10070" s="8"/>
    </row>
    <row r="10071">
      <c r="A10071" s="9" t="str">
        <f>IFERROR(__xludf.DUMMYFUNCTION("""COMPUTED_VALUE"""),"Batch 372")</f>
        <v>Batch 372</v>
      </c>
      <c r="B10071" s="9" t="str">
        <f>IFERROR(__xludf.DUMMYFUNCTION("""COMPUTED_VALUE"""),"HetC372")</f>
        <v>HetC372</v>
      </c>
      <c r="C10071" s="8">
        <f>IFERROR(__xludf.DUMMYFUNCTION("""COMPUTED_VALUE"""),0.0)</f>
        <v>0</v>
      </c>
      <c r="D10071" s="8"/>
    </row>
    <row r="10072">
      <c r="A10072" s="9" t="str">
        <f>IFERROR(__xludf.DUMMYFUNCTION("""COMPUTED_VALUE"""),"Batch 372")</f>
        <v>Batch 372</v>
      </c>
      <c r="B10072" s="9" t="str">
        <f>IFERROR(__xludf.DUMMYFUNCTION("""COMPUTED_VALUE"""),"AnshuC372")</f>
        <v>AnshuC372</v>
      </c>
      <c r="C10072" s="8">
        <f>IFERROR(__xludf.DUMMYFUNCTION("""COMPUTED_VALUE"""),0.0)</f>
        <v>0</v>
      </c>
      <c r="D10072" s="8"/>
    </row>
    <row r="10073">
      <c r="A10073" s="9" t="str">
        <f>IFERROR(__xludf.DUMMYFUNCTION("""COMPUTED_VALUE"""),"Batch 372")</f>
        <v>Batch 372</v>
      </c>
      <c r="B10073" s="9" t="str">
        <f>IFERROR(__xludf.DUMMYFUNCTION("""COMPUTED_VALUE"""),"prithviC372")</f>
        <v>prithviC372</v>
      </c>
      <c r="C10073" s="8">
        <f>IFERROR(__xludf.DUMMYFUNCTION("""COMPUTED_VALUE"""),0.0)</f>
        <v>0</v>
      </c>
      <c r="D10073" s="8"/>
    </row>
    <row r="10074">
      <c r="A10074" s="9" t="str">
        <f>IFERROR(__xludf.DUMMYFUNCTION("""COMPUTED_VALUE"""),"Batch 372")</f>
        <v>Batch 372</v>
      </c>
      <c r="B10074" s="9" t="str">
        <f>IFERROR(__xludf.DUMMYFUNCTION("""COMPUTED_VALUE"""),"AnshuSC372")</f>
        <v>AnshuSC372</v>
      </c>
      <c r="C10074" s="8">
        <f>IFERROR(__xludf.DUMMYFUNCTION("""COMPUTED_VALUE"""),0.0)</f>
        <v>0</v>
      </c>
      <c r="D10074" s="8"/>
    </row>
    <row r="10075">
      <c r="A10075" s="9" t="str">
        <f>IFERROR(__xludf.DUMMYFUNCTION("""COMPUTED_VALUE"""),"Batch 372")</f>
        <v>Batch 372</v>
      </c>
      <c r="B10075" s="9" t="str">
        <f>IFERROR(__xludf.DUMMYFUNCTION("""COMPUTED_VALUE"""),"AshishKC372")</f>
        <v>AshishKC372</v>
      </c>
      <c r="C10075" s="8">
        <f>IFERROR(__xludf.DUMMYFUNCTION("""COMPUTED_VALUE"""),0.0)</f>
        <v>0</v>
      </c>
      <c r="D10075" s="8"/>
    </row>
    <row r="10076">
      <c r="A10076" s="9" t="str">
        <f>IFERROR(__xludf.DUMMYFUNCTION("""COMPUTED_VALUE"""),"Batch 372")</f>
        <v>Batch 372</v>
      </c>
      <c r="B10076" s="9" t="str">
        <f>IFERROR(__xludf.DUMMYFUNCTION("""COMPUTED_VALUE"""),"AryanC372")</f>
        <v>AryanC372</v>
      </c>
      <c r="C10076" s="8">
        <f>IFERROR(__xludf.DUMMYFUNCTION("""COMPUTED_VALUE"""),0.0)</f>
        <v>0</v>
      </c>
      <c r="D10076" s="8"/>
    </row>
    <row r="10077">
      <c r="A10077" s="9" t="str">
        <f>IFERROR(__xludf.DUMMYFUNCTION("""COMPUTED_VALUE"""),"Batch 372")</f>
        <v>Batch 372</v>
      </c>
      <c r="B10077" s="9" t="str">
        <f>IFERROR(__xludf.DUMMYFUNCTION("""COMPUTED_VALUE"""),"KhyatiC372")</f>
        <v>KhyatiC372</v>
      </c>
      <c r="C10077" s="8">
        <f>IFERROR(__xludf.DUMMYFUNCTION("""COMPUTED_VALUE"""),0.0)</f>
        <v>0</v>
      </c>
      <c r="D10077" s="8"/>
    </row>
    <row r="10078">
      <c r="A10078" s="9" t="str">
        <f>IFERROR(__xludf.DUMMYFUNCTION("""COMPUTED_VALUE"""),"Batch 372")</f>
        <v>Batch 372</v>
      </c>
      <c r="B10078" s="9" t="str">
        <f>IFERROR(__xludf.DUMMYFUNCTION("""COMPUTED_VALUE"""),"NavyaC372")</f>
        <v>NavyaC372</v>
      </c>
      <c r="C10078" s="8">
        <f>IFERROR(__xludf.DUMMYFUNCTION("""COMPUTED_VALUE"""),1.0)</f>
        <v>1</v>
      </c>
      <c r="D10078" s="8">
        <f>IFERROR(__xludf.DUMMYFUNCTION("""COMPUTED_VALUE"""),2.0)</f>
        <v>2</v>
      </c>
    </row>
    <row r="10079">
      <c r="A10079" s="9" t="str">
        <f>IFERROR(__xludf.DUMMYFUNCTION("""COMPUTED_VALUE"""),"Batch 372")</f>
        <v>Batch 372</v>
      </c>
      <c r="B10079" s="9" t="str">
        <f>IFERROR(__xludf.DUMMYFUNCTION("""COMPUTED_VALUE"""),"VaibhawC372")</f>
        <v>VaibhawC372</v>
      </c>
      <c r="C10079" s="8">
        <f>IFERROR(__xludf.DUMMYFUNCTION("""COMPUTED_VALUE"""),0.0)</f>
        <v>0</v>
      </c>
      <c r="D10079" s="8"/>
    </row>
    <row r="10080">
      <c r="A10080" s="9" t="str">
        <f>IFERROR(__xludf.DUMMYFUNCTION("""COMPUTED_VALUE"""),"Batch 372")</f>
        <v>Batch 372</v>
      </c>
      <c r="B10080" s="9" t="str">
        <f>IFERROR(__xludf.DUMMYFUNCTION("""COMPUTED_VALUE"""),"PranjalC372")</f>
        <v>PranjalC372</v>
      </c>
      <c r="C10080" s="8">
        <f>IFERROR(__xludf.DUMMYFUNCTION("""COMPUTED_VALUE"""),0.0)</f>
        <v>0</v>
      </c>
      <c r="D10080" s="8"/>
    </row>
    <row r="10081">
      <c r="A10081" s="9" t="str">
        <f>IFERROR(__xludf.DUMMYFUNCTION("""COMPUTED_VALUE"""),"Batch 372")</f>
        <v>Batch 372</v>
      </c>
      <c r="B10081" s="9" t="str">
        <f>IFERROR(__xludf.DUMMYFUNCTION("""COMPUTED_VALUE"""),"SimraC372")</f>
        <v>SimraC372</v>
      </c>
      <c r="C10081" s="8">
        <f>IFERROR(__xludf.DUMMYFUNCTION("""COMPUTED_VALUE"""),0.0)</f>
        <v>0</v>
      </c>
      <c r="D10081" s="8"/>
    </row>
    <row r="10082">
      <c r="A10082" s="9" t="str">
        <f>IFERROR(__xludf.DUMMYFUNCTION("""COMPUTED_VALUE"""),"Batch 372")</f>
        <v>Batch 372</v>
      </c>
      <c r="B10082" s="9" t="str">
        <f>IFERROR(__xludf.DUMMYFUNCTION("""COMPUTED_VALUE"""),"RudrakshC372")</f>
        <v>RudrakshC372</v>
      </c>
      <c r="C10082" s="8">
        <f>IFERROR(__xludf.DUMMYFUNCTION("""COMPUTED_VALUE"""),0.0)</f>
        <v>0</v>
      </c>
      <c r="D10082" s="8"/>
    </row>
    <row r="10083">
      <c r="A10083" s="9" t="str">
        <f>IFERROR(__xludf.DUMMYFUNCTION("""COMPUTED_VALUE"""),"Batch 372")</f>
        <v>Batch 372</v>
      </c>
      <c r="B10083" s="9" t="str">
        <f>IFERROR(__xludf.DUMMYFUNCTION("""COMPUTED_VALUE"""),"DiyaC372")</f>
        <v>DiyaC372</v>
      </c>
      <c r="C10083" s="8">
        <f>IFERROR(__xludf.DUMMYFUNCTION("""COMPUTED_VALUE"""),0.0)</f>
        <v>0</v>
      </c>
      <c r="D10083" s="8"/>
    </row>
    <row r="10084">
      <c r="A10084" s="9" t="str">
        <f>IFERROR(__xludf.DUMMYFUNCTION("""COMPUTED_VALUE"""),"Batch 372")</f>
        <v>Batch 372</v>
      </c>
      <c r="B10084" s="9" t="str">
        <f>IFERROR(__xludf.DUMMYFUNCTION("""COMPUTED_VALUE"""),"AkshitaC372")</f>
        <v>AkshitaC372</v>
      </c>
      <c r="C10084" s="8">
        <f>IFERROR(__xludf.DUMMYFUNCTION("""COMPUTED_VALUE"""),0.0)</f>
        <v>0</v>
      </c>
      <c r="D10084" s="8"/>
    </row>
    <row r="10085">
      <c r="A10085" s="9" t="str">
        <f>IFERROR(__xludf.DUMMYFUNCTION("""COMPUTED_VALUE"""),"Batch 372")</f>
        <v>Batch 372</v>
      </c>
      <c r="B10085" s="9" t="str">
        <f>IFERROR(__xludf.DUMMYFUNCTION("""COMPUTED_VALUE"""),"KhushiC372")</f>
        <v>KhushiC372</v>
      </c>
      <c r="C10085" s="8">
        <f>IFERROR(__xludf.DUMMYFUNCTION("""COMPUTED_VALUE"""),1.0)</f>
        <v>1</v>
      </c>
      <c r="D10085" s="8">
        <f>IFERROR(__xludf.DUMMYFUNCTION("""COMPUTED_VALUE"""),2.0)</f>
        <v>2</v>
      </c>
    </row>
    <row r="10086">
      <c r="A10086" s="9" t="str">
        <f>IFERROR(__xludf.DUMMYFUNCTION("""COMPUTED_VALUE"""),"Batch 372")</f>
        <v>Batch 372</v>
      </c>
      <c r="B10086" s="9" t="str">
        <f>IFERROR(__xludf.DUMMYFUNCTION("""COMPUTED_VALUE"""),"BhoomiC372")</f>
        <v>BhoomiC372</v>
      </c>
      <c r="C10086" s="8">
        <f>IFERROR(__xludf.DUMMYFUNCTION("""COMPUTED_VALUE"""),0.0)</f>
        <v>0</v>
      </c>
      <c r="D10086" s="8"/>
    </row>
    <row r="10087">
      <c r="A10087" s="9" t="str">
        <f>IFERROR(__xludf.DUMMYFUNCTION("""COMPUTED_VALUE"""),"Batch 372")</f>
        <v>Batch 372</v>
      </c>
      <c r="B10087" s="9" t="str">
        <f>IFERROR(__xludf.DUMMYFUNCTION("""COMPUTED_VALUE"""),"KalpanaC372")</f>
        <v>KalpanaC372</v>
      </c>
      <c r="C10087" s="8">
        <f>IFERROR(__xludf.DUMMYFUNCTION("""COMPUTED_VALUE"""),0.0)</f>
        <v>0</v>
      </c>
      <c r="D10087" s="8"/>
    </row>
    <row r="10088">
      <c r="A10088" s="9" t="str">
        <f>IFERROR(__xludf.DUMMYFUNCTION("""COMPUTED_VALUE"""),"Batch 372")</f>
        <v>Batch 372</v>
      </c>
      <c r="B10088" s="9" t="str">
        <f>IFERROR(__xludf.DUMMYFUNCTION("""COMPUTED_VALUE"""),"NISHUC372")</f>
        <v>NISHUC372</v>
      </c>
      <c r="C10088" s="8">
        <f>IFERROR(__xludf.DUMMYFUNCTION("""COMPUTED_VALUE"""),0.0)</f>
        <v>0</v>
      </c>
      <c r="D10088" s="8"/>
    </row>
    <row r="10089">
      <c r="A10089" s="9" t="str">
        <f>IFERROR(__xludf.DUMMYFUNCTION("""COMPUTED_VALUE"""),"Batch 372")</f>
        <v>Batch 372</v>
      </c>
      <c r="B10089" s="9" t="str">
        <f>IFERROR(__xludf.DUMMYFUNCTION("""COMPUTED_VALUE"""),"SHEEBAC372")</f>
        <v>SHEEBAC372</v>
      </c>
      <c r="C10089" s="8">
        <f>IFERROR(__xludf.DUMMYFUNCTION("""COMPUTED_VALUE"""),1.0)</f>
        <v>1</v>
      </c>
      <c r="D10089" s="8"/>
    </row>
    <row r="10090">
      <c r="A10090" s="9" t="str">
        <f>IFERROR(__xludf.DUMMYFUNCTION("""COMPUTED_VALUE"""),"Batch 372")</f>
        <v>Batch 372</v>
      </c>
      <c r="B10090" s="9" t="str">
        <f>IFERROR(__xludf.DUMMYFUNCTION("""COMPUTED_VALUE"""),"VaibhawC372")</f>
        <v>VaibhawC372</v>
      </c>
      <c r="C10090" s="8">
        <f>IFERROR(__xludf.DUMMYFUNCTION("""COMPUTED_VALUE"""),0.0)</f>
        <v>0</v>
      </c>
      <c r="D10090" s="8"/>
    </row>
    <row r="10091">
      <c r="A10091" s="9" t="str">
        <f>IFERROR(__xludf.DUMMYFUNCTION("""COMPUTED_VALUE"""),"Batch 372")</f>
        <v>Batch 372</v>
      </c>
      <c r="B10091" s="9" t="str">
        <f>IFERROR(__xludf.DUMMYFUNCTION("""COMPUTED_VALUE"""),"KHUSHIRC372")</f>
        <v>KHUSHIRC372</v>
      </c>
      <c r="C10091" s="8">
        <f>IFERROR(__xludf.DUMMYFUNCTION("""COMPUTED_VALUE"""),0.0)</f>
        <v>0</v>
      </c>
      <c r="D10091" s="8"/>
    </row>
    <row r="10092">
      <c r="A10092" s="9" t="str">
        <f>IFERROR(__xludf.DUMMYFUNCTION("""COMPUTED_VALUE"""),"Batch 372")</f>
        <v>Batch 372</v>
      </c>
      <c r="B10092" s="9" t="str">
        <f>IFERROR(__xludf.DUMMYFUNCTION("""COMPUTED_VALUE"""),"DiyaPC372")</f>
        <v>DiyaPC372</v>
      </c>
      <c r="C10092" s="8">
        <f>IFERROR(__xludf.DUMMYFUNCTION("""COMPUTED_VALUE"""),0.0)</f>
        <v>0</v>
      </c>
      <c r="D10092" s="8"/>
    </row>
    <row r="10093">
      <c r="A10093" s="9" t="str">
        <f>IFERROR(__xludf.DUMMYFUNCTION("""COMPUTED_VALUE"""),"Batch 372")</f>
        <v>Batch 372</v>
      </c>
      <c r="B10093" s="9" t="str">
        <f>IFERROR(__xludf.DUMMYFUNCTION("""COMPUTED_VALUE"""),"MeenaC372")</f>
        <v>MeenaC372</v>
      </c>
      <c r="C10093" s="8">
        <f>IFERROR(__xludf.DUMMYFUNCTION("""COMPUTED_VALUE"""),0.0)</f>
        <v>0</v>
      </c>
      <c r="D10093" s="8"/>
    </row>
    <row r="10094">
      <c r="A10094" s="9" t="str">
        <f>IFERROR(__xludf.DUMMYFUNCTION("""COMPUTED_VALUE"""),"Batch 372")</f>
        <v>Batch 372</v>
      </c>
      <c r="B10094" s="9" t="str">
        <f>IFERROR(__xludf.DUMMYFUNCTION("""COMPUTED_VALUE"""),"AbhishekC372")</f>
        <v>AbhishekC372</v>
      </c>
      <c r="C10094" s="8">
        <f>IFERROR(__xludf.DUMMYFUNCTION("""COMPUTED_VALUE"""),0.0)</f>
        <v>0</v>
      </c>
      <c r="D10094" s="8"/>
    </row>
    <row r="10095">
      <c r="A10095" s="9" t="str">
        <f>IFERROR(__xludf.DUMMYFUNCTION("""COMPUTED_VALUE"""),"Batch 372")</f>
        <v>Batch 372</v>
      </c>
      <c r="B10095" s="9" t="str">
        <f>IFERROR(__xludf.DUMMYFUNCTION("""COMPUTED_VALUE"""),"VaishnaviC372")</f>
        <v>VaishnaviC372</v>
      </c>
      <c r="C10095" s="8">
        <f>IFERROR(__xludf.DUMMYFUNCTION("""COMPUTED_VALUE"""),0.0)</f>
        <v>0</v>
      </c>
      <c r="D10095" s="8"/>
    </row>
    <row r="10096">
      <c r="A10096" s="9" t="str">
        <f>IFERROR(__xludf.DUMMYFUNCTION("""COMPUTED_VALUE"""),"Batch 372")</f>
        <v>Batch 372</v>
      </c>
      <c r="B10096" s="9" t="str">
        <f>IFERROR(__xludf.DUMMYFUNCTION("""COMPUTED_VALUE"""),"AnweshaC372")</f>
        <v>AnweshaC372</v>
      </c>
      <c r="C10096" s="8">
        <f>IFERROR(__xludf.DUMMYFUNCTION("""COMPUTED_VALUE"""),0.0)</f>
        <v>0</v>
      </c>
      <c r="D10096" s="8"/>
    </row>
    <row r="10097">
      <c r="A10097" s="9" t="str">
        <f>IFERROR(__xludf.DUMMYFUNCTION("""COMPUTED_VALUE"""),"Batch 372")</f>
        <v>Batch 372</v>
      </c>
      <c r="B10097" s="9" t="str">
        <f>IFERROR(__xludf.DUMMYFUNCTION("""COMPUTED_VALUE"""),"SHRUSHTIC372")</f>
        <v>SHRUSHTIC372</v>
      </c>
      <c r="C10097" s="8">
        <f>IFERROR(__xludf.DUMMYFUNCTION("""COMPUTED_VALUE"""),0.0)</f>
        <v>0</v>
      </c>
      <c r="D10097" s="8"/>
    </row>
    <row r="10098">
      <c r="A10098" s="9" t="str">
        <f>IFERROR(__xludf.DUMMYFUNCTION("""COMPUTED_VALUE"""),"Batch 372")</f>
        <v>Batch 372</v>
      </c>
      <c r="B10098" s="9" t="str">
        <f>IFERROR(__xludf.DUMMYFUNCTION("""COMPUTED_VALUE"""),"AkashC372")</f>
        <v>AkashC372</v>
      </c>
      <c r="C10098" s="8">
        <f>IFERROR(__xludf.DUMMYFUNCTION("""COMPUTED_VALUE"""),0.0)</f>
        <v>0</v>
      </c>
      <c r="D10098" s="8"/>
    </row>
    <row r="10099">
      <c r="A10099" s="9" t="str">
        <f>IFERROR(__xludf.DUMMYFUNCTION("""COMPUTED_VALUE"""),"Batch 372")</f>
        <v>Batch 372</v>
      </c>
      <c r="B10099" s="9" t="str">
        <f>IFERROR(__xludf.DUMMYFUNCTION("""COMPUTED_VALUE"""),"KhushbuC372")</f>
        <v>KhushbuC372</v>
      </c>
      <c r="C10099" s="8">
        <f>IFERROR(__xludf.DUMMYFUNCTION("""COMPUTED_VALUE"""),0.0)</f>
        <v>0</v>
      </c>
      <c r="D10099" s="8"/>
    </row>
    <row r="10100">
      <c r="A10100" s="9" t="str">
        <f>IFERROR(__xludf.DUMMYFUNCTION("""COMPUTED_VALUE"""),"Batch 372")</f>
        <v>Batch 372</v>
      </c>
      <c r="B10100" s="9" t="str">
        <f>IFERROR(__xludf.DUMMYFUNCTION("""COMPUTED_VALUE"""),"ShreyaC372")</f>
        <v>ShreyaC372</v>
      </c>
      <c r="C10100" s="8">
        <f>IFERROR(__xludf.DUMMYFUNCTION("""COMPUTED_VALUE"""),1.0)</f>
        <v>1</v>
      </c>
      <c r="D10100" s="8"/>
    </row>
    <row r="10101">
      <c r="A10101" s="9" t="str">
        <f>IFERROR(__xludf.DUMMYFUNCTION("""COMPUTED_VALUE"""),"Batch 372")</f>
        <v>Batch 372</v>
      </c>
      <c r="B10101" s="9" t="str">
        <f>IFERROR(__xludf.DUMMYFUNCTION("""COMPUTED_VALUE"""),"SmitC372")</f>
        <v>SmitC372</v>
      </c>
      <c r="C10101" s="8">
        <f>IFERROR(__xludf.DUMMYFUNCTION("""COMPUTED_VALUE"""),0.0)</f>
        <v>0</v>
      </c>
      <c r="D10101" s="8">
        <f>IFERROR(__xludf.DUMMYFUNCTION("""COMPUTED_VALUE"""),1.0)</f>
        <v>1</v>
      </c>
    </row>
    <row r="10102">
      <c r="A10102" s="9" t="str">
        <f>IFERROR(__xludf.DUMMYFUNCTION("""COMPUTED_VALUE"""),"Batch 372")</f>
        <v>Batch 372</v>
      </c>
      <c r="B10102" s="9" t="str">
        <f>IFERROR(__xludf.DUMMYFUNCTION("""COMPUTED_VALUE"""),"DivyanshC372")</f>
        <v>DivyanshC372</v>
      </c>
      <c r="C10102" s="8">
        <f>IFERROR(__xludf.DUMMYFUNCTION("""COMPUTED_VALUE"""),0.0)</f>
        <v>0</v>
      </c>
      <c r="D10102" s="8"/>
    </row>
    <row r="10103">
      <c r="A10103" s="9" t="str">
        <f>IFERROR(__xludf.DUMMYFUNCTION("""COMPUTED_VALUE"""),"Batch 372")</f>
        <v>Batch 372</v>
      </c>
      <c r="B10103" s="9" t="str">
        <f>IFERROR(__xludf.DUMMYFUNCTION("""COMPUTED_VALUE"""),"PoojaC372")</f>
        <v>PoojaC372</v>
      </c>
      <c r="C10103" s="8">
        <f>IFERROR(__xludf.DUMMYFUNCTION("""COMPUTED_VALUE"""),0.0)</f>
        <v>0</v>
      </c>
      <c r="D10103" s="8"/>
    </row>
    <row r="10104">
      <c r="A10104" s="9" t="str">
        <f>IFERROR(__xludf.DUMMYFUNCTION("""COMPUTED_VALUE"""),"Batch 372")</f>
        <v>Batch 372</v>
      </c>
      <c r="B10104" s="9" t="str">
        <f>IFERROR(__xludf.DUMMYFUNCTION("""COMPUTED_VALUE"""),"TirthaC372")</f>
        <v>TirthaC372</v>
      </c>
      <c r="C10104" s="8">
        <f>IFERROR(__xludf.DUMMYFUNCTION("""COMPUTED_VALUE"""),0.0)</f>
        <v>0</v>
      </c>
      <c r="D10104" s="8"/>
    </row>
    <row r="10105">
      <c r="A10105" s="9" t="str">
        <f>IFERROR(__xludf.DUMMYFUNCTION("""COMPUTED_VALUE"""),"Batch 372")</f>
        <v>Batch 372</v>
      </c>
      <c r="B10105" s="9" t="str">
        <f>IFERROR(__xludf.DUMMYFUNCTION("""COMPUTED_VALUE"""),"RukhsarC372")</f>
        <v>RukhsarC372</v>
      </c>
      <c r="C10105" s="8">
        <f>IFERROR(__xludf.DUMMYFUNCTION("""COMPUTED_VALUE"""),1.0)</f>
        <v>1</v>
      </c>
      <c r="D10105" s="8">
        <f>IFERROR(__xludf.DUMMYFUNCTION("""COMPUTED_VALUE"""),1.0)</f>
        <v>1</v>
      </c>
    </row>
    <row r="10106">
      <c r="A10106" s="9" t="str">
        <f>IFERROR(__xludf.DUMMYFUNCTION("""COMPUTED_VALUE"""),"Batch 372")</f>
        <v>Batch 372</v>
      </c>
      <c r="B10106" s="9" t="str">
        <f>IFERROR(__xludf.DUMMYFUNCTION("""COMPUTED_VALUE"""),"srishtiC372")</f>
        <v>srishtiC372</v>
      </c>
      <c r="C10106" s="8">
        <f>IFERROR(__xludf.DUMMYFUNCTION("""COMPUTED_VALUE"""),0.0)</f>
        <v>0</v>
      </c>
      <c r="D10106" s="8"/>
    </row>
    <row r="10107">
      <c r="A10107" s="9" t="str">
        <f>IFERROR(__xludf.DUMMYFUNCTION("""COMPUTED_VALUE"""),"Batch 372")</f>
        <v>Batch 372</v>
      </c>
      <c r="B10107" s="9" t="str">
        <f>IFERROR(__xludf.DUMMYFUNCTION("""COMPUTED_VALUE"""),"VaishnaviC372")</f>
        <v>VaishnaviC372</v>
      </c>
      <c r="C10107" s="8">
        <f>IFERROR(__xludf.DUMMYFUNCTION("""COMPUTED_VALUE"""),0.0)</f>
        <v>0</v>
      </c>
      <c r="D10107" s="8"/>
    </row>
    <row r="10108">
      <c r="A10108" s="9" t="str">
        <f>IFERROR(__xludf.DUMMYFUNCTION("""COMPUTED_VALUE"""),"Batch 372")</f>
        <v>Batch 372</v>
      </c>
      <c r="B10108" s="9" t="str">
        <f>IFERROR(__xludf.DUMMYFUNCTION("""COMPUTED_VALUE"""),"ShaikC372")</f>
        <v>ShaikC372</v>
      </c>
      <c r="C10108" s="8">
        <f>IFERROR(__xludf.DUMMYFUNCTION("""COMPUTED_VALUE"""),0.0)</f>
        <v>0</v>
      </c>
      <c r="D10108" s="8"/>
    </row>
    <row r="10109">
      <c r="A10109" s="9"/>
      <c r="B10109" s="9"/>
      <c r="C10109" s="8">
        <f>IFERROR(__xludf.DUMMYFUNCTION("""COMPUTED_VALUE"""),0.0)</f>
        <v>0</v>
      </c>
      <c r="D10109" s="8"/>
    </row>
    <row r="10110">
      <c r="A10110" s="9" t="str">
        <f>IFERROR(__xludf.DUMMYFUNCTION("""COMPUTED_VALUE"""),"Batch 373")</f>
        <v>Batch 373</v>
      </c>
      <c r="B10110" s="9" t="str">
        <f>IFERROR(__xludf.DUMMYFUNCTION("""COMPUTED_VALUE"""),"HarshadC373")</f>
        <v>HarshadC373</v>
      </c>
      <c r="C10110" s="8">
        <f>IFERROR(__xludf.DUMMYFUNCTION("""COMPUTED_VALUE"""),0.0)</f>
        <v>0</v>
      </c>
      <c r="D10110" s="8"/>
    </row>
    <row r="10111">
      <c r="A10111" s="9" t="str">
        <f>IFERROR(__xludf.DUMMYFUNCTION("""COMPUTED_VALUE"""),"Batch 373")</f>
        <v>Batch 373</v>
      </c>
      <c r="B10111" s="9" t="str">
        <f>IFERROR(__xludf.DUMMYFUNCTION("""COMPUTED_VALUE"""),"MadhurimaC373")</f>
        <v>MadhurimaC373</v>
      </c>
      <c r="C10111" s="8">
        <f>IFERROR(__xludf.DUMMYFUNCTION("""COMPUTED_VALUE"""),5.0)</f>
        <v>5</v>
      </c>
      <c r="D10111" s="8"/>
    </row>
    <row r="10112">
      <c r="A10112" s="9" t="str">
        <f>IFERROR(__xludf.DUMMYFUNCTION("""COMPUTED_VALUE"""),"Batch 373")</f>
        <v>Batch 373</v>
      </c>
      <c r="B10112" s="9" t="str">
        <f>IFERROR(__xludf.DUMMYFUNCTION("""COMPUTED_VALUE"""),"AyushC373")</f>
        <v>AyushC373</v>
      </c>
      <c r="C10112" s="8">
        <f>IFERROR(__xludf.DUMMYFUNCTION("""COMPUTED_VALUE"""),0.0)</f>
        <v>0</v>
      </c>
      <c r="D10112" s="8"/>
    </row>
    <row r="10113">
      <c r="A10113" s="9" t="str">
        <f>IFERROR(__xludf.DUMMYFUNCTION("""COMPUTED_VALUE"""),"Batch 373")</f>
        <v>Batch 373</v>
      </c>
      <c r="B10113" s="9" t="str">
        <f>IFERROR(__xludf.DUMMYFUNCTION("""COMPUTED_VALUE"""),"T.C373")</f>
        <v>T.C373</v>
      </c>
      <c r="C10113" s="8">
        <f>IFERROR(__xludf.DUMMYFUNCTION("""COMPUTED_VALUE"""),0.0)</f>
        <v>0</v>
      </c>
      <c r="D10113" s="8"/>
    </row>
    <row r="10114">
      <c r="A10114" s="9" t="str">
        <f>IFERROR(__xludf.DUMMYFUNCTION("""COMPUTED_VALUE"""),"Batch 373")</f>
        <v>Batch 373</v>
      </c>
      <c r="B10114" s="9" t="str">
        <f>IFERROR(__xludf.DUMMYFUNCTION("""COMPUTED_VALUE"""),"ShivangC373")</f>
        <v>ShivangC373</v>
      </c>
      <c r="C10114" s="8">
        <f>IFERROR(__xludf.DUMMYFUNCTION("""COMPUTED_VALUE"""),0.0)</f>
        <v>0</v>
      </c>
      <c r="D10114" s="8"/>
    </row>
    <row r="10115">
      <c r="A10115" s="9" t="str">
        <f>IFERROR(__xludf.DUMMYFUNCTION("""COMPUTED_VALUE"""),"Batch 373")</f>
        <v>Batch 373</v>
      </c>
      <c r="B10115" s="9" t="str">
        <f>IFERROR(__xludf.DUMMYFUNCTION("""COMPUTED_VALUE"""),"SanyuktaC373")</f>
        <v>SanyuktaC373</v>
      </c>
      <c r="C10115" s="8">
        <f>IFERROR(__xludf.DUMMYFUNCTION("""COMPUTED_VALUE"""),0.0)</f>
        <v>0</v>
      </c>
      <c r="D10115" s="8"/>
    </row>
    <row r="10116">
      <c r="A10116" s="9" t="str">
        <f>IFERROR(__xludf.DUMMYFUNCTION("""COMPUTED_VALUE"""),"Batch 373")</f>
        <v>Batch 373</v>
      </c>
      <c r="B10116" s="9" t="str">
        <f>IFERROR(__xludf.DUMMYFUNCTION("""COMPUTED_VALUE"""),"ChiragC373")</f>
        <v>ChiragC373</v>
      </c>
      <c r="C10116" s="8">
        <f>IFERROR(__xludf.DUMMYFUNCTION("""COMPUTED_VALUE"""),0.0)</f>
        <v>0</v>
      </c>
      <c r="D10116" s="8"/>
    </row>
    <row r="10117">
      <c r="A10117" s="9" t="str">
        <f>IFERROR(__xludf.DUMMYFUNCTION("""COMPUTED_VALUE"""),"Batch 373")</f>
        <v>Batch 373</v>
      </c>
      <c r="B10117" s="9" t="str">
        <f>IFERROR(__xludf.DUMMYFUNCTION("""COMPUTED_VALUE"""),"NC373")</f>
        <v>NC373</v>
      </c>
      <c r="C10117" s="8">
        <f>IFERROR(__xludf.DUMMYFUNCTION("""COMPUTED_VALUE"""),0.0)</f>
        <v>0</v>
      </c>
      <c r="D10117" s="8"/>
    </row>
    <row r="10118">
      <c r="A10118" s="9" t="str">
        <f>IFERROR(__xludf.DUMMYFUNCTION("""COMPUTED_VALUE"""),"Batch 373")</f>
        <v>Batch 373</v>
      </c>
      <c r="B10118" s="9" t="str">
        <f>IFERROR(__xludf.DUMMYFUNCTION("""COMPUTED_VALUE"""),"ArushiC373")</f>
        <v>ArushiC373</v>
      </c>
      <c r="C10118" s="8">
        <f>IFERROR(__xludf.DUMMYFUNCTION("""COMPUTED_VALUE"""),0.0)</f>
        <v>0</v>
      </c>
      <c r="D10118" s="8"/>
    </row>
    <row r="10119">
      <c r="A10119" s="9" t="str">
        <f>IFERROR(__xludf.DUMMYFUNCTION("""COMPUTED_VALUE"""),"Batch 373")</f>
        <v>Batch 373</v>
      </c>
      <c r="B10119" s="9" t="str">
        <f>IFERROR(__xludf.DUMMYFUNCTION("""COMPUTED_VALUE"""),"NimaseC373")</f>
        <v>NimaseC373</v>
      </c>
      <c r="C10119" s="8">
        <f>IFERROR(__xludf.DUMMYFUNCTION("""COMPUTED_VALUE"""),0.0)</f>
        <v>0</v>
      </c>
      <c r="D10119" s="8"/>
    </row>
    <row r="10120">
      <c r="A10120" s="9" t="str">
        <f>IFERROR(__xludf.DUMMYFUNCTION("""COMPUTED_VALUE"""),"Batch 373")</f>
        <v>Batch 373</v>
      </c>
      <c r="B10120" s="9" t="str">
        <f>IFERROR(__xludf.DUMMYFUNCTION("""COMPUTED_VALUE"""),"ShriyaC373")</f>
        <v>ShriyaC373</v>
      </c>
      <c r="C10120" s="8">
        <f>IFERROR(__xludf.DUMMYFUNCTION("""COMPUTED_VALUE"""),0.0)</f>
        <v>0</v>
      </c>
      <c r="D10120" s="8"/>
    </row>
    <row r="10121">
      <c r="A10121" s="9" t="str">
        <f>IFERROR(__xludf.DUMMYFUNCTION("""COMPUTED_VALUE"""),"Batch 373")</f>
        <v>Batch 373</v>
      </c>
      <c r="B10121" s="9" t="str">
        <f>IFERROR(__xludf.DUMMYFUNCTION("""COMPUTED_VALUE"""),"iftishanC373")</f>
        <v>iftishanC373</v>
      </c>
      <c r="C10121" s="8">
        <f>IFERROR(__xludf.DUMMYFUNCTION("""COMPUTED_VALUE"""),0.0)</f>
        <v>0</v>
      </c>
      <c r="D10121" s="8"/>
    </row>
    <row r="10122">
      <c r="A10122" s="9" t="str">
        <f>IFERROR(__xludf.DUMMYFUNCTION("""COMPUTED_VALUE"""),"Batch 373")</f>
        <v>Batch 373</v>
      </c>
      <c r="B10122" s="9" t="str">
        <f>IFERROR(__xludf.DUMMYFUNCTION("""COMPUTED_VALUE"""),"SafaC373")</f>
        <v>SafaC373</v>
      </c>
      <c r="C10122" s="8">
        <f>IFERROR(__xludf.DUMMYFUNCTION("""COMPUTED_VALUE"""),0.0)</f>
        <v>0</v>
      </c>
      <c r="D10122" s="8"/>
    </row>
    <row r="10123">
      <c r="A10123" s="9" t="str">
        <f>IFERROR(__xludf.DUMMYFUNCTION("""COMPUTED_VALUE"""),"Batch 373")</f>
        <v>Batch 373</v>
      </c>
      <c r="B10123" s="9" t="str">
        <f>IFERROR(__xludf.DUMMYFUNCTION("""COMPUTED_VALUE"""),"NaazC373")</f>
        <v>NaazC373</v>
      </c>
      <c r="C10123" s="8">
        <f>IFERROR(__xludf.DUMMYFUNCTION("""COMPUTED_VALUE"""),0.0)</f>
        <v>0</v>
      </c>
      <c r="D10123" s="8"/>
    </row>
    <row r="10124">
      <c r="A10124" s="9" t="str">
        <f>IFERROR(__xludf.DUMMYFUNCTION("""COMPUTED_VALUE"""),"Batch 373")</f>
        <v>Batch 373</v>
      </c>
      <c r="B10124" s="9" t="str">
        <f>IFERROR(__xludf.DUMMYFUNCTION("""COMPUTED_VALUE"""),"UjwalC373")</f>
        <v>UjwalC373</v>
      </c>
      <c r="C10124" s="8">
        <f>IFERROR(__xludf.DUMMYFUNCTION("""COMPUTED_VALUE"""),0.0)</f>
        <v>0</v>
      </c>
      <c r="D10124" s="8"/>
    </row>
    <row r="10125">
      <c r="A10125" s="9" t="str">
        <f>IFERROR(__xludf.DUMMYFUNCTION("""COMPUTED_VALUE"""),"Batch 373")</f>
        <v>Batch 373</v>
      </c>
      <c r="B10125" s="9" t="str">
        <f>IFERROR(__xludf.DUMMYFUNCTION("""COMPUTED_VALUE"""),"KhushiC373")</f>
        <v>KhushiC373</v>
      </c>
      <c r="C10125" s="8">
        <f>IFERROR(__xludf.DUMMYFUNCTION("""COMPUTED_VALUE"""),0.0)</f>
        <v>0</v>
      </c>
      <c r="D10125" s="8"/>
    </row>
    <row r="10126">
      <c r="A10126" s="9" t="str">
        <f>IFERROR(__xludf.DUMMYFUNCTION("""COMPUTED_VALUE"""),"Batch 373")</f>
        <v>Batch 373</v>
      </c>
      <c r="B10126" s="9" t="str">
        <f>IFERROR(__xludf.DUMMYFUNCTION("""COMPUTED_VALUE"""),"SanobarC373")</f>
        <v>SanobarC373</v>
      </c>
      <c r="C10126" s="8">
        <f>IFERROR(__xludf.DUMMYFUNCTION("""COMPUTED_VALUE"""),0.0)</f>
        <v>0</v>
      </c>
      <c r="D10126" s="8"/>
    </row>
    <row r="10127">
      <c r="A10127" s="9" t="str">
        <f>IFERROR(__xludf.DUMMYFUNCTION("""COMPUTED_VALUE"""),"Batch 373")</f>
        <v>Batch 373</v>
      </c>
      <c r="B10127" s="9" t="str">
        <f>IFERROR(__xludf.DUMMYFUNCTION("""COMPUTED_VALUE"""),"PragatiC373")</f>
        <v>PragatiC373</v>
      </c>
      <c r="C10127" s="8">
        <f>IFERROR(__xludf.DUMMYFUNCTION("""COMPUTED_VALUE"""),0.0)</f>
        <v>0</v>
      </c>
      <c r="D10127" s="8"/>
    </row>
    <row r="10128">
      <c r="A10128" s="9" t="str">
        <f>IFERROR(__xludf.DUMMYFUNCTION("""COMPUTED_VALUE"""),"Batch 373")</f>
        <v>Batch 373</v>
      </c>
      <c r="B10128" s="9" t="str">
        <f>IFERROR(__xludf.DUMMYFUNCTION("""COMPUTED_VALUE"""),"RushikeshC373")</f>
        <v>RushikeshC373</v>
      </c>
      <c r="C10128" s="8">
        <f>IFERROR(__xludf.DUMMYFUNCTION("""COMPUTED_VALUE"""),0.0)</f>
        <v>0</v>
      </c>
      <c r="D10128" s="8"/>
    </row>
    <row r="10129">
      <c r="A10129" s="9" t="str">
        <f>IFERROR(__xludf.DUMMYFUNCTION("""COMPUTED_VALUE"""),"Batch 373")</f>
        <v>Batch 373</v>
      </c>
      <c r="B10129" s="9" t="str">
        <f>IFERROR(__xludf.DUMMYFUNCTION("""COMPUTED_VALUE"""),"NC373")</f>
        <v>NC373</v>
      </c>
      <c r="C10129" s="8">
        <f>IFERROR(__xludf.DUMMYFUNCTION("""COMPUTED_VALUE"""),0.0)</f>
        <v>0</v>
      </c>
      <c r="D10129" s="8"/>
    </row>
    <row r="10130">
      <c r="A10130" s="9" t="str">
        <f>IFERROR(__xludf.DUMMYFUNCTION("""COMPUTED_VALUE"""),"Batch 373")</f>
        <v>Batch 373</v>
      </c>
      <c r="B10130" s="9" t="str">
        <f>IFERROR(__xludf.DUMMYFUNCTION("""COMPUTED_VALUE"""),"AbhiC373")</f>
        <v>AbhiC373</v>
      </c>
      <c r="C10130" s="8">
        <f>IFERROR(__xludf.DUMMYFUNCTION("""COMPUTED_VALUE"""),0.0)</f>
        <v>0</v>
      </c>
      <c r="D10130" s="8"/>
    </row>
    <row r="10131">
      <c r="A10131" s="9" t="str">
        <f>IFERROR(__xludf.DUMMYFUNCTION("""COMPUTED_VALUE"""),"Batch 373")</f>
        <v>Batch 373</v>
      </c>
      <c r="B10131" s="9" t="str">
        <f>IFERROR(__xludf.DUMMYFUNCTION("""COMPUTED_VALUE"""),"SnigdhaC373")</f>
        <v>SnigdhaC373</v>
      </c>
      <c r="C10131" s="8">
        <f>IFERROR(__xludf.DUMMYFUNCTION("""COMPUTED_VALUE"""),0.0)</f>
        <v>0</v>
      </c>
      <c r="D10131" s="8"/>
    </row>
    <row r="10132">
      <c r="A10132" s="9" t="str">
        <f>IFERROR(__xludf.DUMMYFUNCTION("""COMPUTED_VALUE"""),"Batch 373")</f>
        <v>Batch 373</v>
      </c>
      <c r="B10132" s="9" t="str">
        <f>IFERROR(__xludf.DUMMYFUNCTION("""COMPUTED_VALUE"""),"VinothiniC373")</f>
        <v>VinothiniC373</v>
      </c>
      <c r="C10132" s="8">
        <f>IFERROR(__xludf.DUMMYFUNCTION("""COMPUTED_VALUE"""),0.0)</f>
        <v>0</v>
      </c>
      <c r="D10132" s="8"/>
    </row>
    <row r="10133">
      <c r="A10133" s="9" t="str">
        <f>IFERROR(__xludf.DUMMYFUNCTION("""COMPUTED_VALUE"""),"Batch 373")</f>
        <v>Batch 373</v>
      </c>
      <c r="B10133" s="9" t="str">
        <f>IFERROR(__xludf.DUMMYFUNCTION("""COMPUTED_VALUE"""),"KrishC373")</f>
        <v>KrishC373</v>
      </c>
      <c r="C10133" s="8">
        <f>IFERROR(__xludf.DUMMYFUNCTION("""COMPUTED_VALUE"""),0.0)</f>
        <v>0</v>
      </c>
      <c r="D10133" s="8"/>
    </row>
    <row r="10134">
      <c r="A10134" s="9" t="str">
        <f>IFERROR(__xludf.DUMMYFUNCTION("""COMPUTED_VALUE"""),"Batch 373")</f>
        <v>Batch 373</v>
      </c>
      <c r="B10134" s="9" t="str">
        <f>IFERROR(__xludf.DUMMYFUNCTION("""COMPUTED_VALUE"""),"AbhishekC373")</f>
        <v>AbhishekC373</v>
      </c>
      <c r="C10134" s="8">
        <f>IFERROR(__xludf.DUMMYFUNCTION("""COMPUTED_VALUE"""),0.0)</f>
        <v>0</v>
      </c>
      <c r="D10134" s="8"/>
    </row>
    <row r="10135">
      <c r="A10135" s="9" t="str">
        <f>IFERROR(__xludf.DUMMYFUNCTION("""COMPUTED_VALUE"""),"Batch 373")</f>
        <v>Batch 373</v>
      </c>
      <c r="B10135" s="9" t="str">
        <f>IFERROR(__xludf.DUMMYFUNCTION("""COMPUTED_VALUE"""),"PradeepC373")</f>
        <v>PradeepC373</v>
      </c>
      <c r="C10135" s="8">
        <f>IFERROR(__xludf.DUMMYFUNCTION("""COMPUTED_VALUE"""),0.0)</f>
        <v>0</v>
      </c>
      <c r="D10135" s="8"/>
    </row>
    <row r="10136">
      <c r="A10136" s="9" t="str">
        <f>IFERROR(__xludf.DUMMYFUNCTION("""COMPUTED_VALUE"""),"Batch 373")</f>
        <v>Batch 373</v>
      </c>
      <c r="B10136" s="9" t="str">
        <f>IFERROR(__xludf.DUMMYFUNCTION("""COMPUTED_VALUE"""),"AnshulC373")</f>
        <v>AnshulC373</v>
      </c>
      <c r="C10136" s="8">
        <f>IFERROR(__xludf.DUMMYFUNCTION("""COMPUTED_VALUE"""),0.0)</f>
        <v>0</v>
      </c>
      <c r="D10136" s="8"/>
    </row>
    <row r="10137">
      <c r="A10137" s="9" t="str">
        <f>IFERROR(__xludf.DUMMYFUNCTION("""COMPUTED_VALUE"""),"Batch 373")</f>
        <v>Batch 373</v>
      </c>
      <c r="B10137" s="9" t="str">
        <f>IFERROR(__xludf.DUMMYFUNCTION("""COMPUTED_VALUE"""),"GungunC373")</f>
        <v>GungunC373</v>
      </c>
      <c r="C10137" s="8">
        <f>IFERROR(__xludf.DUMMYFUNCTION("""COMPUTED_VALUE"""),0.0)</f>
        <v>0</v>
      </c>
      <c r="D10137" s="8"/>
    </row>
    <row r="10138">
      <c r="A10138" s="9" t="str">
        <f>IFERROR(__xludf.DUMMYFUNCTION("""COMPUTED_VALUE"""),"Batch 373")</f>
        <v>Batch 373</v>
      </c>
      <c r="B10138" s="9" t="str">
        <f>IFERROR(__xludf.DUMMYFUNCTION("""COMPUTED_VALUE"""),"JigeshaC373")</f>
        <v>JigeshaC373</v>
      </c>
      <c r="C10138" s="8">
        <f>IFERROR(__xludf.DUMMYFUNCTION("""COMPUTED_VALUE"""),0.0)</f>
        <v>0</v>
      </c>
      <c r="D10138" s="8"/>
    </row>
    <row r="10139">
      <c r="A10139" s="9" t="str">
        <f>IFERROR(__xludf.DUMMYFUNCTION("""COMPUTED_VALUE"""),"Batch 373")</f>
        <v>Batch 373</v>
      </c>
      <c r="B10139" s="9" t="str">
        <f>IFERROR(__xludf.DUMMYFUNCTION("""COMPUTED_VALUE"""),"AnanyaC373")</f>
        <v>AnanyaC373</v>
      </c>
      <c r="C10139" s="8">
        <f>IFERROR(__xludf.DUMMYFUNCTION("""COMPUTED_VALUE"""),1.0)</f>
        <v>1</v>
      </c>
      <c r="D10139" s="8"/>
    </row>
    <row r="10140">
      <c r="A10140" s="9" t="str">
        <f>IFERROR(__xludf.DUMMYFUNCTION("""COMPUTED_VALUE"""),"Batch 373")</f>
        <v>Batch 373</v>
      </c>
      <c r="B10140" s="9" t="str">
        <f>IFERROR(__xludf.DUMMYFUNCTION("""COMPUTED_VALUE"""),"AnkurjyotiC373")</f>
        <v>AnkurjyotiC373</v>
      </c>
      <c r="C10140" s="8">
        <f>IFERROR(__xludf.DUMMYFUNCTION("""COMPUTED_VALUE"""),0.0)</f>
        <v>0</v>
      </c>
      <c r="D10140" s="8"/>
    </row>
    <row r="10141">
      <c r="A10141" s="9" t="str">
        <f>IFERROR(__xludf.DUMMYFUNCTION("""COMPUTED_VALUE"""),"Batch 373")</f>
        <v>Batch 373</v>
      </c>
      <c r="B10141" s="9" t="str">
        <f>IFERROR(__xludf.DUMMYFUNCTION("""COMPUTED_VALUE"""),"SriyaC373")</f>
        <v>SriyaC373</v>
      </c>
      <c r="C10141" s="8">
        <f>IFERROR(__xludf.DUMMYFUNCTION("""COMPUTED_VALUE"""),0.0)</f>
        <v>0</v>
      </c>
      <c r="D10141" s="8"/>
    </row>
    <row r="10142">
      <c r="A10142" s="9" t="str">
        <f>IFERROR(__xludf.DUMMYFUNCTION("""COMPUTED_VALUE"""),"Batch 373")</f>
        <v>Batch 373</v>
      </c>
      <c r="B10142" s="9" t="str">
        <f>IFERROR(__xludf.DUMMYFUNCTION("""COMPUTED_VALUE"""),"TanishaC373")</f>
        <v>TanishaC373</v>
      </c>
      <c r="C10142" s="8">
        <f>IFERROR(__xludf.DUMMYFUNCTION("""COMPUTED_VALUE"""),0.0)</f>
        <v>0</v>
      </c>
      <c r="D10142" s="8"/>
    </row>
    <row r="10143">
      <c r="A10143" s="9" t="str">
        <f>IFERROR(__xludf.DUMMYFUNCTION("""COMPUTED_VALUE"""),"Batch 373")</f>
        <v>Batch 373</v>
      </c>
      <c r="B10143" s="9" t="str">
        <f>IFERROR(__xludf.DUMMYFUNCTION("""COMPUTED_VALUE"""),"HarshC373")</f>
        <v>HarshC373</v>
      </c>
      <c r="C10143" s="8">
        <f>IFERROR(__xludf.DUMMYFUNCTION("""COMPUTED_VALUE"""),0.0)</f>
        <v>0</v>
      </c>
      <c r="D10143" s="8"/>
    </row>
    <row r="10144">
      <c r="A10144" s="9" t="str">
        <f>IFERROR(__xludf.DUMMYFUNCTION("""COMPUTED_VALUE"""),"Batch 373")</f>
        <v>Batch 373</v>
      </c>
      <c r="B10144" s="9" t="str">
        <f>IFERROR(__xludf.DUMMYFUNCTION("""COMPUTED_VALUE"""),"TANISHKAC373")</f>
        <v>TANISHKAC373</v>
      </c>
      <c r="C10144" s="8">
        <f>IFERROR(__xludf.DUMMYFUNCTION("""COMPUTED_VALUE"""),0.0)</f>
        <v>0</v>
      </c>
      <c r="D10144" s="8"/>
    </row>
    <row r="10145">
      <c r="A10145" s="9" t="str">
        <f>IFERROR(__xludf.DUMMYFUNCTION("""COMPUTED_VALUE"""),"Batch 373")</f>
        <v>Batch 373</v>
      </c>
      <c r="B10145" s="9" t="str">
        <f>IFERROR(__xludf.DUMMYFUNCTION("""COMPUTED_VALUE"""),"AnshC373")</f>
        <v>AnshC373</v>
      </c>
      <c r="C10145" s="8">
        <f>IFERROR(__xludf.DUMMYFUNCTION("""COMPUTED_VALUE"""),1.0)</f>
        <v>1</v>
      </c>
      <c r="D10145" s="8"/>
    </row>
    <row r="10146">
      <c r="A10146" s="9" t="str">
        <f>IFERROR(__xludf.DUMMYFUNCTION("""COMPUTED_VALUE"""),"Batch 373")</f>
        <v>Batch 373</v>
      </c>
      <c r="B10146" s="9" t="str">
        <f>IFERROR(__xludf.DUMMYFUNCTION("""COMPUTED_VALUE"""),"JosephC373")</f>
        <v>JosephC373</v>
      </c>
      <c r="C10146" s="8">
        <f>IFERROR(__xludf.DUMMYFUNCTION("""COMPUTED_VALUE"""),0.0)</f>
        <v>0</v>
      </c>
      <c r="D10146" s="8"/>
    </row>
    <row r="10147">
      <c r="A10147" s="9" t="str">
        <f>IFERROR(__xludf.DUMMYFUNCTION("""COMPUTED_VALUE"""),"Batch 373")</f>
        <v>Batch 373</v>
      </c>
      <c r="B10147" s="9" t="str">
        <f>IFERROR(__xludf.DUMMYFUNCTION("""COMPUTED_VALUE"""),"PritiC373")</f>
        <v>PritiC373</v>
      </c>
      <c r="C10147" s="8">
        <f>IFERROR(__xludf.DUMMYFUNCTION("""COMPUTED_VALUE"""),6.0)</f>
        <v>6</v>
      </c>
      <c r="D10147" s="8"/>
    </row>
    <row r="10148">
      <c r="A10148" s="9" t="str">
        <f>IFERROR(__xludf.DUMMYFUNCTION("""COMPUTED_VALUE"""),"Batch 373")</f>
        <v>Batch 373</v>
      </c>
      <c r="B10148" s="9" t="str">
        <f>IFERROR(__xludf.DUMMYFUNCTION("""COMPUTED_VALUE"""),"KartikC373")</f>
        <v>KartikC373</v>
      </c>
      <c r="C10148" s="8">
        <f>IFERROR(__xludf.DUMMYFUNCTION("""COMPUTED_VALUE"""),0.0)</f>
        <v>0</v>
      </c>
      <c r="D10148" s="8"/>
    </row>
    <row r="10149">
      <c r="A10149" s="9" t="str">
        <f>IFERROR(__xludf.DUMMYFUNCTION("""COMPUTED_VALUE"""),"Batch 373")</f>
        <v>Batch 373</v>
      </c>
      <c r="B10149" s="9" t="str">
        <f>IFERROR(__xludf.DUMMYFUNCTION("""COMPUTED_VALUE"""),"LizaC373")</f>
        <v>LizaC373</v>
      </c>
      <c r="C10149" s="8">
        <f>IFERROR(__xludf.DUMMYFUNCTION("""COMPUTED_VALUE"""),13.0)</f>
        <v>13</v>
      </c>
      <c r="D10149" s="8">
        <f>IFERROR(__xludf.DUMMYFUNCTION("""COMPUTED_VALUE"""),4.0)</f>
        <v>4</v>
      </c>
    </row>
    <row r="10150">
      <c r="A10150" s="9" t="str">
        <f>IFERROR(__xludf.DUMMYFUNCTION("""COMPUTED_VALUE"""),"Batch 373")</f>
        <v>Batch 373</v>
      </c>
      <c r="B10150" s="9" t="str">
        <f>IFERROR(__xludf.DUMMYFUNCTION("""COMPUTED_VALUE"""),"AalokC373")</f>
        <v>AalokC373</v>
      </c>
      <c r="C10150" s="8">
        <f>IFERROR(__xludf.DUMMYFUNCTION("""COMPUTED_VALUE"""),0.0)</f>
        <v>0</v>
      </c>
      <c r="D10150" s="8"/>
    </row>
    <row r="10151">
      <c r="A10151" s="9" t="str">
        <f>IFERROR(__xludf.DUMMYFUNCTION("""COMPUTED_VALUE"""),"Batch 373")</f>
        <v>Batch 373</v>
      </c>
      <c r="B10151" s="9" t="str">
        <f>IFERROR(__xludf.DUMMYFUNCTION("""COMPUTED_VALUE"""),"P.ChandraC373")</f>
        <v>P.ChandraC373</v>
      </c>
      <c r="C10151" s="8">
        <f>IFERROR(__xludf.DUMMYFUNCTION("""COMPUTED_VALUE"""),0.0)</f>
        <v>0</v>
      </c>
      <c r="D10151" s="8"/>
    </row>
    <row r="10152">
      <c r="A10152" s="9" t="str">
        <f>IFERROR(__xludf.DUMMYFUNCTION("""COMPUTED_VALUE"""),"Batch 373")</f>
        <v>Batch 373</v>
      </c>
      <c r="B10152" s="9" t="str">
        <f>IFERROR(__xludf.DUMMYFUNCTION("""COMPUTED_VALUE"""),"janviC373")</f>
        <v>janviC373</v>
      </c>
      <c r="C10152" s="8">
        <f>IFERROR(__xludf.DUMMYFUNCTION("""COMPUTED_VALUE"""),0.0)</f>
        <v>0</v>
      </c>
      <c r="D10152" s="8"/>
    </row>
    <row r="10153">
      <c r="A10153" s="9" t="str">
        <f>IFERROR(__xludf.DUMMYFUNCTION("""COMPUTED_VALUE"""),"Batch 373")</f>
        <v>Batch 373</v>
      </c>
      <c r="B10153" s="9" t="str">
        <f>IFERROR(__xludf.DUMMYFUNCTION("""COMPUTED_VALUE"""),"MONISC373")</f>
        <v>MONISC373</v>
      </c>
      <c r="C10153" s="8">
        <f>IFERROR(__xludf.DUMMYFUNCTION("""COMPUTED_VALUE"""),0.0)</f>
        <v>0</v>
      </c>
      <c r="D10153" s="8"/>
    </row>
    <row r="10154">
      <c r="A10154" s="9" t="str">
        <f>IFERROR(__xludf.DUMMYFUNCTION("""COMPUTED_VALUE"""),"Batch 373")</f>
        <v>Batch 373</v>
      </c>
      <c r="B10154" s="9" t="str">
        <f>IFERROR(__xludf.DUMMYFUNCTION("""COMPUTED_VALUE"""),"AnushkaC373")</f>
        <v>AnushkaC373</v>
      </c>
      <c r="C10154" s="8">
        <f>IFERROR(__xludf.DUMMYFUNCTION("""COMPUTED_VALUE"""),1.0)</f>
        <v>1</v>
      </c>
      <c r="D10154" s="8"/>
    </row>
    <row r="10155">
      <c r="A10155" s="9" t="str">
        <f>IFERROR(__xludf.DUMMYFUNCTION("""COMPUTED_VALUE"""),"Batch 373")</f>
        <v>Batch 373</v>
      </c>
      <c r="B10155" s="9" t="str">
        <f>IFERROR(__xludf.DUMMYFUNCTION("""COMPUTED_VALUE"""),"A.SnehaashreeC373")</f>
        <v>A.SnehaashreeC373</v>
      </c>
      <c r="C10155" s="8">
        <f>IFERROR(__xludf.DUMMYFUNCTION("""COMPUTED_VALUE"""),0.0)</f>
        <v>0</v>
      </c>
      <c r="D10155" s="8"/>
    </row>
    <row r="10156">
      <c r="A10156" s="9" t="str">
        <f>IFERROR(__xludf.DUMMYFUNCTION("""COMPUTED_VALUE"""),"Batch 373")</f>
        <v>Batch 373</v>
      </c>
      <c r="B10156" s="9" t="str">
        <f>IFERROR(__xludf.DUMMYFUNCTION("""COMPUTED_VALUE"""),"ShivangC373")</f>
        <v>ShivangC373</v>
      </c>
      <c r="C10156" s="8">
        <f>IFERROR(__xludf.DUMMYFUNCTION("""COMPUTED_VALUE"""),0.0)</f>
        <v>0</v>
      </c>
      <c r="D10156" s="8"/>
    </row>
    <row r="10157">
      <c r="A10157" s="9" t="str">
        <f>IFERROR(__xludf.DUMMYFUNCTION("""COMPUTED_VALUE"""),"Batch 373")</f>
        <v>Batch 373</v>
      </c>
      <c r="B10157" s="9" t="str">
        <f>IFERROR(__xludf.DUMMYFUNCTION("""COMPUTED_VALUE"""),"SonamC373")</f>
        <v>SonamC373</v>
      </c>
      <c r="C10157" s="8">
        <f>IFERROR(__xludf.DUMMYFUNCTION("""COMPUTED_VALUE"""),0.0)</f>
        <v>0</v>
      </c>
      <c r="D10157" s="8"/>
    </row>
    <row r="10158">
      <c r="A10158" s="9" t="str">
        <f>IFERROR(__xludf.DUMMYFUNCTION("""COMPUTED_VALUE"""),"Batch 373")</f>
        <v>Batch 373</v>
      </c>
      <c r="B10158" s="9" t="str">
        <f>IFERROR(__xludf.DUMMYFUNCTION("""COMPUTED_VALUE"""),"HruthikaC373")</f>
        <v>HruthikaC373</v>
      </c>
      <c r="C10158" s="8">
        <f>IFERROR(__xludf.DUMMYFUNCTION("""COMPUTED_VALUE"""),0.0)</f>
        <v>0</v>
      </c>
      <c r="D10158" s="8"/>
    </row>
    <row r="10159">
      <c r="A10159" s="9" t="str">
        <f>IFERROR(__xludf.DUMMYFUNCTION("""COMPUTED_VALUE"""),"Batch 373")</f>
        <v>Batch 373</v>
      </c>
      <c r="B10159" s="9" t="str">
        <f>IFERROR(__xludf.DUMMYFUNCTION("""COMPUTED_VALUE"""),"ShantanuC373")</f>
        <v>ShantanuC373</v>
      </c>
      <c r="C10159" s="8">
        <f>IFERROR(__xludf.DUMMYFUNCTION("""COMPUTED_VALUE"""),0.0)</f>
        <v>0</v>
      </c>
      <c r="D10159" s="8"/>
    </row>
    <row r="10160">
      <c r="A10160" s="9" t="str">
        <f>IFERROR(__xludf.DUMMYFUNCTION("""COMPUTED_VALUE"""),"Batch 373")</f>
        <v>Batch 373</v>
      </c>
      <c r="B10160" s="9" t="str">
        <f>IFERROR(__xludf.DUMMYFUNCTION("""COMPUTED_VALUE"""),"DevashishC373")</f>
        <v>DevashishC373</v>
      </c>
      <c r="C10160" s="8">
        <f>IFERROR(__xludf.DUMMYFUNCTION("""COMPUTED_VALUE"""),0.0)</f>
        <v>0</v>
      </c>
      <c r="D10160" s="8"/>
    </row>
    <row r="10161">
      <c r="A10161" s="9" t="str">
        <f>IFERROR(__xludf.DUMMYFUNCTION("""COMPUTED_VALUE"""),"Batch 373")</f>
        <v>Batch 373</v>
      </c>
      <c r="B10161" s="9" t="str">
        <f>IFERROR(__xludf.DUMMYFUNCTION("""COMPUTED_VALUE"""),"ArjunC373")</f>
        <v>ArjunC373</v>
      </c>
      <c r="C10161" s="8">
        <f>IFERROR(__xludf.DUMMYFUNCTION("""COMPUTED_VALUE"""),0.0)</f>
        <v>0</v>
      </c>
      <c r="D10161" s="8"/>
    </row>
    <row r="10162">
      <c r="A10162" s="9" t="str">
        <f>IFERROR(__xludf.DUMMYFUNCTION("""COMPUTED_VALUE"""),"Batch 373")</f>
        <v>Batch 373</v>
      </c>
      <c r="B10162" s="9" t="str">
        <f>IFERROR(__xludf.DUMMYFUNCTION("""COMPUTED_VALUE"""),"PratibhaC373")</f>
        <v>PratibhaC373</v>
      </c>
      <c r="C10162" s="8">
        <f>IFERROR(__xludf.DUMMYFUNCTION("""COMPUTED_VALUE"""),0.0)</f>
        <v>0</v>
      </c>
      <c r="D10162" s="8"/>
    </row>
    <row r="10163">
      <c r="A10163" s="9" t="str">
        <f>IFERROR(__xludf.DUMMYFUNCTION("""COMPUTED_VALUE"""),"Batch 373")</f>
        <v>Batch 373</v>
      </c>
      <c r="B10163" s="9" t="str">
        <f>IFERROR(__xludf.DUMMYFUNCTION("""COMPUTED_VALUE"""),"VaishnaviC373")</f>
        <v>VaishnaviC373</v>
      </c>
      <c r="C10163" s="8">
        <f>IFERROR(__xludf.DUMMYFUNCTION("""COMPUTED_VALUE"""),0.0)</f>
        <v>0</v>
      </c>
      <c r="D10163" s="8"/>
    </row>
    <row r="10164">
      <c r="A10164" s="9" t="str">
        <f>IFERROR(__xludf.DUMMYFUNCTION("""COMPUTED_VALUE"""),"Batch 373")</f>
        <v>Batch 373</v>
      </c>
      <c r="B10164" s="9" t="str">
        <f>IFERROR(__xludf.DUMMYFUNCTION("""COMPUTED_VALUE"""),"SahilC373")</f>
        <v>SahilC373</v>
      </c>
      <c r="C10164" s="8">
        <f>IFERROR(__xludf.DUMMYFUNCTION("""COMPUTED_VALUE"""),0.0)</f>
        <v>0</v>
      </c>
      <c r="D10164" s="8"/>
    </row>
    <row r="10165">
      <c r="A10165" s="9" t="str">
        <f>IFERROR(__xludf.DUMMYFUNCTION("""COMPUTED_VALUE"""),"Batch 373")</f>
        <v>Batch 373</v>
      </c>
      <c r="B10165" s="9" t="str">
        <f>IFERROR(__xludf.DUMMYFUNCTION("""COMPUTED_VALUE"""),"HarshitaC373")</f>
        <v>HarshitaC373</v>
      </c>
      <c r="C10165" s="8">
        <f>IFERROR(__xludf.DUMMYFUNCTION("""COMPUTED_VALUE"""),0.0)</f>
        <v>0</v>
      </c>
      <c r="D10165" s="8"/>
    </row>
    <row r="10166">
      <c r="A10166" s="9" t="str">
        <f>IFERROR(__xludf.DUMMYFUNCTION("""COMPUTED_VALUE"""),"Batch 373")</f>
        <v>Batch 373</v>
      </c>
      <c r="B10166" s="9" t="str">
        <f>IFERROR(__xludf.DUMMYFUNCTION("""COMPUTED_VALUE"""),"SamraC373")</f>
        <v>SamraC373</v>
      </c>
      <c r="C10166" s="8">
        <f>IFERROR(__xludf.DUMMYFUNCTION("""COMPUTED_VALUE"""),0.0)</f>
        <v>0</v>
      </c>
      <c r="D10166" s="8"/>
    </row>
    <row r="10167">
      <c r="A10167" s="9" t="str">
        <f>IFERROR(__xludf.DUMMYFUNCTION("""COMPUTED_VALUE"""),"Batch 373")</f>
        <v>Batch 373</v>
      </c>
      <c r="B10167" s="9" t="str">
        <f>IFERROR(__xludf.DUMMYFUNCTION("""COMPUTED_VALUE"""),"INIYAC373")</f>
        <v>INIYAC373</v>
      </c>
      <c r="C10167" s="8">
        <f>IFERROR(__xludf.DUMMYFUNCTION("""COMPUTED_VALUE"""),0.0)</f>
        <v>0</v>
      </c>
      <c r="D10167" s="8"/>
    </row>
    <row r="10168">
      <c r="A10168" s="9" t="str">
        <f>IFERROR(__xludf.DUMMYFUNCTION("""COMPUTED_VALUE"""),"Batch 373")</f>
        <v>Batch 373</v>
      </c>
      <c r="B10168" s="9" t="str">
        <f>IFERROR(__xludf.DUMMYFUNCTION("""COMPUTED_VALUE"""),"AmanC373")</f>
        <v>AmanC373</v>
      </c>
      <c r="C10168" s="8">
        <f>IFERROR(__xludf.DUMMYFUNCTION("""COMPUTED_VALUE"""),0.0)</f>
        <v>0</v>
      </c>
      <c r="D10168" s="8"/>
    </row>
    <row r="10169">
      <c r="A10169" s="9" t="str">
        <f>IFERROR(__xludf.DUMMYFUNCTION("""COMPUTED_VALUE"""),"Batch 373")</f>
        <v>Batch 373</v>
      </c>
      <c r="B10169" s="9" t="str">
        <f>IFERROR(__xludf.DUMMYFUNCTION("""COMPUTED_VALUE"""),"Sivanandhini.C373")</f>
        <v>Sivanandhini.C373</v>
      </c>
      <c r="C10169" s="8">
        <f>IFERROR(__xludf.DUMMYFUNCTION("""COMPUTED_VALUE"""),0.0)</f>
        <v>0</v>
      </c>
      <c r="D10169" s="8"/>
    </row>
    <row r="10170">
      <c r="A10170" s="9"/>
      <c r="B10170" s="9"/>
      <c r="C10170" s="8">
        <f>IFERROR(__xludf.DUMMYFUNCTION("""COMPUTED_VALUE"""),0.0)</f>
        <v>0</v>
      </c>
      <c r="D10170" s="8"/>
    </row>
    <row r="10171">
      <c r="A10171" s="9" t="str">
        <f>IFERROR(__xludf.DUMMYFUNCTION("""COMPUTED_VALUE"""),"Batch 374")</f>
        <v>Batch 374</v>
      </c>
      <c r="B10171" s="9" t="str">
        <f>IFERROR(__xludf.DUMMYFUNCTION("""COMPUTED_VALUE"""),"ShivamC374")</f>
        <v>ShivamC374</v>
      </c>
      <c r="C10171" s="8">
        <f>IFERROR(__xludf.DUMMYFUNCTION("""COMPUTED_VALUE"""),0.0)</f>
        <v>0</v>
      </c>
      <c r="D10171" s="8"/>
    </row>
    <row r="10172">
      <c r="A10172" s="9" t="str">
        <f>IFERROR(__xludf.DUMMYFUNCTION("""COMPUTED_VALUE"""),"Batch 374")</f>
        <v>Batch 374</v>
      </c>
      <c r="B10172" s="9" t="str">
        <f>IFERROR(__xludf.DUMMYFUNCTION("""COMPUTED_VALUE"""),"ShashankC374")</f>
        <v>ShashankC374</v>
      </c>
      <c r="C10172" s="8">
        <f>IFERROR(__xludf.DUMMYFUNCTION("""COMPUTED_VALUE"""),0.0)</f>
        <v>0</v>
      </c>
      <c r="D10172" s="8"/>
    </row>
    <row r="10173">
      <c r="A10173" s="9" t="str">
        <f>IFERROR(__xludf.DUMMYFUNCTION("""COMPUTED_VALUE"""),"Batch 374")</f>
        <v>Batch 374</v>
      </c>
      <c r="B10173" s="9" t="str">
        <f>IFERROR(__xludf.DUMMYFUNCTION("""COMPUTED_VALUE"""),"PradumyaC374")</f>
        <v>PradumyaC374</v>
      </c>
      <c r="C10173" s="8">
        <f>IFERROR(__xludf.DUMMYFUNCTION("""COMPUTED_VALUE"""),0.0)</f>
        <v>0</v>
      </c>
      <c r="D10173" s="8"/>
    </row>
    <row r="10174">
      <c r="A10174" s="9" t="str">
        <f>IFERROR(__xludf.DUMMYFUNCTION("""COMPUTED_VALUE"""),"Batch 374")</f>
        <v>Batch 374</v>
      </c>
      <c r="B10174" s="9" t="str">
        <f>IFERROR(__xludf.DUMMYFUNCTION("""COMPUTED_VALUE"""),"SohamC374")</f>
        <v>SohamC374</v>
      </c>
      <c r="C10174" s="8">
        <f>IFERROR(__xludf.DUMMYFUNCTION("""COMPUTED_VALUE"""),0.0)</f>
        <v>0</v>
      </c>
      <c r="D10174" s="8"/>
    </row>
    <row r="10175">
      <c r="A10175" s="9" t="str">
        <f>IFERROR(__xludf.DUMMYFUNCTION("""COMPUTED_VALUE"""),"Batch 374")</f>
        <v>Batch 374</v>
      </c>
      <c r="B10175" s="9" t="str">
        <f>IFERROR(__xludf.DUMMYFUNCTION("""COMPUTED_VALUE"""),"AnkitC374")</f>
        <v>AnkitC374</v>
      </c>
      <c r="C10175" s="8">
        <f>IFERROR(__xludf.DUMMYFUNCTION("""COMPUTED_VALUE"""),1.0)</f>
        <v>1</v>
      </c>
      <c r="D10175" s="8"/>
    </row>
    <row r="10176">
      <c r="A10176" s="9" t="str">
        <f>IFERROR(__xludf.DUMMYFUNCTION("""COMPUTED_VALUE"""),"Batch 374")</f>
        <v>Batch 374</v>
      </c>
      <c r="B10176" s="9" t="str">
        <f>IFERROR(__xludf.DUMMYFUNCTION("""COMPUTED_VALUE"""),"AryanC374")</f>
        <v>AryanC374</v>
      </c>
      <c r="C10176" s="8">
        <f>IFERROR(__xludf.DUMMYFUNCTION("""COMPUTED_VALUE"""),0.0)</f>
        <v>0</v>
      </c>
      <c r="D10176" s="8"/>
    </row>
    <row r="10177">
      <c r="A10177" s="9" t="str">
        <f>IFERROR(__xludf.DUMMYFUNCTION("""COMPUTED_VALUE"""),"Batch 374")</f>
        <v>Batch 374</v>
      </c>
      <c r="B10177" s="9" t="str">
        <f>IFERROR(__xludf.DUMMYFUNCTION("""COMPUTED_VALUE"""),"DevyaniC374")</f>
        <v>DevyaniC374</v>
      </c>
      <c r="C10177" s="8">
        <f>IFERROR(__xludf.DUMMYFUNCTION("""COMPUTED_VALUE"""),0.0)</f>
        <v>0</v>
      </c>
      <c r="D10177" s="8"/>
    </row>
    <row r="10178">
      <c r="A10178" s="9" t="str">
        <f>IFERROR(__xludf.DUMMYFUNCTION("""COMPUTED_VALUE"""),"Batch 374")</f>
        <v>Batch 374</v>
      </c>
      <c r="B10178" s="9" t="str">
        <f>IFERROR(__xludf.DUMMYFUNCTION("""COMPUTED_VALUE"""),"AnanyaC374")</f>
        <v>AnanyaC374</v>
      </c>
      <c r="C10178" s="8">
        <f>IFERROR(__xludf.DUMMYFUNCTION("""COMPUTED_VALUE"""),0.0)</f>
        <v>0</v>
      </c>
      <c r="D10178" s="8"/>
    </row>
    <row r="10179">
      <c r="A10179" s="9" t="str">
        <f>IFERROR(__xludf.DUMMYFUNCTION("""COMPUTED_VALUE"""),"Batch 374")</f>
        <v>Batch 374</v>
      </c>
      <c r="B10179" s="9" t="str">
        <f>IFERROR(__xludf.DUMMYFUNCTION("""COMPUTED_VALUE"""),"IbaC374")</f>
        <v>IbaC374</v>
      </c>
      <c r="C10179" s="8">
        <f>IFERROR(__xludf.DUMMYFUNCTION("""COMPUTED_VALUE"""),0.0)</f>
        <v>0</v>
      </c>
      <c r="D10179" s="8"/>
    </row>
    <row r="10180">
      <c r="A10180" s="9" t="str">
        <f>IFERROR(__xludf.DUMMYFUNCTION("""COMPUTED_VALUE"""),"Batch 374")</f>
        <v>Batch 374</v>
      </c>
      <c r="B10180" s="9" t="str">
        <f>IFERROR(__xludf.DUMMYFUNCTION("""COMPUTED_VALUE"""),"ChahatC374")</f>
        <v>ChahatC374</v>
      </c>
      <c r="C10180" s="8">
        <f>IFERROR(__xludf.DUMMYFUNCTION("""COMPUTED_VALUE"""),0.0)</f>
        <v>0</v>
      </c>
      <c r="D10180" s="8"/>
    </row>
    <row r="10181">
      <c r="A10181" s="9" t="str">
        <f>IFERROR(__xludf.DUMMYFUNCTION("""COMPUTED_VALUE"""),"Batch 374")</f>
        <v>Batch 374</v>
      </c>
      <c r="B10181" s="9" t="str">
        <f>IFERROR(__xludf.DUMMYFUNCTION("""COMPUTED_VALUE"""),"NishantC374")</f>
        <v>NishantC374</v>
      </c>
      <c r="C10181" s="8">
        <f>IFERROR(__xludf.DUMMYFUNCTION("""COMPUTED_VALUE"""),0.0)</f>
        <v>0</v>
      </c>
      <c r="D10181" s="8"/>
    </row>
    <row r="10182">
      <c r="A10182" s="9" t="str">
        <f>IFERROR(__xludf.DUMMYFUNCTION("""COMPUTED_VALUE"""),"Batch 374")</f>
        <v>Batch 374</v>
      </c>
      <c r="B10182" s="9" t="str">
        <f>IFERROR(__xludf.DUMMYFUNCTION("""COMPUTED_VALUE"""),"ShauryC374")</f>
        <v>ShauryC374</v>
      </c>
      <c r="C10182" s="8">
        <f>IFERROR(__xludf.DUMMYFUNCTION("""COMPUTED_VALUE"""),0.0)</f>
        <v>0</v>
      </c>
      <c r="D10182" s="8"/>
    </row>
    <row r="10183">
      <c r="A10183" s="9" t="str">
        <f>IFERROR(__xludf.DUMMYFUNCTION("""COMPUTED_VALUE"""),"Batch 374")</f>
        <v>Batch 374</v>
      </c>
      <c r="B10183" s="9" t="str">
        <f>IFERROR(__xludf.DUMMYFUNCTION("""COMPUTED_VALUE"""),"RANGAC374")</f>
        <v>RANGAC374</v>
      </c>
      <c r="C10183" s="8">
        <f>IFERROR(__xludf.DUMMYFUNCTION("""COMPUTED_VALUE"""),0.0)</f>
        <v>0</v>
      </c>
      <c r="D10183" s="8"/>
    </row>
    <row r="10184">
      <c r="A10184" s="9" t="str">
        <f>IFERROR(__xludf.DUMMYFUNCTION("""COMPUTED_VALUE"""),"Batch 374")</f>
        <v>Batch 374</v>
      </c>
      <c r="B10184" s="9" t="str">
        <f>IFERROR(__xludf.DUMMYFUNCTION("""COMPUTED_VALUE"""),"ShreyC374")</f>
        <v>ShreyC374</v>
      </c>
      <c r="C10184" s="8">
        <f>IFERROR(__xludf.DUMMYFUNCTION("""COMPUTED_VALUE"""),11.0)</f>
        <v>11</v>
      </c>
      <c r="D10184" s="8"/>
    </row>
    <row r="10185">
      <c r="A10185" s="9" t="str">
        <f>IFERROR(__xludf.DUMMYFUNCTION("""COMPUTED_VALUE"""),"Batch 374")</f>
        <v>Batch 374</v>
      </c>
      <c r="B10185" s="9" t="str">
        <f>IFERROR(__xludf.DUMMYFUNCTION("""COMPUTED_VALUE"""),"AmarC374")</f>
        <v>AmarC374</v>
      </c>
      <c r="C10185" s="8">
        <f>IFERROR(__xludf.DUMMYFUNCTION("""COMPUTED_VALUE"""),0.0)</f>
        <v>0</v>
      </c>
      <c r="D10185" s="8"/>
    </row>
    <row r="10186">
      <c r="A10186" s="9" t="str">
        <f>IFERROR(__xludf.DUMMYFUNCTION("""COMPUTED_VALUE"""),"Batch 374")</f>
        <v>Batch 374</v>
      </c>
      <c r="B10186" s="9" t="str">
        <f>IFERROR(__xludf.DUMMYFUNCTION("""COMPUTED_VALUE"""),"SnehaC374")</f>
        <v>SnehaC374</v>
      </c>
      <c r="C10186" s="8">
        <f>IFERROR(__xludf.DUMMYFUNCTION("""COMPUTED_VALUE"""),14.0)</f>
        <v>14</v>
      </c>
      <c r="D10186" s="8">
        <f>IFERROR(__xludf.DUMMYFUNCTION("""COMPUTED_VALUE"""),4.0)</f>
        <v>4</v>
      </c>
    </row>
    <row r="10187">
      <c r="A10187" s="9" t="str">
        <f>IFERROR(__xludf.DUMMYFUNCTION("""COMPUTED_VALUE"""),"Batch 374")</f>
        <v>Batch 374</v>
      </c>
      <c r="B10187" s="9" t="str">
        <f>IFERROR(__xludf.DUMMYFUNCTION("""COMPUTED_VALUE"""),"SamikshaC374")</f>
        <v>SamikshaC374</v>
      </c>
      <c r="C10187" s="8">
        <f>IFERROR(__xludf.DUMMYFUNCTION("""COMPUTED_VALUE"""),2.0)</f>
        <v>2</v>
      </c>
      <c r="D10187" s="8"/>
    </row>
    <row r="10188">
      <c r="A10188" s="9" t="str">
        <f>IFERROR(__xludf.DUMMYFUNCTION("""COMPUTED_VALUE"""),"Batch 374")</f>
        <v>Batch 374</v>
      </c>
      <c r="B10188" s="9" t="str">
        <f>IFERROR(__xludf.DUMMYFUNCTION("""COMPUTED_VALUE"""),"AlfezC374")</f>
        <v>AlfezC374</v>
      </c>
      <c r="C10188" s="8">
        <f>IFERROR(__xludf.DUMMYFUNCTION("""COMPUTED_VALUE"""),0.0)</f>
        <v>0</v>
      </c>
      <c r="D10188" s="8"/>
    </row>
    <row r="10189">
      <c r="A10189" s="9" t="str">
        <f>IFERROR(__xludf.DUMMYFUNCTION("""COMPUTED_VALUE"""),"Batch 374")</f>
        <v>Batch 374</v>
      </c>
      <c r="B10189" s="9" t="str">
        <f>IFERROR(__xludf.DUMMYFUNCTION("""COMPUTED_VALUE"""),"AkeshC374")</f>
        <v>AkeshC374</v>
      </c>
      <c r="C10189" s="8">
        <f>IFERROR(__xludf.DUMMYFUNCTION("""COMPUTED_VALUE"""),0.0)</f>
        <v>0</v>
      </c>
      <c r="D10189" s="8"/>
    </row>
    <row r="10190">
      <c r="A10190" s="9" t="str">
        <f>IFERROR(__xludf.DUMMYFUNCTION("""COMPUTED_VALUE"""),"Batch 374")</f>
        <v>Batch 374</v>
      </c>
      <c r="B10190" s="9" t="str">
        <f>IFERROR(__xludf.DUMMYFUNCTION("""COMPUTED_VALUE"""),"AvniC374")</f>
        <v>AvniC374</v>
      </c>
      <c r="C10190" s="8">
        <f>IFERROR(__xludf.DUMMYFUNCTION("""COMPUTED_VALUE"""),0.0)</f>
        <v>0</v>
      </c>
      <c r="D10190" s="8"/>
    </row>
    <row r="10191">
      <c r="A10191" s="9" t="str">
        <f>IFERROR(__xludf.DUMMYFUNCTION("""COMPUTED_VALUE"""),"Batch 374")</f>
        <v>Batch 374</v>
      </c>
      <c r="B10191" s="9" t="str">
        <f>IFERROR(__xludf.DUMMYFUNCTION("""COMPUTED_VALUE"""),"DashdeepC374")</f>
        <v>DashdeepC374</v>
      </c>
      <c r="C10191" s="8">
        <f>IFERROR(__xludf.DUMMYFUNCTION("""COMPUTED_VALUE"""),14.0)</f>
        <v>14</v>
      </c>
      <c r="D10191" s="8"/>
    </row>
    <row r="10192">
      <c r="A10192" s="9" t="str">
        <f>IFERROR(__xludf.DUMMYFUNCTION("""COMPUTED_VALUE"""),"Batch 374")</f>
        <v>Batch 374</v>
      </c>
      <c r="B10192" s="9" t="str">
        <f>IFERROR(__xludf.DUMMYFUNCTION("""COMPUTED_VALUE"""),"MahimaC374")</f>
        <v>MahimaC374</v>
      </c>
      <c r="C10192" s="8">
        <f>IFERROR(__xludf.DUMMYFUNCTION("""COMPUTED_VALUE"""),0.0)</f>
        <v>0</v>
      </c>
      <c r="D10192" s="8"/>
    </row>
    <row r="10193">
      <c r="A10193" s="9" t="str">
        <f>IFERROR(__xludf.DUMMYFUNCTION("""COMPUTED_VALUE"""),"Batch 374")</f>
        <v>Batch 374</v>
      </c>
      <c r="B10193" s="9" t="str">
        <f>IFERROR(__xludf.DUMMYFUNCTION("""COMPUTED_VALUE"""),"PratibhaC374")</f>
        <v>PratibhaC374</v>
      </c>
      <c r="C10193" s="8">
        <f>IFERROR(__xludf.DUMMYFUNCTION("""COMPUTED_VALUE"""),0.0)</f>
        <v>0</v>
      </c>
      <c r="D10193" s="8"/>
    </row>
    <row r="10194">
      <c r="A10194" s="9" t="str">
        <f>IFERROR(__xludf.DUMMYFUNCTION("""COMPUTED_VALUE"""),"Batch 374")</f>
        <v>Batch 374</v>
      </c>
      <c r="B10194" s="9" t="str">
        <f>IFERROR(__xludf.DUMMYFUNCTION("""COMPUTED_VALUE"""),"NiharikaC374")</f>
        <v>NiharikaC374</v>
      </c>
      <c r="C10194" s="8">
        <f>IFERROR(__xludf.DUMMYFUNCTION("""COMPUTED_VALUE"""),0.0)</f>
        <v>0</v>
      </c>
      <c r="D10194" s="8"/>
    </row>
    <row r="10195">
      <c r="A10195" s="9" t="str">
        <f>IFERROR(__xludf.DUMMYFUNCTION("""COMPUTED_VALUE"""),"Batch 374")</f>
        <v>Batch 374</v>
      </c>
      <c r="B10195" s="9" t="str">
        <f>IFERROR(__xludf.DUMMYFUNCTION("""COMPUTED_VALUE"""),"MuhammedC374")</f>
        <v>MuhammedC374</v>
      </c>
      <c r="C10195" s="8">
        <f>IFERROR(__xludf.DUMMYFUNCTION("""COMPUTED_VALUE"""),0.0)</f>
        <v>0</v>
      </c>
      <c r="D10195" s="8"/>
    </row>
    <row r="10196">
      <c r="A10196" s="9" t="str">
        <f>IFERROR(__xludf.DUMMYFUNCTION("""COMPUTED_VALUE"""),"Batch 374")</f>
        <v>Batch 374</v>
      </c>
      <c r="B10196" s="9" t="str">
        <f>IFERROR(__xludf.DUMMYFUNCTION("""COMPUTED_VALUE"""),"PayalC374")</f>
        <v>PayalC374</v>
      </c>
      <c r="C10196" s="8">
        <f>IFERROR(__xludf.DUMMYFUNCTION("""COMPUTED_VALUE"""),11.0)</f>
        <v>11</v>
      </c>
      <c r="D10196" s="8"/>
    </row>
    <row r="10197">
      <c r="A10197" s="9" t="str">
        <f>IFERROR(__xludf.DUMMYFUNCTION("""COMPUTED_VALUE"""),"Batch 374")</f>
        <v>Batch 374</v>
      </c>
      <c r="B10197" s="9" t="str">
        <f>IFERROR(__xludf.DUMMYFUNCTION("""COMPUTED_VALUE"""),"AnkitaC374")</f>
        <v>AnkitaC374</v>
      </c>
      <c r="C10197" s="8">
        <f>IFERROR(__xludf.DUMMYFUNCTION("""COMPUTED_VALUE"""),0.0)</f>
        <v>0</v>
      </c>
      <c r="D10197" s="8"/>
    </row>
    <row r="10198">
      <c r="A10198" s="9" t="str">
        <f>IFERROR(__xludf.DUMMYFUNCTION("""COMPUTED_VALUE"""),"Batch 374")</f>
        <v>Batch 374</v>
      </c>
      <c r="B10198" s="9" t="str">
        <f>IFERROR(__xludf.DUMMYFUNCTION("""COMPUTED_VALUE"""),"SumitC374")</f>
        <v>SumitC374</v>
      </c>
      <c r="C10198" s="8">
        <f>IFERROR(__xludf.DUMMYFUNCTION("""COMPUTED_VALUE"""),0.0)</f>
        <v>0</v>
      </c>
      <c r="D10198" s="8"/>
    </row>
    <row r="10199">
      <c r="A10199" s="9" t="str">
        <f>IFERROR(__xludf.DUMMYFUNCTION("""COMPUTED_VALUE"""),"Batch 374")</f>
        <v>Batch 374</v>
      </c>
      <c r="B10199" s="9" t="str">
        <f>IFERROR(__xludf.DUMMYFUNCTION("""COMPUTED_VALUE"""),"RichardC374")</f>
        <v>RichardC374</v>
      </c>
      <c r="C10199" s="8">
        <f>IFERROR(__xludf.DUMMYFUNCTION("""COMPUTED_VALUE"""),0.0)</f>
        <v>0</v>
      </c>
      <c r="D10199" s="8"/>
    </row>
    <row r="10200">
      <c r="A10200" s="9" t="str">
        <f>IFERROR(__xludf.DUMMYFUNCTION("""COMPUTED_VALUE"""),"Batch 374")</f>
        <v>Batch 374</v>
      </c>
      <c r="B10200" s="9" t="str">
        <f>IFERROR(__xludf.DUMMYFUNCTION("""COMPUTED_VALUE"""),"ShubhamC374")</f>
        <v>ShubhamC374</v>
      </c>
      <c r="C10200" s="8">
        <f>IFERROR(__xludf.DUMMYFUNCTION("""COMPUTED_VALUE"""),0.0)</f>
        <v>0</v>
      </c>
      <c r="D10200" s="8"/>
    </row>
    <row r="10201">
      <c r="A10201" s="9"/>
      <c r="B10201" s="9"/>
      <c r="C10201" s="8">
        <f>IFERROR(__xludf.DUMMYFUNCTION("""COMPUTED_VALUE"""),0.0)</f>
        <v>0</v>
      </c>
      <c r="D10201" s="8"/>
    </row>
    <row r="10202">
      <c r="A10202" s="9" t="str">
        <f>IFERROR(__xludf.DUMMYFUNCTION("""COMPUTED_VALUE"""),"Batch 375")</f>
        <v>Batch 375</v>
      </c>
      <c r="B10202" s="9" t="str">
        <f>IFERROR(__xludf.DUMMYFUNCTION("""COMPUTED_VALUE"""),"YashC375")</f>
        <v>YashC375</v>
      </c>
      <c r="C10202" s="8">
        <f>IFERROR(__xludf.DUMMYFUNCTION("""COMPUTED_VALUE"""),0.0)</f>
        <v>0</v>
      </c>
      <c r="D10202" s="8"/>
    </row>
    <row r="10203">
      <c r="A10203" s="9" t="str">
        <f>IFERROR(__xludf.DUMMYFUNCTION("""COMPUTED_VALUE"""),"Batch 375")</f>
        <v>Batch 375</v>
      </c>
      <c r="B10203" s="9" t="str">
        <f>IFERROR(__xludf.DUMMYFUNCTION("""COMPUTED_VALUE"""),"JishanC375")</f>
        <v>JishanC375</v>
      </c>
      <c r="C10203" s="8">
        <f>IFERROR(__xludf.DUMMYFUNCTION("""COMPUTED_VALUE"""),0.0)</f>
        <v>0</v>
      </c>
      <c r="D10203" s="8"/>
    </row>
    <row r="10204">
      <c r="A10204" s="9" t="str">
        <f>IFERROR(__xludf.DUMMYFUNCTION("""COMPUTED_VALUE"""),"Batch 375")</f>
        <v>Batch 375</v>
      </c>
      <c r="B10204" s="9" t="str">
        <f>IFERROR(__xludf.DUMMYFUNCTION("""COMPUTED_VALUE"""),"ShobhitC375")</f>
        <v>ShobhitC375</v>
      </c>
      <c r="C10204" s="8">
        <f>IFERROR(__xludf.DUMMYFUNCTION("""COMPUTED_VALUE"""),5.0)</f>
        <v>5</v>
      </c>
      <c r="D10204" s="8"/>
    </row>
    <row r="10205">
      <c r="A10205" s="9" t="str">
        <f>IFERROR(__xludf.DUMMYFUNCTION("""COMPUTED_VALUE"""),"Batch 375")</f>
        <v>Batch 375</v>
      </c>
      <c r="B10205" s="9" t="str">
        <f>IFERROR(__xludf.DUMMYFUNCTION("""COMPUTED_VALUE"""),"harshita.pC375")</f>
        <v>harshita.pC375</v>
      </c>
      <c r="C10205" s="8">
        <f>IFERROR(__xludf.DUMMYFUNCTION("""COMPUTED_VALUE"""),0.0)</f>
        <v>0</v>
      </c>
      <c r="D10205" s="8"/>
    </row>
    <row r="10206">
      <c r="A10206" s="9" t="str">
        <f>IFERROR(__xludf.DUMMYFUNCTION("""COMPUTED_VALUE"""),"Batch 375")</f>
        <v>Batch 375</v>
      </c>
      <c r="B10206" s="9" t="str">
        <f>IFERROR(__xludf.DUMMYFUNCTION("""COMPUTED_VALUE"""),"MukulC375")</f>
        <v>MukulC375</v>
      </c>
      <c r="C10206" s="8">
        <f>IFERROR(__xludf.DUMMYFUNCTION("""COMPUTED_VALUE"""),0.0)</f>
        <v>0</v>
      </c>
      <c r="D10206" s="8"/>
    </row>
    <row r="10207">
      <c r="A10207" s="9" t="str">
        <f>IFERROR(__xludf.DUMMYFUNCTION("""COMPUTED_VALUE"""),"Batch 375")</f>
        <v>Batch 375</v>
      </c>
      <c r="B10207" s="9" t="str">
        <f>IFERROR(__xludf.DUMMYFUNCTION("""COMPUTED_VALUE"""),"AyushC375")</f>
        <v>AyushC375</v>
      </c>
      <c r="C10207" s="8">
        <f>IFERROR(__xludf.DUMMYFUNCTION("""COMPUTED_VALUE"""),1.0)</f>
        <v>1</v>
      </c>
      <c r="D10207" s="8">
        <f>IFERROR(__xludf.DUMMYFUNCTION("""COMPUTED_VALUE"""),6.0)</f>
        <v>6</v>
      </c>
    </row>
    <row r="10208">
      <c r="A10208" s="9" t="str">
        <f>IFERROR(__xludf.DUMMYFUNCTION("""COMPUTED_VALUE"""),"Batch 375")</f>
        <v>Batch 375</v>
      </c>
      <c r="B10208" s="9" t="str">
        <f>IFERROR(__xludf.DUMMYFUNCTION("""COMPUTED_VALUE"""),"BabulC375")</f>
        <v>BabulC375</v>
      </c>
      <c r="C10208" s="8">
        <f>IFERROR(__xludf.DUMMYFUNCTION("""COMPUTED_VALUE"""),0.0)</f>
        <v>0</v>
      </c>
      <c r="D10208" s="8">
        <f>IFERROR(__xludf.DUMMYFUNCTION("""COMPUTED_VALUE"""),2.0)</f>
        <v>2</v>
      </c>
    </row>
    <row r="10209">
      <c r="A10209" s="9" t="str">
        <f>IFERROR(__xludf.DUMMYFUNCTION("""COMPUTED_VALUE"""),"Batch 375")</f>
        <v>Batch 375</v>
      </c>
      <c r="B10209" s="9" t="str">
        <f>IFERROR(__xludf.DUMMYFUNCTION("""COMPUTED_VALUE"""),"MohdC375")</f>
        <v>MohdC375</v>
      </c>
      <c r="C10209" s="8">
        <f>IFERROR(__xludf.DUMMYFUNCTION("""COMPUTED_VALUE"""),0.0)</f>
        <v>0</v>
      </c>
      <c r="D10209" s="8"/>
    </row>
    <row r="10210">
      <c r="A10210" s="9" t="str">
        <f>IFERROR(__xludf.DUMMYFUNCTION("""COMPUTED_VALUE"""),"Batch 375")</f>
        <v>Batch 375</v>
      </c>
      <c r="B10210" s="9" t="str">
        <f>IFERROR(__xludf.DUMMYFUNCTION("""COMPUTED_VALUE"""),"ShambhaviC375")</f>
        <v>ShambhaviC375</v>
      </c>
      <c r="C10210" s="8">
        <f>IFERROR(__xludf.DUMMYFUNCTION("""COMPUTED_VALUE"""),0.0)</f>
        <v>0</v>
      </c>
      <c r="D10210" s="8"/>
    </row>
    <row r="10211">
      <c r="A10211" s="9" t="str">
        <f>IFERROR(__xludf.DUMMYFUNCTION("""COMPUTED_VALUE"""),"Batch 375")</f>
        <v>Batch 375</v>
      </c>
      <c r="B10211" s="9" t="str">
        <f>IFERROR(__xludf.DUMMYFUNCTION("""COMPUTED_VALUE"""),"AbhishekC375")</f>
        <v>AbhishekC375</v>
      </c>
      <c r="C10211" s="8">
        <f>IFERROR(__xludf.DUMMYFUNCTION("""COMPUTED_VALUE"""),2.0)</f>
        <v>2</v>
      </c>
      <c r="D10211" s="8">
        <f>IFERROR(__xludf.DUMMYFUNCTION("""COMPUTED_VALUE"""),2.0)</f>
        <v>2</v>
      </c>
    </row>
    <row r="10212">
      <c r="A10212" s="9" t="str">
        <f>IFERROR(__xludf.DUMMYFUNCTION("""COMPUTED_VALUE"""),"Batch 375")</f>
        <v>Batch 375</v>
      </c>
      <c r="B10212" s="9" t="str">
        <f>IFERROR(__xludf.DUMMYFUNCTION("""COMPUTED_VALUE"""),"ABHAYC375")</f>
        <v>ABHAYC375</v>
      </c>
      <c r="C10212" s="8">
        <f>IFERROR(__xludf.DUMMYFUNCTION("""COMPUTED_VALUE"""),1.0)</f>
        <v>1</v>
      </c>
      <c r="D10212" s="8">
        <f>IFERROR(__xludf.DUMMYFUNCTION("""COMPUTED_VALUE"""),2.0)</f>
        <v>2</v>
      </c>
    </row>
    <row r="10213">
      <c r="A10213" s="9" t="str">
        <f>IFERROR(__xludf.DUMMYFUNCTION("""COMPUTED_VALUE"""),"Batch 375")</f>
        <v>Batch 375</v>
      </c>
      <c r="B10213" s="9" t="str">
        <f>IFERROR(__xludf.DUMMYFUNCTION("""COMPUTED_VALUE"""),"DhanushC375")</f>
        <v>DhanushC375</v>
      </c>
      <c r="C10213" s="8">
        <f>IFERROR(__xludf.DUMMYFUNCTION("""COMPUTED_VALUE"""),0.0)</f>
        <v>0</v>
      </c>
      <c r="D10213" s="8"/>
    </row>
    <row r="10214">
      <c r="A10214" s="9" t="str">
        <f>IFERROR(__xludf.DUMMYFUNCTION("""COMPUTED_VALUE"""),"Batch 375")</f>
        <v>Batch 375</v>
      </c>
      <c r="B10214" s="9" t="str">
        <f>IFERROR(__xludf.DUMMYFUNCTION("""COMPUTED_VALUE"""),"NiveditaC375")</f>
        <v>NiveditaC375</v>
      </c>
      <c r="C10214" s="8">
        <f>IFERROR(__xludf.DUMMYFUNCTION("""COMPUTED_VALUE"""),2.0)</f>
        <v>2</v>
      </c>
      <c r="D10214" s="8"/>
    </row>
    <row r="10215">
      <c r="A10215" s="9" t="str">
        <f>IFERROR(__xludf.DUMMYFUNCTION("""COMPUTED_VALUE"""),"Batch 375")</f>
        <v>Batch 375</v>
      </c>
      <c r="B10215" s="9" t="str">
        <f>IFERROR(__xludf.DUMMYFUNCTION("""COMPUTED_VALUE"""),"MahimaC375")</f>
        <v>MahimaC375</v>
      </c>
      <c r="C10215" s="8">
        <f>IFERROR(__xludf.DUMMYFUNCTION("""COMPUTED_VALUE"""),0.0)</f>
        <v>0</v>
      </c>
      <c r="D10215" s="8"/>
    </row>
    <row r="10216">
      <c r="A10216" s="9" t="str">
        <f>IFERROR(__xludf.DUMMYFUNCTION("""COMPUTED_VALUE"""),"Batch 375")</f>
        <v>Batch 375</v>
      </c>
      <c r="B10216" s="9" t="str">
        <f>IFERROR(__xludf.DUMMYFUNCTION("""COMPUTED_VALUE"""),"SujeetC375")</f>
        <v>SujeetC375</v>
      </c>
      <c r="C10216" s="8">
        <f>IFERROR(__xludf.DUMMYFUNCTION("""COMPUTED_VALUE"""),0.0)</f>
        <v>0</v>
      </c>
      <c r="D10216" s="8"/>
    </row>
    <row r="10217">
      <c r="A10217" s="9" t="str">
        <f>IFERROR(__xludf.DUMMYFUNCTION("""COMPUTED_VALUE"""),"Batch 375")</f>
        <v>Batch 375</v>
      </c>
      <c r="B10217" s="9" t="str">
        <f>IFERROR(__xludf.DUMMYFUNCTION("""COMPUTED_VALUE"""),"AratiC375")</f>
        <v>AratiC375</v>
      </c>
      <c r="C10217" s="8">
        <f>IFERROR(__xludf.DUMMYFUNCTION("""COMPUTED_VALUE"""),0.0)</f>
        <v>0</v>
      </c>
      <c r="D10217" s="8"/>
    </row>
    <row r="10218">
      <c r="A10218" s="9" t="str">
        <f>IFERROR(__xludf.DUMMYFUNCTION("""COMPUTED_VALUE"""),"Batch 375")</f>
        <v>Batch 375</v>
      </c>
      <c r="B10218" s="9" t="str">
        <f>IFERROR(__xludf.DUMMYFUNCTION("""COMPUTED_VALUE"""),"YashvardhanC375")</f>
        <v>YashvardhanC375</v>
      </c>
      <c r="C10218" s="8">
        <f>IFERROR(__xludf.DUMMYFUNCTION("""COMPUTED_VALUE"""),1.0)</f>
        <v>1</v>
      </c>
      <c r="D10218" s="8"/>
    </row>
    <row r="10219">
      <c r="A10219" s="9" t="str">
        <f>IFERROR(__xludf.DUMMYFUNCTION("""COMPUTED_VALUE"""),"Batch 375")</f>
        <v>Batch 375</v>
      </c>
      <c r="B10219" s="9" t="str">
        <f>IFERROR(__xludf.DUMMYFUNCTION("""COMPUTED_VALUE"""),"AdityaC375")</f>
        <v>AdityaC375</v>
      </c>
      <c r="C10219" s="8">
        <f>IFERROR(__xludf.DUMMYFUNCTION("""COMPUTED_VALUE"""),0.0)</f>
        <v>0</v>
      </c>
      <c r="D10219" s="8"/>
    </row>
    <row r="10220">
      <c r="A10220" s="9" t="str">
        <f>IFERROR(__xludf.DUMMYFUNCTION("""COMPUTED_VALUE"""),"Batch 375")</f>
        <v>Batch 375</v>
      </c>
      <c r="B10220" s="9" t="str">
        <f>IFERROR(__xludf.DUMMYFUNCTION("""COMPUTED_VALUE"""),"AatifC375")</f>
        <v>AatifC375</v>
      </c>
      <c r="C10220" s="8">
        <f>IFERROR(__xludf.DUMMYFUNCTION("""COMPUTED_VALUE"""),0.0)</f>
        <v>0</v>
      </c>
      <c r="D10220" s="8"/>
    </row>
    <row r="10221">
      <c r="A10221" s="9" t="str">
        <f>IFERROR(__xludf.DUMMYFUNCTION("""COMPUTED_VALUE"""),"Batch 375")</f>
        <v>Batch 375</v>
      </c>
      <c r="B10221" s="9" t="str">
        <f>IFERROR(__xludf.DUMMYFUNCTION("""COMPUTED_VALUE"""),"ChetnaC375")</f>
        <v>ChetnaC375</v>
      </c>
      <c r="C10221" s="8">
        <f>IFERROR(__xludf.DUMMYFUNCTION("""COMPUTED_VALUE"""),0.0)</f>
        <v>0</v>
      </c>
      <c r="D10221" s="8"/>
    </row>
    <row r="10222">
      <c r="A10222" s="9" t="str">
        <f>IFERROR(__xludf.DUMMYFUNCTION("""COMPUTED_VALUE"""),"Batch 375")</f>
        <v>Batch 375</v>
      </c>
      <c r="B10222" s="9" t="str">
        <f>IFERROR(__xludf.DUMMYFUNCTION("""COMPUTED_VALUE"""),"NagireddygariC375")</f>
        <v>NagireddygariC375</v>
      </c>
      <c r="C10222" s="8">
        <f>IFERROR(__xludf.DUMMYFUNCTION("""COMPUTED_VALUE"""),0.0)</f>
        <v>0</v>
      </c>
      <c r="D10222" s="8"/>
    </row>
    <row r="10223">
      <c r="A10223" s="9" t="str">
        <f>IFERROR(__xludf.DUMMYFUNCTION("""COMPUTED_VALUE"""),"Batch 375")</f>
        <v>Batch 375</v>
      </c>
      <c r="B10223" s="9" t="str">
        <f>IFERROR(__xludf.DUMMYFUNCTION("""COMPUTED_VALUE"""),"ABHAYC375")</f>
        <v>ABHAYC375</v>
      </c>
      <c r="C10223" s="8">
        <f>IFERROR(__xludf.DUMMYFUNCTION("""COMPUTED_VALUE"""),0.0)</f>
        <v>0</v>
      </c>
      <c r="D10223" s="8"/>
    </row>
    <row r="10224">
      <c r="A10224" s="9" t="str">
        <f>IFERROR(__xludf.DUMMYFUNCTION("""COMPUTED_VALUE"""),"Batch 375")</f>
        <v>Batch 375</v>
      </c>
      <c r="B10224" s="9" t="str">
        <f>IFERROR(__xludf.DUMMYFUNCTION("""COMPUTED_VALUE"""),"DhanaC375")</f>
        <v>DhanaC375</v>
      </c>
      <c r="C10224" s="8">
        <f>IFERROR(__xludf.DUMMYFUNCTION("""COMPUTED_VALUE"""),0.0)</f>
        <v>0</v>
      </c>
      <c r="D10224" s="8"/>
    </row>
    <row r="10225">
      <c r="A10225" s="9" t="str">
        <f>IFERROR(__xludf.DUMMYFUNCTION("""COMPUTED_VALUE"""),"Batch 375")</f>
        <v>Batch 375</v>
      </c>
      <c r="B10225" s="9" t="str">
        <f>IFERROR(__xludf.DUMMYFUNCTION("""COMPUTED_VALUE"""),"SakshiC375")</f>
        <v>SakshiC375</v>
      </c>
      <c r="C10225" s="8">
        <f>IFERROR(__xludf.DUMMYFUNCTION("""COMPUTED_VALUE"""),0.0)</f>
        <v>0</v>
      </c>
      <c r="D10225" s="8"/>
    </row>
    <row r="10226">
      <c r="A10226" s="9" t="str">
        <f>IFERROR(__xludf.DUMMYFUNCTION("""COMPUTED_VALUE"""),"Batch 375")</f>
        <v>Batch 375</v>
      </c>
      <c r="B10226" s="9" t="str">
        <f>IFERROR(__xludf.DUMMYFUNCTION("""COMPUTED_VALUE"""),"DharaniC375")</f>
        <v>DharaniC375</v>
      </c>
      <c r="C10226" s="8">
        <f>IFERROR(__xludf.DUMMYFUNCTION("""COMPUTED_VALUE"""),0.0)</f>
        <v>0</v>
      </c>
      <c r="D10226" s="8"/>
    </row>
    <row r="10227">
      <c r="A10227" s="9" t="str">
        <f>IFERROR(__xludf.DUMMYFUNCTION("""COMPUTED_VALUE"""),"Batch 375")</f>
        <v>Batch 375</v>
      </c>
      <c r="B10227" s="9" t="str">
        <f>IFERROR(__xludf.DUMMYFUNCTION("""COMPUTED_VALUE"""),"VipinC375")</f>
        <v>VipinC375</v>
      </c>
      <c r="C10227" s="8">
        <f>IFERROR(__xludf.DUMMYFUNCTION("""COMPUTED_VALUE"""),0.0)</f>
        <v>0</v>
      </c>
      <c r="D10227" s="8"/>
    </row>
    <row r="10228">
      <c r="A10228" s="9" t="str">
        <f>IFERROR(__xludf.DUMMYFUNCTION("""COMPUTED_VALUE"""),"Batch 375")</f>
        <v>Batch 375</v>
      </c>
      <c r="B10228" s="9" t="str">
        <f>IFERROR(__xludf.DUMMYFUNCTION("""COMPUTED_VALUE"""),"SnehalC375")</f>
        <v>SnehalC375</v>
      </c>
      <c r="C10228" s="8">
        <f>IFERROR(__xludf.DUMMYFUNCTION("""COMPUTED_VALUE"""),0.0)</f>
        <v>0</v>
      </c>
      <c r="D10228" s="8"/>
    </row>
    <row r="10229">
      <c r="A10229" s="9" t="str">
        <f>IFERROR(__xludf.DUMMYFUNCTION("""COMPUTED_VALUE"""),"Batch 375")</f>
        <v>Batch 375</v>
      </c>
      <c r="B10229" s="9" t="str">
        <f>IFERROR(__xludf.DUMMYFUNCTION("""COMPUTED_VALUE"""),"AdityaSC375")</f>
        <v>AdityaSC375</v>
      </c>
      <c r="C10229" s="8">
        <f>IFERROR(__xludf.DUMMYFUNCTION("""COMPUTED_VALUE"""),0.0)</f>
        <v>0</v>
      </c>
      <c r="D10229" s="8"/>
    </row>
    <row r="10230">
      <c r="A10230" s="9" t="str">
        <f>IFERROR(__xludf.DUMMYFUNCTION("""COMPUTED_VALUE"""),"Batch 375")</f>
        <v>Batch 375</v>
      </c>
      <c r="B10230" s="9" t="str">
        <f>IFERROR(__xludf.DUMMYFUNCTION("""COMPUTED_VALUE"""),"SnigdhaC375")</f>
        <v>SnigdhaC375</v>
      </c>
      <c r="C10230" s="8">
        <f>IFERROR(__xludf.DUMMYFUNCTION("""COMPUTED_VALUE"""),0.0)</f>
        <v>0</v>
      </c>
      <c r="D10230" s="8"/>
    </row>
    <row r="10231">
      <c r="A10231" s="9" t="str">
        <f>IFERROR(__xludf.DUMMYFUNCTION("""COMPUTED_VALUE"""),"Batch 375")</f>
        <v>Batch 375</v>
      </c>
      <c r="B10231" s="9" t="str">
        <f>IFERROR(__xludf.DUMMYFUNCTION("""COMPUTED_VALUE"""),"VaradC375")</f>
        <v>VaradC375</v>
      </c>
      <c r="C10231" s="8">
        <f>IFERROR(__xludf.DUMMYFUNCTION("""COMPUTED_VALUE"""),0.0)</f>
        <v>0</v>
      </c>
      <c r="D10231" s="8"/>
    </row>
    <row r="10232">
      <c r="A10232" s="9" t="str">
        <f>IFERROR(__xludf.DUMMYFUNCTION("""COMPUTED_VALUE"""),"Batch 375")</f>
        <v>Batch 375</v>
      </c>
      <c r="B10232" s="9" t="str">
        <f>IFERROR(__xludf.DUMMYFUNCTION("""COMPUTED_VALUE"""),"KrishivC375")</f>
        <v>KrishivC375</v>
      </c>
      <c r="C10232" s="8">
        <f>IFERROR(__xludf.DUMMYFUNCTION("""COMPUTED_VALUE"""),0.0)</f>
        <v>0</v>
      </c>
      <c r="D10232" s="8"/>
    </row>
    <row r="10233">
      <c r="A10233" s="9" t="str">
        <f>IFERROR(__xludf.DUMMYFUNCTION("""COMPUTED_VALUE"""),"Batch 375")</f>
        <v>Batch 375</v>
      </c>
      <c r="B10233" s="9" t="str">
        <f>IFERROR(__xludf.DUMMYFUNCTION("""COMPUTED_VALUE"""),"RhythmC375")</f>
        <v>RhythmC375</v>
      </c>
      <c r="C10233" s="8">
        <f>IFERROR(__xludf.DUMMYFUNCTION("""COMPUTED_VALUE"""),0.0)</f>
        <v>0</v>
      </c>
      <c r="D10233" s="8"/>
    </row>
    <row r="10234">
      <c r="A10234" s="9" t="str">
        <f>IFERROR(__xludf.DUMMYFUNCTION("""COMPUTED_VALUE"""),"Batch 375")</f>
        <v>Batch 375</v>
      </c>
      <c r="B10234" s="9" t="str">
        <f>IFERROR(__xludf.DUMMYFUNCTION("""COMPUTED_VALUE"""),"AbhinavC375")</f>
        <v>AbhinavC375</v>
      </c>
      <c r="C10234" s="8">
        <f>IFERROR(__xludf.DUMMYFUNCTION("""COMPUTED_VALUE"""),0.0)</f>
        <v>0</v>
      </c>
      <c r="D10234" s="8"/>
    </row>
    <row r="10235">
      <c r="A10235" s="9" t="str">
        <f>IFERROR(__xludf.DUMMYFUNCTION("""COMPUTED_VALUE"""),"Batch 375")</f>
        <v>Batch 375</v>
      </c>
      <c r="B10235" s="9" t="str">
        <f>IFERROR(__xludf.DUMMYFUNCTION("""COMPUTED_VALUE"""),"AnushkaC375")</f>
        <v>AnushkaC375</v>
      </c>
      <c r="C10235" s="8">
        <f>IFERROR(__xludf.DUMMYFUNCTION("""COMPUTED_VALUE"""),0.0)</f>
        <v>0</v>
      </c>
      <c r="D10235" s="8"/>
    </row>
    <row r="10236">
      <c r="A10236" s="9" t="str">
        <f>IFERROR(__xludf.DUMMYFUNCTION("""COMPUTED_VALUE"""),"Batch 375")</f>
        <v>Batch 375</v>
      </c>
      <c r="B10236" s="9" t="str">
        <f>IFERROR(__xludf.DUMMYFUNCTION("""COMPUTED_VALUE"""),"VedikaC375")</f>
        <v>VedikaC375</v>
      </c>
      <c r="C10236" s="8">
        <f>IFERROR(__xludf.DUMMYFUNCTION("""COMPUTED_VALUE"""),0.0)</f>
        <v>0</v>
      </c>
      <c r="D10236" s="8"/>
    </row>
    <row r="10237">
      <c r="A10237" s="9" t="str">
        <f>IFERROR(__xludf.DUMMYFUNCTION("""COMPUTED_VALUE"""),"Batch 375")</f>
        <v>Batch 375</v>
      </c>
      <c r="B10237" s="9" t="str">
        <f>IFERROR(__xludf.DUMMYFUNCTION("""COMPUTED_VALUE"""),"RishavC375")</f>
        <v>RishavC375</v>
      </c>
      <c r="C10237" s="8">
        <f>IFERROR(__xludf.DUMMYFUNCTION("""COMPUTED_VALUE"""),1.0)</f>
        <v>1</v>
      </c>
      <c r="D10237" s="8"/>
    </row>
    <row r="10238">
      <c r="A10238" s="9" t="str">
        <f>IFERROR(__xludf.DUMMYFUNCTION("""COMPUTED_VALUE"""),"Batch 375")</f>
        <v>Batch 375</v>
      </c>
      <c r="B10238" s="9" t="str">
        <f>IFERROR(__xludf.DUMMYFUNCTION("""COMPUTED_VALUE"""),"RukhaiyaC375")</f>
        <v>RukhaiyaC375</v>
      </c>
      <c r="C10238" s="8">
        <f>IFERROR(__xludf.DUMMYFUNCTION("""COMPUTED_VALUE"""),1.0)</f>
        <v>1</v>
      </c>
      <c r="D10238" s="8"/>
    </row>
    <row r="10239">
      <c r="A10239" s="9" t="str">
        <f>IFERROR(__xludf.DUMMYFUNCTION("""COMPUTED_VALUE"""),"Batch 375")</f>
        <v>Batch 375</v>
      </c>
      <c r="B10239" s="9" t="str">
        <f>IFERROR(__xludf.DUMMYFUNCTION("""COMPUTED_VALUE"""),"DarshitC375")</f>
        <v>DarshitC375</v>
      </c>
      <c r="C10239" s="8">
        <f>IFERROR(__xludf.DUMMYFUNCTION("""COMPUTED_VALUE"""),0.0)</f>
        <v>0</v>
      </c>
      <c r="D10239" s="8"/>
    </row>
    <row r="10240">
      <c r="A10240" s="9" t="str">
        <f>IFERROR(__xludf.DUMMYFUNCTION("""COMPUTED_VALUE"""),"Batch 375")</f>
        <v>Batch 375</v>
      </c>
      <c r="B10240" s="9" t="str">
        <f>IFERROR(__xludf.DUMMYFUNCTION("""COMPUTED_VALUE"""),"vanshC375")</f>
        <v>vanshC375</v>
      </c>
      <c r="C10240" s="8">
        <f>IFERROR(__xludf.DUMMYFUNCTION("""COMPUTED_VALUE"""),3.0)</f>
        <v>3</v>
      </c>
      <c r="D10240" s="8"/>
    </row>
    <row r="10241">
      <c r="A10241" s="9" t="str">
        <f>IFERROR(__xludf.DUMMYFUNCTION("""COMPUTED_VALUE"""),"Batch 375")</f>
        <v>Batch 375</v>
      </c>
      <c r="B10241" s="9" t="str">
        <f>IFERROR(__xludf.DUMMYFUNCTION("""COMPUTED_VALUE"""),"AbhishekC375")</f>
        <v>AbhishekC375</v>
      </c>
      <c r="C10241" s="8">
        <f>IFERROR(__xludf.DUMMYFUNCTION("""COMPUTED_VALUE"""),0.0)</f>
        <v>0</v>
      </c>
      <c r="D10241" s="8"/>
    </row>
    <row r="10242">
      <c r="A10242" s="9" t="str">
        <f>IFERROR(__xludf.DUMMYFUNCTION("""COMPUTED_VALUE"""),"Batch 375")</f>
        <v>Batch 375</v>
      </c>
      <c r="B10242" s="9" t="str">
        <f>IFERROR(__xludf.DUMMYFUNCTION("""COMPUTED_VALUE"""),"ShuchitaC375")</f>
        <v>ShuchitaC375</v>
      </c>
      <c r="C10242" s="8">
        <f>IFERROR(__xludf.DUMMYFUNCTION("""COMPUTED_VALUE"""),2.0)</f>
        <v>2</v>
      </c>
      <c r="D10242" s="8"/>
    </row>
    <row r="10243">
      <c r="A10243" s="9" t="str">
        <f>IFERROR(__xludf.DUMMYFUNCTION("""COMPUTED_VALUE"""),"Batch 375")</f>
        <v>Batch 375</v>
      </c>
      <c r="B10243" s="9" t="str">
        <f>IFERROR(__xludf.DUMMYFUNCTION("""COMPUTED_VALUE"""),"AnupamC375")</f>
        <v>AnupamC375</v>
      </c>
      <c r="C10243" s="8">
        <f>IFERROR(__xludf.DUMMYFUNCTION("""COMPUTED_VALUE"""),0.0)</f>
        <v>0</v>
      </c>
      <c r="D10243" s="8"/>
    </row>
    <row r="10244">
      <c r="A10244" s="9" t="str">
        <f>IFERROR(__xludf.DUMMYFUNCTION("""COMPUTED_VALUE"""),"Batch 375")</f>
        <v>Batch 375</v>
      </c>
      <c r="B10244" s="9" t="str">
        <f>IFERROR(__xludf.DUMMYFUNCTION("""COMPUTED_VALUE"""),"ZoyaC375")</f>
        <v>ZoyaC375</v>
      </c>
      <c r="C10244" s="8">
        <f>IFERROR(__xludf.DUMMYFUNCTION("""COMPUTED_VALUE"""),0.0)</f>
        <v>0</v>
      </c>
      <c r="D10244" s="8"/>
    </row>
    <row r="10245">
      <c r="A10245" s="9" t="str">
        <f>IFERROR(__xludf.DUMMYFUNCTION("""COMPUTED_VALUE"""),"Batch 375")</f>
        <v>Batch 375</v>
      </c>
      <c r="B10245" s="9" t="str">
        <f>IFERROR(__xludf.DUMMYFUNCTION("""COMPUTED_VALUE"""),"VarshaC375")</f>
        <v>VarshaC375</v>
      </c>
      <c r="C10245" s="8">
        <f>IFERROR(__xludf.DUMMYFUNCTION("""COMPUTED_VALUE"""),0.0)</f>
        <v>0</v>
      </c>
      <c r="D10245" s="8"/>
    </row>
    <row r="10246">
      <c r="A10246" s="9" t="str">
        <f>IFERROR(__xludf.DUMMYFUNCTION("""COMPUTED_VALUE"""),"Batch 375")</f>
        <v>Batch 375</v>
      </c>
      <c r="B10246" s="9" t="str">
        <f>IFERROR(__xludf.DUMMYFUNCTION("""COMPUTED_VALUE"""),"GollaC375")</f>
        <v>GollaC375</v>
      </c>
      <c r="C10246" s="8">
        <f>IFERROR(__xludf.DUMMYFUNCTION("""COMPUTED_VALUE"""),2.0)</f>
        <v>2</v>
      </c>
      <c r="D10246" s="8"/>
    </row>
    <row r="10247">
      <c r="A10247" s="9" t="str">
        <f>IFERROR(__xludf.DUMMYFUNCTION("""COMPUTED_VALUE"""),"Batch 375")</f>
        <v>Batch 375</v>
      </c>
      <c r="B10247" s="9" t="str">
        <f>IFERROR(__xludf.DUMMYFUNCTION("""COMPUTED_VALUE"""),"ShipraC375")</f>
        <v>ShipraC375</v>
      </c>
      <c r="C10247" s="8">
        <f>IFERROR(__xludf.DUMMYFUNCTION("""COMPUTED_VALUE"""),0.0)</f>
        <v>0</v>
      </c>
      <c r="D10247" s="8"/>
    </row>
    <row r="10248">
      <c r="A10248" s="9" t="str">
        <f>IFERROR(__xludf.DUMMYFUNCTION("""COMPUTED_VALUE"""),"Batch 375")</f>
        <v>Batch 375</v>
      </c>
      <c r="B10248" s="9" t="str">
        <f>IFERROR(__xludf.DUMMYFUNCTION("""COMPUTED_VALUE"""),"AditiC375")</f>
        <v>AditiC375</v>
      </c>
      <c r="C10248" s="8">
        <f>IFERROR(__xludf.DUMMYFUNCTION("""COMPUTED_VALUE"""),2.0)</f>
        <v>2</v>
      </c>
      <c r="D10248" s="8"/>
    </row>
    <row r="10249">
      <c r="A10249" s="9" t="str">
        <f>IFERROR(__xludf.DUMMYFUNCTION("""COMPUTED_VALUE"""),"Batch 375")</f>
        <v>Batch 375</v>
      </c>
      <c r="B10249" s="9" t="str">
        <f>IFERROR(__xludf.DUMMYFUNCTION("""COMPUTED_VALUE"""),"kC375")</f>
        <v>kC375</v>
      </c>
      <c r="C10249" s="8">
        <f>IFERROR(__xludf.DUMMYFUNCTION("""COMPUTED_VALUE"""),0.0)</f>
        <v>0</v>
      </c>
      <c r="D10249" s="8"/>
    </row>
    <row r="10250">
      <c r="A10250" s="9" t="str">
        <f>IFERROR(__xludf.DUMMYFUNCTION("""COMPUTED_VALUE"""),"Batch 375")</f>
        <v>Batch 375</v>
      </c>
      <c r="B10250" s="9" t="str">
        <f>IFERROR(__xludf.DUMMYFUNCTION("""COMPUTED_VALUE"""),"AayushC375")</f>
        <v>AayushC375</v>
      </c>
      <c r="C10250" s="8">
        <f>IFERROR(__xludf.DUMMYFUNCTION("""COMPUTED_VALUE"""),0.0)</f>
        <v>0</v>
      </c>
      <c r="D10250" s="8"/>
    </row>
    <row r="10251">
      <c r="A10251" s="9" t="str">
        <f>IFERROR(__xludf.DUMMYFUNCTION("""COMPUTED_VALUE"""),"Batch 375")</f>
        <v>Batch 375</v>
      </c>
      <c r="B10251" s="9" t="str">
        <f>IFERROR(__xludf.DUMMYFUNCTION("""COMPUTED_VALUE"""),"AryamanC375")</f>
        <v>AryamanC375</v>
      </c>
      <c r="C10251" s="8">
        <f>IFERROR(__xludf.DUMMYFUNCTION("""COMPUTED_VALUE"""),0.0)</f>
        <v>0</v>
      </c>
      <c r="D10251" s="8"/>
    </row>
    <row r="10252">
      <c r="A10252" s="9" t="str">
        <f>IFERROR(__xludf.DUMMYFUNCTION("""COMPUTED_VALUE"""),"Batch 375")</f>
        <v>Batch 375</v>
      </c>
      <c r="B10252" s="9" t="str">
        <f>IFERROR(__xludf.DUMMYFUNCTION("""COMPUTED_VALUE"""),"AnkitaC375")</f>
        <v>AnkitaC375</v>
      </c>
      <c r="C10252" s="8">
        <f>IFERROR(__xludf.DUMMYFUNCTION("""COMPUTED_VALUE"""),0.0)</f>
        <v>0</v>
      </c>
      <c r="D10252" s="8"/>
    </row>
    <row r="10253">
      <c r="A10253" s="9" t="str">
        <f>IFERROR(__xludf.DUMMYFUNCTION("""COMPUTED_VALUE"""),"Batch 375")</f>
        <v>Batch 375</v>
      </c>
      <c r="B10253" s="9" t="str">
        <f>IFERROR(__xludf.DUMMYFUNCTION("""COMPUTED_VALUE"""),"SumitC375")</f>
        <v>SumitC375</v>
      </c>
      <c r="C10253" s="8">
        <f>IFERROR(__xludf.DUMMYFUNCTION("""COMPUTED_VALUE"""),0.0)</f>
        <v>0</v>
      </c>
      <c r="D10253" s="8"/>
    </row>
    <row r="10254">
      <c r="A10254" s="9" t="str">
        <f>IFERROR(__xludf.DUMMYFUNCTION("""COMPUTED_VALUE"""),"Batch 375")</f>
        <v>Batch 375</v>
      </c>
      <c r="B10254" s="9" t="str">
        <f>IFERROR(__xludf.DUMMYFUNCTION("""COMPUTED_VALUE"""),"RichardC375")</f>
        <v>RichardC375</v>
      </c>
      <c r="C10254" s="8">
        <f>IFERROR(__xludf.DUMMYFUNCTION("""COMPUTED_VALUE"""),0.0)</f>
        <v>0</v>
      </c>
      <c r="D10254" s="8"/>
    </row>
    <row r="10255">
      <c r="A10255" s="9" t="str">
        <f>IFERROR(__xludf.DUMMYFUNCTION("""COMPUTED_VALUE"""),"Batch 375")</f>
        <v>Batch 375</v>
      </c>
      <c r="B10255" s="9" t="str">
        <f>IFERROR(__xludf.DUMMYFUNCTION("""COMPUTED_VALUE"""),"ShubhamC375")</f>
        <v>ShubhamC375</v>
      </c>
      <c r="C10255" s="8">
        <f>IFERROR(__xludf.DUMMYFUNCTION("""COMPUTED_VALUE"""),0.0)</f>
        <v>0</v>
      </c>
      <c r="D10255" s="8"/>
    </row>
    <row r="10256">
      <c r="A10256" s="9" t="str">
        <f>IFERROR(__xludf.DUMMYFUNCTION("""COMPUTED_VALUE"""),"Batch 375")</f>
        <v>Batch 375</v>
      </c>
      <c r="B10256" s="9" t="str">
        <f>IFERROR(__xludf.DUMMYFUNCTION("""COMPUTED_VALUE"""),"JC375")</f>
        <v>JC375</v>
      </c>
      <c r="C10256" s="8">
        <f>IFERROR(__xludf.DUMMYFUNCTION("""COMPUTED_VALUE"""),0.0)</f>
        <v>0</v>
      </c>
      <c r="D10256" s="8"/>
    </row>
    <row r="10257">
      <c r="A10257" s="9" t="str">
        <f>IFERROR(__xludf.DUMMYFUNCTION("""COMPUTED_VALUE"""),"Batch 375")</f>
        <v>Batch 375</v>
      </c>
      <c r="B10257" s="9" t="str">
        <f>IFERROR(__xludf.DUMMYFUNCTION("""COMPUTED_VALUE"""),"ALOKC375")</f>
        <v>ALOKC375</v>
      </c>
      <c r="C10257" s="8">
        <f>IFERROR(__xludf.DUMMYFUNCTION("""COMPUTED_VALUE"""),0.0)</f>
        <v>0</v>
      </c>
      <c r="D10257" s="8"/>
    </row>
    <row r="10258">
      <c r="A10258" s="9" t="str">
        <f>IFERROR(__xludf.DUMMYFUNCTION("""COMPUTED_VALUE"""),"Batch 375")</f>
        <v>Batch 375</v>
      </c>
      <c r="B10258" s="9" t="str">
        <f>IFERROR(__xludf.DUMMYFUNCTION("""COMPUTED_VALUE"""),"KhushiC375")</f>
        <v>KhushiC375</v>
      </c>
      <c r="C10258" s="8">
        <f>IFERROR(__xludf.DUMMYFUNCTION("""COMPUTED_VALUE"""),0.0)</f>
        <v>0</v>
      </c>
      <c r="D10258" s="8"/>
    </row>
    <row r="10259">
      <c r="A10259" s="9" t="str">
        <f>IFERROR(__xludf.DUMMYFUNCTION("""COMPUTED_VALUE"""),"Batch 375")</f>
        <v>Batch 375</v>
      </c>
      <c r="B10259" s="9" t="str">
        <f>IFERROR(__xludf.DUMMYFUNCTION("""COMPUTED_VALUE"""),"JaskeeratC375")</f>
        <v>JaskeeratC375</v>
      </c>
      <c r="C10259" s="8">
        <f>IFERROR(__xludf.DUMMYFUNCTION("""COMPUTED_VALUE"""),0.0)</f>
        <v>0</v>
      </c>
      <c r="D10259" s="8"/>
    </row>
    <row r="10260">
      <c r="A10260" s="9" t="str">
        <f>IFERROR(__xludf.DUMMYFUNCTION("""COMPUTED_VALUE"""),"Batch 375")</f>
        <v>Batch 375</v>
      </c>
      <c r="B10260" s="9" t="str">
        <f>IFERROR(__xludf.DUMMYFUNCTION("""COMPUTED_VALUE"""),"TanushreeC375")</f>
        <v>TanushreeC375</v>
      </c>
      <c r="C10260" s="8">
        <f>IFERROR(__xludf.DUMMYFUNCTION("""COMPUTED_VALUE"""),0.0)</f>
        <v>0</v>
      </c>
      <c r="D10260" s="8"/>
    </row>
    <row r="10261">
      <c r="A10261" s="9"/>
      <c r="B10261" s="9"/>
      <c r="C10261" s="8">
        <f>IFERROR(__xludf.DUMMYFUNCTION("""COMPUTED_VALUE"""),0.0)</f>
        <v>0</v>
      </c>
      <c r="D10261" s="8"/>
    </row>
    <row r="10262">
      <c r="A10262" s="9" t="str">
        <f>IFERROR(__xludf.DUMMYFUNCTION("""COMPUTED_VALUE"""),"Batch 376")</f>
        <v>Batch 376</v>
      </c>
      <c r="B10262" s="9" t="str">
        <f>IFERROR(__xludf.DUMMYFUNCTION("""COMPUTED_VALUE"""),"ArushiC376")</f>
        <v>ArushiC376</v>
      </c>
      <c r="C10262" s="8">
        <f>IFERROR(__xludf.DUMMYFUNCTION("""COMPUTED_VALUE"""),0.0)</f>
        <v>0</v>
      </c>
      <c r="D10262" s="8"/>
    </row>
    <row r="10263">
      <c r="A10263" s="9" t="str">
        <f>IFERROR(__xludf.DUMMYFUNCTION("""COMPUTED_VALUE"""),"Batch 376")</f>
        <v>Batch 376</v>
      </c>
      <c r="B10263" s="9" t="str">
        <f>IFERROR(__xludf.DUMMYFUNCTION("""COMPUTED_VALUE"""),"AdityaC376")</f>
        <v>AdityaC376</v>
      </c>
      <c r="C10263" s="8">
        <f>IFERROR(__xludf.DUMMYFUNCTION("""COMPUTED_VALUE"""),0.0)</f>
        <v>0</v>
      </c>
      <c r="D10263" s="8"/>
    </row>
    <row r="10264">
      <c r="A10264" s="9" t="str">
        <f>IFERROR(__xludf.DUMMYFUNCTION("""COMPUTED_VALUE"""),"Batch 376")</f>
        <v>Batch 376</v>
      </c>
      <c r="B10264" s="9" t="str">
        <f>IFERROR(__xludf.DUMMYFUNCTION("""COMPUTED_VALUE"""),"BUGATA.C376")</f>
        <v>BUGATA.C376</v>
      </c>
      <c r="C10264" s="8">
        <f>IFERROR(__xludf.DUMMYFUNCTION("""COMPUTED_VALUE"""),0.0)</f>
        <v>0</v>
      </c>
      <c r="D10264" s="8"/>
    </row>
    <row r="10265">
      <c r="A10265" s="9" t="str">
        <f>IFERROR(__xludf.DUMMYFUNCTION("""COMPUTED_VALUE"""),"Batch 376")</f>
        <v>Batch 376</v>
      </c>
      <c r="B10265" s="9" t="str">
        <f>IFERROR(__xludf.DUMMYFUNCTION("""COMPUTED_VALUE"""),"KathiravanC376")</f>
        <v>KathiravanC376</v>
      </c>
      <c r="C10265" s="8">
        <f>IFERROR(__xludf.DUMMYFUNCTION("""COMPUTED_VALUE"""),0.0)</f>
        <v>0</v>
      </c>
      <c r="D10265" s="8"/>
    </row>
    <row r="10266">
      <c r="A10266" s="9" t="str">
        <f>IFERROR(__xludf.DUMMYFUNCTION("""COMPUTED_VALUE"""),"Batch 376")</f>
        <v>Batch 376</v>
      </c>
      <c r="B10266" s="9" t="str">
        <f>IFERROR(__xludf.DUMMYFUNCTION("""COMPUTED_VALUE"""),"HayatunnabiC376")</f>
        <v>HayatunnabiC376</v>
      </c>
      <c r="C10266" s="8">
        <f>IFERROR(__xludf.DUMMYFUNCTION("""COMPUTED_VALUE"""),0.0)</f>
        <v>0</v>
      </c>
      <c r="D10266" s="8"/>
    </row>
    <row r="10267">
      <c r="A10267" s="9" t="str">
        <f>IFERROR(__xludf.DUMMYFUNCTION("""COMPUTED_VALUE"""),"Batch 376")</f>
        <v>Batch 376</v>
      </c>
      <c r="B10267" s="9" t="str">
        <f>IFERROR(__xludf.DUMMYFUNCTION("""COMPUTED_VALUE"""),"AadrikaC376")</f>
        <v>AadrikaC376</v>
      </c>
      <c r="C10267" s="8">
        <f>IFERROR(__xludf.DUMMYFUNCTION("""COMPUTED_VALUE"""),0.0)</f>
        <v>0</v>
      </c>
      <c r="D10267" s="8"/>
    </row>
    <row r="10268">
      <c r="A10268" s="9" t="str">
        <f>IFERROR(__xludf.DUMMYFUNCTION("""COMPUTED_VALUE"""),"Batch 376")</f>
        <v>Batch 376</v>
      </c>
      <c r="B10268" s="9" t="str">
        <f>IFERROR(__xludf.DUMMYFUNCTION("""COMPUTED_VALUE"""),"GauravC376")</f>
        <v>GauravC376</v>
      </c>
      <c r="C10268" s="8">
        <f>IFERROR(__xludf.DUMMYFUNCTION("""COMPUTED_VALUE"""),0.0)</f>
        <v>0</v>
      </c>
      <c r="D10268" s="8"/>
    </row>
    <row r="10269">
      <c r="A10269" s="9" t="str">
        <f>IFERROR(__xludf.DUMMYFUNCTION("""COMPUTED_VALUE"""),"Batch 376")</f>
        <v>Batch 376</v>
      </c>
      <c r="B10269" s="9" t="str">
        <f>IFERROR(__xludf.DUMMYFUNCTION("""COMPUTED_VALUE"""),"GagandeepC376")</f>
        <v>GagandeepC376</v>
      </c>
      <c r="C10269" s="8">
        <f>IFERROR(__xludf.DUMMYFUNCTION("""COMPUTED_VALUE"""),5.0)</f>
        <v>5</v>
      </c>
      <c r="D10269" s="8"/>
    </row>
    <row r="10270">
      <c r="A10270" s="9" t="str">
        <f>IFERROR(__xludf.DUMMYFUNCTION("""COMPUTED_VALUE"""),"Batch 376")</f>
        <v>Batch 376</v>
      </c>
      <c r="B10270" s="9" t="str">
        <f>IFERROR(__xludf.DUMMYFUNCTION("""COMPUTED_VALUE"""),"RiteshC376")</f>
        <v>RiteshC376</v>
      </c>
      <c r="C10270" s="8">
        <f>IFERROR(__xludf.DUMMYFUNCTION("""COMPUTED_VALUE"""),0.0)</f>
        <v>0</v>
      </c>
      <c r="D10270" s="8"/>
    </row>
    <row r="10271">
      <c r="A10271" s="9" t="str">
        <f>IFERROR(__xludf.DUMMYFUNCTION("""COMPUTED_VALUE"""),"Batch 376")</f>
        <v>Batch 376</v>
      </c>
      <c r="B10271" s="9" t="str">
        <f>IFERROR(__xludf.DUMMYFUNCTION("""COMPUTED_VALUE"""),"RishiC376")</f>
        <v>RishiC376</v>
      </c>
      <c r="C10271" s="8">
        <f>IFERROR(__xludf.DUMMYFUNCTION("""COMPUTED_VALUE"""),0.0)</f>
        <v>0</v>
      </c>
      <c r="D10271" s="8"/>
    </row>
    <row r="10272">
      <c r="A10272" s="9" t="str">
        <f>IFERROR(__xludf.DUMMYFUNCTION("""COMPUTED_VALUE"""),"Batch 376")</f>
        <v>Batch 376</v>
      </c>
      <c r="B10272" s="9" t="str">
        <f>IFERROR(__xludf.DUMMYFUNCTION("""COMPUTED_VALUE"""),"VaishnaviC376")</f>
        <v>VaishnaviC376</v>
      </c>
      <c r="C10272" s="8">
        <f>IFERROR(__xludf.DUMMYFUNCTION("""COMPUTED_VALUE"""),0.0)</f>
        <v>0</v>
      </c>
      <c r="D10272" s="8"/>
    </row>
    <row r="10273">
      <c r="A10273" s="9" t="str">
        <f>IFERROR(__xludf.DUMMYFUNCTION("""COMPUTED_VALUE"""),"Batch 376")</f>
        <v>Batch 376</v>
      </c>
      <c r="B10273" s="9" t="str">
        <f>IFERROR(__xludf.DUMMYFUNCTION("""COMPUTED_VALUE"""),"BhoomiC376")</f>
        <v>BhoomiC376</v>
      </c>
      <c r="C10273" s="8">
        <f>IFERROR(__xludf.DUMMYFUNCTION("""COMPUTED_VALUE"""),0.0)</f>
        <v>0</v>
      </c>
      <c r="D10273" s="8"/>
    </row>
    <row r="10274">
      <c r="A10274" s="9" t="str">
        <f>IFERROR(__xludf.DUMMYFUNCTION("""COMPUTED_VALUE"""),"Batch 376")</f>
        <v>Batch 376</v>
      </c>
      <c r="B10274" s="9" t="str">
        <f>IFERROR(__xludf.DUMMYFUNCTION("""COMPUTED_VALUE"""),"RushikeshC376")</f>
        <v>RushikeshC376</v>
      </c>
      <c r="C10274" s="8">
        <f>IFERROR(__xludf.DUMMYFUNCTION("""COMPUTED_VALUE"""),0.0)</f>
        <v>0</v>
      </c>
      <c r="D10274" s="8"/>
    </row>
    <row r="10275">
      <c r="A10275" s="9" t="str">
        <f>IFERROR(__xludf.DUMMYFUNCTION("""COMPUTED_VALUE"""),"Batch 376")</f>
        <v>Batch 376</v>
      </c>
      <c r="B10275" s="9" t="str">
        <f>IFERROR(__xludf.DUMMYFUNCTION("""COMPUTED_VALUE"""),"RajatC376")</f>
        <v>RajatC376</v>
      </c>
      <c r="C10275" s="8">
        <f>IFERROR(__xludf.DUMMYFUNCTION("""COMPUTED_VALUE"""),0.0)</f>
        <v>0</v>
      </c>
      <c r="D10275" s="8"/>
    </row>
    <row r="10276">
      <c r="A10276" s="9" t="str">
        <f>IFERROR(__xludf.DUMMYFUNCTION("""COMPUTED_VALUE"""),"Batch 376")</f>
        <v>Batch 376</v>
      </c>
      <c r="B10276" s="9" t="str">
        <f>IFERROR(__xludf.DUMMYFUNCTION("""COMPUTED_VALUE"""),"RaviC376")</f>
        <v>RaviC376</v>
      </c>
      <c r="C10276" s="8">
        <f>IFERROR(__xludf.DUMMYFUNCTION("""COMPUTED_VALUE"""),0.0)</f>
        <v>0</v>
      </c>
      <c r="D10276" s="8"/>
    </row>
    <row r="10277">
      <c r="A10277" s="9" t="str">
        <f>IFERROR(__xludf.DUMMYFUNCTION("""COMPUTED_VALUE"""),"Batch 376")</f>
        <v>Batch 376</v>
      </c>
      <c r="B10277" s="9" t="str">
        <f>IFERROR(__xludf.DUMMYFUNCTION("""COMPUTED_VALUE"""),"AnishaC376")</f>
        <v>AnishaC376</v>
      </c>
      <c r="C10277" s="8">
        <f>IFERROR(__xludf.DUMMYFUNCTION("""COMPUTED_VALUE"""),0.0)</f>
        <v>0</v>
      </c>
      <c r="D10277" s="8"/>
    </row>
    <row r="10278">
      <c r="A10278" s="9" t="str">
        <f>IFERROR(__xludf.DUMMYFUNCTION("""COMPUTED_VALUE"""),"Batch 376")</f>
        <v>Batch 376</v>
      </c>
      <c r="B10278" s="9" t="str">
        <f>IFERROR(__xludf.DUMMYFUNCTION("""COMPUTED_VALUE"""),"DushyantC376")</f>
        <v>DushyantC376</v>
      </c>
      <c r="C10278" s="8">
        <f>IFERROR(__xludf.DUMMYFUNCTION("""COMPUTED_VALUE"""),0.0)</f>
        <v>0</v>
      </c>
      <c r="D10278" s="8"/>
    </row>
    <row r="10279">
      <c r="A10279" s="9" t="str">
        <f>IFERROR(__xludf.DUMMYFUNCTION("""COMPUTED_VALUE"""),"Batch 376")</f>
        <v>Batch 376</v>
      </c>
      <c r="B10279" s="9" t="str">
        <f>IFERROR(__xludf.DUMMYFUNCTION("""COMPUTED_VALUE"""),"SahilC376")</f>
        <v>SahilC376</v>
      </c>
      <c r="C10279" s="8">
        <f>IFERROR(__xludf.DUMMYFUNCTION("""COMPUTED_VALUE"""),0.0)</f>
        <v>0</v>
      </c>
      <c r="D10279" s="8"/>
    </row>
    <row r="10280">
      <c r="A10280" s="9" t="str">
        <f>IFERROR(__xludf.DUMMYFUNCTION("""COMPUTED_VALUE"""),"Batch 376")</f>
        <v>Batch 376</v>
      </c>
      <c r="B10280" s="9" t="str">
        <f>IFERROR(__xludf.DUMMYFUNCTION("""COMPUTED_VALUE"""),"SOHINIC376")</f>
        <v>SOHINIC376</v>
      </c>
      <c r="C10280" s="8">
        <f>IFERROR(__xludf.DUMMYFUNCTION("""COMPUTED_VALUE"""),0.0)</f>
        <v>0</v>
      </c>
      <c r="D10280" s="8"/>
    </row>
    <row r="10281">
      <c r="A10281" s="9" t="str">
        <f>IFERROR(__xludf.DUMMYFUNCTION("""COMPUTED_VALUE"""),"Batch 376")</f>
        <v>Batch 376</v>
      </c>
      <c r="B10281" s="9" t="str">
        <f>IFERROR(__xludf.DUMMYFUNCTION("""COMPUTED_VALUE"""),"kashishC376")</f>
        <v>kashishC376</v>
      </c>
      <c r="C10281" s="8">
        <f>IFERROR(__xludf.DUMMYFUNCTION("""COMPUTED_VALUE"""),1.0)</f>
        <v>1</v>
      </c>
      <c r="D10281" s="8"/>
    </row>
    <row r="10282">
      <c r="A10282" s="9" t="str">
        <f>IFERROR(__xludf.DUMMYFUNCTION("""COMPUTED_VALUE"""),"Batch 376")</f>
        <v>Batch 376</v>
      </c>
      <c r="B10282" s="9" t="str">
        <f>IFERROR(__xludf.DUMMYFUNCTION("""COMPUTED_VALUE"""),"ApoorvaC376")</f>
        <v>ApoorvaC376</v>
      </c>
      <c r="C10282" s="8">
        <f>IFERROR(__xludf.DUMMYFUNCTION("""COMPUTED_VALUE"""),0.0)</f>
        <v>0</v>
      </c>
      <c r="D10282" s="8"/>
    </row>
    <row r="10283">
      <c r="A10283" s="9" t="str">
        <f>IFERROR(__xludf.DUMMYFUNCTION("""COMPUTED_VALUE"""),"Batch 376")</f>
        <v>Batch 376</v>
      </c>
      <c r="B10283" s="9" t="str">
        <f>IFERROR(__xludf.DUMMYFUNCTION("""COMPUTED_VALUE"""),"OmC376")</f>
        <v>OmC376</v>
      </c>
      <c r="C10283" s="8">
        <f>IFERROR(__xludf.DUMMYFUNCTION("""COMPUTED_VALUE"""),0.0)</f>
        <v>0</v>
      </c>
      <c r="D10283" s="8"/>
    </row>
    <row r="10284">
      <c r="A10284" s="9" t="str">
        <f>IFERROR(__xludf.DUMMYFUNCTION("""COMPUTED_VALUE"""),"Batch 376")</f>
        <v>Batch 376</v>
      </c>
      <c r="B10284" s="9" t="str">
        <f>IFERROR(__xludf.DUMMYFUNCTION("""COMPUTED_VALUE"""),"PriyanshuC376")</f>
        <v>PriyanshuC376</v>
      </c>
      <c r="C10284" s="8">
        <f>IFERROR(__xludf.DUMMYFUNCTION("""COMPUTED_VALUE"""),0.0)</f>
        <v>0</v>
      </c>
      <c r="D10284" s="8"/>
    </row>
    <row r="10285">
      <c r="A10285" s="9" t="str">
        <f>IFERROR(__xludf.DUMMYFUNCTION("""COMPUTED_VALUE"""),"Batch 376")</f>
        <v>Batch 376</v>
      </c>
      <c r="B10285" s="9" t="str">
        <f>IFERROR(__xludf.DUMMYFUNCTION("""COMPUTED_VALUE"""),"LubaanahC376")</f>
        <v>LubaanahC376</v>
      </c>
      <c r="C10285" s="8">
        <f>IFERROR(__xludf.DUMMYFUNCTION("""COMPUTED_VALUE"""),0.0)</f>
        <v>0</v>
      </c>
      <c r="D10285" s="8"/>
    </row>
    <row r="10286">
      <c r="A10286" s="9" t="str">
        <f>IFERROR(__xludf.DUMMYFUNCTION("""COMPUTED_VALUE"""),"Batch 376")</f>
        <v>Batch 376</v>
      </c>
      <c r="B10286" s="9" t="str">
        <f>IFERROR(__xludf.DUMMYFUNCTION("""COMPUTED_VALUE"""),"SahityaC376")</f>
        <v>SahityaC376</v>
      </c>
      <c r="C10286" s="8">
        <f>IFERROR(__xludf.DUMMYFUNCTION("""COMPUTED_VALUE"""),0.0)</f>
        <v>0</v>
      </c>
      <c r="D10286" s="8"/>
    </row>
    <row r="10287">
      <c r="A10287" s="9" t="str">
        <f>IFERROR(__xludf.DUMMYFUNCTION("""COMPUTED_VALUE"""),"Batch 376")</f>
        <v>Batch 376</v>
      </c>
      <c r="B10287" s="9" t="str">
        <f>IFERROR(__xludf.DUMMYFUNCTION("""COMPUTED_VALUE"""),"ShaikC376")</f>
        <v>ShaikC376</v>
      </c>
      <c r="C10287" s="8">
        <f>IFERROR(__xludf.DUMMYFUNCTION("""COMPUTED_VALUE"""),25.0)</f>
        <v>25</v>
      </c>
      <c r="D10287" s="8">
        <f>IFERROR(__xludf.DUMMYFUNCTION("""COMPUTED_VALUE"""),29.0)</f>
        <v>29</v>
      </c>
    </row>
    <row r="10288">
      <c r="A10288" s="9" t="str">
        <f>IFERROR(__xludf.DUMMYFUNCTION("""COMPUTED_VALUE"""),"Batch 376")</f>
        <v>Batch 376</v>
      </c>
      <c r="B10288" s="9" t="str">
        <f>IFERROR(__xludf.DUMMYFUNCTION("""COMPUTED_VALUE"""),"AyanC376")</f>
        <v>AyanC376</v>
      </c>
      <c r="C10288" s="8">
        <f>IFERROR(__xludf.DUMMYFUNCTION("""COMPUTED_VALUE"""),0.0)</f>
        <v>0</v>
      </c>
      <c r="D10288" s="8"/>
    </row>
    <row r="10289">
      <c r="A10289" s="9" t="str">
        <f>IFERROR(__xludf.DUMMYFUNCTION("""COMPUTED_VALUE"""),"Batch 376")</f>
        <v>Batch 376</v>
      </c>
      <c r="B10289" s="9" t="str">
        <f>IFERROR(__xludf.DUMMYFUNCTION("""COMPUTED_VALUE"""),"BhavishaC376")</f>
        <v>BhavishaC376</v>
      </c>
      <c r="C10289" s="8">
        <f>IFERROR(__xludf.DUMMYFUNCTION("""COMPUTED_VALUE"""),0.0)</f>
        <v>0</v>
      </c>
      <c r="D10289" s="8"/>
    </row>
    <row r="10290">
      <c r="A10290" s="9" t="str">
        <f>IFERROR(__xludf.DUMMYFUNCTION("""COMPUTED_VALUE"""),"Batch 376")</f>
        <v>Batch 376</v>
      </c>
      <c r="B10290" s="9" t="str">
        <f>IFERROR(__xludf.DUMMYFUNCTION("""COMPUTED_VALUE"""),"SimranC376")</f>
        <v>SimranC376</v>
      </c>
      <c r="C10290" s="8">
        <f>IFERROR(__xludf.DUMMYFUNCTION("""COMPUTED_VALUE"""),54.0)</f>
        <v>54</v>
      </c>
      <c r="D10290" s="8">
        <f>IFERROR(__xludf.DUMMYFUNCTION("""COMPUTED_VALUE"""),46.0)</f>
        <v>46</v>
      </c>
    </row>
    <row r="10291">
      <c r="A10291" s="9" t="str">
        <f>IFERROR(__xludf.DUMMYFUNCTION("""COMPUTED_VALUE"""),"Batch 376")</f>
        <v>Batch 376</v>
      </c>
      <c r="B10291" s="9" t="str">
        <f>IFERROR(__xludf.DUMMYFUNCTION("""COMPUTED_VALUE"""),"SaatvikC376")</f>
        <v>SaatvikC376</v>
      </c>
      <c r="C10291" s="8">
        <f>IFERROR(__xludf.DUMMYFUNCTION("""COMPUTED_VALUE"""),1.0)</f>
        <v>1</v>
      </c>
      <c r="D10291" s="8"/>
    </row>
    <row r="10292">
      <c r="A10292" s="9" t="str">
        <f>IFERROR(__xludf.DUMMYFUNCTION("""COMPUTED_VALUE"""),"Batch 376")</f>
        <v>Batch 376</v>
      </c>
      <c r="B10292" s="9" t="str">
        <f>IFERROR(__xludf.DUMMYFUNCTION("""COMPUTED_VALUE"""),"MaulikC376")</f>
        <v>MaulikC376</v>
      </c>
      <c r="C10292" s="8">
        <f>IFERROR(__xludf.DUMMYFUNCTION("""COMPUTED_VALUE"""),0.0)</f>
        <v>0</v>
      </c>
      <c r="D10292" s="8"/>
    </row>
    <row r="10293">
      <c r="A10293" s="9" t="str">
        <f>IFERROR(__xludf.DUMMYFUNCTION("""COMPUTED_VALUE"""),"Batch 376")</f>
        <v>Batch 376</v>
      </c>
      <c r="B10293" s="9" t="str">
        <f>IFERROR(__xludf.DUMMYFUNCTION("""COMPUTED_VALUE"""),"PrachiC376")</f>
        <v>PrachiC376</v>
      </c>
      <c r="C10293" s="8">
        <f>IFERROR(__xludf.DUMMYFUNCTION("""COMPUTED_VALUE"""),0.0)</f>
        <v>0</v>
      </c>
      <c r="D10293" s="8"/>
    </row>
    <row r="10294">
      <c r="A10294" s="9"/>
      <c r="B10294" s="9"/>
      <c r="C10294" s="8">
        <f>IFERROR(__xludf.DUMMYFUNCTION("""COMPUTED_VALUE"""),0.0)</f>
        <v>0</v>
      </c>
      <c r="D10294" s="8"/>
    </row>
    <row r="10295">
      <c r="A10295" s="9" t="str">
        <f>IFERROR(__xludf.DUMMYFUNCTION("""COMPUTED_VALUE"""),"Batch 377")</f>
        <v>Batch 377</v>
      </c>
      <c r="B10295" s="9" t="str">
        <f>IFERROR(__xludf.DUMMYFUNCTION("""COMPUTED_VALUE"""),"PranjalC377")</f>
        <v>PranjalC377</v>
      </c>
      <c r="C10295" s="8">
        <f>IFERROR(__xludf.DUMMYFUNCTION("""COMPUTED_VALUE"""),0.0)</f>
        <v>0</v>
      </c>
      <c r="D10295" s="8"/>
    </row>
    <row r="10296">
      <c r="A10296" s="9" t="str">
        <f>IFERROR(__xludf.DUMMYFUNCTION("""COMPUTED_VALUE"""),"Batch 377")</f>
        <v>Batch 377</v>
      </c>
      <c r="B10296" s="9" t="str">
        <f>IFERROR(__xludf.DUMMYFUNCTION("""COMPUTED_VALUE"""),"himanshuC377")</f>
        <v>himanshuC377</v>
      </c>
      <c r="C10296" s="8">
        <f>IFERROR(__xludf.DUMMYFUNCTION("""COMPUTED_VALUE"""),0.0)</f>
        <v>0</v>
      </c>
      <c r="D10296" s="8"/>
    </row>
    <row r="10297">
      <c r="A10297" s="9" t="str">
        <f>IFERROR(__xludf.DUMMYFUNCTION("""COMPUTED_VALUE"""),"Batch 377")</f>
        <v>Batch 377</v>
      </c>
      <c r="B10297" s="9" t="str">
        <f>IFERROR(__xludf.DUMMYFUNCTION("""COMPUTED_VALUE"""),"ShobhitC377")</f>
        <v>ShobhitC377</v>
      </c>
      <c r="C10297" s="8">
        <f>IFERROR(__xludf.DUMMYFUNCTION("""COMPUTED_VALUE"""),0.0)</f>
        <v>0</v>
      </c>
      <c r="D10297" s="8"/>
    </row>
    <row r="10298">
      <c r="A10298" s="9" t="str">
        <f>IFERROR(__xludf.DUMMYFUNCTION("""COMPUTED_VALUE"""),"Batch 377")</f>
        <v>Batch 377</v>
      </c>
      <c r="B10298" s="9" t="str">
        <f>IFERROR(__xludf.DUMMYFUNCTION("""COMPUTED_VALUE"""),"KRRISHC377")</f>
        <v>KRRISHC377</v>
      </c>
      <c r="C10298" s="8">
        <f>IFERROR(__xludf.DUMMYFUNCTION("""COMPUTED_VALUE"""),0.0)</f>
        <v>0</v>
      </c>
      <c r="D10298" s="8"/>
    </row>
    <row r="10299">
      <c r="A10299" s="9" t="str">
        <f>IFERROR(__xludf.DUMMYFUNCTION("""COMPUTED_VALUE"""),"Batch 377")</f>
        <v>Batch 377</v>
      </c>
      <c r="B10299" s="9" t="str">
        <f>IFERROR(__xludf.DUMMYFUNCTION("""COMPUTED_VALUE"""),"ManpreetC377")</f>
        <v>ManpreetC377</v>
      </c>
      <c r="C10299" s="8">
        <f>IFERROR(__xludf.DUMMYFUNCTION("""COMPUTED_VALUE"""),0.0)</f>
        <v>0</v>
      </c>
      <c r="D10299" s="8"/>
    </row>
    <row r="10300">
      <c r="A10300" s="9" t="str">
        <f>IFERROR(__xludf.DUMMYFUNCTION("""COMPUTED_VALUE"""),"Batch 377")</f>
        <v>Batch 377</v>
      </c>
      <c r="B10300" s="9" t="str">
        <f>IFERROR(__xludf.DUMMYFUNCTION("""COMPUTED_VALUE"""),"RidhiC377")</f>
        <v>RidhiC377</v>
      </c>
      <c r="C10300" s="8">
        <f>IFERROR(__xludf.DUMMYFUNCTION("""COMPUTED_VALUE"""),0.0)</f>
        <v>0</v>
      </c>
      <c r="D10300" s="8"/>
    </row>
    <row r="10301">
      <c r="A10301" s="9" t="str">
        <f>IFERROR(__xludf.DUMMYFUNCTION("""COMPUTED_VALUE"""),"Batch 377")</f>
        <v>Batch 377</v>
      </c>
      <c r="B10301" s="9" t="str">
        <f>IFERROR(__xludf.DUMMYFUNCTION("""COMPUTED_VALUE"""),"ArniC377")</f>
        <v>ArniC377</v>
      </c>
      <c r="C10301" s="8">
        <f>IFERROR(__xludf.DUMMYFUNCTION("""COMPUTED_VALUE"""),0.0)</f>
        <v>0</v>
      </c>
      <c r="D10301" s="8"/>
    </row>
    <row r="10302">
      <c r="A10302" s="9" t="str">
        <f>IFERROR(__xludf.DUMMYFUNCTION("""COMPUTED_VALUE"""),"Batch 377")</f>
        <v>Batch 377</v>
      </c>
      <c r="B10302" s="9" t="str">
        <f>IFERROR(__xludf.DUMMYFUNCTION("""COMPUTED_VALUE"""),"RiddhiC377")</f>
        <v>RiddhiC377</v>
      </c>
      <c r="C10302" s="8">
        <f>IFERROR(__xludf.DUMMYFUNCTION("""COMPUTED_VALUE"""),0.0)</f>
        <v>0</v>
      </c>
      <c r="D10302" s="8"/>
    </row>
    <row r="10303">
      <c r="A10303" s="9" t="str">
        <f>IFERROR(__xludf.DUMMYFUNCTION("""COMPUTED_VALUE"""),"Batch 377")</f>
        <v>Batch 377</v>
      </c>
      <c r="B10303" s="9" t="str">
        <f>IFERROR(__xludf.DUMMYFUNCTION("""COMPUTED_VALUE"""),"ShreyaC377")</f>
        <v>ShreyaC377</v>
      </c>
      <c r="C10303" s="8">
        <f>IFERROR(__xludf.DUMMYFUNCTION("""COMPUTED_VALUE"""),18.0)</f>
        <v>18</v>
      </c>
      <c r="D10303" s="8">
        <f>IFERROR(__xludf.DUMMYFUNCTION("""COMPUTED_VALUE"""),21.0)</f>
        <v>21</v>
      </c>
    </row>
    <row r="10304">
      <c r="A10304" s="9" t="str">
        <f>IFERROR(__xludf.DUMMYFUNCTION("""COMPUTED_VALUE"""),"Batch 377")</f>
        <v>Batch 377</v>
      </c>
      <c r="B10304" s="9" t="str">
        <f>IFERROR(__xludf.DUMMYFUNCTION("""COMPUTED_VALUE"""),"PrincyC377")</f>
        <v>PrincyC377</v>
      </c>
      <c r="C10304" s="8">
        <f>IFERROR(__xludf.DUMMYFUNCTION("""COMPUTED_VALUE"""),0.0)</f>
        <v>0</v>
      </c>
      <c r="D10304" s="8"/>
    </row>
    <row r="10305">
      <c r="A10305" s="9" t="str">
        <f>IFERROR(__xludf.DUMMYFUNCTION("""COMPUTED_VALUE"""),"Batch 377")</f>
        <v>Batch 377</v>
      </c>
      <c r="B10305" s="9" t="str">
        <f>IFERROR(__xludf.DUMMYFUNCTION("""COMPUTED_VALUE"""),"AaryanC377")</f>
        <v>AaryanC377</v>
      </c>
      <c r="C10305" s="8">
        <f>IFERROR(__xludf.DUMMYFUNCTION("""COMPUTED_VALUE"""),0.0)</f>
        <v>0</v>
      </c>
      <c r="D10305" s="8"/>
    </row>
    <row r="10306">
      <c r="A10306" s="9" t="str">
        <f>IFERROR(__xludf.DUMMYFUNCTION("""COMPUTED_VALUE"""),"Batch 377")</f>
        <v>Batch 377</v>
      </c>
      <c r="B10306" s="9" t="str">
        <f>IFERROR(__xludf.DUMMYFUNCTION("""COMPUTED_VALUE"""),"SANUSHAC377")</f>
        <v>SANUSHAC377</v>
      </c>
      <c r="C10306" s="8">
        <f>IFERROR(__xludf.DUMMYFUNCTION("""COMPUTED_VALUE"""),0.0)</f>
        <v>0</v>
      </c>
      <c r="D10306" s="8"/>
    </row>
    <row r="10307">
      <c r="A10307" s="9" t="str">
        <f>IFERROR(__xludf.DUMMYFUNCTION("""COMPUTED_VALUE"""),"Batch 377")</f>
        <v>Batch 377</v>
      </c>
      <c r="B10307" s="9" t="str">
        <f>IFERROR(__xludf.DUMMYFUNCTION("""COMPUTED_VALUE"""),"PratibhaC377")</f>
        <v>PratibhaC377</v>
      </c>
      <c r="C10307" s="8">
        <f>IFERROR(__xludf.DUMMYFUNCTION("""COMPUTED_VALUE"""),4.0)</f>
        <v>4</v>
      </c>
      <c r="D10307" s="8"/>
    </row>
    <row r="10308">
      <c r="A10308" s="9" t="str">
        <f>IFERROR(__xludf.DUMMYFUNCTION("""COMPUTED_VALUE"""),"Batch 377")</f>
        <v>Batch 377</v>
      </c>
      <c r="B10308" s="9" t="str">
        <f>IFERROR(__xludf.DUMMYFUNCTION("""COMPUTED_VALUE"""),"RiyaC377")</f>
        <v>RiyaC377</v>
      </c>
      <c r="C10308" s="8">
        <f>IFERROR(__xludf.DUMMYFUNCTION("""COMPUTED_VALUE"""),0.0)</f>
        <v>0</v>
      </c>
      <c r="D10308" s="8"/>
    </row>
    <row r="10309">
      <c r="A10309" s="9" t="str">
        <f>IFERROR(__xludf.DUMMYFUNCTION("""COMPUTED_VALUE"""),"Batch 377")</f>
        <v>Batch 377</v>
      </c>
      <c r="B10309" s="9" t="str">
        <f>IFERROR(__xludf.DUMMYFUNCTION("""COMPUTED_VALUE"""),"ShrutiC377")</f>
        <v>ShrutiC377</v>
      </c>
      <c r="C10309" s="8">
        <f>IFERROR(__xludf.DUMMYFUNCTION("""COMPUTED_VALUE"""),0.0)</f>
        <v>0</v>
      </c>
      <c r="D10309" s="8"/>
    </row>
    <row r="10310">
      <c r="A10310" s="9" t="str">
        <f>IFERROR(__xludf.DUMMYFUNCTION("""COMPUTED_VALUE"""),"Batch 377")</f>
        <v>Batch 377</v>
      </c>
      <c r="B10310" s="9" t="str">
        <f>IFERROR(__xludf.DUMMYFUNCTION("""COMPUTED_VALUE"""),"ShivamC377")</f>
        <v>ShivamC377</v>
      </c>
      <c r="C10310" s="8">
        <f>IFERROR(__xludf.DUMMYFUNCTION("""COMPUTED_VALUE"""),0.0)</f>
        <v>0</v>
      </c>
      <c r="D10310" s="8"/>
    </row>
    <row r="10311">
      <c r="A10311" s="9" t="str">
        <f>IFERROR(__xludf.DUMMYFUNCTION("""COMPUTED_VALUE"""),"Batch 377")</f>
        <v>Batch 377</v>
      </c>
      <c r="B10311" s="9" t="str">
        <f>IFERROR(__xludf.DUMMYFUNCTION("""COMPUTED_VALUE"""),"DeepikaC377")</f>
        <v>DeepikaC377</v>
      </c>
      <c r="C10311" s="8">
        <f>IFERROR(__xludf.DUMMYFUNCTION("""COMPUTED_VALUE"""),0.0)</f>
        <v>0</v>
      </c>
      <c r="D10311" s="8"/>
    </row>
    <row r="10312">
      <c r="A10312" s="9" t="str">
        <f>IFERROR(__xludf.DUMMYFUNCTION("""COMPUTED_VALUE"""),"Batch 377")</f>
        <v>Batch 377</v>
      </c>
      <c r="B10312" s="9" t="str">
        <f>IFERROR(__xludf.DUMMYFUNCTION("""COMPUTED_VALUE"""),"JagritiC377")</f>
        <v>JagritiC377</v>
      </c>
      <c r="C10312" s="8">
        <f>IFERROR(__xludf.DUMMYFUNCTION("""COMPUTED_VALUE"""),0.0)</f>
        <v>0</v>
      </c>
      <c r="D10312" s="8"/>
    </row>
    <row r="10313">
      <c r="A10313" s="9" t="str">
        <f>IFERROR(__xludf.DUMMYFUNCTION("""COMPUTED_VALUE"""),"Batch 377")</f>
        <v>Batch 377</v>
      </c>
      <c r="B10313" s="9" t="str">
        <f>IFERROR(__xludf.DUMMYFUNCTION("""COMPUTED_VALUE"""),"SuhaniC377")</f>
        <v>SuhaniC377</v>
      </c>
      <c r="C10313" s="8">
        <f>IFERROR(__xludf.DUMMYFUNCTION("""COMPUTED_VALUE"""),0.0)</f>
        <v>0</v>
      </c>
      <c r="D10313" s="8"/>
    </row>
    <row r="10314">
      <c r="A10314" s="9" t="str">
        <f>IFERROR(__xludf.DUMMYFUNCTION("""COMPUTED_VALUE"""),"Batch 377")</f>
        <v>Batch 377</v>
      </c>
      <c r="B10314" s="9" t="str">
        <f>IFERROR(__xludf.DUMMYFUNCTION("""COMPUTED_VALUE"""),"yashC377")</f>
        <v>yashC377</v>
      </c>
      <c r="C10314" s="8">
        <f>IFERROR(__xludf.DUMMYFUNCTION("""COMPUTED_VALUE"""),0.0)</f>
        <v>0</v>
      </c>
      <c r="D10314" s="8"/>
    </row>
    <row r="10315">
      <c r="A10315" s="9" t="str">
        <f>IFERROR(__xludf.DUMMYFUNCTION("""COMPUTED_VALUE"""),"Batch 377")</f>
        <v>Batch 377</v>
      </c>
      <c r="B10315" s="9" t="str">
        <f>IFERROR(__xludf.DUMMYFUNCTION("""COMPUTED_VALUE"""),"SivanesanC377")</f>
        <v>SivanesanC377</v>
      </c>
      <c r="C10315" s="8">
        <f>IFERROR(__xludf.DUMMYFUNCTION("""COMPUTED_VALUE"""),0.0)</f>
        <v>0</v>
      </c>
      <c r="D10315" s="8"/>
    </row>
    <row r="10316">
      <c r="A10316" s="9" t="str">
        <f>IFERROR(__xludf.DUMMYFUNCTION("""COMPUTED_VALUE"""),"Batch 377")</f>
        <v>Batch 377</v>
      </c>
      <c r="B10316" s="9" t="str">
        <f>IFERROR(__xludf.DUMMYFUNCTION("""COMPUTED_VALUE"""),"AishwaryaC377")</f>
        <v>AishwaryaC377</v>
      </c>
      <c r="C10316" s="8">
        <f>IFERROR(__xludf.DUMMYFUNCTION("""COMPUTED_VALUE"""),0.0)</f>
        <v>0</v>
      </c>
      <c r="D10316" s="8"/>
    </row>
    <row r="10317">
      <c r="A10317" s="9" t="str">
        <f>IFERROR(__xludf.DUMMYFUNCTION("""COMPUTED_VALUE"""),"Batch 377")</f>
        <v>Batch 377</v>
      </c>
      <c r="B10317" s="9" t="str">
        <f>IFERROR(__xludf.DUMMYFUNCTION("""COMPUTED_VALUE"""),"IshaC377")</f>
        <v>IshaC377</v>
      </c>
      <c r="C10317" s="8">
        <f>IFERROR(__xludf.DUMMYFUNCTION("""COMPUTED_VALUE"""),2.0)</f>
        <v>2</v>
      </c>
      <c r="D10317" s="8"/>
    </row>
    <row r="10318">
      <c r="A10318" s="9" t="str">
        <f>IFERROR(__xludf.DUMMYFUNCTION("""COMPUTED_VALUE"""),"Batch 377")</f>
        <v>Batch 377</v>
      </c>
      <c r="B10318" s="9" t="str">
        <f>IFERROR(__xludf.DUMMYFUNCTION("""COMPUTED_VALUE"""),"SanskarC377")</f>
        <v>SanskarC377</v>
      </c>
      <c r="C10318" s="8">
        <f>IFERROR(__xludf.DUMMYFUNCTION("""COMPUTED_VALUE"""),0.0)</f>
        <v>0</v>
      </c>
      <c r="D10318" s="8"/>
    </row>
    <row r="10319">
      <c r="A10319" s="9" t="str">
        <f>IFERROR(__xludf.DUMMYFUNCTION("""COMPUTED_VALUE"""),"Batch 377")</f>
        <v>Batch 377</v>
      </c>
      <c r="B10319" s="9" t="str">
        <f>IFERROR(__xludf.DUMMYFUNCTION("""COMPUTED_VALUE"""),"BindushreeC377")</f>
        <v>BindushreeC377</v>
      </c>
      <c r="C10319" s="8">
        <f>IFERROR(__xludf.DUMMYFUNCTION("""COMPUTED_VALUE"""),0.0)</f>
        <v>0</v>
      </c>
      <c r="D10319" s="8"/>
    </row>
    <row r="10320">
      <c r="A10320" s="9" t="str">
        <f>IFERROR(__xludf.DUMMYFUNCTION("""COMPUTED_VALUE"""),"Batch 377")</f>
        <v>Batch 377</v>
      </c>
      <c r="B10320" s="9" t="str">
        <f>IFERROR(__xludf.DUMMYFUNCTION("""COMPUTED_VALUE"""),"SanketC377")</f>
        <v>SanketC377</v>
      </c>
      <c r="C10320" s="8">
        <f>IFERROR(__xludf.DUMMYFUNCTION("""COMPUTED_VALUE"""),0.0)</f>
        <v>0</v>
      </c>
      <c r="D10320" s="8"/>
    </row>
    <row r="10321">
      <c r="A10321" s="9" t="str">
        <f>IFERROR(__xludf.DUMMYFUNCTION("""COMPUTED_VALUE"""),"Batch 377")</f>
        <v>Batch 377</v>
      </c>
      <c r="B10321" s="9" t="str">
        <f>IFERROR(__xludf.DUMMYFUNCTION("""COMPUTED_VALUE"""),"ArpanC377")</f>
        <v>ArpanC377</v>
      </c>
      <c r="C10321" s="8">
        <f>IFERROR(__xludf.DUMMYFUNCTION("""COMPUTED_VALUE"""),0.0)</f>
        <v>0</v>
      </c>
      <c r="D10321" s="8"/>
    </row>
    <row r="10322">
      <c r="A10322" s="9" t="str">
        <f>IFERROR(__xludf.DUMMYFUNCTION("""COMPUTED_VALUE"""),"Batch 377")</f>
        <v>Batch 377</v>
      </c>
      <c r="B10322" s="9" t="str">
        <f>IFERROR(__xludf.DUMMYFUNCTION("""COMPUTED_VALUE"""),"SubhamC377")</f>
        <v>SubhamC377</v>
      </c>
      <c r="C10322" s="8">
        <f>IFERROR(__xludf.DUMMYFUNCTION("""COMPUTED_VALUE"""),0.0)</f>
        <v>0</v>
      </c>
      <c r="D10322" s="8"/>
    </row>
    <row r="10323">
      <c r="A10323" s="9" t="str">
        <f>IFERROR(__xludf.DUMMYFUNCTION("""COMPUTED_VALUE"""),"Batch 377")</f>
        <v>Batch 377</v>
      </c>
      <c r="B10323" s="9" t="str">
        <f>IFERROR(__xludf.DUMMYFUNCTION("""COMPUTED_VALUE"""),"mehetabC377")</f>
        <v>mehetabC377</v>
      </c>
      <c r="C10323" s="8">
        <f>IFERROR(__xludf.DUMMYFUNCTION("""COMPUTED_VALUE"""),4.0)</f>
        <v>4</v>
      </c>
      <c r="D10323" s="8">
        <f>IFERROR(__xludf.DUMMYFUNCTION("""COMPUTED_VALUE"""),1.0)</f>
        <v>1</v>
      </c>
    </row>
    <row r="10324">
      <c r="A10324" s="9" t="str">
        <f>IFERROR(__xludf.DUMMYFUNCTION("""COMPUTED_VALUE"""),"Batch 377")</f>
        <v>Batch 377</v>
      </c>
      <c r="B10324" s="9" t="str">
        <f>IFERROR(__xludf.DUMMYFUNCTION("""COMPUTED_VALUE"""),"AryanC377")</f>
        <v>AryanC377</v>
      </c>
      <c r="C10324" s="8">
        <f>IFERROR(__xludf.DUMMYFUNCTION("""COMPUTED_VALUE"""),0.0)</f>
        <v>0</v>
      </c>
      <c r="D10324" s="8"/>
    </row>
    <row r="10325">
      <c r="A10325" s="9" t="str">
        <f>IFERROR(__xludf.DUMMYFUNCTION("""COMPUTED_VALUE"""),"Batch 377")</f>
        <v>Batch 377</v>
      </c>
      <c r="B10325" s="9" t="str">
        <f>IFERROR(__xludf.DUMMYFUNCTION("""COMPUTED_VALUE"""),"RashidC377")</f>
        <v>RashidC377</v>
      </c>
      <c r="C10325" s="8">
        <f>IFERROR(__xludf.DUMMYFUNCTION("""COMPUTED_VALUE"""),0.0)</f>
        <v>0</v>
      </c>
      <c r="D10325" s="8"/>
    </row>
    <row r="10326">
      <c r="A10326" s="9" t="str">
        <f>IFERROR(__xludf.DUMMYFUNCTION("""COMPUTED_VALUE"""),"Batch 377")</f>
        <v>Batch 377</v>
      </c>
      <c r="B10326" s="9" t="str">
        <f>IFERROR(__xludf.DUMMYFUNCTION("""COMPUTED_VALUE"""),"UMESHWARANC377")</f>
        <v>UMESHWARANC377</v>
      </c>
      <c r="C10326" s="8">
        <f>IFERROR(__xludf.DUMMYFUNCTION("""COMPUTED_VALUE"""),63.0)</f>
        <v>63</v>
      </c>
      <c r="D10326" s="8">
        <f>IFERROR(__xludf.DUMMYFUNCTION("""COMPUTED_VALUE"""),40.0)</f>
        <v>40</v>
      </c>
    </row>
    <row r="10327">
      <c r="A10327" s="9" t="str">
        <f>IFERROR(__xludf.DUMMYFUNCTION("""COMPUTED_VALUE"""),"Batch 377")</f>
        <v>Batch 377</v>
      </c>
      <c r="B10327" s="9" t="str">
        <f>IFERROR(__xludf.DUMMYFUNCTION("""COMPUTED_VALUE"""),"KasakC377")</f>
        <v>KasakC377</v>
      </c>
      <c r="C10327" s="8">
        <f>IFERROR(__xludf.DUMMYFUNCTION("""COMPUTED_VALUE"""),0.0)</f>
        <v>0</v>
      </c>
      <c r="D10327" s="8"/>
    </row>
    <row r="10328">
      <c r="A10328" s="9" t="str">
        <f>IFERROR(__xludf.DUMMYFUNCTION("""COMPUTED_VALUE"""),"Batch 377")</f>
        <v>Batch 377</v>
      </c>
      <c r="B10328" s="9" t="str">
        <f>IFERROR(__xludf.DUMMYFUNCTION("""COMPUTED_VALUE"""),"DeepaC377")</f>
        <v>DeepaC377</v>
      </c>
      <c r="C10328" s="8">
        <f>IFERROR(__xludf.DUMMYFUNCTION("""COMPUTED_VALUE"""),0.0)</f>
        <v>0</v>
      </c>
      <c r="D10328" s="8"/>
    </row>
    <row r="10329">
      <c r="A10329" s="9"/>
      <c r="B10329" s="9"/>
      <c r="C10329" s="8">
        <f>IFERROR(__xludf.DUMMYFUNCTION("""COMPUTED_VALUE"""),0.0)</f>
        <v>0</v>
      </c>
      <c r="D10329" s="8"/>
    </row>
    <row r="10330">
      <c r="A10330" s="9" t="str">
        <f>IFERROR(__xludf.DUMMYFUNCTION("""COMPUTED_VALUE"""),"Batch 378")</f>
        <v>Batch 378</v>
      </c>
      <c r="B10330" s="9" t="str">
        <f>IFERROR(__xludf.DUMMYFUNCTION("""COMPUTED_VALUE"""),"BhumiC378")</f>
        <v>BhumiC378</v>
      </c>
      <c r="C10330" s="8">
        <f>IFERROR(__xludf.DUMMYFUNCTION("""COMPUTED_VALUE"""),4.0)</f>
        <v>4</v>
      </c>
      <c r="D10330" s="8">
        <f>IFERROR(__xludf.DUMMYFUNCTION("""COMPUTED_VALUE"""),1.0)</f>
        <v>1</v>
      </c>
    </row>
    <row r="10331">
      <c r="A10331" s="9" t="str">
        <f>IFERROR(__xludf.DUMMYFUNCTION("""COMPUTED_VALUE"""),"Batch 378")</f>
        <v>Batch 378</v>
      </c>
      <c r="B10331" s="9" t="str">
        <f>IFERROR(__xludf.DUMMYFUNCTION("""COMPUTED_VALUE"""),"AayushC378")</f>
        <v>AayushC378</v>
      </c>
      <c r="C10331" s="8">
        <f>IFERROR(__xludf.DUMMYFUNCTION("""COMPUTED_VALUE"""),1.0)</f>
        <v>1</v>
      </c>
      <c r="D10331" s="8"/>
    </row>
    <row r="10332">
      <c r="A10332" s="9" t="str">
        <f>IFERROR(__xludf.DUMMYFUNCTION("""COMPUTED_VALUE"""),"Batch 378")</f>
        <v>Batch 378</v>
      </c>
      <c r="B10332" s="9" t="str">
        <f>IFERROR(__xludf.DUMMYFUNCTION("""COMPUTED_VALUE"""),"PrinceC378")</f>
        <v>PrinceC378</v>
      </c>
      <c r="C10332" s="8">
        <f>IFERROR(__xludf.DUMMYFUNCTION("""COMPUTED_VALUE"""),0.0)</f>
        <v>0</v>
      </c>
      <c r="D10332" s="8"/>
    </row>
    <row r="10333">
      <c r="A10333" s="9" t="str">
        <f>IFERROR(__xludf.DUMMYFUNCTION("""COMPUTED_VALUE"""),"Batch 378")</f>
        <v>Batch 378</v>
      </c>
      <c r="B10333" s="9" t="str">
        <f>IFERROR(__xludf.DUMMYFUNCTION("""COMPUTED_VALUE"""),"OmkarC378")</f>
        <v>OmkarC378</v>
      </c>
      <c r="C10333" s="8">
        <f>IFERROR(__xludf.DUMMYFUNCTION("""COMPUTED_VALUE"""),0.0)</f>
        <v>0</v>
      </c>
      <c r="D10333" s="8"/>
    </row>
    <row r="10334">
      <c r="A10334" s="9" t="str">
        <f>IFERROR(__xludf.DUMMYFUNCTION("""COMPUTED_VALUE"""),"Batch 378")</f>
        <v>Batch 378</v>
      </c>
      <c r="B10334" s="9" t="str">
        <f>IFERROR(__xludf.DUMMYFUNCTION("""COMPUTED_VALUE"""),"RameezuddinC378")</f>
        <v>RameezuddinC378</v>
      </c>
      <c r="C10334" s="8">
        <f>IFERROR(__xludf.DUMMYFUNCTION("""COMPUTED_VALUE"""),0.0)</f>
        <v>0</v>
      </c>
      <c r="D10334" s="8"/>
    </row>
    <row r="10335">
      <c r="A10335" s="9" t="str">
        <f>IFERROR(__xludf.DUMMYFUNCTION("""COMPUTED_VALUE"""),"Batch 378")</f>
        <v>Batch 378</v>
      </c>
      <c r="B10335" s="9" t="str">
        <f>IFERROR(__xludf.DUMMYFUNCTION("""COMPUTED_VALUE"""),"DebarjyoC378")</f>
        <v>DebarjyoC378</v>
      </c>
      <c r="C10335" s="8">
        <f>IFERROR(__xludf.DUMMYFUNCTION("""COMPUTED_VALUE"""),0.0)</f>
        <v>0</v>
      </c>
      <c r="D10335" s="8"/>
    </row>
    <row r="10336">
      <c r="A10336" s="9" t="str">
        <f>IFERROR(__xludf.DUMMYFUNCTION("""COMPUTED_VALUE"""),"Batch 378")</f>
        <v>Batch 378</v>
      </c>
      <c r="B10336" s="9" t="str">
        <f>IFERROR(__xludf.DUMMYFUNCTION("""COMPUTED_VALUE"""),"YugC378")</f>
        <v>YugC378</v>
      </c>
      <c r="C10336" s="8">
        <f>IFERROR(__xludf.DUMMYFUNCTION("""COMPUTED_VALUE"""),93.0)</f>
        <v>93</v>
      </c>
      <c r="D10336" s="8">
        <f>IFERROR(__xludf.DUMMYFUNCTION("""COMPUTED_VALUE"""),20.0)</f>
        <v>20</v>
      </c>
    </row>
    <row r="10337">
      <c r="A10337" s="9" t="str">
        <f>IFERROR(__xludf.DUMMYFUNCTION("""COMPUTED_VALUE"""),"Batch 378")</f>
        <v>Batch 378</v>
      </c>
      <c r="B10337" s="9" t="str">
        <f>IFERROR(__xludf.DUMMYFUNCTION("""COMPUTED_VALUE"""),"LavanyaC378")</f>
        <v>LavanyaC378</v>
      </c>
      <c r="C10337" s="8">
        <f>IFERROR(__xludf.DUMMYFUNCTION("""COMPUTED_VALUE"""),4.0)</f>
        <v>4</v>
      </c>
      <c r="D10337" s="8"/>
    </row>
    <row r="10338">
      <c r="A10338" s="9" t="str">
        <f>IFERROR(__xludf.DUMMYFUNCTION("""COMPUTED_VALUE"""),"Batch 378")</f>
        <v>Batch 378</v>
      </c>
      <c r="B10338" s="9" t="str">
        <f>IFERROR(__xludf.DUMMYFUNCTION("""COMPUTED_VALUE"""),"ShreyaGuptaC378")</f>
        <v>ShreyaGuptaC378</v>
      </c>
      <c r="C10338" s="8">
        <f>IFERROR(__xludf.DUMMYFUNCTION("""COMPUTED_VALUE"""),0.0)</f>
        <v>0</v>
      </c>
      <c r="D10338" s="8"/>
    </row>
    <row r="10339">
      <c r="A10339" s="9" t="str">
        <f>IFERROR(__xludf.DUMMYFUNCTION("""COMPUTED_VALUE"""),"Batch 378")</f>
        <v>Batch 378</v>
      </c>
      <c r="B10339" s="9" t="str">
        <f>IFERROR(__xludf.DUMMYFUNCTION("""COMPUTED_VALUE"""),"AbhishekC378")</f>
        <v>AbhishekC378</v>
      </c>
      <c r="C10339" s="8">
        <f>IFERROR(__xludf.DUMMYFUNCTION("""COMPUTED_VALUE"""),0.0)</f>
        <v>0</v>
      </c>
      <c r="D10339" s="8"/>
    </row>
    <row r="10340">
      <c r="A10340" s="9" t="str">
        <f>IFERROR(__xludf.DUMMYFUNCTION("""COMPUTED_VALUE"""),"Batch 378")</f>
        <v>Batch 378</v>
      </c>
      <c r="B10340" s="9" t="str">
        <f>IFERROR(__xludf.DUMMYFUNCTION("""COMPUTED_VALUE"""),"AyushC378")</f>
        <v>AyushC378</v>
      </c>
      <c r="C10340" s="8">
        <f>IFERROR(__xludf.DUMMYFUNCTION("""COMPUTED_VALUE"""),0.0)</f>
        <v>0</v>
      </c>
      <c r="D10340" s="8"/>
    </row>
    <row r="10341">
      <c r="A10341" s="9" t="str">
        <f>IFERROR(__xludf.DUMMYFUNCTION("""COMPUTED_VALUE"""),"Batch 378")</f>
        <v>Batch 378</v>
      </c>
      <c r="B10341" s="9" t="str">
        <f>IFERROR(__xludf.DUMMYFUNCTION("""COMPUTED_VALUE"""),"GauravC378")</f>
        <v>GauravC378</v>
      </c>
      <c r="C10341" s="8">
        <f>IFERROR(__xludf.DUMMYFUNCTION("""COMPUTED_VALUE"""),0.0)</f>
        <v>0</v>
      </c>
      <c r="D10341" s="8"/>
    </row>
    <row r="10342">
      <c r="A10342" s="9" t="str">
        <f>IFERROR(__xludf.DUMMYFUNCTION("""COMPUTED_VALUE"""),"Batch 378")</f>
        <v>Batch 378</v>
      </c>
      <c r="B10342" s="9" t="str">
        <f>IFERROR(__xludf.DUMMYFUNCTION("""COMPUTED_VALUE"""),"HimaC378")</f>
        <v>HimaC378</v>
      </c>
      <c r="C10342" s="8">
        <f>IFERROR(__xludf.DUMMYFUNCTION("""COMPUTED_VALUE"""),0.0)</f>
        <v>0</v>
      </c>
      <c r="D10342" s="8"/>
    </row>
    <row r="10343">
      <c r="A10343" s="9" t="str">
        <f>IFERROR(__xludf.DUMMYFUNCTION("""COMPUTED_VALUE"""),"Batch 378")</f>
        <v>Batch 378</v>
      </c>
      <c r="B10343" s="9" t="str">
        <f>IFERROR(__xludf.DUMMYFUNCTION("""COMPUTED_VALUE"""),"MDC378")</f>
        <v>MDC378</v>
      </c>
      <c r="C10343" s="8">
        <f>IFERROR(__xludf.DUMMYFUNCTION("""COMPUTED_VALUE"""),0.0)</f>
        <v>0</v>
      </c>
      <c r="D10343" s="8"/>
    </row>
    <row r="10344">
      <c r="A10344" s="9" t="str">
        <f>IFERROR(__xludf.DUMMYFUNCTION("""COMPUTED_VALUE"""),"Batch 378")</f>
        <v>Batch 378</v>
      </c>
      <c r="B10344" s="9" t="str">
        <f>IFERROR(__xludf.DUMMYFUNCTION("""COMPUTED_VALUE"""),"SekhC378")</f>
        <v>SekhC378</v>
      </c>
      <c r="C10344" s="8">
        <f>IFERROR(__xludf.DUMMYFUNCTION("""COMPUTED_VALUE"""),7.0)</f>
        <v>7</v>
      </c>
      <c r="D10344" s="8"/>
    </row>
    <row r="10345">
      <c r="A10345" s="9" t="str">
        <f>IFERROR(__xludf.DUMMYFUNCTION("""COMPUTED_VALUE"""),"Batch 378")</f>
        <v>Batch 378</v>
      </c>
      <c r="B10345" s="9" t="str">
        <f>IFERROR(__xludf.DUMMYFUNCTION("""COMPUTED_VALUE"""),"UzairC378")</f>
        <v>UzairC378</v>
      </c>
      <c r="C10345" s="8">
        <f>IFERROR(__xludf.DUMMYFUNCTION("""COMPUTED_VALUE"""),0.0)</f>
        <v>0</v>
      </c>
      <c r="D10345" s="8"/>
    </row>
    <row r="10346">
      <c r="A10346" s="9" t="str">
        <f>IFERROR(__xludf.DUMMYFUNCTION("""COMPUTED_VALUE"""),"Batch 378")</f>
        <v>Batch 378</v>
      </c>
      <c r="B10346" s="9" t="str">
        <f>IFERROR(__xludf.DUMMYFUNCTION("""COMPUTED_VALUE"""),"BiruC378")</f>
        <v>BiruC378</v>
      </c>
      <c r="C10346" s="8">
        <f>IFERROR(__xludf.DUMMYFUNCTION("""COMPUTED_VALUE"""),30.0)</f>
        <v>30</v>
      </c>
      <c r="D10346" s="8">
        <f>IFERROR(__xludf.DUMMYFUNCTION("""COMPUTED_VALUE"""),7.0)</f>
        <v>7</v>
      </c>
    </row>
    <row r="10347">
      <c r="A10347" s="9" t="str">
        <f>IFERROR(__xludf.DUMMYFUNCTION("""COMPUTED_VALUE"""),"Batch 378")</f>
        <v>Batch 378</v>
      </c>
      <c r="B10347" s="9" t="str">
        <f>IFERROR(__xludf.DUMMYFUNCTION("""COMPUTED_VALUE"""),"UtkarshC378")</f>
        <v>UtkarshC378</v>
      </c>
      <c r="C10347" s="8">
        <f>IFERROR(__xludf.DUMMYFUNCTION("""COMPUTED_VALUE"""),0.0)</f>
        <v>0</v>
      </c>
      <c r="D10347" s="8"/>
    </row>
    <row r="10348">
      <c r="A10348" s="9" t="str">
        <f>IFERROR(__xludf.DUMMYFUNCTION("""COMPUTED_VALUE"""),"Batch 378")</f>
        <v>Batch 378</v>
      </c>
      <c r="B10348" s="9" t="str">
        <f>IFERROR(__xludf.DUMMYFUNCTION("""COMPUTED_VALUE"""),"UtkarshRC378")</f>
        <v>UtkarshRC378</v>
      </c>
      <c r="C10348" s="8">
        <f>IFERROR(__xludf.DUMMYFUNCTION("""COMPUTED_VALUE"""),17.0)</f>
        <v>17</v>
      </c>
      <c r="D10348" s="8"/>
    </row>
    <row r="10349">
      <c r="A10349" s="9" t="str">
        <f>IFERROR(__xludf.DUMMYFUNCTION("""COMPUTED_VALUE"""),"Batch 378")</f>
        <v>Batch 378</v>
      </c>
      <c r="B10349" s="9" t="str">
        <f>IFERROR(__xludf.DUMMYFUNCTION("""COMPUTED_VALUE"""),"RimjhimC378")</f>
        <v>RimjhimC378</v>
      </c>
      <c r="C10349" s="8">
        <f>IFERROR(__xludf.DUMMYFUNCTION("""COMPUTED_VALUE"""),0.0)</f>
        <v>0</v>
      </c>
      <c r="D10349" s="8"/>
    </row>
    <row r="10350">
      <c r="A10350" s="9" t="str">
        <f>IFERROR(__xludf.DUMMYFUNCTION("""COMPUTED_VALUE"""),"Batch 378")</f>
        <v>Batch 378</v>
      </c>
      <c r="B10350" s="9" t="str">
        <f>IFERROR(__xludf.DUMMYFUNCTION("""COMPUTED_VALUE"""),"LucyC378")</f>
        <v>LucyC378</v>
      </c>
      <c r="C10350" s="8">
        <f>IFERROR(__xludf.DUMMYFUNCTION("""COMPUTED_VALUE"""),0.0)</f>
        <v>0</v>
      </c>
      <c r="D10350" s="8"/>
    </row>
    <row r="10351">
      <c r="A10351" s="9" t="str">
        <f>IFERROR(__xludf.DUMMYFUNCTION("""COMPUTED_VALUE"""),"Batch 378")</f>
        <v>Batch 378</v>
      </c>
      <c r="B10351" s="9" t="str">
        <f>IFERROR(__xludf.DUMMYFUNCTION("""COMPUTED_VALUE"""),"PrinceC378")</f>
        <v>PrinceC378</v>
      </c>
      <c r="C10351" s="8">
        <f>IFERROR(__xludf.DUMMYFUNCTION("""COMPUTED_VALUE"""),0.0)</f>
        <v>0</v>
      </c>
      <c r="D10351" s="8"/>
    </row>
    <row r="10352">
      <c r="A10352" s="9" t="str">
        <f>IFERROR(__xludf.DUMMYFUNCTION("""COMPUTED_VALUE"""),"Batch 378")</f>
        <v>Batch 378</v>
      </c>
      <c r="B10352" s="9" t="str">
        <f>IFERROR(__xludf.DUMMYFUNCTION("""COMPUTED_VALUE"""),"AvinashC378")</f>
        <v>AvinashC378</v>
      </c>
      <c r="C10352" s="8">
        <f>IFERROR(__xludf.DUMMYFUNCTION("""COMPUTED_VALUE"""),1.0)</f>
        <v>1</v>
      </c>
      <c r="D10352" s="8">
        <f>IFERROR(__xludf.DUMMYFUNCTION("""COMPUTED_VALUE"""),6.0)</f>
        <v>6</v>
      </c>
    </row>
    <row r="10353">
      <c r="A10353" s="9" t="str">
        <f>IFERROR(__xludf.DUMMYFUNCTION("""COMPUTED_VALUE"""),"Batch 378")</f>
        <v>Batch 378</v>
      </c>
      <c r="B10353" s="9" t="str">
        <f>IFERROR(__xludf.DUMMYFUNCTION("""COMPUTED_VALUE"""),"AashiC378")</f>
        <v>AashiC378</v>
      </c>
      <c r="C10353" s="8">
        <f>IFERROR(__xludf.DUMMYFUNCTION("""COMPUTED_VALUE"""),34.0)</f>
        <v>34</v>
      </c>
      <c r="D10353" s="8">
        <f>IFERROR(__xludf.DUMMYFUNCTION("""COMPUTED_VALUE"""),10.0)</f>
        <v>10</v>
      </c>
    </row>
    <row r="10354">
      <c r="A10354" s="9" t="str">
        <f>IFERROR(__xludf.DUMMYFUNCTION("""COMPUTED_VALUE"""),"Batch 378")</f>
        <v>Batch 378</v>
      </c>
      <c r="B10354" s="9" t="str">
        <f>IFERROR(__xludf.DUMMYFUNCTION("""COMPUTED_VALUE"""),"SrinidhiC378")</f>
        <v>SrinidhiC378</v>
      </c>
      <c r="C10354" s="8">
        <f>IFERROR(__xludf.DUMMYFUNCTION("""COMPUTED_VALUE"""),0.0)</f>
        <v>0</v>
      </c>
      <c r="D10354" s="8"/>
    </row>
    <row r="10355">
      <c r="A10355" s="9" t="str">
        <f>IFERROR(__xludf.DUMMYFUNCTION("""COMPUTED_VALUE"""),"Batch 378")</f>
        <v>Batch 378</v>
      </c>
      <c r="B10355" s="9" t="str">
        <f>IFERROR(__xludf.DUMMYFUNCTION("""COMPUTED_VALUE"""),"SafeenaC378")</f>
        <v>SafeenaC378</v>
      </c>
      <c r="C10355" s="8">
        <f>IFERROR(__xludf.DUMMYFUNCTION("""COMPUTED_VALUE"""),0.0)</f>
        <v>0</v>
      </c>
      <c r="D10355" s="8"/>
    </row>
    <row r="10356">
      <c r="A10356" s="9" t="str">
        <f>IFERROR(__xludf.DUMMYFUNCTION("""COMPUTED_VALUE"""),"Batch 378")</f>
        <v>Batch 378</v>
      </c>
      <c r="B10356" s="9" t="str">
        <f>IFERROR(__xludf.DUMMYFUNCTION("""COMPUTED_VALUE"""),"BunnyC378")</f>
        <v>BunnyC378</v>
      </c>
      <c r="C10356" s="8">
        <f>IFERROR(__xludf.DUMMYFUNCTION("""COMPUTED_VALUE"""),0.0)</f>
        <v>0</v>
      </c>
      <c r="D10356" s="8"/>
    </row>
    <row r="10357">
      <c r="A10357" s="9" t="str">
        <f>IFERROR(__xludf.DUMMYFUNCTION("""COMPUTED_VALUE"""),"Batch 378")</f>
        <v>Batch 378</v>
      </c>
      <c r="B10357" s="9" t="str">
        <f>IFERROR(__xludf.DUMMYFUNCTION("""COMPUTED_VALUE"""),"ShivamDC378")</f>
        <v>ShivamDC378</v>
      </c>
      <c r="C10357" s="8">
        <f>IFERROR(__xludf.DUMMYFUNCTION("""COMPUTED_VALUE"""),2.0)</f>
        <v>2</v>
      </c>
      <c r="D10357" s="8"/>
    </row>
    <row r="10358">
      <c r="A10358" s="9" t="str">
        <f>IFERROR(__xludf.DUMMYFUNCTION("""COMPUTED_VALUE"""),"Batch 378")</f>
        <v>Batch 378</v>
      </c>
      <c r="B10358" s="9" t="str">
        <f>IFERROR(__xludf.DUMMYFUNCTION("""COMPUTED_VALUE"""),"PragatiC378")</f>
        <v>PragatiC378</v>
      </c>
      <c r="C10358" s="8">
        <f>IFERROR(__xludf.DUMMYFUNCTION("""COMPUTED_VALUE"""),8.0)</f>
        <v>8</v>
      </c>
      <c r="D10358" s="8">
        <f>IFERROR(__xludf.DUMMYFUNCTION("""COMPUTED_VALUE"""),2.0)</f>
        <v>2</v>
      </c>
    </row>
    <row r="10359">
      <c r="A10359" s="9" t="str">
        <f>IFERROR(__xludf.DUMMYFUNCTION("""COMPUTED_VALUE"""),"Batch 378")</f>
        <v>Batch 378</v>
      </c>
      <c r="B10359" s="9" t="str">
        <f>IFERROR(__xludf.DUMMYFUNCTION("""COMPUTED_VALUE"""),"ShivamC378")</f>
        <v>ShivamC378</v>
      </c>
      <c r="C10359" s="8">
        <f>IFERROR(__xludf.DUMMYFUNCTION("""COMPUTED_VALUE"""),18.0)</f>
        <v>18</v>
      </c>
      <c r="D10359" s="8">
        <f>IFERROR(__xludf.DUMMYFUNCTION("""COMPUTED_VALUE"""),2.0)</f>
        <v>2</v>
      </c>
    </row>
    <row r="10360">
      <c r="A10360" s="9" t="str">
        <f>IFERROR(__xludf.DUMMYFUNCTION("""COMPUTED_VALUE"""),"Batch 378")</f>
        <v>Batch 378</v>
      </c>
      <c r="B10360" s="9" t="str">
        <f>IFERROR(__xludf.DUMMYFUNCTION("""COMPUTED_VALUE"""),"YuvrajC378")</f>
        <v>YuvrajC378</v>
      </c>
      <c r="C10360" s="8">
        <f>IFERROR(__xludf.DUMMYFUNCTION("""COMPUTED_VALUE"""),0.0)</f>
        <v>0</v>
      </c>
      <c r="D10360" s="8"/>
    </row>
    <row r="10361">
      <c r="A10361" s="9" t="str">
        <f>IFERROR(__xludf.DUMMYFUNCTION("""COMPUTED_VALUE"""),"Batch 378")</f>
        <v>Batch 378</v>
      </c>
      <c r="B10361" s="9" t="str">
        <f>IFERROR(__xludf.DUMMYFUNCTION("""COMPUTED_VALUE"""),"GauravC378")</f>
        <v>GauravC378</v>
      </c>
      <c r="C10361" s="8">
        <f>IFERROR(__xludf.DUMMYFUNCTION("""COMPUTED_VALUE"""),0.0)</f>
        <v>0</v>
      </c>
      <c r="D10361" s="8"/>
    </row>
    <row r="10362">
      <c r="A10362" s="9" t="str">
        <f>IFERROR(__xludf.DUMMYFUNCTION("""COMPUTED_VALUE"""),"Batch 378")</f>
        <v>Batch 378</v>
      </c>
      <c r="B10362" s="9" t="str">
        <f>IFERROR(__xludf.DUMMYFUNCTION("""COMPUTED_VALUE"""),"JVSLC378")</f>
        <v>JVSLC378</v>
      </c>
      <c r="C10362" s="8">
        <f>IFERROR(__xludf.DUMMYFUNCTION("""COMPUTED_VALUE"""),0.0)</f>
        <v>0</v>
      </c>
      <c r="D10362" s="8"/>
    </row>
    <row r="10363">
      <c r="A10363" s="9" t="str">
        <f>IFERROR(__xludf.DUMMYFUNCTION("""COMPUTED_VALUE"""),"Batch 378")</f>
        <v>Batch 378</v>
      </c>
      <c r="B10363" s="9" t="str">
        <f>IFERROR(__xludf.DUMMYFUNCTION("""COMPUTED_VALUE"""),"ShrinilC378")</f>
        <v>ShrinilC378</v>
      </c>
      <c r="C10363" s="8">
        <f>IFERROR(__xludf.DUMMYFUNCTION("""COMPUTED_VALUE"""),0.0)</f>
        <v>0</v>
      </c>
      <c r="D10363" s="8"/>
    </row>
    <row r="10364">
      <c r="A10364" s="9" t="str">
        <f>IFERROR(__xludf.DUMMYFUNCTION("""COMPUTED_VALUE"""),"Batch 378")</f>
        <v>Batch 378</v>
      </c>
      <c r="B10364" s="9" t="str">
        <f>IFERROR(__xludf.DUMMYFUNCTION("""COMPUTED_VALUE"""),"ShaswatC378")</f>
        <v>ShaswatC378</v>
      </c>
      <c r="C10364" s="8">
        <f>IFERROR(__xludf.DUMMYFUNCTION("""COMPUTED_VALUE"""),0.0)</f>
        <v>0</v>
      </c>
      <c r="D10364" s="8"/>
    </row>
    <row r="10365">
      <c r="A10365" s="9"/>
      <c r="B10365" s="9"/>
      <c r="C10365" s="8">
        <f>IFERROR(__xludf.DUMMYFUNCTION("""COMPUTED_VALUE"""),0.0)</f>
        <v>0</v>
      </c>
      <c r="D10365" s="8"/>
    </row>
    <row r="10366">
      <c r="A10366" s="9" t="str">
        <f>IFERROR(__xludf.DUMMYFUNCTION("""COMPUTED_VALUE"""),"Batch 379")</f>
        <v>Batch 379</v>
      </c>
      <c r="B10366" s="9" t="str">
        <f>IFERROR(__xludf.DUMMYFUNCTION("""COMPUTED_VALUE"""),"ShlokC379")</f>
        <v>ShlokC379</v>
      </c>
      <c r="C10366" s="8">
        <f>IFERROR(__xludf.DUMMYFUNCTION("""COMPUTED_VALUE"""),2.0)</f>
        <v>2</v>
      </c>
      <c r="D10366" s="8">
        <f>IFERROR(__xludf.DUMMYFUNCTION("""COMPUTED_VALUE"""),1.0)</f>
        <v>1</v>
      </c>
    </row>
    <row r="10367">
      <c r="A10367" s="9" t="str">
        <f>IFERROR(__xludf.DUMMYFUNCTION("""COMPUTED_VALUE"""),"Batch 379")</f>
        <v>Batch 379</v>
      </c>
      <c r="B10367" s="9" t="str">
        <f>IFERROR(__xludf.DUMMYFUNCTION("""COMPUTED_VALUE"""),"AnchalC379")</f>
        <v>AnchalC379</v>
      </c>
      <c r="C10367" s="8">
        <f>IFERROR(__xludf.DUMMYFUNCTION("""COMPUTED_VALUE"""),0.0)</f>
        <v>0</v>
      </c>
      <c r="D10367" s="8"/>
    </row>
    <row r="10368">
      <c r="A10368" s="9" t="str">
        <f>IFERROR(__xludf.DUMMYFUNCTION("""COMPUTED_VALUE"""),"Batch 379")</f>
        <v>Batch 379</v>
      </c>
      <c r="B10368" s="9" t="str">
        <f>IFERROR(__xludf.DUMMYFUNCTION("""COMPUTED_VALUE"""),"priyanshC379")</f>
        <v>priyanshC379</v>
      </c>
      <c r="C10368" s="8">
        <f>IFERROR(__xludf.DUMMYFUNCTION("""COMPUTED_VALUE"""),0.0)</f>
        <v>0</v>
      </c>
      <c r="D10368" s="8"/>
    </row>
    <row r="10369">
      <c r="A10369" s="9" t="str">
        <f>IFERROR(__xludf.DUMMYFUNCTION("""COMPUTED_VALUE"""),"Batch 379")</f>
        <v>Batch 379</v>
      </c>
      <c r="B10369" s="9" t="str">
        <f>IFERROR(__xludf.DUMMYFUNCTION("""COMPUTED_VALUE"""),"TanushreeC379")</f>
        <v>TanushreeC379</v>
      </c>
      <c r="C10369" s="8">
        <f>IFERROR(__xludf.DUMMYFUNCTION("""COMPUTED_VALUE"""),0.0)</f>
        <v>0</v>
      </c>
      <c r="D10369" s="8"/>
    </row>
    <row r="10370">
      <c r="A10370" s="9" t="str">
        <f>IFERROR(__xludf.DUMMYFUNCTION("""COMPUTED_VALUE"""),"Batch 379")</f>
        <v>Batch 379</v>
      </c>
      <c r="B10370" s="9" t="str">
        <f>IFERROR(__xludf.DUMMYFUNCTION("""COMPUTED_VALUE"""),"AnushkaC379")</f>
        <v>AnushkaC379</v>
      </c>
      <c r="C10370" s="8">
        <f>IFERROR(__xludf.DUMMYFUNCTION("""COMPUTED_VALUE"""),0.0)</f>
        <v>0</v>
      </c>
      <c r="D10370" s="8"/>
    </row>
    <row r="10371">
      <c r="A10371" s="9" t="str">
        <f>IFERROR(__xludf.DUMMYFUNCTION("""COMPUTED_VALUE"""),"Batch 379")</f>
        <v>Batch 379</v>
      </c>
      <c r="B10371" s="9" t="str">
        <f>IFERROR(__xludf.DUMMYFUNCTION("""COMPUTED_VALUE"""),"AkankashaC379")</f>
        <v>AkankashaC379</v>
      </c>
      <c r="C10371" s="8">
        <f>IFERROR(__xludf.DUMMYFUNCTION("""COMPUTED_VALUE"""),1.0)</f>
        <v>1</v>
      </c>
      <c r="D10371" s="8"/>
    </row>
    <row r="10372">
      <c r="A10372" s="9" t="str">
        <f>IFERROR(__xludf.DUMMYFUNCTION("""COMPUTED_VALUE"""),"Batch 379")</f>
        <v>Batch 379</v>
      </c>
      <c r="B10372" s="9" t="str">
        <f>IFERROR(__xludf.DUMMYFUNCTION("""COMPUTED_VALUE"""),"NitinTC379")</f>
        <v>NitinTC379</v>
      </c>
      <c r="C10372" s="8">
        <f>IFERROR(__xludf.DUMMYFUNCTION("""COMPUTED_VALUE"""),4.0)</f>
        <v>4</v>
      </c>
      <c r="D10372" s="8">
        <f>IFERROR(__xludf.DUMMYFUNCTION("""COMPUTED_VALUE"""),1.0)</f>
        <v>1</v>
      </c>
    </row>
    <row r="10373">
      <c r="A10373" s="9" t="str">
        <f>IFERROR(__xludf.DUMMYFUNCTION("""COMPUTED_VALUE"""),"Batch 379")</f>
        <v>Batch 379</v>
      </c>
      <c r="B10373" s="9" t="str">
        <f>IFERROR(__xludf.DUMMYFUNCTION("""COMPUTED_VALUE"""),"PhagusnigdhaC379")</f>
        <v>PhagusnigdhaC379</v>
      </c>
      <c r="C10373" s="8">
        <f>IFERROR(__xludf.DUMMYFUNCTION("""COMPUTED_VALUE"""),0.0)</f>
        <v>0</v>
      </c>
      <c r="D10373" s="8"/>
    </row>
    <row r="10374">
      <c r="A10374" s="9" t="str">
        <f>IFERROR(__xludf.DUMMYFUNCTION("""COMPUTED_VALUE"""),"Batch 379")</f>
        <v>Batch 379</v>
      </c>
      <c r="B10374" s="9" t="str">
        <f>IFERROR(__xludf.DUMMYFUNCTION("""COMPUTED_VALUE"""),"AkankshaC379")</f>
        <v>AkankshaC379</v>
      </c>
      <c r="C10374" s="8">
        <f>IFERROR(__xludf.DUMMYFUNCTION("""COMPUTED_VALUE"""),0.0)</f>
        <v>0</v>
      </c>
      <c r="D10374" s="8"/>
    </row>
    <row r="10375">
      <c r="A10375" s="9" t="str">
        <f>IFERROR(__xludf.DUMMYFUNCTION("""COMPUTED_VALUE"""),"Batch 379")</f>
        <v>Batch 379</v>
      </c>
      <c r="B10375" s="9" t="str">
        <f>IFERROR(__xludf.DUMMYFUNCTION("""COMPUTED_VALUE"""),"TanmayC379")</f>
        <v>TanmayC379</v>
      </c>
      <c r="C10375" s="8">
        <f>IFERROR(__xludf.DUMMYFUNCTION("""COMPUTED_VALUE"""),0.0)</f>
        <v>0</v>
      </c>
      <c r="D10375" s="8"/>
    </row>
    <row r="10376">
      <c r="A10376" s="9" t="str">
        <f>IFERROR(__xludf.DUMMYFUNCTION("""COMPUTED_VALUE"""),"Batch 379")</f>
        <v>Batch 379</v>
      </c>
      <c r="B10376" s="9" t="str">
        <f>IFERROR(__xludf.DUMMYFUNCTION("""COMPUTED_VALUE"""),"RakeshC379")</f>
        <v>RakeshC379</v>
      </c>
      <c r="C10376" s="8">
        <f>IFERROR(__xludf.DUMMYFUNCTION("""COMPUTED_VALUE"""),67.0)</f>
        <v>67</v>
      </c>
      <c r="D10376" s="8"/>
    </row>
    <row r="10377">
      <c r="A10377" s="9" t="str">
        <f>IFERROR(__xludf.DUMMYFUNCTION("""COMPUTED_VALUE"""),"Batch 379")</f>
        <v>Batch 379</v>
      </c>
      <c r="B10377" s="9" t="str">
        <f>IFERROR(__xludf.DUMMYFUNCTION("""COMPUTED_VALUE"""),"YashC379")</f>
        <v>YashC379</v>
      </c>
      <c r="C10377" s="8">
        <f>IFERROR(__xludf.DUMMYFUNCTION("""COMPUTED_VALUE"""),0.0)</f>
        <v>0</v>
      </c>
      <c r="D10377" s="8"/>
    </row>
    <row r="10378">
      <c r="A10378" s="9" t="str">
        <f>IFERROR(__xludf.DUMMYFUNCTION("""COMPUTED_VALUE"""),"Batch 379")</f>
        <v>Batch 379</v>
      </c>
      <c r="B10378" s="9" t="str">
        <f>IFERROR(__xludf.DUMMYFUNCTION("""COMPUTED_VALUE"""),"NitinC379")</f>
        <v>NitinC379</v>
      </c>
      <c r="C10378" s="8">
        <f>IFERROR(__xludf.DUMMYFUNCTION("""COMPUTED_VALUE"""),0.0)</f>
        <v>0</v>
      </c>
      <c r="D10378" s="8"/>
    </row>
    <row r="10379">
      <c r="A10379" s="9" t="str">
        <f>IFERROR(__xludf.DUMMYFUNCTION("""COMPUTED_VALUE"""),"Batch 379")</f>
        <v>Batch 379</v>
      </c>
      <c r="B10379" s="9" t="str">
        <f>IFERROR(__xludf.DUMMYFUNCTION("""COMPUTED_VALUE"""),"HarshaC379")</f>
        <v>HarshaC379</v>
      </c>
      <c r="C10379" s="8">
        <f>IFERROR(__xludf.DUMMYFUNCTION("""COMPUTED_VALUE"""),0.0)</f>
        <v>0</v>
      </c>
      <c r="D10379" s="8"/>
    </row>
    <row r="10380">
      <c r="A10380" s="9" t="str">
        <f>IFERROR(__xludf.DUMMYFUNCTION("""COMPUTED_VALUE"""),"Batch 379")</f>
        <v>Batch 379</v>
      </c>
      <c r="B10380" s="9" t="str">
        <f>IFERROR(__xludf.DUMMYFUNCTION("""COMPUTED_VALUE"""),"TameemC379")</f>
        <v>TameemC379</v>
      </c>
      <c r="C10380" s="8">
        <f>IFERROR(__xludf.DUMMYFUNCTION("""COMPUTED_VALUE"""),0.0)</f>
        <v>0</v>
      </c>
      <c r="D10380" s="8"/>
    </row>
    <row r="10381">
      <c r="A10381" s="9" t="str">
        <f>IFERROR(__xludf.DUMMYFUNCTION("""COMPUTED_VALUE"""),"Batch 379")</f>
        <v>Batch 379</v>
      </c>
      <c r="B10381" s="9" t="str">
        <f>IFERROR(__xludf.DUMMYFUNCTION("""COMPUTED_VALUE"""),"PriyanshuC379")</f>
        <v>PriyanshuC379</v>
      </c>
      <c r="C10381" s="8">
        <f>IFERROR(__xludf.DUMMYFUNCTION("""COMPUTED_VALUE"""),1.0)</f>
        <v>1</v>
      </c>
      <c r="D10381" s="8">
        <f>IFERROR(__xludf.DUMMYFUNCTION("""COMPUTED_VALUE"""),4.0)</f>
        <v>4</v>
      </c>
    </row>
    <row r="10382">
      <c r="A10382" s="9" t="str">
        <f>IFERROR(__xludf.DUMMYFUNCTION("""COMPUTED_VALUE"""),"Batch 379")</f>
        <v>Batch 379</v>
      </c>
      <c r="B10382" s="9" t="str">
        <f>IFERROR(__xludf.DUMMYFUNCTION("""COMPUTED_VALUE"""),"VivekC379")</f>
        <v>VivekC379</v>
      </c>
      <c r="C10382" s="8">
        <f>IFERROR(__xludf.DUMMYFUNCTION("""COMPUTED_VALUE"""),31.0)</f>
        <v>31</v>
      </c>
      <c r="D10382" s="8">
        <f>IFERROR(__xludf.DUMMYFUNCTION("""COMPUTED_VALUE"""),1.0)</f>
        <v>1</v>
      </c>
    </row>
    <row r="10383">
      <c r="A10383" s="9" t="str">
        <f>IFERROR(__xludf.DUMMYFUNCTION("""COMPUTED_VALUE"""),"Batch 379")</f>
        <v>Batch 379</v>
      </c>
      <c r="B10383" s="9" t="str">
        <f>IFERROR(__xludf.DUMMYFUNCTION("""COMPUTED_VALUE"""),"AbimanyuC379")</f>
        <v>AbimanyuC379</v>
      </c>
      <c r="C10383" s="8">
        <f>IFERROR(__xludf.DUMMYFUNCTION("""COMPUTED_VALUE"""),0.0)</f>
        <v>0</v>
      </c>
      <c r="D10383" s="8"/>
    </row>
    <row r="10384">
      <c r="A10384" s="9" t="str">
        <f>IFERROR(__xludf.DUMMYFUNCTION("""COMPUTED_VALUE"""),"Batch 379")</f>
        <v>Batch 379</v>
      </c>
      <c r="B10384" s="9" t="str">
        <f>IFERROR(__xludf.DUMMYFUNCTION("""COMPUTED_VALUE"""),"AshuC379")</f>
        <v>AshuC379</v>
      </c>
      <c r="C10384" s="8">
        <f>IFERROR(__xludf.DUMMYFUNCTION("""COMPUTED_VALUE"""),0.0)</f>
        <v>0</v>
      </c>
      <c r="D10384" s="8"/>
    </row>
    <row r="10385">
      <c r="A10385" s="9" t="str">
        <f>IFERROR(__xludf.DUMMYFUNCTION("""COMPUTED_VALUE"""),"Batch 379")</f>
        <v>Batch 379</v>
      </c>
      <c r="B10385" s="9" t="str">
        <f>IFERROR(__xludf.DUMMYFUNCTION("""COMPUTED_VALUE"""),"SaketC379")</f>
        <v>SaketC379</v>
      </c>
      <c r="C10385" s="8">
        <f>IFERROR(__xludf.DUMMYFUNCTION("""COMPUTED_VALUE"""),0.0)</f>
        <v>0</v>
      </c>
      <c r="D10385" s="8"/>
    </row>
    <row r="10386">
      <c r="A10386" s="9" t="str">
        <f>IFERROR(__xludf.DUMMYFUNCTION("""COMPUTED_VALUE"""),"Batch 379")</f>
        <v>Batch 379</v>
      </c>
      <c r="B10386" s="9" t="str">
        <f>IFERROR(__xludf.DUMMYFUNCTION("""COMPUTED_VALUE"""),"RashiC379")</f>
        <v>RashiC379</v>
      </c>
      <c r="C10386" s="8">
        <f>IFERROR(__xludf.DUMMYFUNCTION("""COMPUTED_VALUE"""),0.0)</f>
        <v>0</v>
      </c>
      <c r="D10386" s="8"/>
    </row>
    <row r="10387">
      <c r="A10387" s="9" t="str">
        <f>IFERROR(__xludf.DUMMYFUNCTION("""COMPUTED_VALUE"""),"Batch 379")</f>
        <v>Batch 379</v>
      </c>
      <c r="B10387" s="9" t="str">
        <f>IFERROR(__xludf.DUMMYFUNCTION("""COMPUTED_VALUE"""),"AshmitC379")</f>
        <v>AshmitC379</v>
      </c>
      <c r="C10387" s="8">
        <f>IFERROR(__xludf.DUMMYFUNCTION("""COMPUTED_VALUE"""),5.0)</f>
        <v>5</v>
      </c>
      <c r="D10387" s="8">
        <f>IFERROR(__xludf.DUMMYFUNCTION("""COMPUTED_VALUE"""),3.0)</f>
        <v>3</v>
      </c>
    </row>
    <row r="10388">
      <c r="A10388" s="9" t="str">
        <f>IFERROR(__xludf.DUMMYFUNCTION("""COMPUTED_VALUE"""),"Batch 379")</f>
        <v>Batch 379</v>
      </c>
      <c r="B10388" s="9" t="str">
        <f>IFERROR(__xludf.DUMMYFUNCTION("""COMPUTED_VALUE"""),"KumkumC379")</f>
        <v>KumkumC379</v>
      </c>
      <c r="C10388" s="8">
        <f>IFERROR(__xludf.DUMMYFUNCTION("""COMPUTED_VALUE"""),0.0)</f>
        <v>0</v>
      </c>
      <c r="D10388" s="8"/>
    </row>
    <row r="10389">
      <c r="A10389" s="9" t="str">
        <f>IFERROR(__xludf.DUMMYFUNCTION("""COMPUTED_VALUE"""),"Batch 379")</f>
        <v>Batch 379</v>
      </c>
      <c r="B10389" s="9" t="str">
        <f>IFERROR(__xludf.DUMMYFUNCTION("""COMPUTED_VALUE"""),"MohitC379")</f>
        <v>MohitC379</v>
      </c>
      <c r="C10389" s="8">
        <f>IFERROR(__xludf.DUMMYFUNCTION("""COMPUTED_VALUE"""),1.0)</f>
        <v>1</v>
      </c>
      <c r="D10389" s="8"/>
    </row>
    <row r="10390">
      <c r="A10390" s="9" t="str">
        <f>IFERROR(__xludf.DUMMYFUNCTION("""COMPUTED_VALUE"""),"Batch 379")</f>
        <v>Batch 379</v>
      </c>
      <c r="B10390" s="9" t="str">
        <f>IFERROR(__xludf.DUMMYFUNCTION("""COMPUTED_VALUE"""),"PriyanshuKC379")</f>
        <v>PriyanshuKC379</v>
      </c>
      <c r="C10390" s="8">
        <f>IFERROR(__xludf.DUMMYFUNCTION("""COMPUTED_VALUE"""),3.0)</f>
        <v>3</v>
      </c>
      <c r="D10390" s="8"/>
    </row>
    <row r="10391">
      <c r="A10391" s="9" t="str">
        <f>IFERROR(__xludf.DUMMYFUNCTION("""COMPUTED_VALUE"""),"Batch 379")</f>
        <v>Batch 379</v>
      </c>
      <c r="B10391" s="9" t="str">
        <f>IFERROR(__xludf.DUMMYFUNCTION("""COMPUTED_VALUE"""),"MuskanC379")</f>
        <v>MuskanC379</v>
      </c>
      <c r="C10391" s="8">
        <f>IFERROR(__xludf.DUMMYFUNCTION("""COMPUTED_VALUE"""),1.0)</f>
        <v>1</v>
      </c>
      <c r="D10391" s="8"/>
    </row>
    <row r="10392">
      <c r="A10392" s="9" t="str">
        <f>IFERROR(__xludf.DUMMYFUNCTION("""COMPUTED_VALUE"""),"Batch 379")</f>
        <v>Batch 379</v>
      </c>
      <c r="B10392" s="9" t="str">
        <f>IFERROR(__xludf.DUMMYFUNCTION("""COMPUTED_VALUE"""),"AditiC379")</f>
        <v>AditiC379</v>
      </c>
      <c r="C10392" s="8">
        <f>IFERROR(__xludf.DUMMYFUNCTION("""COMPUTED_VALUE"""),1.0)</f>
        <v>1</v>
      </c>
      <c r="D10392" s="8"/>
    </row>
    <row r="10393">
      <c r="A10393" s="9" t="str">
        <f>IFERROR(__xludf.DUMMYFUNCTION("""COMPUTED_VALUE"""),"Batch 379")</f>
        <v>Batch 379</v>
      </c>
      <c r="B10393" s="9" t="str">
        <f>IFERROR(__xludf.DUMMYFUNCTION("""COMPUTED_VALUE"""),"IshleenC379")</f>
        <v>IshleenC379</v>
      </c>
      <c r="C10393" s="8">
        <f>IFERROR(__xludf.DUMMYFUNCTION("""COMPUTED_VALUE"""),1.0)</f>
        <v>1</v>
      </c>
      <c r="D10393" s="8"/>
    </row>
    <row r="10394">
      <c r="A10394" s="9" t="str">
        <f>IFERROR(__xludf.DUMMYFUNCTION("""COMPUTED_VALUE"""),"Batch 379")</f>
        <v>Batch 379</v>
      </c>
      <c r="B10394" s="9" t="str">
        <f>IFERROR(__xludf.DUMMYFUNCTION("""COMPUTED_VALUE"""),"MANISHAC379")</f>
        <v>MANISHAC379</v>
      </c>
      <c r="C10394" s="8">
        <f>IFERROR(__xludf.DUMMYFUNCTION("""COMPUTED_VALUE"""),0.0)</f>
        <v>0</v>
      </c>
      <c r="D10394" s="8"/>
    </row>
    <row r="10395">
      <c r="A10395" s="9" t="str">
        <f>IFERROR(__xludf.DUMMYFUNCTION("""COMPUTED_VALUE"""),"Batch 379")</f>
        <v>Batch 379</v>
      </c>
      <c r="B10395" s="9" t="str">
        <f>IFERROR(__xludf.DUMMYFUNCTION("""COMPUTED_VALUE"""),"RaghavC379")</f>
        <v>RaghavC379</v>
      </c>
      <c r="C10395" s="8">
        <f>IFERROR(__xludf.DUMMYFUNCTION("""COMPUTED_VALUE"""),0.0)</f>
        <v>0</v>
      </c>
      <c r="D10395" s="8"/>
    </row>
    <row r="10396">
      <c r="A10396" s="9" t="str">
        <f>IFERROR(__xludf.DUMMYFUNCTION("""COMPUTED_VALUE"""),"Batch 379")</f>
        <v>Batch 379</v>
      </c>
      <c r="B10396" s="9" t="str">
        <f>IFERROR(__xludf.DUMMYFUNCTION("""COMPUTED_VALUE"""),"PallaviC379")</f>
        <v>PallaviC379</v>
      </c>
      <c r="C10396" s="8">
        <f>IFERROR(__xludf.DUMMYFUNCTION("""COMPUTED_VALUE"""),0.0)</f>
        <v>0</v>
      </c>
      <c r="D10396" s="8"/>
    </row>
    <row r="10397">
      <c r="A10397" s="9" t="str">
        <f>IFERROR(__xludf.DUMMYFUNCTION("""COMPUTED_VALUE"""),"Batch 379")</f>
        <v>Batch 379</v>
      </c>
      <c r="B10397" s="9" t="str">
        <f>IFERROR(__xludf.DUMMYFUNCTION("""COMPUTED_VALUE"""),"SnehaC379")</f>
        <v>SnehaC379</v>
      </c>
      <c r="C10397" s="8">
        <f>IFERROR(__xludf.DUMMYFUNCTION("""COMPUTED_VALUE"""),0.0)</f>
        <v>0</v>
      </c>
      <c r="D10397" s="8"/>
    </row>
    <row r="10398">
      <c r="A10398" s="9" t="str">
        <f>IFERROR(__xludf.DUMMYFUNCTION("""COMPUTED_VALUE"""),"Batch 379")</f>
        <v>Batch 379</v>
      </c>
      <c r="B10398" s="9" t="str">
        <f>IFERROR(__xludf.DUMMYFUNCTION("""COMPUTED_VALUE"""),"PraneetC379")</f>
        <v>PraneetC379</v>
      </c>
      <c r="C10398" s="8">
        <f>IFERROR(__xludf.DUMMYFUNCTION("""COMPUTED_VALUE"""),0.0)</f>
        <v>0</v>
      </c>
      <c r="D10398" s="8"/>
    </row>
    <row r="10399">
      <c r="A10399" s="9" t="str">
        <f>IFERROR(__xludf.DUMMYFUNCTION("""COMPUTED_VALUE"""),"Batch 379")</f>
        <v>Batch 379</v>
      </c>
      <c r="B10399" s="9" t="str">
        <f>IFERROR(__xludf.DUMMYFUNCTION("""COMPUTED_VALUE"""),"PranavC379")</f>
        <v>PranavC379</v>
      </c>
      <c r="C10399" s="8">
        <f>IFERROR(__xludf.DUMMYFUNCTION("""COMPUTED_VALUE"""),0.0)</f>
        <v>0</v>
      </c>
      <c r="D10399" s="8"/>
    </row>
    <row r="10400">
      <c r="A10400" s="9" t="str">
        <f>IFERROR(__xludf.DUMMYFUNCTION("""COMPUTED_VALUE"""),"Batch 379")</f>
        <v>Batch 379</v>
      </c>
      <c r="B10400" s="9" t="str">
        <f>IFERROR(__xludf.DUMMYFUNCTION("""COMPUTED_VALUE"""),"DeepakC379")</f>
        <v>DeepakC379</v>
      </c>
      <c r="C10400" s="8">
        <f>IFERROR(__xludf.DUMMYFUNCTION("""COMPUTED_VALUE"""),0.0)</f>
        <v>0</v>
      </c>
      <c r="D10400" s="8"/>
    </row>
    <row r="10401">
      <c r="A10401" s="9" t="str">
        <f>IFERROR(__xludf.DUMMYFUNCTION("""COMPUTED_VALUE"""),"Batch 379")</f>
        <v>Batch 379</v>
      </c>
      <c r="B10401" s="9" t="str">
        <f>IFERROR(__xludf.DUMMYFUNCTION("""COMPUTED_VALUE"""),"EktaC379")</f>
        <v>EktaC379</v>
      </c>
      <c r="C10401" s="8">
        <f>IFERROR(__xludf.DUMMYFUNCTION("""COMPUTED_VALUE"""),0.0)</f>
        <v>0</v>
      </c>
      <c r="D10401" s="8"/>
    </row>
    <row r="10402">
      <c r="A10402" s="9" t="str">
        <f>IFERROR(__xludf.DUMMYFUNCTION("""COMPUTED_VALUE"""),"Batch 379")</f>
        <v>Batch 379</v>
      </c>
      <c r="B10402" s="9" t="str">
        <f>IFERROR(__xludf.DUMMYFUNCTION("""COMPUTED_VALUE"""),"PayelC379")</f>
        <v>PayelC379</v>
      </c>
      <c r="C10402" s="8">
        <f>IFERROR(__xludf.DUMMYFUNCTION("""COMPUTED_VALUE"""),0.0)</f>
        <v>0</v>
      </c>
      <c r="D10402" s="8"/>
    </row>
    <row r="10403">
      <c r="A10403" s="9" t="str">
        <f>IFERROR(__xludf.DUMMYFUNCTION("""COMPUTED_VALUE"""),"Batch 379")</f>
        <v>Batch 379</v>
      </c>
      <c r="B10403" s="9" t="str">
        <f>IFERROR(__xludf.DUMMYFUNCTION("""COMPUTED_VALUE"""),"AadityaC379")</f>
        <v>AadityaC379</v>
      </c>
      <c r="C10403" s="8">
        <f>IFERROR(__xludf.DUMMYFUNCTION("""COMPUTED_VALUE"""),0.0)</f>
        <v>0</v>
      </c>
      <c r="D10403" s="8"/>
    </row>
    <row r="10404">
      <c r="A10404" s="9" t="str">
        <f>IFERROR(__xludf.DUMMYFUNCTION("""COMPUTED_VALUE"""),"Batch 379")</f>
        <v>Batch 379</v>
      </c>
      <c r="B10404" s="9" t="str">
        <f>IFERROR(__xludf.DUMMYFUNCTION("""COMPUTED_VALUE"""),"AshruteeC379")</f>
        <v>AshruteeC379</v>
      </c>
      <c r="C10404" s="8">
        <f>IFERROR(__xludf.DUMMYFUNCTION("""COMPUTED_VALUE"""),0.0)</f>
        <v>0</v>
      </c>
      <c r="D10404" s="8"/>
    </row>
    <row r="10405">
      <c r="A10405" s="9" t="str">
        <f>IFERROR(__xludf.DUMMYFUNCTION("""COMPUTED_VALUE"""),"Batch 379")</f>
        <v>Batch 379</v>
      </c>
      <c r="B10405" s="9" t="str">
        <f>IFERROR(__xludf.DUMMYFUNCTION("""COMPUTED_VALUE"""),"NandiniC379")</f>
        <v>NandiniC379</v>
      </c>
      <c r="C10405" s="8">
        <f>IFERROR(__xludf.DUMMYFUNCTION("""COMPUTED_VALUE"""),0.0)</f>
        <v>0</v>
      </c>
      <c r="D10405" s="8"/>
    </row>
    <row r="10406">
      <c r="A10406" s="9" t="str">
        <f>IFERROR(__xludf.DUMMYFUNCTION("""COMPUTED_VALUE"""),"Batch 379")</f>
        <v>Batch 379</v>
      </c>
      <c r="B10406" s="9" t="str">
        <f>IFERROR(__xludf.DUMMYFUNCTION("""COMPUTED_VALUE"""),"ChetanC379")</f>
        <v>ChetanC379</v>
      </c>
      <c r="C10406" s="8">
        <f>IFERROR(__xludf.DUMMYFUNCTION("""COMPUTED_VALUE"""),5.0)</f>
        <v>5</v>
      </c>
      <c r="D10406" s="8">
        <f>IFERROR(__xludf.DUMMYFUNCTION("""COMPUTED_VALUE"""),6.0)</f>
        <v>6</v>
      </c>
    </row>
    <row r="10407">
      <c r="A10407" s="9" t="str">
        <f>IFERROR(__xludf.DUMMYFUNCTION("""COMPUTED_VALUE"""),"Batch 379")</f>
        <v>Batch 379</v>
      </c>
      <c r="B10407" s="9" t="str">
        <f>IFERROR(__xludf.DUMMYFUNCTION("""COMPUTED_VALUE"""),"AaryaC379")</f>
        <v>AaryaC379</v>
      </c>
      <c r="C10407" s="8">
        <f>IFERROR(__xludf.DUMMYFUNCTION("""COMPUTED_VALUE"""),0.0)</f>
        <v>0</v>
      </c>
      <c r="D10407" s="8"/>
    </row>
    <row r="10408">
      <c r="A10408" s="9" t="str">
        <f>IFERROR(__xludf.DUMMYFUNCTION("""COMPUTED_VALUE"""),"Batch 379")</f>
        <v>Batch 379</v>
      </c>
      <c r="B10408" s="9" t="str">
        <f>IFERROR(__xludf.DUMMYFUNCTION("""COMPUTED_VALUE"""),"MullaC379")</f>
        <v>MullaC379</v>
      </c>
      <c r="C10408" s="8">
        <f>IFERROR(__xludf.DUMMYFUNCTION("""COMPUTED_VALUE"""),0.0)</f>
        <v>0</v>
      </c>
      <c r="D10408" s="8"/>
    </row>
    <row r="10409">
      <c r="A10409" s="9" t="str">
        <f>IFERROR(__xludf.DUMMYFUNCTION("""COMPUTED_VALUE"""),"Batch 379")</f>
        <v>Batch 379</v>
      </c>
      <c r="B10409" s="9" t="str">
        <f>IFERROR(__xludf.DUMMYFUNCTION("""COMPUTED_VALUE"""),"AqdasC379")</f>
        <v>AqdasC379</v>
      </c>
      <c r="C10409" s="8">
        <f>IFERROR(__xludf.DUMMYFUNCTION("""COMPUTED_VALUE"""),0.0)</f>
        <v>0</v>
      </c>
      <c r="D10409" s="8"/>
    </row>
    <row r="10410">
      <c r="A10410" s="9" t="str">
        <f>IFERROR(__xludf.DUMMYFUNCTION("""COMPUTED_VALUE"""),"Batch 379")</f>
        <v>Batch 379</v>
      </c>
      <c r="B10410" s="9" t="str">
        <f>IFERROR(__xludf.DUMMYFUNCTION("""COMPUTED_VALUE"""),"PranavC379")</f>
        <v>PranavC379</v>
      </c>
      <c r="C10410" s="8">
        <f>IFERROR(__xludf.DUMMYFUNCTION("""COMPUTED_VALUE"""),0.0)</f>
        <v>0</v>
      </c>
      <c r="D10410" s="8"/>
    </row>
    <row r="10411">
      <c r="A10411" s="9" t="str">
        <f>IFERROR(__xludf.DUMMYFUNCTION("""COMPUTED_VALUE"""),"Batch 379")</f>
        <v>Batch 379</v>
      </c>
      <c r="B10411" s="9" t="str">
        <f>IFERROR(__xludf.DUMMYFUNCTION("""COMPUTED_VALUE"""),"PhagusnigdhaC379")</f>
        <v>PhagusnigdhaC379</v>
      </c>
      <c r="C10411" s="8">
        <f>IFERROR(__xludf.DUMMYFUNCTION("""COMPUTED_VALUE"""),0.0)</f>
        <v>0</v>
      </c>
      <c r="D10411" s="8"/>
    </row>
    <row r="10412">
      <c r="A10412" s="9" t="str">
        <f>IFERROR(__xludf.DUMMYFUNCTION("""COMPUTED_VALUE"""),"Batch 379")</f>
        <v>Batch 379</v>
      </c>
      <c r="B10412" s="9" t="str">
        <f>IFERROR(__xludf.DUMMYFUNCTION("""COMPUTED_VALUE"""),"ManjotC379")</f>
        <v>ManjotC379</v>
      </c>
      <c r="C10412" s="8">
        <f>IFERROR(__xludf.DUMMYFUNCTION("""COMPUTED_VALUE"""),3.0)</f>
        <v>3</v>
      </c>
      <c r="D10412" s="8"/>
    </row>
    <row r="10413">
      <c r="A10413" s="9" t="str">
        <f>IFERROR(__xludf.DUMMYFUNCTION("""COMPUTED_VALUE"""),"Batch 379")</f>
        <v>Batch 379</v>
      </c>
      <c r="B10413" s="9" t="str">
        <f>IFERROR(__xludf.DUMMYFUNCTION("""COMPUTED_VALUE"""),"AnkitaC379")</f>
        <v>AnkitaC379</v>
      </c>
      <c r="C10413" s="8">
        <f>IFERROR(__xludf.DUMMYFUNCTION("""COMPUTED_VALUE"""),0.0)</f>
        <v>0</v>
      </c>
      <c r="D10413" s="8"/>
    </row>
    <row r="10414">
      <c r="A10414" s="9"/>
      <c r="B10414" s="9"/>
      <c r="C10414" s="8">
        <f>IFERROR(__xludf.DUMMYFUNCTION("""COMPUTED_VALUE"""),0.0)</f>
        <v>0</v>
      </c>
      <c r="D10414" s="8"/>
    </row>
    <row r="10415">
      <c r="A10415" s="9" t="str">
        <f>IFERROR(__xludf.DUMMYFUNCTION("""COMPUTED_VALUE"""),"Batch 380")</f>
        <v>Batch 380</v>
      </c>
      <c r="B10415" s="9" t="str">
        <f>IFERROR(__xludf.DUMMYFUNCTION("""COMPUTED_VALUE"""),"JwalitC380")</f>
        <v>JwalitC380</v>
      </c>
      <c r="C10415" s="8">
        <f>IFERROR(__xludf.DUMMYFUNCTION("""COMPUTED_VALUE"""),0.0)</f>
        <v>0</v>
      </c>
      <c r="D10415" s="8"/>
    </row>
    <row r="10416">
      <c r="A10416" s="9" t="str">
        <f>IFERROR(__xludf.DUMMYFUNCTION("""COMPUTED_VALUE"""),"Batch 380")</f>
        <v>Batch 380</v>
      </c>
      <c r="B10416" s="9" t="str">
        <f>IFERROR(__xludf.DUMMYFUNCTION("""COMPUTED_VALUE"""),"ShreyaC380")</f>
        <v>ShreyaC380</v>
      </c>
      <c r="C10416" s="8">
        <f>IFERROR(__xludf.DUMMYFUNCTION("""COMPUTED_VALUE"""),0.0)</f>
        <v>0</v>
      </c>
      <c r="D10416" s="8"/>
    </row>
    <row r="10417">
      <c r="A10417" s="9" t="str">
        <f>IFERROR(__xludf.DUMMYFUNCTION("""COMPUTED_VALUE"""),"Batch 380")</f>
        <v>Batch 380</v>
      </c>
      <c r="B10417" s="9" t="str">
        <f>IFERROR(__xludf.DUMMYFUNCTION("""COMPUTED_VALUE"""),"aakashC380")</f>
        <v>aakashC380</v>
      </c>
      <c r="C10417" s="8">
        <f>IFERROR(__xludf.DUMMYFUNCTION("""COMPUTED_VALUE"""),0.0)</f>
        <v>0</v>
      </c>
      <c r="D10417" s="8"/>
    </row>
    <row r="10418">
      <c r="A10418" s="9" t="str">
        <f>IFERROR(__xludf.DUMMYFUNCTION("""COMPUTED_VALUE"""),"Batch 380")</f>
        <v>Batch 380</v>
      </c>
      <c r="B10418" s="9" t="str">
        <f>IFERROR(__xludf.DUMMYFUNCTION("""COMPUTED_VALUE"""),"ShreyashC380")</f>
        <v>ShreyashC380</v>
      </c>
      <c r="C10418" s="8">
        <f>IFERROR(__xludf.DUMMYFUNCTION("""COMPUTED_VALUE"""),0.0)</f>
        <v>0</v>
      </c>
      <c r="D10418" s="8"/>
    </row>
    <row r="10419">
      <c r="A10419" s="9" t="str">
        <f>IFERROR(__xludf.DUMMYFUNCTION("""COMPUTED_VALUE"""),"Batch 380")</f>
        <v>Batch 380</v>
      </c>
      <c r="B10419" s="9" t="str">
        <f>IFERROR(__xludf.DUMMYFUNCTION("""COMPUTED_VALUE"""),"TannuC380")</f>
        <v>TannuC380</v>
      </c>
      <c r="C10419" s="8">
        <f>IFERROR(__xludf.DUMMYFUNCTION("""COMPUTED_VALUE"""),0.0)</f>
        <v>0</v>
      </c>
      <c r="D10419" s="8"/>
    </row>
    <row r="10420">
      <c r="A10420" s="9" t="str">
        <f>IFERROR(__xludf.DUMMYFUNCTION("""COMPUTED_VALUE"""),"Batch 380")</f>
        <v>Batch 380</v>
      </c>
      <c r="B10420" s="9" t="str">
        <f>IFERROR(__xludf.DUMMYFUNCTION("""COMPUTED_VALUE"""),"DarshitC380")</f>
        <v>DarshitC380</v>
      </c>
      <c r="C10420" s="8">
        <f>IFERROR(__xludf.DUMMYFUNCTION("""COMPUTED_VALUE"""),0.0)</f>
        <v>0</v>
      </c>
      <c r="D10420" s="8"/>
    </row>
    <row r="10421">
      <c r="A10421" s="9" t="str">
        <f>IFERROR(__xludf.DUMMYFUNCTION("""COMPUTED_VALUE"""),"Batch 380")</f>
        <v>Batch 380</v>
      </c>
      <c r="B10421" s="9" t="str">
        <f>IFERROR(__xludf.DUMMYFUNCTION("""COMPUTED_VALUE"""),"LakshmiC380")</f>
        <v>LakshmiC380</v>
      </c>
      <c r="C10421" s="8">
        <f>IFERROR(__xludf.DUMMYFUNCTION("""COMPUTED_VALUE"""),0.0)</f>
        <v>0</v>
      </c>
      <c r="D10421" s="8"/>
    </row>
    <row r="10422">
      <c r="A10422" s="9" t="str">
        <f>IFERROR(__xludf.DUMMYFUNCTION("""COMPUTED_VALUE"""),"Batch 380")</f>
        <v>Batch 380</v>
      </c>
      <c r="B10422" s="9" t="str">
        <f>IFERROR(__xludf.DUMMYFUNCTION("""COMPUTED_VALUE"""),"Vaishnavi.HC380")</f>
        <v>Vaishnavi.HC380</v>
      </c>
      <c r="C10422" s="8">
        <f>IFERROR(__xludf.DUMMYFUNCTION("""COMPUTED_VALUE"""),0.0)</f>
        <v>0</v>
      </c>
      <c r="D10422" s="8"/>
    </row>
    <row r="10423">
      <c r="A10423" s="9" t="str">
        <f>IFERROR(__xludf.DUMMYFUNCTION("""COMPUTED_VALUE"""),"Batch 380")</f>
        <v>Batch 380</v>
      </c>
      <c r="B10423" s="9" t="str">
        <f>IFERROR(__xludf.DUMMYFUNCTION("""COMPUTED_VALUE"""),"ShashwatC380")</f>
        <v>ShashwatC380</v>
      </c>
      <c r="C10423" s="8">
        <f>IFERROR(__xludf.DUMMYFUNCTION("""COMPUTED_VALUE"""),0.0)</f>
        <v>0</v>
      </c>
      <c r="D10423" s="8"/>
    </row>
    <row r="10424">
      <c r="A10424" s="9" t="str">
        <f>IFERROR(__xludf.DUMMYFUNCTION("""COMPUTED_VALUE"""),"Batch 380")</f>
        <v>Batch 380</v>
      </c>
      <c r="B10424" s="9" t="str">
        <f>IFERROR(__xludf.DUMMYFUNCTION("""COMPUTED_VALUE"""),"ShaivyaC380")</f>
        <v>ShaivyaC380</v>
      </c>
      <c r="C10424" s="8">
        <f>IFERROR(__xludf.DUMMYFUNCTION("""COMPUTED_VALUE"""),5.0)</f>
        <v>5</v>
      </c>
      <c r="D10424" s="8"/>
    </row>
    <row r="10425">
      <c r="A10425" s="9" t="str">
        <f>IFERROR(__xludf.DUMMYFUNCTION("""COMPUTED_VALUE"""),"Batch 380")</f>
        <v>Batch 380</v>
      </c>
      <c r="B10425" s="9" t="str">
        <f>IFERROR(__xludf.DUMMYFUNCTION("""COMPUTED_VALUE"""),"DhatchayiniC380")</f>
        <v>DhatchayiniC380</v>
      </c>
      <c r="C10425" s="8">
        <f>IFERROR(__xludf.DUMMYFUNCTION("""COMPUTED_VALUE"""),1.0)</f>
        <v>1</v>
      </c>
      <c r="D10425" s="8">
        <f>IFERROR(__xludf.DUMMYFUNCTION("""COMPUTED_VALUE"""),1.0)</f>
        <v>1</v>
      </c>
    </row>
    <row r="10426">
      <c r="A10426" s="9" t="str">
        <f>IFERROR(__xludf.DUMMYFUNCTION("""COMPUTED_VALUE"""),"Batch 380")</f>
        <v>Batch 380</v>
      </c>
      <c r="B10426" s="9" t="str">
        <f>IFERROR(__xludf.DUMMYFUNCTION("""COMPUTED_VALUE"""),"SwapnilC380")</f>
        <v>SwapnilC380</v>
      </c>
      <c r="C10426" s="8">
        <f>IFERROR(__xludf.DUMMYFUNCTION("""COMPUTED_VALUE"""),0.0)</f>
        <v>0</v>
      </c>
      <c r="D10426" s="8"/>
    </row>
    <row r="10427">
      <c r="A10427" s="9" t="str">
        <f>IFERROR(__xludf.DUMMYFUNCTION("""COMPUTED_VALUE"""),"Batch 380")</f>
        <v>Batch 380</v>
      </c>
      <c r="B10427" s="9" t="str">
        <f>IFERROR(__xludf.DUMMYFUNCTION("""COMPUTED_VALUE"""),"AlisettiC380")</f>
        <v>AlisettiC380</v>
      </c>
      <c r="C10427" s="8">
        <f>IFERROR(__xludf.DUMMYFUNCTION("""COMPUTED_VALUE"""),0.0)</f>
        <v>0</v>
      </c>
      <c r="D10427" s="8"/>
    </row>
    <row r="10428">
      <c r="A10428" s="9" t="str">
        <f>IFERROR(__xludf.DUMMYFUNCTION("""COMPUTED_VALUE"""),"Batch 380")</f>
        <v>Batch 380</v>
      </c>
      <c r="B10428" s="9" t="str">
        <f>IFERROR(__xludf.DUMMYFUNCTION("""COMPUTED_VALUE"""),"HiyaC380")</f>
        <v>HiyaC380</v>
      </c>
      <c r="C10428" s="8">
        <f>IFERROR(__xludf.DUMMYFUNCTION("""COMPUTED_VALUE"""),1.0)</f>
        <v>1</v>
      </c>
      <c r="D10428" s="8"/>
    </row>
    <row r="10429">
      <c r="A10429" s="9" t="str">
        <f>IFERROR(__xludf.DUMMYFUNCTION("""COMPUTED_VALUE"""),"Batch 380")</f>
        <v>Batch 380</v>
      </c>
      <c r="B10429" s="9" t="str">
        <f>IFERROR(__xludf.DUMMYFUNCTION("""COMPUTED_VALUE"""),"karanC380")</f>
        <v>karanC380</v>
      </c>
      <c r="C10429" s="8">
        <f>IFERROR(__xludf.DUMMYFUNCTION("""COMPUTED_VALUE"""),0.0)</f>
        <v>0</v>
      </c>
      <c r="D10429" s="8"/>
    </row>
    <row r="10430">
      <c r="A10430" s="9" t="str">
        <f>IFERROR(__xludf.DUMMYFUNCTION("""COMPUTED_VALUE"""),"Batch 380")</f>
        <v>Batch 380</v>
      </c>
      <c r="B10430" s="9" t="str">
        <f>IFERROR(__xludf.DUMMYFUNCTION("""COMPUTED_VALUE"""),"SAYYADC380")</f>
        <v>SAYYADC380</v>
      </c>
      <c r="C10430" s="8">
        <f>IFERROR(__xludf.DUMMYFUNCTION("""COMPUTED_VALUE"""),0.0)</f>
        <v>0</v>
      </c>
      <c r="D10430" s="8"/>
    </row>
    <row r="10431">
      <c r="A10431" s="9" t="str">
        <f>IFERROR(__xludf.DUMMYFUNCTION("""COMPUTED_VALUE"""),"Batch 380")</f>
        <v>Batch 380</v>
      </c>
      <c r="B10431" s="9" t="str">
        <f>IFERROR(__xludf.DUMMYFUNCTION("""COMPUTED_VALUE"""),"RaginiC380")</f>
        <v>RaginiC380</v>
      </c>
      <c r="C10431" s="8">
        <f>IFERROR(__xludf.DUMMYFUNCTION("""COMPUTED_VALUE"""),0.0)</f>
        <v>0</v>
      </c>
      <c r="D10431" s="8"/>
    </row>
    <row r="10432">
      <c r="A10432" s="9" t="str">
        <f>IFERROR(__xludf.DUMMYFUNCTION("""COMPUTED_VALUE"""),"Batch 380")</f>
        <v>Batch 380</v>
      </c>
      <c r="B10432" s="9" t="str">
        <f>IFERROR(__xludf.DUMMYFUNCTION("""COMPUTED_VALUE"""),"MohammadC380")</f>
        <v>MohammadC380</v>
      </c>
      <c r="C10432" s="8">
        <f>IFERROR(__xludf.DUMMYFUNCTION("""COMPUTED_VALUE"""),0.0)</f>
        <v>0</v>
      </c>
      <c r="D10432" s="8"/>
    </row>
    <row r="10433">
      <c r="A10433" s="9" t="str">
        <f>IFERROR(__xludf.DUMMYFUNCTION("""COMPUTED_VALUE"""),"Batch 380")</f>
        <v>Batch 380</v>
      </c>
      <c r="B10433" s="9" t="str">
        <f>IFERROR(__xludf.DUMMYFUNCTION("""COMPUTED_VALUE"""),"AmanC380")</f>
        <v>AmanC380</v>
      </c>
      <c r="C10433" s="8">
        <f>IFERROR(__xludf.DUMMYFUNCTION("""COMPUTED_VALUE"""),0.0)</f>
        <v>0</v>
      </c>
      <c r="D10433" s="8"/>
    </row>
    <row r="10434">
      <c r="A10434" s="9" t="str">
        <f>IFERROR(__xludf.DUMMYFUNCTION("""COMPUTED_VALUE"""),"Batch 380")</f>
        <v>Batch 380</v>
      </c>
      <c r="B10434" s="9" t="str">
        <f>IFERROR(__xludf.DUMMYFUNCTION("""COMPUTED_VALUE"""),"AryanC380")</f>
        <v>AryanC380</v>
      </c>
      <c r="C10434" s="8">
        <f>IFERROR(__xludf.DUMMYFUNCTION("""COMPUTED_VALUE"""),0.0)</f>
        <v>0</v>
      </c>
      <c r="D10434" s="8"/>
    </row>
    <row r="10435">
      <c r="A10435" s="9" t="str">
        <f>IFERROR(__xludf.DUMMYFUNCTION("""COMPUTED_VALUE"""),"Batch 380")</f>
        <v>Batch 380</v>
      </c>
      <c r="B10435" s="9" t="str">
        <f>IFERROR(__xludf.DUMMYFUNCTION("""COMPUTED_VALUE"""),"ShwetaC380")</f>
        <v>ShwetaC380</v>
      </c>
      <c r="C10435" s="8">
        <f>IFERROR(__xludf.DUMMYFUNCTION("""COMPUTED_VALUE"""),0.0)</f>
        <v>0</v>
      </c>
      <c r="D10435" s="8"/>
    </row>
    <row r="10436">
      <c r="A10436" s="9" t="str">
        <f>IFERROR(__xludf.DUMMYFUNCTION("""COMPUTED_VALUE"""),"Batch 380")</f>
        <v>Batch 380</v>
      </c>
      <c r="B10436" s="9" t="str">
        <f>IFERROR(__xludf.DUMMYFUNCTION("""COMPUTED_VALUE"""),"NishleenC380")</f>
        <v>NishleenC380</v>
      </c>
      <c r="C10436" s="8">
        <f>IFERROR(__xludf.DUMMYFUNCTION("""COMPUTED_VALUE"""),0.0)</f>
        <v>0</v>
      </c>
      <c r="D10436" s="8"/>
    </row>
    <row r="10437">
      <c r="A10437" s="9" t="str">
        <f>IFERROR(__xludf.DUMMYFUNCTION("""COMPUTED_VALUE"""),"Batch 380")</f>
        <v>Batch 380</v>
      </c>
      <c r="B10437" s="9" t="str">
        <f>IFERROR(__xludf.DUMMYFUNCTION("""COMPUTED_VALUE"""),"MedhanshC380")</f>
        <v>MedhanshC380</v>
      </c>
      <c r="C10437" s="8">
        <f>IFERROR(__xludf.DUMMYFUNCTION("""COMPUTED_VALUE"""),0.0)</f>
        <v>0</v>
      </c>
      <c r="D10437" s="8"/>
    </row>
    <row r="10438">
      <c r="A10438" s="9" t="str">
        <f>IFERROR(__xludf.DUMMYFUNCTION("""COMPUTED_VALUE"""),"Batch 380")</f>
        <v>Batch 380</v>
      </c>
      <c r="B10438" s="9" t="str">
        <f>IFERROR(__xludf.DUMMYFUNCTION("""COMPUTED_VALUE"""),"KevinC380")</f>
        <v>KevinC380</v>
      </c>
      <c r="C10438" s="8">
        <f>IFERROR(__xludf.DUMMYFUNCTION("""COMPUTED_VALUE"""),0.0)</f>
        <v>0</v>
      </c>
      <c r="D10438" s="8"/>
    </row>
    <row r="10439">
      <c r="A10439" s="9" t="str">
        <f>IFERROR(__xludf.DUMMYFUNCTION("""COMPUTED_VALUE"""),"Batch 380")</f>
        <v>Batch 380</v>
      </c>
      <c r="B10439" s="9" t="str">
        <f>IFERROR(__xludf.DUMMYFUNCTION("""COMPUTED_VALUE"""),"KonatalaC380")</f>
        <v>KonatalaC380</v>
      </c>
      <c r="C10439" s="8">
        <f>IFERROR(__xludf.DUMMYFUNCTION("""COMPUTED_VALUE"""),2.0)</f>
        <v>2</v>
      </c>
      <c r="D10439" s="8">
        <f>IFERROR(__xludf.DUMMYFUNCTION("""COMPUTED_VALUE"""),3.0)</f>
        <v>3</v>
      </c>
    </row>
    <row r="10440">
      <c r="A10440" s="9" t="str">
        <f>IFERROR(__xludf.DUMMYFUNCTION("""COMPUTED_VALUE"""),"Batch 380")</f>
        <v>Batch 380</v>
      </c>
      <c r="B10440" s="9" t="str">
        <f>IFERROR(__xludf.DUMMYFUNCTION("""COMPUTED_VALUE"""),"PranjaliC380")</f>
        <v>PranjaliC380</v>
      </c>
      <c r="C10440" s="8">
        <f>IFERROR(__xludf.DUMMYFUNCTION("""COMPUTED_VALUE"""),0.0)</f>
        <v>0</v>
      </c>
      <c r="D10440" s="8"/>
    </row>
    <row r="10441">
      <c r="A10441" s="9" t="str">
        <f>IFERROR(__xludf.DUMMYFUNCTION("""COMPUTED_VALUE"""),"Batch 380")</f>
        <v>Batch 380</v>
      </c>
      <c r="B10441" s="9" t="str">
        <f>IFERROR(__xludf.DUMMYFUNCTION("""COMPUTED_VALUE"""),"BitthalC380")</f>
        <v>BitthalC380</v>
      </c>
      <c r="C10441" s="8">
        <f>IFERROR(__xludf.DUMMYFUNCTION("""COMPUTED_VALUE"""),0.0)</f>
        <v>0</v>
      </c>
      <c r="D10441" s="8">
        <f>IFERROR(__xludf.DUMMYFUNCTION("""COMPUTED_VALUE"""),2.0)</f>
        <v>2</v>
      </c>
    </row>
    <row r="10442">
      <c r="A10442" s="9" t="str">
        <f>IFERROR(__xludf.DUMMYFUNCTION("""COMPUTED_VALUE"""),"Batch 380")</f>
        <v>Batch 380</v>
      </c>
      <c r="B10442" s="9" t="str">
        <f>IFERROR(__xludf.DUMMYFUNCTION("""COMPUTED_VALUE"""),"KALERUC380")</f>
        <v>KALERUC380</v>
      </c>
      <c r="C10442" s="8">
        <f>IFERROR(__xludf.DUMMYFUNCTION("""COMPUTED_VALUE"""),0.0)</f>
        <v>0</v>
      </c>
      <c r="D10442" s="8"/>
    </row>
    <row r="10443">
      <c r="A10443" s="9"/>
      <c r="B10443" s="9"/>
      <c r="C10443" s="8">
        <f>IFERROR(__xludf.DUMMYFUNCTION("""COMPUTED_VALUE"""),0.0)</f>
        <v>0</v>
      </c>
      <c r="D10443" s="8"/>
    </row>
    <row r="10444">
      <c r="A10444" s="9" t="str">
        <f>IFERROR(__xludf.DUMMYFUNCTION("""COMPUTED_VALUE"""),"Batch 381")</f>
        <v>Batch 381</v>
      </c>
      <c r="B10444" s="9" t="str">
        <f>IFERROR(__xludf.DUMMYFUNCTION("""COMPUTED_VALUE"""),"SaniaC381")</f>
        <v>SaniaC381</v>
      </c>
      <c r="C10444" s="8">
        <f>IFERROR(__xludf.DUMMYFUNCTION("""COMPUTED_VALUE"""),33.0)</f>
        <v>33</v>
      </c>
      <c r="D10444" s="8">
        <f>IFERROR(__xludf.DUMMYFUNCTION("""COMPUTED_VALUE"""),14.0)</f>
        <v>14</v>
      </c>
    </row>
    <row r="10445">
      <c r="A10445" s="9" t="str">
        <f>IFERROR(__xludf.DUMMYFUNCTION("""COMPUTED_VALUE"""),"Batch 381")</f>
        <v>Batch 381</v>
      </c>
      <c r="B10445" s="9" t="str">
        <f>IFERROR(__xludf.DUMMYFUNCTION("""COMPUTED_VALUE"""),"kanadC381")</f>
        <v>kanadC381</v>
      </c>
      <c r="C10445" s="8">
        <f>IFERROR(__xludf.DUMMYFUNCTION("""COMPUTED_VALUE"""),0.0)</f>
        <v>0</v>
      </c>
      <c r="D10445" s="8"/>
    </row>
    <row r="10446">
      <c r="A10446" s="9" t="str">
        <f>IFERROR(__xludf.DUMMYFUNCTION("""COMPUTED_VALUE"""),"Batch 381")</f>
        <v>Batch 381</v>
      </c>
      <c r="B10446" s="9" t="str">
        <f>IFERROR(__xludf.DUMMYFUNCTION("""COMPUTED_VALUE"""),"gurnoorC381")</f>
        <v>gurnoorC381</v>
      </c>
      <c r="C10446" s="8">
        <f>IFERROR(__xludf.DUMMYFUNCTION("""COMPUTED_VALUE"""),0.0)</f>
        <v>0</v>
      </c>
      <c r="D10446" s="8"/>
    </row>
    <row r="10447">
      <c r="A10447" s="9" t="str">
        <f>IFERROR(__xludf.DUMMYFUNCTION("""COMPUTED_VALUE"""),"Batch 381")</f>
        <v>Batch 381</v>
      </c>
      <c r="B10447" s="9" t="str">
        <f>IFERROR(__xludf.DUMMYFUNCTION("""COMPUTED_VALUE"""),"M.HarshithC381")</f>
        <v>M.HarshithC381</v>
      </c>
      <c r="C10447" s="8">
        <f>IFERROR(__xludf.DUMMYFUNCTION("""COMPUTED_VALUE"""),0.0)</f>
        <v>0</v>
      </c>
      <c r="D10447" s="8"/>
    </row>
    <row r="10448">
      <c r="A10448" s="9" t="str">
        <f>IFERROR(__xludf.DUMMYFUNCTION("""COMPUTED_VALUE"""),"Batch 381")</f>
        <v>Batch 381</v>
      </c>
      <c r="B10448" s="9" t="str">
        <f>IFERROR(__xludf.DUMMYFUNCTION("""COMPUTED_VALUE"""),"GauriC381")</f>
        <v>GauriC381</v>
      </c>
      <c r="C10448" s="8">
        <f>IFERROR(__xludf.DUMMYFUNCTION("""COMPUTED_VALUE"""),0.0)</f>
        <v>0</v>
      </c>
      <c r="D10448" s="8"/>
    </row>
    <row r="10449">
      <c r="A10449" s="9" t="str">
        <f>IFERROR(__xludf.DUMMYFUNCTION("""COMPUTED_VALUE"""),"Batch 381")</f>
        <v>Batch 381</v>
      </c>
      <c r="B10449" s="9" t="str">
        <f>IFERROR(__xludf.DUMMYFUNCTION("""COMPUTED_VALUE"""),"SprihaC381")</f>
        <v>SprihaC381</v>
      </c>
      <c r="C10449" s="8">
        <f>IFERROR(__xludf.DUMMYFUNCTION("""COMPUTED_VALUE"""),0.0)</f>
        <v>0</v>
      </c>
      <c r="D10449" s="8"/>
    </row>
    <row r="10450">
      <c r="A10450" s="9" t="str">
        <f>IFERROR(__xludf.DUMMYFUNCTION("""COMPUTED_VALUE"""),"Batch 381")</f>
        <v>Batch 381</v>
      </c>
      <c r="B10450" s="9" t="str">
        <f>IFERROR(__xludf.DUMMYFUNCTION("""COMPUTED_VALUE"""),"AmanC381")</f>
        <v>AmanC381</v>
      </c>
      <c r="C10450" s="8">
        <f>IFERROR(__xludf.DUMMYFUNCTION("""COMPUTED_VALUE"""),0.0)</f>
        <v>0</v>
      </c>
      <c r="D10450" s="8"/>
    </row>
    <row r="10451">
      <c r="A10451" s="9" t="str">
        <f>IFERROR(__xludf.DUMMYFUNCTION("""COMPUTED_VALUE"""),"Batch 381")</f>
        <v>Batch 381</v>
      </c>
      <c r="B10451" s="9" t="str">
        <f>IFERROR(__xludf.DUMMYFUNCTION("""COMPUTED_VALUE"""),"YashC381")</f>
        <v>YashC381</v>
      </c>
      <c r="C10451" s="8">
        <f>IFERROR(__xludf.DUMMYFUNCTION("""COMPUTED_VALUE"""),0.0)</f>
        <v>0</v>
      </c>
      <c r="D10451" s="8"/>
    </row>
    <row r="10452">
      <c r="A10452" s="9" t="str">
        <f>IFERROR(__xludf.DUMMYFUNCTION("""COMPUTED_VALUE"""),"Batch 381")</f>
        <v>Batch 381</v>
      </c>
      <c r="B10452" s="9" t="str">
        <f>IFERROR(__xludf.DUMMYFUNCTION("""COMPUTED_VALUE"""),"SrabaniC381")</f>
        <v>SrabaniC381</v>
      </c>
      <c r="C10452" s="8">
        <f>IFERROR(__xludf.DUMMYFUNCTION("""COMPUTED_VALUE"""),0.0)</f>
        <v>0</v>
      </c>
      <c r="D10452" s="8"/>
    </row>
    <row r="10453">
      <c r="A10453" s="9" t="str">
        <f>IFERROR(__xludf.DUMMYFUNCTION("""COMPUTED_VALUE"""),"Batch 381")</f>
        <v>Batch 381</v>
      </c>
      <c r="B10453" s="9" t="str">
        <f>IFERROR(__xludf.DUMMYFUNCTION("""COMPUTED_VALUE"""),"AparajitaC381")</f>
        <v>AparajitaC381</v>
      </c>
      <c r="C10453" s="8">
        <f>IFERROR(__xludf.DUMMYFUNCTION("""COMPUTED_VALUE"""),67.0)</f>
        <v>67</v>
      </c>
      <c r="D10453" s="8">
        <f>IFERROR(__xludf.DUMMYFUNCTION("""COMPUTED_VALUE"""),9.0)</f>
        <v>9</v>
      </c>
    </row>
    <row r="10454">
      <c r="A10454" s="9" t="str">
        <f>IFERROR(__xludf.DUMMYFUNCTION("""COMPUTED_VALUE"""),"Batch 381")</f>
        <v>Batch 381</v>
      </c>
      <c r="B10454" s="9" t="str">
        <f>IFERROR(__xludf.DUMMYFUNCTION("""COMPUTED_VALUE"""),"MiliC381")</f>
        <v>MiliC381</v>
      </c>
      <c r="C10454" s="8">
        <f>IFERROR(__xludf.DUMMYFUNCTION("""COMPUTED_VALUE"""),0.0)</f>
        <v>0</v>
      </c>
      <c r="D10454" s="8"/>
    </row>
    <row r="10455">
      <c r="A10455" s="9" t="str">
        <f>IFERROR(__xludf.DUMMYFUNCTION("""COMPUTED_VALUE"""),"Batch 381")</f>
        <v>Batch 381</v>
      </c>
      <c r="B10455" s="9" t="str">
        <f>IFERROR(__xludf.DUMMYFUNCTION("""COMPUTED_VALUE"""),"MokshaC381")</f>
        <v>MokshaC381</v>
      </c>
      <c r="C10455" s="8">
        <f>IFERROR(__xludf.DUMMYFUNCTION("""COMPUTED_VALUE"""),1.0)</f>
        <v>1</v>
      </c>
      <c r="D10455" s="8"/>
    </row>
    <row r="10456">
      <c r="A10456" s="9" t="str">
        <f>IFERROR(__xludf.DUMMYFUNCTION("""COMPUTED_VALUE"""),"Batch 381")</f>
        <v>Batch 381</v>
      </c>
      <c r="B10456" s="9" t="str">
        <f>IFERROR(__xludf.DUMMYFUNCTION("""COMPUTED_VALUE"""),"RahulC381")</f>
        <v>RahulC381</v>
      </c>
      <c r="C10456" s="8">
        <f>IFERROR(__xludf.DUMMYFUNCTION("""COMPUTED_VALUE"""),0.0)</f>
        <v>0</v>
      </c>
      <c r="D10456" s="8"/>
    </row>
    <row r="10457">
      <c r="A10457" s="9" t="str">
        <f>IFERROR(__xludf.DUMMYFUNCTION("""COMPUTED_VALUE"""),"Batch 381")</f>
        <v>Batch 381</v>
      </c>
      <c r="B10457" s="9" t="str">
        <f>IFERROR(__xludf.DUMMYFUNCTION("""COMPUTED_VALUE"""),"AaryaC381")</f>
        <v>AaryaC381</v>
      </c>
      <c r="C10457" s="8">
        <f>IFERROR(__xludf.DUMMYFUNCTION("""COMPUTED_VALUE"""),0.0)</f>
        <v>0</v>
      </c>
      <c r="D10457" s="8"/>
    </row>
    <row r="10458">
      <c r="A10458" s="9" t="str">
        <f>IFERROR(__xludf.DUMMYFUNCTION("""COMPUTED_VALUE"""),"Batch 381")</f>
        <v>Batch 381</v>
      </c>
      <c r="B10458" s="9" t="str">
        <f>IFERROR(__xludf.DUMMYFUNCTION("""COMPUTED_VALUE"""),"KanadC381")</f>
        <v>KanadC381</v>
      </c>
      <c r="C10458" s="8">
        <f>IFERROR(__xludf.DUMMYFUNCTION("""COMPUTED_VALUE"""),0.0)</f>
        <v>0</v>
      </c>
      <c r="D10458" s="8"/>
    </row>
    <row r="10459">
      <c r="A10459" s="9" t="str">
        <f>IFERROR(__xludf.DUMMYFUNCTION("""COMPUTED_VALUE"""),"Batch 381")</f>
        <v>Batch 381</v>
      </c>
      <c r="B10459" s="9" t="str">
        <f>IFERROR(__xludf.DUMMYFUNCTION("""COMPUTED_VALUE"""),"AvniC381")</f>
        <v>AvniC381</v>
      </c>
      <c r="C10459" s="8">
        <f>IFERROR(__xludf.DUMMYFUNCTION("""COMPUTED_VALUE"""),0.0)</f>
        <v>0</v>
      </c>
      <c r="D10459" s="8"/>
    </row>
    <row r="10460">
      <c r="A10460" s="9" t="str">
        <f>IFERROR(__xludf.DUMMYFUNCTION("""COMPUTED_VALUE"""),"Batch 381")</f>
        <v>Batch 381</v>
      </c>
      <c r="B10460" s="9" t="str">
        <f>IFERROR(__xludf.DUMMYFUNCTION("""COMPUTED_VALUE"""),"SumitC381")</f>
        <v>SumitC381</v>
      </c>
      <c r="C10460" s="8">
        <f>IFERROR(__xludf.DUMMYFUNCTION("""COMPUTED_VALUE"""),5.0)</f>
        <v>5</v>
      </c>
      <c r="D10460" s="8"/>
    </row>
    <row r="10461">
      <c r="A10461" s="9" t="str">
        <f>IFERROR(__xludf.DUMMYFUNCTION("""COMPUTED_VALUE"""),"Batch 381")</f>
        <v>Batch 381</v>
      </c>
      <c r="B10461" s="9" t="str">
        <f>IFERROR(__xludf.DUMMYFUNCTION("""COMPUTED_VALUE"""),"HARSHITC381")</f>
        <v>HARSHITC381</v>
      </c>
      <c r="C10461" s="8">
        <f>IFERROR(__xludf.DUMMYFUNCTION("""COMPUTED_VALUE"""),0.0)</f>
        <v>0</v>
      </c>
      <c r="D10461" s="8">
        <f>IFERROR(__xludf.DUMMYFUNCTION("""COMPUTED_VALUE"""),8.0)</f>
        <v>8</v>
      </c>
    </row>
    <row r="10462">
      <c r="A10462" s="9" t="str">
        <f>IFERROR(__xludf.DUMMYFUNCTION("""COMPUTED_VALUE"""),"Batch 381")</f>
        <v>Batch 381</v>
      </c>
      <c r="B10462" s="9" t="str">
        <f>IFERROR(__xludf.DUMMYFUNCTION("""COMPUTED_VALUE"""),"ApurbaC381")</f>
        <v>ApurbaC381</v>
      </c>
      <c r="C10462" s="8">
        <f>IFERROR(__xludf.DUMMYFUNCTION("""COMPUTED_VALUE"""),0.0)</f>
        <v>0</v>
      </c>
      <c r="D10462" s="8"/>
    </row>
    <row r="10463">
      <c r="A10463" s="9" t="str">
        <f>IFERROR(__xludf.DUMMYFUNCTION("""COMPUTED_VALUE"""),"Batch 381")</f>
        <v>Batch 381</v>
      </c>
      <c r="B10463" s="9" t="str">
        <f>IFERROR(__xludf.DUMMYFUNCTION("""COMPUTED_VALUE"""),"KashishC381")</f>
        <v>KashishC381</v>
      </c>
      <c r="C10463" s="8">
        <f>IFERROR(__xludf.DUMMYFUNCTION("""COMPUTED_VALUE"""),0.0)</f>
        <v>0</v>
      </c>
      <c r="D10463" s="8"/>
    </row>
    <row r="10464">
      <c r="A10464" s="9" t="str">
        <f>IFERROR(__xludf.DUMMYFUNCTION("""COMPUTED_VALUE"""),"Batch 381")</f>
        <v>Batch 381</v>
      </c>
      <c r="B10464" s="9" t="str">
        <f>IFERROR(__xludf.DUMMYFUNCTION("""COMPUTED_VALUE"""),"ShashankC381")</f>
        <v>ShashankC381</v>
      </c>
      <c r="C10464" s="8">
        <f>IFERROR(__xludf.DUMMYFUNCTION("""COMPUTED_VALUE"""),5.0)</f>
        <v>5</v>
      </c>
      <c r="D10464" s="8"/>
    </row>
    <row r="10465">
      <c r="A10465" s="9"/>
      <c r="B10465" s="9"/>
      <c r="C10465" s="8">
        <f>IFERROR(__xludf.DUMMYFUNCTION("""COMPUTED_VALUE"""),0.0)</f>
        <v>0</v>
      </c>
      <c r="D10465" s="8"/>
    </row>
    <row r="10466">
      <c r="A10466" s="9" t="str">
        <f>IFERROR(__xludf.DUMMYFUNCTION("""COMPUTED_VALUE"""),"Batch 382")</f>
        <v>Batch 382</v>
      </c>
      <c r="B10466" s="9" t="str">
        <f>IFERROR(__xludf.DUMMYFUNCTION("""COMPUTED_VALUE"""),"InshaC382")</f>
        <v>InshaC382</v>
      </c>
      <c r="C10466" s="8">
        <f>IFERROR(__xludf.DUMMYFUNCTION("""COMPUTED_VALUE"""),0.0)</f>
        <v>0</v>
      </c>
      <c r="D10466" s="8"/>
    </row>
    <row r="10467">
      <c r="A10467" s="9" t="str">
        <f>IFERROR(__xludf.DUMMYFUNCTION("""COMPUTED_VALUE"""),"Batch 382")</f>
        <v>Batch 382</v>
      </c>
      <c r="B10467" s="9" t="str">
        <f>IFERROR(__xludf.DUMMYFUNCTION("""COMPUTED_VALUE"""),"RangoliC382")</f>
        <v>RangoliC382</v>
      </c>
      <c r="C10467" s="8">
        <f>IFERROR(__xludf.DUMMYFUNCTION("""COMPUTED_VALUE"""),0.0)</f>
        <v>0</v>
      </c>
      <c r="D10467" s="8"/>
    </row>
    <row r="10468">
      <c r="A10468" s="9" t="str">
        <f>IFERROR(__xludf.DUMMYFUNCTION("""COMPUTED_VALUE"""),"Batch 382")</f>
        <v>Batch 382</v>
      </c>
      <c r="B10468" s="9" t="str">
        <f>IFERROR(__xludf.DUMMYFUNCTION("""COMPUTED_VALUE"""),"DiyaC382")</f>
        <v>DiyaC382</v>
      </c>
      <c r="C10468" s="8">
        <f>IFERROR(__xludf.DUMMYFUNCTION("""COMPUTED_VALUE"""),0.0)</f>
        <v>0</v>
      </c>
      <c r="D10468" s="8"/>
    </row>
    <row r="10469">
      <c r="A10469" s="9" t="str">
        <f>IFERROR(__xludf.DUMMYFUNCTION("""COMPUTED_VALUE"""),"Batch 382")</f>
        <v>Batch 382</v>
      </c>
      <c r="B10469" s="9" t="str">
        <f>IFERROR(__xludf.DUMMYFUNCTION("""COMPUTED_VALUE"""),"DarshiniC382")</f>
        <v>DarshiniC382</v>
      </c>
      <c r="C10469" s="8">
        <f>IFERROR(__xludf.DUMMYFUNCTION("""COMPUTED_VALUE"""),0.0)</f>
        <v>0</v>
      </c>
      <c r="D10469" s="8"/>
    </row>
    <row r="10470">
      <c r="A10470" s="9" t="str">
        <f>IFERROR(__xludf.DUMMYFUNCTION("""COMPUTED_VALUE"""),"Batch 382")</f>
        <v>Batch 382</v>
      </c>
      <c r="B10470" s="9" t="str">
        <f>IFERROR(__xludf.DUMMYFUNCTION("""COMPUTED_VALUE"""),"SarojC382")</f>
        <v>SarojC382</v>
      </c>
      <c r="C10470" s="8">
        <f>IFERROR(__xludf.DUMMYFUNCTION("""COMPUTED_VALUE"""),0.0)</f>
        <v>0</v>
      </c>
      <c r="D10470" s="8"/>
    </row>
    <row r="10471">
      <c r="A10471" s="9" t="str">
        <f>IFERROR(__xludf.DUMMYFUNCTION("""COMPUTED_VALUE"""),"Batch 382")</f>
        <v>Batch 382</v>
      </c>
      <c r="B10471" s="9" t="str">
        <f>IFERROR(__xludf.DUMMYFUNCTION("""COMPUTED_VALUE"""),"DESHAWATHC382")</f>
        <v>DESHAWATHC382</v>
      </c>
      <c r="C10471" s="8">
        <f>IFERROR(__xludf.DUMMYFUNCTION("""COMPUTED_VALUE"""),2.0)</f>
        <v>2</v>
      </c>
      <c r="D10471" s="8">
        <f>IFERROR(__xludf.DUMMYFUNCTION("""COMPUTED_VALUE"""),3.0)</f>
        <v>3</v>
      </c>
    </row>
    <row r="10472">
      <c r="A10472" s="9" t="str">
        <f>IFERROR(__xludf.DUMMYFUNCTION("""COMPUTED_VALUE"""),"Batch 382")</f>
        <v>Batch 382</v>
      </c>
      <c r="B10472" s="9" t="str">
        <f>IFERROR(__xludf.DUMMYFUNCTION("""COMPUTED_VALUE"""),"KOKKILIGADDAC382")</f>
        <v>KOKKILIGADDAC382</v>
      </c>
      <c r="C10472" s="8">
        <f>IFERROR(__xludf.DUMMYFUNCTION("""COMPUTED_VALUE"""),0.0)</f>
        <v>0</v>
      </c>
      <c r="D10472" s="8"/>
    </row>
    <row r="10473">
      <c r="A10473" s="9" t="str">
        <f>IFERROR(__xludf.DUMMYFUNCTION("""COMPUTED_VALUE"""),"Batch 382")</f>
        <v>Batch 382</v>
      </c>
      <c r="B10473" s="9" t="str">
        <f>IFERROR(__xludf.DUMMYFUNCTION("""COMPUTED_VALUE"""),"AbhinavC382")</f>
        <v>AbhinavC382</v>
      </c>
      <c r="C10473" s="8">
        <f>IFERROR(__xludf.DUMMYFUNCTION("""COMPUTED_VALUE"""),0.0)</f>
        <v>0</v>
      </c>
      <c r="D10473" s="8"/>
    </row>
    <row r="10474">
      <c r="A10474" s="9" t="str">
        <f>IFERROR(__xludf.DUMMYFUNCTION("""COMPUTED_VALUE"""),"Batch 382")</f>
        <v>Batch 382</v>
      </c>
      <c r="B10474" s="9" t="str">
        <f>IFERROR(__xludf.DUMMYFUNCTION("""COMPUTED_VALUE"""),"SanojC382")</f>
        <v>SanojC382</v>
      </c>
      <c r="C10474" s="8">
        <f>IFERROR(__xludf.DUMMYFUNCTION("""COMPUTED_VALUE"""),0.0)</f>
        <v>0</v>
      </c>
      <c r="D10474" s="8"/>
    </row>
    <row r="10475">
      <c r="A10475" s="9" t="str">
        <f>IFERROR(__xludf.DUMMYFUNCTION("""COMPUTED_VALUE"""),"Batch 382")</f>
        <v>Batch 382</v>
      </c>
      <c r="B10475" s="9" t="str">
        <f>IFERROR(__xludf.DUMMYFUNCTION("""COMPUTED_VALUE"""),"ChinthalaC382")</f>
        <v>ChinthalaC382</v>
      </c>
      <c r="C10475" s="8">
        <f>IFERROR(__xludf.DUMMYFUNCTION("""COMPUTED_VALUE"""),17.0)</f>
        <v>17</v>
      </c>
      <c r="D10475" s="8">
        <f>IFERROR(__xludf.DUMMYFUNCTION("""COMPUTED_VALUE"""),43.0)</f>
        <v>43</v>
      </c>
    </row>
    <row r="10476">
      <c r="A10476" s="9" t="str">
        <f>IFERROR(__xludf.DUMMYFUNCTION("""COMPUTED_VALUE"""),"Batch 382")</f>
        <v>Batch 382</v>
      </c>
      <c r="B10476" s="9" t="str">
        <f>IFERROR(__xludf.DUMMYFUNCTION("""COMPUTED_VALUE"""),"RaviC382")</f>
        <v>RaviC382</v>
      </c>
      <c r="C10476" s="8">
        <f>IFERROR(__xludf.DUMMYFUNCTION("""COMPUTED_VALUE"""),0.0)</f>
        <v>0</v>
      </c>
      <c r="D10476" s="8"/>
    </row>
    <row r="10477">
      <c r="A10477" s="9" t="str">
        <f>IFERROR(__xludf.DUMMYFUNCTION("""COMPUTED_VALUE"""),"Batch 382")</f>
        <v>Batch 382</v>
      </c>
      <c r="B10477" s="9" t="str">
        <f>IFERROR(__xludf.DUMMYFUNCTION("""COMPUTED_VALUE"""),"AnushkaC382")</f>
        <v>AnushkaC382</v>
      </c>
      <c r="C10477" s="8">
        <f>IFERROR(__xludf.DUMMYFUNCTION("""COMPUTED_VALUE"""),0.0)</f>
        <v>0</v>
      </c>
      <c r="D10477" s="8"/>
    </row>
    <row r="10478">
      <c r="A10478" s="9" t="str">
        <f>IFERROR(__xludf.DUMMYFUNCTION("""COMPUTED_VALUE"""),"Batch 382")</f>
        <v>Batch 382</v>
      </c>
      <c r="B10478" s="9" t="str">
        <f>IFERROR(__xludf.DUMMYFUNCTION("""COMPUTED_VALUE"""),"AnhadC382")</f>
        <v>AnhadC382</v>
      </c>
      <c r="C10478" s="8">
        <f>IFERROR(__xludf.DUMMYFUNCTION("""COMPUTED_VALUE"""),0.0)</f>
        <v>0</v>
      </c>
      <c r="D10478" s="8"/>
    </row>
    <row r="10479">
      <c r="A10479" s="9" t="str">
        <f>IFERROR(__xludf.DUMMYFUNCTION("""COMPUTED_VALUE"""),"Batch 382")</f>
        <v>Batch 382</v>
      </c>
      <c r="B10479" s="9" t="str">
        <f>IFERROR(__xludf.DUMMYFUNCTION("""COMPUTED_VALUE"""),"PragyanshreeC382")</f>
        <v>PragyanshreeC382</v>
      </c>
      <c r="C10479" s="8">
        <f>IFERROR(__xludf.DUMMYFUNCTION("""COMPUTED_VALUE"""),0.0)</f>
        <v>0</v>
      </c>
      <c r="D10479" s="8"/>
    </row>
    <row r="10480">
      <c r="A10480" s="9" t="str">
        <f>IFERROR(__xludf.DUMMYFUNCTION("""COMPUTED_VALUE"""),"Batch 382")</f>
        <v>Batch 382</v>
      </c>
      <c r="B10480" s="9" t="str">
        <f>IFERROR(__xludf.DUMMYFUNCTION("""COMPUTED_VALUE"""),"PoonanshC382")</f>
        <v>PoonanshC382</v>
      </c>
      <c r="C10480" s="8">
        <f>IFERROR(__xludf.DUMMYFUNCTION("""COMPUTED_VALUE"""),0.0)</f>
        <v>0</v>
      </c>
      <c r="D10480" s="8"/>
    </row>
    <row r="10481">
      <c r="A10481" s="9" t="str">
        <f>IFERROR(__xludf.DUMMYFUNCTION("""COMPUTED_VALUE"""),"Batch 382")</f>
        <v>Batch 382</v>
      </c>
      <c r="B10481" s="9" t="str">
        <f>IFERROR(__xludf.DUMMYFUNCTION("""COMPUTED_VALUE"""),"MariyaC382")</f>
        <v>MariyaC382</v>
      </c>
      <c r="C10481" s="8">
        <f>IFERROR(__xludf.DUMMYFUNCTION("""COMPUTED_VALUE"""),0.0)</f>
        <v>0</v>
      </c>
      <c r="D10481" s="8"/>
    </row>
    <row r="10482">
      <c r="A10482" s="9" t="str">
        <f>IFERROR(__xludf.DUMMYFUNCTION("""COMPUTED_VALUE"""),"Batch 382")</f>
        <v>Batch 382</v>
      </c>
      <c r="B10482" s="9" t="str">
        <f>IFERROR(__xludf.DUMMYFUNCTION("""COMPUTED_VALUE"""),"PriyadarshiniC382")</f>
        <v>PriyadarshiniC382</v>
      </c>
      <c r="C10482" s="8">
        <f>IFERROR(__xludf.DUMMYFUNCTION("""COMPUTED_VALUE"""),0.0)</f>
        <v>0</v>
      </c>
      <c r="D10482" s="8"/>
    </row>
    <row r="10483">
      <c r="A10483" s="9" t="str">
        <f>IFERROR(__xludf.DUMMYFUNCTION("""COMPUTED_VALUE"""),"Batch 382")</f>
        <v>Batch 382</v>
      </c>
      <c r="B10483" s="9" t="str">
        <f>IFERROR(__xludf.DUMMYFUNCTION("""COMPUTED_VALUE"""),"B.SaiC382")</f>
        <v>B.SaiC382</v>
      </c>
      <c r="C10483" s="8">
        <f>IFERROR(__xludf.DUMMYFUNCTION("""COMPUTED_VALUE"""),0.0)</f>
        <v>0</v>
      </c>
      <c r="D10483" s="8"/>
    </row>
    <row r="10484">
      <c r="A10484" s="9" t="str">
        <f>IFERROR(__xludf.DUMMYFUNCTION("""COMPUTED_VALUE"""),"Batch 382")</f>
        <v>Batch 382</v>
      </c>
      <c r="B10484" s="9" t="str">
        <f>IFERROR(__xludf.DUMMYFUNCTION("""COMPUTED_VALUE"""),"MayC382")</f>
        <v>MayC382</v>
      </c>
      <c r="C10484" s="8">
        <f>IFERROR(__xludf.DUMMYFUNCTION("""COMPUTED_VALUE"""),0.0)</f>
        <v>0</v>
      </c>
      <c r="D10484" s="8"/>
    </row>
    <row r="10485">
      <c r="A10485" s="9" t="str">
        <f>IFERROR(__xludf.DUMMYFUNCTION("""COMPUTED_VALUE"""),"Batch 382")</f>
        <v>Batch 382</v>
      </c>
      <c r="B10485" s="9" t="str">
        <f>IFERROR(__xludf.DUMMYFUNCTION("""COMPUTED_VALUE"""),"DeepanshuC382")</f>
        <v>DeepanshuC382</v>
      </c>
      <c r="C10485" s="8">
        <f>IFERROR(__xludf.DUMMYFUNCTION("""COMPUTED_VALUE"""),0.0)</f>
        <v>0</v>
      </c>
      <c r="D10485" s="8"/>
    </row>
    <row r="10486">
      <c r="A10486" s="9" t="str">
        <f>IFERROR(__xludf.DUMMYFUNCTION("""COMPUTED_VALUE"""),"Batch 382")</f>
        <v>Batch 382</v>
      </c>
      <c r="B10486" s="9" t="str">
        <f>IFERROR(__xludf.DUMMYFUNCTION("""COMPUTED_VALUE"""),"RounakC382")</f>
        <v>RounakC382</v>
      </c>
      <c r="C10486" s="8">
        <f>IFERROR(__xludf.DUMMYFUNCTION("""COMPUTED_VALUE"""),0.0)</f>
        <v>0</v>
      </c>
      <c r="D10486" s="8"/>
    </row>
    <row r="10487">
      <c r="A10487" s="9" t="str">
        <f>IFERROR(__xludf.DUMMYFUNCTION("""COMPUTED_VALUE"""),"Batch 382")</f>
        <v>Batch 382</v>
      </c>
      <c r="B10487" s="9" t="str">
        <f>IFERROR(__xludf.DUMMYFUNCTION("""COMPUTED_VALUE"""),"BarkhaC382")</f>
        <v>BarkhaC382</v>
      </c>
      <c r="C10487" s="8">
        <f>IFERROR(__xludf.DUMMYFUNCTION("""COMPUTED_VALUE"""),9.0)</f>
        <v>9</v>
      </c>
      <c r="D10487" s="8">
        <f>IFERROR(__xludf.DUMMYFUNCTION("""COMPUTED_VALUE"""),4.0)</f>
        <v>4</v>
      </c>
    </row>
    <row r="10488">
      <c r="A10488" s="9" t="str">
        <f>IFERROR(__xludf.DUMMYFUNCTION("""COMPUTED_VALUE"""),"Batch 382")</f>
        <v>Batch 382</v>
      </c>
      <c r="B10488" s="9" t="str">
        <f>IFERROR(__xludf.DUMMYFUNCTION("""COMPUTED_VALUE"""),"SanjeetC382")</f>
        <v>SanjeetC382</v>
      </c>
      <c r="C10488" s="8">
        <f>IFERROR(__xludf.DUMMYFUNCTION("""COMPUTED_VALUE"""),0.0)</f>
        <v>0</v>
      </c>
      <c r="D10488" s="8"/>
    </row>
    <row r="10489">
      <c r="A10489" s="9" t="str">
        <f>IFERROR(__xludf.DUMMYFUNCTION("""COMPUTED_VALUE"""),"Batch 382")</f>
        <v>Batch 382</v>
      </c>
      <c r="B10489" s="9" t="str">
        <f>IFERROR(__xludf.DUMMYFUNCTION("""COMPUTED_VALUE"""),"MishthiC382")</f>
        <v>MishthiC382</v>
      </c>
      <c r="C10489" s="8">
        <f>IFERROR(__xludf.DUMMYFUNCTION("""COMPUTED_VALUE"""),0.0)</f>
        <v>0</v>
      </c>
      <c r="D10489" s="8"/>
    </row>
    <row r="10490">
      <c r="A10490" s="9" t="str">
        <f>IFERROR(__xludf.DUMMYFUNCTION("""COMPUTED_VALUE"""),"Batch 382")</f>
        <v>Batch 382</v>
      </c>
      <c r="B10490" s="9" t="str">
        <f>IFERROR(__xludf.DUMMYFUNCTION("""COMPUTED_VALUE"""),"AmitC382")</f>
        <v>AmitC382</v>
      </c>
      <c r="C10490" s="8">
        <f>IFERROR(__xludf.DUMMYFUNCTION("""COMPUTED_VALUE"""),0.0)</f>
        <v>0</v>
      </c>
      <c r="D10490" s="8"/>
    </row>
    <row r="10491">
      <c r="A10491" s="9" t="str">
        <f>IFERROR(__xludf.DUMMYFUNCTION("""COMPUTED_VALUE"""),"Batch 382")</f>
        <v>Batch 382</v>
      </c>
      <c r="B10491" s="9" t="str">
        <f>IFERROR(__xludf.DUMMYFUNCTION("""COMPUTED_VALUE"""),"MaheshC382")</f>
        <v>MaheshC382</v>
      </c>
      <c r="C10491" s="8">
        <f>IFERROR(__xludf.DUMMYFUNCTION("""COMPUTED_VALUE"""),0.0)</f>
        <v>0</v>
      </c>
      <c r="D10491" s="8"/>
    </row>
    <row r="10492">
      <c r="A10492" s="9" t="str">
        <f>IFERROR(__xludf.DUMMYFUNCTION("""COMPUTED_VALUE"""),"Batch 382")</f>
        <v>Batch 382</v>
      </c>
      <c r="B10492" s="9" t="str">
        <f>IFERROR(__xludf.DUMMYFUNCTION("""COMPUTED_VALUE"""),"KrishnanshuC382")</f>
        <v>KrishnanshuC382</v>
      </c>
      <c r="C10492" s="8">
        <f>IFERROR(__xludf.DUMMYFUNCTION("""COMPUTED_VALUE"""),2.0)</f>
        <v>2</v>
      </c>
      <c r="D10492" s="8"/>
    </row>
    <row r="10493">
      <c r="A10493" s="9" t="str">
        <f>IFERROR(__xludf.DUMMYFUNCTION("""COMPUTED_VALUE"""),"Batch 382")</f>
        <v>Batch 382</v>
      </c>
      <c r="B10493" s="9" t="str">
        <f>IFERROR(__xludf.DUMMYFUNCTION("""COMPUTED_VALUE"""),"NomanC382")</f>
        <v>NomanC382</v>
      </c>
      <c r="C10493" s="8">
        <f>IFERROR(__xludf.DUMMYFUNCTION("""COMPUTED_VALUE"""),0.0)</f>
        <v>0</v>
      </c>
      <c r="D10493" s="8"/>
    </row>
    <row r="10494">
      <c r="A10494" s="9" t="str">
        <f>IFERROR(__xludf.DUMMYFUNCTION("""COMPUTED_VALUE"""),"Batch 382")</f>
        <v>Batch 382</v>
      </c>
      <c r="B10494" s="9" t="str">
        <f>IFERROR(__xludf.DUMMYFUNCTION("""COMPUTED_VALUE"""),"SivaC382")</f>
        <v>SivaC382</v>
      </c>
      <c r="C10494" s="8">
        <f>IFERROR(__xludf.DUMMYFUNCTION("""COMPUTED_VALUE"""),0.0)</f>
        <v>0</v>
      </c>
      <c r="D10494" s="8"/>
    </row>
    <row r="10495">
      <c r="A10495" s="9" t="str">
        <f>IFERROR(__xludf.DUMMYFUNCTION("""COMPUTED_VALUE"""),"Batch 382")</f>
        <v>Batch 382</v>
      </c>
      <c r="B10495" s="9" t="str">
        <f>IFERROR(__xludf.DUMMYFUNCTION("""COMPUTED_VALUE"""),"KARANC382")</f>
        <v>KARANC382</v>
      </c>
      <c r="C10495" s="8">
        <f>IFERROR(__xludf.DUMMYFUNCTION("""COMPUTED_VALUE"""),0.0)</f>
        <v>0</v>
      </c>
      <c r="D10495" s="8"/>
    </row>
    <row r="10496">
      <c r="A10496" s="9"/>
      <c r="B10496" s="9"/>
      <c r="C10496" s="8">
        <f>IFERROR(__xludf.DUMMYFUNCTION("""COMPUTED_VALUE"""),0.0)</f>
        <v>0</v>
      </c>
      <c r="D10496" s="8"/>
    </row>
    <row r="10497">
      <c r="A10497" s="9" t="str">
        <f>IFERROR(__xludf.DUMMYFUNCTION("""COMPUTED_VALUE"""),"Batch 383")</f>
        <v>Batch 383</v>
      </c>
      <c r="B10497" s="9" t="str">
        <f>IFERROR(__xludf.DUMMYFUNCTION("""COMPUTED_VALUE"""),"SHARMILA.MC383")</f>
        <v>SHARMILA.MC383</v>
      </c>
      <c r="C10497" s="8">
        <f>IFERROR(__xludf.DUMMYFUNCTION("""COMPUTED_VALUE"""),0.0)</f>
        <v>0</v>
      </c>
      <c r="D10497" s="8"/>
    </row>
    <row r="10498">
      <c r="A10498" s="9" t="str">
        <f>IFERROR(__xludf.DUMMYFUNCTION("""COMPUTED_VALUE"""),"Batch 383")</f>
        <v>Batch 383</v>
      </c>
      <c r="B10498" s="9" t="str">
        <f>IFERROR(__xludf.DUMMYFUNCTION("""COMPUTED_VALUE"""),"JanmejayC383")</f>
        <v>JanmejayC383</v>
      </c>
      <c r="C10498" s="8">
        <f>IFERROR(__xludf.DUMMYFUNCTION("""COMPUTED_VALUE"""),0.0)</f>
        <v>0</v>
      </c>
      <c r="D10498" s="8"/>
    </row>
    <row r="10499">
      <c r="A10499" s="9" t="str">
        <f>IFERROR(__xludf.DUMMYFUNCTION("""COMPUTED_VALUE"""),"Batch 383")</f>
        <v>Batch 383</v>
      </c>
      <c r="B10499" s="9" t="str">
        <f>IFERROR(__xludf.DUMMYFUNCTION("""COMPUTED_VALUE"""),"PemmasaniC383")</f>
        <v>PemmasaniC383</v>
      </c>
      <c r="C10499" s="8">
        <f>IFERROR(__xludf.DUMMYFUNCTION("""COMPUTED_VALUE"""),0.0)</f>
        <v>0</v>
      </c>
      <c r="D10499" s="8"/>
    </row>
    <row r="10500">
      <c r="A10500" s="9" t="str">
        <f>IFERROR(__xludf.DUMMYFUNCTION("""COMPUTED_VALUE"""),"Batch 383")</f>
        <v>Batch 383</v>
      </c>
      <c r="B10500" s="9" t="str">
        <f>IFERROR(__xludf.DUMMYFUNCTION("""COMPUTED_VALUE"""),"AkashC383")</f>
        <v>AkashC383</v>
      </c>
      <c r="C10500" s="8">
        <f>IFERROR(__xludf.DUMMYFUNCTION("""COMPUTED_VALUE"""),0.0)</f>
        <v>0</v>
      </c>
      <c r="D10500" s="8"/>
    </row>
    <row r="10501">
      <c r="A10501" s="9" t="str">
        <f>IFERROR(__xludf.DUMMYFUNCTION("""COMPUTED_VALUE"""),"Batch 383")</f>
        <v>Batch 383</v>
      </c>
      <c r="B10501" s="9" t="str">
        <f>IFERROR(__xludf.DUMMYFUNCTION("""COMPUTED_VALUE"""),"AshishC383")</f>
        <v>AshishC383</v>
      </c>
      <c r="C10501" s="8">
        <f>IFERROR(__xludf.DUMMYFUNCTION("""COMPUTED_VALUE"""),0.0)</f>
        <v>0</v>
      </c>
      <c r="D10501" s="8"/>
    </row>
    <row r="10502">
      <c r="A10502" s="9" t="str">
        <f>IFERROR(__xludf.DUMMYFUNCTION("""COMPUTED_VALUE"""),"Batch 383")</f>
        <v>Batch 383</v>
      </c>
      <c r="B10502" s="9" t="str">
        <f>IFERROR(__xludf.DUMMYFUNCTION("""COMPUTED_VALUE"""),"SurajC383")</f>
        <v>SurajC383</v>
      </c>
      <c r="C10502" s="8">
        <f>IFERROR(__xludf.DUMMYFUNCTION("""COMPUTED_VALUE"""),0.0)</f>
        <v>0</v>
      </c>
      <c r="D10502" s="8"/>
    </row>
    <row r="10503">
      <c r="A10503" s="9" t="str">
        <f>IFERROR(__xludf.DUMMYFUNCTION("""COMPUTED_VALUE"""),"Batch 383")</f>
        <v>Batch 383</v>
      </c>
      <c r="B10503" s="9" t="str">
        <f>IFERROR(__xludf.DUMMYFUNCTION("""COMPUTED_VALUE"""),"TejikaC383")</f>
        <v>TejikaC383</v>
      </c>
      <c r="C10503" s="8">
        <f>IFERROR(__xludf.DUMMYFUNCTION("""COMPUTED_VALUE"""),0.0)</f>
        <v>0</v>
      </c>
      <c r="D10503" s="8"/>
    </row>
    <row r="10504">
      <c r="A10504" s="9" t="str">
        <f>IFERROR(__xludf.DUMMYFUNCTION("""COMPUTED_VALUE"""),"Batch 383")</f>
        <v>Batch 383</v>
      </c>
      <c r="B10504" s="9" t="str">
        <f>IFERROR(__xludf.DUMMYFUNCTION("""COMPUTED_VALUE"""),"ShashwatiC383")</f>
        <v>ShashwatiC383</v>
      </c>
      <c r="C10504" s="8">
        <f>IFERROR(__xludf.DUMMYFUNCTION("""COMPUTED_VALUE"""),0.0)</f>
        <v>0</v>
      </c>
      <c r="D10504" s="8"/>
    </row>
    <row r="10505">
      <c r="A10505" s="9" t="str">
        <f>IFERROR(__xludf.DUMMYFUNCTION("""COMPUTED_VALUE"""),"Batch 383")</f>
        <v>Batch 383</v>
      </c>
      <c r="B10505" s="9" t="str">
        <f>IFERROR(__xludf.DUMMYFUNCTION("""COMPUTED_VALUE"""),"SahilC383")</f>
        <v>SahilC383</v>
      </c>
      <c r="C10505" s="8">
        <f>IFERROR(__xludf.DUMMYFUNCTION("""COMPUTED_VALUE"""),0.0)</f>
        <v>0</v>
      </c>
      <c r="D10505" s="8"/>
    </row>
    <row r="10506">
      <c r="A10506" s="9" t="str">
        <f>IFERROR(__xludf.DUMMYFUNCTION("""COMPUTED_VALUE"""),"Batch 383")</f>
        <v>Batch 383</v>
      </c>
      <c r="B10506" s="9" t="str">
        <f>IFERROR(__xludf.DUMMYFUNCTION("""COMPUTED_VALUE"""),"JeetC383")</f>
        <v>JeetC383</v>
      </c>
      <c r="C10506" s="8">
        <f>IFERROR(__xludf.DUMMYFUNCTION("""COMPUTED_VALUE"""),0.0)</f>
        <v>0</v>
      </c>
      <c r="D10506" s="8"/>
    </row>
    <row r="10507">
      <c r="A10507" s="9" t="str">
        <f>IFERROR(__xludf.DUMMYFUNCTION("""COMPUTED_VALUE"""),"Batch 383")</f>
        <v>Batch 383</v>
      </c>
      <c r="B10507" s="9" t="str">
        <f>IFERROR(__xludf.DUMMYFUNCTION("""COMPUTED_VALUE"""),"KhyathiC383")</f>
        <v>KhyathiC383</v>
      </c>
      <c r="C10507" s="8">
        <f>IFERROR(__xludf.DUMMYFUNCTION("""COMPUTED_VALUE"""),0.0)</f>
        <v>0</v>
      </c>
      <c r="D10507" s="8"/>
    </row>
    <row r="10508">
      <c r="A10508" s="9" t="str">
        <f>IFERROR(__xludf.DUMMYFUNCTION("""COMPUTED_VALUE"""),"Batch 383")</f>
        <v>Batch 383</v>
      </c>
      <c r="B10508" s="9" t="str">
        <f>IFERROR(__xludf.DUMMYFUNCTION("""COMPUTED_VALUE"""),"PriyadarshiniC383")</f>
        <v>PriyadarshiniC383</v>
      </c>
      <c r="C10508" s="8">
        <f>IFERROR(__xludf.DUMMYFUNCTION("""COMPUTED_VALUE"""),0.0)</f>
        <v>0</v>
      </c>
      <c r="D10508" s="8"/>
    </row>
    <row r="10509">
      <c r="A10509" s="9" t="str">
        <f>IFERROR(__xludf.DUMMYFUNCTION("""COMPUTED_VALUE"""),"Batch 383")</f>
        <v>Batch 383</v>
      </c>
      <c r="B10509" s="9" t="str">
        <f>IFERROR(__xludf.DUMMYFUNCTION("""COMPUTED_VALUE"""),"ManishC383")</f>
        <v>ManishC383</v>
      </c>
      <c r="C10509" s="8">
        <f>IFERROR(__xludf.DUMMYFUNCTION("""COMPUTED_VALUE"""),25.0)</f>
        <v>25</v>
      </c>
      <c r="D10509" s="8">
        <f>IFERROR(__xludf.DUMMYFUNCTION("""COMPUTED_VALUE"""),6.0)</f>
        <v>6</v>
      </c>
    </row>
    <row r="10510">
      <c r="A10510" s="9" t="str">
        <f>IFERROR(__xludf.DUMMYFUNCTION("""COMPUTED_VALUE"""),"Batch 383")</f>
        <v>Batch 383</v>
      </c>
      <c r="B10510" s="9" t="str">
        <f>IFERROR(__xludf.DUMMYFUNCTION("""COMPUTED_VALUE"""),"BhartiC383")</f>
        <v>BhartiC383</v>
      </c>
      <c r="C10510" s="8">
        <f>IFERROR(__xludf.DUMMYFUNCTION("""COMPUTED_VALUE"""),3.0)</f>
        <v>3</v>
      </c>
      <c r="D10510" s="8"/>
    </row>
    <row r="10511">
      <c r="A10511" s="9" t="str">
        <f>IFERROR(__xludf.DUMMYFUNCTION("""COMPUTED_VALUE"""),"Batch 383")</f>
        <v>Batch 383</v>
      </c>
      <c r="B10511" s="9" t="str">
        <f>IFERROR(__xludf.DUMMYFUNCTION("""COMPUTED_VALUE"""),"GorantlaC383")</f>
        <v>GorantlaC383</v>
      </c>
      <c r="C10511" s="8">
        <f>IFERROR(__xludf.DUMMYFUNCTION("""COMPUTED_VALUE"""),1.0)</f>
        <v>1</v>
      </c>
      <c r="D10511" s="8"/>
    </row>
    <row r="10512">
      <c r="A10512" s="9" t="str">
        <f>IFERROR(__xludf.DUMMYFUNCTION("""COMPUTED_VALUE"""),"Batch 383")</f>
        <v>Batch 383</v>
      </c>
      <c r="B10512" s="9" t="str">
        <f>IFERROR(__xludf.DUMMYFUNCTION("""COMPUTED_VALUE"""),"MohammedC383")</f>
        <v>MohammedC383</v>
      </c>
      <c r="C10512" s="8">
        <f>IFERROR(__xludf.DUMMYFUNCTION("""COMPUTED_VALUE"""),0.0)</f>
        <v>0</v>
      </c>
      <c r="D10512" s="8"/>
    </row>
    <row r="10513">
      <c r="A10513" s="9" t="str">
        <f>IFERROR(__xludf.DUMMYFUNCTION("""COMPUTED_VALUE"""),"Batch 383")</f>
        <v>Batch 383</v>
      </c>
      <c r="B10513" s="9" t="str">
        <f>IFERROR(__xludf.DUMMYFUNCTION("""COMPUTED_VALUE"""),"PoojaC383")</f>
        <v>PoojaC383</v>
      </c>
      <c r="C10513" s="8">
        <f>IFERROR(__xludf.DUMMYFUNCTION("""COMPUTED_VALUE"""),0.0)</f>
        <v>0</v>
      </c>
      <c r="D10513" s="8"/>
    </row>
    <row r="10514">
      <c r="A10514" s="9" t="str">
        <f>IFERROR(__xludf.DUMMYFUNCTION("""COMPUTED_VALUE"""),"Batch 383")</f>
        <v>Batch 383</v>
      </c>
      <c r="B10514" s="9" t="str">
        <f>IFERROR(__xludf.DUMMYFUNCTION("""COMPUTED_VALUE"""),"SMRITIC383")</f>
        <v>SMRITIC383</v>
      </c>
      <c r="C10514" s="8">
        <f>IFERROR(__xludf.DUMMYFUNCTION("""COMPUTED_VALUE"""),59.0)</f>
        <v>59</v>
      </c>
      <c r="D10514" s="8">
        <f>IFERROR(__xludf.DUMMYFUNCTION("""COMPUTED_VALUE"""),10.0)</f>
        <v>10</v>
      </c>
    </row>
    <row r="10515">
      <c r="A10515" s="9" t="str">
        <f>IFERROR(__xludf.DUMMYFUNCTION("""COMPUTED_VALUE"""),"Batch 383")</f>
        <v>Batch 383</v>
      </c>
      <c r="B10515" s="9" t="str">
        <f>IFERROR(__xludf.DUMMYFUNCTION("""COMPUTED_VALUE"""),"KalaivaniC383")</f>
        <v>KalaivaniC383</v>
      </c>
      <c r="C10515" s="8">
        <f>IFERROR(__xludf.DUMMYFUNCTION("""COMPUTED_VALUE"""),0.0)</f>
        <v>0</v>
      </c>
      <c r="D10515" s="8"/>
    </row>
    <row r="10516">
      <c r="A10516" s="9" t="str">
        <f>IFERROR(__xludf.DUMMYFUNCTION("""COMPUTED_VALUE"""),"Batch 383")</f>
        <v>Batch 383</v>
      </c>
      <c r="B10516" s="9" t="str">
        <f>IFERROR(__xludf.DUMMYFUNCTION("""COMPUTED_VALUE"""),"BOMPELLYC383")</f>
        <v>BOMPELLYC383</v>
      </c>
      <c r="C10516" s="8">
        <f>IFERROR(__xludf.DUMMYFUNCTION("""COMPUTED_VALUE"""),0.0)</f>
        <v>0</v>
      </c>
      <c r="D10516" s="8"/>
    </row>
    <row r="10517">
      <c r="A10517" s="9" t="str">
        <f>IFERROR(__xludf.DUMMYFUNCTION("""COMPUTED_VALUE"""),"Batch 383")</f>
        <v>Batch 383</v>
      </c>
      <c r="B10517" s="9" t="str">
        <f>IFERROR(__xludf.DUMMYFUNCTION("""COMPUTED_VALUE"""),"YashikaC383")</f>
        <v>YashikaC383</v>
      </c>
      <c r="C10517" s="8">
        <f>IFERROR(__xludf.DUMMYFUNCTION("""COMPUTED_VALUE"""),0.0)</f>
        <v>0</v>
      </c>
      <c r="D10517" s="8"/>
    </row>
    <row r="10518">
      <c r="A10518" s="9" t="str">
        <f>IFERROR(__xludf.DUMMYFUNCTION("""COMPUTED_VALUE"""),"Batch 383")</f>
        <v>Batch 383</v>
      </c>
      <c r="B10518" s="9" t="str">
        <f>IFERROR(__xludf.DUMMYFUNCTION("""COMPUTED_VALUE"""),"AntrikshC383")</f>
        <v>AntrikshC383</v>
      </c>
      <c r="C10518" s="8">
        <f>IFERROR(__xludf.DUMMYFUNCTION("""COMPUTED_VALUE"""),0.0)</f>
        <v>0</v>
      </c>
      <c r="D10518" s="8"/>
    </row>
    <row r="10519">
      <c r="A10519" s="9" t="str">
        <f>IFERROR(__xludf.DUMMYFUNCTION("""COMPUTED_VALUE"""),"Batch 383")</f>
        <v>Batch 383</v>
      </c>
      <c r="B10519" s="9" t="str">
        <f>IFERROR(__xludf.DUMMYFUNCTION("""COMPUTED_VALUE"""),"AjaypalC383")</f>
        <v>AjaypalC383</v>
      </c>
      <c r="C10519" s="8">
        <f>IFERROR(__xludf.DUMMYFUNCTION("""COMPUTED_VALUE"""),0.0)</f>
        <v>0</v>
      </c>
      <c r="D10519" s="8"/>
    </row>
    <row r="10520">
      <c r="A10520" s="9" t="str">
        <f>IFERROR(__xludf.DUMMYFUNCTION("""COMPUTED_VALUE"""),"Batch 383")</f>
        <v>Batch 383</v>
      </c>
      <c r="B10520" s="9" t="str">
        <f>IFERROR(__xludf.DUMMYFUNCTION("""COMPUTED_VALUE"""),"AishwaryC383")</f>
        <v>AishwaryC383</v>
      </c>
      <c r="C10520" s="8">
        <f>IFERROR(__xludf.DUMMYFUNCTION("""COMPUTED_VALUE"""),0.0)</f>
        <v>0</v>
      </c>
      <c r="D10520" s="8">
        <f>IFERROR(__xludf.DUMMYFUNCTION("""COMPUTED_VALUE"""),4.0)</f>
        <v>4</v>
      </c>
    </row>
    <row r="10521">
      <c r="A10521" s="9" t="str">
        <f>IFERROR(__xludf.DUMMYFUNCTION("""COMPUTED_VALUE"""),"Batch 383")</f>
        <v>Batch 383</v>
      </c>
      <c r="B10521" s="9" t="str">
        <f>IFERROR(__xludf.DUMMYFUNCTION("""COMPUTED_VALUE"""),"kammariC383")</f>
        <v>kammariC383</v>
      </c>
      <c r="C10521" s="8">
        <f>IFERROR(__xludf.DUMMYFUNCTION("""COMPUTED_VALUE"""),0.0)</f>
        <v>0</v>
      </c>
      <c r="D10521" s="8"/>
    </row>
    <row r="10522">
      <c r="A10522" s="9" t="str">
        <f>IFERROR(__xludf.DUMMYFUNCTION("""COMPUTED_VALUE"""),"Batch 383")</f>
        <v>Batch 383</v>
      </c>
      <c r="B10522" s="9" t="str">
        <f>IFERROR(__xludf.DUMMYFUNCTION("""COMPUTED_VALUE"""),"GauravC383")</f>
        <v>GauravC383</v>
      </c>
      <c r="C10522" s="8">
        <f>IFERROR(__xludf.DUMMYFUNCTION("""COMPUTED_VALUE"""),0.0)</f>
        <v>0</v>
      </c>
      <c r="D10522" s="8"/>
    </row>
    <row r="10523">
      <c r="A10523" s="9" t="str">
        <f>IFERROR(__xludf.DUMMYFUNCTION("""COMPUTED_VALUE"""),"Batch 383")</f>
        <v>Batch 383</v>
      </c>
      <c r="B10523" s="9" t="str">
        <f>IFERROR(__xludf.DUMMYFUNCTION("""COMPUTED_VALUE"""),"AkshayaC383")</f>
        <v>AkshayaC383</v>
      </c>
      <c r="C10523" s="8">
        <f>IFERROR(__xludf.DUMMYFUNCTION("""COMPUTED_VALUE"""),0.0)</f>
        <v>0</v>
      </c>
      <c r="D10523" s="8">
        <f>IFERROR(__xludf.DUMMYFUNCTION("""COMPUTED_VALUE"""),1.0)</f>
        <v>1</v>
      </c>
    </row>
    <row r="10524">
      <c r="A10524" s="9" t="str">
        <f>IFERROR(__xludf.DUMMYFUNCTION("""COMPUTED_VALUE"""),"Batch 383")</f>
        <v>Batch 383</v>
      </c>
      <c r="B10524" s="9" t="str">
        <f>IFERROR(__xludf.DUMMYFUNCTION("""COMPUTED_VALUE"""),"VikramC383")</f>
        <v>VikramC383</v>
      </c>
      <c r="C10524" s="8">
        <f>IFERROR(__xludf.DUMMYFUNCTION("""COMPUTED_VALUE"""),0.0)</f>
        <v>0</v>
      </c>
      <c r="D10524" s="8"/>
    </row>
    <row r="10525">
      <c r="A10525" s="9" t="str">
        <f>IFERROR(__xludf.DUMMYFUNCTION("""COMPUTED_VALUE"""),"Batch 383")</f>
        <v>Batch 383</v>
      </c>
      <c r="B10525" s="9" t="str">
        <f>IFERROR(__xludf.DUMMYFUNCTION("""COMPUTED_VALUE"""),"AnuragC383")</f>
        <v>AnuragC383</v>
      </c>
      <c r="C10525" s="8">
        <f>IFERROR(__xludf.DUMMYFUNCTION("""COMPUTED_VALUE"""),0.0)</f>
        <v>0</v>
      </c>
      <c r="D10525" s="8"/>
    </row>
    <row r="10526">
      <c r="A10526" s="9" t="str">
        <f>IFERROR(__xludf.DUMMYFUNCTION("""COMPUTED_VALUE"""),"Batch 383")</f>
        <v>Batch 383</v>
      </c>
      <c r="B10526" s="9" t="str">
        <f>IFERROR(__xludf.DUMMYFUNCTION("""COMPUTED_VALUE"""),"RameezC383")</f>
        <v>RameezC383</v>
      </c>
      <c r="C10526" s="8">
        <f>IFERROR(__xludf.DUMMYFUNCTION("""COMPUTED_VALUE"""),0.0)</f>
        <v>0</v>
      </c>
      <c r="D10526" s="8"/>
    </row>
    <row r="10527">
      <c r="A10527" s="9" t="str">
        <f>IFERROR(__xludf.DUMMYFUNCTION("""COMPUTED_VALUE"""),"Batch 383")</f>
        <v>Batch 383</v>
      </c>
      <c r="B10527" s="9" t="str">
        <f>IFERROR(__xludf.DUMMYFUNCTION("""COMPUTED_VALUE"""),"AryanC383")</f>
        <v>AryanC383</v>
      </c>
      <c r="C10527" s="8">
        <f>IFERROR(__xludf.DUMMYFUNCTION("""COMPUTED_VALUE"""),0.0)</f>
        <v>0</v>
      </c>
      <c r="D10527" s="8"/>
    </row>
    <row r="10528">
      <c r="A10528" s="9" t="str">
        <f>IFERROR(__xludf.DUMMYFUNCTION("""COMPUTED_VALUE"""),"Batch 383")</f>
        <v>Batch 383</v>
      </c>
      <c r="B10528" s="9" t="str">
        <f>IFERROR(__xludf.DUMMYFUNCTION("""COMPUTED_VALUE"""),"DandgeyC383")</f>
        <v>DandgeyC383</v>
      </c>
      <c r="C10528" s="8">
        <f>IFERROR(__xludf.DUMMYFUNCTION("""COMPUTED_VALUE"""),0.0)</f>
        <v>0</v>
      </c>
      <c r="D10528" s="8"/>
    </row>
    <row r="10529">
      <c r="A10529" s="9" t="str">
        <f>IFERROR(__xludf.DUMMYFUNCTION("""COMPUTED_VALUE"""),"Batch 383")</f>
        <v>Batch 383</v>
      </c>
      <c r="B10529" s="9" t="str">
        <f>IFERROR(__xludf.DUMMYFUNCTION("""COMPUTED_VALUE"""),"TandekarC383")</f>
        <v>TandekarC383</v>
      </c>
      <c r="C10529" s="8">
        <f>IFERROR(__xludf.DUMMYFUNCTION("""COMPUTED_VALUE"""),0.0)</f>
        <v>0</v>
      </c>
      <c r="D10529" s="8"/>
    </row>
    <row r="10530">
      <c r="A10530" s="9" t="str">
        <f>IFERROR(__xludf.DUMMYFUNCTION("""COMPUTED_VALUE"""),"Batch 383")</f>
        <v>Batch 383</v>
      </c>
      <c r="B10530" s="9" t="str">
        <f>IFERROR(__xludf.DUMMYFUNCTION("""COMPUTED_VALUE"""),"NandiniC383")</f>
        <v>NandiniC383</v>
      </c>
      <c r="C10530" s="8">
        <f>IFERROR(__xludf.DUMMYFUNCTION("""COMPUTED_VALUE"""),0.0)</f>
        <v>0</v>
      </c>
      <c r="D10530" s="8"/>
    </row>
    <row r="10531">
      <c r="A10531" s="9"/>
      <c r="B10531" s="9"/>
      <c r="C10531" s="8">
        <f>IFERROR(__xludf.DUMMYFUNCTION("""COMPUTED_VALUE"""),0.0)</f>
        <v>0</v>
      </c>
      <c r="D10531" s="8"/>
    </row>
    <row r="10532">
      <c r="A10532" s="9" t="str">
        <f>IFERROR(__xludf.DUMMYFUNCTION("""COMPUTED_VALUE"""),"Batch 384")</f>
        <v>Batch 384</v>
      </c>
      <c r="B10532" s="9" t="str">
        <f>IFERROR(__xludf.DUMMYFUNCTION("""COMPUTED_VALUE"""),"GurkiratC384")</f>
        <v>GurkiratC384</v>
      </c>
      <c r="C10532" s="8">
        <f>IFERROR(__xludf.DUMMYFUNCTION("""COMPUTED_VALUE"""),0.0)</f>
        <v>0</v>
      </c>
      <c r="D10532" s="8"/>
    </row>
    <row r="10533">
      <c r="A10533" s="9" t="str">
        <f>IFERROR(__xludf.DUMMYFUNCTION("""COMPUTED_VALUE"""),"Batch 384")</f>
        <v>Batch 384</v>
      </c>
      <c r="B10533" s="9" t="str">
        <f>IFERROR(__xludf.DUMMYFUNCTION("""COMPUTED_VALUE"""),"JAGANC384")</f>
        <v>JAGANC384</v>
      </c>
      <c r="C10533" s="8">
        <f>IFERROR(__xludf.DUMMYFUNCTION("""COMPUTED_VALUE"""),0.0)</f>
        <v>0</v>
      </c>
      <c r="D10533" s="8"/>
    </row>
    <row r="10534">
      <c r="A10534" s="9" t="str">
        <f>IFERROR(__xludf.DUMMYFUNCTION("""COMPUTED_VALUE"""),"Batch 384")</f>
        <v>Batch 384</v>
      </c>
      <c r="B10534" s="9" t="str">
        <f>IFERROR(__xludf.DUMMYFUNCTION("""COMPUTED_VALUE"""),"SuryaC384")</f>
        <v>SuryaC384</v>
      </c>
      <c r="C10534" s="8">
        <f>IFERROR(__xludf.DUMMYFUNCTION("""COMPUTED_VALUE"""),0.0)</f>
        <v>0</v>
      </c>
      <c r="D10534" s="8"/>
    </row>
    <row r="10535">
      <c r="A10535" s="9" t="str">
        <f>IFERROR(__xludf.DUMMYFUNCTION("""COMPUTED_VALUE"""),"Batch 384")</f>
        <v>Batch 384</v>
      </c>
      <c r="B10535" s="9" t="str">
        <f>IFERROR(__xludf.DUMMYFUNCTION("""COMPUTED_VALUE"""),"BhundiyaC384")</f>
        <v>BhundiyaC384</v>
      </c>
      <c r="C10535" s="8">
        <f>IFERROR(__xludf.DUMMYFUNCTION("""COMPUTED_VALUE"""),0.0)</f>
        <v>0</v>
      </c>
      <c r="D10535" s="8"/>
    </row>
    <row r="10536">
      <c r="A10536" s="9" t="str">
        <f>IFERROR(__xludf.DUMMYFUNCTION("""COMPUTED_VALUE"""),"Batch 384")</f>
        <v>Batch 384</v>
      </c>
      <c r="B10536" s="9" t="str">
        <f>IFERROR(__xludf.DUMMYFUNCTION("""COMPUTED_VALUE"""),"SupriyoC384")</f>
        <v>SupriyoC384</v>
      </c>
      <c r="C10536" s="8">
        <f>IFERROR(__xludf.DUMMYFUNCTION("""COMPUTED_VALUE"""),0.0)</f>
        <v>0</v>
      </c>
      <c r="D10536" s="8"/>
    </row>
    <row r="10537">
      <c r="A10537" s="9" t="str">
        <f>IFERROR(__xludf.DUMMYFUNCTION("""COMPUTED_VALUE"""),"Batch 384")</f>
        <v>Batch 384</v>
      </c>
      <c r="B10537" s="9" t="str">
        <f>IFERROR(__xludf.DUMMYFUNCTION("""COMPUTED_VALUE"""),"HarshC384")</f>
        <v>HarshC384</v>
      </c>
      <c r="C10537" s="8">
        <f>IFERROR(__xludf.DUMMYFUNCTION("""COMPUTED_VALUE"""),0.0)</f>
        <v>0</v>
      </c>
      <c r="D10537" s="8"/>
    </row>
    <row r="10538">
      <c r="A10538" s="9" t="str">
        <f>IFERROR(__xludf.DUMMYFUNCTION("""COMPUTED_VALUE"""),"Batch 384")</f>
        <v>Batch 384</v>
      </c>
      <c r="B10538" s="9" t="str">
        <f>IFERROR(__xludf.DUMMYFUNCTION("""COMPUTED_VALUE"""),"KhushiC384")</f>
        <v>KhushiC384</v>
      </c>
      <c r="C10538" s="8">
        <f>IFERROR(__xludf.DUMMYFUNCTION("""COMPUTED_VALUE"""),0.0)</f>
        <v>0</v>
      </c>
      <c r="D10538" s="8"/>
    </row>
    <row r="10539">
      <c r="A10539" s="9" t="str">
        <f>IFERROR(__xludf.DUMMYFUNCTION("""COMPUTED_VALUE"""),"Batch 384")</f>
        <v>Batch 384</v>
      </c>
      <c r="B10539" s="9" t="str">
        <f>IFERROR(__xludf.DUMMYFUNCTION("""COMPUTED_VALUE"""),"AkulaC384")</f>
        <v>AkulaC384</v>
      </c>
      <c r="C10539" s="8">
        <f>IFERROR(__xludf.DUMMYFUNCTION("""COMPUTED_VALUE"""),0.0)</f>
        <v>0</v>
      </c>
      <c r="D10539" s="8"/>
    </row>
    <row r="10540">
      <c r="A10540" s="9" t="str">
        <f>IFERROR(__xludf.DUMMYFUNCTION("""COMPUTED_VALUE"""),"Batch 384")</f>
        <v>Batch 384</v>
      </c>
      <c r="B10540" s="9" t="str">
        <f>IFERROR(__xludf.DUMMYFUNCTION("""COMPUTED_VALUE"""),"NehaC384")</f>
        <v>NehaC384</v>
      </c>
      <c r="C10540" s="8">
        <f>IFERROR(__xludf.DUMMYFUNCTION("""COMPUTED_VALUE"""),0.0)</f>
        <v>0</v>
      </c>
      <c r="D10540" s="8"/>
    </row>
    <row r="10541">
      <c r="A10541" s="9" t="str">
        <f>IFERROR(__xludf.DUMMYFUNCTION("""COMPUTED_VALUE"""),"Batch 384")</f>
        <v>Batch 384</v>
      </c>
      <c r="B10541" s="9" t="str">
        <f>IFERROR(__xludf.DUMMYFUNCTION("""COMPUTED_VALUE"""),"LiyaC384")</f>
        <v>LiyaC384</v>
      </c>
      <c r="C10541" s="8">
        <f>IFERROR(__xludf.DUMMYFUNCTION("""COMPUTED_VALUE"""),0.0)</f>
        <v>0</v>
      </c>
      <c r="D10541" s="8"/>
    </row>
    <row r="10542">
      <c r="A10542" s="9" t="str">
        <f>IFERROR(__xludf.DUMMYFUNCTION("""COMPUTED_VALUE"""),"Batch 384")</f>
        <v>Batch 384</v>
      </c>
      <c r="B10542" s="9" t="str">
        <f>IFERROR(__xludf.DUMMYFUNCTION("""COMPUTED_VALUE"""),"SakshiC384")</f>
        <v>SakshiC384</v>
      </c>
      <c r="C10542" s="8">
        <f>IFERROR(__xludf.DUMMYFUNCTION("""COMPUTED_VALUE"""),0.0)</f>
        <v>0</v>
      </c>
      <c r="D10542" s="8"/>
    </row>
    <row r="10543">
      <c r="A10543" s="9" t="str">
        <f>IFERROR(__xludf.DUMMYFUNCTION("""COMPUTED_VALUE"""),"Batch 384")</f>
        <v>Batch 384</v>
      </c>
      <c r="B10543" s="9" t="str">
        <f>IFERROR(__xludf.DUMMYFUNCTION("""COMPUTED_VALUE"""),"TuliC384")</f>
        <v>TuliC384</v>
      </c>
      <c r="C10543" s="8">
        <f>IFERROR(__xludf.DUMMYFUNCTION("""COMPUTED_VALUE"""),0.0)</f>
        <v>0</v>
      </c>
      <c r="D10543" s="8"/>
    </row>
    <row r="10544">
      <c r="A10544" s="9" t="str">
        <f>IFERROR(__xludf.DUMMYFUNCTION("""COMPUTED_VALUE"""),"Batch 384")</f>
        <v>Batch 384</v>
      </c>
      <c r="B10544" s="9" t="str">
        <f>IFERROR(__xludf.DUMMYFUNCTION("""COMPUTED_VALUE"""),"MohammedC384")</f>
        <v>MohammedC384</v>
      </c>
      <c r="C10544" s="8">
        <f>IFERROR(__xludf.DUMMYFUNCTION("""COMPUTED_VALUE"""),0.0)</f>
        <v>0</v>
      </c>
      <c r="D10544" s="8"/>
    </row>
    <row r="10545">
      <c r="A10545" s="9" t="str">
        <f>IFERROR(__xludf.DUMMYFUNCTION("""COMPUTED_VALUE"""),"Batch 384")</f>
        <v>Batch 384</v>
      </c>
      <c r="B10545" s="9" t="str">
        <f>IFERROR(__xludf.DUMMYFUNCTION("""COMPUTED_VALUE"""),"JenilC384")</f>
        <v>JenilC384</v>
      </c>
      <c r="C10545" s="8">
        <f>IFERROR(__xludf.DUMMYFUNCTION("""COMPUTED_VALUE"""),3.0)</f>
        <v>3</v>
      </c>
      <c r="D10545" s="8">
        <f>IFERROR(__xludf.DUMMYFUNCTION("""COMPUTED_VALUE"""),1.0)</f>
        <v>1</v>
      </c>
    </row>
    <row r="10546">
      <c r="A10546" s="9" t="str">
        <f>IFERROR(__xludf.DUMMYFUNCTION("""COMPUTED_VALUE"""),"Batch 384")</f>
        <v>Batch 384</v>
      </c>
      <c r="B10546" s="9" t="str">
        <f>IFERROR(__xludf.DUMMYFUNCTION("""COMPUTED_VALUE"""),"MitaliC384")</f>
        <v>MitaliC384</v>
      </c>
      <c r="C10546" s="8">
        <f>IFERROR(__xludf.DUMMYFUNCTION("""COMPUTED_VALUE"""),0.0)</f>
        <v>0</v>
      </c>
      <c r="D10546" s="8"/>
    </row>
    <row r="10547">
      <c r="A10547" s="9" t="str">
        <f>IFERROR(__xludf.DUMMYFUNCTION("""COMPUTED_VALUE"""),"Batch 384")</f>
        <v>Batch 384</v>
      </c>
      <c r="B10547" s="9" t="str">
        <f>IFERROR(__xludf.DUMMYFUNCTION("""COMPUTED_VALUE"""),"AvantikaC384")</f>
        <v>AvantikaC384</v>
      </c>
      <c r="C10547" s="8">
        <f>IFERROR(__xludf.DUMMYFUNCTION("""COMPUTED_VALUE"""),0.0)</f>
        <v>0</v>
      </c>
      <c r="D10547" s="8"/>
    </row>
    <row r="10548">
      <c r="A10548" s="9" t="str">
        <f>IFERROR(__xludf.DUMMYFUNCTION("""COMPUTED_VALUE"""),"Batch 384")</f>
        <v>Batch 384</v>
      </c>
      <c r="B10548" s="9" t="str">
        <f>IFERROR(__xludf.DUMMYFUNCTION("""COMPUTED_VALUE"""),"YedveC384")</f>
        <v>YedveC384</v>
      </c>
      <c r="C10548" s="8">
        <f>IFERROR(__xludf.DUMMYFUNCTION("""COMPUTED_VALUE"""),0.0)</f>
        <v>0</v>
      </c>
      <c r="D10548" s="8"/>
    </row>
    <row r="10549">
      <c r="A10549" s="9" t="str">
        <f>IFERROR(__xludf.DUMMYFUNCTION("""COMPUTED_VALUE"""),"Batch 384")</f>
        <v>Batch 384</v>
      </c>
      <c r="B10549" s="9" t="str">
        <f>IFERROR(__xludf.DUMMYFUNCTION("""COMPUTED_VALUE"""),"UmanshiC384")</f>
        <v>UmanshiC384</v>
      </c>
      <c r="C10549" s="8">
        <f>IFERROR(__xludf.DUMMYFUNCTION("""COMPUTED_VALUE"""),0.0)</f>
        <v>0</v>
      </c>
      <c r="D10549" s="8"/>
    </row>
    <row r="10550">
      <c r="A10550" s="9" t="str">
        <f>IFERROR(__xludf.DUMMYFUNCTION("""COMPUTED_VALUE"""),"Batch 384")</f>
        <v>Batch 384</v>
      </c>
      <c r="B10550" s="9" t="str">
        <f>IFERROR(__xludf.DUMMYFUNCTION("""COMPUTED_VALUE"""),"LavanyaC384")</f>
        <v>LavanyaC384</v>
      </c>
      <c r="C10550" s="8">
        <f>IFERROR(__xludf.DUMMYFUNCTION("""COMPUTED_VALUE"""),0.0)</f>
        <v>0</v>
      </c>
      <c r="D10550" s="8"/>
    </row>
    <row r="10551">
      <c r="A10551" s="9" t="str">
        <f>IFERROR(__xludf.DUMMYFUNCTION("""COMPUTED_VALUE"""),"Batch 384")</f>
        <v>Batch 384</v>
      </c>
      <c r="B10551" s="9" t="str">
        <f>IFERROR(__xludf.DUMMYFUNCTION("""COMPUTED_VALUE"""),"AsgharC384")</f>
        <v>AsgharC384</v>
      </c>
      <c r="C10551" s="8">
        <f>IFERROR(__xludf.DUMMYFUNCTION("""COMPUTED_VALUE"""),0.0)</f>
        <v>0</v>
      </c>
      <c r="D10551" s="8"/>
    </row>
    <row r="10552">
      <c r="A10552" s="9" t="str">
        <f>IFERROR(__xludf.DUMMYFUNCTION("""COMPUTED_VALUE"""),"Batch 384")</f>
        <v>Batch 384</v>
      </c>
      <c r="B10552" s="9" t="str">
        <f>IFERROR(__xludf.DUMMYFUNCTION("""COMPUTED_VALUE"""),"MohammedC384")</f>
        <v>MohammedC384</v>
      </c>
      <c r="C10552" s="8">
        <f>IFERROR(__xludf.DUMMYFUNCTION("""COMPUTED_VALUE"""),0.0)</f>
        <v>0</v>
      </c>
      <c r="D10552" s="8"/>
    </row>
    <row r="10553">
      <c r="A10553" s="9" t="str">
        <f>IFERROR(__xludf.DUMMYFUNCTION("""COMPUTED_VALUE"""),"Batch 384")</f>
        <v>Batch 384</v>
      </c>
      <c r="B10553" s="9" t="str">
        <f>IFERROR(__xludf.DUMMYFUNCTION("""COMPUTED_VALUE"""),"AshiC384")</f>
        <v>AshiC384</v>
      </c>
      <c r="C10553" s="8">
        <f>IFERROR(__xludf.DUMMYFUNCTION("""COMPUTED_VALUE"""),0.0)</f>
        <v>0</v>
      </c>
      <c r="D10553" s="8"/>
    </row>
    <row r="10554">
      <c r="A10554" s="9" t="str">
        <f>IFERROR(__xludf.DUMMYFUNCTION("""COMPUTED_VALUE"""),"Batch 384")</f>
        <v>Batch 384</v>
      </c>
      <c r="B10554" s="9" t="str">
        <f>IFERROR(__xludf.DUMMYFUNCTION("""COMPUTED_VALUE"""),"AC384")</f>
        <v>AC384</v>
      </c>
      <c r="C10554" s="8">
        <f>IFERROR(__xludf.DUMMYFUNCTION("""COMPUTED_VALUE"""),0.0)</f>
        <v>0</v>
      </c>
      <c r="D10554" s="8"/>
    </row>
    <row r="10555">
      <c r="A10555" s="9" t="str">
        <f>IFERROR(__xludf.DUMMYFUNCTION("""COMPUTED_VALUE"""),"Batch 384")</f>
        <v>Batch 384</v>
      </c>
      <c r="B10555" s="9" t="str">
        <f>IFERROR(__xludf.DUMMYFUNCTION("""COMPUTED_VALUE"""),"KotagiriC384")</f>
        <v>KotagiriC384</v>
      </c>
      <c r="C10555" s="8">
        <f>IFERROR(__xludf.DUMMYFUNCTION("""COMPUTED_VALUE"""),0.0)</f>
        <v>0</v>
      </c>
      <c r="D10555" s="8"/>
    </row>
    <row r="10556">
      <c r="A10556" s="9" t="str">
        <f>IFERROR(__xludf.DUMMYFUNCTION("""COMPUTED_VALUE"""),"Batch 384")</f>
        <v>Batch 384</v>
      </c>
      <c r="B10556" s="9" t="str">
        <f>IFERROR(__xludf.DUMMYFUNCTION("""COMPUTED_VALUE"""),"KaushalC384")</f>
        <v>KaushalC384</v>
      </c>
      <c r="C10556" s="8">
        <f>IFERROR(__xludf.DUMMYFUNCTION("""COMPUTED_VALUE"""),0.0)</f>
        <v>0</v>
      </c>
      <c r="D10556" s="8"/>
    </row>
    <row r="10557">
      <c r="A10557" s="9" t="str">
        <f>IFERROR(__xludf.DUMMYFUNCTION("""COMPUTED_VALUE"""),"Batch 384")</f>
        <v>Batch 384</v>
      </c>
      <c r="B10557" s="9" t="str">
        <f>IFERROR(__xludf.DUMMYFUNCTION("""COMPUTED_VALUE"""),"HarshitC384")</f>
        <v>HarshitC384</v>
      </c>
      <c r="C10557" s="8">
        <f>IFERROR(__xludf.DUMMYFUNCTION("""COMPUTED_VALUE"""),0.0)</f>
        <v>0</v>
      </c>
      <c r="D10557" s="8"/>
    </row>
    <row r="10558">
      <c r="A10558" s="9" t="str">
        <f>IFERROR(__xludf.DUMMYFUNCTION("""COMPUTED_VALUE"""),"Batch 384")</f>
        <v>Batch 384</v>
      </c>
      <c r="B10558" s="9" t="str">
        <f>IFERROR(__xludf.DUMMYFUNCTION("""COMPUTED_VALUE"""),"SupritiC384")</f>
        <v>SupritiC384</v>
      </c>
      <c r="C10558" s="8">
        <f>IFERROR(__xludf.DUMMYFUNCTION("""COMPUTED_VALUE"""),30.0)</f>
        <v>30</v>
      </c>
      <c r="D10558" s="8">
        <f>IFERROR(__xludf.DUMMYFUNCTION("""COMPUTED_VALUE"""),7.0)</f>
        <v>7</v>
      </c>
    </row>
    <row r="10559">
      <c r="A10559" s="9" t="str">
        <f>IFERROR(__xludf.DUMMYFUNCTION("""COMPUTED_VALUE"""),"Batch 384")</f>
        <v>Batch 384</v>
      </c>
      <c r="B10559" s="9" t="str">
        <f>IFERROR(__xludf.DUMMYFUNCTION("""COMPUTED_VALUE"""),"HarshC384")</f>
        <v>HarshC384</v>
      </c>
      <c r="C10559" s="8">
        <f>IFERROR(__xludf.DUMMYFUNCTION("""COMPUTED_VALUE"""),0.0)</f>
        <v>0</v>
      </c>
      <c r="D10559" s="8"/>
    </row>
    <row r="10560">
      <c r="A10560" s="9" t="str">
        <f>IFERROR(__xludf.DUMMYFUNCTION("""COMPUTED_VALUE"""),"Batch 384")</f>
        <v>Batch 384</v>
      </c>
      <c r="B10560" s="9" t="str">
        <f>IFERROR(__xludf.DUMMYFUNCTION("""COMPUTED_VALUE"""),"MdC384")</f>
        <v>MdC384</v>
      </c>
      <c r="C10560" s="8">
        <f>IFERROR(__xludf.DUMMYFUNCTION("""COMPUTED_VALUE"""),0.0)</f>
        <v>0</v>
      </c>
      <c r="D10560" s="8"/>
    </row>
    <row r="10561">
      <c r="A10561" s="9" t="str">
        <f>IFERROR(__xludf.DUMMYFUNCTION("""COMPUTED_VALUE"""),"Batch 384")</f>
        <v>Batch 384</v>
      </c>
      <c r="B10561" s="9" t="str">
        <f>IFERROR(__xludf.DUMMYFUNCTION("""COMPUTED_VALUE"""),"AbdulC384")</f>
        <v>AbdulC384</v>
      </c>
      <c r="C10561" s="8">
        <f>IFERROR(__xludf.DUMMYFUNCTION("""COMPUTED_VALUE"""),0.0)</f>
        <v>0</v>
      </c>
      <c r="D10561" s="8"/>
    </row>
    <row r="10562">
      <c r="A10562" s="9" t="str">
        <f>IFERROR(__xludf.DUMMYFUNCTION("""COMPUTED_VALUE"""),"Batch 384")</f>
        <v>Batch 384</v>
      </c>
      <c r="B10562" s="9" t="str">
        <f>IFERROR(__xludf.DUMMYFUNCTION("""COMPUTED_VALUE"""),"AdityaC384")</f>
        <v>AdityaC384</v>
      </c>
      <c r="C10562" s="8">
        <f>IFERROR(__xludf.DUMMYFUNCTION("""COMPUTED_VALUE"""),0.0)</f>
        <v>0</v>
      </c>
      <c r="D10562" s="8"/>
    </row>
    <row r="10563">
      <c r="A10563" s="9" t="str">
        <f>IFERROR(__xludf.DUMMYFUNCTION("""COMPUTED_VALUE"""),"Batch 384")</f>
        <v>Batch 384</v>
      </c>
      <c r="B10563" s="9" t="str">
        <f>IFERROR(__xludf.DUMMYFUNCTION("""COMPUTED_VALUE"""),"KirtiC384")</f>
        <v>KirtiC384</v>
      </c>
      <c r="C10563" s="8">
        <f>IFERROR(__xludf.DUMMYFUNCTION("""COMPUTED_VALUE"""),0.0)</f>
        <v>0</v>
      </c>
      <c r="D10563" s="8"/>
    </row>
    <row r="10564">
      <c r="A10564" s="9" t="str">
        <f>IFERROR(__xludf.DUMMYFUNCTION("""COMPUTED_VALUE"""),"Batch 384")</f>
        <v>Batch 384</v>
      </c>
      <c r="B10564" s="9" t="str">
        <f>IFERROR(__xludf.DUMMYFUNCTION("""COMPUTED_VALUE"""),"PrabhanshukamalC384")</f>
        <v>PrabhanshukamalC384</v>
      </c>
      <c r="C10564" s="8">
        <f>IFERROR(__xludf.DUMMYFUNCTION("""COMPUTED_VALUE"""),2.0)</f>
        <v>2</v>
      </c>
      <c r="D10564" s="8"/>
    </row>
    <row r="10565">
      <c r="A10565" s="9" t="str">
        <f>IFERROR(__xludf.DUMMYFUNCTION("""COMPUTED_VALUE"""),"Batch 384")</f>
        <v>Batch 384</v>
      </c>
      <c r="B10565" s="9" t="str">
        <f>IFERROR(__xludf.DUMMYFUNCTION("""COMPUTED_VALUE"""),"VasudevC384")</f>
        <v>VasudevC384</v>
      </c>
      <c r="C10565" s="8">
        <f>IFERROR(__xludf.DUMMYFUNCTION("""COMPUTED_VALUE"""),0.0)</f>
        <v>0</v>
      </c>
      <c r="D10565" s="8"/>
    </row>
    <row r="10566">
      <c r="A10566" s="9" t="str">
        <f>IFERROR(__xludf.DUMMYFUNCTION("""COMPUTED_VALUE"""),"Batch 384")</f>
        <v>Batch 384</v>
      </c>
      <c r="B10566" s="9" t="str">
        <f>IFERROR(__xludf.DUMMYFUNCTION("""COMPUTED_VALUE"""),"RudraC384")</f>
        <v>RudraC384</v>
      </c>
      <c r="C10566" s="8">
        <f>IFERROR(__xludf.DUMMYFUNCTION("""COMPUTED_VALUE"""),41.0)</f>
        <v>41</v>
      </c>
      <c r="D10566" s="8">
        <f>IFERROR(__xludf.DUMMYFUNCTION("""COMPUTED_VALUE"""),4.0)</f>
        <v>4</v>
      </c>
    </row>
    <row r="10567">
      <c r="A10567" s="9" t="str">
        <f>IFERROR(__xludf.DUMMYFUNCTION("""COMPUTED_VALUE"""),"Batch 384")</f>
        <v>Batch 384</v>
      </c>
      <c r="B10567" s="9" t="str">
        <f>IFERROR(__xludf.DUMMYFUNCTION("""COMPUTED_VALUE"""),"TanyaC384")</f>
        <v>TanyaC384</v>
      </c>
      <c r="C10567" s="8">
        <f>IFERROR(__xludf.DUMMYFUNCTION("""COMPUTED_VALUE"""),6.0)</f>
        <v>6</v>
      </c>
      <c r="D10567" s="8"/>
    </row>
    <row r="10568">
      <c r="A10568" s="9" t="str">
        <f>IFERROR(__xludf.DUMMYFUNCTION("""COMPUTED_VALUE"""),"Batch 384")</f>
        <v>Batch 384</v>
      </c>
      <c r="B10568" s="9" t="str">
        <f>IFERROR(__xludf.DUMMYFUNCTION("""COMPUTED_VALUE"""),"VarunC384")</f>
        <v>VarunC384</v>
      </c>
      <c r="C10568" s="8">
        <f>IFERROR(__xludf.DUMMYFUNCTION("""COMPUTED_VALUE"""),0.0)</f>
        <v>0</v>
      </c>
      <c r="D10568" s="8"/>
    </row>
    <row r="10569">
      <c r="A10569" s="9" t="str">
        <f>IFERROR(__xludf.DUMMYFUNCTION("""COMPUTED_VALUE"""),"Batch 384")</f>
        <v>Batch 384</v>
      </c>
      <c r="B10569" s="9" t="str">
        <f>IFERROR(__xludf.DUMMYFUNCTION("""COMPUTED_VALUE"""),"VishalC384")</f>
        <v>VishalC384</v>
      </c>
      <c r="C10569" s="8">
        <f>IFERROR(__xludf.DUMMYFUNCTION("""COMPUTED_VALUE"""),0.0)</f>
        <v>0</v>
      </c>
      <c r="D10569" s="8"/>
    </row>
    <row r="10570">
      <c r="A10570" s="9" t="str">
        <f>IFERROR(__xludf.DUMMYFUNCTION("""COMPUTED_VALUE"""),"Batch 384")</f>
        <v>Batch 384</v>
      </c>
      <c r="B10570" s="9" t="str">
        <f>IFERROR(__xludf.DUMMYFUNCTION("""COMPUTED_VALUE"""),"VasudevC384")</f>
        <v>VasudevC384</v>
      </c>
      <c r="C10570" s="8">
        <f>IFERROR(__xludf.DUMMYFUNCTION("""COMPUTED_VALUE"""),0.0)</f>
        <v>0</v>
      </c>
      <c r="D10570" s="8"/>
    </row>
    <row r="10571">
      <c r="A10571" s="9"/>
      <c r="B10571" s="9"/>
      <c r="C10571" s="8">
        <f>IFERROR(__xludf.DUMMYFUNCTION("""COMPUTED_VALUE"""),0.0)</f>
        <v>0</v>
      </c>
      <c r="D10571" s="8"/>
    </row>
    <row r="10572">
      <c r="A10572" s="9" t="str">
        <f>IFERROR(__xludf.DUMMYFUNCTION("""COMPUTED_VALUE"""),"Batch 385")</f>
        <v>Batch 385</v>
      </c>
      <c r="B10572" s="9" t="str">
        <f>IFERROR(__xludf.DUMMYFUNCTION("""COMPUTED_VALUE"""),"SaloniC385")</f>
        <v>SaloniC385</v>
      </c>
      <c r="C10572" s="8">
        <f>IFERROR(__xludf.DUMMYFUNCTION("""COMPUTED_VALUE"""),0.0)</f>
        <v>0</v>
      </c>
      <c r="D10572" s="8"/>
    </row>
    <row r="10573">
      <c r="A10573" s="9" t="str">
        <f>IFERROR(__xludf.DUMMYFUNCTION("""COMPUTED_VALUE"""),"Batch 385")</f>
        <v>Batch 385</v>
      </c>
      <c r="B10573" s="9" t="str">
        <f>IFERROR(__xludf.DUMMYFUNCTION("""COMPUTED_VALUE"""),"VennaC385")</f>
        <v>VennaC385</v>
      </c>
      <c r="C10573" s="8">
        <f>IFERROR(__xludf.DUMMYFUNCTION("""COMPUTED_VALUE"""),0.0)</f>
        <v>0</v>
      </c>
      <c r="D10573" s="8"/>
    </row>
    <row r="10574">
      <c r="A10574" s="9" t="str">
        <f>IFERROR(__xludf.DUMMYFUNCTION("""COMPUTED_VALUE"""),"Batch 385")</f>
        <v>Batch 385</v>
      </c>
      <c r="B10574" s="9" t="str">
        <f>IFERROR(__xludf.DUMMYFUNCTION("""COMPUTED_VALUE"""),"RishabhC385")</f>
        <v>RishabhC385</v>
      </c>
      <c r="C10574" s="8">
        <f>IFERROR(__xludf.DUMMYFUNCTION("""COMPUTED_VALUE"""),0.0)</f>
        <v>0</v>
      </c>
      <c r="D10574" s="8"/>
    </row>
    <row r="10575">
      <c r="A10575" s="9" t="str">
        <f>IFERROR(__xludf.DUMMYFUNCTION("""COMPUTED_VALUE"""),"Batch 385")</f>
        <v>Batch 385</v>
      </c>
      <c r="B10575" s="9" t="str">
        <f>IFERROR(__xludf.DUMMYFUNCTION("""COMPUTED_VALUE"""),"ABHINAVC385")</f>
        <v>ABHINAVC385</v>
      </c>
      <c r="C10575" s="8">
        <f>IFERROR(__xludf.DUMMYFUNCTION("""COMPUTED_VALUE"""),0.0)</f>
        <v>0</v>
      </c>
      <c r="D10575" s="8"/>
    </row>
    <row r="10576">
      <c r="A10576" s="9" t="str">
        <f>IFERROR(__xludf.DUMMYFUNCTION("""COMPUTED_VALUE"""),"Batch 385")</f>
        <v>Batch 385</v>
      </c>
      <c r="B10576" s="9" t="str">
        <f>IFERROR(__xludf.DUMMYFUNCTION("""COMPUTED_VALUE"""),"NITINC385")</f>
        <v>NITINC385</v>
      </c>
      <c r="C10576" s="8">
        <f>IFERROR(__xludf.DUMMYFUNCTION("""COMPUTED_VALUE"""),0.0)</f>
        <v>0</v>
      </c>
      <c r="D10576" s="8"/>
    </row>
    <row r="10577">
      <c r="A10577" s="9" t="str">
        <f>IFERROR(__xludf.DUMMYFUNCTION("""COMPUTED_VALUE"""),"Batch 385")</f>
        <v>Batch 385</v>
      </c>
      <c r="B10577" s="9" t="str">
        <f>IFERROR(__xludf.DUMMYFUNCTION("""COMPUTED_VALUE"""),"PrachiC385")</f>
        <v>PrachiC385</v>
      </c>
      <c r="C10577" s="8">
        <f>IFERROR(__xludf.DUMMYFUNCTION("""COMPUTED_VALUE"""),0.0)</f>
        <v>0</v>
      </c>
      <c r="D10577" s="8"/>
    </row>
    <row r="10578">
      <c r="A10578" s="9" t="str">
        <f>IFERROR(__xludf.DUMMYFUNCTION("""COMPUTED_VALUE"""),"Batch 385")</f>
        <v>Batch 385</v>
      </c>
      <c r="B10578" s="9" t="str">
        <f>IFERROR(__xludf.DUMMYFUNCTION("""COMPUTED_VALUE"""),"MC385")</f>
        <v>MC385</v>
      </c>
      <c r="C10578" s="8">
        <f>IFERROR(__xludf.DUMMYFUNCTION("""COMPUTED_VALUE"""),0.0)</f>
        <v>0</v>
      </c>
      <c r="D10578" s="8"/>
    </row>
    <row r="10579">
      <c r="A10579" s="9" t="str">
        <f>IFERROR(__xludf.DUMMYFUNCTION("""COMPUTED_VALUE"""),"Batch 385")</f>
        <v>Batch 385</v>
      </c>
      <c r="B10579" s="9" t="str">
        <f>IFERROR(__xludf.DUMMYFUNCTION("""COMPUTED_VALUE"""),"PiyushC385")</f>
        <v>PiyushC385</v>
      </c>
      <c r="C10579" s="8">
        <f>IFERROR(__xludf.DUMMYFUNCTION("""COMPUTED_VALUE"""),0.0)</f>
        <v>0</v>
      </c>
      <c r="D10579" s="8"/>
    </row>
    <row r="10580">
      <c r="A10580" s="9" t="str">
        <f>IFERROR(__xludf.DUMMYFUNCTION("""COMPUTED_VALUE"""),"Batch 385")</f>
        <v>Batch 385</v>
      </c>
      <c r="B10580" s="9" t="str">
        <f>IFERROR(__xludf.DUMMYFUNCTION("""COMPUTED_VALUE"""),"AnanyaC385")</f>
        <v>AnanyaC385</v>
      </c>
      <c r="C10580" s="8">
        <f>IFERROR(__xludf.DUMMYFUNCTION("""COMPUTED_VALUE"""),28.0)</f>
        <v>28</v>
      </c>
      <c r="D10580" s="8">
        <f>IFERROR(__xludf.DUMMYFUNCTION("""COMPUTED_VALUE"""),3.0)</f>
        <v>3</v>
      </c>
    </row>
    <row r="10581">
      <c r="A10581" s="9" t="str">
        <f>IFERROR(__xludf.DUMMYFUNCTION("""COMPUTED_VALUE"""),"Batch 385")</f>
        <v>Batch 385</v>
      </c>
      <c r="B10581" s="9" t="str">
        <f>IFERROR(__xludf.DUMMYFUNCTION("""COMPUTED_VALUE"""),"AbiramC385")</f>
        <v>AbiramC385</v>
      </c>
      <c r="C10581" s="8">
        <f>IFERROR(__xludf.DUMMYFUNCTION("""COMPUTED_VALUE"""),0.0)</f>
        <v>0</v>
      </c>
      <c r="D10581" s="8"/>
    </row>
    <row r="10582">
      <c r="A10582" s="9" t="str">
        <f>IFERROR(__xludf.DUMMYFUNCTION("""COMPUTED_VALUE"""),"Batch 385")</f>
        <v>Batch 385</v>
      </c>
      <c r="B10582" s="9" t="str">
        <f>IFERROR(__xludf.DUMMYFUNCTION("""COMPUTED_VALUE"""),"ShreyashC385")</f>
        <v>ShreyashC385</v>
      </c>
      <c r="C10582" s="8">
        <f>IFERROR(__xludf.DUMMYFUNCTION("""COMPUTED_VALUE"""),0.0)</f>
        <v>0</v>
      </c>
      <c r="D10582" s="8"/>
    </row>
    <row r="10583">
      <c r="A10583" s="9" t="str">
        <f>IFERROR(__xludf.DUMMYFUNCTION("""COMPUTED_VALUE"""),"Batch 385")</f>
        <v>Batch 385</v>
      </c>
      <c r="B10583" s="9" t="str">
        <f>IFERROR(__xludf.DUMMYFUNCTION("""COMPUTED_VALUE"""),"KrishnaC385")</f>
        <v>KrishnaC385</v>
      </c>
      <c r="C10583" s="8">
        <f>IFERROR(__xludf.DUMMYFUNCTION("""COMPUTED_VALUE"""),0.0)</f>
        <v>0</v>
      </c>
      <c r="D10583" s="8"/>
    </row>
    <row r="10584">
      <c r="A10584" s="9" t="str">
        <f>IFERROR(__xludf.DUMMYFUNCTION("""COMPUTED_VALUE"""),"Batch 385")</f>
        <v>Batch 385</v>
      </c>
      <c r="B10584" s="9" t="str">
        <f>IFERROR(__xludf.DUMMYFUNCTION("""COMPUTED_VALUE"""),"RudraakshC385")</f>
        <v>RudraakshC385</v>
      </c>
      <c r="C10584" s="8">
        <f>IFERROR(__xludf.DUMMYFUNCTION("""COMPUTED_VALUE"""),0.0)</f>
        <v>0</v>
      </c>
      <c r="D10584" s="8"/>
    </row>
    <row r="10585">
      <c r="A10585" s="9" t="str">
        <f>IFERROR(__xludf.DUMMYFUNCTION("""COMPUTED_VALUE"""),"Batch 385")</f>
        <v>Batch 385</v>
      </c>
      <c r="B10585" s="9" t="str">
        <f>IFERROR(__xludf.DUMMYFUNCTION("""COMPUTED_VALUE"""),"TannuC385")</f>
        <v>TannuC385</v>
      </c>
      <c r="C10585" s="8">
        <f>IFERROR(__xludf.DUMMYFUNCTION("""COMPUTED_VALUE"""),0.0)</f>
        <v>0</v>
      </c>
      <c r="D10585" s="8"/>
    </row>
    <row r="10586">
      <c r="A10586" s="9" t="str">
        <f>IFERROR(__xludf.DUMMYFUNCTION("""COMPUTED_VALUE"""),"Batch 385")</f>
        <v>Batch 385</v>
      </c>
      <c r="B10586" s="9" t="str">
        <f>IFERROR(__xludf.DUMMYFUNCTION("""COMPUTED_VALUE"""),"NikhithaC385")</f>
        <v>NikhithaC385</v>
      </c>
      <c r="C10586" s="8">
        <f>IFERROR(__xludf.DUMMYFUNCTION("""COMPUTED_VALUE"""),0.0)</f>
        <v>0</v>
      </c>
      <c r="D10586" s="8"/>
    </row>
    <row r="10587">
      <c r="A10587" s="9" t="str">
        <f>IFERROR(__xludf.DUMMYFUNCTION("""COMPUTED_VALUE"""),"Batch 385")</f>
        <v>Batch 385</v>
      </c>
      <c r="B10587" s="9" t="str">
        <f>IFERROR(__xludf.DUMMYFUNCTION("""COMPUTED_VALUE"""),"PankajC385")</f>
        <v>PankajC385</v>
      </c>
      <c r="C10587" s="8">
        <f>IFERROR(__xludf.DUMMYFUNCTION("""COMPUTED_VALUE"""),0.0)</f>
        <v>0</v>
      </c>
      <c r="D10587" s="8"/>
    </row>
    <row r="10588">
      <c r="A10588" s="9" t="str">
        <f>IFERROR(__xludf.DUMMYFUNCTION("""COMPUTED_VALUE"""),"Batch 385")</f>
        <v>Batch 385</v>
      </c>
      <c r="B10588" s="9" t="str">
        <f>IFERROR(__xludf.DUMMYFUNCTION("""COMPUTED_VALUE"""),"KarthikC385")</f>
        <v>KarthikC385</v>
      </c>
      <c r="C10588" s="8">
        <f>IFERROR(__xludf.DUMMYFUNCTION("""COMPUTED_VALUE"""),0.0)</f>
        <v>0</v>
      </c>
      <c r="D10588" s="8"/>
    </row>
    <row r="10589">
      <c r="A10589" s="9" t="str">
        <f>IFERROR(__xludf.DUMMYFUNCTION("""COMPUTED_VALUE"""),"Batch 385")</f>
        <v>Batch 385</v>
      </c>
      <c r="B10589" s="9" t="str">
        <f>IFERROR(__xludf.DUMMYFUNCTION("""COMPUTED_VALUE"""),"BhoomiC385")</f>
        <v>BhoomiC385</v>
      </c>
      <c r="C10589" s="8">
        <f>IFERROR(__xludf.DUMMYFUNCTION("""COMPUTED_VALUE"""),3.0)</f>
        <v>3</v>
      </c>
      <c r="D10589" s="8"/>
    </row>
    <row r="10590">
      <c r="A10590" s="9" t="str">
        <f>IFERROR(__xludf.DUMMYFUNCTION("""COMPUTED_VALUE"""),"Batch 385")</f>
        <v>Batch 385</v>
      </c>
      <c r="B10590" s="9" t="str">
        <f>IFERROR(__xludf.DUMMYFUNCTION("""COMPUTED_VALUE"""),"PrishaC385")</f>
        <v>PrishaC385</v>
      </c>
      <c r="C10590" s="8">
        <f>IFERROR(__xludf.DUMMYFUNCTION("""COMPUTED_VALUE"""),0.0)</f>
        <v>0</v>
      </c>
      <c r="D10590" s="8"/>
    </row>
    <row r="10591">
      <c r="A10591" s="9" t="str">
        <f>IFERROR(__xludf.DUMMYFUNCTION("""COMPUTED_VALUE"""),"Batch 385")</f>
        <v>Batch 385</v>
      </c>
      <c r="B10591" s="9" t="str">
        <f>IFERROR(__xludf.DUMMYFUNCTION("""COMPUTED_VALUE"""),"MayankC385")</f>
        <v>MayankC385</v>
      </c>
      <c r="C10591" s="8">
        <f>IFERROR(__xludf.DUMMYFUNCTION("""COMPUTED_VALUE"""),0.0)</f>
        <v>0</v>
      </c>
      <c r="D10591" s="8"/>
    </row>
    <row r="10592">
      <c r="A10592" s="9" t="str">
        <f>IFERROR(__xludf.DUMMYFUNCTION("""COMPUTED_VALUE"""),"Batch 385")</f>
        <v>Batch 385</v>
      </c>
      <c r="B10592" s="9" t="str">
        <f>IFERROR(__xludf.DUMMYFUNCTION("""COMPUTED_VALUE"""),"SatyamC385")</f>
        <v>SatyamC385</v>
      </c>
      <c r="C10592" s="8">
        <f>IFERROR(__xludf.DUMMYFUNCTION("""COMPUTED_VALUE"""),0.0)</f>
        <v>0</v>
      </c>
      <c r="D10592" s="8"/>
    </row>
    <row r="10593">
      <c r="A10593" s="9" t="str">
        <f>IFERROR(__xludf.DUMMYFUNCTION("""COMPUTED_VALUE"""),"Batch 385")</f>
        <v>Batch 385</v>
      </c>
      <c r="B10593" s="9" t="str">
        <f>IFERROR(__xludf.DUMMYFUNCTION("""COMPUTED_VALUE"""),"TanishkaC385")</f>
        <v>TanishkaC385</v>
      </c>
      <c r="C10593" s="8">
        <f>IFERROR(__xludf.DUMMYFUNCTION("""COMPUTED_VALUE"""),0.0)</f>
        <v>0</v>
      </c>
      <c r="D10593" s="8"/>
    </row>
    <row r="10594">
      <c r="A10594" s="9" t="str">
        <f>IFERROR(__xludf.DUMMYFUNCTION("""COMPUTED_VALUE"""),"Batch 385")</f>
        <v>Batch 385</v>
      </c>
      <c r="B10594" s="9" t="str">
        <f>IFERROR(__xludf.DUMMYFUNCTION("""COMPUTED_VALUE"""),"MokshC385")</f>
        <v>MokshC385</v>
      </c>
      <c r="C10594" s="8">
        <f>IFERROR(__xludf.DUMMYFUNCTION("""COMPUTED_VALUE"""),0.0)</f>
        <v>0</v>
      </c>
      <c r="D10594" s="8"/>
    </row>
    <row r="10595">
      <c r="A10595" s="9" t="str">
        <f>IFERROR(__xludf.DUMMYFUNCTION("""COMPUTED_VALUE"""),"Batch 385")</f>
        <v>Batch 385</v>
      </c>
      <c r="B10595" s="9" t="str">
        <f>IFERROR(__xludf.DUMMYFUNCTION("""COMPUTED_VALUE"""),"KumarC385")</f>
        <v>KumarC385</v>
      </c>
      <c r="C10595" s="8">
        <f>IFERROR(__xludf.DUMMYFUNCTION("""COMPUTED_VALUE"""),0.0)</f>
        <v>0</v>
      </c>
      <c r="D10595" s="8"/>
    </row>
    <row r="10596">
      <c r="A10596" s="9" t="str">
        <f>IFERROR(__xludf.DUMMYFUNCTION("""COMPUTED_VALUE"""),"Batch 385")</f>
        <v>Batch 385</v>
      </c>
      <c r="B10596" s="9" t="str">
        <f>IFERROR(__xludf.DUMMYFUNCTION("""COMPUTED_VALUE"""),"TuliC385")</f>
        <v>TuliC385</v>
      </c>
      <c r="C10596" s="8">
        <f>IFERROR(__xludf.DUMMYFUNCTION("""COMPUTED_VALUE"""),0.0)</f>
        <v>0</v>
      </c>
      <c r="D10596" s="8"/>
    </row>
    <row r="10597">
      <c r="A10597" s="9" t="str">
        <f>IFERROR(__xludf.DUMMYFUNCTION("""COMPUTED_VALUE"""),"Batch 385")</f>
        <v>Batch 385</v>
      </c>
      <c r="B10597" s="9" t="str">
        <f>IFERROR(__xludf.DUMMYFUNCTION("""COMPUTED_VALUE"""),"SAMPANNAC385")</f>
        <v>SAMPANNAC385</v>
      </c>
      <c r="C10597" s="8">
        <f>IFERROR(__xludf.DUMMYFUNCTION("""COMPUTED_VALUE"""),0.0)</f>
        <v>0</v>
      </c>
      <c r="D10597" s="8"/>
    </row>
    <row r="10598">
      <c r="A10598" s="9" t="str">
        <f>IFERROR(__xludf.DUMMYFUNCTION("""COMPUTED_VALUE"""),"Batch 385")</f>
        <v>Batch 385</v>
      </c>
      <c r="B10598" s="9" t="str">
        <f>IFERROR(__xludf.DUMMYFUNCTION("""COMPUTED_VALUE"""),"RoneyC385")</f>
        <v>RoneyC385</v>
      </c>
      <c r="C10598" s="8">
        <f>IFERROR(__xludf.DUMMYFUNCTION("""COMPUTED_VALUE"""),0.0)</f>
        <v>0</v>
      </c>
      <c r="D10598" s="8"/>
    </row>
    <row r="10599">
      <c r="A10599" s="9" t="str">
        <f>IFERROR(__xludf.DUMMYFUNCTION("""COMPUTED_VALUE"""),"Batch 385")</f>
        <v>Batch 385</v>
      </c>
      <c r="B10599" s="9" t="str">
        <f>IFERROR(__xludf.DUMMYFUNCTION("""COMPUTED_VALUE"""),"ShwetaC385")</f>
        <v>ShwetaC385</v>
      </c>
      <c r="C10599" s="8">
        <f>IFERROR(__xludf.DUMMYFUNCTION("""COMPUTED_VALUE"""),0.0)</f>
        <v>0</v>
      </c>
      <c r="D10599" s="8"/>
    </row>
    <row r="10600">
      <c r="A10600" s="9" t="str">
        <f>IFERROR(__xludf.DUMMYFUNCTION("""COMPUTED_VALUE"""),"Batch 385")</f>
        <v>Batch 385</v>
      </c>
      <c r="B10600" s="9" t="str">
        <f>IFERROR(__xludf.DUMMYFUNCTION("""COMPUTED_VALUE"""),"SouradebC385")</f>
        <v>SouradebC385</v>
      </c>
      <c r="C10600" s="8">
        <f>IFERROR(__xludf.DUMMYFUNCTION("""COMPUTED_VALUE"""),0.0)</f>
        <v>0</v>
      </c>
      <c r="D10600" s="8"/>
    </row>
    <row r="10601">
      <c r="A10601" s="9" t="str">
        <f>IFERROR(__xludf.DUMMYFUNCTION("""COMPUTED_VALUE"""),"Batch 385")</f>
        <v>Batch 385</v>
      </c>
      <c r="B10601" s="9" t="str">
        <f>IFERROR(__xludf.DUMMYFUNCTION("""COMPUTED_VALUE"""),"SnehaC385")</f>
        <v>SnehaC385</v>
      </c>
      <c r="C10601" s="8">
        <f>IFERROR(__xludf.DUMMYFUNCTION("""COMPUTED_VALUE"""),0.0)</f>
        <v>0</v>
      </c>
      <c r="D10601" s="8"/>
    </row>
    <row r="10602">
      <c r="A10602" s="9" t="str">
        <f>IFERROR(__xludf.DUMMYFUNCTION("""COMPUTED_VALUE"""),"Batch 385")</f>
        <v>Batch 385</v>
      </c>
      <c r="B10602" s="9" t="str">
        <f>IFERROR(__xludf.DUMMYFUNCTION("""COMPUTED_VALUE"""),"BonthuC385")</f>
        <v>BonthuC385</v>
      </c>
      <c r="C10602" s="8">
        <f>IFERROR(__xludf.DUMMYFUNCTION("""COMPUTED_VALUE"""),0.0)</f>
        <v>0</v>
      </c>
      <c r="D10602" s="8"/>
    </row>
    <row r="10603">
      <c r="A10603" s="9" t="str">
        <f>IFERROR(__xludf.DUMMYFUNCTION("""COMPUTED_VALUE"""),"Batch 385")</f>
        <v>Batch 385</v>
      </c>
      <c r="B10603" s="9" t="str">
        <f>IFERROR(__xludf.DUMMYFUNCTION("""COMPUTED_VALUE"""),"SubhanshikaC385")</f>
        <v>SubhanshikaC385</v>
      </c>
      <c r="C10603" s="8">
        <f>IFERROR(__xludf.DUMMYFUNCTION("""COMPUTED_VALUE"""),0.0)</f>
        <v>0</v>
      </c>
      <c r="D10603" s="8"/>
    </row>
    <row r="10604">
      <c r="A10604" s="9" t="str">
        <f>IFERROR(__xludf.DUMMYFUNCTION("""COMPUTED_VALUE"""),"Batch 385")</f>
        <v>Batch 385</v>
      </c>
      <c r="B10604" s="9" t="str">
        <f>IFERROR(__xludf.DUMMYFUNCTION("""COMPUTED_VALUE"""),"PrianshiC385")</f>
        <v>PrianshiC385</v>
      </c>
      <c r="C10604" s="8">
        <f>IFERROR(__xludf.DUMMYFUNCTION("""COMPUTED_VALUE"""),0.0)</f>
        <v>0</v>
      </c>
      <c r="D10604" s="8"/>
    </row>
    <row r="10605">
      <c r="A10605" s="9" t="str">
        <f>IFERROR(__xludf.DUMMYFUNCTION("""COMPUTED_VALUE"""),"Batch 385")</f>
        <v>Batch 385</v>
      </c>
      <c r="B10605" s="9" t="str">
        <f>IFERROR(__xludf.DUMMYFUNCTION("""COMPUTED_VALUE"""),"SnehaC385")</f>
        <v>SnehaC385</v>
      </c>
      <c r="C10605" s="8">
        <f>IFERROR(__xludf.DUMMYFUNCTION("""COMPUTED_VALUE"""),0.0)</f>
        <v>0</v>
      </c>
      <c r="D10605" s="8"/>
    </row>
    <row r="10606">
      <c r="A10606" s="9" t="str">
        <f>IFERROR(__xludf.DUMMYFUNCTION("""COMPUTED_VALUE"""),"Batch 385")</f>
        <v>Batch 385</v>
      </c>
      <c r="B10606" s="9" t="str">
        <f>IFERROR(__xludf.DUMMYFUNCTION("""COMPUTED_VALUE"""),"PiyushDC385")</f>
        <v>PiyushDC385</v>
      </c>
      <c r="C10606" s="8">
        <f>IFERROR(__xludf.DUMMYFUNCTION("""COMPUTED_VALUE"""),0.0)</f>
        <v>0</v>
      </c>
      <c r="D10606" s="8"/>
    </row>
    <row r="10607">
      <c r="A10607" s="9" t="str">
        <f>IFERROR(__xludf.DUMMYFUNCTION("""COMPUTED_VALUE"""),"Batch 385")</f>
        <v>Batch 385</v>
      </c>
      <c r="B10607" s="9" t="str">
        <f>IFERROR(__xludf.DUMMYFUNCTION("""COMPUTED_VALUE"""),"bhairawaC385")</f>
        <v>bhairawaC385</v>
      </c>
      <c r="C10607" s="8">
        <f>IFERROR(__xludf.DUMMYFUNCTION("""COMPUTED_VALUE"""),0.0)</f>
        <v>0</v>
      </c>
      <c r="D10607" s="8"/>
    </row>
    <row r="10608">
      <c r="A10608" s="9" t="str">
        <f>IFERROR(__xludf.DUMMYFUNCTION("""COMPUTED_VALUE"""),"Batch 385")</f>
        <v>Batch 385</v>
      </c>
      <c r="B10608" s="9" t="str">
        <f>IFERROR(__xludf.DUMMYFUNCTION("""COMPUTED_VALUE"""),"BedadyutiC385")</f>
        <v>BedadyutiC385</v>
      </c>
      <c r="C10608" s="8">
        <f>IFERROR(__xludf.DUMMYFUNCTION("""COMPUTED_VALUE"""),0.0)</f>
        <v>0</v>
      </c>
      <c r="D10608" s="8"/>
    </row>
    <row r="10609">
      <c r="A10609" s="9" t="str">
        <f>IFERROR(__xludf.DUMMYFUNCTION("""COMPUTED_VALUE"""),"Batch 385")</f>
        <v>Batch 385</v>
      </c>
      <c r="B10609" s="9" t="str">
        <f>IFERROR(__xludf.DUMMYFUNCTION("""COMPUTED_VALUE"""),"TanyaC385")</f>
        <v>TanyaC385</v>
      </c>
      <c r="C10609" s="8">
        <f>IFERROR(__xludf.DUMMYFUNCTION("""COMPUTED_VALUE"""),0.0)</f>
        <v>0</v>
      </c>
      <c r="D10609" s="8"/>
    </row>
    <row r="10610">
      <c r="A10610" s="9" t="str">
        <f>IFERROR(__xludf.DUMMYFUNCTION("""COMPUTED_VALUE"""),"Batch 385")</f>
        <v>Batch 385</v>
      </c>
      <c r="B10610" s="9" t="str">
        <f>IFERROR(__xludf.DUMMYFUNCTION("""COMPUTED_VALUE"""),"Ashika.jC385")</f>
        <v>Ashika.jC385</v>
      </c>
      <c r="C10610" s="8">
        <f>IFERROR(__xludf.DUMMYFUNCTION("""COMPUTED_VALUE"""),0.0)</f>
        <v>0</v>
      </c>
      <c r="D10610" s="8"/>
    </row>
    <row r="10611">
      <c r="A10611" s="9" t="str">
        <f>IFERROR(__xludf.DUMMYFUNCTION("""COMPUTED_VALUE"""),"Batch 385")</f>
        <v>Batch 385</v>
      </c>
      <c r="B10611" s="9" t="str">
        <f>IFERROR(__xludf.DUMMYFUNCTION("""COMPUTED_VALUE"""),"NishanthinisivaC385")</f>
        <v>NishanthinisivaC385</v>
      </c>
      <c r="C10611" s="8">
        <f>IFERROR(__xludf.DUMMYFUNCTION("""COMPUTED_VALUE"""),0.0)</f>
        <v>0</v>
      </c>
      <c r="D10611" s="8"/>
    </row>
    <row r="10612">
      <c r="A10612" s="9" t="str">
        <f>IFERROR(__xludf.DUMMYFUNCTION("""COMPUTED_VALUE"""),"Batch 385")</f>
        <v>Batch 385</v>
      </c>
      <c r="B10612" s="9" t="str">
        <f>IFERROR(__xludf.DUMMYFUNCTION("""COMPUTED_VALUE"""),"VibhaC385")</f>
        <v>VibhaC385</v>
      </c>
      <c r="C10612" s="8">
        <f>IFERROR(__xludf.DUMMYFUNCTION("""COMPUTED_VALUE"""),0.0)</f>
        <v>0</v>
      </c>
      <c r="D10612" s="8"/>
    </row>
    <row r="10613">
      <c r="A10613" s="9" t="str">
        <f>IFERROR(__xludf.DUMMYFUNCTION("""COMPUTED_VALUE"""),"Batch 385")</f>
        <v>Batch 385</v>
      </c>
      <c r="B10613" s="9" t="str">
        <f>IFERROR(__xludf.DUMMYFUNCTION("""COMPUTED_VALUE"""),"AjoyC385")</f>
        <v>AjoyC385</v>
      </c>
      <c r="C10613" s="8">
        <f>IFERROR(__xludf.DUMMYFUNCTION("""COMPUTED_VALUE"""),2.0)</f>
        <v>2</v>
      </c>
      <c r="D10613" s="8"/>
    </row>
    <row r="10614">
      <c r="A10614" s="9" t="str">
        <f>IFERROR(__xludf.DUMMYFUNCTION("""COMPUTED_VALUE"""),"Batch 385")</f>
        <v>Batch 385</v>
      </c>
      <c r="B10614" s="9" t="str">
        <f>IFERROR(__xludf.DUMMYFUNCTION("""COMPUTED_VALUE"""),"MohtashimC385")</f>
        <v>MohtashimC385</v>
      </c>
      <c r="C10614" s="8">
        <f>IFERROR(__xludf.DUMMYFUNCTION("""COMPUTED_VALUE"""),0.0)</f>
        <v>0</v>
      </c>
      <c r="D10614" s="8"/>
    </row>
    <row r="10615">
      <c r="A10615" s="9" t="str">
        <f>IFERROR(__xludf.DUMMYFUNCTION("""COMPUTED_VALUE"""),"Batch 385")</f>
        <v>Batch 385</v>
      </c>
      <c r="B10615" s="9" t="str">
        <f>IFERROR(__xludf.DUMMYFUNCTION("""COMPUTED_VALUE"""),"LabeebaC385")</f>
        <v>LabeebaC385</v>
      </c>
      <c r="C10615" s="8">
        <f>IFERROR(__xludf.DUMMYFUNCTION("""COMPUTED_VALUE"""),0.0)</f>
        <v>0</v>
      </c>
      <c r="D10615" s="8"/>
    </row>
    <row r="10616">
      <c r="A10616" s="9" t="str">
        <f>IFERROR(__xludf.DUMMYFUNCTION("""COMPUTED_VALUE"""),"Batch 385")</f>
        <v>Batch 385</v>
      </c>
      <c r="B10616" s="9" t="str">
        <f>IFERROR(__xludf.DUMMYFUNCTION("""COMPUTED_VALUE"""),"SurajC385")</f>
        <v>SurajC385</v>
      </c>
      <c r="C10616" s="8">
        <f>IFERROR(__xludf.DUMMYFUNCTION("""COMPUTED_VALUE"""),0.0)</f>
        <v>0</v>
      </c>
      <c r="D10616" s="8"/>
    </row>
    <row r="10617">
      <c r="A10617" s="9" t="str">
        <f>IFERROR(__xludf.DUMMYFUNCTION("""COMPUTED_VALUE"""),"Batch 385")</f>
        <v>Batch 385</v>
      </c>
      <c r="B10617" s="9" t="str">
        <f>IFERROR(__xludf.DUMMYFUNCTION("""COMPUTED_VALUE"""),"JanhaviC385")</f>
        <v>JanhaviC385</v>
      </c>
      <c r="C10617" s="8">
        <f>IFERROR(__xludf.DUMMYFUNCTION("""COMPUTED_VALUE"""),0.0)</f>
        <v>0</v>
      </c>
      <c r="D10617" s="8"/>
    </row>
    <row r="10618">
      <c r="A10618" s="9" t="str">
        <f>IFERROR(__xludf.DUMMYFUNCTION("""COMPUTED_VALUE"""),"Batch 385")</f>
        <v>Batch 385</v>
      </c>
      <c r="B10618" s="9" t="str">
        <f>IFERROR(__xludf.DUMMYFUNCTION("""COMPUTED_VALUE"""),"KajalC385")</f>
        <v>KajalC385</v>
      </c>
      <c r="C10618" s="8">
        <f>IFERROR(__xludf.DUMMYFUNCTION("""COMPUTED_VALUE"""),0.0)</f>
        <v>0</v>
      </c>
      <c r="D10618" s="8"/>
    </row>
    <row r="10619">
      <c r="A10619" s="9" t="str">
        <f>IFERROR(__xludf.DUMMYFUNCTION("""COMPUTED_VALUE"""),"Batch 385")</f>
        <v>Batch 385</v>
      </c>
      <c r="B10619" s="9" t="str">
        <f>IFERROR(__xludf.DUMMYFUNCTION("""COMPUTED_VALUE"""),"TejjasARC385")</f>
        <v>TejjasARC385</v>
      </c>
      <c r="C10619" s="8">
        <f>IFERROR(__xludf.DUMMYFUNCTION("""COMPUTED_VALUE"""),0.0)</f>
        <v>0</v>
      </c>
      <c r="D10619" s="8"/>
    </row>
    <row r="10620">
      <c r="A10620" s="9" t="str">
        <f>IFERROR(__xludf.DUMMYFUNCTION("""COMPUTED_VALUE"""),"Batch 385")</f>
        <v>Batch 385</v>
      </c>
      <c r="B10620" s="9" t="str">
        <f>IFERROR(__xludf.DUMMYFUNCTION("""COMPUTED_VALUE"""),"MohanC385")</f>
        <v>MohanC385</v>
      </c>
      <c r="C10620" s="8">
        <f>IFERROR(__xludf.DUMMYFUNCTION("""COMPUTED_VALUE"""),30.0)</f>
        <v>30</v>
      </c>
      <c r="D10620" s="8">
        <f>IFERROR(__xludf.DUMMYFUNCTION("""COMPUTED_VALUE"""),6.0)</f>
        <v>6</v>
      </c>
    </row>
    <row r="10621">
      <c r="A10621" s="9" t="str">
        <f>IFERROR(__xludf.DUMMYFUNCTION("""COMPUTED_VALUE"""),"Batch 385")</f>
        <v>Batch 385</v>
      </c>
      <c r="B10621" s="9" t="str">
        <f>IFERROR(__xludf.DUMMYFUNCTION("""COMPUTED_VALUE"""),"KanikaC385")</f>
        <v>KanikaC385</v>
      </c>
      <c r="C10621" s="8">
        <f>IFERROR(__xludf.DUMMYFUNCTION("""COMPUTED_VALUE"""),0.0)</f>
        <v>0</v>
      </c>
      <c r="D10621" s="8"/>
    </row>
    <row r="10622">
      <c r="A10622" s="9" t="str">
        <f>IFERROR(__xludf.DUMMYFUNCTION("""COMPUTED_VALUE"""),"Batch 385")</f>
        <v>Batch 385</v>
      </c>
      <c r="B10622" s="9" t="str">
        <f>IFERROR(__xludf.DUMMYFUNCTION("""COMPUTED_VALUE"""),"BhoomiC385")</f>
        <v>BhoomiC385</v>
      </c>
      <c r="C10622" s="8">
        <f>IFERROR(__xludf.DUMMYFUNCTION("""COMPUTED_VALUE"""),0.0)</f>
        <v>0</v>
      </c>
      <c r="D10622" s="8"/>
    </row>
    <row r="10623">
      <c r="A10623" s="9" t="str">
        <f>IFERROR(__xludf.DUMMYFUNCTION("""COMPUTED_VALUE"""),"Batch 385")</f>
        <v>Batch 385</v>
      </c>
      <c r="B10623" s="9" t="str">
        <f>IFERROR(__xludf.DUMMYFUNCTION("""COMPUTED_VALUE"""),"ManshiC385")</f>
        <v>ManshiC385</v>
      </c>
      <c r="C10623" s="8">
        <f>IFERROR(__xludf.DUMMYFUNCTION("""COMPUTED_VALUE"""),2.0)</f>
        <v>2</v>
      </c>
      <c r="D10623" s="8">
        <f>IFERROR(__xludf.DUMMYFUNCTION("""COMPUTED_VALUE"""),1.0)</f>
        <v>1</v>
      </c>
    </row>
    <row r="10624">
      <c r="A10624" s="9" t="str">
        <f>IFERROR(__xludf.DUMMYFUNCTION("""COMPUTED_VALUE"""),"Batch 385")</f>
        <v>Batch 385</v>
      </c>
      <c r="B10624" s="9" t="str">
        <f>IFERROR(__xludf.DUMMYFUNCTION("""COMPUTED_VALUE"""),"RithikC385")</f>
        <v>RithikC385</v>
      </c>
      <c r="C10624" s="8">
        <f>IFERROR(__xludf.DUMMYFUNCTION("""COMPUTED_VALUE"""),0.0)</f>
        <v>0</v>
      </c>
      <c r="D10624" s="8"/>
    </row>
    <row r="10625">
      <c r="A10625" s="9" t="str">
        <f>IFERROR(__xludf.DUMMYFUNCTION("""COMPUTED_VALUE"""),"Batch 385")</f>
        <v>Batch 385</v>
      </c>
      <c r="B10625" s="9" t="str">
        <f>IFERROR(__xludf.DUMMYFUNCTION("""COMPUTED_VALUE"""),"ShaikC385")</f>
        <v>ShaikC385</v>
      </c>
      <c r="C10625" s="8">
        <f>IFERROR(__xludf.DUMMYFUNCTION("""COMPUTED_VALUE"""),0.0)</f>
        <v>0</v>
      </c>
      <c r="D10625" s="8"/>
    </row>
    <row r="10626">
      <c r="A10626" s="9" t="str">
        <f>IFERROR(__xludf.DUMMYFUNCTION("""COMPUTED_VALUE"""),"Batch 385")</f>
        <v>Batch 385</v>
      </c>
      <c r="B10626" s="9" t="str">
        <f>IFERROR(__xludf.DUMMYFUNCTION("""COMPUTED_VALUE"""),"G.SaiC385")</f>
        <v>G.SaiC385</v>
      </c>
      <c r="C10626" s="8">
        <f>IFERROR(__xludf.DUMMYFUNCTION("""COMPUTED_VALUE"""),0.0)</f>
        <v>0</v>
      </c>
      <c r="D10626" s="8"/>
    </row>
    <row r="10627">
      <c r="A10627" s="9" t="str">
        <f>IFERROR(__xludf.DUMMYFUNCTION("""COMPUTED_VALUE"""),"Batch 385")</f>
        <v>Batch 385</v>
      </c>
      <c r="B10627" s="9" t="str">
        <f>IFERROR(__xludf.DUMMYFUNCTION("""COMPUTED_VALUE"""),"nandiniC385")</f>
        <v>nandiniC385</v>
      </c>
      <c r="C10627" s="8">
        <f>IFERROR(__xludf.DUMMYFUNCTION("""COMPUTED_VALUE"""),0.0)</f>
        <v>0</v>
      </c>
      <c r="D10627" s="8"/>
    </row>
    <row r="10628">
      <c r="A10628" s="9" t="str">
        <f>IFERROR(__xludf.DUMMYFUNCTION("""COMPUTED_VALUE"""),"Batch 385")</f>
        <v>Batch 385</v>
      </c>
      <c r="B10628" s="9" t="str">
        <f>IFERROR(__xludf.DUMMYFUNCTION("""COMPUTED_VALUE"""),"KoyelC385")</f>
        <v>KoyelC385</v>
      </c>
      <c r="C10628" s="8">
        <f>IFERROR(__xludf.DUMMYFUNCTION("""COMPUTED_VALUE"""),0.0)</f>
        <v>0</v>
      </c>
      <c r="D10628" s="8"/>
    </row>
    <row r="10629">
      <c r="A10629" s="9" t="str">
        <f>IFERROR(__xludf.DUMMYFUNCTION("""COMPUTED_VALUE"""),"Batch 385")</f>
        <v>Batch 385</v>
      </c>
      <c r="B10629" s="9" t="str">
        <f>IFERROR(__xludf.DUMMYFUNCTION("""COMPUTED_VALUE"""),"YameenaC385")</f>
        <v>YameenaC385</v>
      </c>
      <c r="C10629" s="8">
        <f>IFERROR(__xludf.DUMMYFUNCTION("""COMPUTED_VALUE"""),0.0)</f>
        <v>0</v>
      </c>
      <c r="D10629" s="8"/>
    </row>
    <row r="10630">
      <c r="A10630" s="9" t="str">
        <f>IFERROR(__xludf.DUMMYFUNCTION("""COMPUTED_VALUE"""),"Batch 385")</f>
        <v>Batch 385</v>
      </c>
      <c r="B10630" s="9" t="str">
        <f>IFERROR(__xludf.DUMMYFUNCTION("""COMPUTED_VALUE"""),"KunalC385")</f>
        <v>KunalC385</v>
      </c>
      <c r="C10630" s="8">
        <f>IFERROR(__xludf.DUMMYFUNCTION("""COMPUTED_VALUE"""),2.0)</f>
        <v>2</v>
      </c>
      <c r="D10630" s="8">
        <f>IFERROR(__xludf.DUMMYFUNCTION("""COMPUTED_VALUE"""),5.0)</f>
        <v>5</v>
      </c>
    </row>
    <row r="10631">
      <c r="A10631" s="9" t="str">
        <f>IFERROR(__xludf.DUMMYFUNCTION("""COMPUTED_VALUE"""),"Batch 385")</f>
        <v>Batch 385</v>
      </c>
      <c r="B10631" s="9" t="str">
        <f>IFERROR(__xludf.DUMMYFUNCTION("""COMPUTED_VALUE"""),"ShashiC385")</f>
        <v>ShashiC385</v>
      </c>
      <c r="C10631" s="8">
        <f>IFERROR(__xludf.DUMMYFUNCTION("""COMPUTED_VALUE"""),0.0)</f>
        <v>0</v>
      </c>
      <c r="D10631" s="8"/>
    </row>
    <row r="10632">
      <c r="A10632" s="9" t="str">
        <f>IFERROR(__xludf.DUMMYFUNCTION("""COMPUTED_VALUE"""),"Batch 385")</f>
        <v>Batch 385</v>
      </c>
      <c r="B10632" s="9" t="str">
        <f>IFERROR(__xludf.DUMMYFUNCTION("""COMPUTED_VALUE"""),"RudrikaC385")</f>
        <v>RudrikaC385</v>
      </c>
      <c r="C10632" s="8">
        <f>IFERROR(__xludf.DUMMYFUNCTION("""COMPUTED_VALUE"""),0.0)</f>
        <v>0</v>
      </c>
      <c r="D10632" s="8"/>
    </row>
    <row r="10633">
      <c r="A10633" s="9" t="str">
        <f>IFERROR(__xludf.DUMMYFUNCTION("""COMPUTED_VALUE"""),"Batch 385")</f>
        <v>Batch 385</v>
      </c>
      <c r="B10633" s="9" t="str">
        <f>IFERROR(__xludf.DUMMYFUNCTION("""COMPUTED_VALUE"""),"VirginiaC385")</f>
        <v>VirginiaC385</v>
      </c>
      <c r="C10633" s="8">
        <f>IFERROR(__xludf.DUMMYFUNCTION("""COMPUTED_VALUE"""),0.0)</f>
        <v>0</v>
      </c>
      <c r="D10633" s="8"/>
    </row>
    <row r="10634">
      <c r="A10634" s="9" t="str">
        <f>IFERROR(__xludf.DUMMYFUNCTION("""COMPUTED_VALUE"""),"Batch 385")</f>
        <v>Batch 385</v>
      </c>
      <c r="B10634" s="9" t="str">
        <f>IFERROR(__xludf.DUMMYFUNCTION("""COMPUTED_VALUE"""),"RathodC385")</f>
        <v>RathodC385</v>
      </c>
      <c r="C10634" s="8">
        <f>IFERROR(__xludf.DUMMYFUNCTION("""COMPUTED_VALUE"""),1.0)</f>
        <v>1</v>
      </c>
      <c r="D10634" s="8"/>
    </row>
    <row r="10635">
      <c r="A10635" s="9" t="str">
        <f>IFERROR(__xludf.DUMMYFUNCTION("""COMPUTED_VALUE"""),"Batch 385")</f>
        <v>Batch 385</v>
      </c>
      <c r="B10635" s="9" t="str">
        <f>IFERROR(__xludf.DUMMYFUNCTION("""COMPUTED_VALUE"""),"AbhayC385")</f>
        <v>AbhayC385</v>
      </c>
      <c r="C10635" s="8">
        <f>IFERROR(__xludf.DUMMYFUNCTION("""COMPUTED_VALUE"""),0.0)</f>
        <v>0</v>
      </c>
      <c r="D10635" s="8"/>
    </row>
    <row r="10636">
      <c r="A10636" s="9" t="str">
        <f>IFERROR(__xludf.DUMMYFUNCTION("""COMPUTED_VALUE"""),"Batch 385")</f>
        <v>Batch 385</v>
      </c>
      <c r="B10636" s="9" t="str">
        <f>IFERROR(__xludf.DUMMYFUNCTION("""COMPUTED_VALUE"""),"sumitC385")</f>
        <v>sumitC385</v>
      </c>
      <c r="C10636" s="8">
        <f>IFERROR(__xludf.DUMMYFUNCTION("""COMPUTED_VALUE"""),0.0)</f>
        <v>0</v>
      </c>
      <c r="D10636" s="8"/>
    </row>
    <row r="10637">
      <c r="A10637" s="9" t="str">
        <f>IFERROR(__xludf.DUMMYFUNCTION("""COMPUTED_VALUE"""),"Batch 385")</f>
        <v>Batch 385</v>
      </c>
      <c r="B10637" s="9" t="str">
        <f>IFERROR(__xludf.DUMMYFUNCTION("""COMPUTED_VALUE"""),"MythiliC385")</f>
        <v>MythiliC385</v>
      </c>
      <c r="C10637" s="8">
        <f>IFERROR(__xludf.DUMMYFUNCTION("""COMPUTED_VALUE"""),0.0)</f>
        <v>0</v>
      </c>
      <c r="D10637" s="8"/>
    </row>
    <row r="10638">
      <c r="A10638" s="9"/>
      <c r="B10638" s="9"/>
      <c r="C10638" s="8">
        <f>IFERROR(__xludf.DUMMYFUNCTION("""COMPUTED_VALUE"""),0.0)</f>
        <v>0</v>
      </c>
      <c r="D10638" s="8"/>
    </row>
    <row r="10639">
      <c r="A10639" s="9" t="str">
        <f>IFERROR(__xludf.DUMMYFUNCTION("""COMPUTED_VALUE"""),"Batch 386")</f>
        <v>Batch 386</v>
      </c>
      <c r="B10639" s="9" t="str">
        <f>IFERROR(__xludf.DUMMYFUNCTION("""COMPUTED_VALUE"""),"GeethikaC386")</f>
        <v>GeethikaC386</v>
      </c>
      <c r="C10639" s="8">
        <f>IFERROR(__xludf.DUMMYFUNCTION("""COMPUTED_VALUE"""),2.0)</f>
        <v>2</v>
      </c>
      <c r="D10639" s="8"/>
    </row>
    <row r="10640">
      <c r="A10640" s="9" t="str">
        <f>IFERROR(__xludf.DUMMYFUNCTION("""COMPUTED_VALUE"""),"Batch 386")</f>
        <v>Batch 386</v>
      </c>
      <c r="B10640" s="9" t="str">
        <f>IFERROR(__xludf.DUMMYFUNCTION("""COMPUTED_VALUE"""),"PhalgunC386")</f>
        <v>PhalgunC386</v>
      </c>
      <c r="C10640" s="8">
        <f>IFERROR(__xludf.DUMMYFUNCTION("""COMPUTED_VALUE"""),0.0)</f>
        <v>0</v>
      </c>
      <c r="D10640" s="8"/>
    </row>
    <row r="10641">
      <c r="A10641" s="9" t="str">
        <f>IFERROR(__xludf.DUMMYFUNCTION("""COMPUTED_VALUE"""),"Batch 386")</f>
        <v>Batch 386</v>
      </c>
      <c r="B10641" s="9" t="str">
        <f>IFERROR(__xludf.DUMMYFUNCTION("""COMPUTED_VALUE"""),"YugamC386")</f>
        <v>YugamC386</v>
      </c>
      <c r="C10641" s="8">
        <f>IFERROR(__xludf.DUMMYFUNCTION("""COMPUTED_VALUE"""),0.0)</f>
        <v>0</v>
      </c>
      <c r="D10641" s="8"/>
    </row>
    <row r="10642">
      <c r="A10642" s="9" t="str">
        <f>IFERROR(__xludf.DUMMYFUNCTION("""COMPUTED_VALUE"""),"Batch 386")</f>
        <v>Batch 386</v>
      </c>
      <c r="B10642" s="9" t="str">
        <f>IFERROR(__xludf.DUMMYFUNCTION("""COMPUTED_VALUE"""),"AditiC386")</f>
        <v>AditiC386</v>
      </c>
      <c r="C10642" s="8">
        <f>IFERROR(__xludf.DUMMYFUNCTION("""COMPUTED_VALUE"""),1.0)</f>
        <v>1</v>
      </c>
      <c r="D10642" s="8"/>
    </row>
    <row r="10643">
      <c r="A10643" s="9" t="str">
        <f>IFERROR(__xludf.DUMMYFUNCTION("""COMPUTED_VALUE"""),"Batch 386")</f>
        <v>Batch 386</v>
      </c>
      <c r="B10643" s="9" t="str">
        <f>IFERROR(__xludf.DUMMYFUNCTION("""COMPUTED_VALUE"""),"PriyanshuC386")</f>
        <v>PriyanshuC386</v>
      </c>
      <c r="C10643" s="8">
        <f>IFERROR(__xludf.DUMMYFUNCTION("""COMPUTED_VALUE"""),0.0)</f>
        <v>0</v>
      </c>
      <c r="D10643" s="8"/>
    </row>
    <row r="10644">
      <c r="A10644" s="9" t="str">
        <f>IFERROR(__xludf.DUMMYFUNCTION("""COMPUTED_VALUE"""),"Batch 386")</f>
        <v>Batch 386</v>
      </c>
      <c r="B10644" s="9" t="str">
        <f>IFERROR(__xludf.DUMMYFUNCTION("""COMPUTED_VALUE"""),"DanielC386")</f>
        <v>DanielC386</v>
      </c>
      <c r="C10644" s="8">
        <f>IFERROR(__xludf.DUMMYFUNCTION("""COMPUTED_VALUE"""),0.0)</f>
        <v>0</v>
      </c>
      <c r="D10644" s="8"/>
    </row>
    <row r="10645">
      <c r="A10645" s="9" t="str">
        <f>IFERROR(__xludf.DUMMYFUNCTION("""COMPUTED_VALUE"""),"Batch 386")</f>
        <v>Batch 386</v>
      </c>
      <c r="B10645" s="9" t="str">
        <f>IFERROR(__xludf.DUMMYFUNCTION("""COMPUTED_VALUE"""),"MOHANC386")</f>
        <v>MOHANC386</v>
      </c>
      <c r="C10645" s="8">
        <f>IFERROR(__xludf.DUMMYFUNCTION("""COMPUTED_VALUE"""),0.0)</f>
        <v>0</v>
      </c>
      <c r="D10645" s="8"/>
    </row>
    <row r="10646">
      <c r="A10646" s="9" t="str">
        <f>IFERROR(__xludf.DUMMYFUNCTION("""COMPUTED_VALUE"""),"Batch 386")</f>
        <v>Batch 386</v>
      </c>
      <c r="B10646" s="9" t="str">
        <f>IFERROR(__xludf.DUMMYFUNCTION("""COMPUTED_VALUE"""),"D.C386")</f>
        <v>D.C386</v>
      </c>
      <c r="C10646" s="8">
        <f>IFERROR(__xludf.DUMMYFUNCTION("""COMPUTED_VALUE"""),0.0)</f>
        <v>0</v>
      </c>
      <c r="D10646" s="8"/>
    </row>
    <row r="10647">
      <c r="A10647" s="9" t="str">
        <f>IFERROR(__xludf.DUMMYFUNCTION("""COMPUTED_VALUE"""),"Batch 386")</f>
        <v>Batch 386</v>
      </c>
      <c r="B10647" s="9" t="str">
        <f>IFERROR(__xludf.DUMMYFUNCTION("""COMPUTED_VALUE"""),"AnnolC386")</f>
        <v>AnnolC386</v>
      </c>
      <c r="C10647" s="8">
        <f>IFERROR(__xludf.DUMMYFUNCTION("""COMPUTED_VALUE"""),0.0)</f>
        <v>0</v>
      </c>
      <c r="D10647" s="8"/>
    </row>
    <row r="10648">
      <c r="A10648" s="9" t="str">
        <f>IFERROR(__xludf.DUMMYFUNCTION("""COMPUTED_VALUE"""),"Batch 386")</f>
        <v>Batch 386</v>
      </c>
      <c r="B10648" s="9" t="str">
        <f>IFERROR(__xludf.DUMMYFUNCTION("""COMPUTED_VALUE"""),"NakshatraC386")</f>
        <v>NakshatraC386</v>
      </c>
      <c r="C10648" s="8">
        <f>IFERROR(__xludf.DUMMYFUNCTION("""COMPUTED_VALUE"""),0.0)</f>
        <v>0</v>
      </c>
      <c r="D10648" s="8"/>
    </row>
    <row r="10649">
      <c r="A10649" s="9" t="str">
        <f>IFERROR(__xludf.DUMMYFUNCTION("""COMPUTED_VALUE"""),"Batch 386")</f>
        <v>Batch 386</v>
      </c>
      <c r="B10649" s="9" t="str">
        <f>IFERROR(__xludf.DUMMYFUNCTION("""COMPUTED_VALUE"""),"POOJAANAC386")</f>
        <v>POOJAANAC386</v>
      </c>
      <c r="C10649" s="8">
        <f>IFERROR(__xludf.DUMMYFUNCTION("""COMPUTED_VALUE"""),0.0)</f>
        <v>0</v>
      </c>
      <c r="D10649" s="8"/>
    </row>
    <row r="10650">
      <c r="A10650" s="9" t="str">
        <f>IFERROR(__xludf.DUMMYFUNCTION("""COMPUTED_VALUE"""),"Batch 386")</f>
        <v>Batch 386</v>
      </c>
      <c r="B10650" s="9" t="str">
        <f>IFERROR(__xludf.DUMMYFUNCTION("""COMPUTED_VALUE"""),"SuryanshC386")</f>
        <v>SuryanshC386</v>
      </c>
      <c r="C10650" s="8">
        <f>IFERROR(__xludf.DUMMYFUNCTION("""COMPUTED_VALUE"""),4.0)</f>
        <v>4</v>
      </c>
      <c r="D10650" s="8">
        <f>IFERROR(__xludf.DUMMYFUNCTION("""COMPUTED_VALUE"""),1.0)</f>
        <v>1</v>
      </c>
    </row>
    <row r="10651">
      <c r="A10651" s="9" t="str">
        <f>IFERROR(__xludf.DUMMYFUNCTION("""COMPUTED_VALUE"""),"Batch 386")</f>
        <v>Batch 386</v>
      </c>
      <c r="B10651" s="9" t="str">
        <f>IFERROR(__xludf.DUMMYFUNCTION("""COMPUTED_VALUE"""),"HinalC386")</f>
        <v>HinalC386</v>
      </c>
      <c r="C10651" s="8">
        <f>IFERROR(__xludf.DUMMYFUNCTION("""COMPUTED_VALUE"""),0.0)</f>
        <v>0</v>
      </c>
      <c r="D10651" s="8"/>
    </row>
    <row r="10652">
      <c r="A10652" s="9" t="str">
        <f>IFERROR(__xludf.DUMMYFUNCTION("""COMPUTED_VALUE"""),"Batch 386")</f>
        <v>Batch 386</v>
      </c>
      <c r="B10652" s="9" t="str">
        <f>IFERROR(__xludf.DUMMYFUNCTION("""COMPUTED_VALUE"""),"IsaacC386")</f>
        <v>IsaacC386</v>
      </c>
      <c r="C10652" s="8">
        <f>IFERROR(__xludf.DUMMYFUNCTION("""COMPUTED_VALUE"""),1.0)</f>
        <v>1</v>
      </c>
      <c r="D10652" s="8"/>
    </row>
    <row r="10653">
      <c r="A10653" s="9" t="str">
        <f>IFERROR(__xludf.DUMMYFUNCTION("""COMPUTED_VALUE"""),"Batch 386")</f>
        <v>Batch 386</v>
      </c>
      <c r="B10653" s="9" t="str">
        <f>IFERROR(__xludf.DUMMYFUNCTION("""COMPUTED_VALUE"""),"SuhaniC386")</f>
        <v>SuhaniC386</v>
      </c>
      <c r="C10653" s="8">
        <f>IFERROR(__xludf.DUMMYFUNCTION("""COMPUTED_VALUE"""),0.0)</f>
        <v>0</v>
      </c>
      <c r="D10653" s="8"/>
    </row>
    <row r="10654">
      <c r="A10654" s="9" t="str">
        <f>IFERROR(__xludf.DUMMYFUNCTION("""COMPUTED_VALUE"""),"Batch 386")</f>
        <v>Batch 386</v>
      </c>
      <c r="B10654" s="9" t="str">
        <f>IFERROR(__xludf.DUMMYFUNCTION("""COMPUTED_VALUE"""),"RaginiC386")</f>
        <v>RaginiC386</v>
      </c>
      <c r="C10654" s="8">
        <f>IFERROR(__xludf.DUMMYFUNCTION("""COMPUTED_VALUE"""),0.0)</f>
        <v>0</v>
      </c>
      <c r="D10654" s="8"/>
    </row>
    <row r="10655">
      <c r="A10655" s="9" t="str">
        <f>IFERROR(__xludf.DUMMYFUNCTION("""COMPUTED_VALUE"""),"Batch 386")</f>
        <v>Batch 386</v>
      </c>
      <c r="B10655" s="9" t="str">
        <f>IFERROR(__xludf.DUMMYFUNCTION("""COMPUTED_VALUE"""),"LaxmiC386")</f>
        <v>LaxmiC386</v>
      </c>
      <c r="C10655" s="8">
        <f>IFERROR(__xludf.DUMMYFUNCTION("""COMPUTED_VALUE"""),0.0)</f>
        <v>0</v>
      </c>
      <c r="D10655" s="8"/>
    </row>
    <row r="10656">
      <c r="A10656" s="9" t="str">
        <f>IFERROR(__xludf.DUMMYFUNCTION("""COMPUTED_VALUE"""),"Batch 386")</f>
        <v>Batch 386</v>
      </c>
      <c r="B10656" s="9" t="str">
        <f>IFERROR(__xludf.DUMMYFUNCTION("""COMPUTED_VALUE"""),"AnchithaC386")</f>
        <v>AnchithaC386</v>
      </c>
      <c r="C10656" s="8">
        <f>IFERROR(__xludf.DUMMYFUNCTION("""COMPUTED_VALUE"""),0.0)</f>
        <v>0</v>
      </c>
      <c r="D10656" s="8"/>
    </row>
    <row r="10657">
      <c r="A10657" s="9" t="str">
        <f>IFERROR(__xludf.DUMMYFUNCTION("""COMPUTED_VALUE"""),"Batch 386")</f>
        <v>Batch 386</v>
      </c>
      <c r="B10657" s="9" t="str">
        <f>IFERROR(__xludf.DUMMYFUNCTION("""COMPUTED_VALUE"""),"UpendraC386")</f>
        <v>UpendraC386</v>
      </c>
      <c r="C10657" s="8">
        <f>IFERROR(__xludf.DUMMYFUNCTION("""COMPUTED_VALUE"""),7.0)</f>
        <v>7</v>
      </c>
      <c r="D10657" s="8"/>
    </row>
    <row r="10658">
      <c r="A10658" s="9" t="str">
        <f>IFERROR(__xludf.DUMMYFUNCTION("""COMPUTED_VALUE"""),"Batch 386")</f>
        <v>Batch 386</v>
      </c>
      <c r="B10658" s="9" t="str">
        <f>IFERROR(__xludf.DUMMYFUNCTION("""COMPUTED_VALUE"""),"RakeshC386")</f>
        <v>RakeshC386</v>
      </c>
      <c r="C10658" s="8">
        <f>IFERROR(__xludf.DUMMYFUNCTION("""COMPUTED_VALUE"""),1.0)</f>
        <v>1</v>
      </c>
      <c r="D10658" s="8"/>
    </row>
    <row r="10659">
      <c r="A10659" s="9" t="str">
        <f>IFERROR(__xludf.DUMMYFUNCTION("""COMPUTED_VALUE"""),"Batch 386")</f>
        <v>Batch 386</v>
      </c>
      <c r="B10659" s="9" t="str">
        <f>IFERROR(__xludf.DUMMYFUNCTION("""COMPUTED_VALUE"""),"AmanC386")</f>
        <v>AmanC386</v>
      </c>
      <c r="C10659" s="8">
        <f>IFERROR(__xludf.DUMMYFUNCTION("""COMPUTED_VALUE"""),0.0)</f>
        <v>0</v>
      </c>
      <c r="D10659" s="8"/>
    </row>
    <row r="10660">
      <c r="A10660" s="9" t="str">
        <f>IFERROR(__xludf.DUMMYFUNCTION("""COMPUTED_VALUE"""),"Batch 386")</f>
        <v>Batch 386</v>
      </c>
      <c r="B10660" s="9" t="str">
        <f>IFERROR(__xludf.DUMMYFUNCTION("""COMPUTED_VALUE"""),"MohtashimC386")</f>
        <v>MohtashimC386</v>
      </c>
      <c r="C10660" s="8">
        <f>IFERROR(__xludf.DUMMYFUNCTION("""COMPUTED_VALUE"""),15.0)</f>
        <v>15</v>
      </c>
      <c r="D10660" s="8">
        <f>IFERROR(__xludf.DUMMYFUNCTION("""COMPUTED_VALUE"""),1.0)</f>
        <v>1</v>
      </c>
    </row>
    <row r="10661">
      <c r="A10661" s="9" t="str">
        <f>IFERROR(__xludf.DUMMYFUNCTION("""COMPUTED_VALUE"""),"Batch 386")</f>
        <v>Batch 386</v>
      </c>
      <c r="B10661" s="9" t="str">
        <f>IFERROR(__xludf.DUMMYFUNCTION("""COMPUTED_VALUE"""),"YashC386")</f>
        <v>YashC386</v>
      </c>
      <c r="C10661" s="8">
        <f>IFERROR(__xludf.DUMMYFUNCTION("""COMPUTED_VALUE"""),0.0)</f>
        <v>0</v>
      </c>
      <c r="D10661" s="8"/>
    </row>
    <row r="10662">
      <c r="A10662" s="9" t="str">
        <f>IFERROR(__xludf.DUMMYFUNCTION("""COMPUTED_VALUE"""),"Batch 386")</f>
        <v>Batch 386</v>
      </c>
      <c r="B10662" s="9" t="str">
        <f>IFERROR(__xludf.DUMMYFUNCTION("""COMPUTED_VALUE"""),"DeepuC386")</f>
        <v>DeepuC386</v>
      </c>
      <c r="C10662" s="8">
        <f>IFERROR(__xludf.DUMMYFUNCTION("""COMPUTED_VALUE"""),0.0)</f>
        <v>0</v>
      </c>
      <c r="D10662" s="8"/>
    </row>
    <row r="10663">
      <c r="A10663" s="9" t="str">
        <f>IFERROR(__xludf.DUMMYFUNCTION("""COMPUTED_VALUE"""),"Batch 386")</f>
        <v>Batch 386</v>
      </c>
      <c r="B10663" s="9" t="str">
        <f>IFERROR(__xludf.DUMMYFUNCTION("""COMPUTED_VALUE"""),"VeerC386")</f>
        <v>VeerC386</v>
      </c>
      <c r="C10663" s="8">
        <f>IFERROR(__xludf.DUMMYFUNCTION("""COMPUTED_VALUE"""),2.0)</f>
        <v>2</v>
      </c>
      <c r="D10663" s="8"/>
    </row>
    <row r="10664">
      <c r="A10664" s="9" t="str">
        <f>IFERROR(__xludf.DUMMYFUNCTION("""COMPUTED_VALUE"""),"Batch 386")</f>
        <v>Batch 386</v>
      </c>
      <c r="B10664" s="9" t="str">
        <f>IFERROR(__xludf.DUMMYFUNCTION("""COMPUTED_VALUE"""),"AhaanC386")</f>
        <v>AhaanC386</v>
      </c>
      <c r="C10664" s="8">
        <f>IFERROR(__xludf.DUMMYFUNCTION("""COMPUTED_VALUE"""),0.0)</f>
        <v>0</v>
      </c>
      <c r="D10664" s="8"/>
    </row>
    <row r="10665">
      <c r="A10665" s="9" t="str">
        <f>IFERROR(__xludf.DUMMYFUNCTION("""COMPUTED_VALUE"""),"Batch 386")</f>
        <v>Batch 386</v>
      </c>
      <c r="B10665" s="9" t="str">
        <f>IFERROR(__xludf.DUMMYFUNCTION("""COMPUTED_VALUE"""),"RoziyaC386")</f>
        <v>RoziyaC386</v>
      </c>
      <c r="C10665" s="8">
        <f>IFERROR(__xludf.DUMMYFUNCTION("""COMPUTED_VALUE"""),0.0)</f>
        <v>0</v>
      </c>
      <c r="D10665" s="8"/>
    </row>
    <row r="10666">
      <c r="A10666" s="9" t="str">
        <f>IFERROR(__xludf.DUMMYFUNCTION("""COMPUTED_VALUE"""),"Batch 386")</f>
        <v>Batch 386</v>
      </c>
      <c r="B10666" s="9" t="str">
        <f>IFERROR(__xludf.DUMMYFUNCTION("""COMPUTED_VALUE"""),"SHYAMC386")</f>
        <v>SHYAMC386</v>
      </c>
      <c r="C10666" s="8">
        <f>IFERROR(__xludf.DUMMYFUNCTION("""COMPUTED_VALUE"""),0.0)</f>
        <v>0</v>
      </c>
      <c r="D10666" s="8"/>
    </row>
    <row r="10667">
      <c r="A10667" s="9" t="str">
        <f>IFERROR(__xludf.DUMMYFUNCTION("""COMPUTED_VALUE"""),"Batch 386")</f>
        <v>Batch 386</v>
      </c>
      <c r="B10667" s="9" t="str">
        <f>IFERROR(__xludf.DUMMYFUNCTION("""COMPUTED_VALUE"""),"TanishkaC386")</f>
        <v>TanishkaC386</v>
      </c>
      <c r="C10667" s="8">
        <f>IFERROR(__xludf.DUMMYFUNCTION("""COMPUTED_VALUE"""),0.0)</f>
        <v>0</v>
      </c>
      <c r="D10667" s="8"/>
    </row>
    <row r="10668">
      <c r="A10668" s="9" t="str">
        <f>IFERROR(__xludf.DUMMYFUNCTION("""COMPUTED_VALUE"""),"Batch 386")</f>
        <v>Batch 386</v>
      </c>
      <c r="B10668" s="9" t="str">
        <f>IFERROR(__xludf.DUMMYFUNCTION("""COMPUTED_VALUE"""),"MohammedC386")</f>
        <v>MohammedC386</v>
      </c>
      <c r="C10668" s="8">
        <f>IFERROR(__xludf.DUMMYFUNCTION("""COMPUTED_VALUE"""),0.0)</f>
        <v>0</v>
      </c>
      <c r="D10668" s="8"/>
    </row>
    <row r="10669">
      <c r="A10669" s="9" t="str">
        <f>IFERROR(__xludf.DUMMYFUNCTION("""COMPUTED_VALUE"""),"Batch 386")</f>
        <v>Batch 386</v>
      </c>
      <c r="B10669" s="9" t="str">
        <f>IFERROR(__xludf.DUMMYFUNCTION("""COMPUTED_VALUE"""),"TanishaC386")</f>
        <v>TanishaC386</v>
      </c>
      <c r="C10669" s="8">
        <f>IFERROR(__xludf.DUMMYFUNCTION("""COMPUTED_VALUE"""),0.0)</f>
        <v>0</v>
      </c>
      <c r="D10669" s="8"/>
    </row>
    <row r="10670">
      <c r="A10670" s="9" t="str">
        <f>IFERROR(__xludf.DUMMYFUNCTION("""COMPUTED_VALUE"""),"Batch 386")</f>
        <v>Batch 386</v>
      </c>
      <c r="B10670" s="9" t="str">
        <f>IFERROR(__xludf.DUMMYFUNCTION("""COMPUTED_VALUE"""),"KavyaC386")</f>
        <v>KavyaC386</v>
      </c>
      <c r="C10670" s="8">
        <f>IFERROR(__xludf.DUMMYFUNCTION("""COMPUTED_VALUE"""),0.0)</f>
        <v>0</v>
      </c>
      <c r="D10670" s="8"/>
    </row>
    <row r="10671">
      <c r="A10671" s="9" t="str">
        <f>IFERROR(__xludf.DUMMYFUNCTION("""COMPUTED_VALUE"""),"Batch 386")</f>
        <v>Batch 386</v>
      </c>
      <c r="B10671" s="9" t="str">
        <f>IFERROR(__xludf.DUMMYFUNCTION("""COMPUTED_VALUE"""),"KarthikC386")</f>
        <v>KarthikC386</v>
      </c>
      <c r="C10671" s="8">
        <f>IFERROR(__xludf.DUMMYFUNCTION("""COMPUTED_VALUE"""),0.0)</f>
        <v>0</v>
      </c>
      <c r="D10671" s="8"/>
    </row>
    <row r="10672">
      <c r="A10672" s="9" t="str">
        <f>IFERROR(__xludf.DUMMYFUNCTION("""COMPUTED_VALUE"""),"Batch 386")</f>
        <v>Batch 386</v>
      </c>
      <c r="B10672" s="9" t="str">
        <f>IFERROR(__xludf.DUMMYFUNCTION("""COMPUTED_VALUE"""),"SpruhaC386")</f>
        <v>SpruhaC386</v>
      </c>
      <c r="C10672" s="8">
        <f>IFERROR(__xludf.DUMMYFUNCTION("""COMPUTED_VALUE"""),0.0)</f>
        <v>0</v>
      </c>
      <c r="D10672" s="8"/>
    </row>
    <row r="10673">
      <c r="A10673" s="9" t="str">
        <f>IFERROR(__xludf.DUMMYFUNCTION("""COMPUTED_VALUE"""),"Batch 386")</f>
        <v>Batch 386</v>
      </c>
      <c r="B10673" s="9" t="str">
        <f>IFERROR(__xludf.DUMMYFUNCTION("""COMPUTED_VALUE"""),"ShailjaC386")</f>
        <v>ShailjaC386</v>
      </c>
      <c r="C10673" s="8">
        <f>IFERROR(__xludf.DUMMYFUNCTION("""COMPUTED_VALUE"""),0.0)</f>
        <v>0</v>
      </c>
      <c r="D10673" s="8"/>
    </row>
    <row r="10674">
      <c r="A10674" s="9" t="str">
        <f>IFERROR(__xludf.DUMMYFUNCTION("""COMPUTED_VALUE"""),"Batch 386")</f>
        <v>Batch 386</v>
      </c>
      <c r="B10674" s="9" t="str">
        <f>IFERROR(__xludf.DUMMYFUNCTION("""COMPUTED_VALUE"""),"ARHAMC386")</f>
        <v>ARHAMC386</v>
      </c>
      <c r="C10674" s="8">
        <f>IFERROR(__xludf.DUMMYFUNCTION("""COMPUTED_VALUE"""),0.0)</f>
        <v>0</v>
      </c>
      <c r="D10674" s="8"/>
    </row>
    <row r="10675">
      <c r="A10675" s="9" t="str">
        <f>IFERROR(__xludf.DUMMYFUNCTION("""COMPUTED_VALUE"""),"Batch 386")</f>
        <v>Batch 386</v>
      </c>
      <c r="B10675" s="9" t="str">
        <f>IFERROR(__xludf.DUMMYFUNCTION("""COMPUTED_VALUE"""),"LaavanyaC386")</f>
        <v>LaavanyaC386</v>
      </c>
      <c r="C10675" s="8">
        <f>IFERROR(__xludf.DUMMYFUNCTION("""COMPUTED_VALUE"""),0.0)</f>
        <v>0</v>
      </c>
      <c r="D10675" s="8"/>
    </row>
    <row r="10676">
      <c r="A10676" s="9" t="str">
        <f>IFERROR(__xludf.DUMMYFUNCTION("""COMPUTED_VALUE"""),"Batch 386")</f>
        <v>Batch 386</v>
      </c>
      <c r="B10676" s="9" t="str">
        <f>IFERROR(__xludf.DUMMYFUNCTION("""COMPUTED_VALUE"""),"KiranC386")</f>
        <v>KiranC386</v>
      </c>
      <c r="C10676" s="8">
        <f>IFERROR(__xludf.DUMMYFUNCTION("""COMPUTED_VALUE"""),0.0)</f>
        <v>0</v>
      </c>
      <c r="D10676" s="8"/>
    </row>
    <row r="10677">
      <c r="A10677" s="9"/>
      <c r="B10677" s="9"/>
      <c r="C10677" s="8">
        <f>IFERROR(__xludf.DUMMYFUNCTION("""COMPUTED_VALUE"""),0.0)</f>
        <v>0</v>
      </c>
      <c r="D10677" s="8"/>
    </row>
    <row r="10678">
      <c r="A10678" s="9" t="str">
        <f>IFERROR(__xludf.DUMMYFUNCTION("""COMPUTED_VALUE"""),"Batch 387")</f>
        <v>Batch 387</v>
      </c>
      <c r="B10678" s="9" t="str">
        <f>IFERROR(__xludf.DUMMYFUNCTION("""COMPUTED_VALUE"""),"NITINC387")</f>
        <v>NITINC387</v>
      </c>
      <c r="C10678" s="8">
        <f>IFERROR(__xludf.DUMMYFUNCTION("""COMPUTED_VALUE"""),0.0)</f>
        <v>0</v>
      </c>
      <c r="D10678" s="8"/>
    </row>
    <row r="10679">
      <c r="A10679" s="9" t="str">
        <f>IFERROR(__xludf.DUMMYFUNCTION("""COMPUTED_VALUE"""),"Batch 387")</f>
        <v>Batch 387</v>
      </c>
      <c r="B10679" s="9" t="str">
        <f>IFERROR(__xludf.DUMMYFUNCTION("""COMPUTED_VALUE"""),"PankajC387")</f>
        <v>PankajC387</v>
      </c>
      <c r="C10679" s="8">
        <f>IFERROR(__xludf.DUMMYFUNCTION("""COMPUTED_VALUE"""),0.0)</f>
        <v>0</v>
      </c>
      <c r="D10679" s="8"/>
    </row>
    <row r="10680">
      <c r="A10680" s="9" t="str">
        <f>IFERROR(__xludf.DUMMYFUNCTION("""COMPUTED_VALUE"""),"Batch 387")</f>
        <v>Batch 387</v>
      </c>
      <c r="B10680" s="9" t="str">
        <f>IFERROR(__xludf.DUMMYFUNCTION("""COMPUTED_VALUE"""),"NishanthinisivaC387")</f>
        <v>NishanthinisivaC387</v>
      </c>
      <c r="C10680" s="8">
        <f>IFERROR(__xludf.DUMMYFUNCTION("""COMPUTED_VALUE"""),0.0)</f>
        <v>0</v>
      </c>
      <c r="D10680" s="8"/>
    </row>
    <row r="10681">
      <c r="A10681" s="9" t="str">
        <f>IFERROR(__xludf.DUMMYFUNCTION("""COMPUTED_VALUE"""),"Batch 387")</f>
        <v>Batch 387</v>
      </c>
      <c r="B10681" s="9" t="str">
        <f>IFERROR(__xludf.DUMMYFUNCTION("""COMPUTED_VALUE"""),"VibhaC387")</f>
        <v>VibhaC387</v>
      </c>
      <c r="C10681" s="8">
        <f>IFERROR(__xludf.DUMMYFUNCTION("""COMPUTED_VALUE"""),0.0)</f>
        <v>0</v>
      </c>
      <c r="D10681" s="8"/>
    </row>
    <row r="10682">
      <c r="A10682" s="9" t="str">
        <f>IFERROR(__xludf.DUMMYFUNCTION("""COMPUTED_VALUE"""),"Batch 387")</f>
        <v>Batch 387</v>
      </c>
      <c r="B10682" s="9" t="str">
        <f>IFERROR(__xludf.DUMMYFUNCTION("""COMPUTED_VALUE"""),"NikhilaC387")</f>
        <v>NikhilaC387</v>
      </c>
      <c r="C10682" s="8">
        <f>IFERROR(__xludf.DUMMYFUNCTION("""COMPUTED_VALUE"""),3.0)</f>
        <v>3</v>
      </c>
      <c r="D10682" s="8"/>
    </row>
    <row r="10683">
      <c r="A10683" s="9" t="str">
        <f>IFERROR(__xludf.DUMMYFUNCTION("""COMPUTED_VALUE"""),"Batch 387")</f>
        <v>Batch 387</v>
      </c>
      <c r="B10683" s="9" t="str">
        <f>IFERROR(__xludf.DUMMYFUNCTION("""COMPUTED_VALUE"""),"SayeeC387")</f>
        <v>SayeeC387</v>
      </c>
      <c r="C10683" s="8">
        <f>IFERROR(__xludf.DUMMYFUNCTION("""COMPUTED_VALUE"""),0.0)</f>
        <v>0</v>
      </c>
      <c r="D10683" s="8"/>
    </row>
    <row r="10684">
      <c r="A10684" s="9" t="str">
        <f>IFERROR(__xludf.DUMMYFUNCTION("""COMPUTED_VALUE"""),"Batch 387")</f>
        <v>Batch 387</v>
      </c>
      <c r="B10684" s="9" t="str">
        <f>IFERROR(__xludf.DUMMYFUNCTION("""COMPUTED_VALUE"""),"KanishkaC387")</f>
        <v>KanishkaC387</v>
      </c>
      <c r="C10684" s="8">
        <f>IFERROR(__xludf.DUMMYFUNCTION("""COMPUTED_VALUE"""),0.0)</f>
        <v>0</v>
      </c>
      <c r="D10684" s="8"/>
    </row>
    <row r="10685">
      <c r="A10685" s="9" t="str">
        <f>IFERROR(__xludf.DUMMYFUNCTION("""COMPUTED_VALUE"""),"Batch 387")</f>
        <v>Batch 387</v>
      </c>
      <c r="B10685" s="9" t="str">
        <f>IFERROR(__xludf.DUMMYFUNCTION("""COMPUTED_VALUE"""),"YatharthC387")</f>
        <v>YatharthC387</v>
      </c>
      <c r="C10685" s="8">
        <f>IFERROR(__xludf.DUMMYFUNCTION("""COMPUTED_VALUE"""),1.0)</f>
        <v>1</v>
      </c>
      <c r="D10685" s="8"/>
    </row>
    <row r="10686">
      <c r="A10686" s="9" t="str">
        <f>IFERROR(__xludf.DUMMYFUNCTION("""COMPUTED_VALUE"""),"Batch 387")</f>
        <v>Batch 387</v>
      </c>
      <c r="B10686" s="9" t="str">
        <f>IFERROR(__xludf.DUMMYFUNCTION("""COMPUTED_VALUE"""),"ShubhamC387")</f>
        <v>ShubhamC387</v>
      </c>
      <c r="C10686" s="8">
        <f>IFERROR(__xludf.DUMMYFUNCTION("""COMPUTED_VALUE"""),0.0)</f>
        <v>0</v>
      </c>
      <c r="D10686" s="8"/>
    </row>
    <row r="10687">
      <c r="A10687" s="9" t="str">
        <f>IFERROR(__xludf.DUMMYFUNCTION("""COMPUTED_VALUE"""),"Batch 387")</f>
        <v>Batch 387</v>
      </c>
      <c r="B10687" s="9" t="str">
        <f>IFERROR(__xludf.DUMMYFUNCTION("""COMPUTED_VALUE"""),"KusumaC387")</f>
        <v>KusumaC387</v>
      </c>
      <c r="C10687" s="8">
        <f>IFERROR(__xludf.DUMMYFUNCTION("""COMPUTED_VALUE"""),0.0)</f>
        <v>0</v>
      </c>
      <c r="D10687" s="8"/>
    </row>
    <row r="10688">
      <c r="A10688" s="9" t="str">
        <f>IFERROR(__xludf.DUMMYFUNCTION("""COMPUTED_VALUE"""),"Batch 387")</f>
        <v>Batch 387</v>
      </c>
      <c r="B10688" s="9" t="str">
        <f>IFERROR(__xludf.DUMMYFUNCTION("""COMPUTED_VALUE"""),"KarnakotiC387")</f>
        <v>KarnakotiC387</v>
      </c>
      <c r="C10688" s="8">
        <f>IFERROR(__xludf.DUMMYFUNCTION("""COMPUTED_VALUE"""),0.0)</f>
        <v>0</v>
      </c>
      <c r="D10688" s="8"/>
    </row>
    <row r="10689">
      <c r="A10689" s="9" t="str">
        <f>IFERROR(__xludf.DUMMYFUNCTION("""COMPUTED_VALUE"""),"Batch 387")</f>
        <v>Batch 387</v>
      </c>
      <c r="B10689" s="9" t="str">
        <f>IFERROR(__xludf.DUMMYFUNCTION("""COMPUTED_VALUE"""),"MrunalC387")</f>
        <v>MrunalC387</v>
      </c>
      <c r="C10689" s="8">
        <f>IFERROR(__xludf.DUMMYFUNCTION("""COMPUTED_VALUE"""),0.0)</f>
        <v>0</v>
      </c>
      <c r="D10689" s="8"/>
    </row>
    <row r="10690">
      <c r="A10690" s="9" t="str">
        <f>IFERROR(__xludf.DUMMYFUNCTION("""COMPUTED_VALUE"""),"Batch 387")</f>
        <v>Batch 387</v>
      </c>
      <c r="B10690" s="9" t="str">
        <f>IFERROR(__xludf.DUMMYFUNCTION("""COMPUTED_VALUE"""),"PruthvirajC387")</f>
        <v>PruthvirajC387</v>
      </c>
      <c r="C10690" s="8">
        <f>IFERROR(__xludf.DUMMYFUNCTION("""COMPUTED_VALUE"""),0.0)</f>
        <v>0</v>
      </c>
      <c r="D10690" s="8"/>
    </row>
    <row r="10691">
      <c r="A10691" s="9" t="str">
        <f>IFERROR(__xludf.DUMMYFUNCTION("""COMPUTED_VALUE"""),"Batch 387")</f>
        <v>Batch 387</v>
      </c>
      <c r="B10691" s="9" t="str">
        <f>IFERROR(__xludf.DUMMYFUNCTION("""COMPUTED_VALUE"""),"HanshitaC387")</f>
        <v>HanshitaC387</v>
      </c>
      <c r="C10691" s="8">
        <f>IFERROR(__xludf.DUMMYFUNCTION("""COMPUTED_VALUE"""),0.0)</f>
        <v>0</v>
      </c>
      <c r="D10691" s="8"/>
    </row>
    <row r="10692">
      <c r="A10692" s="9" t="str">
        <f>IFERROR(__xludf.DUMMYFUNCTION("""COMPUTED_VALUE"""),"Batch 387")</f>
        <v>Batch 387</v>
      </c>
      <c r="B10692" s="9" t="str">
        <f>IFERROR(__xludf.DUMMYFUNCTION("""COMPUTED_VALUE"""),"MeetC387")</f>
        <v>MeetC387</v>
      </c>
      <c r="C10692" s="8">
        <f>IFERROR(__xludf.DUMMYFUNCTION("""COMPUTED_VALUE"""),0.0)</f>
        <v>0</v>
      </c>
      <c r="D10692" s="8"/>
    </row>
    <row r="10693">
      <c r="A10693" s="9" t="str">
        <f>IFERROR(__xludf.DUMMYFUNCTION("""COMPUTED_VALUE"""),"Batch 387")</f>
        <v>Batch 387</v>
      </c>
      <c r="B10693" s="9" t="str">
        <f>IFERROR(__xludf.DUMMYFUNCTION("""COMPUTED_VALUE"""),"K.C387")</f>
        <v>K.C387</v>
      </c>
      <c r="C10693" s="8">
        <f>IFERROR(__xludf.DUMMYFUNCTION("""COMPUTED_VALUE"""),0.0)</f>
        <v>0</v>
      </c>
      <c r="D10693" s="8"/>
    </row>
    <row r="10694">
      <c r="A10694" s="9" t="str">
        <f>IFERROR(__xludf.DUMMYFUNCTION("""COMPUTED_VALUE"""),"Batch 387")</f>
        <v>Batch 387</v>
      </c>
      <c r="B10694" s="9" t="str">
        <f>IFERROR(__xludf.DUMMYFUNCTION("""COMPUTED_VALUE"""),"SONAC387")</f>
        <v>SONAC387</v>
      </c>
      <c r="C10694" s="8">
        <f>IFERROR(__xludf.DUMMYFUNCTION("""COMPUTED_VALUE"""),0.0)</f>
        <v>0</v>
      </c>
      <c r="D10694" s="8"/>
    </row>
    <row r="10695">
      <c r="A10695" s="9" t="str">
        <f>IFERROR(__xludf.DUMMYFUNCTION("""COMPUTED_VALUE"""),"Batch 387")</f>
        <v>Batch 387</v>
      </c>
      <c r="B10695" s="9" t="str">
        <f>IFERROR(__xludf.DUMMYFUNCTION("""COMPUTED_VALUE"""),"ShavaniC387")</f>
        <v>ShavaniC387</v>
      </c>
      <c r="C10695" s="8">
        <f>IFERROR(__xludf.DUMMYFUNCTION("""COMPUTED_VALUE"""),0.0)</f>
        <v>0</v>
      </c>
      <c r="D10695" s="8"/>
    </row>
    <row r="10696">
      <c r="A10696" s="9" t="str">
        <f>IFERROR(__xludf.DUMMYFUNCTION("""COMPUTED_VALUE"""),"Batch 387")</f>
        <v>Batch 387</v>
      </c>
      <c r="B10696" s="9" t="str">
        <f>IFERROR(__xludf.DUMMYFUNCTION("""COMPUTED_VALUE"""),"MohammedC387")</f>
        <v>MohammedC387</v>
      </c>
      <c r="C10696" s="8">
        <f>IFERROR(__xludf.DUMMYFUNCTION("""COMPUTED_VALUE"""),1.0)</f>
        <v>1</v>
      </c>
      <c r="D10696" s="8"/>
    </row>
    <row r="10697">
      <c r="A10697" s="9" t="str">
        <f>IFERROR(__xludf.DUMMYFUNCTION("""COMPUTED_VALUE"""),"Batch 387")</f>
        <v>Batch 387</v>
      </c>
      <c r="B10697" s="9" t="str">
        <f>IFERROR(__xludf.DUMMYFUNCTION("""COMPUTED_VALUE"""),"ShlokC387")</f>
        <v>ShlokC387</v>
      </c>
      <c r="C10697" s="8">
        <f>IFERROR(__xludf.DUMMYFUNCTION("""COMPUTED_VALUE"""),2.0)</f>
        <v>2</v>
      </c>
      <c r="D10697" s="8"/>
    </row>
    <row r="10698">
      <c r="A10698" s="9" t="str">
        <f>IFERROR(__xludf.DUMMYFUNCTION("""COMPUTED_VALUE"""),"Batch 387")</f>
        <v>Batch 387</v>
      </c>
      <c r="B10698" s="9" t="str">
        <f>IFERROR(__xludf.DUMMYFUNCTION("""COMPUTED_VALUE"""),"ShaikC387")</f>
        <v>ShaikC387</v>
      </c>
      <c r="C10698" s="8">
        <f>IFERROR(__xludf.DUMMYFUNCTION("""COMPUTED_VALUE"""),0.0)</f>
        <v>0</v>
      </c>
      <c r="D10698" s="8"/>
    </row>
    <row r="10699">
      <c r="A10699" s="9" t="str">
        <f>IFERROR(__xludf.DUMMYFUNCTION("""COMPUTED_VALUE"""),"Batch 387")</f>
        <v>Batch 387</v>
      </c>
      <c r="B10699" s="9" t="str">
        <f>IFERROR(__xludf.DUMMYFUNCTION("""COMPUTED_VALUE"""),"DivyanshC387")</f>
        <v>DivyanshC387</v>
      </c>
      <c r="C10699" s="8">
        <f>IFERROR(__xludf.DUMMYFUNCTION("""COMPUTED_VALUE"""),0.0)</f>
        <v>0</v>
      </c>
      <c r="D10699" s="8"/>
    </row>
    <row r="10700">
      <c r="A10700" s="9" t="str">
        <f>IFERROR(__xludf.DUMMYFUNCTION("""COMPUTED_VALUE"""),"Batch 387")</f>
        <v>Batch 387</v>
      </c>
      <c r="B10700" s="9" t="str">
        <f>IFERROR(__xludf.DUMMYFUNCTION("""COMPUTED_VALUE"""),"SidhantC387")</f>
        <v>SidhantC387</v>
      </c>
      <c r="C10700" s="8">
        <f>IFERROR(__xludf.DUMMYFUNCTION("""COMPUTED_VALUE"""),0.0)</f>
        <v>0</v>
      </c>
      <c r="D10700" s="8"/>
    </row>
    <row r="10701">
      <c r="A10701" s="9" t="str">
        <f>IFERROR(__xludf.DUMMYFUNCTION("""COMPUTED_VALUE"""),"Batch 387")</f>
        <v>Batch 387</v>
      </c>
      <c r="B10701" s="9" t="str">
        <f>IFERROR(__xludf.DUMMYFUNCTION("""COMPUTED_VALUE"""),"NidhiC387")</f>
        <v>NidhiC387</v>
      </c>
      <c r="C10701" s="8">
        <f>IFERROR(__xludf.DUMMYFUNCTION("""COMPUTED_VALUE"""),0.0)</f>
        <v>0</v>
      </c>
      <c r="D10701" s="8"/>
    </row>
    <row r="10702">
      <c r="A10702" s="9" t="str">
        <f>IFERROR(__xludf.DUMMYFUNCTION("""COMPUTED_VALUE"""),"Batch 387")</f>
        <v>Batch 387</v>
      </c>
      <c r="B10702" s="9" t="str">
        <f>IFERROR(__xludf.DUMMYFUNCTION("""COMPUTED_VALUE"""),"AaryanC387")</f>
        <v>AaryanC387</v>
      </c>
      <c r="C10702" s="8">
        <f>IFERROR(__xludf.DUMMYFUNCTION("""COMPUTED_VALUE"""),0.0)</f>
        <v>0</v>
      </c>
      <c r="D10702" s="8"/>
    </row>
    <row r="10703">
      <c r="A10703" s="9" t="str">
        <f>IFERROR(__xludf.DUMMYFUNCTION("""COMPUTED_VALUE"""),"Batch 387")</f>
        <v>Batch 387</v>
      </c>
      <c r="B10703" s="9" t="str">
        <f>IFERROR(__xludf.DUMMYFUNCTION("""COMPUTED_VALUE"""),"KunalC387")</f>
        <v>KunalC387</v>
      </c>
      <c r="C10703" s="8">
        <f>IFERROR(__xludf.DUMMYFUNCTION("""COMPUTED_VALUE"""),0.0)</f>
        <v>0</v>
      </c>
      <c r="D10703" s="8"/>
    </row>
    <row r="10704">
      <c r="A10704" s="9" t="str">
        <f>IFERROR(__xludf.DUMMYFUNCTION("""COMPUTED_VALUE"""),"Batch 387")</f>
        <v>Batch 387</v>
      </c>
      <c r="B10704" s="9" t="str">
        <f>IFERROR(__xludf.DUMMYFUNCTION("""COMPUTED_VALUE"""),"AtulC387")</f>
        <v>AtulC387</v>
      </c>
      <c r="C10704" s="8">
        <f>IFERROR(__xludf.DUMMYFUNCTION("""COMPUTED_VALUE"""),0.0)</f>
        <v>0</v>
      </c>
      <c r="D10704" s="8"/>
    </row>
    <row r="10705">
      <c r="A10705" s="9" t="str">
        <f>IFERROR(__xludf.DUMMYFUNCTION("""COMPUTED_VALUE"""),"Batch 387")</f>
        <v>Batch 387</v>
      </c>
      <c r="B10705" s="9" t="str">
        <f>IFERROR(__xludf.DUMMYFUNCTION("""COMPUTED_VALUE"""),"VidhiC387")</f>
        <v>VidhiC387</v>
      </c>
      <c r="C10705" s="8">
        <f>IFERROR(__xludf.DUMMYFUNCTION("""COMPUTED_VALUE"""),0.0)</f>
        <v>0</v>
      </c>
      <c r="D10705" s="8"/>
    </row>
    <row r="10706">
      <c r="A10706" s="9" t="str">
        <f>IFERROR(__xludf.DUMMYFUNCTION("""COMPUTED_VALUE"""),"Batch 387")</f>
        <v>Batch 387</v>
      </c>
      <c r="B10706" s="9" t="str">
        <f>IFERROR(__xludf.DUMMYFUNCTION("""COMPUTED_VALUE"""),"KrishC387")</f>
        <v>KrishC387</v>
      </c>
      <c r="C10706" s="8">
        <f>IFERROR(__xludf.DUMMYFUNCTION("""COMPUTED_VALUE"""),1.0)</f>
        <v>1</v>
      </c>
      <c r="D10706" s="8"/>
    </row>
    <row r="10707">
      <c r="A10707" s="9" t="str">
        <f>IFERROR(__xludf.DUMMYFUNCTION("""COMPUTED_VALUE"""),"Batch 387")</f>
        <v>Batch 387</v>
      </c>
      <c r="B10707" s="9" t="str">
        <f>IFERROR(__xludf.DUMMYFUNCTION("""COMPUTED_VALUE"""),"SakshathC387")</f>
        <v>SakshathC387</v>
      </c>
      <c r="C10707" s="8">
        <f>IFERROR(__xludf.DUMMYFUNCTION("""COMPUTED_VALUE"""),0.0)</f>
        <v>0</v>
      </c>
      <c r="D10707" s="8"/>
    </row>
    <row r="10708">
      <c r="A10708" s="9" t="str">
        <f>IFERROR(__xludf.DUMMYFUNCTION("""COMPUTED_VALUE"""),"Batch 387")</f>
        <v>Batch 387</v>
      </c>
      <c r="B10708" s="9" t="str">
        <f>IFERROR(__xludf.DUMMYFUNCTION("""COMPUTED_VALUE"""),"ManyaC387")</f>
        <v>ManyaC387</v>
      </c>
      <c r="C10708" s="8">
        <f>IFERROR(__xludf.DUMMYFUNCTION("""COMPUTED_VALUE"""),0.0)</f>
        <v>0</v>
      </c>
      <c r="D10708" s="8"/>
    </row>
    <row r="10709">
      <c r="A10709" s="9" t="str">
        <f>IFERROR(__xludf.DUMMYFUNCTION("""COMPUTED_VALUE"""),"Batch 387")</f>
        <v>Batch 387</v>
      </c>
      <c r="B10709" s="9" t="str">
        <f>IFERROR(__xludf.DUMMYFUNCTION("""COMPUTED_VALUE"""),"AkashC387")</f>
        <v>AkashC387</v>
      </c>
      <c r="C10709" s="8">
        <f>IFERROR(__xludf.DUMMYFUNCTION("""COMPUTED_VALUE"""),0.0)</f>
        <v>0</v>
      </c>
      <c r="D10709" s="8"/>
    </row>
    <row r="10710">
      <c r="A10710" s="9" t="str">
        <f>IFERROR(__xludf.DUMMYFUNCTION("""COMPUTED_VALUE"""),"Batch 387")</f>
        <v>Batch 387</v>
      </c>
      <c r="B10710" s="9" t="str">
        <f>IFERROR(__xludf.DUMMYFUNCTION("""COMPUTED_VALUE"""),"KanishaC387")</f>
        <v>KanishaC387</v>
      </c>
      <c r="C10710" s="8">
        <f>IFERROR(__xludf.DUMMYFUNCTION("""COMPUTED_VALUE"""),0.0)</f>
        <v>0</v>
      </c>
      <c r="D10710" s="8"/>
    </row>
    <row r="10711">
      <c r="A10711" s="9" t="str">
        <f>IFERROR(__xludf.DUMMYFUNCTION("""COMPUTED_VALUE"""),"Batch 387")</f>
        <v>Batch 387</v>
      </c>
      <c r="B10711" s="9" t="str">
        <f>IFERROR(__xludf.DUMMYFUNCTION("""COMPUTED_VALUE"""),"RohitC387")</f>
        <v>RohitC387</v>
      </c>
      <c r="C10711" s="8">
        <f>IFERROR(__xludf.DUMMYFUNCTION("""COMPUTED_VALUE"""),1.0)</f>
        <v>1</v>
      </c>
      <c r="D10711" s="8"/>
    </row>
    <row r="10712">
      <c r="A10712" s="9" t="str">
        <f>IFERROR(__xludf.DUMMYFUNCTION("""COMPUTED_VALUE"""),"Batch 387")</f>
        <v>Batch 387</v>
      </c>
      <c r="B10712" s="9" t="str">
        <f>IFERROR(__xludf.DUMMYFUNCTION("""COMPUTED_VALUE"""),"DivyanshuC387")</f>
        <v>DivyanshuC387</v>
      </c>
      <c r="C10712" s="8">
        <f>IFERROR(__xludf.DUMMYFUNCTION("""COMPUTED_VALUE"""),0.0)</f>
        <v>0</v>
      </c>
      <c r="D10712" s="8"/>
    </row>
    <row r="10713">
      <c r="A10713" s="9"/>
      <c r="B10713" s="9"/>
      <c r="C10713" s="8">
        <f>IFERROR(__xludf.DUMMYFUNCTION("""COMPUTED_VALUE"""),0.0)</f>
        <v>0</v>
      </c>
      <c r="D10713" s="8"/>
    </row>
    <row r="10714">
      <c r="A10714" s="9" t="str">
        <f>IFERROR(__xludf.DUMMYFUNCTION("""COMPUTED_VALUE"""),"Batch 388")</f>
        <v>Batch 388</v>
      </c>
      <c r="B10714" s="9" t="str">
        <f>IFERROR(__xludf.DUMMYFUNCTION("""COMPUTED_VALUE"""),"ChandanC388")</f>
        <v>ChandanC388</v>
      </c>
      <c r="C10714" s="8">
        <f>IFERROR(__xludf.DUMMYFUNCTION("""COMPUTED_VALUE"""),0.0)</f>
        <v>0</v>
      </c>
      <c r="D10714" s="8"/>
    </row>
    <row r="10715">
      <c r="A10715" s="9" t="str">
        <f>IFERROR(__xludf.DUMMYFUNCTION("""COMPUTED_VALUE"""),"Batch 388")</f>
        <v>Batch 388</v>
      </c>
      <c r="B10715" s="9" t="str">
        <f>IFERROR(__xludf.DUMMYFUNCTION("""COMPUTED_VALUE"""),"SnehalC388")</f>
        <v>SnehalC388</v>
      </c>
      <c r="C10715" s="8">
        <f>IFERROR(__xludf.DUMMYFUNCTION("""COMPUTED_VALUE"""),0.0)</f>
        <v>0</v>
      </c>
      <c r="D10715" s="8"/>
    </row>
    <row r="10716">
      <c r="A10716" s="9" t="str">
        <f>IFERROR(__xludf.DUMMYFUNCTION("""COMPUTED_VALUE"""),"Batch 388")</f>
        <v>Batch 388</v>
      </c>
      <c r="B10716" s="9" t="str">
        <f>IFERROR(__xludf.DUMMYFUNCTION("""COMPUTED_VALUE"""),"AayushC388")</f>
        <v>AayushC388</v>
      </c>
      <c r="C10716" s="8">
        <f>IFERROR(__xludf.DUMMYFUNCTION("""COMPUTED_VALUE"""),0.0)</f>
        <v>0</v>
      </c>
      <c r="D10716" s="8">
        <f>IFERROR(__xludf.DUMMYFUNCTION("""COMPUTED_VALUE"""),4.0)</f>
        <v>4</v>
      </c>
    </row>
    <row r="10717">
      <c r="A10717" s="9" t="str">
        <f>IFERROR(__xludf.DUMMYFUNCTION("""COMPUTED_VALUE"""),"Batch 388")</f>
        <v>Batch 388</v>
      </c>
      <c r="B10717" s="9" t="str">
        <f>IFERROR(__xludf.DUMMYFUNCTION("""COMPUTED_VALUE"""),"AaditC388")</f>
        <v>AaditC388</v>
      </c>
      <c r="C10717" s="8">
        <f>IFERROR(__xludf.DUMMYFUNCTION("""COMPUTED_VALUE"""),0.0)</f>
        <v>0</v>
      </c>
      <c r="D10717" s="8"/>
    </row>
    <row r="10718">
      <c r="A10718" s="9" t="str">
        <f>IFERROR(__xludf.DUMMYFUNCTION("""COMPUTED_VALUE"""),"Batch 388")</f>
        <v>Batch 388</v>
      </c>
      <c r="B10718" s="9" t="str">
        <f>IFERROR(__xludf.DUMMYFUNCTION("""COMPUTED_VALUE"""),"ManaalC388")</f>
        <v>ManaalC388</v>
      </c>
      <c r="C10718" s="8">
        <f>IFERROR(__xludf.DUMMYFUNCTION("""COMPUTED_VALUE"""),0.0)</f>
        <v>0</v>
      </c>
      <c r="D10718" s="8"/>
    </row>
    <row r="10719">
      <c r="A10719" s="9" t="str">
        <f>IFERROR(__xludf.DUMMYFUNCTION("""COMPUTED_VALUE"""),"Batch 388")</f>
        <v>Batch 388</v>
      </c>
      <c r="B10719" s="9" t="str">
        <f>IFERROR(__xludf.DUMMYFUNCTION("""COMPUTED_VALUE"""),"AditeyC388")</f>
        <v>AditeyC388</v>
      </c>
      <c r="C10719" s="8">
        <f>IFERROR(__xludf.DUMMYFUNCTION("""COMPUTED_VALUE"""),0.0)</f>
        <v>0</v>
      </c>
      <c r="D10719" s="8"/>
    </row>
    <row r="10720">
      <c r="A10720" s="9" t="str">
        <f>IFERROR(__xludf.DUMMYFUNCTION("""COMPUTED_VALUE"""),"Batch 388")</f>
        <v>Batch 388</v>
      </c>
      <c r="B10720" s="9" t="str">
        <f>IFERROR(__xludf.DUMMYFUNCTION("""COMPUTED_VALUE"""),"RanyaC388")</f>
        <v>RanyaC388</v>
      </c>
      <c r="C10720" s="8">
        <f>IFERROR(__xludf.DUMMYFUNCTION("""COMPUTED_VALUE"""),0.0)</f>
        <v>0</v>
      </c>
      <c r="D10720" s="8"/>
    </row>
    <row r="10721">
      <c r="A10721" s="9" t="str">
        <f>IFERROR(__xludf.DUMMYFUNCTION("""COMPUTED_VALUE"""),"Batch 388")</f>
        <v>Batch 388</v>
      </c>
      <c r="B10721" s="9" t="str">
        <f>IFERROR(__xludf.DUMMYFUNCTION("""COMPUTED_VALUE"""),"Ch.HarshithaC388")</f>
        <v>Ch.HarshithaC388</v>
      </c>
      <c r="C10721" s="8">
        <f>IFERROR(__xludf.DUMMYFUNCTION("""COMPUTED_VALUE"""),0.0)</f>
        <v>0</v>
      </c>
      <c r="D10721" s="8"/>
    </row>
    <row r="10722">
      <c r="A10722" s="9" t="str">
        <f>IFERROR(__xludf.DUMMYFUNCTION("""COMPUTED_VALUE"""),"Batch 388")</f>
        <v>Batch 388</v>
      </c>
      <c r="B10722" s="9" t="str">
        <f>IFERROR(__xludf.DUMMYFUNCTION("""COMPUTED_VALUE"""),"VinodC388")</f>
        <v>VinodC388</v>
      </c>
      <c r="C10722" s="8">
        <f>IFERROR(__xludf.DUMMYFUNCTION("""COMPUTED_VALUE"""),0.0)</f>
        <v>0</v>
      </c>
      <c r="D10722" s="8"/>
    </row>
    <row r="10723">
      <c r="A10723" s="9" t="str">
        <f>IFERROR(__xludf.DUMMYFUNCTION("""COMPUTED_VALUE"""),"Batch 388")</f>
        <v>Batch 388</v>
      </c>
      <c r="B10723" s="9" t="str">
        <f>IFERROR(__xludf.DUMMYFUNCTION("""COMPUTED_VALUE"""),"ShubhanshuC388")</f>
        <v>ShubhanshuC388</v>
      </c>
      <c r="C10723" s="8">
        <f>IFERROR(__xludf.DUMMYFUNCTION("""COMPUTED_VALUE"""),0.0)</f>
        <v>0</v>
      </c>
      <c r="D10723" s="8"/>
    </row>
    <row r="10724">
      <c r="A10724" s="9" t="str">
        <f>IFERROR(__xludf.DUMMYFUNCTION("""COMPUTED_VALUE"""),"Batch 388")</f>
        <v>Batch 388</v>
      </c>
      <c r="B10724" s="9" t="str">
        <f>IFERROR(__xludf.DUMMYFUNCTION("""COMPUTED_VALUE"""),"PranjalC388")</f>
        <v>PranjalC388</v>
      </c>
      <c r="C10724" s="8">
        <f>IFERROR(__xludf.DUMMYFUNCTION("""COMPUTED_VALUE"""),0.0)</f>
        <v>0</v>
      </c>
      <c r="D10724" s="8"/>
    </row>
    <row r="10725">
      <c r="A10725" s="9" t="str">
        <f>IFERROR(__xludf.DUMMYFUNCTION("""COMPUTED_VALUE"""),"Batch 388")</f>
        <v>Batch 388</v>
      </c>
      <c r="B10725" s="9" t="str">
        <f>IFERROR(__xludf.DUMMYFUNCTION("""COMPUTED_VALUE"""),"GopikashreeC388")</f>
        <v>GopikashreeC388</v>
      </c>
      <c r="C10725" s="8">
        <f>IFERROR(__xludf.DUMMYFUNCTION("""COMPUTED_VALUE"""),0.0)</f>
        <v>0</v>
      </c>
      <c r="D10725" s="8"/>
    </row>
    <row r="10726">
      <c r="A10726" s="9" t="str">
        <f>IFERROR(__xludf.DUMMYFUNCTION("""COMPUTED_VALUE"""),"Batch 388")</f>
        <v>Batch 388</v>
      </c>
      <c r="B10726" s="9" t="str">
        <f>IFERROR(__xludf.DUMMYFUNCTION("""COMPUTED_VALUE"""),"OnushkaC388")</f>
        <v>OnushkaC388</v>
      </c>
      <c r="C10726" s="8">
        <f>IFERROR(__xludf.DUMMYFUNCTION("""COMPUTED_VALUE"""),0.0)</f>
        <v>0</v>
      </c>
      <c r="D10726" s="8"/>
    </row>
    <row r="10727">
      <c r="A10727" s="9" t="str">
        <f>IFERROR(__xludf.DUMMYFUNCTION("""COMPUTED_VALUE"""),"Batch 388")</f>
        <v>Batch 388</v>
      </c>
      <c r="B10727" s="9" t="str">
        <f>IFERROR(__xludf.DUMMYFUNCTION("""COMPUTED_VALUE"""),"SamyogC388")</f>
        <v>SamyogC388</v>
      </c>
      <c r="C10727" s="8">
        <f>IFERROR(__xludf.DUMMYFUNCTION("""COMPUTED_VALUE"""),0.0)</f>
        <v>0</v>
      </c>
      <c r="D10727" s="8"/>
    </row>
    <row r="10728">
      <c r="A10728" s="9" t="str">
        <f>IFERROR(__xludf.DUMMYFUNCTION("""COMPUTED_VALUE"""),"Batch 388")</f>
        <v>Batch 388</v>
      </c>
      <c r="B10728" s="9" t="str">
        <f>IFERROR(__xludf.DUMMYFUNCTION("""COMPUTED_VALUE"""),"SakshathC388")</f>
        <v>SakshathC388</v>
      </c>
      <c r="C10728" s="8">
        <f>IFERROR(__xludf.DUMMYFUNCTION("""COMPUTED_VALUE"""),0.0)</f>
        <v>0</v>
      </c>
      <c r="D10728" s="8"/>
    </row>
    <row r="10729">
      <c r="A10729" s="9" t="str">
        <f>IFERROR(__xludf.DUMMYFUNCTION("""COMPUTED_VALUE"""),"Batch 388")</f>
        <v>Batch 388</v>
      </c>
      <c r="B10729" s="9" t="str">
        <f>IFERROR(__xludf.DUMMYFUNCTION("""COMPUTED_VALUE"""),"AyushC388")</f>
        <v>AyushC388</v>
      </c>
      <c r="C10729" s="8">
        <f>IFERROR(__xludf.DUMMYFUNCTION("""COMPUTED_VALUE"""),0.0)</f>
        <v>0</v>
      </c>
      <c r="D10729" s="8"/>
    </row>
    <row r="10730">
      <c r="A10730" s="9" t="str">
        <f>IFERROR(__xludf.DUMMYFUNCTION("""COMPUTED_VALUE"""),"Batch 388")</f>
        <v>Batch 388</v>
      </c>
      <c r="B10730" s="9" t="str">
        <f>IFERROR(__xludf.DUMMYFUNCTION("""COMPUTED_VALUE"""),"RohitC388")</f>
        <v>RohitC388</v>
      </c>
      <c r="C10730" s="8">
        <f>IFERROR(__xludf.DUMMYFUNCTION("""COMPUTED_VALUE"""),0.0)</f>
        <v>0</v>
      </c>
      <c r="D10730" s="8"/>
    </row>
    <row r="10731">
      <c r="A10731" s="9" t="str">
        <f>IFERROR(__xludf.DUMMYFUNCTION("""COMPUTED_VALUE"""),"Batch 388")</f>
        <v>Batch 388</v>
      </c>
      <c r="B10731" s="9" t="str">
        <f>IFERROR(__xludf.DUMMYFUNCTION("""COMPUTED_VALUE"""),"VanshikaC388")</f>
        <v>VanshikaC388</v>
      </c>
      <c r="C10731" s="8">
        <f>IFERROR(__xludf.DUMMYFUNCTION("""COMPUTED_VALUE"""),6.0)</f>
        <v>6</v>
      </c>
      <c r="D10731" s="8"/>
    </row>
    <row r="10732">
      <c r="A10732" s="9" t="str">
        <f>IFERROR(__xludf.DUMMYFUNCTION("""COMPUTED_VALUE"""),"Batch 388")</f>
        <v>Batch 388</v>
      </c>
      <c r="B10732" s="9" t="str">
        <f>IFERROR(__xludf.DUMMYFUNCTION("""COMPUTED_VALUE"""),"YashC388")</f>
        <v>YashC388</v>
      </c>
      <c r="C10732" s="8">
        <f>IFERROR(__xludf.DUMMYFUNCTION("""COMPUTED_VALUE"""),0.0)</f>
        <v>0</v>
      </c>
      <c r="D10732" s="8"/>
    </row>
    <row r="10733">
      <c r="A10733" s="9" t="str">
        <f>IFERROR(__xludf.DUMMYFUNCTION("""COMPUTED_VALUE"""),"Batch 388")</f>
        <v>Batch 388</v>
      </c>
      <c r="B10733" s="9" t="str">
        <f>IFERROR(__xludf.DUMMYFUNCTION("""COMPUTED_VALUE"""),"MuzammilC388")</f>
        <v>MuzammilC388</v>
      </c>
      <c r="C10733" s="8">
        <f>IFERROR(__xludf.DUMMYFUNCTION("""COMPUTED_VALUE"""),0.0)</f>
        <v>0</v>
      </c>
      <c r="D10733" s="8"/>
    </row>
    <row r="10734">
      <c r="A10734" s="9" t="str">
        <f>IFERROR(__xludf.DUMMYFUNCTION("""COMPUTED_VALUE"""),"Batch 388")</f>
        <v>Batch 388</v>
      </c>
      <c r="B10734" s="9" t="str">
        <f>IFERROR(__xludf.DUMMYFUNCTION("""COMPUTED_VALUE"""),"HemaC388")</f>
        <v>HemaC388</v>
      </c>
      <c r="C10734" s="8">
        <f>IFERROR(__xludf.DUMMYFUNCTION("""COMPUTED_VALUE"""),0.0)</f>
        <v>0</v>
      </c>
      <c r="D10734" s="8"/>
    </row>
    <row r="10735">
      <c r="A10735" s="9" t="str">
        <f>IFERROR(__xludf.DUMMYFUNCTION("""COMPUTED_VALUE"""),"Batch 388")</f>
        <v>Batch 388</v>
      </c>
      <c r="B10735" s="9" t="str">
        <f>IFERROR(__xludf.DUMMYFUNCTION("""COMPUTED_VALUE"""),"DhanushC388")</f>
        <v>DhanushC388</v>
      </c>
      <c r="C10735" s="8">
        <f>IFERROR(__xludf.DUMMYFUNCTION("""COMPUTED_VALUE"""),0.0)</f>
        <v>0</v>
      </c>
      <c r="D10735" s="8"/>
    </row>
    <row r="10736">
      <c r="A10736" s="9" t="str">
        <f>IFERROR(__xludf.DUMMYFUNCTION("""COMPUTED_VALUE"""),"Batch 388")</f>
        <v>Batch 388</v>
      </c>
      <c r="B10736" s="9" t="str">
        <f>IFERROR(__xludf.DUMMYFUNCTION("""COMPUTED_VALUE"""),"ParasC388")</f>
        <v>ParasC388</v>
      </c>
      <c r="C10736" s="8">
        <f>IFERROR(__xludf.DUMMYFUNCTION("""COMPUTED_VALUE"""),9.0)</f>
        <v>9</v>
      </c>
      <c r="D10736" s="8"/>
    </row>
    <row r="10737">
      <c r="A10737" s="9" t="str">
        <f>IFERROR(__xludf.DUMMYFUNCTION("""COMPUTED_VALUE"""),"Batch 388")</f>
        <v>Batch 388</v>
      </c>
      <c r="B10737" s="9" t="str">
        <f>IFERROR(__xludf.DUMMYFUNCTION("""COMPUTED_VALUE"""),"AhirC388")</f>
        <v>AhirC388</v>
      </c>
      <c r="C10737" s="8">
        <f>IFERROR(__xludf.DUMMYFUNCTION("""COMPUTED_VALUE"""),4.0)</f>
        <v>4</v>
      </c>
      <c r="D10737" s="8"/>
    </row>
    <row r="10738">
      <c r="A10738" s="9"/>
      <c r="B10738" s="9"/>
      <c r="C10738" s="8">
        <f>IFERROR(__xludf.DUMMYFUNCTION("""COMPUTED_VALUE"""),0.0)</f>
        <v>0</v>
      </c>
      <c r="D10738" s="8"/>
    </row>
    <row r="10739">
      <c r="A10739" s="9" t="str">
        <f>IFERROR(__xludf.DUMMYFUNCTION("""COMPUTED_VALUE"""),"Batch 389")</f>
        <v>Batch 389</v>
      </c>
      <c r="B10739" s="9" t="str">
        <f>IFERROR(__xludf.DUMMYFUNCTION("""COMPUTED_VALUE"""),"ChandanC389")</f>
        <v>ChandanC389</v>
      </c>
      <c r="C10739" s="8">
        <f>IFERROR(__xludf.DUMMYFUNCTION("""COMPUTED_VALUE"""),0.0)</f>
        <v>0</v>
      </c>
      <c r="D10739" s="8"/>
    </row>
    <row r="10740">
      <c r="A10740" s="9" t="str">
        <f>IFERROR(__xludf.DUMMYFUNCTION("""COMPUTED_VALUE"""),"Batch 389")</f>
        <v>Batch 389</v>
      </c>
      <c r="B10740" s="9" t="str">
        <f>IFERROR(__xludf.DUMMYFUNCTION("""COMPUTED_VALUE"""),"SnehalC389")</f>
        <v>SnehalC389</v>
      </c>
      <c r="C10740" s="8">
        <f>IFERROR(__xludf.DUMMYFUNCTION("""COMPUTED_VALUE"""),2.0)</f>
        <v>2</v>
      </c>
      <c r="D10740" s="8"/>
    </row>
    <row r="10741">
      <c r="A10741" s="9" t="str">
        <f>IFERROR(__xludf.DUMMYFUNCTION("""COMPUTED_VALUE"""),"Batch 389")</f>
        <v>Batch 389</v>
      </c>
      <c r="B10741" s="9" t="str">
        <f>IFERROR(__xludf.DUMMYFUNCTION("""COMPUTED_VALUE"""),"AnweshaC389")</f>
        <v>AnweshaC389</v>
      </c>
      <c r="C10741" s="8">
        <f>IFERROR(__xludf.DUMMYFUNCTION("""COMPUTED_VALUE"""),0.0)</f>
        <v>0</v>
      </c>
      <c r="D10741" s="8"/>
    </row>
    <row r="10742">
      <c r="A10742" s="9" t="str">
        <f>IFERROR(__xludf.DUMMYFUNCTION("""COMPUTED_VALUE"""),"Batch 389")</f>
        <v>Batch 389</v>
      </c>
      <c r="B10742" s="9" t="str">
        <f>IFERROR(__xludf.DUMMYFUNCTION("""COMPUTED_VALUE"""),"CharuC389")</f>
        <v>CharuC389</v>
      </c>
      <c r="C10742" s="8">
        <f>IFERROR(__xludf.DUMMYFUNCTION("""COMPUTED_VALUE"""),0.0)</f>
        <v>0</v>
      </c>
      <c r="D10742" s="8"/>
    </row>
    <row r="10743">
      <c r="A10743" s="9" t="str">
        <f>IFERROR(__xludf.DUMMYFUNCTION("""COMPUTED_VALUE"""),"Batch 389")</f>
        <v>Batch 389</v>
      </c>
      <c r="B10743" s="9" t="str">
        <f>IFERROR(__xludf.DUMMYFUNCTION("""COMPUTED_VALUE"""),"TanuC389")</f>
        <v>TanuC389</v>
      </c>
      <c r="C10743" s="8">
        <f>IFERROR(__xludf.DUMMYFUNCTION("""COMPUTED_VALUE"""),1.0)</f>
        <v>1</v>
      </c>
      <c r="D10743" s="8"/>
    </row>
    <row r="10744">
      <c r="A10744" s="9" t="str">
        <f>IFERROR(__xludf.DUMMYFUNCTION("""COMPUTED_VALUE"""),"Batch 389")</f>
        <v>Batch 389</v>
      </c>
      <c r="B10744" s="9" t="str">
        <f>IFERROR(__xludf.DUMMYFUNCTION("""COMPUTED_VALUE"""),"MohammedC389")</f>
        <v>MohammedC389</v>
      </c>
      <c r="C10744" s="8">
        <f>IFERROR(__xludf.DUMMYFUNCTION("""COMPUTED_VALUE"""),0.0)</f>
        <v>0</v>
      </c>
      <c r="D10744" s="8"/>
    </row>
    <row r="10745">
      <c r="A10745" s="9" t="str">
        <f>IFERROR(__xludf.DUMMYFUNCTION("""COMPUTED_VALUE"""),"Batch 389")</f>
        <v>Batch 389</v>
      </c>
      <c r="B10745" s="9" t="str">
        <f>IFERROR(__xludf.DUMMYFUNCTION("""COMPUTED_VALUE"""),"SanchiC389")</f>
        <v>SanchiC389</v>
      </c>
      <c r="C10745" s="8">
        <f>IFERROR(__xludf.DUMMYFUNCTION("""COMPUTED_VALUE"""),0.0)</f>
        <v>0</v>
      </c>
      <c r="D10745" s="8"/>
    </row>
    <row r="10746">
      <c r="A10746" s="9" t="str">
        <f>IFERROR(__xludf.DUMMYFUNCTION("""COMPUTED_VALUE"""),"Batch 389")</f>
        <v>Batch 389</v>
      </c>
      <c r="B10746" s="9" t="str">
        <f>IFERROR(__xludf.DUMMYFUNCTION("""COMPUTED_VALUE"""),"AshishC389")</f>
        <v>AshishC389</v>
      </c>
      <c r="C10746" s="8">
        <f>IFERROR(__xludf.DUMMYFUNCTION("""COMPUTED_VALUE"""),0.0)</f>
        <v>0</v>
      </c>
      <c r="D10746" s="8"/>
    </row>
    <row r="10747">
      <c r="A10747" s="9" t="str">
        <f>IFERROR(__xludf.DUMMYFUNCTION("""COMPUTED_VALUE"""),"Batch 389")</f>
        <v>Batch 389</v>
      </c>
      <c r="B10747" s="9" t="str">
        <f>IFERROR(__xludf.DUMMYFUNCTION("""COMPUTED_VALUE"""),"SammyC389")</f>
        <v>SammyC389</v>
      </c>
      <c r="C10747" s="8">
        <f>IFERROR(__xludf.DUMMYFUNCTION("""COMPUTED_VALUE"""),0.0)</f>
        <v>0</v>
      </c>
      <c r="D10747" s="8"/>
    </row>
    <row r="10748">
      <c r="A10748" s="9" t="str">
        <f>IFERROR(__xludf.DUMMYFUNCTION("""COMPUTED_VALUE"""),"Batch 389")</f>
        <v>Batch 389</v>
      </c>
      <c r="B10748" s="9" t="str">
        <f>IFERROR(__xludf.DUMMYFUNCTION("""COMPUTED_VALUE"""),"AmulyaC389")</f>
        <v>AmulyaC389</v>
      </c>
      <c r="C10748" s="8">
        <f>IFERROR(__xludf.DUMMYFUNCTION("""COMPUTED_VALUE"""),13.0)</f>
        <v>13</v>
      </c>
      <c r="D10748" s="8">
        <f>IFERROR(__xludf.DUMMYFUNCTION("""COMPUTED_VALUE"""),2.0)</f>
        <v>2</v>
      </c>
    </row>
    <row r="10749">
      <c r="A10749" s="9" t="str">
        <f>IFERROR(__xludf.DUMMYFUNCTION("""COMPUTED_VALUE"""),"Batch 389")</f>
        <v>Batch 389</v>
      </c>
      <c r="B10749" s="9" t="str">
        <f>IFERROR(__xludf.DUMMYFUNCTION("""COMPUTED_VALUE"""),"ThirumuruganC389")</f>
        <v>ThirumuruganC389</v>
      </c>
      <c r="C10749" s="8">
        <f>IFERROR(__xludf.DUMMYFUNCTION("""COMPUTED_VALUE"""),0.0)</f>
        <v>0</v>
      </c>
      <c r="D10749" s="8"/>
    </row>
    <row r="10750">
      <c r="A10750" s="9" t="str">
        <f>IFERROR(__xludf.DUMMYFUNCTION("""COMPUTED_VALUE"""),"Batch 389")</f>
        <v>Batch 389</v>
      </c>
      <c r="B10750" s="9" t="str">
        <f>IFERROR(__xludf.DUMMYFUNCTION("""COMPUTED_VALUE"""),"ManyaaC389")</f>
        <v>ManyaaC389</v>
      </c>
      <c r="C10750" s="8">
        <f>IFERROR(__xludf.DUMMYFUNCTION("""COMPUTED_VALUE"""),1.0)</f>
        <v>1</v>
      </c>
      <c r="D10750" s="8"/>
    </row>
    <row r="10751">
      <c r="A10751" s="9" t="str">
        <f>IFERROR(__xludf.DUMMYFUNCTION("""COMPUTED_VALUE"""),"Batch 389")</f>
        <v>Batch 389</v>
      </c>
      <c r="B10751" s="9" t="str">
        <f>IFERROR(__xludf.DUMMYFUNCTION("""COMPUTED_VALUE"""),"LokeshC389")</f>
        <v>LokeshC389</v>
      </c>
      <c r="C10751" s="8">
        <f>IFERROR(__xludf.DUMMYFUNCTION("""COMPUTED_VALUE"""),0.0)</f>
        <v>0</v>
      </c>
      <c r="D10751" s="8"/>
    </row>
    <row r="10752">
      <c r="A10752" s="9" t="str">
        <f>IFERROR(__xludf.DUMMYFUNCTION("""COMPUTED_VALUE"""),"Batch 389")</f>
        <v>Batch 389</v>
      </c>
      <c r="B10752" s="9" t="str">
        <f>IFERROR(__xludf.DUMMYFUNCTION("""COMPUTED_VALUE"""),"AasthaC389")</f>
        <v>AasthaC389</v>
      </c>
      <c r="C10752" s="8">
        <f>IFERROR(__xludf.DUMMYFUNCTION("""COMPUTED_VALUE"""),0.0)</f>
        <v>0</v>
      </c>
      <c r="D10752" s="8"/>
    </row>
    <row r="10753">
      <c r="A10753" s="9" t="str">
        <f>IFERROR(__xludf.DUMMYFUNCTION("""COMPUTED_VALUE"""),"Batch 389")</f>
        <v>Batch 389</v>
      </c>
      <c r="B10753" s="9" t="str">
        <f>IFERROR(__xludf.DUMMYFUNCTION("""COMPUTED_VALUE"""),"AniketC389")</f>
        <v>AniketC389</v>
      </c>
      <c r="C10753" s="8">
        <f>IFERROR(__xludf.DUMMYFUNCTION("""COMPUTED_VALUE"""),1.0)</f>
        <v>1</v>
      </c>
      <c r="D10753" s="8"/>
    </row>
    <row r="10754">
      <c r="A10754" s="9" t="str">
        <f>IFERROR(__xludf.DUMMYFUNCTION("""COMPUTED_VALUE"""),"Batch 389")</f>
        <v>Batch 389</v>
      </c>
      <c r="B10754" s="9" t="str">
        <f>IFERROR(__xludf.DUMMYFUNCTION("""COMPUTED_VALUE"""),"AhsasC389")</f>
        <v>AhsasC389</v>
      </c>
      <c r="C10754" s="8">
        <f>IFERROR(__xludf.DUMMYFUNCTION("""COMPUTED_VALUE"""),1.0)</f>
        <v>1</v>
      </c>
      <c r="D10754" s="8"/>
    </row>
    <row r="10755">
      <c r="A10755" s="9" t="str">
        <f>IFERROR(__xludf.DUMMYFUNCTION("""COMPUTED_VALUE"""),"Batch 389")</f>
        <v>Batch 389</v>
      </c>
      <c r="B10755" s="9" t="str">
        <f>IFERROR(__xludf.DUMMYFUNCTION("""COMPUTED_VALUE"""),"UmeshC389")</f>
        <v>UmeshC389</v>
      </c>
      <c r="C10755" s="8">
        <f>IFERROR(__xludf.DUMMYFUNCTION("""COMPUTED_VALUE"""),0.0)</f>
        <v>0</v>
      </c>
      <c r="D10755" s="8"/>
    </row>
    <row r="10756">
      <c r="A10756" s="9" t="str">
        <f>IFERROR(__xludf.DUMMYFUNCTION("""COMPUTED_VALUE"""),"Batch 389")</f>
        <v>Batch 389</v>
      </c>
      <c r="B10756" s="9" t="str">
        <f>IFERROR(__xludf.DUMMYFUNCTION("""COMPUTED_VALUE"""),"RC389")</f>
        <v>RC389</v>
      </c>
      <c r="C10756" s="8">
        <f>IFERROR(__xludf.DUMMYFUNCTION("""COMPUTED_VALUE"""),0.0)</f>
        <v>0</v>
      </c>
      <c r="D10756" s="8"/>
    </row>
    <row r="10757">
      <c r="A10757" s="9" t="str">
        <f>IFERROR(__xludf.DUMMYFUNCTION("""COMPUTED_VALUE"""),"Batch 389")</f>
        <v>Batch 389</v>
      </c>
      <c r="B10757" s="9" t="str">
        <f>IFERROR(__xludf.DUMMYFUNCTION("""COMPUTED_VALUE"""),"DivyanshiC389")</f>
        <v>DivyanshiC389</v>
      </c>
      <c r="C10757" s="8">
        <f>IFERROR(__xludf.DUMMYFUNCTION("""COMPUTED_VALUE"""),0.0)</f>
        <v>0</v>
      </c>
      <c r="D10757" s="8"/>
    </row>
    <row r="10758">
      <c r="A10758" s="9" t="str">
        <f>IFERROR(__xludf.DUMMYFUNCTION("""COMPUTED_VALUE"""),"Batch 389")</f>
        <v>Batch 389</v>
      </c>
      <c r="B10758" s="9" t="str">
        <f>IFERROR(__xludf.DUMMYFUNCTION("""COMPUTED_VALUE"""),"BoiniC389")</f>
        <v>BoiniC389</v>
      </c>
      <c r="C10758" s="8">
        <f>IFERROR(__xludf.DUMMYFUNCTION("""COMPUTED_VALUE"""),0.0)</f>
        <v>0</v>
      </c>
      <c r="D10758" s="8"/>
    </row>
    <row r="10759">
      <c r="A10759" s="9" t="str">
        <f>IFERROR(__xludf.DUMMYFUNCTION("""COMPUTED_VALUE"""),"Batch 389")</f>
        <v>Batch 389</v>
      </c>
      <c r="B10759" s="9" t="str">
        <f>IFERROR(__xludf.DUMMYFUNCTION("""COMPUTED_VALUE"""),"AkshatC389")</f>
        <v>AkshatC389</v>
      </c>
      <c r="C10759" s="8">
        <f>IFERROR(__xludf.DUMMYFUNCTION("""COMPUTED_VALUE"""),0.0)</f>
        <v>0</v>
      </c>
      <c r="D10759" s="8"/>
    </row>
    <row r="10760">
      <c r="A10760" s="9" t="str">
        <f>IFERROR(__xludf.DUMMYFUNCTION("""COMPUTED_VALUE"""),"Batch 389")</f>
        <v>Batch 389</v>
      </c>
      <c r="B10760" s="9" t="str">
        <f>IFERROR(__xludf.DUMMYFUNCTION("""COMPUTED_VALUE"""),"AnanyaC389")</f>
        <v>AnanyaC389</v>
      </c>
      <c r="C10760" s="8">
        <f>IFERROR(__xludf.DUMMYFUNCTION("""COMPUTED_VALUE"""),0.0)</f>
        <v>0</v>
      </c>
      <c r="D10760" s="8"/>
    </row>
    <row r="10761">
      <c r="A10761" s="9" t="str">
        <f>IFERROR(__xludf.DUMMYFUNCTION("""COMPUTED_VALUE"""),"Batch 389")</f>
        <v>Batch 389</v>
      </c>
      <c r="B10761" s="9" t="str">
        <f>IFERROR(__xludf.DUMMYFUNCTION("""COMPUTED_VALUE"""),"AkshayC389")</f>
        <v>AkshayC389</v>
      </c>
      <c r="C10761" s="8">
        <f>IFERROR(__xludf.DUMMYFUNCTION("""COMPUTED_VALUE"""),2.0)</f>
        <v>2</v>
      </c>
      <c r="D10761" s="8"/>
    </row>
    <row r="10762">
      <c r="A10762" s="9" t="str">
        <f>IFERROR(__xludf.DUMMYFUNCTION("""COMPUTED_VALUE"""),"Batch 389")</f>
        <v>Batch 389</v>
      </c>
      <c r="B10762" s="9" t="str">
        <f>IFERROR(__xludf.DUMMYFUNCTION("""COMPUTED_VALUE"""),"SABITHA.KC389")</f>
        <v>SABITHA.KC389</v>
      </c>
      <c r="C10762" s="8">
        <f>IFERROR(__xludf.DUMMYFUNCTION("""COMPUTED_VALUE"""),0.0)</f>
        <v>0</v>
      </c>
      <c r="D10762" s="8"/>
    </row>
    <row r="10763">
      <c r="A10763" s="9" t="str">
        <f>IFERROR(__xludf.DUMMYFUNCTION("""COMPUTED_VALUE"""),"Batch 389")</f>
        <v>Batch 389</v>
      </c>
      <c r="B10763" s="9" t="str">
        <f>IFERROR(__xludf.DUMMYFUNCTION("""COMPUTED_VALUE"""),"MehbubC389")</f>
        <v>MehbubC389</v>
      </c>
      <c r="C10763" s="8">
        <f>IFERROR(__xludf.DUMMYFUNCTION("""COMPUTED_VALUE"""),0.0)</f>
        <v>0</v>
      </c>
      <c r="D10763" s="8"/>
    </row>
    <row r="10764">
      <c r="A10764" s="9" t="str">
        <f>IFERROR(__xludf.DUMMYFUNCTION("""COMPUTED_VALUE"""),"Batch 389")</f>
        <v>Batch 389</v>
      </c>
      <c r="B10764" s="9" t="str">
        <f>IFERROR(__xludf.DUMMYFUNCTION("""COMPUTED_VALUE"""),"ShresthC389")</f>
        <v>ShresthC389</v>
      </c>
      <c r="C10764" s="8">
        <f>IFERROR(__xludf.DUMMYFUNCTION("""COMPUTED_VALUE"""),0.0)</f>
        <v>0</v>
      </c>
      <c r="D10764" s="8"/>
    </row>
    <row r="10765">
      <c r="A10765" s="9" t="str">
        <f>IFERROR(__xludf.DUMMYFUNCTION("""COMPUTED_VALUE"""),"Batch 389")</f>
        <v>Batch 389</v>
      </c>
      <c r="B10765" s="9" t="str">
        <f>IFERROR(__xludf.DUMMYFUNCTION("""COMPUTED_VALUE"""),"RiyaC389")</f>
        <v>RiyaC389</v>
      </c>
      <c r="C10765" s="8">
        <f>IFERROR(__xludf.DUMMYFUNCTION("""COMPUTED_VALUE"""),0.0)</f>
        <v>0</v>
      </c>
      <c r="D10765" s="8"/>
    </row>
    <row r="10766">
      <c r="A10766" s="9" t="str">
        <f>IFERROR(__xludf.DUMMYFUNCTION("""COMPUTED_VALUE"""),"Batch 389")</f>
        <v>Batch 389</v>
      </c>
      <c r="B10766" s="9" t="str">
        <f>IFERROR(__xludf.DUMMYFUNCTION("""COMPUTED_VALUE"""),"KurumurthyC389")</f>
        <v>KurumurthyC389</v>
      </c>
      <c r="C10766" s="8">
        <f>IFERROR(__xludf.DUMMYFUNCTION("""COMPUTED_VALUE"""),0.0)</f>
        <v>0</v>
      </c>
      <c r="D10766" s="8"/>
    </row>
    <row r="10767">
      <c r="A10767" s="9" t="str">
        <f>IFERROR(__xludf.DUMMYFUNCTION("""COMPUTED_VALUE"""),"Batch 389")</f>
        <v>Batch 389</v>
      </c>
      <c r="B10767" s="9" t="str">
        <f>IFERROR(__xludf.DUMMYFUNCTION("""COMPUTED_VALUE"""),"IshaC389")</f>
        <v>IshaC389</v>
      </c>
      <c r="C10767" s="8">
        <f>IFERROR(__xludf.DUMMYFUNCTION("""COMPUTED_VALUE"""),0.0)</f>
        <v>0</v>
      </c>
      <c r="D10767" s="8"/>
    </row>
    <row r="10768">
      <c r="A10768" s="9" t="str">
        <f>IFERROR(__xludf.DUMMYFUNCTION("""COMPUTED_VALUE"""),"Batch 389")</f>
        <v>Batch 389</v>
      </c>
      <c r="B10768" s="9" t="str">
        <f>IFERROR(__xludf.DUMMYFUNCTION("""COMPUTED_VALUE"""),"SrushtiC389")</f>
        <v>SrushtiC389</v>
      </c>
      <c r="C10768" s="8">
        <f>IFERROR(__xludf.DUMMYFUNCTION("""COMPUTED_VALUE"""),32.0)</f>
        <v>32</v>
      </c>
      <c r="D10768" s="8">
        <f>IFERROR(__xludf.DUMMYFUNCTION("""COMPUTED_VALUE"""),5.0)</f>
        <v>5</v>
      </c>
    </row>
    <row r="10769">
      <c r="A10769" s="9" t="str">
        <f>IFERROR(__xludf.DUMMYFUNCTION("""COMPUTED_VALUE"""),"Batch 389")</f>
        <v>Batch 389</v>
      </c>
      <c r="B10769" s="9" t="str">
        <f>IFERROR(__xludf.DUMMYFUNCTION("""COMPUTED_VALUE"""),"PranviC389")</f>
        <v>PranviC389</v>
      </c>
      <c r="C10769" s="8">
        <f>IFERROR(__xludf.DUMMYFUNCTION("""COMPUTED_VALUE"""),0.0)</f>
        <v>0</v>
      </c>
      <c r="D10769" s="8"/>
    </row>
    <row r="10770">
      <c r="A10770" s="9" t="str">
        <f>IFERROR(__xludf.DUMMYFUNCTION("""COMPUTED_VALUE"""),"Batch 389")</f>
        <v>Batch 389</v>
      </c>
      <c r="B10770" s="9" t="str">
        <f>IFERROR(__xludf.DUMMYFUNCTION("""COMPUTED_VALUE"""),"ThadiC389")</f>
        <v>ThadiC389</v>
      </c>
      <c r="C10770" s="8">
        <f>IFERROR(__xludf.DUMMYFUNCTION("""COMPUTED_VALUE"""),0.0)</f>
        <v>0</v>
      </c>
      <c r="D10770" s="8"/>
    </row>
    <row r="10771">
      <c r="A10771" s="9" t="str">
        <f>IFERROR(__xludf.DUMMYFUNCTION("""COMPUTED_VALUE"""),"Batch 389")</f>
        <v>Batch 389</v>
      </c>
      <c r="B10771" s="9" t="str">
        <f>IFERROR(__xludf.DUMMYFUNCTION("""COMPUTED_VALUE"""),"AyushC389")</f>
        <v>AyushC389</v>
      </c>
      <c r="C10771" s="8">
        <f>IFERROR(__xludf.DUMMYFUNCTION("""COMPUTED_VALUE"""),0.0)</f>
        <v>0</v>
      </c>
      <c r="D10771" s="8"/>
    </row>
    <row r="10772">
      <c r="A10772" s="9"/>
      <c r="B10772" s="9"/>
      <c r="C10772" s="8">
        <f>IFERROR(__xludf.DUMMYFUNCTION("""COMPUTED_VALUE"""),0.0)</f>
        <v>0</v>
      </c>
      <c r="D10772" s="8"/>
    </row>
    <row r="10773">
      <c r="A10773" s="9" t="str">
        <f>IFERROR(__xludf.DUMMYFUNCTION("""COMPUTED_VALUE"""),"Batch 390")</f>
        <v>Batch 390</v>
      </c>
      <c r="B10773" s="9" t="str">
        <f>IFERROR(__xludf.DUMMYFUNCTION("""COMPUTED_VALUE"""),"AmenC390")</f>
        <v>AmenC390</v>
      </c>
      <c r="C10773" s="8">
        <f>IFERROR(__xludf.DUMMYFUNCTION("""COMPUTED_VALUE"""),0.0)</f>
        <v>0</v>
      </c>
      <c r="D10773" s="8"/>
    </row>
    <row r="10774">
      <c r="A10774" s="9" t="str">
        <f>IFERROR(__xludf.DUMMYFUNCTION("""COMPUTED_VALUE"""),"Batch 390")</f>
        <v>Batch 390</v>
      </c>
      <c r="B10774" s="9" t="str">
        <f>IFERROR(__xludf.DUMMYFUNCTION("""COMPUTED_VALUE"""),"NavyaC390")</f>
        <v>NavyaC390</v>
      </c>
      <c r="C10774" s="8">
        <f>IFERROR(__xludf.DUMMYFUNCTION("""COMPUTED_VALUE"""),0.0)</f>
        <v>0</v>
      </c>
      <c r="D10774" s="8"/>
    </row>
    <row r="10775">
      <c r="A10775" s="9" t="str">
        <f>IFERROR(__xludf.DUMMYFUNCTION("""COMPUTED_VALUE"""),"Batch 390")</f>
        <v>Batch 390</v>
      </c>
      <c r="B10775" s="9" t="str">
        <f>IFERROR(__xludf.DUMMYFUNCTION("""COMPUTED_VALUE"""),"MahieC390")</f>
        <v>MahieC390</v>
      </c>
      <c r="C10775" s="8">
        <f>IFERROR(__xludf.DUMMYFUNCTION("""COMPUTED_VALUE"""),0.0)</f>
        <v>0</v>
      </c>
      <c r="D10775" s="8"/>
    </row>
    <row r="10776">
      <c r="A10776" s="9" t="str">
        <f>IFERROR(__xludf.DUMMYFUNCTION("""COMPUTED_VALUE"""),"Batch 390")</f>
        <v>Batch 390</v>
      </c>
      <c r="B10776" s="9" t="str">
        <f>IFERROR(__xludf.DUMMYFUNCTION("""COMPUTED_VALUE"""),"MunazzaC390")</f>
        <v>MunazzaC390</v>
      </c>
      <c r="C10776" s="8">
        <f>IFERROR(__xludf.DUMMYFUNCTION("""COMPUTED_VALUE"""),0.0)</f>
        <v>0</v>
      </c>
      <c r="D10776" s="8"/>
    </row>
    <row r="10777">
      <c r="A10777" s="9" t="str">
        <f>IFERROR(__xludf.DUMMYFUNCTION("""COMPUTED_VALUE"""),"Batch 390")</f>
        <v>Batch 390</v>
      </c>
      <c r="B10777" s="9" t="str">
        <f>IFERROR(__xludf.DUMMYFUNCTION("""COMPUTED_VALUE"""),"AsthaC390")</f>
        <v>AsthaC390</v>
      </c>
      <c r="C10777" s="8">
        <f>IFERROR(__xludf.DUMMYFUNCTION("""COMPUTED_VALUE"""),0.0)</f>
        <v>0</v>
      </c>
      <c r="D10777" s="8"/>
    </row>
    <row r="10778">
      <c r="A10778" s="9" t="str">
        <f>IFERROR(__xludf.DUMMYFUNCTION("""COMPUTED_VALUE"""),"Batch 390")</f>
        <v>Batch 390</v>
      </c>
      <c r="B10778" s="9" t="str">
        <f>IFERROR(__xludf.DUMMYFUNCTION("""COMPUTED_VALUE"""),"SnehaC390")</f>
        <v>SnehaC390</v>
      </c>
      <c r="C10778" s="8">
        <f>IFERROR(__xludf.DUMMYFUNCTION("""COMPUTED_VALUE"""),0.0)</f>
        <v>0</v>
      </c>
      <c r="D10778" s="8"/>
    </row>
    <row r="10779">
      <c r="A10779" s="9" t="str">
        <f>IFERROR(__xludf.DUMMYFUNCTION("""COMPUTED_VALUE"""),"Batch 390")</f>
        <v>Batch 390</v>
      </c>
      <c r="B10779" s="9" t="str">
        <f>IFERROR(__xludf.DUMMYFUNCTION("""COMPUTED_VALUE"""),"AnjaliC390")</f>
        <v>AnjaliC390</v>
      </c>
      <c r="C10779" s="8">
        <f>IFERROR(__xludf.DUMMYFUNCTION("""COMPUTED_VALUE"""),0.0)</f>
        <v>0</v>
      </c>
      <c r="D10779" s="8"/>
    </row>
    <row r="10780">
      <c r="A10780" s="9" t="str">
        <f>IFERROR(__xludf.DUMMYFUNCTION("""COMPUTED_VALUE"""),"Batch 390")</f>
        <v>Batch 390</v>
      </c>
      <c r="B10780" s="9" t="str">
        <f>IFERROR(__xludf.DUMMYFUNCTION("""COMPUTED_VALUE"""),"DarshitC390")</f>
        <v>DarshitC390</v>
      </c>
      <c r="C10780" s="8">
        <f>IFERROR(__xludf.DUMMYFUNCTION("""COMPUTED_VALUE"""),0.0)</f>
        <v>0</v>
      </c>
      <c r="D10780" s="8"/>
    </row>
    <row r="10781">
      <c r="A10781" s="9" t="str">
        <f>IFERROR(__xludf.DUMMYFUNCTION("""COMPUTED_VALUE"""),"Batch 390")</f>
        <v>Batch 390</v>
      </c>
      <c r="B10781" s="9" t="str">
        <f>IFERROR(__xludf.DUMMYFUNCTION("""COMPUTED_VALUE"""),"KashishC390")</f>
        <v>KashishC390</v>
      </c>
      <c r="C10781" s="8">
        <f>IFERROR(__xludf.DUMMYFUNCTION("""COMPUTED_VALUE"""),0.0)</f>
        <v>0</v>
      </c>
      <c r="D10781" s="8"/>
    </row>
    <row r="10782">
      <c r="A10782" s="9" t="str">
        <f>IFERROR(__xludf.DUMMYFUNCTION("""COMPUTED_VALUE"""),"Batch 390")</f>
        <v>Batch 390</v>
      </c>
      <c r="B10782" s="9" t="str">
        <f>IFERROR(__xludf.DUMMYFUNCTION("""COMPUTED_VALUE"""),"LayasreeC390")</f>
        <v>LayasreeC390</v>
      </c>
      <c r="C10782" s="8">
        <f>IFERROR(__xludf.DUMMYFUNCTION("""COMPUTED_VALUE"""),2.0)</f>
        <v>2</v>
      </c>
      <c r="D10782" s="8">
        <f>IFERROR(__xludf.DUMMYFUNCTION("""COMPUTED_VALUE"""),2.0)</f>
        <v>2</v>
      </c>
    </row>
    <row r="10783">
      <c r="A10783" s="9" t="str">
        <f>IFERROR(__xludf.DUMMYFUNCTION("""COMPUTED_VALUE"""),"Batch 390")</f>
        <v>Batch 390</v>
      </c>
      <c r="B10783" s="9" t="str">
        <f>IFERROR(__xludf.DUMMYFUNCTION("""COMPUTED_VALUE"""),"RishuC390")</f>
        <v>RishuC390</v>
      </c>
      <c r="C10783" s="8">
        <f>IFERROR(__xludf.DUMMYFUNCTION("""COMPUTED_VALUE"""),2.0)</f>
        <v>2</v>
      </c>
      <c r="D10783" s="8"/>
    </row>
    <row r="10784">
      <c r="A10784" s="9" t="str">
        <f>IFERROR(__xludf.DUMMYFUNCTION("""COMPUTED_VALUE"""),"Batch 390")</f>
        <v>Batch 390</v>
      </c>
      <c r="B10784" s="9" t="str">
        <f>IFERROR(__xludf.DUMMYFUNCTION("""COMPUTED_VALUE"""),"D.ADIKESHAVAC390")</f>
        <v>D.ADIKESHAVAC390</v>
      </c>
      <c r="C10784" s="8">
        <f>IFERROR(__xludf.DUMMYFUNCTION("""COMPUTED_VALUE"""),0.0)</f>
        <v>0</v>
      </c>
      <c r="D10784" s="8"/>
    </row>
    <row r="10785">
      <c r="A10785" s="9" t="str">
        <f>IFERROR(__xludf.DUMMYFUNCTION("""COMPUTED_VALUE"""),"Batch 390")</f>
        <v>Batch 390</v>
      </c>
      <c r="B10785" s="9" t="str">
        <f>IFERROR(__xludf.DUMMYFUNCTION("""COMPUTED_VALUE"""),"AnanyaC390")</f>
        <v>AnanyaC390</v>
      </c>
      <c r="C10785" s="8">
        <f>IFERROR(__xludf.DUMMYFUNCTION("""COMPUTED_VALUE"""),0.0)</f>
        <v>0</v>
      </c>
      <c r="D10785" s="8"/>
    </row>
    <row r="10786">
      <c r="A10786" s="9" t="str">
        <f>IFERROR(__xludf.DUMMYFUNCTION("""COMPUTED_VALUE"""),"Batch 390")</f>
        <v>Batch 390</v>
      </c>
      <c r="B10786" s="9" t="str">
        <f>IFERROR(__xludf.DUMMYFUNCTION("""COMPUTED_VALUE"""),"JatinC390")</f>
        <v>JatinC390</v>
      </c>
      <c r="C10786" s="8">
        <f>IFERROR(__xludf.DUMMYFUNCTION("""COMPUTED_VALUE"""),0.0)</f>
        <v>0</v>
      </c>
      <c r="D10786" s="8"/>
    </row>
    <row r="10787">
      <c r="A10787" s="9" t="str">
        <f>IFERROR(__xludf.DUMMYFUNCTION("""COMPUTED_VALUE"""),"Batch 390")</f>
        <v>Batch 390</v>
      </c>
      <c r="B10787" s="9" t="str">
        <f>IFERROR(__xludf.DUMMYFUNCTION("""COMPUTED_VALUE"""),"AkshayaC390")</f>
        <v>AkshayaC390</v>
      </c>
      <c r="C10787" s="8">
        <f>IFERROR(__xludf.DUMMYFUNCTION("""COMPUTED_VALUE"""),0.0)</f>
        <v>0</v>
      </c>
      <c r="D10787" s="8"/>
    </row>
    <row r="10788">
      <c r="A10788" s="9" t="str">
        <f>IFERROR(__xludf.DUMMYFUNCTION("""COMPUTED_VALUE"""),"Batch 390")</f>
        <v>Batch 390</v>
      </c>
      <c r="B10788" s="9" t="str">
        <f>IFERROR(__xludf.DUMMYFUNCTION("""COMPUTED_VALUE"""),"PratikshaC390")</f>
        <v>PratikshaC390</v>
      </c>
      <c r="C10788" s="8">
        <f>IFERROR(__xludf.DUMMYFUNCTION("""COMPUTED_VALUE"""),0.0)</f>
        <v>0</v>
      </c>
      <c r="D10788" s="8"/>
    </row>
    <row r="10789">
      <c r="A10789" s="9" t="str">
        <f>IFERROR(__xludf.DUMMYFUNCTION("""COMPUTED_VALUE"""),"Batch 390")</f>
        <v>Batch 390</v>
      </c>
      <c r="B10789" s="9" t="str">
        <f>IFERROR(__xludf.DUMMYFUNCTION("""COMPUTED_VALUE"""),"VinayC390")</f>
        <v>VinayC390</v>
      </c>
      <c r="C10789" s="8">
        <f>IFERROR(__xludf.DUMMYFUNCTION("""COMPUTED_VALUE"""),0.0)</f>
        <v>0</v>
      </c>
      <c r="D10789" s="8"/>
    </row>
    <row r="10790">
      <c r="A10790" s="9" t="str">
        <f>IFERROR(__xludf.DUMMYFUNCTION("""COMPUTED_VALUE"""),"Batch 390")</f>
        <v>Batch 390</v>
      </c>
      <c r="B10790" s="9" t="str">
        <f>IFERROR(__xludf.DUMMYFUNCTION("""COMPUTED_VALUE"""),"AmanC390")</f>
        <v>AmanC390</v>
      </c>
      <c r="C10790" s="8">
        <f>IFERROR(__xludf.DUMMYFUNCTION("""COMPUTED_VALUE"""),0.0)</f>
        <v>0</v>
      </c>
      <c r="D10790" s="8"/>
    </row>
    <row r="10791">
      <c r="A10791" s="9" t="str">
        <f>IFERROR(__xludf.DUMMYFUNCTION("""COMPUTED_VALUE"""),"Batch 390")</f>
        <v>Batch 390</v>
      </c>
      <c r="B10791" s="9" t="str">
        <f>IFERROR(__xludf.DUMMYFUNCTION("""COMPUTED_VALUE"""),"CheluruC390")</f>
        <v>CheluruC390</v>
      </c>
      <c r="C10791" s="8">
        <f>IFERROR(__xludf.DUMMYFUNCTION("""COMPUTED_VALUE"""),8.0)</f>
        <v>8</v>
      </c>
      <c r="D10791" s="8"/>
    </row>
    <row r="10792">
      <c r="A10792" s="9" t="str">
        <f>IFERROR(__xludf.DUMMYFUNCTION("""COMPUTED_VALUE"""),"Batch 390")</f>
        <v>Batch 390</v>
      </c>
      <c r="B10792" s="9" t="str">
        <f>IFERROR(__xludf.DUMMYFUNCTION("""COMPUTED_VALUE"""),"JashanpreetC390")</f>
        <v>JashanpreetC390</v>
      </c>
      <c r="C10792" s="8">
        <f>IFERROR(__xludf.DUMMYFUNCTION("""COMPUTED_VALUE"""),0.0)</f>
        <v>0</v>
      </c>
      <c r="D10792" s="8"/>
    </row>
    <row r="10793">
      <c r="A10793" s="9" t="str">
        <f>IFERROR(__xludf.DUMMYFUNCTION("""COMPUTED_VALUE"""),"Batch 390")</f>
        <v>Batch 390</v>
      </c>
      <c r="B10793" s="9" t="str">
        <f>IFERROR(__xludf.DUMMYFUNCTION("""COMPUTED_VALUE"""),"fouziyaC390")</f>
        <v>fouziyaC390</v>
      </c>
      <c r="C10793" s="8">
        <f>IFERROR(__xludf.DUMMYFUNCTION("""COMPUTED_VALUE"""),0.0)</f>
        <v>0</v>
      </c>
      <c r="D10793" s="8"/>
    </row>
    <row r="10794">
      <c r="A10794" s="9" t="str">
        <f>IFERROR(__xludf.DUMMYFUNCTION("""COMPUTED_VALUE"""),"Batch 390")</f>
        <v>Batch 390</v>
      </c>
      <c r="B10794" s="9" t="str">
        <f>IFERROR(__xludf.DUMMYFUNCTION("""COMPUTED_VALUE"""),"AbhinavC390")</f>
        <v>AbhinavC390</v>
      </c>
      <c r="C10794" s="8">
        <f>IFERROR(__xludf.DUMMYFUNCTION("""COMPUTED_VALUE"""),0.0)</f>
        <v>0</v>
      </c>
      <c r="D10794" s="8"/>
    </row>
    <row r="10795">
      <c r="A10795" s="9" t="str">
        <f>IFERROR(__xludf.DUMMYFUNCTION("""COMPUTED_VALUE"""),"Batch 390")</f>
        <v>Batch 390</v>
      </c>
      <c r="B10795" s="9" t="str">
        <f>IFERROR(__xludf.DUMMYFUNCTION("""COMPUTED_VALUE"""),"ThikkavarapuC390")</f>
        <v>ThikkavarapuC390</v>
      </c>
      <c r="C10795" s="8">
        <f>IFERROR(__xludf.DUMMYFUNCTION("""COMPUTED_VALUE"""),0.0)</f>
        <v>0</v>
      </c>
      <c r="D10795" s="8"/>
    </row>
    <row r="10796">
      <c r="A10796" s="9"/>
      <c r="B10796" s="9"/>
      <c r="C10796" s="8">
        <f>IFERROR(__xludf.DUMMYFUNCTION("""COMPUTED_VALUE"""),0.0)</f>
        <v>0</v>
      </c>
      <c r="D10796" s="8"/>
    </row>
    <row r="10797">
      <c r="A10797" s="9" t="str">
        <f>IFERROR(__xludf.DUMMYFUNCTION("""COMPUTED_VALUE"""),"Batch 391")</f>
        <v>Batch 391</v>
      </c>
      <c r="B10797" s="9" t="str">
        <f>IFERROR(__xludf.DUMMYFUNCTION("""COMPUTED_VALUE"""),"HarmeetC391")</f>
        <v>HarmeetC391</v>
      </c>
      <c r="C10797" s="8">
        <f>IFERROR(__xludf.DUMMYFUNCTION("""COMPUTED_VALUE"""),21.0)</f>
        <v>21</v>
      </c>
      <c r="D10797" s="8">
        <f>IFERROR(__xludf.DUMMYFUNCTION("""COMPUTED_VALUE"""),1.0)</f>
        <v>1</v>
      </c>
    </row>
    <row r="10798">
      <c r="A10798" s="9" t="str">
        <f>IFERROR(__xludf.DUMMYFUNCTION("""COMPUTED_VALUE"""),"Batch 391")</f>
        <v>Batch 391</v>
      </c>
      <c r="B10798" s="9" t="str">
        <f>IFERROR(__xludf.DUMMYFUNCTION("""COMPUTED_VALUE"""),"DeepaC391")</f>
        <v>DeepaC391</v>
      </c>
      <c r="C10798" s="8">
        <f>IFERROR(__xludf.DUMMYFUNCTION("""COMPUTED_VALUE"""),0.0)</f>
        <v>0</v>
      </c>
      <c r="D10798" s="8"/>
    </row>
    <row r="10799">
      <c r="A10799" s="9" t="str">
        <f>IFERROR(__xludf.DUMMYFUNCTION("""COMPUTED_VALUE"""),"Batch 391")</f>
        <v>Batch 391</v>
      </c>
      <c r="B10799" s="9" t="str">
        <f>IFERROR(__xludf.DUMMYFUNCTION("""COMPUTED_VALUE"""),"MUHAMMADC391")</f>
        <v>MUHAMMADC391</v>
      </c>
      <c r="C10799" s="8">
        <f>IFERROR(__xludf.DUMMYFUNCTION("""COMPUTED_VALUE"""),0.0)</f>
        <v>0</v>
      </c>
      <c r="D10799" s="8"/>
    </row>
    <row r="10800">
      <c r="A10800" s="9" t="str">
        <f>IFERROR(__xludf.DUMMYFUNCTION("""COMPUTED_VALUE"""),"Batch 391")</f>
        <v>Batch 391</v>
      </c>
      <c r="B10800" s="9" t="str">
        <f>IFERROR(__xludf.DUMMYFUNCTION("""COMPUTED_VALUE"""),"MokshC391")</f>
        <v>MokshC391</v>
      </c>
      <c r="C10800" s="8">
        <f>IFERROR(__xludf.DUMMYFUNCTION("""COMPUTED_VALUE"""),15.0)</f>
        <v>15</v>
      </c>
      <c r="D10800" s="8">
        <f>IFERROR(__xludf.DUMMYFUNCTION("""COMPUTED_VALUE"""),4.0)</f>
        <v>4</v>
      </c>
    </row>
    <row r="10801">
      <c r="A10801" s="9" t="str">
        <f>IFERROR(__xludf.DUMMYFUNCTION("""COMPUTED_VALUE"""),"Batch 391")</f>
        <v>Batch 391</v>
      </c>
      <c r="B10801" s="9" t="str">
        <f>IFERROR(__xludf.DUMMYFUNCTION("""COMPUTED_VALUE"""),"suhaC391")</f>
        <v>suhaC391</v>
      </c>
      <c r="C10801" s="8">
        <f>IFERROR(__xludf.DUMMYFUNCTION("""COMPUTED_VALUE"""),0.0)</f>
        <v>0</v>
      </c>
      <c r="D10801" s="8"/>
    </row>
    <row r="10802">
      <c r="A10802" s="9" t="str">
        <f>IFERROR(__xludf.DUMMYFUNCTION("""COMPUTED_VALUE"""),"Batch 391")</f>
        <v>Batch 391</v>
      </c>
      <c r="B10802" s="9" t="str">
        <f>IFERROR(__xludf.DUMMYFUNCTION("""COMPUTED_VALUE"""),"GoutamC391")</f>
        <v>GoutamC391</v>
      </c>
      <c r="C10802" s="8">
        <f>IFERROR(__xludf.DUMMYFUNCTION("""COMPUTED_VALUE"""),0.0)</f>
        <v>0</v>
      </c>
      <c r="D10802" s="8"/>
    </row>
    <row r="10803">
      <c r="A10803" s="9" t="str">
        <f>IFERROR(__xludf.DUMMYFUNCTION("""COMPUTED_VALUE"""),"Batch 391")</f>
        <v>Batch 391</v>
      </c>
      <c r="B10803" s="9" t="str">
        <f>IFERROR(__xludf.DUMMYFUNCTION("""COMPUTED_VALUE"""),"HinaC391")</f>
        <v>HinaC391</v>
      </c>
      <c r="C10803" s="8">
        <f>IFERROR(__xludf.DUMMYFUNCTION("""COMPUTED_VALUE"""),1.0)</f>
        <v>1</v>
      </c>
      <c r="D10803" s="8"/>
    </row>
    <row r="10804">
      <c r="A10804" s="9" t="str">
        <f>IFERROR(__xludf.DUMMYFUNCTION("""COMPUTED_VALUE"""),"Batch 391")</f>
        <v>Batch 391</v>
      </c>
      <c r="B10804" s="9" t="str">
        <f>IFERROR(__xludf.DUMMYFUNCTION("""COMPUTED_VALUE"""),"KashishC391")</f>
        <v>KashishC391</v>
      </c>
      <c r="C10804" s="8">
        <f>IFERROR(__xludf.DUMMYFUNCTION("""COMPUTED_VALUE"""),0.0)</f>
        <v>0</v>
      </c>
      <c r="D10804" s="8"/>
    </row>
    <row r="10805">
      <c r="A10805" s="9" t="str">
        <f>IFERROR(__xludf.DUMMYFUNCTION("""COMPUTED_VALUE"""),"Batch 391")</f>
        <v>Batch 391</v>
      </c>
      <c r="B10805" s="9" t="str">
        <f>IFERROR(__xludf.DUMMYFUNCTION("""COMPUTED_VALUE"""),"AshutoshC391")</f>
        <v>AshutoshC391</v>
      </c>
      <c r="C10805" s="8">
        <f>IFERROR(__xludf.DUMMYFUNCTION("""COMPUTED_VALUE"""),0.0)</f>
        <v>0</v>
      </c>
      <c r="D10805" s="8"/>
    </row>
    <row r="10806">
      <c r="A10806" s="9" t="str">
        <f>IFERROR(__xludf.DUMMYFUNCTION("""COMPUTED_VALUE"""),"Batch 391")</f>
        <v>Batch 391</v>
      </c>
      <c r="B10806" s="9" t="str">
        <f>IFERROR(__xludf.DUMMYFUNCTION("""COMPUTED_VALUE"""),"HarshaC391")</f>
        <v>HarshaC391</v>
      </c>
      <c r="C10806" s="8">
        <f>IFERROR(__xludf.DUMMYFUNCTION("""COMPUTED_VALUE"""),0.0)</f>
        <v>0</v>
      </c>
      <c r="D10806" s="8"/>
    </row>
    <row r="10807">
      <c r="A10807" s="9" t="str">
        <f>IFERROR(__xludf.DUMMYFUNCTION("""COMPUTED_VALUE"""),"Batch 391")</f>
        <v>Batch 391</v>
      </c>
      <c r="B10807" s="9" t="str">
        <f>IFERROR(__xludf.DUMMYFUNCTION("""COMPUTED_VALUE"""),"AaravC391")</f>
        <v>AaravC391</v>
      </c>
      <c r="C10807" s="8">
        <f>IFERROR(__xludf.DUMMYFUNCTION("""COMPUTED_VALUE"""),0.0)</f>
        <v>0</v>
      </c>
      <c r="D10807" s="8"/>
    </row>
    <row r="10808">
      <c r="A10808" s="9" t="str">
        <f>IFERROR(__xludf.DUMMYFUNCTION("""COMPUTED_VALUE"""),"Batch 391")</f>
        <v>Batch 391</v>
      </c>
      <c r="B10808" s="9" t="str">
        <f>IFERROR(__xludf.DUMMYFUNCTION("""COMPUTED_VALUE"""),"PrajapatiC391")</f>
        <v>PrajapatiC391</v>
      </c>
      <c r="C10808" s="8">
        <f>IFERROR(__xludf.DUMMYFUNCTION("""COMPUTED_VALUE"""),1.0)</f>
        <v>1</v>
      </c>
      <c r="D10808" s="8"/>
    </row>
    <row r="10809">
      <c r="A10809" s="9" t="str">
        <f>IFERROR(__xludf.DUMMYFUNCTION("""COMPUTED_VALUE"""),"Batch 391")</f>
        <v>Batch 391</v>
      </c>
      <c r="B10809" s="9" t="str">
        <f>IFERROR(__xludf.DUMMYFUNCTION("""COMPUTED_VALUE"""),"HarshaC391")</f>
        <v>HarshaC391</v>
      </c>
      <c r="C10809" s="8">
        <f>IFERROR(__xludf.DUMMYFUNCTION("""COMPUTED_VALUE"""),0.0)</f>
        <v>0</v>
      </c>
      <c r="D10809" s="8"/>
    </row>
    <row r="10810">
      <c r="A10810" s="9" t="str">
        <f>IFERROR(__xludf.DUMMYFUNCTION("""COMPUTED_VALUE"""),"Batch 391")</f>
        <v>Batch 391</v>
      </c>
      <c r="B10810" s="9" t="str">
        <f>IFERROR(__xludf.DUMMYFUNCTION("""COMPUTED_VALUE"""),"PoojaC391")</f>
        <v>PoojaC391</v>
      </c>
      <c r="C10810" s="8">
        <f>IFERROR(__xludf.DUMMYFUNCTION("""COMPUTED_VALUE"""),0.0)</f>
        <v>0</v>
      </c>
      <c r="D10810" s="8"/>
    </row>
    <row r="10811">
      <c r="A10811" s="9" t="str">
        <f>IFERROR(__xludf.DUMMYFUNCTION("""COMPUTED_VALUE"""),"Batch 391")</f>
        <v>Batch 391</v>
      </c>
      <c r="B10811" s="9" t="str">
        <f>IFERROR(__xludf.DUMMYFUNCTION("""COMPUTED_VALUE"""),"TanishC391")</f>
        <v>TanishC391</v>
      </c>
      <c r="C10811" s="8">
        <f>IFERROR(__xludf.DUMMYFUNCTION("""COMPUTED_VALUE"""),0.0)</f>
        <v>0</v>
      </c>
      <c r="D10811" s="8"/>
    </row>
    <row r="10812">
      <c r="A10812" s="9" t="str">
        <f>IFERROR(__xludf.DUMMYFUNCTION("""COMPUTED_VALUE"""),"Batch 391")</f>
        <v>Batch 391</v>
      </c>
      <c r="B10812" s="9" t="str">
        <f>IFERROR(__xludf.DUMMYFUNCTION("""COMPUTED_VALUE"""),"AshokC391")</f>
        <v>AshokC391</v>
      </c>
      <c r="C10812" s="8">
        <f>IFERROR(__xludf.DUMMYFUNCTION("""COMPUTED_VALUE"""),0.0)</f>
        <v>0</v>
      </c>
      <c r="D10812" s="8"/>
    </row>
    <row r="10813">
      <c r="A10813" s="9" t="str">
        <f>IFERROR(__xludf.DUMMYFUNCTION("""COMPUTED_VALUE"""),"Batch 391")</f>
        <v>Batch 391</v>
      </c>
      <c r="B10813" s="9" t="str">
        <f>IFERROR(__xludf.DUMMYFUNCTION("""COMPUTED_VALUE"""),"AkashC391")</f>
        <v>AkashC391</v>
      </c>
      <c r="C10813" s="8">
        <f>IFERROR(__xludf.DUMMYFUNCTION("""COMPUTED_VALUE"""),0.0)</f>
        <v>0</v>
      </c>
      <c r="D10813" s="8"/>
    </row>
    <row r="10814">
      <c r="A10814" s="9" t="str">
        <f>IFERROR(__xludf.DUMMYFUNCTION("""COMPUTED_VALUE"""),"Batch 391")</f>
        <v>Batch 391</v>
      </c>
      <c r="B10814" s="9" t="str">
        <f>IFERROR(__xludf.DUMMYFUNCTION("""COMPUTED_VALUE"""),"EramC391")</f>
        <v>EramC391</v>
      </c>
      <c r="C10814" s="8">
        <f>IFERROR(__xludf.DUMMYFUNCTION("""COMPUTED_VALUE"""),0.0)</f>
        <v>0</v>
      </c>
      <c r="D10814" s="8"/>
    </row>
    <row r="10815">
      <c r="A10815" s="9" t="str">
        <f>IFERROR(__xludf.DUMMYFUNCTION("""COMPUTED_VALUE"""),"Batch 391")</f>
        <v>Batch 391</v>
      </c>
      <c r="B10815" s="9" t="str">
        <f>IFERROR(__xludf.DUMMYFUNCTION("""COMPUTED_VALUE"""),"SrijitC391")</f>
        <v>SrijitC391</v>
      </c>
      <c r="C10815" s="8">
        <f>IFERROR(__xludf.DUMMYFUNCTION("""COMPUTED_VALUE"""),0.0)</f>
        <v>0</v>
      </c>
      <c r="D10815" s="8"/>
    </row>
    <row r="10816">
      <c r="A10816" s="9" t="str">
        <f>IFERROR(__xludf.DUMMYFUNCTION("""COMPUTED_VALUE"""),"Batch 391")</f>
        <v>Batch 391</v>
      </c>
      <c r="B10816" s="9" t="str">
        <f>IFERROR(__xludf.DUMMYFUNCTION("""COMPUTED_VALUE"""),"NarendraC391")</f>
        <v>NarendraC391</v>
      </c>
      <c r="C10816" s="8">
        <f>IFERROR(__xludf.DUMMYFUNCTION("""COMPUTED_VALUE"""),11.0)</f>
        <v>11</v>
      </c>
      <c r="D10816" s="8"/>
    </row>
    <row r="10817">
      <c r="A10817" s="9" t="str">
        <f>IFERROR(__xludf.DUMMYFUNCTION("""COMPUTED_VALUE"""),"Batch 391")</f>
        <v>Batch 391</v>
      </c>
      <c r="B10817" s="9" t="str">
        <f>IFERROR(__xludf.DUMMYFUNCTION("""COMPUTED_VALUE"""),"PratapC391")</f>
        <v>PratapC391</v>
      </c>
      <c r="C10817" s="8">
        <f>IFERROR(__xludf.DUMMYFUNCTION("""COMPUTED_VALUE"""),0.0)</f>
        <v>0</v>
      </c>
      <c r="D10817" s="8"/>
    </row>
    <row r="10818">
      <c r="A10818" s="9" t="str">
        <f>IFERROR(__xludf.DUMMYFUNCTION("""COMPUTED_VALUE"""),"Batch 391")</f>
        <v>Batch 391</v>
      </c>
      <c r="B10818" s="9" t="str">
        <f>IFERROR(__xludf.DUMMYFUNCTION("""COMPUTED_VALUE"""),"SimranC391")</f>
        <v>SimranC391</v>
      </c>
      <c r="C10818" s="8">
        <f>IFERROR(__xludf.DUMMYFUNCTION("""COMPUTED_VALUE"""),0.0)</f>
        <v>0</v>
      </c>
      <c r="D10818" s="8"/>
    </row>
    <row r="10819">
      <c r="A10819" s="9" t="str">
        <f>IFERROR(__xludf.DUMMYFUNCTION("""COMPUTED_VALUE"""),"Batch 391")</f>
        <v>Batch 391</v>
      </c>
      <c r="B10819" s="9" t="str">
        <f>IFERROR(__xludf.DUMMYFUNCTION("""COMPUTED_VALUE"""),"jatinC391")</f>
        <v>jatinC391</v>
      </c>
      <c r="C10819" s="8">
        <f>IFERROR(__xludf.DUMMYFUNCTION("""COMPUTED_VALUE"""),0.0)</f>
        <v>0</v>
      </c>
      <c r="D10819" s="8"/>
    </row>
    <row r="10820">
      <c r="A10820" s="9" t="str">
        <f>IFERROR(__xludf.DUMMYFUNCTION("""COMPUTED_VALUE"""),"Batch 391")</f>
        <v>Batch 391</v>
      </c>
      <c r="B10820" s="9" t="str">
        <f>IFERROR(__xludf.DUMMYFUNCTION("""COMPUTED_VALUE"""),"AshishC391")</f>
        <v>AshishC391</v>
      </c>
      <c r="C10820" s="8">
        <f>IFERROR(__xludf.DUMMYFUNCTION("""COMPUTED_VALUE"""),0.0)</f>
        <v>0</v>
      </c>
      <c r="D10820" s="8"/>
    </row>
    <row r="10821">
      <c r="A10821" s="9" t="str">
        <f>IFERROR(__xludf.DUMMYFUNCTION("""COMPUTED_VALUE"""),"Batch 391")</f>
        <v>Batch 391</v>
      </c>
      <c r="B10821" s="9" t="str">
        <f>IFERROR(__xludf.DUMMYFUNCTION("""COMPUTED_VALUE"""),"VaniC391")</f>
        <v>VaniC391</v>
      </c>
      <c r="C10821" s="8">
        <f>IFERROR(__xludf.DUMMYFUNCTION("""COMPUTED_VALUE"""),0.0)</f>
        <v>0</v>
      </c>
      <c r="D10821" s="8"/>
    </row>
    <row r="10822">
      <c r="A10822" s="9" t="str">
        <f>IFERROR(__xludf.DUMMYFUNCTION("""COMPUTED_VALUE"""),"Batch 391")</f>
        <v>Batch 391</v>
      </c>
      <c r="B10822" s="9" t="str">
        <f>IFERROR(__xludf.DUMMYFUNCTION("""COMPUTED_VALUE"""),"SHAIKC391")</f>
        <v>SHAIKC391</v>
      </c>
      <c r="C10822" s="8">
        <f>IFERROR(__xludf.DUMMYFUNCTION("""COMPUTED_VALUE"""),0.0)</f>
        <v>0</v>
      </c>
      <c r="D10822" s="8"/>
    </row>
    <row r="10823">
      <c r="A10823" s="9" t="str">
        <f>IFERROR(__xludf.DUMMYFUNCTION("""COMPUTED_VALUE"""),"Batch 391")</f>
        <v>Batch 391</v>
      </c>
      <c r="B10823" s="9" t="str">
        <f>IFERROR(__xludf.DUMMYFUNCTION("""COMPUTED_VALUE"""),"AshokC391")</f>
        <v>AshokC391</v>
      </c>
      <c r="C10823" s="8">
        <f>IFERROR(__xludf.DUMMYFUNCTION("""COMPUTED_VALUE"""),0.0)</f>
        <v>0</v>
      </c>
      <c r="D10823" s="8"/>
    </row>
    <row r="10824">
      <c r="A10824" s="9" t="str">
        <f>IFERROR(__xludf.DUMMYFUNCTION("""COMPUTED_VALUE"""),"Batch 391")</f>
        <v>Batch 391</v>
      </c>
      <c r="B10824" s="9" t="str">
        <f>IFERROR(__xludf.DUMMYFUNCTION("""COMPUTED_VALUE"""),"NandiniC391")</f>
        <v>NandiniC391</v>
      </c>
      <c r="C10824" s="8">
        <f>IFERROR(__xludf.DUMMYFUNCTION("""COMPUTED_VALUE"""),0.0)</f>
        <v>0</v>
      </c>
      <c r="D10824" s="8"/>
    </row>
    <row r="10825">
      <c r="A10825" s="9" t="str">
        <f>IFERROR(__xludf.DUMMYFUNCTION("""COMPUTED_VALUE"""),"Batch 391")</f>
        <v>Batch 391</v>
      </c>
      <c r="B10825" s="9" t="str">
        <f>IFERROR(__xludf.DUMMYFUNCTION("""COMPUTED_VALUE"""),"MrunalC391")</f>
        <v>MrunalC391</v>
      </c>
      <c r="C10825" s="8">
        <f>IFERROR(__xludf.DUMMYFUNCTION("""COMPUTED_VALUE"""),0.0)</f>
        <v>0</v>
      </c>
      <c r="D10825" s="8"/>
    </row>
    <row r="10826">
      <c r="A10826" s="9" t="str">
        <f>IFERROR(__xludf.DUMMYFUNCTION("""COMPUTED_VALUE"""),"Batch 391")</f>
        <v>Batch 391</v>
      </c>
      <c r="B10826" s="9" t="str">
        <f>IFERROR(__xludf.DUMMYFUNCTION("""COMPUTED_VALUE"""),"janviC391")</f>
        <v>janviC391</v>
      </c>
      <c r="C10826" s="8">
        <f>IFERROR(__xludf.DUMMYFUNCTION("""COMPUTED_VALUE"""),0.0)</f>
        <v>0</v>
      </c>
      <c r="D10826" s="8"/>
    </row>
    <row r="10827">
      <c r="A10827" s="9" t="str">
        <f>IFERROR(__xludf.DUMMYFUNCTION("""COMPUTED_VALUE"""),"Batch 391")</f>
        <v>Batch 391</v>
      </c>
      <c r="B10827" s="9" t="str">
        <f>IFERROR(__xludf.DUMMYFUNCTION("""COMPUTED_VALUE"""),"RitishaC391")</f>
        <v>RitishaC391</v>
      </c>
      <c r="C10827" s="8">
        <f>IFERROR(__xludf.DUMMYFUNCTION("""COMPUTED_VALUE"""),0.0)</f>
        <v>0</v>
      </c>
      <c r="D10827" s="8"/>
    </row>
    <row r="10828">
      <c r="A10828" s="9" t="str">
        <f>IFERROR(__xludf.DUMMYFUNCTION("""COMPUTED_VALUE"""),"Batch 391")</f>
        <v>Batch 391</v>
      </c>
      <c r="B10828" s="9" t="str">
        <f>IFERROR(__xludf.DUMMYFUNCTION("""COMPUTED_VALUE"""),"abbojuC391")</f>
        <v>abbojuC391</v>
      </c>
      <c r="C10828" s="8">
        <f>IFERROR(__xludf.DUMMYFUNCTION("""COMPUTED_VALUE"""),0.0)</f>
        <v>0</v>
      </c>
      <c r="D10828" s="8"/>
    </row>
    <row r="10829">
      <c r="A10829" s="9" t="str">
        <f>IFERROR(__xludf.DUMMYFUNCTION("""COMPUTED_VALUE"""),"Batch 391")</f>
        <v>Batch 391</v>
      </c>
      <c r="B10829" s="9" t="str">
        <f>IFERROR(__xludf.DUMMYFUNCTION("""COMPUTED_VALUE"""),"SohamC391")</f>
        <v>SohamC391</v>
      </c>
      <c r="C10829" s="8">
        <f>IFERROR(__xludf.DUMMYFUNCTION("""COMPUTED_VALUE"""),0.0)</f>
        <v>0</v>
      </c>
      <c r="D10829" s="8"/>
    </row>
    <row r="10830">
      <c r="A10830" s="9" t="str">
        <f>IFERROR(__xludf.DUMMYFUNCTION("""COMPUTED_VALUE"""),"Batch 391")</f>
        <v>Batch 391</v>
      </c>
      <c r="B10830" s="9" t="str">
        <f>IFERROR(__xludf.DUMMYFUNCTION("""COMPUTED_VALUE"""),"AyushC391")</f>
        <v>AyushC391</v>
      </c>
      <c r="C10830" s="8">
        <f>IFERROR(__xludf.DUMMYFUNCTION("""COMPUTED_VALUE"""),0.0)</f>
        <v>0</v>
      </c>
      <c r="D10830" s="8"/>
    </row>
    <row r="10831">
      <c r="A10831" s="9" t="str">
        <f>IFERROR(__xludf.DUMMYFUNCTION("""COMPUTED_VALUE"""),"Batch 391")</f>
        <v>Batch 391</v>
      </c>
      <c r="B10831" s="9" t="str">
        <f>IFERROR(__xludf.DUMMYFUNCTION("""COMPUTED_VALUE"""),"AbhishekC391")</f>
        <v>AbhishekC391</v>
      </c>
      <c r="C10831" s="8">
        <f>IFERROR(__xludf.DUMMYFUNCTION("""COMPUTED_VALUE"""),0.0)</f>
        <v>0</v>
      </c>
      <c r="D10831" s="8"/>
    </row>
    <row r="10832">
      <c r="A10832" s="9" t="str">
        <f>IFERROR(__xludf.DUMMYFUNCTION("""COMPUTED_VALUE"""),"Batch 391")</f>
        <v>Batch 391</v>
      </c>
      <c r="B10832" s="9" t="str">
        <f>IFERROR(__xludf.DUMMYFUNCTION("""COMPUTED_VALUE"""),"DarshitC391")</f>
        <v>DarshitC391</v>
      </c>
      <c r="C10832" s="8">
        <f>IFERROR(__xludf.DUMMYFUNCTION("""COMPUTED_VALUE"""),0.0)</f>
        <v>0</v>
      </c>
      <c r="D10832" s="8"/>
    </row>
    <row r="10833">
      <c r="A10833" s="9" t="str">
        <f>IFERROR(__xludf.DUMMYFUNCTION("""COMPUTED_VALUE"""),"Batch 391")</f>
        <v>Batch 391</v>
      </c>
      <c r="B10833" s="9" t="str">
        <f>IFERROR(__xludf.DUMMYFUNCTION("""COMPUTED_VALUE"""),"AashkaC391")</f>
        <v>AashkaC391</v>
      </c>
      <c r="C10833" s="8">
        <f>IFERROR(__xludf.DUMMYFUNCTION("""COMPUTED_VALUE"""),0.0)</f>
        <v>0</v>
      </c>
      <c r="D10833" s="8"/>
    </row>
    <row r="10834">
      <c r="A10834" s="9" t="str">
        <f>IFERROR(__xludf.DUMMYFUNCTION("""COMPUTED_VALUE"""),"Batch 391")</f>
        <v>Batch 391</v>
      </c>
      <c r="B10834" s="9" t="str">
        <f>IFERROR(__xludf.DUMMYFUNCTION("""COMPUTED_VALUE"""),"AdnanC391")</f>
        <v>AdnanC391</v>
      </c>
      <c r="C10834" s="8">
        <f>IFERROR(__xludf.DUMMYFUNCTION("""COMPUTED_VALUE"""),0.0)</f>
        <v>0</v>
      </c>
      <c r="D10834" s="8"/>
    </row>
    <row r="10835">
      <c r="A10835" s="9" t="str">
        <f>IFERROR(__xludf.DUMMYFUNCTION("""COMPUTED_VALUE"""),"Batch 391")</f>
        <v>Batch 391</v>
      </c>
      <c r="B10835" s="9" t="str">
        <f>IFERROR(__xludf.DUMMYFUNCTION("""COMPUTED_VALUE"""),"ishikaC391")</f>
        <v>ishikaC391</v>
      </c>
      <c r="C10835" s="8">
        <f>IFERROR(__xludf.DUMMYFUNCTION("""COMPUTED_VALUE"""),0.0)</f>
        <v>0</v>
      </c>
      <c r="D10835" s="8"/>
    </row>
    <row r="10836">
      <c r="A10836" s="9" t="str">
        <f>IFERROR(__xludf.DUMMYFUNCTION("""COMPUTED_VALUE"""),"Batch 391")</f>
        <v>Batch 391</v>
      </c>
      <c r="B10836" s="9" t="str">
        <f>IFERROR(__xludf.DUMMYFUNCTION("""COMPUTED_VALUE"""),"NikshitC391")</f>
        <v>NikshitC391</v>
      </c>
      <c r="C10836" s="8">
        <f>IFERROR(__xludf.DUMMYFUNCTION("""COMPUTED_VALUE"""),0.0)</f>
        <v>0</v>
      </c>
      <c r="D10836" s="8"/>
    </row>
    <row r="10837">
      <c r="A10837" s="9" t="str">
        <f>IFERROR(__xludf.DUMMYFUNCTION("""COMPUTED_VALUE"""),"Batch 391")</f>
        <v>Batch 391</v>
      </c>
      <c r="B10837" s="9" t="str">
        <f>IFERROR(__xludf.DUMMYFUNCTION("""COMPUTED_VALUE"""),"KhushiC391")</f>
        <v>KhushiC391</v>
      </c>
      <c r="C10837" s="8">
        <f>IFERROR(__xludf.DUMMYFUNCTION("""COMPUTED_VALUE"""),0.0)</f>
        <v>0</v>
      </c>
      <c r="D10837" s="8"/>
    </row>
    <row r="10838">
      <c r="A10838" s="9"/>
      <c r="B10838" s="9"/>
      <c r="C10838" s="8">
        <f>IFERROR(__xludf.DUMMYFUNCTION("""COMPUTED_VALUE"""),0.0)</f>
        <v>0</v>
      </c>
      <c r="D10838" s="8"/>
    </row>
    <row r="10839">
      <c r="A10839" s="9" t="str">
        <f>IFERROR(__xludf.DUMMYFUNCTION("""COMPUTED_VALUE"""),"Batch 392")</f>
        <v>Batch 392</v>
      </c>
      <c r="B10839" s="9" t="str">
        <f>IFERROR(__xludf.DUMMYFUNCTION("""COMPUTED_VALUE"""),"MEGHVERNAC392")</f>
        <v>MEGHVERNAC392</v>
      </c>
      <c r="C10839" s="8">
        <f>IFERROR(__xludf.DUMMYFUNCTION("""COMPUTED_VALUE"""),0.0)</f>
        <v>0</v>
      </c>
      <c r="D10839" s="8"/>
    </row>
    <row r="10840">
      <c r="A10840" s="9" t="str">
        <f>IFERROR(__xludf.DUMMYFUNCTION("""COMPUTED_VALUE"""),"Batch 392")</f>
        <v>Batch 392</v>
      </c>
      <c r="B10840" s="9" t="str">
        <f>IFERROR(__xludf.DUMMYFUNCTION("""COMPUTED_VALUE"""),"RajatC392")</f>
        <v>RajatC392</v>
      </c>
      <c r="C10840" s="8">
        <f>IFERROR(__xludf.DUMMYFUNCTION("""COMPUTED_VALUE"""),0.0)</f>
        <v>0</v>
      </c>
      <c r="D10840" s="8"/>
    </row>
    <row r="10841">
      <c r="A10841" s="9" t="str">
        <f>IFERROR(__xludf.DUMMYFUNCTION("""COMPUTED_VALUE"""),"Batch 392")</f>
        <v>Batch 392</v>
      </c>
      <c r="B10841" s="9" t="str">
        <f>IFERROR(__xludf.DUMMYFUNCTION("""COMPUTED_VALUE"""),"ShubhamC392")</f>
        <v>ShubhamC392</v>
      </c>
      <c r="C10841" s="8">
        <f>IFERROR(__xludf.DUMMYFUNCTION("""COMPUTED_VALUE"""),1.0)</f>
        <v>1</v>
      </c>
      <c r="D10841" s="8"/>
    </row>
    <row r="10842">
      <c r="A10842" s="9" t="str">
        <f>IFERROR(__xludf.DUMMYFUNCTION("""COMPUTED_VALUE"""),"Batch 392")</f>
        <v>Batch 392</v>
      </c>
      <c r="B10842" s="9" t="str">
        <f>IFERROR(__xludf.DUMMYFUNCTION("""COMPUTED_VALUE"""),"PranavC392")</f>
        <v>PranavC392</v>
      </c>
      <c r="C10842" s="8">
        <f>IFERROR(__xludf.DUMMYFUNCTION("""COMPUTED_VALUE"""),0.0)</f>
        <v>0</v>
      </c>
      <c r="D10842" s="8"/>
    </row>
    <row r="10843">
      <c r="A10843" s="9" t="str">
        <f>IFERROR(__xludf.DUMMYFUNCTION("""COMPUTED_VALUE"""),"Batch 392")</f>
        <v>Batch 392</v>
      </c>
      <c r="B10843" s="9" t="str">
        <f>IFERROR(__xludf.DUMMYFUNCTION("""COMPUTED_VALUE"""),"ShlokC392")</f>
        <v>ShlokC392</v>
      </c>
      <c r="C10843" s="8">
        <f>IFERROR(__xludf.DUMMYFUNCTION("""COMPUTED_VALUE"""),2.0)</f>
        <v>2</v>
      </c>
      <c r="D10843" s="8"/>
    </row>
    <row r="10844">
      <c r="A10844" s="9" t="str">
        <f>IFERROR(__xludf.DUMMYFUNCTION("""COMPUTED_VALUE"""),"Batch 392")</f>
        <v>Batch 392</v>
      </c>
      <c r="B10844" s="9" t="str">
        <f>IFERROR(__xludf.DUMMYFUNCTION("""COMPUTED_VALUE"""),"ManavC392")</f>
        <v>ManavC392</v>
      </c>
      <c r="C10844" s="8">
        <f>IFERROR(__xludf.DUMMYFUNCTION("""COMPUTED_VALUE"""),0.0)</f>
        <v>0</v>
      </c>
      <c r="D10844" s="8"/>
    </row>
    <row r="10845">
      <c r="A10845" s="9" t="str">
        <f>IFERROR(__xludf.DUMMYFUNCTION("""COMPUTED_VALUE"""),"Batch 392")</f>
        <v>Batch 392</v>
      </c>
      <c r="B10845" s="9" t="str">
        <f>IFERROR(__xludf.DUMMYFUNCTION("""COMPUTED_VALUE"""),"pallaviC392")</f>
        <v>pallaviC392</v>
      </c>
      <c r="C10845" s="8">
        <f>IFERROR(__xludf.DUMMYFUNCTION("""COMPUTED_VALUE"""),0.0)</f>
        <v>0</v>
      </c>
      <c r="D10845" s="8"/>
    </row>
    <row r="10846">
      <c r="A10846" s="9" t="str">
        <f>IFERROR(__xludf.DUMMYFUNCTION("""COMPUTED_VALUE"""),"Batch 392")</f>
        <v>Batch 392</v>
      </c>
      <c r="B10846" s="9" t="str">
        <f>IFERROR(__xludf.DUMMYFUNCTION("""COMPUTED_VALUE"""),"RabiaC392")</f>
        <v>RabiaC392</v>
      </c>
      <c r="C10846" s="8">
        <f>IFERROR(__xludf.DUMMYFUNCTION("""COMPUTED_VALUE"""),0.0)</f>
        <v>0</v>
      </c>
      <c r="D10846" s="8"/>
    </row>
    <row r="10847">
      <c r="A10847" s="9" t="str">
        <f>IFERROR(__xludf.DUMMYFUNCTION("""COMPUTED_VALUE"""),"Batch 392")</f>
        <v>Batch 392</v>
      </c>
      <c r="B10847" s="9" t="str">
        <f>IFERROR(__xludf.DUMMYFUNCTION("""COMPUTED_VALUE"""),"DARSHC392")</f>
        <v>DARSHC392</v>
      </c>
      <c r="C10847" s="8">
        <f>IFERROR(__xludf.DUMMYFUNCTION("""COMPUTED_VALUE"""),0.0)</f>
        <v>0</v>
      </c>
      <c r="D10847" s="8"/>
    </row>
    <row r="10848">
      <c r="A10848" s="9" t="str">
        <f>IFERROR(__xludf.DUMMYFUNCTION("""COMPUTED_VALUE"""),"Batch 392")</f>
        <v>Batch 392</v>
      </c>
      <c r="B10848" s="9" t="str">
        <f>IFERROR(__xludf.DUMMYFUNCTION("""COMPUTED_VALUE"""),"SakshiC392")</f>
        <v>SakshiC392</v>
      </c>
      <c r="C10848" s="8">
        <f>IFERROR(__xludf.DUMMYFUNCTION("""COMPUTED_VALUE"""),0.0)</f>
        <v>0</v>
      </c>
      <c r="D10848" s="8"/>
    </row>
    <row r="10849">
      <c r="A10849" s="9" t="str">
        <f>IFERROR(__xludf.DUMMYFUNCTION("""COMPUTED_VALUE"""),"Batch 392")</f>
        <v>Batch 392</v>
      </c>
      <c r="B10849" s="9" t="str">
        <f>IFERROR(__xludf.DUMMYFUNCTION("""COMPUTED_VALUE"""),"KumarC392")</f>
        <v>KumarC392</v>
      </c>
      <c r="C10849" s="8">
        <f>IFERROR(__xludf.DUMMYFUNCTION("""COMPUTED_VALUE"""),0.0)</f>
        <v>0</v>
      </c>
      <c r="D10849" s="8"/>
    </row>
    <row r="10850">
      <c r="A10850" s="9" t="str">
        <f>IFERROR(__xludf.DUMMYFUNCTION("""COMPUTED_VALUE"""),"Batch 392")</f>
        <v>Batch 392</v>
      </c>
      <c r="B10850" s="9" t="str">
        <f>IFERROR(__xludf.DUMMYFUNCTION("""COMPUTED_VALUE"""),"AnshC392")</f>
        <v>AnshC392</v>
      </c>
      <c r="C10850" s="8">
        <f>IFERROR(__xludf.DUMMYFUNCTION("""COMPUTED_VALUE"""),0.0)</f>
        <v>0</v>
      </c>
      <c r="D10850" s="8"/>
    </row>
    <row r="10851">
      <c r="A10851" s="9" t="str">
        <f>IFERROR(__xludf.DUMMYFUNCTION("""COMPUTED_VALUE"""),"Batch 392")</f>
        <v>Batch 392</v>
      </c>
      <c r="B10851" s="9" t="str">
        <f>IFERROR(__xludf.DUMMYFUNCTION("""COMPUTED_VALUE"""),"SwayamdeepC392")</f>
        <v>SwayamdeepC392</v>
      </c>
      <c r="C10851" s="8">
        <f>IFERROR(__xludf.DUMMYFUNCTION("""COMPUTED_VALUE"""),0.0)</f>
        <v>0</v>
      </c>
      <c r="D10851" s="8"/>
    </row>
    <row r="10852">
      <c r="A10852" s="9" t="str">
        <f>IFERROR(__xludf.DUMMYFUNCTION("""COMPUTED_VALUE"""),"Batch 392")</f>
        <v>Batch 392</v>
      </c>
      <c r="B10852" s="9" t="str">
        <f>IFERROR(__xludf.DUMMYFUNCTION("""COMPUTED_VALUE"""),"BrianC392")</f>
        <v>BrianC392</v>
      </c>
      <c r="C10852" s="8">
        <f>IFERROR(__xludf.DUMMYFUNCTION("""COMPUTED_VALUE"""),0.0)</f>
        <v>0</v>
      </c>
      <c r="D10852" s="8"/>
    </row>
    <row r="10853">
      <c r="A10853" s="9" t="str">
        <f>IFERROR(__xludf.DUMMYFUNCTION("""COMPUTED_VALUE"""),"Batch 392")</f>
        <v>Batch 392</v>
      </c>
      <c r="B10853" s="9" t="str">
        <f>IFERROR(__xludf.DUMMYFUNCTION("""COMPUTED_VALUE"""),"DevadharshiniC392")</f>
        <v>DevadharshiniC392</v>
      </c>
      <c r="C10853" s="8">
        <f>IFERROR(__xludf.DUMMYFUNCTION("""COMPUTED_VALUE"""),0.0)</f>
        <v>0</v>
      </c>
      <c r="D10853" s="8"/>
    </row>
    <row r="10854">
      <c r="A10854" s="9" t="str">
        <f>IFERROR(__xludf.DUMMYFUNCTION("""COMPUTED_VALUE"""),"Batch 392")</f>
        <v>Batch 392</v>
      </c>
      <c r="B10854" s="9" t="str">
        <f>IFERROR(__xludf.DUMMYFUNCTION("""COMPUTED_VALUE"""),"NikitaC392")</f>
        <v>NikitaC392</v>
      </c>
      <c r="C10854" s="8">
        <f>IFERROR(__xludf.DUMMYFUNCTION("""COMPUTED_VALUE"""),0.0)</f>
        <v>0</v>
      </c>
      <c r="D10854" s="8"/>
    </row>
    <row r="10855">
      <c r="A10855" s="9" t="str">
        <f>IFERROR(__xludf.DUMMYFUNCTION("""COMPUTED_VALUE"""),"Batch 392")</f>
        <v>Batch 392</v>
      </c>
      <c r="B10855" s="9" t="str">
        <f>IFERROR(__xludf.DUMMYFUNCTION("""COMPUTED_VALUE"""),"NasreenC392")</f>
        <v>NasreenC392</v>
      </c>
      <c r="C10855" s="8">
        <f>IFERROR(__xludf.DUMMYFUNCTION("""COMPUTED_VALUE"""),0.0)</f>
        <v>0</v>
      </c>
      <c r="D10855" s="8"/>
    </row>
    <row r="10856">
      <c r="A10856" s="9" t="str">
        <f>IFERROR(__xludf.DUMMYFUNCTION("""COMPUTED_VALUE"""),"Batch 392")</f>
        <v>Batch 392</v>
      </c>
      <c r="B10856" s="9" t="str">
        <f>IFERROR(__xludf.DUMMYFUNCTION("""COMPUTED_VALUE"""),"ShristiC392")</f>
        <v>ShristiC392</v>
      </c>
      <c r="C10856" s="8">
        <f>IFERROR(__xludf.DUMMYFUNCTION("""COMPUTED_VALUE"""),0.0)</f>
        <v>0</v>
      </c>
      <c r="D10856" s="8"/>
    </row>
    <row r="10857">
      <c r="A10857" s="9" t="str">
        <f>IFERROR(__xludf.DUMMYFUNCTION("""COMPUTED_VALUE"""),"Batch 392")</f>
        <v>Batch 392</v>
      </c>
      <c r="B10857" s="9" t="str">
        <f>IFERROR(__xludf.DUMMYFUNCTION("""COMPUTED_VALUE"""),"MansiC392")</f>
        <v>MansiC392</v>
      </c>
      <c r="C10857" s="8">
        <f>IFERROR(__xludf.DUMMYFUNCTION("""COMPUTED_VALUE"""),0.0)</f>
        <v>0</v>
      </c>
      <c r="D10857" s="8"/>
    </row>
    <row r="10858">
      <c r="A10858" s="9" t="str">
        <f>IFERROR(__xludf.DUMMYFUNCTION("""COMPUTED_VALUE"""),"Batch 392")</f>
        <v>Batch 392</v>
      </c>
      <c r="B10858" s="9" t="str">
        <f>IFERROR(__xludf.DUMMYFUNCTION("""COMPUTED_VALUE"""),"KulbhushanC392")</f>
        <v>KulbhushanC392</v>
      </c>
      <c r="C10858" s="8">
        <f>IFERROR(__xludf.DUMMYFUNCTION("""COMPUTED_VALUE"""),0.0)</f>
        <v>0</v>
      </c>
      <c r="D10858" s="8"/>
    </row>
    <row r="10859">
      <c r="A10859" s="9" t="str">
        <f>IFERROR(__xludf.DUMMYFUNCTION("""COMPUTED_VALUE"""),"Batch 392")</f>
        <v>Batch 392</v>
      </c>
      <c r="B10859" s="9" t="str">
        <f>IFERROR(__xludf.DUMMYFUNCTION("""COMPUTED_VALUE"""),"HarshitC392")</f>
        <v>HarshitC392</v>
      </c>
      <c r="C10859" s="8">
        <f>IFERROR(__xludf.DUMMYFUNCTION("""COMPUTED_VALUE"""),0.0)</f>
        <v>0</v>
      </c>
      <c r="D10859" s="8"/>
    </row>
    <row r="10860">
      <c r="A10860" s="9" t="str">
        <f>IFERROR(__xludf.DUMMYFUNCTION("""COMPUTED_VALUE"""),"Batch 392")</f>
        <v>Batch 392</v>
      </c>
      <c r="B10860" s="9" t="str">
        <f>IFERROR(__xludf.DUMMYFUNCTION("""COMPUTED_VALUE"""),"JigyasaC392")</f>
        <v>JigyasaC392</v>
      </c>
      <c r="C10860" s="8">
        <f>IFERROR(__xludf.DUMMYFUNCTION("""COMPUTED_VALUE"""),2.0)</f>
        <v>2</v>
      </c>
      <c r="D10860" s="8"/>
    </row>
    <row r="10861">
      <c r="A10861" s="9" t="str">
        <f>IFERROR(__xludf.DUMMYFUNCTION("""COMPUTED_VALUE"""),"Batch 392")</f>
        <v>Batch 392</v>
      </c>
      <c r="B10861" s="9" t="str">
        <f>IFERROR(__xludf.DUMMYFUNCTION("""COMPUTED_VALUE"""),"pankajC392")</f>
        <v>pankajC392</v>
      </c>
      <c r="C10861" s="8">
        <f>IFERROR(__xludf.DUMMYFUNCTION("""COMPUTED_VALUE"""),0.0)</f>
        <v>0</v>
      </c>
      <c r="D10861" s="8"/>
    </row>
    <row r="10862">
      <c r="A10862" s="9" t="str">
        <f>IFERROR(__xludf.DUMMYFUNCTION("""COMPUTED_VALUE"""),"Batch 392")</f>
        <v>Batch 392</v>
      </c>
      <c r="B10862" s="9" t="str">
        <f>IFERROR(__xludf.DUMMYFUNCTION("""COMPUTED_VALUE"""),"SupriyaC392")</f>
        <v>SupriyaC392</v>
      </c>
      <c r="C10862" s="8">
        <f>IFERROR(__xludf.DUMMYFUNCTION("""COMPUTED_VALUE"""),0.0)</f>
        <v>0</v>
      </c>
      <c r="D10862" s="8"/>
    </row>
    <row r="10863">
      <c r="A10863" s="9" t="str">
        <f>IFERROR(__xludf.DUMMYFUNCTION("""COMPUTED_VALUE"""),"Batch 392")</f>
        <v>Batch 392</v>
      </c>
      <c r="B10863" s="9" t="str">
        <f>IFERROR(__xludf.DUMMYFUNCTION("""COMPUTED_VALUE"""),"MohdC392")</f>
        <v>MohdC392</v>
      </c>
      <c r="C10863" s="8">
        <f>IFERROR(__xludf.DUMMYFUNCTION("""COMPUTED_VALUE"""),2.0)</f>
        <v>2</v>
      </c>
      <c r="D10863" s="8"/>
    </row>
    <row r="10864">
      <c r="A10864" s="9" t="str">
        <f>IFERROR(__xludf.DUMMYFUNCTION("""COMPUTED_VALUE"""),"Batch 392")</f>
        <v>Batch 392</v>
      </c>
      <c r="B10864" s="9" t="str">
        <f>IFERROR(__xludf.DUMMYFUNCTION("""COMPUTED_VALUE"""),"ShahC392")</f>
        <v>ShahC392</v>
      </c>
      <c r="C10864" s="8">
        <f>IFERROR(__xludf.DUMMYFUNCTION("""COMPUTED_VALUE"""),0.0)</f>
        <v>0</v>
      </c>
      <c r="D10864" s="8"/>
    </row>
    <row r="10865">
      <c r="A10865" s="9" t="str">
        <f>IFERROR(__xludf.DUMMYFUNCTION("""COMPUTED_VALUE"""),"Batch 392")</f>
        <v>Batch 392</v>
      </c>
      <c r="B10865" s="9" t="str">
        <f>IFERROR(__xludf.DUMMYFUNCTION("""COMPUTED_VALUE"""),"SnehaC392")</f>
        <v>SnehaC392</v>
      </c>
      <c r="C10865" s="8">
        <f>IFERROR(__xludf.DUMMYFUNCTION("""COMPUTED_VALUE"""),0.0)</f>
        <v>0</v>
      </c>
      <c r="D10865" s="8"/>
    </row>
    <row r="10866">
      <c r="A10866" s="9" t="str">
        <f>IFERROR(__xludf.DUMMYFUNCTION("""COMPUTED_VALUE"""),"Batch 392")</f>
        <v>Batch 392</v>
      </c>
      <c r="B10866" s="9" t="str">
        <f>IFERROR(__xludf.DUMMYFUNCTION("""COMPUTED_VALUE"""),"AryanC392")</f>
        <v>AryanC392</v>
      </c>
      <c r="C10866" s="8">
        <f>IFERROR(__xludf.DUMMYFUNCTION("""COMPUTED_VALUE"""),0.0)</f>
        <v>0</v>
      </c>
      <c r="D10866" s="8"/>
    </row>
    <row r="10867">
      <c r="A10867" s="9" t="str">
        <f>IFERROR(__xludf.DUMMYFUNCTION("""COMPUTED_VALUE"""),"Batch 392")</f>
        <v>Batch 392</v>
      </c>
      <c r="B10867" s="9" t="str">
        <f>IFERROR(__xludf.DUMMYFUNCTION("""COMPUTED_VALUE"""),"HarishC392")</f>
        <v>HarishC392</v>
      </c>
      <c r="C10867" s="8">
        <f>IFERROR(__xludf.DUMMYFUNCTION("""COMPUTED_VALUE"""),0.0)</f>
        <v>0</v>
      </c>
      <c r="D10867" s="8"/>
    </row>
    <row r="10868">
      <c r="A10868" s="9" t="str">
        <f>IFERROR(__xludf.DUMMYFUNCTION("""COMPUTED_VALUE"""),"Batch 392")</f>
        <v>Batch 392</v>
      </c>
      <c r="B10868" s="9" t="str">
        <f>IFERROR(__xludf.DUMMYFUNCTION("""COMPUTED_VALUE"""),"MansiC392")</f>
        <v>MansiC392</v>
      </c>
      <c r="C10868" s="8">
        <f>IFERROR(__xludf.DUMMYFUNCTION("""COMPUTED_VALUE"""),0.0)</f>
        <v>0</v>
      </c>
      <c r="D10868" s="8"/>
    </row>
    <row r="10869">
      <c r="A10869" s="9" t="str">
        <f>IFERROR(__xludf.DUMMYFUNCTION("""COMPUTED_VALUE"""),"Batch 392")</f>
        <v>Batch 392</v>
      </c>
      <c r="B10869" s="9" t="str">
        <f>IFERROR(__xludf.DUMMYFUNCTION("""COMPUTED_VALUE"""),"RisuC392")</f>
        <v>RisuC392</v>
      </c>
      <c r="C10869" s="8">
        <f>IFERROR(__xludf.DUMMYFUNCTION("""COMPUTED_VALUE"""),0.0)</f>
        <v>0</v>
      </c>
      <c r="D10869" s="8"/>
    </row>
    <row r="10870">
      <c r="A10870" s="9" t="str">
        <f>IFERROR(__xludf.DUMMYFUNCTION("""COMPUTED_VALUE"""),"Batch 392")</f>
        <v>Batch 392</v>
      </c>
      <c r="B10870" s="9" t="str">
        <f>IFERROR(__xludf.DUMMYFUNCTION("""COMPUTED_VALUE"""),"KaranC392")</f>
        <v>KaranC392</v>
      </c>
      <c r="C10870" s="8">
        <f>IFERROR(__xludf.DUMMYFUNCTION("""COMPUTED_VALUE"""),0.0)</f>
        <v>0</v>
      </c>
      <c r="D10870" s="8"/>
    </row>
    <row r="10871">
      <c r="A10871" s="9" t="str">
        <f>IFERROR(__xludf.DUMMYFUNCTION("""COMPUTED_VALUE"""),"Batch 392")</f>
        <v>Batch 392</v>
      </c>
      <c r="B10871" s="9" t="str">
        <f>IFERROR(__xludf.DUMMYFUNCTION("""COMPUTED_VALUE"""),"ShubhamPC392")</f>
        <v>ShubhamPC392</v>
      </c>
      <c r="C10871" s="8">
        <f>IFERROR(__xludf.DUMMYFUNCTION("""COMPUTED_VALUE"""),0.0)</f>
        <v>0</v>
      </c>
      <c r="D10871" s="8"/>
    </row>
    <row r="10872">
      <c r="A10872" s="9" t="str">
        <f>IFERROR(__xludf.DUMMYFUNCTION("""COMPUTED_VALUE"""),"Batch 392")</f>
        <v>Batch 392</v>
      </c>
      <c r="B10872" s="9" t="str">
        <f>IFERROR(__xludf.DUMMYFUNCTION("""COMPUTED_VALUE"""),"AbhinavC392")</f>
        <v>AbhinavC392</v>
      </c>
      <c r="C10872" s="8">
        <f>IFERROR(__xludf.DUMMYFUNCTION("""COMPUTED_VALUE"""),0.0)</f>
        <v>0</v>
      </c>
      <c r="D10872" s="8"/>
    </row>
    <row r="10873">
      <c r="A10873" s="9" t="str">
        <f>IFERROR(__xludf.DUMMYFUNCTION("""COMPUTED_VALUE"""),"Batch 392")</f>
        <v>Batch 392</v>
      </c>
      <c r="B10873" s="9" t="str">
        <f>IFERROR(__xludf.DUMMYFUNCTION("""COMPUTED_VALUE"""),"AnupC392")</f>
        <v>AnupC392</v>
      </c>
      <c r="C10873" s="8">
        <f>IFERROR(__xludf.DUMMYFUNCTION("""COMPUTED_VALUE"""),0.0)</f>
        <v>0</v>
      </c>
      <c r="D10873" s="8"/>
    </row>
    <row r="10874">
      <c r="A10874" s="9" t="str">
        <f>IFERROR(__xludf.DUMMYFUNCTION("""COMPUTED_VALUE"""),"Batch 392")</f>
        <v>Batch 392</v>
      </c>
      <c r="B10874" s="9" t="str">
        <f>IFERROR(__xludf.DUMMYFUNCTION("""COMPUTED_VALUE"""),"KhushiC392")</f>
        <v>KhushiC392</v>
      </c>
      <c r="C10874" s="8">
        <f>IFERROR(__xludf.DUMMYFUNCTION("""COMPUTED_VALUE"""),0.0)</f>
        <v>0</v>
      </c>
      <c r="D10874" s="8"/>
    </row>
    <row r="10875">
      <c r="A10875" s="9" t="str">
        <f>IFERROR(__xludf.DUMMYFUNCTION("""COMPUTED_VALUE"""),"Batch 392")</f>
        <v>Batch 392</v>
      </c>
      <c r="B10875" s="9" t="str">
        <f>IFERROR(__xludf.DUMMYFUNCTION("""COMPUTED_VALUE"""),"GUNDAGONIC392")</f>
        <v>GUNDAGONIC392</v>
      </c>
      <c r="C10875" s="8">
        <f>IFERROR(__xludf.DUMMYFUNCTION("""COMPUTED_VALUE"""),0.0)</f>
        <v>0</v>
      </c>
      <c r="D10875" s="8"/>
    </row>
    <row r="10876">
      <c r="A10876" s="9" t="str">
        <f>IFERROR(__xludf.DUMMYFUNCTION("""COMPUTED_VALUE"""),"Batch 392")</f>
        <v>Batch 392</v>
      </c>
      <c r="B10876" s="9" t="str">
        <f>IFERROR(__xludf.DUMMYFUNCTION("""COMPUTED_VALUE"""),"IshwariC392")</f>
        <v>IshwariC392</v>
      </c>
      <c r="C10876" s="8">
        <f>IFERROR(__xludf.DUMMYFUNCTION("""COMPUTED_VALUE"""),0.0)</f>
        <v>0</v>
      </c>
      <c r="D10876" s="8"/>
    </row>
    <row r="10877">
      <c r="A10877" s="9" t="str">
        <f>IFERROR(__xludf.DUMMYFUNCTION("""COMPUTED_VALUE"""),"Batch 392")</f>
        <v>Batch 392</v>
      </c>
      <c r="B10877" s="9" t="str">
        <f>IFERROR(__xludf.DUMMYFUNCTION("""COMPUTED_VALUE"""),"YaswanthC392")</f>
        <v>YaswanthC392</v>
      </c>
      <c r="C10877" s="8">
        <f>IFERROR(__xludf.DUMMYFUNCTION("""COMPUTED_VALUE"""),0.0)</f>
        <v>0</v>
      </c>
      <c r="D10877" s="8"/>
    </row>
    <row r="10878">
      <c r="A10878" s="9" t="str">
        <f>IFERROR(__xludf.DUMMYFUNCTION("""COMPUTED_VALUE"""),"Batch 392")</f>
        <v>Batch 392</v>
      </c>
      <c r="B10878" s="9" t="str">
        <f>IFERROR(__xludf.DUMMYFUNCTION("""COMPUTED_VALUE"""),"AnkithC392")</f>
        <v>AnkithC392</v>
      </c>
      <c r="C10878" s="8">
        <f>IFERROR(__xludf.DUMMYFUNCTION("""COMPUTED_VALUE"""),0.0)</f>
        <v>0</v>
      </c>
      <c r="D10878" s="8"/>
    </row>
    <row r="10879">
      <c r="A10879" s="9" t="str">
        <f>IFERROR(__xludf.DUMMYFUNCTION("""COMPUTED_VALUE"""),"Batch 392")</f>
        <v>Batch 392</v>
      </c>
      <c r="B10879" s="9" t="str">
        <f>IFERROR(__xludf.DUMMYFUNCTION("""COMPUTED_VALUE"""),"LoveC392")</f>
        <v>LoveC392</v>
      </c>
      <c r="C10879" s="8">
        <f>IFERROR(__xludf.DUMMYFUNCTION("""COMPUTED_VALUE"""),0.0)</f>
        <v>0</v>
      </c>
      <c r="D10879" s="8"/>
    </row>
    <row r="10880">
      <c r="A10880" s="9"/>
      <c r="B10880" s="9"/>
      <c r="C10880" s="8">
        <f>IFERROR(__xludf.DUMMYFUNCTION("""COMPUTED_VALUE"""),0.0)</f>
        <v>0</v>
      </c>
      <c r="D10880" s="8"/>
    </row>
    <row r="10881">
      <c r="A10881" s="9" t="str">
        <f>IFERROR(__xludf.DUMMYFUNCTION("""COMPUTED_VALUE"""),"Batch 393")</f>
        <v>Batch 393</v>
      </c>
      <c r="B10881" s="9" t="str">
        <f>IFERROR(__xludf.DUMMYFUNCTION("""COMPUTED_VALUE"""),"AyushC393")</f>
        <v>AyushC393</v>
      </c>
      <c r="C10881" s="8">
        <f>IFERROR(__xludf.DUMMYFUNCTION("""COMPUTED_VALUE"""),6.0)</f>
        <v>6</v>
      </c>
      <c r="D10881" s="8"/>
    </row>
    <row r="10882">
      <c r="A10882" s="9" t="str">
        <f>IFERROR(__xludf.DUMMYFUNCTION("""COMPUTED_VALUE"""),"Batch 393")</f>
        <v>Batch 393</v>
      </c>
      <c r="B10882" s="9" t="str">
        <f>IFERROR(__xludf.DUMMYFUNCTION("""COMPUTED_VALUE"""),"SalmanC393")</f>
        <v>SalmanC393</v>
      </c>
      <c r="C10882" s="8">
        <f>IFERROR(__xludf.DUMMYFUNCTION("""COMPUTED_VALUE"""),4.0)</f>
        <v>4</v>
      </c>
      <c r="D10882" s="8">
        <f>IFERROR(__xludf.DUMMYFUNCTION("""COMPUTED_VALUE"""),4.0)</f>
        <v>4</v>
      </c>
    </row>
    <row r="10883">
      <c r="A10883" s="9" t="str">
        <f>IFERROR(__xludf.DUMMYFUNCTION("""COMPUTED_VALUE"""),"Batch 393")</f>
        <v>Batch 393</v>
      </c>
      <c r="B10883" s="9" t="str">
        <f>IFERROR(__xludf.DUMMYFUNCTION("""COMPUTED_VALUE"""),"SURAVIC393")</f>
        <v>SURAVIC393</v>
      </c>
      <c r="C10883" s="8">
        <f>IFERROR(__xludf.DUMMYFUNCTION("""COMPUTED_VALUE"""),0.0)</f>
        <v>0</v>
      </c>
      <c r="D10883" s="8"/>
    </row>
    <row r="10884">
      <c r="A10884" s="9" t="str">
        <f>IFERROR(__xludf.DUMMYFUNCTION("""COMPUTED_VALUE"""),"Batch 393")</f>
        <v>Batch 393</v>
      </c>
      <c r="B10884" s="9" t="str">
        <f>IFERROR(__xludf.DUMMYFUNCTION("""COMPUTED_VALUE"""),"ASHISHC393")</f>
        <v>ASHISHC393</v>
      </c>
      <c r="C10884" s="8">
        <f>IFERROR(__xludf.DUMMYFUNCTION("""COMPUTED_VALUE"""),0.0)</f>
        <v>0</v>
      </c>
      <c r="D10884" s="8"/>
    </row>
    <row r="10885">
      <c r="A10885" s="9" t="str">
        <f>IFERROR(__xludf.DUMMYFUNCTION("""COMPUTED_VALUE"""),"Batch 393")</f>
        <v>Batch 393</v>
      </c>
      <c r="B10885" s="9" t="str">
        <f>IFERROR(__xludf.DUMMYFUNCTION("""COMPUTED_VALUE"""),"AlishaC393")</f>
        <v>AlishaC393</v>
      </c>
      <c r="C10885" s="8">
        <f>IFERROR(__xludf.DUMMYFUNCTION("""COMPUTED_VALUE"""),0.0)</f>
        <v>0</v>
      </c>
      <c r="D10885" s="8"/>
    </row>
    <row r="10886">
      <c r="A10886" s="9" t="str">
        <f>IFERROR(__xludf.DUMMYFUNCTION("""COMPUTED_VALUE"""),"Batch 393")</f>
        <v>Batch 393</v>
      </c>
      <c r="B10886" s="9" t="str">
        <f>IFERROR(__xludf.DUMMYFUNCTION("""COMPUTED_VALUE"""),"UmangC393")</f>
        <v>UmangC393</v>
      </c>
      <c r="C10886" s="8">
        <f>IFERROR(__xludf.DUMMYFUNCTION("""COMPUTED_VALUE"""),1.0)</f>
        <v>1</v>
      </c>
      <c r="D10886" s="8"/>
    </row>
    <row r="10887">
      <c r="A10887" s="9" t="str">
        <f>IFERROR(__xludf.DUMMYFUNCTION("""COMPUTED_VALUE"""),"Batch 393")</f>
        <v>Batch 393</v>
      </c>
      <c r="B10887" s="9" t="str">
        <f>IFERROR(__xludf.DUMMYFUNCTION("""COMPUTED_VALUE"""),"GurpreetC393")</f>
        <v>GurpreetC393</v>
      </c>
      <c r="C10887" s="8">
        <f>IFERROR(__xludf.DUMMYFUNCTION("""COMPUTED_VALUE"""),3.0)</f>
        <v>3</v>
      </c>
      <c r="D10887" s="8"/>
    </row>
    <row r="10888">
      <c r="A10888" s="9" t="str">
        <f>IFERROR(__xludf.DUMMYFUNCTION("""COMPUTED_VALUE"""),"Batch 393")</f>
        <v>Batch 393</v>
      </c>
      <c r="B10888" s="9" t="str">
        <f>IFERROR(__xludf.DUMMYFUNCTION("""COMPUTED_VALUE"""),"TanviC393")</f>
        <v>TanviC393</v>
      </c>
      <c r="C10888" s="8">
        <f>IFERROR(__xludf.DUMMYFUNCTION("""COMPUTED_VALUE"""),0.0)</f>
        <v>0</v>
      </c>
      <c r="D10888" s="8"/>
    </row>
    <row r="10889">
      <c r="A10889" s="9" t="str">
        <f>IFERROR(__xludf.DUMMYFUNCTION("""COMPUTED_VALUE"""),"Batch 393")</f>
        <v>Batch 393</v>
      </c>
      <c r="B10889" s="9" t="str">
        <f>IFERROR(__xludf.DUMMYFUNCTION("""COMPUTED_VALUE"""),"ShrutiC393")</f>
        <v>ShrutiC393</v>
      </c>
      <c r="C10889" s="8">
        <f>IFERROR(__xludf.DUMMYFUNCTION("""COMPUTED_VALUE"""),0.0)</f>
        <v>0</v>
      </c>
      <c r="D10889" s="8"/>
    </row>
    <row r="10890">
      <c r="A10890" s="9" t="str">
        <f>IFERROR(__xludf.DUMMYFUNCTION("""COMPUTED_VALUE"""),"Batch 393")</f>
        <v>Batch 393</v>
      </c>
      <c r="B10890" s="9" t="str">
        <f>IFERROR(__xludf.DUMMYFUNCTION("""COMPUTED_VALUE"""),"SakshiC393")</f>
        <v>SakshiC393</v>
      </c>
      <c r="C10890" s="8">
        <f>IFERROR(__xludf.DUMMYFUNCTION("""COMPUTED_VALUE"""),0.0)</f>
        <v>0</v>
      </c>
      <c r="D10890" s="8"/>
    </row>
    <row r="10891">
      <c r="A10891" s="9" t="str">
        <f>IFERROR(__xludf.DUMMYFUNCTION("""COMPUTED_VALUE"""),"Batch 393")</f>
        <v>Batch 393</v>
      </c>
      <c r="B10891" s="9" t="str">
        <f>IFERROR(__xludf.DUMMYFUNCTION("""COMPUTED_VALUE"""),"BarbieC393")</f>
        <v>BarbieC393</v>
      </c>
      <c r="C10891" s="8">
        <f>IFERROR(__xludf.DUMMYFUNCTION("""COMPUTED_VALUE"""),1.0)</f>
        <v>1</v>
      </c>
      <c r="D10891" s="8"/>
    </row>
    <row r="10892">
      <c r="A10892" s="9" t="str">
        <f>IFERROR(__xludf.DUMMYFUNCTION("""COMPUTED_VALUE"""),"Batch 393")</f>
        <v>Batch 393</v>
      </c>
      <c r="B10892" s="9" t="str">
        <f>IFERROR(__xludf.DUMMYFUNCTION("""COMPUTED_VALUE"""),"AimanC393")</f>
        <v>AimanC393</v>
      </c>
      <c r="C10892" s="8">
        <f>IFERROR(__xludf.DUMMYFUNCTION("""COMPUTED_VALUE"""),0.0)</f>
        <v>0</v>
      </c>
      <c r="D10892" s="8"/>
    </row>
    <row r="10893">
      <c r="A10893" s="9" t="str">
        <f>IFERROR(__xludf.DUMMYFUNCTION("""COMPUTED_VALUE"""),"Batch 393")</f>
        <v>Batch 393</v>
      </c>
      <c r="B10893" s="9" t="str">
        <f>IFERROR(__xludf.DUMMYFUNCTION("""COMPUTED_VALUE"""),"SudhanthiraC393")</f>
        <v>SudhanthiraC393</v>
      </c>
      <c r="C10893" s="8">
        <f>IFERROR(__xludf.DUMMYFUNCTION("""COMPUTED_VALUE"""),0.0)</f>
        <v>0</v>
      </c>
      <c r="D10893" s="8"/>
    </row>
    <row r="10894">
      <c r="A10894" s="9" t="str">
        <f>IFERROR(__xludf.DUMMYFUNCTION("""COMPUTED_VALUE"""),"Batch 393")</f>
        <v>Batch 393</v>
      </c>
      <c r="B10894" s="9" t="str">
        <f>IFERROR(__xludf.DUMMYFUNCTION("""COMPUTED_VALUE"""),"SandeepC393")</f>
        <v>SandeepC393</v>
      </c>
      <c r="C10894" s="8">
        <f>IFERROR(__xludf.DUMMYFUNCTION("""COMPUTED_VALUE"""),2.0)</f>
        <v>2</v>
      </c>
      <c r="D10894" s="8"/>
    </row>
    <row r="10895">
      <c r="A10895" s="9" t="str">
        <f>IFERROR(__xludf.DUMMYFUNCTION("""COMPUTED_VALUE"""),"Batch 393")</f>
        <v>Batch 393</v>
      </c>
      <c r="B10895" s="9" t="str">
        <f>IFERROR(__xludf.DUMMYFUNCTION("""COMPUTED_VALUE"""),"SrishtiC393")</f>
        <v>SrishtiC393</v>
      </c>
      <c r="C10895" s="8">
        <f>IFERROR(__xludf.DUMMYFUNCTION("""COMPUTED_VALUE"""),0.0)</f>
        <v>0</v>
      </c>
      <c r="D10895" s="8"/>
    </row>
    <row r="10896">
      <c r="A10896" s="9" t="str">
        <f>IFERROR(__xludf.DUMMYFUNCTION("""COMPUTED_VALUE"""),"Batch 393")</f>
        <v>Batch 393</v>
      </c>
      <c r="B10896" s="9" t="str">
        <f>IFERROR(__xludf.DUMMYFUNCTION("""COMPUTED_VALUE"""),"ARYAC393")</f>
        <v>ARYAC393</v>
      </c>
      <c r="C10896" s="8">
        <f>IFERROR(__xludf.DUMMYFUNCTION("""COMPUTED_VALUE"""),0.0)</f>
        <v>0</v>
      </c>
      <c r="D10896" s="8"/>
    </row>
    <row r="10897">
      <c r="A10897" s="9" t="str">
        <f>IFERROR(__xludf.DUMMYFUNCTION("""COMPUTED_VALUE"""),"Batch 393")</f>
        <v>Batch 393</v>
      </c>
      <c r="B10897" s="9" t="str">
        <f>IFERROR(__xludf.DUMMYFUNCTION("""COMPUTED_VALUE"""),"KaransinghC393")</f>
        <v>KaransinghC393</v>
      </c>
      <c r="C10897" s="8">
        <f>IFERROR(__xludf.DUMMYFUNCTION("""COMPUTED_VALUE"""),1.0)</f>
        <v>1</v>
      </c>
      <c r="D10897" s="8"/>
    </row>
    <row r="10898">
      <c r="A10898" s="9" t="str">
        <f>IFERROR(__xludf.DUMMYFUNCTION("""COMPUTED_VALUE"""),"Batch 393")</f>
        <v>Batch 393</v>
      </c>
      <c r="B10898" s="9" t="str">
        <f>IFERROR(__xludf.DUMMYFUNCTION("""COMPUTED_VALUE"""),"VidyalakshmiC393")</f>
        <v>VidyalakshmiC393</v>
      </c>
      <c r="C10898" s="8">
        <f>IFERROR(__xludf.DUMMYFUNCTION("""COMPUTED_VALUE"""),0.0)</f>
        <v>0</v>
      </c>
      <c r="D10898" s="8"/>
    </row>
    <row r="10899">
      <c r="A10899" s="9" t="str">
        <f>IFERROR(__xludf.DUMMYFUNCTION("""COMPUTED_VALUE"""),"Batch 393")</f>
        <v>Batch 393</v>
      </c>
      <c r="B10899" s="9" t="str">
        <f>IFERROR(__xludf.DUMMYFUNCTION("""COMPUTED_VALUE"""),"Mohd.C393")</f>
        <v>Mohd.C393</v>
      </c>
      <c r="C10899" s="8">
        <f>IFERROR(__xludf.DUMMYFUNCTION("""COMPUTED_VALUE"""),0.0)</f>
        <v>0</v>
      </c>
      <c r="D10899" s="8"/>
    </row>
    <row r="10900">
      <c r="A10900" s="9" t="str">
        <f>IFERROR(__xludf.DUMMYFUNCTION("""COMPUTED_VALUE"""),"Batch 393")</f>
        <v>Batch 393</v>
      </c>
      <c r="B10900" s="9" t="str">
        <f>IFERROR(__xludf.DUMMYFUNCTION("""COMPUTED_VALUE"""),"KanuC393")</f>
        <v>KanuC393</v>
      </c>
      <c r="C10900" s="8">
        <f>IFERROR(__xludf.DUMMYFUNCTION("""COMPUTED_VALUE"""),0.0)</f>
        <v>0</v>
      </c>
      <c r="D10900" s="8"/>
    </row>
    <row r="10901">
      <c r="A10901" s="9" t="str">
        <f>IFERROR(__xludf.DUMMYFUNCTION("""COMPUTED_VALUE"""),"Batch 393")</f>
        <v>Batch 393</v>
      </c>
      <c r="B10901" s="9" t="str">
        <f>IFERROR(__xludf.DUMMYFUNCTION("""COMPUTED_VALUE"""),"ParthikaC393")</f>
        <v>ParthikaC393</v>
      </c>
      <c r="C10901" s="8">
        <f>IFERROR(__xludf.DUMMYFUNCTION("""COMPUTED_VALUE"""),0.0)</f>
        <v>0</v>
      </c>
      <c r="D10901" s="8"/>
    </row>
    <row r="10902">
      <c r="A10902" s="9" t="str">
        <f>IFERROR(__xludf.DUMMYFUNCTION("""COMPUTED_VALUE"""),"Batch 393")</f>
        <v>Batch 393</v>
      </c>
      <c r="B10902" s="9" t="str">
        <f>IFERROR(__xludf.DUMMYFUNCTION("""COMPUTED_VALUE"""),"LoveC393")</f>
        <v>LoveC393</v>
      </c>
      <c r="C10902" s="8">
        <f>IFERROR(__xludf.DUMMYFUNCTION("""COMPUTED_VALUE"""),0.0)</f>
        <v>0</v>
      </c>
      <c r="D10902" s="8"/>
    </row>
    <row r="10903">
      <c r="A10903" s="9"/>
      <c r="B10903" s="9"/>
      <c r="C10903" s="8">
        <f>IFERROR(__xludf.DUMMYFUNCTION("""COMPUTED_VALUE"""),0.0)</f>
        <v>0</v>
      </c>
      <c r="D10903" s="8"/>
    </row>
    <row r="10904">
      <c r="A10904" s="9" t="str">
        <f>IFERROR(__xludf.DUMMYFUNCTION("""COMPUTED_VALUE"""),"Batch 394")</f>
        <v>Batch 394</v>
      </c>
      <c r="B10904" s="9" t="str">
        <f>IFERROR(__xludf.DUMMYFUNCTION("""COMPUTED_VALUE"""),"NandanaC394")</f>
        <v>NandanaC394</v>
      </c>
      <c r="C10904" s="8">
        <f>IFERROR(__xludf.DUMMYFUNCTION("""COMPUTED_VALUE"""),0.0)</f>
        <v>0</v>
      </c>
      <c r="D10904" s="8"/>
    </row>
    <row r="10905">
      <c r="A10905" s="9" t="str">
        <f>IFERROR(__xludf.DUMMYFUNCTION("""COMPUTED_VALUE"""),"Batch 394")</f>
        <v>Batch 394</v>
      </c>
      <c r="B10905" s="9" t="str">
        <f>IFERROR(__xludf.DUMMYFUNCTION("""COMPUTED_VALUE"""),"ShivamC394")</f>
        <v>ShivamC394</v>
      </c>
      <c r="C10905" s="8">
        <f>IFERROR(__xludf.DUMMYFUNCTION("""COMPUTED_VALUE"""),0.0)</f>
        <v>0</v>
      </c>
      <c r="D10905" s="8"/>
    </row>
    <row r="10906">
      <c r="A10906" s="9" t="str">
        <f>IFERROR(__xludf.DUMMYFUNCTION("""COMPUTED_VALUE"""),"Batch 394")</f>
        <v>Batch 394</v>
      </c>
      <c r="B10906" s="9" t="str">
        <f>IFERROR(__xludf.DUMMYFUNCTION("""COMPUTED_VALUE"""),"SnehaC394")</f>
        <v>SnehaC394</v>
      </c>
      <c r="C10906" s="8">
        <f>IFERROR(__xludf.DUMMYFUNCTION("""COMPUTED_VALUE"""),0.0)</f>
        <v>0</v>
      </c>
      <c r="D10906" s="8"/>
    </row>
    <row r="10907">
      <c r="A10907" s="9" t="str">
        <f>IFERROR(__xludf.DUMMYFUNCTION("""COMPUTED_VALUE"""),"Batch 394")</f>
        <v>Batch 394</v>
      </c>
      <c r="B10907" s="9" t="str">
        <f>IFERROR(__xludf.DUMMYFUNCTION("""COMPUTED_VALUE"""),"MaryalaC394")</f>
        <v>MaryalaC394</v>
      </c>
      <c r="C10907" s="8">
        <f>IFERROR(__xludf.DUMMYFUNCTION("""COMPUTED_VALUE"""),0.0)</f>
        <v>0</v>
      </c>
      <c r="D10907" s="8"/>
    </row>
    <row r="10908">
      <c r="A10908" s="9" t="str">
        <f>IFERROR(__xludf.DUMMYFUNCTION("""COMPUTED_VALUE"""),"Batch 394")</f>
        <v>Batch 394</v>
      </c>
      <c r="B10908" s="9" t="str">
        <f>IFERROR(__xludf.DUMMYFUNCTION("""COMPUTED_VALUE"""),"JanviC394")</f>
        <v>JanviC394</v>
      </c>
      <c r="C10908" s="8">
        <f>IFERROR(__xludf.DUMMYFUNCTION("""COMPUTED_VALUE"""),0.0)</f>
        <v>0</v>
      </c>
      <c r="D10908" s="8"/>
    </row>
    <row r="10909">
      <c r="A10909" s="9" t="str">
        <f>IFERROR(__xludf.DUMMYFUNCTION("""COMPUTED_VALUE"""),"Batch 394")</f>
        <v>Batch 394</v>
      </c>
      <c r="B10909" s="9" t="str">
        <f>IFERROR(__xludf.DUMMYFUNCTION("""COMPUTED_VALUE"""),"AdityaC394")</f>
        <v>AdityaC394</v>
      </c>
      <c r="C10909" s="8">
        <f>IFERROR(__xludf.DUMMYFUNCTION("""COMPUTED_VALUE"""),0.0)</f>
        <v>0</v>
      </c>
      <c r="D10909" s="8"/>
    </row>
    <row r="10910">
      <c r="A10910" s="9" t="str">
        <f>IFERROR(__xludf.DUMMYFUNCTION("""COMPUTED_VALUE"""),"Batch 394")</f>
        <v>Batch 394</v>
      </c>
      <c r="B10910" s="9" t="str">
        <f>IFERROR(__xludf.DUMMYFUNCTION("""COMPUTED_VALUE"""),"NityaC394")</f>
        <v>NityaC394</v>
      </c>
      <c r="C10910" s="8">
        <f>IFERROR(__xludf.DUMMYFUNCTION("""COMPUTED_VALUE"""),0.0)</f>
        <v>0</v>
      </c>
      <c r="D10910" s="8"/>
    </row>
    <row r="10911">
      <c r="A10911" s="9" t="str">
        <f>IFERROR(__xludf.DUMMYFUNCTION("""COMPUTED_VALUE"""),"Batch 394")</f>
        <v>Batch 394</v>
      </c>
      <c r="B10911" s="9" t="str">
        <f>IFERROR(__xludf.DUMMYFUNCTION("""COMPUTED_VALUE"""),"ShifaC394")</f>
        <v>ShifaC394</v>
      </c>
      <c r="C10911" s="8">
        <f>IFERROR(__xludf.DUMMYFUNCTION("""COMPUTED_VALUE"""),0.0)</f>
        <v>0</v>
      </c>
      <c r="D10911" s="8"/>
    </row>
    <row r="10912">
      <c r="A10912" s="9" t="str">
        <f>IFERROR(__xludf.DUMMYFUNCTION("""COMPUTED_VALUE"""),"Batch 394")</f>
        <v>Batch 394</v>
      </c>
      <c r="B10912" s="9" t="str">
        <f>IFERROR(__xludf.DUMMYFUNCTION("""COMPUTED_VALUE"""),"SagarC394")</f>
        <v>SagarC394</v>
      </c>
      <c r="C10912" s="8">
        <f>IFERROR(__xludf.DUMMYFUNCTION("""COMPUTED_VALUE"""),0.0)</f>
        <v>0</v>
      </c>
      <c r="D10912" s="8"/>
    </row>
    <row r="10913">
      <c r="A10913" s="9" t="str">
        <f>IFERROR(__xludf.DUMMYFUNCTION("""COMPUTED_VALUE"""),"Batch 394")</f>
        <v>Batch 394</v>
      </c>
      <c r="B10913" s="9" t="str">
        <f>IFERROR(__xludf.DUMMYFUNCTION("""COMPUTED_VALUE"""),"AdarshC394")</f>
        <v>AdarshC394</v>
      </c>
      <c r="C10913" s="8">
        <f>IFERROR(__xludf.DUMMYFUNCTION("""COMPUTED_VALUE"""),2.0)</f>
        <v>2</v>
      </c>
      <c r="D10913" s="8"/>
    </row>
    <row r="10914">
      <c r="A10914" s="9" t="str">
        <f>IFERROR(__xludf.DUMMYFUNCTION("""COMPUTED_VALUE"""),"Batch 394")</f>
        <v>Batch 394</v>
      </c>
      <c r="B10914" s="9" t="str">
        <f>IFERROR(__xludf.DUMMYFUNCTION("""COMPUTED_VALUE"""),"KathviC394")</f>
        <v>KathviC394</v>
      </c>
      <c r="C10914" s="8">
        <f>IFERROR(__xludf.DUMMYFUNCTION("""COMPUTED_VALUE"""),0.0)</f>
        <v>0</v>
      </c>
      <c r="D10914" s="8"/>
    </row>
    <row r="10915">
      <c r="A10915" s="9" t="str">
        <f>IFERROR(__xludf.DUMMYFUNCTION("""COMPUTED_VALUE"""),"Batch 394")</f>
        <v>Batch 394</v>
      </c>
      <c r="B10915" s="9" t="str">
        <f>IFERROR(__xludf.DUMMYFUNCTION("""COMPUTED_VALUE"""),"JagadeeshC394")</f>
        <v>JagadeeshC394</v>
      </c>
      <c r="C10915" s="8">
        <f>IFERROR(__xludf.DUMMYFUNCTION("""COMPUTED_VALUE"""),0.0)</f>
        <v>0</v>
      </c>
      <c r="D10915" s="8"/>
    </row>
    <row r="10916">
      <c r="A10916" s="9" t="str">
        <f>IFERROR(__xludf.DUMMYFUNCTION("""COMPUTED_VALUE"""),"Batch 394")</f>
        <v>Batch 394</v>
      </c>
      <c r="B10916" s="9" t="str">
        <f>IFERROR(__xludf.DUMMYFUNCTION("""COMPUTED_VALUE"""),"KrishikaC394")</f>
        <v>KrishikaC394</v>
      </c>
      <c r="C10916" s="8">
        <f>IFERROR(__xludf.DUMMYFUNCTION("""COMPUTED_VALUE"""),0.0)</f>
        <v>0</v>
      </c>
      <c r="D10916" s="8"/>
    </row>
    <row r="10917">
      <c r="A10917" s="9" t="str">
        <f>IFERROR(__xludf.DUMMYFUNCTION("""COMPUTED_VALUE"""),"Batch 394")</f>
        <v>Batch 394</v>
      </c>
      <c r="B10917" s="9" t="str">
        <f>IFERROR(__xludf.DUMMYFUNCTION("""COMPUTED_VALUE"""),"SuthishnaC394")</f>
        <v>SuthishnaC394</v>
      </c>
      <c r="C10917" s="8">
        <f>IFERROR(__xludf.DUMMYFUNCTION("""COMPUTED_VALUE"""),0.0)</f>
        <v>0</v>
      </c>
      <c r="D10917" s="8"/>
    </row>
    <row r="10918">
      <c r="A10918" s="9" t="str">
        <f>IFERROR(__xludf.DUMMYFUNCTION("""COMPUTED_VALUE"""),"Batch 394")</f>
        <v>Batch 394</v>
      </c>
      <c r="B10918" s="9" t="str">
        <f>IFERROR(__xludf.DUMMYFUNCTION("""COMPUTED_VALUE"""),"NISHANTC394")</f>
        <v>NISHANTC394</v>
      </c>
      <c r="C10918" s="8">
        <f>IFERROR(__xludf.DUMMYFUNCTION("""COMPUTED_VALUE"""),0.0)</f>
        <v>0</v>
      </c>
      <c r="D10918" s="8"/>
    </row>
    <row r="10919">
      <c r="A10919" s="9" t="str">
        <f>IFERROR(__xludf.DUMMYFUNCTION("""COMPUTED_VALUE"""),"Batch 394")</f>
        <v>Batch 394</v>
      </c>
      <c r="B10919" s="9" t="str">
        <f>IFERROR(__xludf.DUMMYFUNCTION("""COMPUTED_VALUE"""),"VC394")</f>
        <v>VC394</v>
      </c>
      <c r="C10919" s="8">
        <f>IFERROR(__xludf.DUMMYFUNCTION("""COMPUTED_VALUE"""),0.0)</f>
        <v>0</v>
      </c>
      <c r="D10919" s="8"/>
    </row>
    <row r="10920">
      <c r="A10920" s="9" t="str">
        <f>IFERROR(__xludf.DUMMYFUNCTION("""COMPUTED_VALUE"""),"Batch 394")</f>
        <v>Batch 394</v>
      </c>
      <c r="B10920" s="9" t="str">
        <f>IFERROR(__xludf.DUMMYFUNCTION("""COMPUTED_VALUE"""),"N.keerthikaC394")</f>
        <v>N.keerthikaC394</v>
      </c>
      <c r="C10920" s="8">
        <f>IFERROR(__xludf.DUMMYFUNCTION("""COMPUTED_VALUE"""),3.0)</f>
        <v>3</v>
      </c>
      <c r="D10920" s="8">
        <f>IFERROR(__xludf.DUMMYFUNCTION("""COMPUTED_VALUE"""),1.0)</f>
        <v>1</v>
      </c>
    </row>
    <row r="10921">
      <c r="A10921" s="9" t="str">
        <f>IFERROR(__xludf.DUMMYFUNCTION("""COMPUTED_VALUE"""),"Batch 394")</f>
        <v>Batch 394</v>
      </c>
      <c r="B10921" s="9" t="str">
        <f>IFERROR(__xludf.DUMMYFUNCTION("""COMPUTED_VALUE"""),"KoduriC394")</f>
        <v>KoduriC394</v>
      </c>
      <c r="C10921" s="8">
        <f>IFERROR(__xludf.DUMMYFUNCTION("""COMPUTED_VALUE"""),0.0)</f>
        <v>0</v>
      </c>
      <c r="D10921" s="8"/>
    </row>
    <row r="10922">
      <c r="A10922" s="9" t="str">
        <f>IFERROR(__xludf.DUMMYFUNCTION("""COMPUTED_VALUE"""),"Batch 394")</f>
        <v>Batch 394</v>
      </c>
      <c r="B10922" s="9" t="str">
        <f>IFERROR(__xludf.DUMMYFUNCTION("""COMPUTED_VALUE"""),"KavinayaC394")</f>
        <v>KavinayaC394</v>
      </c>
      <c r="C10922" s="8">
        <f>IFERROR(__xludf.DUMMYFUNCTION("""COMPUTED_VALUE"""),0.0)</f>
        <v>0</v>
      </c>
      <c r="D10922" s="8"/>
    </row>
    <row r="10923">
      <c r="A10923" s="9" t="str">
        <f>IFERROR(__xludf.DUMMYFUNCTION("""COMPUTED_VALUE"""),"Batch 394")</f>
        <v>Batch 394</v>
      </c>
      <c r="B10923" s="9" t="str">
        <f>IFERROR(__xludf.DUMMYFUNCTION("""COMPUTED_VALUE"""),"ManjunathC394")</f>
        <v>ManjunathC394</v>
      </c>
      <c r="C10923" s="8">
        <f>IFERROR(__xludf.DUMMYFUNCTION("""COMPUTED_VALUE"""),0.0)</f>
        <v>0</v>
      </c>
      <c r="D10923" s="8"/>
    </row>
    <row r="10924">
      <c r="A10924" s="9" t="str">
        <f>IFERROR(__xludf.DUMMYFUNCTION("""COMPUTED_VALUE"""),"Batch 394")</f>
        <v>Batch 394</v>
      </c>
      <c r="B10924" s="9" t="str">
        <f>IFERROR(__xludf.DUMMYFUNCTION("""COMPUTED_VALUE"""),"AvaniC394")</f>
        <v>AvaniC394</v>
      </c>
      <c r="C10924" s="8">
        <f>IFERROR(__xludf.DUMMYFUNCTION("""COMPUTED_VALUE"""),0.0)</f>
        <v>0</v>
      </c>
      <c r="D10924" s="8"/>
    </row>
    <row r="10925">
      <c r="A10925" s="9"/>
      <c r="B10925" s="9"/>
      <c r="C10925" s="8">
        <f>IFERROR(__xludf.DUMMYFUNCTION("""COMPUTED_VALUE"""),0.0)</f>
        <v>0</v>
      </c>
      <c r="D10925" s="8"/>
    </row>
    <row r="10926">
      <c r="A10926" s="9" t="str">
        <f>IFERROR(__xludf.DUMMYFUNCTION("""COMPUTED_VALUE"""),"Batch 395")</f>
        <v>Batch 395</v>
      </c>
      <c r="B10926" s="9" t="str">
        <f>IFERROR(__xludf.DUMMYFUNCTION("""COMPUTED_VALUE"""),"D.DhanaC395")</f>
        <v>D.DhanaC395</v>
      </c>
      <c r="C10926" s="8">
        <f>IFERROR(__xludf.DUMMYFUNCTION("""COMPUTED_VALUE"""),0.0)</f>
        <v>0</v>
      </c>
      <c r="D10926" s="8"/>
    </row>
    <row r="10927">
      <c r="A10927" s="9" t="str">
        <f>IFERROR(__xludf.DUMMYFUNCTION("""COMPUTED_VALUE"""),"Batch 395")</f>
        <v>Batch 395</v>
      </c>
      <c r="B10927" s="9" t="str">
        <f>IFERROR(__xludf.DUMMYFUNCTION("""COMPUTED_VALUE"""),"PreenaC395")</f>
        <v>PreenaC395</v>
      </c>
      <c r="C10927" s="8">
        <f>IFERROR(__xludf.DUMMYFUNCTION("""COMPUTED_VALUE"""),0.0)</f>
        <v>0</v>
      </c>
      <c r="D10927" s="8"/>
    </row>
    <row r="10928">
      <c r="A10928" s="9" t="str">
        <f>IFERROR(__xludf.DUMMYFUNCTION("""COMPUTED_VALUE"""),"Batch 395")</f>
        <v>Batch 395</v>
      </c>
      <c r="B10928" s="9" t="str">
        <f>IFERROR(__xludf.DUMMYFUNCTION("""COMPUTED_VALUE"""),"AdityaC395")</f>
        <v>AdityaC395</v>
      </c>
      <c r="C10928" s="8">
        <f>IFERROR(__xludf.DUMMYFUNCTION("""COMPUTED_VALUE"""),0.0)</f>
        <v>0</v>
      </c>
      <c r="D10928" s="8"/>
    </row>
    <row r="10929">
      <c r="A10929" s="9" t="str">
        <f>IFERROR(__xludf.DUMMYFUNCTION("""COMPUTED_VALUE"""),"Batch 395")</f>
        <v>Batch 395</v>
      </c>
      <c r="B10929" s="9" t="str">
        <f>IFERROR(__xludf.DUMMYFUNCTION("""COMPUTED_VALUE"""),"khushiC395")</f>
        <v>khushiC395</v>
      </c>
      <c r="C10929" s="8">
        <f>IFERROR(__xludf.DUMMYFUNCTION("""COMPUTED_VALUE"""),0.0)</f>
        <v>0</v>
      </c>
      <c r="D10929" s="8"/>
    </row>
    <row r="10930">
      <c r="A10930" s="9" t="str">
        <f>IFERROR(__xludf.DUMMYFUNCTION("""COMPUTED_VALUE"""),"Batch 395")</f>
        <v>Batch 395</v>
      </c>
      <c r="B10930" s="9" t="str">
        <f>IFERROR(__xludf.DUMMYFUNCTION("""COMPUTED_VALUE"""),"AlishaC395")</f>
        <v>AlishaC395</v>
      </c>
      <c r="C10930" s="8">
        <f>IFERROR(__xludf.DUMMYFUNCTION("""COMPUTED_VALUE"""),0.0)</f>
        <v>0</v>
      </c>
      <c r="D10930" s="8"/>
    </row>
    <row r="10931">
      <c r="A10931" s="9" t="str">
        <f>IFERROR(__xludf.DUMMYFUNCTION("""COMPUTED_VALUE"""),"Batch 395")</f>
        <v>Batch 395</v>
      </c>
      <c r="B10931" s="9" t="str">
        <f>IFERROR(__xludf.DUMMYFUNCTION("""COMPUTED_VALUE"""),"SanidhyaC395")</f>
        <v>SanidhyaC395</v>
      </c>
      <c r="C10931" s="8">
        <f>IFERROR(__xludf.DUMMYFUNCTION("""COMPUTED_VALUE"""),0.0)</f>
        <v>0</v>
      </c>
      <c r="D10931" s="8"/>
    </row>
    <row r="10932">
      <c r="A10932" s="9" t="str">
        <f>IFERROR(__xludf.DUMMYFUNCTION("""COMPUTED_VALUE"""),"Batch 395")</f>
        <v>Batch 395</v>
      </c>
      <c r="B10932" s="9" t="str">
        <f>IFERROR(__xludf.DUMMYFUNCTION("""COMPUTED_VALUE"""),"BhavishyaC395")</f>
        <v>BhavishyaC395</v>
      </c>
      <c r="C10932" s="8">
        <f>IFERROR(__xludf.DUMMYFUNCTION("""COMPUTED_VALUE"""),0.0)</f>
        <v>0</v>
      </c>
      <c r="D10932" s="8"/>
    </row>
    <row r="10933">
      <c r="A10933" s="9" t="str">
        <f>IFERROR(__xludf.DUMMYFUNCTION("""COMPUTED_VALUE"""),"Batch 395")</f>
        <v>Batch 395</v>
      </c>
      <c r="B10933" s="9" t="str">
        <f>IFERROR(__xludf.DUMMYFUNCTION("""COMPUTED_VALUE"""),"KaveepriyaC395")</f>
        <v>KaveepriyaC395</v>
      </c>
      <c r="C10933" s="8">
        <f>IFERROR(__xludf.DUMMYFUNCTION("""COMPUTED_VALUE"""),1.0)</f>
        <v>1</v>
      </c>
      <c r="D10933" s="8">
        <f>IFERROR(__xludf.DUMMYFUNCTION("""COMPUTED_VALUE"""),2.0)</f>
        <v>2</v>
      </c>
    </row>
    <row r="10934">
      <c r="A10934" s="9" t="str">
        <f>IFERROR(__xludf.DUMMYFUNCTION("""COMPUTED_VALUE"""),"Batch 395")</f>
        <v>Batch 395</v>
      </c>
      <c r="B10934" s="9" t="str">
        <f>IFERROR(__xludf.DUMMYFUNCTION("""COMPUTED_VALUE"""),"RonakC395")</f>
        <v>RonakC395</v>
      </c>
      <c r="C10934" s="8">
        <f>IFERROR(__xludf.DUMMYFUNCTION("""COMPUTED_VALUE"""),0.0)</f>
        <v>0</v>
      </c>
      <c r="D10934" s="8"/>
    </row>
    <row r="10935">
      <c r="A10935" s="9" t="str">
        <f>IFERROR(__xludf.DUMMYFUNCTION("""COMPUTED_VALUE"""),"Batch 395")</f>
        <v>Batch 395</v>
      </c>
      <c r="B10935" s="9" t="str">
        <f>IFERROR(__xludf.DUMMYFUNCTION("""COMPUTED_VALUE"""),"LabdhiC395")</f>
        <v>LabdhiC395</v>
      </c>
      <c r="C10935" s="8">
        <f>IFERROR(__xludf.DUMMYFUNCTION("""COMPUTED_VALUE"""),0.0)</f>
        <v>0</v>
      </c>
      <c r="D10935" s="8"/>
    </row>
    <row r="10936">
      <c r="A10936" s="9" t="str">
        <f>IFERROR(__xludf.DUMMYFUNCTION("""COMPUTED_VALUE"""),"Batch 395")</f>
        <v>Batch 395</v>
      </c>
      <c r="B10936" s="9" t="str">
        <f>IFERROR(__xludf.DUMMYFUNCTION("""COMPUTED_VALUE"""),"SumitC395")</f>
        <v>SumitC395</v>
      </c>
      <c r="C10936" s="8">
        <f>IFERROR(__xludf.DUMMYFUNCTION("""COMPUTED_VALUE"""),0.0)</f>
        <v>0</v>
      </c>
      <c r="D10936" s="8"/>
    </row>
    <row r="10937">
      <c r="A10937" s="9" t="str">
        <f>IFERROR(__xludf.DUMMYFUNCTION("""COMPUTED_VALUE"""),"Batch 395")</f>
        <v>Batch 395</v>
      </c>
      <c r="B10937" s="9" t="str">
        <f>IFERROR(__xludf.DUMMYFUNCTION("""COMPUTED_VALUE"""),"P.ManideepC395")</f>
        <v>P.ManideepC395</v>
      </c>
      <c r="C10937" s="8">
        <f>IFERROR(__xludf.DUMMYFUNCTION("""COMPUTED_VALUE"""),0.0)</f>
        <v>0</v>
      </c>
      <c r="D10937" s="8"/>
    </row>
    <row r="10938">
      <c r="A10938" s="9" t="str">
        <f>IFERROR(__xludf.DUMMYFUNCTION("""COMPUTED_VALUE"""),"Batch 395")</f>
        <v>Batch 395</v>
      </c>
      <c r="B10938" s="9" t="str">
        <f>IFERROR(__xludf.DUMMYFUNCTION("""COMPUTED_VALUE"""),"BC395")</f>
        <v>BC395</v>
      </c>
      <c r="C10938" s="8">
        <f>IFERROR(__xludf.DUMMYFUNCTION("""COMPUTED_VALUE"""),0.0)</f>
        <v>0</v>
      </c>
      <c r="D10938" s="8"/>
    </row>
    <row r="10939">
      <c r="A10939" s="9" t="str">
        <f>IFERROR(__xludf.DUMMYFUNCTION("""COMPUTED_VALUE"""),"Batch 395")</f>
        <v>Batch 395</v>
      </c>
      <c r="B10939" s="9" t="str">
        <f>IFERROR(__xludf.DUMMYFUNCTION("""COMPUTED_VALUE"""),"AnshC395")</f>
        <v>AnshC395</v>
      </c>
      <c r="C10939" s="8">
        <f>IFERROR(__xludf.DUMMYFUNCTION("""COMPUTED_VALUE"""),0.0)</f>
        <v>0</v>
      </c>
      <c r="D10939" s="8"/>
    </row>
    <row r="10940">
      <c r="A10940" s="9" t="str">
        <f>IFERROR(__xludf.DUMMYFUNCTION("""COMPUTED_VALUE"""),"Batch 395")</f>
        <v>Batch 395</v>
      </c>
      <c r="B10940" s="9" t="str">
        <f>IFERROR(__xludf.DUMMYFUNCTION("""COMPUTED_VALUE"""),"HimaniC395")</f>
        <v>HimaniC395</v>
      </c>
      <c r="C10940" s="8">
        <f>IFERROR(__xludf.DUMMYFUNCTION("""COMPUTED_VALUE"""),0.0)</f>
        <v>0</v>
      </c>
      <c r="D10940" s="8"/>
    </row>
    <row r="10941">
      <c r="A10941" s="9" t="str">
        <f>IFERROR(__xludf.DUMMYFUNCTION("""COMPUTED_VALUE"""),"Batch 395")</f>
        <v>Batch 395</v>
      </c>
      <c r="B10941" s="9" t="str">
        <f>IFERROR(__xludf.DUMMYFUNCTION("""COMPUTED_VALUE"""),"KunalC395")</f>
        <v>KunalC395</v>
      </c>
      <c r="C10941" s="8">
        <f>IFERROR(__xludf.DUMMYFUNCTION("""COMPUTED_VALUE"""),0.0)</f>
        <v>0</v>
      </c>
      <c r="D10941" s="8"/>
    </row>
    <row r="10942">
      <c r="A10942" s="9" t="str">
        <f>IFERROR(__xludf.DUMMYFUNCTION("""COMPUTED_VALUE"""),"Batch 395")</f>
        <v>Batch 395</v>
      </c>
      <c r="B10942" s="9" t="str">
        <f>IFERROR(__xludf.DUMMYFUNCTION("""COMPUTED_VALUE"""),"DaminiC395")</f>
        <v>DaminiC395</v>
      </c>
      <c r="C10942" s="8">
        <f>IFERROR(__xludf.DUMMYFUNCTION("""COMPUTED_VALUE"""),0.0)</f>
        <v>0</v>
      </c>
      <c r="D10942" s="8"/>
    </row>
    <row r="10943">
      <c r="A10943" s="9" t="str">
        <f>IFERROR(__xludf.DUMMYFUNCTION("""COMPUTED_VALUE"""),"Batch 395")</f>
        <v>Batch 395</v>
      </c>
      <c r="B10943" s="9" t="str">
        <f>IFERROR(__xludf.DUMMYFUNCTION("""COMPUTED_VALUE"""),"AshishC395")</f>
        <v>AshishC395</v>
      </c>
      <c r="C10943" s="8">
        <f>IFERROR(__xludf.DUMMYFUNCTION("""COMPUTED_VALUE"""),0.0)</f>
        <v>0</v>
      </c>
      <c r="D10943" s="8"/>
    </row>
    <row r="10944">
      <c r="A10944" s="9" t="str">
        <f>IFERROR(__xludf.DUMMYFUNCTION("""COMPUTED_VALUE"""),"Batch 395")</f>
        <v>Batch 395</v>
      </c>
      <c r="B10944" s="9" t="str">
        <f>IFERROR(__xludf.DUMMYFUNCTION("""COMPUTED_VALUE"""),"OnkarC395")</f>
        <v>OnkarC395</v>
      </c>
      <c r="C10944" s="8">
        <f>IFERROR(__xludf.DUMMYFUNCTION("""COMPUTED_VALUE"""),0.0)</f>
        <v>0</v>
      </c>
      <c r="D10944" s="8"/>
    </row>
    <row r="10945">
      <c r="A10945" s="9" t="str">
        <f>IFERROR(__xludf.DUMMYFUNCTION("""COMPUTED_VALUE"""),"Batch 395")</f>
        <v>Batch 395</v>
      </c>
      <c r="B10945" s="9" t="str">
        <f>IFERROR(__xludf.DUMMYFUNCTION("""COMPUTED_VALUE"""),"KumarC395")</f>
        <v>KumarC395</v>
      </c>
      <c r="C10945" s="8">
        <f>IFERROR(__xludf.DUMMYFUNCTION("""COMPUTED_VALUE"""),0.0)</f>
        <v>0</v>
      </c>
      <c r="D10945" s="8"/>
    </row>
    <row r="10946">
      <c r="A10946" s="9" t="str">
        <f>IFERROR(__xludf.DUMMYFUNCTION("""COMPUTED_VALUE"""),"Batch 395")</f>
        <v>Batch 395</v>
      </c>
      <c r="B10946" s="9" t="str">
        <f>IFERROR(__xludf.DUMMYFUNCTION("""COMPUTED_VALUE"""),"DharmendraC395")</f>
        <v>DharmendraC395</v>
      </c>
      <c r="C10946" s="8">
        <f>IFERROR(__xludf.DUMMYFUNCTION("""COMPUTED_VALUE"""),0.0)</f>
        <v>0</v>
      </c>
      <c r="D10946" s="8"/>
    </row>
    <row r="10947">
      <c r="A10947" s="9" t="str">
        <f>IFERROR(__xludf.DUMMYFUNCTION("""COMPUTED_VALUE"""),"Batch 395")</f>
        <v>Batch 395</v>
      </c>
      <c r="B10947" s="9" t="str">
        <f>IFERROR(__xludf.DUMMYFUNCTION("""COMPUTED_VALUE"""),"DeepikaC395")</f>
        <v>DeepikaC395</v>
      </c>
      <c r="C10947" s="8">
        <f>IFERROR(__xludf.DUMMYFUNCTION("""COMPUTED_VALUE"""),0.0)</f>
        <v>0</v>
      </c>
      <c r="D10947" s="8"/>
    </row>
    <row r="10948">
      <c r="A10948" s="9" t="str">
        <f>IFERROR(__xludf.DUMMYFUNCTION("""COMPUTED_VALUE"""),"Batch 395")</f>
        <v>Batch 395</v>
      </c>
      <c r="B10948" s="9" t="str">
        <f>IFERROR(__xludf.DUMMYFUNCTION("""COMPUTED_VALUE"""),"MinakshiC395")</f>
        <v>MinakshiC395</v>
      </c>
      <c r="C10948" s="8">
        <f>IFERROR(__xludf.DUMMYFUNCTION("""COMPUTED_VALUE"""),0.0)</f>
        <v>0</v>
      </c>
      <c r="D10948" s="8"/>
    </row>
    <row r="10949">
      <c r="A10949" s="9" t="str">
        <f>IFERROR(__xludf.DUMMYFUNCTION("""COMPUTED_VALUE"""),"Batch 395")</f>
        <v>Batch 395</v>
      </c>
      <c r="B10949" s="9" t="str">
        <f>IFERROR(__xludf.DUMMYFUNCTION("""COMPUTED_VALUE"""),"GayathriC395")</f>
        <v>GayathriC395</v>
      </c>
      <c r="C10949" s="8">
        <f>IFERROR(__xludf.DUMMYFUNCTION("""COMPUTED_VALUE"""),0.0)</f>
        <v>0</v>
      </c>
      <c r="D10949" s="8"/>
    </row>
    <row r="10950">
      <c r="A10950" s="9" t="str">
        <f>IFERROR(__xludf.DUMMYFUNCTION("""COMPUTED_VALUE"""),"Batch 395")</f>
        <v>Batch 395</v>
      </c>
      <c r="B10950" s="9" t="str">
        <f>IFERROR(__xludf.DUMMYFUNCTION("""COMPUTED_VALUE"""),"RidhiC395")</f>
        <v>RidhiC395</v>
      </c>
      <c r="C10950" s="8">
        <f>IFERROR(__xludf.DUMMYFUNCTION("""COMPUTED_VALUE"""),0.0)</f>
        <v>0</v>
      </c>
      <c r="D10950" s="8"/>
    </row>
    <row r="10951">
      <c r="A10951" s="9" t="str">
        <f>IFERROR(__xludf.DUMMYFUNCTION("""COMPUTED_VALUE"""),"Batch 395")</f>
        <v>Batch 395</v>
      </c>
      <c r="B10951" s="9" t="str">
        <f>IFERROR(__xludf.DUMMYFUNCTION("""COMPUTED_VALUE"""),"AsfiyaC395")</f>
        <v>AsfiyaC395</v>
      </c>
      <c r="C10951" s="8">
        <f>IFERROR(__xludf.DUMMYFUNCTION("""COMPUTED_VALUE"""),1.0)</f>
        <v>1</v>
      </c>
      <c r="D10951" s="8"/>
    </row>
    <row r="10952">
      <c r="A10952" s="9" t="str">
        <f>IFERROR(__xludf.DUMMYFUNCTION("""COMPUTED_VALUE"""),"Batch 395")</f>
        <v>Batch 395</v>
      </c>
      <c r="B10952" s="9" t="str">
        <f>IFERROR(__xludf.DUMMYFUNCTION("""COMPUTED_VALUE"""),"KoduriC395")</f>
        <v>KoduriC395</v>
      </c>
      <c r="C10952" s="8">
        <f>IFERROR(__xludf.DUMMYFUNCTION("""COMPUTED_VALUE"""),0.0)</f>
        <v>0</v>
      </c>
      <c r="D10952" s="8"/>
    </row>
    <row r="10953">
      <c r="A10953" s="9" t="str">
        <f>IFERROR(__xludf.DUMMYFUNCTION("""COMPUTED_VALUE"""),"Batch 395")</f>
        <v>Batch 395</v>
      </c>
      <c r="B10953" s="9" t="str">
        <f>IFERROR(__xludf.DUMMYFUNCTION("""COMPUTED_VALUE"""),"KavinayaC395")</f>
        <v>KavinayaC395</v>
      </c>
      <c r="C10953" s="8">
        <f>IFERROR(__xludf.DUMMYFUNCTION("""COMPUTED_VALUE"""),3.0)</f>
        <v>3</v>
      </c>
      <c r="D10953" s="8"/>
    </row>
    <row r="10954">
      <c r="A10954" s="9" t="str">
        <f>IFERROR(__xludf.DUMMYFUNCTION("""COMPUTED_VALUE"""),"Batch 395")</f>
        <v>Batch 395</v>
      </c>
      <c r="B10954" s="9" t="str">
        <f>IFERROR(__xludf.DUMMYFUNCTION("""COMPUTED_VALUE"""),"NandiniC395")</f>
        <v>NandiniC395</v>
      </c>
      <c r="C10954" s="8">
        <f>IFERROR(__xludf.DUMMYFUNCTION("""COMPUTED_VALUE"""),0.0)</f>
        <v>0</v>
      </c>
      <c r="D10954" s="8"/>
    </row>
    <row r="10955">
      <c r="A10955" s="9" t="str">
        <f>IFERROR(__xludf.DUMMYFUNCTION("""COMPUTED_VALUE"""),"Batch 395")</f>
        <v>Batch 395</v>
      </c>
      <c r="B10955" s="9" t="str">
        <f>IFERROR(__xludf.DUMMYFUNCTION("""COMPUTED_VALUE"""),"ShivamC395")</f>
        <v>ShivamC395</v>
      </c>
      <c r="C10955" s="8">
        <f>IFERROR(__xludf.DUMMYFUNCTION("""COMPUTED_VALUE"""),0.0)</f>
        <v>0</v>
      </c>
      <c r="D10955" s="8"/>
    </row>
    <row r="10956">
      <c r="A10956" s="9" t="str">
        <f>IFERROR(__xludf.DUMMYFUNCTION("""COMPUTED_VALUE"""),"Batch 395")</f>
        <v>Batch 395</v>
      </c>
      <c r="B10956" s="9" t="str">
        <f>IFERROR(__xludf.DUMMYFUNCTION("""COMPUTED_VALUE"""),"RohitC395")</f>
        <v>RohitC395</v>
      </c>
      <c r="C10956" s="8">
        <f>IFERROR(__xludf.DUMMYFUNCTION("""COMPUTED_VALUE"""),0.0)</f>
        <v>0</v>
      </c>
      <c r="D10956" s="8"/>
    </row>
    <row r="10957">
      <c r="A10957" s="9" t="str">
        <f>IFERROR(__xludf.DUMMYFUNCTION("""COMPUTED_VALUE"""),"Batch 395")</f>
        <v>Batch 395</v>
      </c>
      <c r="B10957" s="9" t="str">
        <f>IFERROR(__xludf.DUMMYFUNCTION("""COMPUTED_VALUE"""),"YugalC395")</f>
        <v>YugalC395</v>
      </c>
      <c r="C10957" s="8">
        <f>IFERROR(__xludf.DUMMYFUNCTION("""COMPUTED_VALUE"""),0.0)</f>
        <v>0</v>
      </c>
      <c r="D10957" s="8"/>
    </row>
    <row r="10958">
      <c r="A10958" s="9" t="str">
        <f>IFERROR(__xludf.DUMMYFUNCTION("""COMPUTED_VALUE"""),"Batch 395")</f>
        <v>Batch 395</v>
      </c>
      <c r="B10958" s="9" t="str">
        <f>IFERROR(__xludf.DUMMYFUNCTION("""COMPUTED_VALUE"""),"SatishC395")</f>
        <v>SatishC395</v>
      </c>
      <c r="C10958" s="8">
        <f>IFERROR(__xludf.DUMMYFUNCTION("""COMPUTED_VALUE"""),0.0)</f>
        <v>0</v>
      </c>
      <c r="D10958" s="8"/>
    </row>
    <row r="10959">
      <c r="A10959" s="9" t="str">
        <f>IFERROR(__xludf.DUMMYFUNCTION("""COMPUTED_VALUE"""),"Batch 395")</f>
        <v>Batch 395</v>
      </c>
      <c r="B10959" s="9" t="str">
        <f>IFERROR(__xludf.DUMMYFUNCTION("""COMPUTED_VALUE"""),"PoojaC395")</f>
        <v>PoojaC395</v>
      </c>
      <c r="C10959" s="8">
        <f>IFERROR(__xludf.DUMMYFUNCTION("""COMPUTED_VALUE"""),0.0)</f>
        <v>0</v>
      </c>
      <c r="D10959" s="8"/>
    </row>
    <row r="10960">
      <c r="A10960" s="9"/>
      <c r="B10960" s="9"/>
      <c r="C10960" s="8">
        <f>IFERROR(__xludf.DUMMYFUNCTION("""COMPUTED_VALUE"""),0.0)</f>
        <v>0</v>
      </c>
      <c r="D10960" s="8"/>
    </row>
    <row r="10961">
      <c r="A10961" s="9"/>
      <c r="B10961" s="9"/>
      <c r="C10961" s="8">
        <f>IFERROR(__xludf.DUMMYFUNCTION("""COMPUTED_VALUE"""),0.0)</f>
        <v>0</v>
      </c>
      <c r="D10961" s="8"/>
    </row>
    <row r="10962">
      <c r="A10962" s="9"/>
      <c r="B10962" s="9"/>
      <c r="C10962" s="8">
        <f>IFERROR(__xludf.DUMMYFUNCTION("""COMPUTED_VALUE"""),0.0)</f>
        <v>0</v>
      </c>
      <c r="D10962" s="8"/>
    </row>
    <row r="10963">
      <c r="A10963" s="9"/>
      <c r="B10963" s="9"/>
      <c r="C10963" s="8">
        <f>IFERROR(__xludf.DUMMYFUNCTION("""COMPUTED_VALUE"""),0.0)</f>
        <v>0</v>
      </c>
      <c r="D10963" s="8"/>
    </row>
    <row r="10964">
      <c r="A10964" s="9"/>
      <c r="B10964" s="9"/>
      <c r="C10964" s="8">
        <f>IFERROR(__xludf.DUMMYFUNCTION("""COMPUTED_VALUE"""),0.0)</f>
        <v>0</v>
      </c>
      <c r="D10964" s="8"/>
    </row>
    <row r="10965">
      <c r="A10965" s="9"/>
      <c r="B10965" s="9"/>
      <c r="C10965" s="8">
        <f>IFERROR(__xludf.DUMMYFUNCTION("""COMPUTED_VALUE"""),0.0)</f>
        <v>0</v>
      </c>
      <c r="D10965" s="8"/>
    </row>
    <row r="10966">
      <c r="A10966" s="9"/>
      <c r="B10966" s="9"/>
      <c r="C10966" s="8">
        <f>IFERROR(__xludf.DUMMYFUNCTION("""COMPUTED_VALUE"""),0.0)</f>
        <v>0</v>
      </c>
      <c r="D10966" s="8"/>
    </row>
    <row r="10967">
      <c r="A10967" s="9"/>
      <c r="B10967" s="9"/>
      <c r="C10967" s="8">
        <f>IFERROR(__xludf.DUMMYFUNCTION("""COMPUTED_VALUE"""),0.0)</f>
        <v>0</v>
      </c>
      <c r="D10967" s="8"/>
    </row>
    <row r="10968">
      <c r="A10968" s="9"/>
      <c r="B10968" s="9"/>
      <c r="C10968" s="8">
        <f>IFERROR(__xludf.DUMMYFUNCTION("""COMPUTED_VALUE"""),0.0)</f>
        <v>0</v>
      </c>
      <c r="D10968" s="8"/>
    </row>
    <row r="10969">
      <c r="A10969" s="9"/>
      <c r="B10969" s="9"/>
      <c r="C10969" s="8">
        <f>IFERROR(__xludf.DUMMYFUNCTION("""COMPUTED_VALUE"""),0.0)</f>
        <v>0</v>
      </c>
      <c r="D10969" s="8"/>
    </row>
    <row r="10970">
      <c r="A10970" s="9"/>
      <c r="B10970" s="9"/>
      <c r="C10970" s="8"/>
      <c r="D10970" s="8"/>
    </row>
    <row r="10971">
      <c r="A10971" s="9"/>
      <c r="B10971" s="9"/>
      <c r="C10971" s="8"/>
      <c r="D10971" s="8"/>
    </row>
    <row r="10972">
      <c r="A10972" s="9"/>
      <c r="B10972" s="9"/>
      <c r="C10972" s="8"/>
      <c r="D10972" s="8"/>
    </row>
    <row r="10973">
      <c r="A10973" s="9"/>
      <c r="B10973" s="9"/>
      <c r="C10973" s="8"/>
      <c r="D10973" s="8"/>
    </row>
    <row r="10974">
      <c r="A10974" s="9"/>
      <c r="B10974" s="9"/>
      <c r="C10974" s="8"/>
      <c r="D10974" s="8"/>
    </row>
    <row r="10975">
      <c r="A10975" s="9"/>
      <c r="B10975" s="9"/>
      <c r="C10975" s="8"/>
      <c r="D10975" s="8"/>
    </row>
    <row r="10976">
      <c r="A10976" s="9"/>
      <c r="B10976" s="9"/>
      <c r="C10976" s="8"/>
      <c r="D10976" s="8"/>
    </row>
    <row r="10977">
      <c r="A10977" s="9"/>
      <c r="B10977" s="9"/>
      <c r="C10977" s="8"/>
      <c r="D10977" s="8"/>
    </row>
    <row r="10978">
      <c r="A10978" s="9"/>
      <c r="B10978" s="9"/>
      <c r="C10978" s="8"/>
      <c r="D10978" s="8"/>
    </row>
    <row r="10979">
      <c r="A10979" s="9"/>
      <c r="B10979" s="9"/>
      <c r="C10979" s="8"/>
      <c r="D10979" s="8"/>
    </row>
    <row r="10980">
      <c r="A10980" s="9"/>
      <c r="B10980" s="9"/>
      <c r="C10980" s="8"/>
      <c r="D10980" s="8"/>
    </row>
    <row r="10981">
      <c r="A10981" s="9"/>
      <c r="B10981" s="9"/>
      <c r="C10981" s="8"/>
      <c r="D10981" s="8"/>
    </row>
    <row r="10982">
      <c r="A10982" s="9"/>
      <c r="B10982" s="9"/>
      <c r="C10982" s="8"/>
      <c r="D10982" s="8"/>
    </row>
    <row r="10983">
      <c r="A10983" s="9"/>
      <c r="B10983" s="9"/>
      <c r="C10983" s="8"/>
      <c r="D10983" s="8"/>
    </row>
    <row r="10984">
      <c r="A10984" s="9"/>
      <c r="B10984" s="9"/>
      <c r="C10984" s="8"/>
      <c r="D10984" s="8"/>
    </row>
    <row r="10985">
      <c r="A10985" s="9"/>
      <c r="B10985" s="9"/>
      <c r="C10985" s="8"/>
      <c r="D10985" s="8"/>
    </row>
    <row r="10986">
      <c r="A10986" s="9"/>
      <c r="B10986" s="9"/>
      <c r="C10986" s="8"/>
      <c r="D10986" s="8"/>
    </row>
    <row r="10987">
      <c r="A10987" s="9"/>
      <c r="B10987" s="9"/>
      <c r="C10987" s="8"/>
      <c r="D10987" s="8"/>
    </row>
    <row r="10988">
      <c r="A10988" s="9"/>
      <c r="B10988" s="9"/>
      <c r="C10988" s="8"/>
      <c r="D10988" s="8"/>
    </row>
    <row r="10989">
      <c r="A10989" s="9"/>
      <c r="B10989" s="9"/>
      <c r="C10989" s="8"/>
      <c r="D10989" s="8"/>
    </row>
    <row r="10990">
      <c r="A10990" s="9"/>
      <c r="B10990" s="9"/>
      <c r="C10990" s="8"/>
      <c r="D10990" s="8"/>
    </row>
    <row r="10991">
      <c r="A10991" s="9"/>
      <c r="B10991" s="9"/>
      <c r="C10991" s="8"/>
      <c r="D10991" s="8"/>
    </row>
    <row r="10992">
      <c r="A10992" s="9"/>
      <c r="B10992" s="9"/>
      <c r="C10992" s="8"/>
      <c r="D10992" s="8"/>
    </row>
    <row r="10993">
      <c r="A10993" s="9"/>
      <c r="B10993" s="9"/>
      <c r="C10993" s="8"/>
      <c r="D10993" s="8"/>
    </row>
    <row r="10994">
      <c r="A10994" s="9"/>
      <c r="B10994" s="9"/>
      <c r="C10994" s="8"/>
      <c r="D10994" s="8"/>
    </row>
    <row r="10995">
      <c r="A10995" s="9"/>
      <c r="B10995" s="9"/>
      <c r="C10995" s="8"/>
      <c r="D10995" s="8"/>
    </row>
    <row r="10996">
      <c r="A10996" s="9"/>
      <c r="B10996" s="9"/>
      <c r="C10996" s="8"/>
      <c r="D10996" s="8"/>
    </row>
    <row r="10997">
      <c r="A10997" s="9"/>
      <c r="B10997" s="9"/>
      <c r="C10997" s="8"/>
      <c r="D10997" s="8"/>
    </row>
    <row r="10998">
      <c r="A10998" s="9"/>
      <c r="B10998" s="9"/>
      <c r="C10998" s="8"/>
      <c r="D10998" s="8"/>
    </row>
    <row r="10999">
      <c r="A10999" s="9"/>
      <c r="B10999" s="9"/>
      <c r="C10999" s="8"/>
      <c r="D10999" s="8"/>
    </row>
    <row r="11000">
      <c r="A11000" s="9"/>
      <c r="B11000" s="9"/>
      <c r="C11000" s="8"/>
      <c r="D11000" s="8"/>
    </row>
    <row r="11001">
      <c r="A11001" s="9"/>
      <c r="B11001" s="9"/>
      <c r="C11001" s="8"/>
      <c r="D11001" s="8"/>
    </row>
    <row r="11002">
      <c r="A11002" s="9"/>
      <c r="B11002" s="9"/>
      <c r="C11002" s="8"/>
      <c r="D11002" s="8"/>
    </row>
    <row r="11003">
      <c r="A11003" s="9"/>
      <c r="B11003" s="9"/>
      <c r="C11003" s="8"/>
      <c r="D11003" s="8"/>
    </row>
    <row r="11004">
      <c r="A11004" s="9"/>
      <c r="B11004" s="9"/>
      <c r="C11004" s="8"/>
      <c r="D11004" s="8"/>
    </row>
    <row r="11005">
      <c r="A11005" s="9"/>
      <c r="B11005" s="9"/>
      <c r="C11005" s="8"/>
      <c r="D11005" s="8"/>
    </row>
    <row r="11006">
      <c r="A11006" s="9"/>
      <c r="B11006" s="9"/>
      <c r="C11006" s="8"/>
      <c r="D11006" s="8"/>
    </row>
    <row r="11007">
      <c r="A11007" s="9"/>
      <c r="B11007" s="9"/>
      <c r="C11007" s="8"/>
      <c r="D11007" s="8"/>
    </row>
    <row r="11008">
      <c r="A11008" s="9"/>
      <c r="B11008" s="9"/>
      <c r="C11008" s="8"/>
      <c r="D11008" s="8"/>
    </row>
    <row r="11009">
      <c r="A11009" s="9"/>
      <c r="B11009" s="9"/>
      <c r="C11009" s="8"/>
      <c r="D11009" s="8"/>
    </row>
    <row r="11010">
      <c r="A11010" s="9"/>
      <c r="B11010" s="9"/>
      <c r="C11010" s="8"/>
      <c r="D11010" s="8"/>
    </row>
    <row r="11011">
      <c r="A11011" s="9"/>
      <c r="B11011" s="9"/>
      <c r="C11011" s="8"/>
      <c r="D11011" s="8"/>
    </row>
    <row r="11012">
      <c r="A11012" s="9"/>
      <c r="B11012" s="9"/>
      <c r="C11012" s="8"/>
      <c r="D11012" s="8"/>
    </row>
    <row r="11013">
      <c r="A11013" s="9"/>
      <c r="B11013" s="9"/>
      <c r="C11013" s="8"/>
      <c r="D11013" s="8"/>
    </row>
    <row r="11014">
      <c r="A11014" s="9"/>
      <c r="B11014" s="9"/>
      <c r="C11014" s="8"/>
      <c r="D11014" s="8"/>
    </row>
    <row r="11015">
      <c r="A11015" s="9"/>
      <c r="B11015" s="9"/>
      <c r="C11015" s="8"/>
      <c r="D11015" s="8"/>
    </row>
    <row r="11016">
      <c r="A11016" s="9"/>
      <c r="B11016" s="9"/>
      <c r="C11016" s="8"/>
      <c r="D11016" s="8"/>
    </row>
    <row r="11017">
      <c r="A11017" s="9"/>
      <c r="B11017" s="9"/>
      <c r="C11017" s="8"/>
      <c r="D11017" s="8"/>
    </row>
    <row r="11018">
      <c r="A11018" s="9"/>
      <c r="B11018" s="9"/>
      <c r="C11018" s="8"/>
      <c r="D11018" s="8"/>
    </row>
    <row r="11019">
      <c r="A11019" s="9"/>
      <c r="B11019" s="9"/>
      <c r="C11019" s="8"/>
      <c r="D11019" s="8"/>
    </row>
    <row r="11020">
      <c r="A11020" s="9"/>
      <c r="B11020" s="9"/>
      <c r="C11020" s="8"/>
      <c r="D11020" s="8"/>
    </row>
    <row r="11021">
      <c r="A11021" s="9"/>
      <c r="B11021" s="9"/>
      <c r="C11021" s="8"/>
      <c r="D11021" s="8"/>
    </row>
    <row r="11022">
      <c r="A11022" s="9"/>
      <c r="B11022" s="9"/>
      <c r="C11022" s="8"/>
      <c r="D11022" s="8"/>
    </row>
    <row r="11023">
      <c r="A11023" s="9"/>
      <c r="B11023" s="9"/>
      <c r="C11023" s="8"/>
      <c r="D11023" s="8"/>
    </row>
    <row r="11024">
      <c r="A11024" s="9"/>
      <c r="B11024" s="9"/>
      <c r="C11024" s="8"/>
      <c r="D11024" s="8"/>
    </row>
  </sheetData>
  <customSheetViews>
    <customSheetView guid="{10F367AC-11A1-4C57-B70E-E85EC8C11090}" filter="1" showAutoFilter="1">
      <autoFilter ref="$A$1:$Z$399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8.88"/>
    <col customWidth="1" min="3" max="3" width="77.88"/>
    <col customWidth="1" min="4" max="4" width="22.63"/>
    <col customWidth="1" min="5" max="5" width="23.63"/>
  </cols>
  <sheetData>
    <row r="1">
      <c r="A1" s="16" t="s">
        <v>3</v>
      </c>
      <c r="B1" s="17" t="s">
        <v>4</v>
      </c>
      <c r="C1" s="18" t="s">
        <v>5</v>
      </c>
      <c r="D1" s="19" t="s">
        <v>6</v>
      </c>
      <c r="E1" s="20" t="s">
        <v>7</v>
      </c>
      <c r="F1" s="21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6" t="s">
        <v>3</v>
      </c>
      <c r="B2" s="22" t="s">
        <v>8</v>
      </c>
      <c r="C2" s="18" t="s">
        <v>9</v>
      </c>
      <c r="D2" s="18" t="s">
        <v>10</v>
      </c>
      <c r="E2" s="23" t="s">
        <v>11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16" t="s">
        <v>3</v>
      </c>
      <c r="B3" s="22" t="s">
        <v>8</v>
      </c>
      <c r="C3" s="18" t="s">
        <v>12</v>
      </c>
      <c r="D3" s="18" t="s">
        <v>13</v>
      </c>
      <c r="E3" s="23" t="s">
        <v>14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16" t="s">
        <v>3</v>
      </c>
      <c r="B4" s="22" t="s">
        <v>8</v>
      </c>
      <c r="C4" s="18" t="s">
        <v>15</v>
      </c>
      <c r="D4" s="18" t="s">
        <v>16</v>
      </c>
      <c r="E4" s="23" t="s">
        <v>14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16" t="s">
        <v>3</v>
      </c>
      <c r="B5" s="22" t="s">
        <v>17</v>
      </c>
      <c r="C5" s="18" t="s">
        <v>18</v>
      </c>
      <c r="D5" s="19" t="s">
        <v>19</v>
      </c>
      <c r="E5" s="23" t="s">
        <v>20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16" t="s">
        <v>3</v>
      </c>
      <c r="B6" s="22" t="s">
        <v>17</v>
      </c>
      <c r="C6" s="18" t="s">
        <v>21</v>
      </c>
      <c r="D6" s="19" t="s">
        <v>22</v>
      </c>
      <c r="E6" s="23" t="s">
        <v>20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6" t="s">
        <v>3</v>
      </c>
      <c r="B7" s="22" t="s">
        <v>17</v>
      </c>
      <c r="C7" s="18" t="s">
        <v>21</v>
      </c>
      <c r="D7" s="19" t="s">
        <v>23</v>
      </c>
      <c r="E7" s="23" t="s">
        <v>20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24">
        <v>45172.0</v>
      </c>
      <c r="B8" s="25" t="s">
        <v>24</v>
      </c>
      <c r="C8" s="26" t="s">
        <v>25</v>
      </c>
      <c r="D8" s="27" t="s">
        <v>26</v>
      </c>
      <c r="E8" s="28" t="s">
        <v>27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>
      <c r="A9" s="24">
        <v>45172.0</v>
      </c>
      <c r="B9" s="25" t="s">
        <v>24</v>
      </c>
      <c r="C9" s="26" t="s">
        <v>25</v>
      </c>
      <c r="D9" s="27" t="s">
        <v>28</v>
      </c>
      <c r="E9" s="30" t="s">
        <v>27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>
      <c r="A10" s="24">
        <v>45174.0</v>
      </c>
      <c r="B10" s="25" t="s">
        <v>29</v>
      </c>
      <c r="C10" s="31" t="s">
        <v>30</v>
      </c>
      <c r="D10" s="31"/>
      <c r="E10" s="31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>
      <c r="A11" s="24">
        <v>45174.0</v>
      </c>
      <c r="B11" s="25" t="s">
        <v>29</v>
      </c>
      <c r="C11" s="31" t="s">
        <v>31</v>
      </c>
      <c r="D11" s="31"/>
      <c r="E11" s="31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>
      <c r="A12" s="24">
        <v>45174.0</v>
      </c>
      <c r="B12" s="25" t="s">
        <v>29</v>
      </c>
      <c r="C12" s="31" t="s">
        <v>31</v>
      </c>
      <c r="D12" s="31"/>
      <c r="E12" s="3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>
      <c r="A13" s="24">
        <v>45174.0</v>
      </c>
      <c r="B13" s="25" t="s">
        <v>29</v>
      </c>
      <c r="C13" s="31" t="s">
        <v>32</v>
      </c>
      <c r="D13" s="32"/>
      <c r="E13" s="3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>
      <c r="A14" s="24">
        <v>45174.0</v>
      </c>
      <c r="B14" s="25" t="s">
        <v>29</v>
      </c>
      <c r="C14" s="31" t="s">
        <v>32</v>
      </c>
      <c r="D14" s="27" t="s">
        <v>33</v>
      </c>
      <c r="E14" s="31" t="s">
        <v>34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>
      <c r="A15" s="24">
        <v>45174.0</v>
      </c>
      <c r="B15" s="25" t="s">
        <v>29</v>
      </c>
      <c r="C15" s="31" t="s">
        <v>30</v>
      </c>
      <c r="D15" s="27" t="s">
        <v>35</v>
      </c>
      <c r="E15" s="31" t="s">
        <v>34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>
      <c r="A16" s="24">
        <v>45174.0</v>
      </c>
      <c r="B16" s="25" t="s">
        <v>29</v>
      </c>
      <c r="C16" s="26" t="s">
        <v>32</v>
      </c>
      <c r="D16" s="27" t="s">
        <v>36</v>
      </c>
      <c r="E16" s="28" t="s">
        <v>37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>
      <c r="A17" s="24">
        <v>45175.0</v>
      </c>
      <c r="B17" s="25" t="s">
        <v>29</v>
      </c>
      <c r="C17" s="26" t="s">
        <v>38</v>
      </c>
      <c r="D17" s="27" t="s">
        <v>39</v>
      </c>
      <c r="E17" s="28" t="s">
        <v>40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>
      <c r="A18" s="24">
        <v>45175.0</v>
      </c>
      <c r="B18" s="25" t="s">
        <v>29</v>
      </c>
      <c r="C18" s="26" t="s">
        <v>41</v>
      </c>
      <c r="D18" s="33" t="s">
        <v>42</v>
      </c>
      <c r="E18" s="30" t="s">
        <v>40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>
      <c r="A19" s="24">
        <v>45176.0</v>
      </c>
      <c r="B19" s="25" t="s">
        <v>24</v>
      </c>
      <c r="C19" s="31" t="s">
        <v>43</v>
      </c>
      <c r="D19" s="27" t="s">
        <v>44</v>
      </c>
      <c r="E19" s="28" t="s">
        <v>45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>
      <c r="A20" s="24">
        <v>45177.0</v>
      </c>
      <c r="B20" s="25" t="s">
        <v>24</v>
      </c>
      <c r="C20" s="26" t="s">
        <v>46</v>
      </c>
      <c r="D20" s="27" t="s">
        <v>47</v>
      </c>
      <c r="E20" s="28" t="s">
        <v>48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>
      <c r="A21" s="24">
        <v>45177.0</v>
      </c>
      <c r="B21" s="25" t="s">
        <v>24</v>
      </c>
      <c r="C21" s="26" t="s">
        <v>46</v>
      </c>
      <c r="D21" s="27" t="s">
        <v>49</v>
      </c>
      <c r="E21" s="28" t="s">
        <v>48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>
      <c r="A22" s="24">
        <v>45177.0</v>
      </c>
      <c r="B22" s="25" t="s">
        <v>24</v>
      </c>
      <c r="C22" s="31" t="s">
        <v>50</v>
      </c>
      <c r="D22" s="27" t="s">
        <v>51</v>
      </c>
      <c r="E22" s="28" t="s">
        <v>52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>
      <c r="A23" s="24">
        <v>45177.0</v>
      </c>
      <c r="B23" s="25" t="s">
        <v>24</v>
      </c>
      <c r="C23" s="31" t="s">
        <v>53</v>
      </c>
      <c r="D23" s="27" t="s">
        <v>51</v>
      </c>
      <c r="E23" s="28" t="s">
        <v>52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>
      <c r="A24" s="24">
        <v>45177.0</v>
      </c>
      <c r="B24" s="25" t="s">
        <v>24</v>
      </c>
      <c r="C24" s="31" t="s">
        <v>54</v>
      </c>
      <c r="D24" s="27" t="s">
        <v>55</v>
      </c>
      <c r="E24" s="28" t="s">
        <v>52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>
      <c r="A25" s="24">
        <v>45177.0</v>
      </c>
      <c r="B25" s="25" t="s">
        <v>24</v>
      </c>
      <c r="D25" s="27" t="s">
        <v>55</v>
      </c>
      <c r="E25" s="28" t="s">
        <v>52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>
      <c r="A26" s="24">
        <v>45177.0</v>
      </c>
      <c r="B26" s="25" t="s">
        <v>24</v>
      </c>
      <c r="C26" s="31" t="s">
        <v>56</v>
      </c>
      <c r="D26" s="27" t="s">
        <v>57</v>
      </c>
      <c r="E26" s="28" t="s">
        <v>52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24">
        <v>45177.0</v>
      </c>
      <c r="B27" s="25" t="s">
        <v>24</v>
      </c>
      <c r="C27" s="31" t="s">
        <v>53</v>
      </c>
      <c r="D27" s="27" t="s">
        <v>57</v>
      </c>
      <c r="E27" s="28" t="s">
        <v>52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>
      <c r="A28" s="24">
        <v>45177.0</v>
      </c>
      <c r="B28" s="25" t="s">
        <v>24</v>
      </c>
      <c r="C28" s="31" t="s">
        <v>25</v>
      </c>
      <c r="D28" s="27" t="s">
        <v>58</v>
      </c>
      <c r="E28" s="28" t="s">
        <v>52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>
      <c r="A29" s="24">
        <v>45177.0</v>
      </c>
      <c r="B29" s="25" t="s">
        <v>24</v>
      </c>
      <c r="C29" s="31" t="s">
        <v>59</v>
      </c>
      <c r="D29" s="27" t="s">
        <v>58</v>
      </c>
      <c r="E29" s="28" t="s">
        <v>52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>
      <c r="A30" s="24">
        <v>45177.0</v>
      </c>
      <c r="B30" s="25" t="s">
        <v>60</v>
      </c>
      <c r="C30" s="26" t="s">
        <v>61</v>
      </c>
      <c r="D30" s="27" t="s">
        <v>62</v>
      </c>
      <c r="E30" s="28" t="s">
        <v>63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>
      <c r="A31" s="24">
        <v>45177.0</v>
      </c>
      <c r="B31" s="25" t="s">
        <v>24</v>
      </c>
      <c r="C31" s="26" t="s">
        <v>64</v>
      </c>
      <c r="D31" s="27" t="s">
        <v>49</v>
      </c>
      <c r="E31" s="28" t="s">
        <v>48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>
      <c r="A32" s="24">
        <v>45177.0</v>
      </c>
      <c r="B32" s="25" t="s">
        <v>24</v>
      </c>
      <c r="C32" s="31" t="s">
        <v>46</v>
      </c>
      <c r="D32" s="27" t="s">
        <v>65</v>
      </c>
      <c r="E32" s="28" t="s">
        <v>48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>
      <c r="A33" s="24">
        <v>45177.0</v>
      </c>
      <c r="B33" s="25" t="s">
        <v>24</v>
      </c>
      <c r="C33" s="31" t="s">
        <v>59</v>
      </c>
      <c r="D33" s="27" t="s">
        <v>66</v>
      </c>
      <c r="E33" s="28" t="s">
        <v>48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>
      <c r="A34" s="24">
        <v>45177.0</v>
      </c>
      <c r="B34" s="25" t="s">
        <v>24</v>
      </c>
      <c r="C34" s="31" t="s">
        <v>67</v>
      </c>
      <c r="D34" s="27" t="s">
        <v>44</v>
      </c>
      <c r="E34" s="28" t="s">
        <v>48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>
      <c r="A35" s="24">
        <v>45177.0</v>
      </c>
      <c r="B35" s="25" t="s">
        <v>24</v>
      </c>
      <c r="C35" s="26" t="s">
        <v>68</v>
      </c>
      <c r="D35" s="27" t="s">
        <v>69</v>
      </c>
      <c r="E35" s="28" t="s">
        <v>48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>
      <c r="A36" s="24">
        <v>45177.0</v>
      </c>
      <c r="B36" s="25" t="s">
        <v>24</v>
      </c>
      <c r="C36" s="26" t="s">
        <v>70</v>
      </c>
      <c r="D36" s="27" t="s">
        <v>71</v>
      </c>
      <c r="E36" s="28" t="s">
        <v>48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>
      <c r="A37" s="24">
        <v>45177.0</v>
      </c>
      <c r="B37" s="25" t="s">
        <v>24</v>
      </c>
      <c r="C37" s="26" t="s">
        <v>72</v>
      </c>
      <c r="D37" s="31" t="s">
        <v>73</v>
      </c>
      <c r="E37" s="28" t="s">
        <v>48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>
      <c r="A38" s="24">
        <v>45177.0</v>
      </c>
      <c r="B38" s="25" t="s">
        <v>24</v>
      </c>
      <c r="C38" s="26" t="s">
        <v>74</v>
      </c>
      <c r="D38" s="32" t="s">
        <v>73</v>
      </c>
      <c r="E38" s="28" t="s">
        <v>48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>
      <c r="A39" s="24">
        <v>45177.0</v>
      </c>
      <c r="B39" s="25" t="s">
        <v>24</v>
      </c>
      <c r="C39" s="26" t="s">
        <v>50</v>
      </c>
      <c r="D39" s="27" t="s">
        <v>51</v>
      </c>
      <c r="E39" s="28" t="s">
        <v>48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>
      <c r="A40" s="24">
        <v>45178.0</v>
      </c>
      <c r="B40" s="25" t="s">
        <v>24</v>
      </c>
      <c r="C40" s="26" t="s">
        <v>75</v>
      </c>
      <c r="D40" s="27" t="s">
        <v>76</v>
      </c>
      <c r="E40" s="28" t="s">
        <v>48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>
      <c r="A41" s="24">
        <v>45178.0</v>
      </c>
      <c r="B41" s="25" t="s">
        <v>24</v>
      </c>
      <c r="C41" s="26" t="s">
        <v>72</v>
      </c>
      <c r="D41" s="27" t="s">
        <v>76</v>
      </c>
      <c r="E41" s="28" t="s">
        <v>48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>
      <c r="A42" s="24">
        <v>45178.0</v>
      </c>
      <c r="B42" s="25" t="s">
        <v>24</v>
      </c>
      <c r="C42" s="26" t="s">
        <v>77</v>
      </c>
      <c r="D42" s="27" t="s">
        <v>78</v>
      </c>
      <c r="E42" s="28" t="s">
        <v>48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>
      <c r="A43" s="24">
        <v>45178.0</v>
      </c>
      <c r="B43" s="25" t="s">
        <v>24</v>
      </c>
      <c r="C43" s="26" t="s">
        <v>53</v>
      </c>
      <c r="D43" s="27" t="s">
        <v>78</v>
      </c>
      <c r="E43" s="28" t="s">
        <v>48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>
      <c r="A44" s="24">
        <v>45178.0</v>
      </c>
      <c r="B44" s="25" t="s">
        <v>24</v>
      </c>
      <c r="C44" s="26" t="s">
        <v>77</v>
      </c>
      <c r="D44" s="27" t="s">
        <v>79</v>
      </c>
      <c r="E44" s="28" t="s">
        <v>48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>
      <c r="A45" s="24">
        <v>45178.0</v>
      </c>
      <c r="B45" s="25" t="s">
        <v>24</v>
      </c>
      <c r="C45" s="26" t="s">
        <v>53</v>
      </c>
      <c r="D45" s="27" t="s">
        <v>79</v>
      </c>
      <c r="E45" s="28" t="s">
        <v>48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>
      <c r="A46" s="24">
        <v>45178.0</v>
      </c>
      <c r="B46" s="25" t="s">
        <v>24</v>
      </c>
      <c r="C46" s="26" t="s">
        <v>54</v>
      </c>
      <c r="D46" s="27" t="s">
        <v>80</v>
      </c>
      <c r="E46" s="28" t="s">
        <v>48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>
      <c r="A47" s="24">
        <v>45178.0</v>
      </c>
      <c r="B47" s="25" t="s">
        <v>24</v>
      </c>
      <c r="C47" s="26" t="s">
        <v>72</v>
      </c>
      <c r="D47" s="27" t="s">
        <v>80</v>
      </c>
      <c r="E47" s="28" t="s">
        <v>48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>
      <c r="A48" s="24">
        <v>45178.0</v>
      </c>
      <c r="B48" s="25" t="s">
        <v>24</v>
      </c>
      <c r="C48" s="26" t="s">
        <v>54</v>
      </c>
      <c r="D48" s="27" t="s">
        <v>81</v>
      </c>
      <c r="E48" s="28" t="s">
        <v>48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>
      <c r="A49" s="24">
        <v>45178.0</v>
      </c>
      <c r="B49" s="25" t="s">
        <v>24</v>
      </c>
      <c r="C49" s="26" t="s">
        <v>59</v>
      </c>
      <c r="D49" s="32"/>
      <c r="E49" s="28" t="s">
        <v>48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>
      <c r="A50" s="24">
        <v>45178.0</v>
      </c>
      <c r="B50" s="25" t="s">
        <v>24</v>
      </c>
      <c r="C50" s="31" t="s">
        <v>59</v>
      </c>
      <c r="D50" s="27" t="s">
        <v>82</v>
      </c>
      <c r="E50" s="28" t="s">
        <v>40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>
      <c r="A51" s="24">
        <v>45178.0</v>
      </c>
      <c r="B51" s="25" t="s">
        <v>24</v>
      </c>
      <c r="C51" s="31" t="s">
        <v>59</v>
      </c>
      <c r="D51" s="27" t="s">
        <v>83</v>
      </c>
      <c r="E51" s="28" t="s">
        <v>84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>
      <c r="A52" s="24">
        <v>45178.0</v>
      </c>
      <c r="B52" s="25" t="s">
        <v>24</v>
      </c>
      <c r="C52" s="31" t="s">
        <v>59</v>
      </c>
      <c r="D52" s="27" t="s">
        <v>85</v>
      </c>
      <c r="E52" s="28" t="s">
        <v>84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>
      <c r="A53" s="24">
        <v>45178.0</v>
      </c>
      <c r="B53" s="25" t="s">
        <v>24</v>
      </c>
      <c r="C53" s="31" t="s">
        <v>59</v>
      </c>
      <c r="D53" s="27" t="s">
        <v>86</v>
      </c>
      <c r="E53" s="28" t="s">
        <v>40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>
      <c r="A54" s="24">
        <v>45178.0</v>
      </c>
      <c r="B54" s="25" t="s">
        <v>24</v>
      </c>
      <c r="C54" s="31" t="s">
        <v>59</v>
      </c>
      <c r="D54" s="27" t="s">
        <v>87</v>
      </c>
      <c r="E54" s="28" t="s">
        <v>40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>
      <c r="A55" s="24">
        <v>45178.0</v>
      </c>
      <c r="B55" s="25" t="s">
        <v>24</v>
      </c>
      <c r="C55" s="31" t="s">
        <v>59</v>
      </c>
      <c r="D55" s="27" t="s">
        <v>88</v>
      </c>
      <c r="E55" s="28" t="s">
        <v>40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>
      <c r="A56" s="24">
        <v>45178.0</v>
      </c>
      <c r="B56" s="25" t="s">
        <v>24</v>
      </c>
      <c r="C56" s="31" t="s">
        <v>59</v>
      </c>
      <c r="D56" s="27" t="s">
        <v>89</v>
      </c>
      <c r="E56" s="28" t="s">
        <v>40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>
      <c r="A57" s="24">
        <v>45178.0</v>
      </c>
      <c r="B57" s="25" t="s">
        <v>24</v>
      </c>
      <c r="C57" s="31" t="s">
        <v>59</v>
      </c>
      <c r="D57" s="27" t="s">
        <v>90</v>
      </c>
      <c r="E57" s="28" t="s">
        <v>40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>
      <c r="A58" s="24">
        <v>45178.0</v>
      </c>
      <c r="B58" s="25" t="s">
        <v>24</v>
      </c>
      <c r="C58" s="31" t="s">
        <v>72</v>
      </c>
      <c r="D58" s="27" t="s">
        <v>51</v>
      </c>
      <c r="E58" s="28" t="s">
        <v>40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>
      <c r="A59" s="24">
        <v>45178.0</v>
      </c>
      <c r="B59" s="25" t="s">
        <v>24</v>
      </c>
      <c r="C59" s="34" t="s">
        <v>59</v>
      </c>
      <c r="D59" s="27" t="s">
        <v>80</v>
      </c>
      <c r="E59" s="28" t="s">
        <v>40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>
      <c r="A60" s="24">
        <v>45178.0</v>
      </c>
      <c r="B60" s="25" t="s">
        <v>24</v>
      </c>
      <c r="C60" s="31" t="s">
        <v>59</v>
      </c>
      <c r="D60" s="27" t="s">
        <v>91</v>
      </c>
      <c r="E60" s="28" t="s">
        <v>40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>
      <c r="A61" s="24">
        <v>45178.0</v>
      </c>
      <c r="B61" s="25" t="s">
        <v>24</v>
      </c>
      <c r="C61" s="31" t="s">
        <v>59</v>
      </c>
      <c r="D61" s="27" t="s">
        <v>80</v>
      </c>
      <c r="E61" s="28" t="s">
        <v>40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>
      <c r="A62" s="29"/>
      <c r="B62" s="35"/>
      <c r="C62" s="29"/>
      <c r="D62" s="29"/>
      <c r="E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>
      <c r="A63" s="36">
        <v>45189.0</v>
      </c>
      <c r="B63" s="37" t="s">
        <v>92</v>
      </c>
      <c r="C63" s="38" t="s">
        <v>93</v>
      </c>
      <c r="D63" s="39" t="s">
        <v>94</v>
      </c>
      <c r="E63" s="38" t="s">
        <v>95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>
      <c r="A64" s="36">
        <v>45189.0</v>
      </c>
      <c r="B64" s="40" t="s">
        <v>96</v>
      </c>
      <c r="C64" s="41" t="s">
        <v>97</v>
      </c>
      <c r="D64" s="42" t="s">
        <v>98</v>
      </c>
      <c r="E64" s="38" t="s">
        <v>95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>
      <c r="A65" s="29"/>
      <c r="B65" s="35"/>
      <c r="C65" s="29"/>
      <c r="D65" s="29"/>
      <c r="E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>
      <c r="A66" s="36">
        <v>45192.0</v>
      </c>
      <c r="B66" s="37" t="s">
        <v>99</v>
      </c>
      <c r="C66" s="38" t="s">
        <v>100</v>
      </c>
      <c r="D66" s="39" t="s">
        <v>101</v>
      </c>
      <c r="E66" s="38" t="s">
        <v>95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>
      <c r="A67" s="29"/>
      <c r="B67" s="35"/>
      <c r="C67" s="29"/>
      <c r="D67" s="29"/>
      <c r="E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>
      <c r="A68" s="36">
        <v>45193.0</v>
      </c>
      <c r="B68" s="43" t="s">
        <v>92</v>
      </c>
      <c r="C68" s="44" t="s">
        <v>102</v>
      </c>
      <c r="D68" s="45" t="s">
        <v>103</v>
      </c>
      <c r="E68" s="9" t="s">
        <v>40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>
      <c r="A69" s="36">
        <v>45193.0</v>
      </c>
      <c r="B69" s="43" t="s">
        <v>92</v>
      </c>
      <c r="C69" s="46" t="s">
        <v>104</v>
      </c>
      <c r="D69" s="47"/>
      <c r="E69" s="9" t="s">
        <v>40</v>
      </c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>
      <c r="A70" s="29"/>
      <c r="B70" s="35"/>
      <c r="C70" s="29"/>
      <c r="D70" s="29"/>
      <c r="E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>
      <c r="A71" s="24">
        <v>45194.0</v>
      </c>
      <c r="B71" s="43" t="s">
        <v>92</v>
      </c>
      <c r="C71" s="48" t="s">
        <v>105</v>
      </c>
      <c r="D71" s="43" t="s">
        <v>106</v>
      </c>
      <c r="E71" s="49" t="s">
        <v>40</v>
      </c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24">
        <v>45194.0</v>
      </c>
      <c r="B72" s="43" t="s">
        <v>92</v>
      </c>
      <c r="C72" s="50" t="s">
        <v>107</v>
      </c>
      <c r="D72" s="43" t="s">
        <v>108</v>
      </c>
      <c r="E72" s="51" t="s">
        <v>40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>
      <c r="A73" s="24">
        <v>45194.0</v>
      </c>
      <c r="B73" s="43" t="s">
        <v>99</v>
      </c>
      <c r="C73" s="52" t="s">
        <v>109</v>
      </c>
      <c r="D73" s="43" t="s">
        <v>110</v>
      </c>
      <c r="E73" s="49" t="s">
        <v>14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>
      <c r="A74" s="24"/>
      <c r="B74" s="43"/>
      <c r="C74" s="52"/>
      <c r="D74" s="43"/>
      <c r="E74" s="4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>
      <c r="A75" s="53">
        <v>45195.0</v>
      </c>
      <c r="B75" s="43" t="s">
        <v>92</v>
      </c>
      <c r="C75" s="51" t="s">
        <v>111</v>
      </c>
      <c r="D75" s="43" t="s">
        <v>112</v>
      </c>
      <c r="E75" s="49" t="s">
        <v>40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>
      <c r="A76" s="53">
        <v>45195.0</v>
      </c>
      <c r="B76" s="43" t="s">
        <v>92</v>
      </c>
      <c r="C76" s="49" t="s">
        <v>104</v>
      </c>
      <c r="D76" s="54" t="s">
        <v>113</v>
      </c>
      <c r="E76" s="49" t="s">
        <v>40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>
      <c r="A77" s="53">
        <v>45195.0</v>
      </c>
      <c r="B77" s="43" t="s">
        <v>92</v>
      </c>
      <c r="C77" s="50" t="s">
        <v>114</v>
      </c>
      <c r="D77" s="54" t="s">
        <v>115</v>
      </c>
      <c r="E77" s="51" t="s">
        <v>40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>
      <c r="A78" s="55"/>
      <c r="B78" s="40"/>
      <c r="C78" s="38"/>
      <c r="D78" s="42"/>
      <c r="E78" s="56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55">
        <v>45196.0</v>
      </c>
      <c r="B79" s="40" t="s">
        <v>116</v>
      </c>
      <c r="C79" s="38" t="s">
        <v>117</v>
      </c>
      <c r="D79" s="42" t="s">
        <v>118</v>
      </c>
      <c r="E79" s="41" t="s">
        <v>119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57"/>
      <c r="B80" s="43"/>
      <c r="C80" s="50"/>
      <c r="D80" s="43"/>
      <c r="E80" s="4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>
      <c r="A81" s="57">
        <v>45197.0</v>
      </c>
      <c r="B81" s="43" t="s">
        <v>99</v>
      </c>
      <c r="C81" s="50" t="s">
        <v>120</v>
      </c>
      <c r="D81" s="43" t="s">
        <v>121</v>
      </c>
      <c r="E81" s="49" t="s">
        <v>95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>
      <c r="A82" s="57">
        <v>45197.0</v>
      </c>
      <c r="B82" s="43" t="s">
        <v>99</v>
      </c>
      <c r="C82" s="50" t="s">
        <v>120</v>
      </c>
      <c r="D82" s="43" t="s">
        <v>122</v>
      </c>
      <c r="E82" s="49" t="s">
        <v>123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>
      <c r="A83" s="57">
        <v>45197.0</v>
      </c>
      <c r="B83" s="43" t="s">
        <v>99</v>
      </c>
      <c r="C83" s="50" t="s">
        <v>120</v>
      </c>
      <c r="D83" s="43" t="s">
        <v>124</v>
      </c>
      <c r="E83" s="58" t="s">
        <v>125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>
      <c r="A84" s="57">
        <v>45197.0</v>
      </c>
      <c r="B84" s="43" t="s">
        <v>99</v>
      </c>
      <c r="C84" s="50" t="s">
        <v>120</v>
      </c>
      <c r="D84" s="43" t="s">
        <v>126</v>
      </c>
      <c r="E84" s="49" t="s">
        <v>127</v>
      </c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>
      <c r="A85" s="29"/>
      <c r="B85" s="35"/>
      <c r="C85" s="29"/>
      <c r="D85" s="29"/>
      <c r="E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>
      <c r="A86" s="57">
        <v>45213.0</v>
      </c>
      <c r="B86" s="43" t="s">
        <v>99</v>
      </c>
      <c r="C86" s="59" t="s">
        <v>128</v>
      </c>
      <c r="D86" s="60" t="s">
        <v>129</v>
      </c>
      <c r="E86" s="61" t="s">
        <v>130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>
      <c r="A87" s="57">
        <v>45213.0</v>
      </c>
      <c r="B87" s="43" t="s">
        <v>99</v>
      </c>
      <c r="C87" s="49" t="s">
        <v>128</v>
      </c>
      <c r="D87" s="60" t="s">
        <v>129</v>
      </c>
      <c r="E87" s="49" t="s">
        <v>130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>
      <c r="A88" s="57">
        <v>45213.0</v>
      </c>
      <c r="B88" s="43" t="s">
        <v>99</v>
      </c>
      <c r="C88" s="62" t="s">
        <v>131</v>
      </c>
      <c r="D88" s="63" t="s">
        <v>132</v>
      </c>
      <c r="E88" s="58" t="s">
        <v>133</v>
      </c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>
      <c r="A89" s="57">
        <v>45213.0</v>
      </c>
      <c r="B89" s="43" t="s">
        <v>99</v>
      </c>
      <c r="C89" s="62" t="s">
        <v>134</v>
      </c>
      <c r="D89" s="63" t="s">
        <v>135</v>
      </c>
      <c r="E89" s="51" t="s">
        <v>125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>
      <c r="A90" s="53">
        <v>45214.0</v>
      </c>
      <c r="B90" s="43" t="s">
        <v>99</v>
      </c>
      <c r="C90" s="62" t="s">
        <v>136</v>
      </c>
      <c r="D90" s="63" t="s">
        <v>137</v>
      </c>
      <c r="E90" s="51" t="s">
        <v>138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>
      <c r="A91" s="53">
        <v>45214.0</v>
      </c>
      <c r="B91" s="43" t="s">
        <v>99</v>
      </c>
      <c r="C91" s="62" t="s">
        <v>139</v>
      </c>
      <c r="D91" s="63" t="s">
        <v>140</v>
      </c>
      <c r="E91" s="51" t="s">
        <v>133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>
      <c r="A92" s="53">
        <v>45214.0</v>
      </c>
      <c r="B92" s="43" t="s">
        <v>99</v>
      </c>
      <c r="C92" s="62" t="s">
        <v>141</v>
      </c>
      <c r="D92" s="63" t="s">
        <v>142</v>
      </c>
      <c r="E92" s="49" t="s">
        <v>143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>
      <c r="A93" s="64">
        <v>45224.0</v>
      </c>
      <c r="B93" s="37" t="s">
        <v>144</v>
      </c>
      <c r="C93" s="38" t="s">
        <v>145</v>
      </c>
      <c r="D93" s="39" t="s">
        <v>146</v>
      </c>
      <c r="E93" s="38" t="s">
        <v>147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>
      <c r="A94" s="29"/>
      <c r="B94" s="35"/>
      <c r="C94" s="29"/>
      <c r="D94" s="29"/>
      <c r="E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>
      <c r="A95" s="24">
        <v>45259.0</v>
      </c>
      <c r="B95" s="43" t="s">
        <v>148</v>
      </c>
      <c r="C95" s="59" t="s">
        <v>149</v>
      </c>
      <c r="D95" s="65" t="s">
        <v>150</v>
      </c>
      <c r="E95" s="49" t="s">
        <v>125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>
      <c r="A96" s="24">
        <v>45259.0</v>
      </c>
      <c r="B96" s="43" t="s">
        <v>148</v>
      </c>
      <c r="C96" s="49" t="s">
        <v>151</v>
      </c>
      <c r="D96" s="63" t="s">
        <v>152</v>
      </c>
      <c r="E96" s="49" t="s">
        <v>95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>
      <c r="A97" s="24">
        <v>45261.0</v>
      </c>
      <c r="B97" s="43" t="s">
        <v>153</v>
      </c>
      <c r="C97" s="61" t="s">
        <v>154</v>
      </c>
      <c r="D97" s="63" t="s">
        <v>155</v>
      </c>
      <c r="E97" s="66" t="s">
        <v>95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29"/>
      <c r="B98" s="35"/>
      <c r="C98" s="29"/>
      <c r="D98" s="29"/>
      <c r="E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>
      <c r="A99" s="67">
        <v>45262.0</v>
      </c>
      <c r="B99" s="37" t="s">
        <v>153</v>
      </c>
      <c r="C99" s="38" t="s">
        <v>156</v>
      </c>
      <c r="D99" s="39" t="s">
        <v>157</v>
      </c>
      <c r="E99" s="38" t="s">
        <v>95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>
      <c r="A100" s="24">
        <v>45265.0</v>
      </c>
      <c r="B100" s="43" t="s">
        <v>158</v>
      </c>
      <c r="C100" s="68" t="s">
        <v>159</v>
      </c>
      <c r="D100" s="63" t="s">
        <v>160</v>
      </c>
      <c r="E100" s="49" t="s">
        <v>95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24">
        <v>45265.0</v>
      </c>
      <c r="B101" s="43" t="s">
        <v>158</v>
      </c>
      <c r="C101" s="69" t="s">
        <v>161</v>
      </c>
      <c r="D101" s="63" t="s">
        <v>162</v>
      </c>
      <c r="E101" s="49" t="s">
        <v>95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24">
        <v>45265.0</v>
      </c>
      <c r="B102" s="43" t="s">
        <v>158</v>
      </c>
      <c r="C102" s="61" t="s">
        <v>163</v>
      </c>
      <c r="D102" s="63" t="s">
        <v>162</v>
      </c>
      <c r="E102" s="70" t="s">
        <v>125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24">
        <v>45265.0</v>
      </c>
      <c r="B103" s="43" t="s">
        <v>158</v>
      </c>
      <c r="C103" s="49" t="s">
        <v>164</v>
      </c>
      <c r="D103" s="63" t="s">
        <v>165</v>
      </c>
      <c r="E103" s="62" t="s">
        <v>125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29"/>
      <c r="B104" s="35"/>
      <c r="C104" s="29"/>
      <c r="D104" s="29"/>
      <c r="E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>
      <c r="A105" s="53">
        <v>45267.0</v>
      </c>
      <c r="B105" s="43" t="s">
        <v>166</v>
      </c>
      <c r="C105" s="61" t="s">
        <v>167</v>
      </c>
      <c r="D105" s="63" t="s">
        <v>166</v>
      </c>
      <c r="E105" s="62" t="s">
        <v>95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53">
        <v>45267.0</v>
      </c>
      <c r="B106" s="43" t="s">
        <v>166</v>
      </c>
      <c r="C106" s="61" t="s">
        <v>168</v>
      </c>
      <c r="D106" s="63" t="s">
        <v>169</v>
      </c>
      <c r="E106" s="49" t="s">
        <v>95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53">
        <v>45267.0</v>
      </c>
      <c r="B107" s="37" t="s">
        <v>166</v>
      </c>
      <c r="C107" s="71" t="s">
        <v>170</v>
      </c>
      <c r="D107" s="42" t="s">
        <v>171</v>
      </c>
      <c r="E107" s="38" t="s">
        <v>95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>
      <c r="A108" s="29"/>
      <c r="B108" s="35"/>
      <c r="C108" s="29"/>
      <c r="D108" s="29"/>
      <c r="E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>
      <c r="A109" s="57">
        <v>45268.0</v>
      </c>
      <c r="B109" s="43" t="s">
        <v>172</v>
      </c>
      <c r="C109" s="61" t="s">
        <v>173</v>
      </c>
      <c r="D109" s="63" t="s">
        <v>174</v>
      </c>
      <c r="E109" s="49" t="s">
        <v>95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57">
        <v>45268.0</v>
      </c>
      <c r="B110" s="43" t="s">
        <v>172</v>
      </c>
      <c r="C110" s="51" t="s">
        <v>175</v>
      </c>
      <c r="D110" s="63" t="s">
        <v>176</v>
      </c>
      <c r="E110" s="49" t="s">
        <v>95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29"/>
      <c r="B111" s="35"/>
      <c r="C111" s="29"/>
      <c r="D111" s="29"/>
      <c r="E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>
      <c r="A112" s="24">
        <v>45269.0</v>
      </c>
      <c r="B112" s="43" t="s">
        <v>172</v>
      </c>
      <c r="C112" s="72" t="s">
        <v>177</v>
      </c>
      <c r="D112" s="63" t="s">
        <v>178</v>
      </c>
      <c r="E112" s="49" t="s">
        <v>179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29"/>
      <c r="B113" s="35"/>
      <c r="C113" s="29"/>
      <c r="D113" s="29"/>
      <c r="E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>
      <c r="A114" s="73">
        <v>45274.0</v>
      </c>
      <c r="B114" s="43" t="s">
        <v>180</v>
      </c>
      <c r="C114" s="61" t="s">
        <v>181</v>
      </c>
      <c r="D114" s="63" t="s">
        <v>182</v>
      </c>
      <c r="E114" s="9" t="s">
        <v>183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29"/>
      <c r="B115" s="35"/>
      <c r="D115" s="29"/>
      <c r="E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>
      <c r="A116" s="29"/>
      <c r="B116" s="35"/>
      <c r="C116" s="29"/>
      <c r="D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>
      <c r="A117" s="29"/>
      <c r="B117" s="35"/>
      <c r="C117" s="29"/>
      <c r="D117" s="29"/>
      <c r="E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>
      <c r="A118" s="57">
        <v>45275.0</v>
      </c>
      <c r="B118" s="7" t="s">
        <v>184</v>
      </c>
      <c r="C118" s="9" t="s">
        <v>12</v>
      </c>
      <c r="D118" s="74" t="s">
        <v>185</v>
      </c>
      <c r="E118" s="6" t="s">
        <v>95</v>
      </c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>
      <c r="A119" s="75"/>
      <c r="B119" s="76"/>
      <c r="C119" s="77"/>
      <c r="D119" s="78"/>
      <c r="E119" s="79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80"/>
      <c r="AC119" s="80"/>
      <c r="AD119" s="80"/>
    </row>
    <row r="120">
      <c r="A120" s="24">
        <v>45276.0</v>
      </c>
      <c r="B120" s="7" t="s">
        <v>172</v>
      </c>
      <c r="C120" s="81" t="s">
        <v>175</v>
      </c>
      <c r="D120" s="9" t="s">
        <v>176</v>
      </c>
      <c r="E120" s="9" t="s">
        <v>186</v>
      </c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>
      <c r="A121" s="24">
        <v>45276.0</v>
      </c>
      <c r="B121" s="43" t="s">
        <v>166</v>
      </c>
      <c r="C121" s="51" t="s">
        <v>187</v>
      </c>
      <c r="D121" s="63" t="s">
        <v>188</v>
      </c>
      <c r="E121" s="9" t="s">
        <v>189</v>
      </c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>
      <c r="A122" s="24">
        <v>45276.0</v>
      </c>
      <c r="B122" s="43" t="s">
        <v>190</v>
      </c>
      <c r="C122" s="51" t="s">
        <v>191</v>
      </c>
      <c r="D122" s="63" t="s">
        <v>192</v>
      </c>
      <c r="E122" s="6" t="s">
        <v>125</v>
      </c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>
      <c r="A123" s="24">
        <v>45276.0</v>
      </c>
      <c r="B123" s="43" t="s">
        <v>193</v>
      </c>
      <c r="C123" s="51" t="s">
        <v>194</v>
      </c>
      <c r="D123" s="63" t="s">
        <v>195</v>
      </c>
      <c r="E123" s="9" t="s">
        <v>196</v>
      </c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>
      <c r="A124" s="24">
        <v>45276.0</v>
      </c>
      <c r="B124" s="43" t="s">
        <v>193</v>
      </c>
      <c r="C124" s="49" t="s">
        <v>197</v>
      </c>
      <c r="D124" s="63" t="s">
        <v>198</v>
      </c>
      <c r="E124" s="9" t="s">
        <v>125</v>
      </c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>
      <c r="A125" s="29"/>
      <c r="B125" s="35"/>
      <c r="C125" s="29"/>
      <c r="D125" s="29"/>
      <c r="E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>
      <c r="A126" s="57">
        <v>45278.0</v>
      </c>
      <c r="B126" s="7" t="s">
        <v>193</v>
      </c>
      <c r="C126" s="82" t="s">
        <v>199</v>
      </c>
      <c r="D126" s="65" t="s">
        <v>195</v>
      </c>
      <c r="E126" s="9" t="s">
        <v>40</v>
      </c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>
      <c r="A127" s="57">
        <v>45278.0</v>
      </c>
      <c r="B127" s="43" t="s">
        <v>200</v>
      </c>
      <c r="C127" s="51" t="s">
        <v>201</v>
      </c>
      <c r="D127" s="63" t="s">
        <v>202</v>
      </c>
      <c r="E127" s="9" t="s">
        <v>125</v>
      </c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>
      <c r="A128" s="57">
        <v>45278.0</v>
      </c>
      <c r="B128" s="43" t="s">
        <v>166</v>
      </c>
      <c r="C128" s="51" t="s">
        <v>203</v>
      </c>
      <c r="D128" s="63" t="s">
        <v>204</v>
      </c>
      <c r="E128" s="9" t="s">
        <v>95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>
      <c r="A129" s="57">
        <v>45278.0</v>
      </c>
      <c r="B129" s="43" t="s">
        <v>184</v>
      </c>
      <c r="C129" s="51" t="s">
        <v>205</v>
      </c>
      <c r="D129" s="63" t="s">
        <v>206</v>
      </c>
      <c r="E129" s="9" t="s">
        <v>207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>
      <c r="A130" s="57">
        <v>45278.0</v>
      </c>
      <c r="B130" s="43" t="s">
        <v>166</v>
      </c>
      <c r="C130" s="51" t="s">
        <v>208</v>
      </c>
      <c r="D130" s="63" t="s">
        <v>209</v>
      </c>
      <c r="E130" s="9" t="s">
        <v>210</v>
      </c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>
      <c r="A131" s="57">
        <v>45278.0</v>
      </c>
      <c r="B131" s="43" t="s">
        <v>184</v>
      </c>
      <c r="C131" s="49" t="s">
        <v>211</v>
      </c>
      <c r="D131" s="63" t="s">
        <v>212</v>
      </c>
      <c r="E131" s="9" t="s">
        <v>213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>
      <c r="A132" s="29"/>
      <c r="B132" s="35"/>
      <c r="C132" s="29"/>
      <c r="D132" s="29"/>
      <c r="E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>
      <c r="A133" s="67">
        <v>45280.0</v>
      </c>
      <c r="B133" s="37" t="s">
        <v>193</v>
      </c>
      <c r="C133" s="38" t="s">
        <v>214</v>
      </c>
      <c r="D133" s="39" t="s">
        <v>215</v>
      </c>
      <c r="E133" s="83" t="s">
        <v>216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>
      <c r="A134" s="29"/>
      <c r="B134" s="35"/>
      <c r="C134" s="29"/>
      <c r="D134" s="29"/>
      <c r="E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>
      <c r="A135" s="24">
        <v>45281.0</v>
      </c>
      <c r="B135" s="7" t="s">
        <v>190</v>
      </c>
      <c r="C135" s="9" t="s">
        <v>191</v>
      </c>
      <c r="D135" s="9" t="s">
        <v>217</v>
      </c>
      <c r="E135" s="9" t="s">
        <v>95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29"/>
      <c r="AD135" s="29"/>
    </row>
    <row r="136">
      <c r="A136" s="29"/>
      <c r="B136" s="35"/>
      <c r="C136" s="29"/>
      <c r="D136" s="29"/>
      <c r="E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>
      <c r="A137" s="84"/>
      <c r="B137" s="35"/>
      <c r="C137" s="29"/>
      <c r="D137" s="29"/>
      <c r="E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>
      <c r="A138" s="85">
        <v>45282.0</v>
      </c>
      <c r="B138" s="86" t="s">
        <v>184</v>
      </c>
      <c r="C138" s="87" t="s">
        <v>205</v>
      </c>
      <c r="D138" s="42" t="s">
        <v>218</v>
      </c>
      <c r="E138" s="74" t="s">
        <v>143</v>
      </c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>
      <c r="A139" s="85">
        <v>45282.0</v>
      </c>
      <c r="B139" s="40" t="s">
        <v>219</v>
      </c>
      <c r="C139" s="87" t="s">
        <v>220</v>
      </c>
      <c r="D139" s="42" t="s">
        <v>221</v>
      </c>
      <c r="E139" s="83" t="s">
        <v>143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>
      <c r="A140" s="85">
        <v>45282.0</v>
      </c>
      <c r="B140" s="43" t="s">
        <v>193</v>
      </c>
      <c r="C140" s="61" t="s">
        <v>222</v>
      </c>
      <c r="D140" s="63" t="s">
        <v>223</v>
      </c>
      <c r="E140" s="6" t="s">
        <v>143</v>
      </c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>
      <c r="A141" s="85">
        <v>45282.0</v>
      </c>
      <c r="B141" s="88" t="s">
        <v>193</v>
      </c>
      <c r="C141" s="51" t="s">
        <v>224</v>
      </c>
      <c r="D141" s="63" t="s">
        <v>225</v>
      </c>
      <c r="E141" s="6" t="s">
        <v>143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>
      <c r="A142" s="85">
        <v>45282.0</v>
      </c>
      <c r="B142" s="40" t="s">
        <v>226</v>
      </c>
      <c r="C142" s="87" t="s">
        <v>227</v>
      </c>
      <c r="D142" s="42" t="s">
        <v>228</v>
      </c>
      <c r="E142" s="74" t="s">
        <v>229</v>
      </c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>
      <c r="A143" s="85">
        <v>45282.0</v>
      </c>
      <c r="B143" s="40" t="s">
        <v>230</v>
      </c>
      <c r="C143" s="87" t="s">
        <v>231</v>
      </c>
      <c r="D143" s="42" t="s">
        <v>232</v>
      </c>
      <c r="E143" s="83" t="s">
        <v>143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>
      <c r="A144" s="85">
        <v>45282.0</v>
      </c>
      <c r="B144" s="40" t="s">
        <v>233</v>
      </c>
      <c r="C144" s="87" t="s">
        <v>234</v>
      </c>
      <c r="D144" s="42" t="s">
        <v>235</v>
      </c>
      <c r="E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>
      <c r="A145" s="29"/>
      <c r="B145" s="35"/>
      <c r="C145" s="29"/>
      <c r="D145" s="29"/>
      <c r="E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>
      <c r="A146" s="29"/>
      <c r="B146" s="35"/>
      <c r="C146" s="29"/>
      <c r="D146" s="29"/>
      <c r="E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>
      <c r="A147" s="85">
        <v>45283.0</v>
      </c>
      <c r="B147" s="43" t="s">
        <v>193</v>
      </c>
      <c r="C147" s="9" t="s">
        <v>236</v>
      </c>
      <c r="D147" s="9" t="s">
        <v>237</v>
      </c>
      <c r="E147" s="74" t="s">
        <v>143</v>
      </c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>
      <c r="A148" s="85">
        <v>45283.0</v>
      </c>
      <c r="B148" s="43" t="s">
        <v>193</v>
      </c>
      <c r="C148" s="9" t="s">
        <v>238</v>
      </c>
      <c r="D148" s="9" t="s">
        <v>223</v>
      </c>
      <c r="E148" s="74" t="s">
        <v>143</v>
      </c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>
      <c r="A149" s="85">
        <v>45283.0</v>
      </c>
      <c r="B149" s="7" t="s">
        <v>239</v>
      </c>
      <c r="C149" s="9" t="s">
        <v>240</v>
      </c>
      <c r="D149" s="9" t="s">
        <v>241</v>
      </c>
      <c r="E149" s="9" t="s">
        <v>242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>
      <c r="A150" s="85">
        <v>45283.0</v>
      </c>
      <c r="B150" s="7" t="s">
        <v>239</v>
      </c>
      <c r="C150" s="9" t="s">
        <v>240</v>
      </c>
      <c r="D150" s="9" t="s">
        <v>243</v>
      </c>
      <c r="E150" s="9" t="s">
        <v>244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>
      <c r="A151" s="85">
        <v>45283.0</v>
      </c>
      <c r="B151" s="7" t="s">
        <v>239</v>
      </c>
      <c r="C151" s="9" t="s">
        <v>245</v>
      </c>
      <c r="D151" s="9" t="s">
        <v>246</v>
      </c>
      <c r="E151" s="9" t="s">
        <v>247</v>
      </c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>
      <c r="A152" s="29"/>
      <c r="B152" s="35"/>
      <c r="C152" s="29"/>
      <c r="D152" s="29"/>
      <c r="E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>
      <c r="A153" s="85">
        <v>45284.0</v>
      </c>
      <c r="B153" s="7" t="s">
        <v>239</v>
      </c>
      <c r="C153" s="9" t="s">
        <v>248</v>
      </c>
      <c r="D153" s="9" t="s">
        <v>249</v>
      </c>
      <c r="E153" s="9" t="s">
        <v>40</v>
      </c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>
      <c r="A154" s="85">
        <v>45284.0</v>
      </c>
      <c r="B154" s="89" t="s">
        <v>250</v>
      </c>
      <c r="C154" s="9" t="s">
        <v>251</v>
      </c>
      <c r="D154" s="9" t="s">
        <v>252</v>
      </c>
      <c r="E154" s="9" t="s">
        <v>40</v>
      </c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>
      <c r="A155" s="29"/>
      <c r="B155" s="35"/>
      <c r="C155" s="29"/>
      <c r="D155" s="29"/>
      <c r="E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>
      <c r="A156" s="29"/>
      <c r="B156" s="35"/>
      <c r="C156" s="29"/>
      <c r="D156" s="29"/>
      <c r="E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>
      <c r="A157" s="29"/>
      <c r="B157" s="35"/>
      <c r="C157" s="29"/>
      <c r="D157" s="29"/>
      <c r="E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>
      <c r="A158" s="85">
        <v>45286.0</v>
      </c>
      <c r="B158" s="90" t="s">
        <v>193</v>
      </c>
      <c r="C158" s="81" t="s">
        <v>253</v>
      </c>
      <c r="D158" s="9" t="s">
        <v>254</v>
      </c>
      <c r="E158" s="74" t="s">
        <v>255</v>
      </c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>
      <c r="A159" s="91">
        <v>45285.0</v>
      </c>
      <c r="B159" s="92" t="s">
        <v>239</v>
      </c>
      <c r="C159" s="9" t="s">
        <v>256</v>
      </c>
      <c r="D159" s="9" t="s">
        <v>257</v>
      </c>
      <c r="E159" s="9" t="s">
        <v>255</v>
      </c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>
      <c r="A160" s="85">
        <v>45286.0</v>
      </c>
      <c r="B160" s="37" t="s">
        <v>233</v>
      </c>
      <c r="C160" s="61" t="s">
        <v>258</v>
      </c>
      <c r="D160" s="63" t="s">
        <v>259</v>
      </c>
      <c r="E160" s="9" t="s">
        <v>125</v>
      </c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>
      <c r="A161" s="85">
        <v>45286.0</v>
      </c>
      <c r="B161" s="37" t="s">
        <v>233</v>
      </c>
      <c r="C161" s="61" t="s">
        <v>260</v>
      </c>
      <c r="D161" s="63" t="s">
        <v>261</v>
      </c>
      <c r="E161" s="6" t="s">
        <v>125</v>
      </c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>
      <c r="A162" s="85">
        <v>45286.0</v>
      </c>
      <c r="B162" s="37" t="s">
        <v>233</v>
      </c>
      <c r="C162" s="93" t="s">
        <v>262</v>
      </c>
      <c r="D162" s="63" t="s">
        <v>263</v>
      </c>
      <c r="E162" s="6" t="s">
        <v>125</v>
      </c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>
      <c r="A163" s="85">
        <v>45286.0</v>
      </c>
      <c r="B163" s="37" t="s">
        <v>233</v>
      </c>
      <c r="C163" s="61" t="s">
        <v>264</v>
      </c>
      <c r="D163" s="63" t="s">
        <v>265</v>
      </c>
      <c r="E163" s="9" t="s">
        <v>125</v>
      </c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>
      <c r="A164" s="85">
        <v>45286.0</v>
      </c>
      <c r="B164" s="37" t="s">
        <v>233</v>
      </c>
      <c r="C164" s="61" t="s">
        <v>266</v>
      </c>
      <c r="D164" s="63" t="s">
        <v>267</v>
      </c>
      <c r="E164" s="6" t="s">
        <v>125</v>
      </c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>
      <c r="A165" s="94">
        <v>45287.0</v>
      </c>
      <c r="B165" s="43" t="s">
        <v>230</v>
      </c>
      <c r="C165" s="61" t="s">
        <v>268</v>
      </c>
      <c r="D165" s="39" t="s">
        <v>269</v>
      </c>
      <c r="E165" s="6" t="s">
        <v>125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29"/>
      <c r="AD165" s="29"/>
    </row>
    <row r="166">
      <c r="A166" s="29"/>
      <c r="B166" s="35"/>
      <c r="C166" s="29"/>
      <c r="D166" s="29"/>
      <c r="E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>
      <c r="A167" s="94">
        <v>45288.0</v>
      </c>
      <c r="B167" s="43" t="s">
        <v>239</v>
      </c>
      <c r="C167" s="61" t="s">
        <v>270</v>
      </c>
      <c r="D167" s="63" t="s">
        <v>271</v>
      </c>
      <c r="E167" s="9" t="s">
        <v>272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29"/>
      <c r="AD167" s="29"/>
    </row>
    <row r="168">
      <c r="A168" s="94">
        <v>45288.0</v>
      </c>
      <c r="B168" s="43" t="s">
        <v>230</v>
      </c>
      <c r="C168" s="61" t="s">
        <v>273</v>
      </c>
      <c r="D168" s="63" t="s">
        <v>269</v>
      </c>
      <c r="E168" s="9" t="s">
        <v>125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29"/>
      <c r="AD168" s="29"/>
    </row>
    <row r="169">
      <c r="A169" s="94">
        <v>45288.0</v>
      </c>
      <c r="B169" s="43" t="s">
        <v>230</v>
      </c>
      <c r="C169" s="61" t="s">
        <v>274</v>
      </c>
      <c r="D169" s="63" t="s">
        <v>275</v>
      </c>
      <c r="E169" s="9" t="s">
        <v>125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29"/>
      <c r="AD169" s="29"/>
    </row>
    <row r="170">
      <c r="A170" s="29"/>
      <c r="B170" s="35"/>
      <c r="C170" s="29"/>
      <c r="D170" s="29"/>
      <c r="E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>
      <c r="A171" s="94">
        <v>45289.0</v>
      </c>
      <c r="B171" s="7" t="s">
        <v>239</v>
      </c>
      <c r="C171" s="9" t="s">
        <v>276</v>
      </c>
      <c r="D171" s="9" t="s">
        <v>277</v>
      </c>
      <c r="E171" s="9" t="s">
        <v>95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29"/>
      <c r="AD171" s="29"/>
    </row>
    <row r="172">
      <c r="A172" s="94">
        <v>45290.0</v>
      </c>
      <c r="B172" s="43" t="s">
        <v>239</v>
      </c>
      <c r="C172" s="61" t="s">
        <v>278</v>
      </c>
      <c r="D172" s="63" t="s">
        <v>279</v>
      </c>
      <c r="E172" s="9" t="s">
        <v>280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29"/>
      <c r="AD172" s="29"/>
    </row>
    <row r="173">
      <c r="A173" s="94">
        <v>45291.0</v>
      </c>
      <c r="B173" s="43" t="s">
        <v>230</v>
      </c>
      <c r="C173" s="72" t="s">
        <v>231</v>
      </c>
      <c r="D173" s="63" t="s">
        <v>281</v>
      </c>
      <c r="E173" s="9" t="s">
        <v>282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29"/>
      <c r="AD173" s="29"/>
    </row>
    <row r="174">
      <c r="A174" s="94">
        <v>45291.0</v>
      </c>
      <c r="B174" s="43" t="s">
        <v>230</v>
      </c>
      <c r="C174" s="68" t="s">
        <v>283</v>
      </c>
      <c r="D174" s="63" t="s">
        <v>284</v>
      </c>
      <c r="E174" s="95" t="s">
        <v>285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29"/>
      <c r="AD174" s="29"/>
    </row>
    <row r="175">
      <c r="A175" s="94">
        <v>45291.0</v>
      </c>
      <c r="B175" s="43" t="s">
        <v>230</v>
      </c>
      <c r="C175" s="69" t="s">
        <v>283</v>
      </c>
      <c r="D175" s="63" t="s">
        <v>286</v>
      </c>
      <c r="E175" s="95" t="s">
        <v>285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29"/>
      <c r="AD175" s="29"/>
    </row>
    <row r="176">
      <c r="A176" s="94">
        <v>45291.0</v>
      </c>
      <c r="B176" s="43" t="s">
        <v>230</v>
      </c>
      <c r="C176" s="51" t="s">
        <v>287</v>
      </c>
      <c r="D176" s="63" t="s">
        <v>288</v>
      </c>
      <c r="E176" s="6" t="s">
        <v>196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29"/>
      <c r="AD176" s="29"/>
    </row>
    <row r="177">
      <c r="A177" s="94">
        <v>45291.0</v>
      </c>
      <c r="B177" s="43" t="s">
        <v>219</v>
      </c>
      <c r="C177" s="61" t="s">
        <v>289</v>
      </c>
      <c r="D177" s="63" t="s">
        <v>290</v>
      </c>
      <c r="E177" s="6" t="s">
        <v>291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29"/>
      <c r="AD177" s="29"/>
    </row>
    <row r="178">
      <c r="A178" s="94">
        <v>45291.0</v>
      </c>
      <c r="B178" s="43" t="s">
        <v>230</v>
      </c>
      <c r="C178" s="49" t="s">
        <v>292</v>
      </c>
      <c r="D178" s="63" t="s">
        <v>293</v>
      </c>
      <c r="E178" s="6" t="s">
        <v>196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29"/>
      <c r="AD178" s="29"/>
    </row>
    <row r="179">
      <c r="A179" s="29"/>
      <c r="B179" s="35"/>
      <c r="C179" s="29"/>
      <c r="D179" s="29"/>
      <c r="E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>
      <c r="A180" s="53">
        <v>45293.0</v>
      </c>
      <c r="B180" s="43" t="s">
        <v>219</v>
      </c>
      <c r="C180" s="61" t="s">
        <v>294</v>
      </c>
      <c r="D180" s="63" t="s">
        <v>295</v>
      </c>
      <c r="E180" s="9" t="s">
        <v>296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29"/>
      <c r="AD180" s="29"/>
    </row>
    <row r="181">
      <c r="A181" s="29"/>
      <c r="B181" s="35"/>
      <c r="C181" s="29"/>
      <c r="D181" s="29"/>
      <c r="E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>
      <c r="A182" s="96">
        <v>45294.0</v>
      </c>
      <c r="B182" s="43" t="s">
        <v>219</v>
      </c>
      <c r="C182" s="59" t="s">
        <v>294</v>
      </c>
      <c r="D182" s="97" t="s">
        <v>297</v>
      </c>
      <c r="E182" s="9" t="s">
        <v>298</v>
      </c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>
      <c r="A183" s="96">
        <v>45294.0</v>
      </c>
      <c r="B183" s="43" t="s">
        <v>219</v>
      </c>
      <c r="C183" s="51" t="s">
        <v>294</v>
      </c>
      <c r="D183" s="63" t="s">
        <v>299</v>
      </c>
      <c r="E183" s="9" t="s">
        <v>213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>
      <c r="A184" s="96">
        <v>45294.0</v>
      </c>
      <c r="B184" s="43" t="s">
        <v>300</v>
      </c>
      <c r="C184" s="51" t="s">
        <v>301</v>
      </c>
      <c r="D184" s="63" t="s">
        <v>302</v>
      </c>
      <c r="E184" s="9" t="s">
        <v>291</v>
      </c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>
      <c r="A185" s="96">
        <v>45294.0</v>
      </c>
      <c r="B185" s="43" t="s">
        <v>300</v>
      </c>
      <c r="C185" s="51" t="s">
        <v>303</v>
      </c>
      <c r="D185" s="63" t="s">
        <v>304</v>
      </c>
      <c r="E185" s="9" t="s">
        <v>125</v>
      </c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>
      <c r="A186" s="96">
        <v>45294.0</v>
      </c>
      <c r="B186" s="43" t="s">
        <v>300</v>
      </c>
      <c r="C186" s="51" t="s">
        <v>303</v>
      </c>
      <c r="D186" s="63" t="s">
        <v>305</v>
      </c>
      <c r="E186" s="9" t="s">
        <v>143</v>
      </c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>
      <c r="A187" s="96">
        <v>45294.0</v>
      </c>
      <c r="B187" s="43" t="s">
        <v>306</v>
      </c>
      <c r="C187" s="51" t="s">
        <v>307</v>
      </c>
      <c r="D187" s="63" t="s">
        <v>308</v>
      </c>
      <c r="E187" s="9" t="s">
        <v>309</v>
      </c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>
      <c r="A188" s="96">
        <v>45294.0</v>
      </c>
      <c r="B188" s="43" t="s">
        <v>310</v>
      </c>
      <c r="C188" s="51" t="s">
        <v>311</v>
      </c>
      <c r="D188" s="63" t="s">
        <v>312</v>
      </c>
      <c r="E188" s="9" t="s">
        <v>291</v>
      </c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>
      <c r="A189" s="96">
        <v>45294.0</v>
      </c>
      <c r="B189" s="43" t="s">
        <v>313</v>
      </c>
      <c r="C189" s="51" t="s">
        <v>314</v>
      </c>
      <c r="D189" s="63" t="s">
        <v>315</v>
      </c>
      <c r="E189" s="9" t="s">
        <v>316</v>
      </c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>
      <c r="A190" s="96">
        <v>45294.0</v>
      </c>
      <c r="B190" s="43" t="s">
        <v>317</v>
      </c>
      <c r="C190" s="51" t="s">
        <v>318</v>
      </c>
      <c r="D190" s="63" t="s">
        <v>319</v>
      </c>
      <c r="E190" s="9" t="s">
        <v>320</v>
      </c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>
      <c r="A191" s="96">
        <v>45294.0</v>
      </c>
      <c r="B191" s="43" t="s">
        <v>300</v>
      </c>
      <c r="C191" s="51" t="s">
        <v>321</v>
      </c>
      <c r="D191" s="63" t="s">
        <v>322</v>
      </c>
      <c r="E191" s="6" t="s">
        <v>291</v>
      </c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>
      <c r="A192" s="96">
        <v>45294.0</v>
      </c>
      <c r="B192" s="43" t="s">
        <v>313</v>
      </c>
      <c r="C192" s="49" t="s">
        <v>323</v>
      </c>
      <c r="D192" s="63" t="s">
        <v>324</v>
      </c>
      <c r="E192" s="9" t="s">
        <v>125</v>
      </c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>
      <c r="A193" s="29"/>
      <c r="B193" s="35"/>
      <c r="C193" s="29"/>
      <c r="D193" s="29"/>
      <c r="E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>
      <c r="A194" s="96">
        <v>45295.0</v>
      </c>
      <c r="B194" s="43" t="s">
        <v>325</v>
      </c>
      <c r="C194" s="72" t="s">
        <v>326</v>
      </c>
      <c r="D194" s="63" t="s">
        <v>327</v>
      </c>
      <c r="E194" s="9" t="s">
        <v>95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29"/>
      <c r="AD194" s="29"/>
    </row>
    <row r="195">
      <c r="A195" s="96">
        <v>45295.0</v>
      </c>
      <c r="B195" s="43" t="s">
        <v>328</v>
      </c>
      <c r="C195" s="61" t="s">
        <v>329</v>
      </c>
      <c r="D195" s="63" t="s">
        <v>330</v>
      </c>
      <c r="E195" s="9" t="s">
        <v>95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29"/>
      <c r="AD195" s="29"/>
    </row>
    <row r="196">
      <c r="A196" s="96">
        <v>45295.0</v>
      </c>
      <c r="B196" s="43" t="s">
        <v>331</v>
      </c>
      <c r="C196" s="61" t="s">
        <v>332</v>
      </c>
      <c r="D196" s="63" t="s">
        <v>333</v>
      </c>
      <c r="E196" s="9" t="s">
        <v>247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29"/>
      <c r="AD196" s="29"/>
    </row>
    <row r="197">
      <c r="A197" s="96">
        <v>45295.0</v>
      </c>
      <c r="B197" s="43" t="s">
        <v>334</v>
      </c>
      <c r="C197" s="68" t="s">
        <v>335</v>
      </c>
      <c r="D197" s="63" t="s">
        <v>336</v>
      </c>
      <c r="E197" s="9" t="s">
        <v>196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29"/>
      <c r="AD197" s="29"/>
    </row>
    <row r="198">
      <c r="A198" s="96">
        <v>45295.0</v>
      </c>
      <c r="B198" s="43" t="s">
        <v>334</v>
      </c>
      <c r="C198" s="61" t="s">
        <v>337</v>
      </c>
      <c r="D198" s="63" t="s">
        <v>338</v>
      </c>
      <c r="E198" s="9" t="s">
        <v>125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29"/>
      <c r="AD198" s="29"/>
    </row>
    <row r="199">
      <c r="A199" s="29"/>
      <c r="B199" s="35"/>
      <c r="C199" s="29"/>
      <c r="D199" s="29"/>
      <c r="E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>
      <c r="A200" s="98">
        <v>45296.0</v>
      </c>
      <c r="B200" s="40" t="s">
        <v>339</v>
      </c>
      <c r="C200" s="87" t="s">
        <v>340</v>
      </c>
      <c r="D200" s="42" t="s">
        <v>341</v>
      </c>
      <c r="E200" s="83" t="s">
        <v>196</v>
      </c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>
      <c r="A201" s="29"/>
      <c r="B201" s="35"/>
      <c r="C201" s="29"/>
      <c r="D201" s="29"/>
      <c r="E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>
      <c r="A202" s="96">
        <v>45297.0</v>
      </c>
      <c r="B202" s="43" t="s">
        <v>334</v>
      </c>
      <c r="C202" s="61" t="s">
        <v>342</v>
      </c>
      <c r="D202" s="63" t="s">
        <v>343</v>
      </c>
      <c r="E202" s="9" t="s">
        <v>125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29"/>
      <c r="AD202" s="29"/>
    </row>
    <row r="203">
      <c r="A203" s="96">
        <v>45298.0</v>
      </c>
      <c r="B203" s="43" t="s">
        <v>344</v>
      </c>
      <c r="C203" s="72" t="s">
        <v>345</v>
      </c>
      <c r="D203" s="63" t="s">
        <v>346</v>
      </c>
      <c r="E203" s="9" t="s">
        <v>125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29"/>
      <c r="AD203" s="29"/>
    </row>
    <row r="204">
      <c r="A204" s="29"/>
      <c r="B204" s="35"/>
      <c r="C204" s="29"/>
      <c r="D204" s="29"/>
      <c r="E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>
      <c r="A205" s="99">
        <v>45299.0</v>
      </c>
      <c r="B205" s="100" t="s">
        <v>334</v>
      </c>
      <c r="C205" s="87" t="s">
        <v>347</v>
      </c>
      <c r="D205" s="42" t="s">
        <v>348</v>
      </c>
      <c r="E205" s="83" t="s">
        <v>125</v>
      </c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>
      <c r="A206" s="29"/>
      <c r="B206" s="35"/>
      <c r="C206" s="29"/>
      <c r="D206" s="29"/>
      <c r="E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>
      <c r="A207" s="96">
        <v>45300.0</v>
      </c>
      <c r="B207" s="43" t="s">
        <v>349</v>
      </c>
      <c r="C207" s="61" t="s">
        <v>350</v>
      </c>
      <c r="D207" s="63" t="s">
        <v>351</v>
      </c>
      <c r="E207" s="9" t="s">
        <v>352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29"/>
      <c r="AD207" s="29"/>
    </row>
    <row r="208">
      <c r="A208" s="96">
        <v>45300.0</v>
      </c>
      <c r="B208" s="43" t="s">
        <v>353</v>
      </c>
      <c r="C208" s="61" t="s">
        <v>354</v>
      </c>
      <c r="D208" s="63" t="s">
        <v>355</v>
      </c>
      <c r="E208" s="9" t="s">
        <v>356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29"/>
      <c r="AD208" s="29"/>
    </row>
    <row r="209">
      <c r="A209" s="96">
        <v>45300.0</v>
      </c>
      <c r="B209" s="43" t="s">
        <v>357</v>
      </c>
      <c r="C209" s="61" t="s">
        <v>358</v>
      </c>
      <c r="D209" s="63" t="s">
        <v>359</v>
      </c>
      <c r="E209" s="9" t="s">
        <v>360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29"/>
      <c r="AD209" s="29"/>
    </row>
    <row r="210">
      <c r="A210" s="96">
        <v>45300.0</v>
      </c>
      <c r="B210" s="43" t="s">
        <v>361</v>
      </c>
      <c r="C210" s="72" t="s">
        <v>362</v>
      </c>
      <c r="D210" s="63" t="s">
        <v>363</v>
      </c>
      <c r="E210" s="9" t="s">
        <v>229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29"/>
      <c r="AD210" s="29"/>
    </row>
    <row r="211">
      <c r="A211" s="29"/>
      <c r="B211" s="35"/>
      <c r="C211" s="29"/>
      <c r="D211" s="29"/>
      <c r="E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>
      <c r="A212" s="101">
        <v>45301.0</v>
      </c>
      <c r="B212" s="43" t="s">
        <v>364</v>
      </c>
      <c r="C212" s="61" t="s">
        <v>365</v>
      </c>
      <c r="D212" s="63" t="s">
        <v>366</v>
      </c>
      <c r="E212" s="9" t="s">
        <v>125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29"/>
      <c r="AD212" s="29"/>
    </row>
    <row r="213">
      <c r="A213" s="101">
        <v>45301.0</v>
      </c>
      <c r="B213" s="43" t="s">
        <v>367</v>
      </c>
      <c r="C213" s="72" t="s">
        <v>368</v>
      </c>
      <c r="D213" s="63" t="s">
        <v>369</v>
      </c>
      <c r="E213" s="9" t="s">
        <v>370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29"/>
      <c r="AD213" s="29"/>
    </row>
    <row r="214">
      <c r="A214" s="101">
        <v>45301.0</v>
      </c>
      <c r="B214" s="43" t="s">
        <v>367</v>
      </c>
      <c r="C214" s="72" t="s">
        <v>371</v>
      </c>
      <c r="D214" s="63" t="s">
        <v>372</v>
      </c>
      <c r="E214" s="9" t="s">
        <v>373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29"/>
      <c r="AD214" s="29"/>
    </row>
    <row r="215">
      <c r="A215" s="29"/>
      <c r="B215" s="35"/>
      <c r="C215" s="29"/>
      <c r="D215" s="29"/>
      <c r="E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>
      <c r="A216" s="96">
        <v>45302.0</v>
      </c>
      <c r="B216" s="7" t="s">
        <v>367</v>
      </c>
      <c r="C216" s="9" t="s">
        <v>374</v>
      </c>
      <c r="D216" s="9" t="s">
        <v>375</v>
      </c>
      <c r="E216" s="9" t="s">
        <v>376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29"/>
      <c r="AD216" s="29"/>
    </row>
    <row r="217">
      <c r="A217" s="96">
        <v>45302.0</v>
      </c>
      <c r="B217" s="7" t="s">
        <v>377</v>
      </c>
      <c r="C217" s="9" t="s">
        <v>378</v>
      </c>
      <c r="D217" s="9" t="s">
        <v>379</v>
      </c>
      <c r="E217" s="9" t="s">
        <v>380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29"/>
      <c r="AD217" s="29"/>
    </row>
    <row r="218">
      <c r="A218" s="96">
        <v>45302.0</v>
      </c>
      <c r="B218" s="7" t="s">
        <v>377</v>
      </c>
      <c r="C218" s="9" t="s">
        <v>378</v>
      </c>
      <c r="D218" s="9" t="s">
        <v>381</v>
      </c>
      <c r="E218" s="9" t="s">
        <v>380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29"/>
      <c r="AD218" s="29"/>
    </row>
    <row r="219">
      <c r="A219" s="96">
        <v>45302.0</v>
      </c>
      <c r="B219" s="7" t="s">
        <v>377</v>
      </c>
      <c r="C219" s="81" t="s">
        <v>378</v>
      </c>
      <c r="D219" s="9" t="s">
        <v>382</v>
      </c>
      <c r="E219" s="9" t="s">
        <v>383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29"/>
      <c r="AD219" s="29"/>
    </row>
    <row r="220">
      <c r="A220" s="96">
        <v>45302.0</v>
      </c>
      <c r="B220" s="7" t="s">
        <v>377</v>
      </c>
      <c r="C220" s="9" t="s">
        <v>378</v>
      </c>
      <c r="D220" s="9" t="s">
        <v>381</v>
      </c>
      <c r="E220" s="9" t="s">
        <v>380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29"/>
      <c r="AD220" s="29"/>
    </row>
    <row r="221">
      <c r="A221" s="96">
        <v>45302.0</v>
      </c>
      <c r="B221" s="92" t="s">
        <v>384</v>
      </c>
      <c r="C221" s="74" t="s">
        <v>385</v>
      </c>
      <c r="D221" s="74" t="s">
        <v>386</v>
      </c>
      <c r="E221" s="74" t="s">
        <v>387</v>
      </c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>
      <c r="A222" s="29"/>
      <c r="B222" s="35"/>
      <c r="C222" s="29"/>
      <c r="D222" s="29"/>
      <c r="E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>
      <c r="A223" s="29"/>
      <c r="B223" s="35"/>
      <c r="C223" s="29"/>
      <c r="D223" s="29"/>
      <c r="E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>
      <c r="A224" s="96">
        <v>45303.0</v>
      </c>
      <c r="B224" s="7" t="s">
        <v>367</v>
      </c>
      <c r="C224" s="9" t="s">
        <v>371</v>
      </c>
      <c r="D224" s="9" t="s">
        <v>372</v>
      </c>
      <c r="E224" s="9" t="s">
        <v>388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29"/>
      <c r="AD224" s="29"/>
    </row>
    <row r="225">
      <c r="A225" s="96">
        <v>45303.0</v>
      </c>
      <c r="B225" s="7" t="s">
        <v>389</v>
      </c>
      <c r="C225" s="9" t="s">
        <v>390</v>
      </c>
      <c r="D225" s="9" t="s">
        <v>391</v>
      </c>
      <c r="E225" s="6" t="s">
        <v>95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29"/>
      <c r="AD225" s="29"/>
    </row>
    <row r="226">
      <c r="A226" s="96">
        <v>45303.0</v>
      </c>
      <c r="B226" s="7" t="s">
        <v>392</v>
      </c>
      <c r="C226" s="9" t="s">
        <v>393</v>
      </c>
      <c r="D226" s="9" t="s">
        <v>394</v>
      </c>
      <c r="E226" s="9" t="s">
        <v>395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29"/>
      <c r="AD226" s="29"/>
    </row>
    <row r="227">
      <c r="A227" s="96">
        <v>45303.0</v>
      </c>
      <c r="B227" s="7" t="s">
        <v>349</v>
      </c>
      <c r="C227" s="9" t="s">
        <v>396</v>
      </c>
      <c r="D227" s="9" t="s">
        <v>397</v>
      </c>
      <c r="E227" s="9" t="s">
        <v>398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29"/>
      <c r="AD227" s="29"/>
    </row>
    <row r="228">
      <c r="A228" s="96">
        <v>45303.0</v>
      </c>
      <c r="B228" s="7" t="s">
        <v>392</v>
      </c>
      <c r="C228" s="9" t="s">
        <v>393</v>
      </c>
      <c r="D228" s="9" t="s">
        <v>399</v>
      </c>
      <c r="E228" s="9" t="s">
        <v>400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29"/>
      <c r="AD228" s="29"/>
    </row>
    <row r="229">
      <c r="A229" s="96">
        <v>45303.0</v>
      </c>
      <c r="B229" s="7" t="s">
        <v>392</v>
      </c>
      <c r="C229" s="9" t="s">
        <v>393</v>
      </c>
      <c r="D229" s="9" t="s">
        <v>401</v>
      </c>
      <c r="E229" s="9" t="s">
        <v>400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29"/>
      <c r="AD229" s="29"/>
    </row>
    <row r="230">
      <c r="A230" s="96">
        <v>45303.0</v>
      </c>
      <c r="B230" s="7" t="s">
        <v>392</v>
      </c>
      <c r="C230" s="9" t="s">
        <v>396</v>
      </c>
      <c r="D230" s="9" t="s">
        <v>402</v>
      </c>
      <c r="E230" s="9" t="s">
        <v>388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29"/>
      <c r="AD230" s="29"/>
    </row>
    <row r="231">
      <c r="A231" s="96">
        <v>45303.0</v>
      </c>
      <c r="B231" s="7" t="s">
        <v>392</v>
      </c>
      <c r="C231" s="9" t="s">
        <v>393</v>
      </c>
      <c r="D231" s="9" t="s">
        <v>403</v>
      </c>
      <c r="E231" s="9" t="s">
        <v>388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29"/>
      <c r="AD231" s="29"/>
    </row>
    <row r="232">
      <c r="A232" s="96">
        <v>45303.0</v>
      </c>
      <c r="B232" s="7" t="s">
        <v>392</v>
      </c>
      <c r="C232" s="9" t="s">
        <v>393</v>
      </c>
      <c r="D232" s="9" t="s">
        <v>404</v>
      </c>
      <c r="E232" s="9" t="s">
        <v>388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29"/>
      <c r="AD232" s="29"/>
    </row>
    <row r="233">
      <c r="A233" s="96">
        <v>45303.0</v>
      </c>
      <c r="B233" s="7" t="s">
        <v>392</v>
      </c>
      <c r="C233" s="9" t="s">
        <v>405</v>
      </c>
      <c r="D233" s="9" t="s">
        <v>406</v>
      </c>
      <c r="E233" s="9" t="s">
        <v>400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29"/>
      <c r="AD233" s="29"/>
    </row>
    <row r="234">
      <c r="A234" s="96">
        <v>45303.0</v>
      </c>
      <c r="B234" s="7" t="s">
        <v>392</v>
      </c>
      <c r="C234" s="9" t="s">
        <v>393</v>
      </c>
      <c r="D234" s="9" t="s">
        <v>407</v>
      </c>
      <c r="E234" s="9" t="s">
        <v>388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29"/>
      <c r="AD234" s="29"/>
    </row>
    <row r="235">
      <c r="A235" s="96">
        <v>45303.0</v>
      </c>
      <c r="B235" s="7" t="s">
        <v>392</v>
      </c>
      <c r="C235" s="9" t="s">
        <v>393</v>
      </c>
      <c r="D235" s="9" t="s">
        <v>408</v>
      </c>
      <c r="E235" s="9" t="s">
        <v>388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29"/>
      <c r="AD235" s="29"/>
    </row>
    <row r="236">
      <c r="A236" s="96">
        <v>45303.0</v>
      </c>
      <c r="B236" s="7" t="s">
        <v>392</v>
      </c>
      <c r="C236" s="9" t="s">
        <v>393</v>
      </c>
      <c r="D236" s="9" t="s">
        <v>409</v>
      </c>
      <c r="E236" s="9" t="s">
        <v>388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29"/>
      <c r="AD236" s="29"/>
    </row>
    <row r="237">
      <c r="A237" s="29"/>
      <c r="B237" s="35"/>
      <c r="C237" s="29"/>
      <c r="D237" s="29"/>
      <c r="E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>
      <c r="A238" s="96">
        <v>45304.0</v>
      </c>
      <c r="B238" s="7" t="s">
        <v>392</v>
      </c>
      <c r="C238" s="9" t="s">
        <v>410</v>
      </c>
      <c r="D238" s="9" t="s">
        <v>407</v>
      </c>
      <c r="E238" s="9" t="s">
        <v>411</v>
      </c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>
      <c r="A239" s="96">
        <v>45304.0</v>
      </c>
      <c r="B239" s="7" t="s">
        <v>412</v>
      </c>
      <c r="C239" s="9" t="s">
        <v>393</v>
      </c>
      <c r="D239" s="9" t="s">
        <v>408</v>
      </c>
      <c r="E239" s="9" t="s">
        <v>411</v>
      </c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>
      <c r="A240" s="96">
        <v>45304.0</v>
      </c>
      <c r="B240" s="7" t="s">
        <v>413</v>
      </c>
      <c r="C240" s="9" t="s">
        <v>414</v>
      </c>
      <c r="D240" s="9" t="s">
        <v>415</v>
      </c>
      <c r="E240" s="6" t="s">
        <v>196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>
      <c r="A241" s="96">
        <v>45304.0</v>
      </c>
      <c r="B241" s="7" t="s">
        <v>413</v>
      </c>
      <c r="C241" s="9" t="s">
        <v>416</v>
      </c>
      <c r="D241" s="9" t="s">
        <v>417</v>
      </c>
      <c r="E241" s="9" t="s">
        <v>400</v>
      </c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>
      <c r="A242" s="96">
        <v>45304.0</v>
      </c>
      <c r="B242" s="7" t="s">
        <v>392</v>
      </c>
      <c r="C242" s="9" t="s">
        <v>418</v>
      </c>
      <c r="D242" s="9" t="s">
        <v>419</v>
      </c>
      <c r="E242" s="6" t="s">
        <v>388</v>
      </c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>
      <c r="A243" s="96">
        <v>45304.0</v>
      </c>
      <c r="B243" s="7" t="s">
        <v>392</v>
      </c>
      <c r="C243" s="81" t="s">
        <v>420</v>
      </c>
      <c r="D243" s="9" t="s">
        <v>421</v>
      </c>
      <c r="E243" s="6" t="s">
        <v>388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>
      <c r="A244" s="101">
        <v>45305.0</v>
      </c>
      <c r="B244" s="43" t="s">
        <v>422</v>
      </c>
      <c r="C244" s="51" t="s">
        <v>423</v>
      </c>
      <c r="D244" s="63" t="s">
        <v>424</v>
      </c>
      <c r="E244" s="9" t="s">
        <v>425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>
      <c r="A245" s="101">
        <v>45305.0</v>
      </c>
      <c r="B245" s="43" t="s">
        <v>413</v>
      </c>
      <c r="C245" s="49" t="s">
        <v>426</v>
      </c>
      <c r="D245" s="63" t="s">
        <v>427</v>
      </c>
      <c r="E245" s="6" t="s">
        <v>207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>
      <c r="A246" s="101">
        <v>45305.0</v>
      </c>
      <c r="B246" s="43" t="s">
        <v>413</v>
      </c>
      <c r="C246" s="69" t="s">
        <v>428</v>
      </c>
      <c r="D246" s="102" t="s">
        <v>427</v>
      </c>
      <c r="E246" s="6" t="s">
        <v>207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>
      <c r="A247" s="101">
        <v>45305.0</v>
      </c>
      <c r="B247" s="43" t="s">
        <v>413</v>
      </c>
      <c r="C247" s="49" t="s">
        <v>429</v>
      </c>
      <c r="D247" s="63" t="s">
        <v>430</v>
      </c>
      <c r="E247" s="9" t="s">
        <v>143</v>
      </c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>
      <c r="A248" s="101">
        <v>45305.0</v>
      </c>
      <c r="B248" s="88" t="s">
        <v>413</v>
      </c>
      <c r="C248" s="69" t="s">
        <v>428</v>
      </c>
      <c r="D248" s="102" t="s">
        <v>430</v>
      </c>
      <c r="E248" s="6" t="s">
        <v>143</v>
      </c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>
      <c r="A249" s="101">
        <v>45305.0</v>
      </c>
      <c r="B249" s="43" t="s">
        <v>431</v>
      </c>
      <c r="C249" s="51" t="s">
        <v>432</v>
      </c>
      <c r="D249" s="63" t="s">
        <v>433</v>
      </c>
      <c r="E249" s="9" t="s">
        <v>434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>
      <c r="A250" s="101">
        <v>45305.0</v>
      </c>
      <c r="B250" s="43" t="s">
        <v>413</v>
      </c>
      <c r="C250" s="49" t="s">
        <v>426</v>
      </c>
      <c r="D250" s="63" t="s">
        <v>435</v>
      </c>
      <c r="E250" s="6" t="s">
        <v>436</v>
      </c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>
      <c r="A251" s="101">
        <v>45305.0</v>
      </c>
      <c r="B251" s="88" t="s">
        <v>413</v>
      </c>
      <c r="C251" s="69" t="s">
        <v>437</v>
      </c>
      <c r="D251" s="102" t="s">
        <v>435</v>
      </c>
      <c r="E251" s="9" t="s">
        <v>143</v>
      </c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>
      <c r="A252" s="101">
        <v>45305.0</v>
      </c>
      <c r="B252" s="43" t="s">
        <v>357</v>
      </c>
      <c r="C252" s="51" t="s">
        <v>358</v>
      </c>
      <c r="D252" s="60" t="s">
        <v>438</v>
      </c>
      <c r="E252" s="6" t="s">
        <v>436</v>
      </c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>
      <c r="A253" s="101">
        <v>45305.0</v>
      </c>
      <c r="B253" s="43" t="s">
        <v>439</v>
      </c>
      <c r="C253" s="49" t="s">
        <v>440</v>
      </c>
      <c r="D253" s="63" t="s">
        <v>415</v>
      </c>
      <c r="E253" s="9" t="s">
        <v>196</v>
      </c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>
      <c r="A254" s="29"/>
      <c r="B254" s="35"/>
      <c r="C254" s="29"/>
      <c r="D254" s="29"/>
      <c r="E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>
      <c r="A255" s="96">
        <v>45306.0</v>
      </c>
      <c r="B255" s="7" t="s">
        <v>392</v>
      </c>
      <c r="C255" s="9" t="s">
        <v>393</v>
      </c>
      <c r="D255" s="9" t="s">
        <v>408</v>
      </c>
      <c r="E255" s="9" t="s">
        <v>441</v>
      </c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>
      <c r="A256" s="96">
        <v>45306.0</v>
      </c>
      <c r="B256" s="7" t="s">
        <v>413</v>
      </c>
      <c r="C256" s="9" t="s">
        <v>429</v>
      </c>
      <c r="D256" s="9" t="s">
        <v>430</v>
      </c>
      <c r="E256" s="9" t="s">
        <v>442</v>
      </c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>
      <c r="A257" s="96">
        <v>45306.0</v>
      </c>
      <c r="B257" s="7" t="s">
        <v>377</v>
      </c>
      <c r="C257" s="9" t="s">
        <v>443</v>
      </c>
      <c r="D257" s="9" t="s">
        <v>444</v>
      </c>
      <c r="E257" s="9" t="s">
        <v>380</v>
      </c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>
      <c r="A258" s="96">
        <v>45306.0</v>
      </c>
      <c r="B258" s="7" t="s">
        <v>377</v>
      </c>
      <c r="C258" s="9" t="s">
        <v>378</v>
      </c>
      <c r="D258" s="9" t="s">
        <v>445</v>
      </c>
      <c r="E258" s="9" t="s">
        <v>84</v>
      </c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>
      <c r="A259" s="96">
        <v>45306.0</v>
      </c>
      <c r="B259" s="7" t="s">
        <v>392</v>
      </c>
      <c r="C259" s="9" t="s">
        <v>393</v>
      </c>
      <c r="D259" s="9" t="s">
        <v>401</v>
      </c>
      <c r="E259" s="6" t="s">
        <v>388</v>
      </c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>
      <c r="A260" s="96">
        <v>45306.0</v>
      </c>
      <c r="B260" s="7" t="s">
        <v>389</v>
      </c>
      <c r="C260" s="9" t="s">
        <v>446</v>
      </c>
      <c r="D260" s="9" t="s">
        <v>447</v>
      </c>
      <c r="E260" s="9" t="s">
        <v>448</v>
      </c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>
      <c r="A261" s="29"/>
      <c r="B261" s="35"/>
      <c r="C261" s="29"/>
      <c r="D261" s="29"/>
      <c r="E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>
      <c r="A262" s="29"/>
      <c r="B262" s="35"/>
      <c r="C262" s="29"/>
      <c r="D262" s="29"/>
      <c r="E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>
      <c r="A263" s="96">
        <v>45307.0</v>
      </c>
      <c r="B263" s="7" t="s">
        <v>377</v>
      </c>
      <c r="C263" s="9" t="s">
        <v>449</v>
      </c>
      <c r="D263" s="9" t="s">
        <v>450</v>
      </c>
      <c r="E263" s="9" t="s">
        <v>380</v>
      </c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>
      <c r="A264" s="96">
        <v>45307.0</v>
      </c>
      <c r="B264" s="7" t="s">
        <v>392</v>
      </c>
      <c r="C264" s="9" t="s">
        <v>410</v>
      </c>
      <c r="D264" s="9" t="s">
        <v>407</v>
      </c>
      <c r="E264" s="9" t="s">
        <v>125</v>
      </c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>
      <c r="A265" s="96">
        <v>45307.0</v>
      </c>
      <c r="B265" s="7" t="s">
        <v>377</v>
      </c>
      <c r="C265" s="9" t="s">
        <v>451</v>
      </c>
      <c r="D265" s="9" t="s">
        <v>452</v>
      </c>
      <c r="E265" s="9" t="s">
        <v>40</v>
      </c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>
      <c r="A266" s="96">
        <v>45307.0</v>
      </c>
      <c r="B266" s="7" t="s">
        <v>389</v>
      </c>
      <c r="C266" s="9" t="s">
        <v>453</v>
      </c>
      <c r="D266" s="9" t="s">
        <v>454</v>
      </c>
      <c r="E266" s="9" t="s">
        <v>455</v>
      </c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>
      <c r="A267" s="96">
        <v>45307.0</v>
      </c>
      <c r="B267" s="7" t="s">
        <v>200</v>
      </c>
      <c r="C267" s="9" t="s">
        <v>456</v>
      </c>
      <c r="D267" s="9" t="s">
        <v>457</v>
      </c>
      <c r="E267" s="9" t="s">
        <v>458</v>
      </c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>
      <c r="A268" s="96">
        <v>45307.0</v>
      </c>
      <c r="B268" s="7" t="s">
        <v>384</v>
      </c>
      <c r="C268" s="9" t="s">
        <v>136</v>
      </c>
      <c r="D268" s="9" t="s">
        <v>386</v>
      </c>
      <c r="E268" s="9" t="s">
        <v>458</v>
      </c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>
      <c r="A269" s="96">
        <v>45307.0</v>
      </c>
      <c r="B269" s="7" t="s">
        <v>392</v>
      </c>
      <c r="C269" s="9" t="s">
        <v>459</v>
      </c>
      <c r="D269" s="9" t="s">
        <v>460</v>
      </c>
      <c r="E269" s="9" t="s">
        <v>455</v>
      </c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>
      <c r="A270" s="29"/>
      <c r="B270" s="35"/>
      <c r="C270" s="29"/>
      <c r="D270" s="29"/>
      <c r="E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>
      <c r="A271" s="96">
        <v>45308.0</v>
      </c>
      <c r="B271" s="7" t="s">
        <v>392</v>
      </c>
      <c r="C271" s="9" t="s">
        <v>393</v>
      </c>
      <c r="D271" s="9" t="s">
        <v>461</v>
      </c>
      <c r="E271" s="9" t="s">
        <v>455</v>
      </c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>
      <c r="A272" s="96">
        <v>45308.0</v>
      </c>
      <c r="B272" s="7" t="s">
        <v>377</v>
      </c>
      <c r="C272" s="9" t="s">
        <v>378</v>
      </c>
      <c r="D272" s="9" t="s">
        <v>462</v>
      </c>
      <c r="E272" s="9" t="s">
        <v>380</v>
      </c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>
      <c r="A273" s="96">
        <v>45308.0</v>
      </c>
      <c r="B273" s="7" t="s">
        <v>200</v>
      </c>
      <c r="C273" s="9" t="s">
        <v>463</v>
      </c>
      <c r="D273" s="9" t="s">
        <v>464</v>
      </c>
      <c r="E273" s="9" t="s">
        <v>95</v>
      </c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>
      <c r="A274" s="96">
        <v>45308.0</v>
      </c>
      <c r="B274" s="7" t="s">
        <v>389</v>
      </c>
      <c r="C274" s="9" t="s">
        <v>465</v>
      </c>
      <c r="D274" s="9" t="s">
        <v>466</v>
      </c>
      <c r="E274" s="9" t="s">
        <v>95</v>
      </c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>
      <c r="A275" s="96">
        <v>45308.0</v>
      </c>
      <c r="B275" s="7" t="s">
        <v>384</v>
      </c>
      <c r="C275" s="9" t="s">
        <v>467</v>
      </c>
      <c r="D275" s="9" t="s">
        <v>386</v>
      </c>
      <c r="E275" s="9" t="s">
        <v>458</v>
      </c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>
      <c r="A276" s="96">
        <v>45308.0</v>
      </c>
      <c r="B276" s="7" t="s">
        <v>377</v>
      </c>
      <c r="C276" s="9" t="s">
        <v>378</v>
      </c>
      <c r="D276" s="9" t="s">
        <v>468</v>
      </c>
      <c r="E276" s="6" t="s">
        <v>388</v>
      </c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>
      <c r="A277" s="96">
        <v>45308.0</v>
      </c>
      <c r="B277" s="7" t="s">
        <v>384</v>
      </c>
      <c r="C277" s="9" t="s">
        <v>469</v>
      </c>
      <c r="D277" s="9" t="s">
        <v>470</v>
      </c>
      <c r="E277" s="9" t="s">
        <v>380</v>
      </c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>
      <c r="A278" s="96">
        <v>45308.0</v>
      </c>
      <c r="B278" s="7" t="s">
        <v>384</v>
      </c>
      <c r="C278" s="95" t="s">
        <v>136</v>
      </c>
      <c r="D278" s="9" t="s">
        <v>386</v>
      </c>
      <c r="E278" s="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>
      <c r="A279" s="29"/>
      <c r="B279" s="35"/>
      <c r="C279" s="29"/>
      <c r="D279" s="29"/>
      <c r="E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>
      <c r="A280" s="29"/>
      <c r="B280" s="35"/>
      <c r="C280" s="29"/>
      <c r="D280" s="29"/>
      <c r="E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>
      <c r="A281" s="29"/>
      <c r="B281" s="35"/>
      <c r="C281" s="29"/>
      <c r="D281" s="29"/>
      <c r="E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>
      <c r="A282" s="96">
        <v>45309.0</v>
      </c>
      <c r="B282" s="7" t="s">
        <v>471</v>
      </c>
      <c r="C282" s="81" t="s">
        <v>472</v>
      </c>
      <c r="D282" s="9" t="s">
        <v>473</v>
      </c>
      <c r="E282" s="9" t="s">
        <v>455</v>
      </c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>
      <c r="A283" s="96">
        <v>45309.0</v>
      </c>
      <c r="B283" s="43" t="s">
        <v>313</v>
      </c>
      <c r="C283" s="51" t="s">
        <v>323</v>
      </c>
      <c r="D283" s="63" t="s">
        <v>474</v>
      </c>
      <c r="E283" s="9" t="s">
        <v>125</v>
      </c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>
      <c r="A284" s="96">
        <v>45309.0</v>
      </c>
      <c r="B284" s="43" t="s">
        <v>392</v>
      </c>
      <c r="C284" s="51" t="s">
        <v>393</v>
      </c>
      <c r="D284" s="63" t="s">
        <v>475</v>
      </c>
      <c r="E284" s="9" t="s">
        <v>291</v>
      </c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>
      <c r="A285" s="96">
        <v>45309.0</v>
      </c>
      <c r="B285" s="43" t="s">
        <v>392</v>
      </c>
      <c r="C285" s="51" t="s">
        <v>420</v>
      </c>
      <c r="D285" s="63" t="s">
        <v>476</v>
      </c>
      <c r="E285" s="9" t="s">
        <v>196</v>
      </c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>
      <c r="A286" s="96">
        <v>45309.0</v>
      </c>
      <c r="B286" s="43" t="s">
        <v>313</v>
      </c>
      <c r="C286" s="51" t="s">
        <v>323</v>
      </c>
      <c r="D286" s="63" t="s">
        <v>477</v>
      </c>
      <c r="E286" s="9" t="s">
        <v>125</v>
      </c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>
      <c r="A287" s="96">
        <v>45309.0</v>
      </c>
      <c r="B287" s="43" t="s">
        <v>313</v>
      </c>
      <c r="C287" s="51" t="s">
        <v>323</v>
      </c>
      <c r="D287" s="63" t="s">
        <v>478</v>
      </c>
      <c r="E287" s="6" t="s">
        <v>125</v>
      </c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>
      <c r="A288" s="96">
        <v>45309.0</v>
      </c>
      <c r="B288" s="43" t="s">
        <v>392</v>
      </c>
      <c r="C288" s="51" t="s">
        <v>393</v>
      </c>
      <c r="D288" s="63" t="s">
        <v>394</v>
      </c>
      <c r="E288" s="6" t="s">
        <v>291</v>
      </c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>
      <c r="A289" s="96">
        <v>45309.0</v>
      </c>
      <c r="B289" s="43" t="s">
        <v>377</v>
      </c>
      <c r="C289" s="49" t="s">
        <v>378</v>
      </c>
      <c r="D289" s="63" t="s">
        <v>479</v>
      </c>
      <c r="E289" s="6" t="s">
        <v>125</v>
      </c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>
      <c r="A290" s="96">
        <v>45309.0</v>
      </c>
      <c r="B290" s="7" t="s">
        <v>422</v>
      </c>
      <c r="C290" s="9" t="s">
        <v>480</v>
      </c>
      <c r="D290" s="9" t="s">
        <v>481</v>
      </c>
      <c r="E290" s="9" t="s">
        <v>482</v>
      </c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>
      <c r="A291" s="96">
        <v>45309.0</v>
      </c>
      <c r="B291" s="7" t="s">
        <v>483</v>
      </c>
      <c r="C291" s="9" t="s">
        <v>484</v>
      </c>
      <c r="D291" s="9" t="s">
        <v>485</v>
      </c>
      <c r="E291" s="9" t="s">
        <v>95</v>
      </c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>
      <c r="A292" s="29"/>
      <c r="B292" s="35"/>
      <c r="C292" s="29"/>
      <c r="D292" s="29"/>
      <c r="E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>
      <c r="A293" s="29"/>
      <c r="B293" s="35"/>
      <c r="C293" s="29"/>
      <c r="D293" s="29"/>
      <c r="E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>
      <c r="A294" s="96">
        <v>45310.0</v>
      </c>
      <c r="B294" s="7" t="s">
        <v>486</v>
      </c>
      <c r="C294" s="9" t="s">
        <v>487</v>
      </c>
      <c r="D294" s="9" t="s">
        <v>488</v>
      </c>
      <c r="E294" s="9" t="s">
        <v>489</v>
      </c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>
      <c r="A295" s="96">
        <v>45310.0</v>
      </c>
      <c r="B295" s="7" t="s">
        <v>490</v>
      </c>
      <c r="C295" s="9" t="s">
        <v>491</v>
      </c>
      <c r="D295" s="9" t="s">
        <v>492</v>
      </c>
      <c r="E295" s="9" t="s">
        <v>95</v>
      </c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>
      <c r="A296" s="96">
        <v>45310.0</v>
      </c>
      <c r="B296" s="7" t="s">
        <v>377</v>
      </c>
      <c r="C296" s="9" t="s">
        <v>378</v>
      </c>
      <c r="D296" s="9" t="s">
        <v>493</v>
      </c>
      <c r="E296" s="6" t="s">
        <v>494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>
      <c r="A297" s="96">
        <v>45310.0</v>
      </c>
      <c r="B297" s="7" t="s">
        <v>377</v>
      </c>
      <c r="C297" s="9" t="s">
        <v>378</v>
      </c>
      <c r="D297" s="9" t="s">
        <v>495</v>
      </c>
      <c r="E297" s="6" t="s">
        <v>388</v>
      </c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>
      <c r="A298" s="96">
        <v>45310.0</v>
      </c>
      <c r="B298" s="7" t="s">
        <v>431</v>
      </c>
      <c r="C298" s="9" t="s">
        <v>496</v>
      </c>
      <c r="D298" s="9" t="s">
        <v>497</v>
      </c>
      <c r="E298" s="6" t="s">
        <v>494</v>
      </c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>
      <c r="A299" s="96">
        <v>45310.0</v>
      </c>
      <c r="B299" s="7" t="s">
        <v>200</v>
      </c>
      <c r="C299" s="9" t="s">
        <v>498</v>
      </c>
      <c r="D299" s="9" t="s">
        <v>499</v>
      </c>
      <c r="E299" s="9" t="s">
        <v>95</v>
      </c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>
      <c r="A300" s="96">
        <v>45310.0</v>
      </c>
      <c r="B300" s="7" t="s">
        <v>389</v>
      </c>
      <c r="C300" s="95" t="s">
        <v>500</v>
      </c>
      <c r="D300" s="9" t="s">
        <v>501</v>
      </c>
      <c r="E300" s="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>
      <c r="A301" s="29"/>
      <c r="B301" s="35"/>
      <c r="C301" s="29"/>
      <c r="D301" s="29"/>
      <c r="E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>
      <c r="A302" s="6"/>
      <c r="B302" s="103"/>
      <c r="C302" s="6"/>
      <c r="D302" s="6"/>
      <c r="E302" s="6"/>
      <c r="F302" s="104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</row>
    <row r="303">
      <c r="A303" s="96">
        <v>45311.0</v>
      </c>
      <c r="B303" s="7" t="s">
        <v>502</v>
      </c>
      <c r="C303" s="9" t="s">
        <v>500</v>
      </c>
      <c r="D303" s="9" t="s">
        <v>503</v>
      </c>
      <c r="E303" s="9" t="s">
        <v>95</v>
      </c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>
      <c r="A304" s="96">
        <v>45311.0</v>
      </c>
      <c r="B304" s="7" t="s">
        <v>504</v>
      </c>
      <c r="C304" s="9" t="s">
        <v>505</v>
      </c>
      <c r="D304" s="9" t="s">
        <v>506</v>
      </c>
      <c r="E304" s="9" t="s">
        <v>507</v>
      </c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>
      <c r="A305" s="96">
        <v>45311.0</v>
      </c>
      <c r="B305" s="7" t="s">
        <v>504</v>
      </c>
      <c r="C305" s="9" t="s">
        <v>505</v>
      </c>
      <c r="D305" s="9" t="s">
        <v>506</v>
      </c>
      <c r="E305" s="9" t="s">
        <v>507</v>
      </c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>
      <c r="A306" s="96">
        <v>45311.0</v>
      </c>
      <c r="B306" s="7" t="s">
        <v>504</v>
      </c>
      <c r="C306" s="9" t="s">
        <v>508</v>
      </c>
      <c r="D306" s="9" t="s">
        <v>509</v>
      </c>
      <c r="E306" s="6" t="s">
        <v>125</v>
      </c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>
      <c r="A307" s="96">
        <v>45311.0</v>
      </c>
      <c r="B307" s="7" t="s">
        <v>389</v>
      </c>
      <c r="C307" s="9" t="s">
        <v>510</v>
      </c>
      <c r="D307" s="9" t="s">
        <v>511</v>
      </c>
      <c r="E307" s="9" t="s">
        <v>95</v>
      </c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>
      <c r="A308" s="96">
        <v>45311.0</v>
      </c>
      <c r="B308" s="7" t="s">
        <v>486</v>
      </c>
      <c r="C308" s="81" t="s">
        <v>512</v>
      </c>
      <c r="D308" s="9" t="s">
        <v>513</v>
      </c>
      <c r="E308" s="9" t="s">
        <v>95</v>
      </c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>
      <c r="A309" s="96">
        <v>45312.0</v>
      </c>
      <c r="B309" s="43" t="s">
        <v>490</v>
      </c>
      <c r="C309" s="51" t="s">
        <v>514</v>
      </c>
      <c r="D309" s="63" t="s">
        <v>515</v>
      </c>
      <c r="E309" s="9" t="s">
        <v>216</v>
      </c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>
      <c r="A310" s="96">
        <v>45312.0</v>
      </c>
      <c r="B310" s="43" t="s">
        <v>389</v>
      </c>
      <c r="C310" s="49" t="s">
        <v>446</v>
      </c>
      <c r="D310" s="63" t="s">
        <v>516</v>
      </c>
      <c r="E310" s="9" t="s">
        <v>125</v>
      </c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>
      <c r="A311" s="29"/>
      <c r="B311" s="35"/>
      <c r="C311" s="29"/>
      <c r="D311" s="29"/>
      <c r="E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>
      <c r="A312" s="29"/>
      <c r="B312" s="35"/>
      <c r="C312" s="29"/>
      <c r="D312" s="29"/>
      <c r="E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>
      <c r="A313" s="96">
        <v>45313.0</v>
      </c>
      <c r="B313" s="7" t="s">
        <v>377</v>
      </c>
      <c r="C313" s="9" t="s">
        <v>517</v>
      </c>
      <c r="D313" s="9" t="s">
        <v>252</v>
      </c>
      <c r="E313" s="6" t="s">
        <v>494</v>
      </c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>
      <c r="A314" s="96">
        <v>45313.0</v>
      </c>
      <c r="B314" s="7" t="s">
        <v>377</v>
      </c>
      <c r="C314" s="9" t="s">
        <v>443</v>
      </c>
      <c r="D314" s="9" t="s">
        <v>518</v>
      </c>
      <c r="E314" s="9" t="s">
        <v>143</v>
      </c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>
      <c r="A315" s="96">
        <v>45313.0</v>
      </c>
      <c r="B315" s="7" t="s">
        <v>392</v>
      </c>
      <c r="C315" s="9" t="s">
        <v>459</v>
      </c>
      <c r="D315" s="9" t="s">
        <v>460</v>
      </c>
      <c r="E315" s="9" t="s">
        <v>519</v>
      </c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>
      <c r="A316" s="96">
        <v>45313.0</v>
      </c>
      <c r="B316" s="7" t="s">
        <v>377</v>
      </c>
      <c r="C316" s="9" t="s">
        <v>378</v>
      </c>
      <c r="D316" s="9" t="s">
        <v>520</v>
      </c>
      <c r="E316" s="9" t="s">
        <v>143</v>
      </c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>
      <c r="A317" s="96">
        <v>45313.0</v>
      </c>
      <c r="B317" s="7" t="s">
        <v>377</v>
      </c>
      <c r="C317" s="9" t="s">
        <v>378</v>
      </c>
      <c r="D317" s="9" t="s">
        <v>521</v>
      </c>
      <c r="E317" s="9" t="s">
        <v>143</v>
      </c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>
      <c r="A318" s="96">
        <v>45313.0</v>
      </c>
      <c r="B318" s="7" t="s">
        <v>377</v>
      </c>
      <c r="C318" s="81" t="s">
        <v>378</v>
      </c>
      <c r="D318" s="9" t="s">
        <v>522</v>
      </c>
      <c r="E318" s="9" t="s">
        <v>143</v>
      </c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>
      <c r="A319" s="96">
        <v>45313.0</v>
      </c>
      <c r="B319" s="43" t="s">
        <v>392</v>
      </c>
      <c r="C319" s="49" t="s">
        <v>449</v>
      </c>
      <c r="D319" s="63" t="s">
        <v>523</v>
      </c>
      <c r="E319" s="6" t="s">
        <v>125</v>
      </c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>
      <c r="A320" s="96">
        <v>45313.0</v>
      </c>
      <c r="B320" s="7" t="s">
        <v>490</v>
      </c>
      <c r="C320" s="9" t="s">
        <v>524</v>
      </c>
      <c r="D320" s="9" t="s">
        <v>525</v>
      </c>
      <c r="E320" s="6" t="s">
        <v>143</v>
      </c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>
      <c r="A321" s="96">
        <v>45313.0</v>
      </c>
      <c r="B321" s="7" t="s">
        <v>490</v>
      </c>
      <c r="C321" s="9" t="s">
        <v>526</v>
      </c>
      <c r="D321" s="9" t="s">
        <v>527</v>
      </c>
      <c r="E321" s="9" t="s">
        <v>507</v>
      </c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>
      <c r="A322" s="96">
        <v>45313.0</v>
      </c>
      <c r="B322" s="7" t="s">
        <v>504</v>
      </c>
      <c r="C322" s="9" t="s">
        <v>505</v>
      </c>
      <c r="D322" s="9" t="s">
        <v>506</v>
      </c>
      <c r="E322" s="6" t="s">
        <v>125</v>
      </c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>
      <c r="A323" s="29"/>
      <c r="B323" s="35"/>
      <c r="C323" s="29"/>
      <c r="D323" s="29"/>
      <c r="E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>
      <c r="A324" s="29"/>
      <c r="B324" s="35"/>
      <c r="C324" s="29"/>
      <c r="D324" s="29"/>
      <c r="E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>
      <c r="A325" s="96">
        <v>45314.0</v>
      </c>
      <c r="B325" s="7" t="s">
        <v>389</v>
      </c>
      <c r="C325" s="9" t="s">
        <v>390</v>
      </c>
      <c r="D325" s="9" t="s">
        <v>528</v>
      </c>
      <c r="E325" s="6" t="s">
        <v>494</v>
      </c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>
      <c r="A326" s="96">
        <v>45314.0</v>
      </c>
      <c r="B326" s="7" t="s">
        <v>389</v>
      </c>
      <c r="C326" s="9" t="s">
        <v>529</v>
      </c>
      <c r="D326" s="9" t="s">
        <v>530</v>
      </c>
      <c r="E326" s="9" t="s">
        <v>531</v>
      </c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>
      <c r="A327" s="29"/>
      <c r="B327" s="35"/>
      <c r="C327" s="29"/>
      <c r="D327" s="29"/>
      <c r="E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>
      <c r="A328" s="29"/>
      <c r="B328" s="35"/>
      <c r="C328" s="29"/>
      <c r="D328" s="29"/>
      <c r="E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>
      <c r="A329" s="96">
        <v>45315.0</v>
      </c>
      <c r="B329" s="7" t="s">
        <v>413</v>
      </c>
      <c r="C329" s="9" t="s">
        <v>532</v>
      </c>
      <c r="D329" s="9" t="s">
        <v>533</v>
      </c>
      <c r="E329" s="9" t="s">
        <v>534</v>
      </c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>
      <c r="A330" s="96">
        <v>45315.0</v>
      </c>
      <c r="B330" s="7" t="s">
        <v>413</v>
      </c>
      <c r="C330" s="9" t="s">
        <v>414</v>
      </c>
      <c r="D330" s="9" t="s">
        <v>533</v>
      </c>
      <c r="E330" s="9" t="s">
        <v>534</v>
      </c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>
      <c r="A331" s="29"/>
      <c r="B331" s="35"/>
      <c r="C331" s="29"/>
      <c r="D331" s="29"/>
      <c r="E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>
      <c r="A332" s="29"/>
      <c r="B332" s="35"/>
      <c r="C332" s="29"/>
      <c r="D332" s="29"/>
      <c r="E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>
      <c r="A333" s="96">
        <v>45316.0</v>
      </c>
      <c r="B333" s="7" t="s">
        <v>486</v>
      </c>
      <c r="C333" s="9" t="s">
        <v>535</v>
      </c>
      <c r="D333" s="9" t="s">
        <v>536</v>
      </c>
      <c r="E333" s="9" t="s">
        <v>537</v>
      </c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>
      <c r="A334" s="96">
        <v>45316.0</v>
      </c>
      <c r="B334" s="7" t="s">
        <v>357</v>
      </c>
      <c r="C334" s="9" t="s">
        <v>538</v>
      </c>
      <c r="D334" s="9" t="s">
        <v>539</v>
      </c>
      <c r="E334" s="6" t="s">
        <v>540</v>
      </c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>
      <c r="A335" s="96">
        <v>45316.0</v>
      </c>
      <c r="B335" s="7" t="s">
        <v>431</v>
      </c>
      <c r="C335" s="9" t="s">
        <v>541</v>
      </c>
      <c r="D335" s="9" t="s">
        <v>542</v>
      </c>
      <c r="E335" s="9" t="s">
        <v>543</v>
      </c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>
      <c r="A336" s="29"/>
      <c r="B336" s="35"/>
      <c r="C336" s="29"/>
      <c r="D336" s="29"/>
      <c r="E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>
      <c r="A337" s="96">
        <v>45317.0</v>
      </c>
      <c r="B337" s="7" t="s">
        <v>431</v>
      </c>
      <c r="C337" s="9" t="s">
        <v>544</v>
      </c>
      <c r="D337" s="9" t="s">
        <v>545</v>
      </c>
      <c r="E337" s="9" t="s">
        <v>546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29"/>
      <c r="AD337" s="29"/>
    </row>
    <row r="338">
      <c r="A338" s="29"/>
      <c r="B338" s="35"/>
      <c r="C338" s="29"/>
      <c r="D338" s="29"/>
      <c r="E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>
      <c r="A339" s="96">
        <v>45321.0</v>
      </c>
      <c r="B339" s="7" t="s">
        <v>490</v>
      </c>
      <c r="C339" s="9" t="s">
        <v>526</v>
      </c>
      <c r="D339" s="9" t="s">
        <v>527</v>
      </c>
      <c r="E339" s="9" t="s">
        <v>125</v>
      </c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>
      <c r="A340" s="29"/>
      <c r="B340" s="35"/>
      <c r="C340" s="29"/>
      <c r="D340" s="29"/>
      <c r="E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>
      <c r="A341" s="29"/>
      <c r="B341" s="35"/>
      <c r="C341" s="29"/>
      <c r="D341" s="29"/>
      <c r="E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>
      <c r="A342" s="96">
        <v>45322.0</v>
      </c>
      <c r="B342" s="7" t="s">
        <v>547</v>
      </c>
      <c r="C342" s="9" t="s">
        <v>548</v>
      </c>
      <c r="D342" s="9" t="s">
        <v>549</v>
      </c>
      <c r="E342" s="9" t="s">
        <v>550</v>
      </c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>
      <c r="A343" s="96">
        <v>45322.0</v>
      </c>
      <c r="B343" s="7" t="s">
        <v>551</v>
      </c>
      <c r="C343" s="9" t="s">
        <v>552</v>
      </c>
      <c r="D343" s="9" t="s">
        <v>553</v>
      </c>
      <c r="E343" s="9" t="s">
        <v>554</v>
      </c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>
      <c r="A344" s="96">
        <v>45322.0</v>
      </c>
      <c r="B344" s="7" t="s">
        <v>551</v>
      </c>
      <c r="C344" s="9" t="s">
        <v>552</v>
      </c>
      <c r="D344" s="9" t="s">
        <v>555</v>
      </c>
      <c r="E344" s="9" t="s">
        <v>554</v>
      </c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>
      <c r="A345" s="96">
        <v>45322.0</v>
      </c>
      <c r="B345" s="7" t="s">
        <v>556</v>
      </c>
      <c r="C345" s="9" t="s">
        <v>557</v>
      </c>
      <c r="D345" s="9" t="s">
        <v>558</v>
      </c>
      <c r="E345" s="9" t="s">
        <v>40</v>
      </c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>
      <c r="A346" s="96">
        <v>45322.0</v>
      </c>
      <c r="B346" s="7" t="s">
        <v>556</v>
      </c>
      <c r="C346" s="9" t="s">
        <v>559</v>
      </c>
      <c r="D346" s="9" t="s">
        <v>560</v>
      </c>
      <c r="E346" s="9" t="s">
        <v>40</v>
      </c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>
      <c r="A347" s="96">
        <v>45322.0</v>
      </c>
      <c r="B347" s="7" t="s">
        <v>556</v>
      </c>
      <c r="C347" s="9" t="s">
        <v>561</v>
      </c>
      <c r="D347" s="9" t="s">
        <v>562</v>
      </c>
      <c r="E347" s="9" t="s">
        <v>40</v>
      </c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>
      <c r="A348" s="96">
        <v>45322.0</v>
      </c>
      <c r="B348" s="7" t="s">
        <v>556</v>
      </c>
      <c r="C348" s="9" t="s">
        <v>563</v>
      </c>
      <c r="D348" s="9" t="s">
        <v>564</v>
      </c>
      <c r="E348" s="9" t="s">
        <v>40</v>
      </c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>
      <c r="A349" s="96">
        <v>45322.0</v>
      </c>
      <c r="B349" s="7" t="s">
        <v>565</v>
      </c>
      <c r="C349" s="9" t="s">
        <v>566</v>
      </c>
      <c r="D349" s="9" t="s">
        <v>513</v>
      </c>
      <c r="E349" s="9" t="s">
        <v>567</v>
      </c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>
      <c r="A350" s="96">
        <v>45322.0</v>
      </c>
      <c r="B350" s="7" t="s">
        <v>556</v>
      </c>
      <c r="C350" s="9" t="s">
        <v>568</v>
      </c>
      <c r="D350" s="9" t="s">
        <v>569</v>
      </c>
      <c r="E350" s="9" t="s">
        <v>40</v>
      </c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>
      <c r="A351" s="96">
        <v>45322.0</v>
      </c>
      <c r="B351" s="7" t="s">
        <v>570</v>
      </c>
      <c r="C351" s="9" t="s">
        <v>136</v>
      </c>
      <c r="D351" s="9" t="s">
        <v>571</v>
      </c>
      <c r="E351" s="9" t="s">
        <v>572</v>
      </c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>
      <c r="A352" s="96">
        <v>45322.0</v>
      </c>
      <c r="B352" s="7" t="s">
        <v>556</v>
      </c>
      <c r="C352" s="9" t="s">
        <v>573</v>
      </c>
      <c r="D352" s="9" t="s">
        <v>574</v>
      </c>
      <c r="E352" s="9" t="s">
        <v>40</v>
      </c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>
      <c r="A353" s="96">
        <v>45322.0</v>
      </c>
      <c r="B353" s="7" t="s">
        <v>556</v>
      </c>
      <c r="C353" s="95" t="s">
        <v>561</v>
      </c>
      <c r="D353" s="9" t="s">
        <v>575</v>
      </c>
      <c r="E353" s="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>
      <c r="A354" s="96">
        <v>45322.0</v>
      </c>
      <c r="B354" s="7" t="s">
        <v>576</v>
      </c>
      <c r="C354" s="9" t="s">
        <v>577</v>
      </c>
      <c r="D354" s="9" t="s">
        <v>578</v>
      </c>
      <c r="E354" s="9" t="s">
        <v>567</v>
      </c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>
      <c r="A355" s="96">
        <v>45322.0</v>
      </c>
      <c r="B355" s="7" t="s">
        <v>576</v>
      </c>
      <c r="C355" s="9" t="s">
        <v>579</v>
      </c>
      <c r="D355" s="9" t="s">
        <v>580</v>
      </c>
      <c r="E355" s="9" t="s">
        <v>40</v>
      </c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>
      <c r="A356" s="96">
        <v>45322.0</v>
      </c>
      <c r="B356" s="7" t="s">
        <v>581</v>
      </c>
      <c r="C356" s="9" t="s">
        <v>582</v>
      </c>
      <c r="D356" s="9" t="s">
        <v>583</v>
      </c>
      <c r="E356" s="9" t="s">
        <v>95</v>
      </c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>
      <c r="A357" s="96">
        <v>45322.0</v>
      </c>
      <c r="B357" s="7" t="s">
        <v>581</v>
      </c>
      <c r="C357" s="9" t="s">
        <v>584</v>
      </c>
      <c r="D357" s="9" t="s">
        <v>585</v>
      </c>
      <c r="E357" s="9" t="s">
        <v>95</v>
      </c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>
      <c r="A358" s="96">
        <v>45322.0</v>
      </c>
      <c r="B358" s="7" t="s">
        <v>586</v>
      </c>
      <c r="C358" s="9" t="s">
        <v>587</v>
      </c>
      <c r="D358" s="9" t="s">
        <v>588</v>
      </c>
      <c r="E358" s="9" t="s">
        <v>388</v>
      </c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>
      <c r="A359" s="96">
        <v>45322.0</v>
      </c>
      <c r="B359" s="7" t="s">
        <v>576</v>
      </c>
      <c r="C359" s="9" t="s">
        <v>589</v>
      </c>
      <c r="D359" s="9" t="s">
        <v>590</v>
      </c>
      <c r="E359" s="9" t="s">
        <v>40</v>
      </c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>
      <c r="A360" s="96">
        <v>45322.0</v>
      </c>
      <c r="B360" s="7" t="s">
        <v>591</v>
      </c>
      <c r="C360" s="9" t="s">
        <v>592</v>
      </c>
      <c r="D360" s="9" t="s">
        <v>593</v>
      </c>
      <c r="E360" s="9" t="s">
        <v>196</v>
      </c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>
      <c r="A361" s="96">
        <v>45322.0</v>
      </c>
      <c r="B361" s="7" t="s">
        <v>594</v>
      </c>
      <c r="C361" s="9" t="s">
        <v>595</v>
      </c>
      <c r="D361" s="95" t="s">
        <v>596</v>
      </c>
      <c r="E361" s="9" t="s">
        <v>196</v>
      </c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>
      <c r="A362" s="96">
        <v>45322.0</v>
      </c>
      <c r="B362" s="7" t="s">
        <v>597</v>
      </c>
      <c r="C362" s="9" t="s">
        <v>598</v>
      </c>
      <c r="D362" s="9" t="s">
        <v>599</v>
      </c>
      <c r="E362" s="9" t="s">
        <v>196</v>
      </c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>
      <c r="A363" s="96">
        <v>45322.0</v>
      </c>
      <c r="B363" s="7" t="s">
        <v>600</v>
      </c>
      <c r="C363" s="9" t="s">
        <v>601</v>
      </c>
      <c r="D363" s="9" t="s">
        <v>602</v>
      </c>
      <c r="E363" s="9" t="s">
        <v>196</v>
      </c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>
      <c r="A364" s="96">
        <v>45322.0</v>
      </c>
      <c r="B364" s="7" t="s">
        <v>591</v>
      </c>
      <c r="C364" s="9" t="s">
        <v>603</v>
      </c>
      <c r="D364" s="9" t="s">
        <v>604</v>
      </c>
      <c r="E364" s="9" t="s">
        <v>196</v>
      </c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>
      <c r="A365" s="96">
        <v>45322.0</v>
      </c>
      <c r="B365" s="7" t="s">
        <v>605</v>
      </c>
      <c r="C365" s="9" t="s">
        <v>606</v>
      </c>
      <c r="D365" s="9" t="s">
        <v>607</v>
      </c>
      <c r="E365" s="9" t="s">
        <v>95</v>
      </c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>
      <c r="A366" s="96">
        <v>45322.0</v>
      </c>
      <c r="B366" s="7" t="s">
        <v>576</v>
      </c>
      <c r="C366" s="9" t="s">
        <v>608</v>
      </c>
      <c r="D366" s="9" t="s">
        <v>609</v>
      </c>
      <c r="E366" s="9" t="s">
        <v>40</v>
      </c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>
      <c r="A367" s="96">
        <v>45322.0</v>
      </c>
      <c r="B367" s="7" t="s">
        <v>600</v>
      </c>
      <c r="C367" s="9" t="s">
        <v>610</v>
      </c>
      <c r="D367" s="9" t="s">
        <v>611</v>
      </c>
      <c r="E367" s="9" t="s">
        <v>388</v>
      </c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>
      <c r="A368" s="96">
        <v>45322.0</v>
      </c>
      <c r="B368" s="7" t="s">
        <v>612</v>
      </c>
      <c r="C368" s="9" t="s">
        <v>613</v>
      </c>
      <c r="D368" s="9" t="s">
        <v>614</v>
      </c>
      <c r="E368" s="9" t="s">
        <v>40</v>
      </c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>
      <c r="A369" s="96">
        <v>45322.0</v>
      </c>
      <c r="B369" s="7" t="s">
        <v>576</v>
      </c>
      <c r="C369" s="9" t="s">
        <v>615</v>
      </c>
      <c r="D369" s="9" t="s">
        <v>616</v>
      </c>
      <c r="E369" s="9" t="s">
        <v>40</v>
      </c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>
      <c r="A370" s="96">
        <v>45322.0</v>
      </c>
      <c r="B370" s="7" t="s">
        <v>576</v>
      </c>
      <c r="C370" s="9" t="s">
        <v>617</v>
      </c>
      <c r="D370" s="9" t="s">
        <v>618</v>
      </c>
      <c r="E370" s="9" t="s">
        <v>40</v>
      </c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>
      <c r="A371" s="96">
        <v>45322.0</v>
      </c>
      <c r="B371" s="7" t="s">
        <v>600</v>
      </c>
      <c r="C371" s="9" t="s">
        <v>619</v>
      </c>
      <c r="D371" s="9" t="s">
        <v>620</v>
      </c>
      <c r="E371" s="9" t="s">
        <v>388</v>
      </c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>
      <c r="A372" s="96">
        <v>45322.0</v>
      </c>
      <c r="B372" s="7" t="s">
        <v>586</v>
      </c>
      <c r="C372" s="9" t="s">
        <v>621</v>
      </c>
      <c r="D372" s="9" t="s">
        <v>622</v>
      </c>
      <c r="E372" s="9" t="s">
        <v>388</v>
      </c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>
      <c r="A373" s="96">
        <v>45322.0</v>
      </c>
      <c r="B373" s="7" t="s">
        <v>576</v>
      </c>
      <c r="C373" s="9" t="s">
        <v>623</v>
      </c>
      <c r="D373" s="9" t="s">
        <v>624</v>
      </c>
      <c r="E373" s="9" t="s">
        <v>40</v>
      </c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>
      <c r="A374" s="96">
        <v>45322.0</v>
      </c>
      <c r="B374" s="7" t="s">
        <v>570</v>
      </c>
      <c r="C374" s="9" t="s">
        <v>625</v>
      </c>
      <c r="D374" s="9" t="s">
        <v>626</v>
      </c>
      <c r="E374" s="9" t="s">
        <v>40</v>
      </c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>
      <c r="A375" s="96">
        <v>45322.0</v>
      </c>
      <c r="B375" s="7" t="s">
        <v>627</v>
      </c>
      <c r="C375" s="9" t="s">
        <v>628</v>
      </c>
      <c r="D375" s="9" t="s">
        <v>629</v>
      </c>
      <c r="E375" s="9" t="s">
        <v>95</v>
      </c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>
      <c r="A376" s="96">
        <v>45322.0</v>
      </c>
      <c r="B376" s="7" t="s">
        <v>570</v>
      </c>
      <c r="C376" s="9" t="s">
        <v>630</v>
      </c>
      <c r="D376" s="9" t="s">
        <v>626</v>
      </c>
      <c r="E376" s="9" t="s">
        <v>40</v>
      </c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>
      <c r="A377" s="96">
        <v>45322.0</v>
      </c>
      <c r="B377" s="7" t="s">
        <v>576</v>
      </c>
      <c r="C377" s="9" t="s">
        <v>631</v>
      </c>
      <c r="D377" s="9" t="s">
        <v>632</v>
      </c>
      <c r="E377" s="9" t="s">
        <v>40</v>
      </c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>
      <c r="A378" s="96">
        <v>45322.0</v>
      </c>
      <c r="B378" s="7" t="s">
        <v>586</v>
      </c>
      <c r="C378" s="9" t="s">
        <v>633</v>
      </c>
      <c r="D378" s="9" t="s">
        <v>622</v>
      </c>
      <c r="E378" s="9" t="s">
        <v>388</v>
      </c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>
      <c r="A379" s="96">
        <v>45322.0</v>
      </c>
      <c r="B379" s="7" t="s">
        <v>581</v>
      </c>
      <c r="C379" s="9" t="s">
        <v>634</v>
      </c>
      <c r="D379" s="9" t="s">
        <v>635</v>
      </c>
      <c r="E379" s="9" t="s">
        <v>636</v>
      </c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>
      <c r="A380" s="96">
        <v>45322.0</v>
      </c>
      <c r="B380" s="7" t="s">
        <v>637</v>
      </c>
      <c r="C380" s="9" t="s">
        <v>638</v>
      </c>
      <c r="D380" s="9" t="s">
        <v>639</v>
      </c>
      <c r="E380" s="9" t="s">
        <v>125</v>
      </c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>
      <c r="A381" s="96">
        <v>45322.0</v>
      </c>
      <c r="B381" s="7" t="s">
        <v>640</v>
      </c>
      <c r="C381" s="9" t="s">
        <v>641</v>
      </c>
      <c r="D381" s="9" t="s">
        <v>642</v>
      </c>
      <c r="E381" s="9" t="s">
        <v>388</v>
      </c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>
      <c r="A382" s="96">
        <v>45322.0</v>
      </c>
      <c r="B382" s="7" t="s">
        <v>586</v>
      </c>
      <c r="C382" s="9" t="s">
        <v>638</v>
      </c>
      <c r="D382" s="9" t="s">
        <v>643</v>
      </c>
      <c r="E382" s="9" t="s">
        <v>567</v>
      </c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>
      <c r="A383" s="96">
        <v>45322.0</v>
      </c>
      <c r="B383" s="7" t="s">
        <v>644</v>
      </c>
      <c r="C383" s="9" t="s">
        <v>645</v>
      </c>
      <c r="D383" s="9" t="s">
        <v>646</v>
      </c>
      <c r="E383" s="9" t="s">
        <v>40</v>
      </c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>
      <c r="A384" s="96">
        <v>45322.0</v>
      </c>
      <c r="B384" s="7" t="s">
        <v>647</v>
      </c>
      <c r="C384" s="9" t="s">
        <v>648</v>
      </c>
      <c r="D384" s="9" t="s">
        <v>649</v>
      </c>
      <c r="E384" s="9" t="s">
        <v>40</v>
      </c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>
      <c r="A385" s="96">
        <v>45322.0</v>
      </c>
      <c r="B385" s="7" t="s">
        <v>600</v>
      </c>
      <c r="C385" s="9" t="s">
        <v>650</v>
      </c>
      <c r="D385" s="9" t="s">
        <v>620</v>
      </c>
      <c r="E385" s="9" t="s">
        <v>388</v>
      </c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>
      <c r="A386" s="96">
        <v>45322.0</v>
      </c>
      <c r="B386" s="7" t="s">
        <v>576</v>
      </c>
      <c r="C386" s="9" t="s">
        <v>651</v>
      </c>
      <c r="D386" s="9" t="s">
        <v>652</v>
      </c>
      <c r="E386" s="9" t="s">
        <v>40</v>
      </c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>
      <c r="A387" s="96">
        <v>45322.0</v>
      </c>
      <c r="B387" s="7" t="s">
        <v>576</v>
      </c>
      <c r="C387" s="9" t="s">
        <v>653</v>
      </c>
      <c r="D387" s="9" t="s">
        <v>649</v>
      </c>
      <c r="E387" s="9" t="s">
        <v>40</v>
      </c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>
      <c r="A388" s="96">
        <v>45322.0</v>
      </c>
      <c r="B388" s="7" t="s">
        <v>654</v>
      </c>
      <c r="C388" s="9" t="s">
        <v>655</v>
      </c>
      <c r="D388" s="9" t="s">
        <v>656</v>
      </c>
      <c r="E388" s="9" t="s">
        <v>388</v>
      </c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>
      <c r="A389" s="96">
        <v>45322.0</v>
      </c>
      <c r="B389" s="7" t="s">
        <v>657</v>
      </c>
      <c r="C389" s="9" t="s">
        <v>658</v>
      </c>
      <c r="D389" s="9" t="s">
        <v>659</v>
      </c>
      <c r="E389" s="9" t="s">
        <v>95</v>
      </c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>
      <c r="A390" s="96">
        <v>45322.0</v>
      </c>
      <c r="B390" s="7" t="s">
        <v>594</v>
      </c>
      <c r="C390" s="9" t="s">
        <v>660</v>
      </c>
      <c r="D390" s="9" t="s">
        <v>661</v>
      </c>
      <c r="E390" s="9" t="s">
        <v>388</v>
      </c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>
      <c r="A391" s="96">
        <v>45322.0</v>
      </c>
      <c r="B391" s="7" t="s">
        <v>570</v>
      </c>
      <c r="C391" s="9" t="s">
        <v>662</v>
      </c>
      <c r="D391" s="9" t="s">
        <v>626</v>
      </c>
      <c r="E391" s="9" t="s">
        <v>40</v>
      </c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>
      <c r="A392" s="96">
        <v>45322.0</v>
      </c>
      <c r="B392" s="7" t="s">
        <v>594</v>
      </c>
      <c r="C392" s="9" t="s">
        <v>663</v>
      </c>
      <c r="D392" s="9" t="s">
        <v>664</v>
      </c>
      <c r="E392" s="9" t="s">
        <v>388</v>
      </c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>
      <c r="A393" s="96">
        <v>45322.0</v>
      </c>
      <c r="B393" s="7" t="s">
        <v>576</v>
      </c>
      <c r="C393" s="9" t="s">
        <v>615</v>
      </c>
      <c r="D393" s="9" t="s">
        <v>665</v>
      </c>
      <c r="E393" s="9" t="s">
        <v>40</v>
      </c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>
      <c r="A394" s="29"/>
      <c r="B394" s="35"/>
      <c r="C394" s="29"/>
      <c r="D394" s="29"/>
      <c r="E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>
      <c r="A395" s="29"/>
      <c r="B395" s="35"/>
      <c r="C395" s="29"/>
      <c r="D395" s="29"/>
      <c r="E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>
      <c r="A396" s="96">
        <v>45323.0</v>
      </c>
      <c r="B396" s="7" t="s">
        <v>666</v>
      </c>
      <c r="C396" s="9" t="s">
        <v>667</v>
      </c>
      <c r="D396" s="9" t="s">
        <v>668</v>
      </c>
      <c r="E396" s="9" t="s">
        <v>669</v>
      </c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>
      <c r="A397" s="96">
        <v>45323.0</v>
      </c>
      <c r="B397" s="7" t="s">
        <v>666</v>
      </c>
      <c r="C397" s="9" t="s">
        <v>670</v>
      </c>
      <c r="D397" s="9" t="s">
        <v>671</v>
      </c>
      <c r="E397" s="9" t="s">
        <v>672</v>
      </c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>
      <c r="A398" s="96">
        <v>45323.0</v>
      </c>
      <c r="B398" s="7" t="s">
        <v>666</v>
      </c>
      <c r="C398" s="9" t="s">
        <v>508</v>
      </c>
      <c r="D398" s="9" t="s">
        <v>673</v>
      </c>
      <c r="E398" s="9" t="s">
        <v>674</v>
      </c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>
      <c r="A399" s="96">
        <v>45323.0</v>
      </c>
      <c r="B399" s="7" t="s">
        <v>666</v>
      </c>
      <c r="C399" s="9" t="s">
        <v>675</v>
      </c>
      <c r="D399" s="9" t="s">
        <v>676</v>
      </c>
      <c r="E399" s="9" t="s">
        <v>674</v>
      </c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>
      <c r="A400" s="96">
        <v>45323.0</v>
      </c>
      <c r="B400" s="7" t="s">
        <v>666</v>
      </c>
      <c r="C400" s="9" t="s">
        <v>677</v>
      </c>
      <c r="D400" s="9" t="s">
        <v>678</v>
      </c>
      <c r="E400" s="9" t="s">
        <v>674</v>
      </c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>
      <c r="A401" s="96">
        <v>45323.0</v>
      </c>
      <c r="B401" s="7" t="s">
        <v>666</v>
      </c>
      <c r="C401" s="9" t="s">
        <v>679</v>
      </c>
      <c r="D401" s="9" t="s">
        <v>680</v>
      </c>
      <c r="E401" s="9" t="s">
        <v>674</v>
      </c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>
      <c r="A402" s="96">
        <v>45323.0</v>
      </c>
      <c r="B402" s="7" t="s">
        <v>666</v>
      </c>
      <c r="C402" s="9" t="s">
        <v>681</v>
      </c>
      <c r="D402" s="9" t="s">
        <v>682</v>
      </c>
      <c r="E402" s="9" t="s">
        <v>674</v>
      </c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>
      <c r="A403" s="29"/>
      <c r="B403" s="35"/>
      <c r="C403" s="29"/>
      <c r="D403" s="29"/>
      <c r="E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>
      <c r="A404" s="105">
        <v>45324.0</v>
      </c>
      <c r="B404" s="89" t="s">
        <v>666</v>
      </c>
      <c r="C404" s="83" t="s">
        <v>683</v>
      </c>
      <c r="D404" s="83" t="s">
        <v>684</v>
      </c>
      <c r="E404" s="83" t="s">
        <v>143</v>
      </c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>
      <c r="A405" s="105">
        <v>45324.0</v>
      </c>
      <c r="B405" s="89" t="s">
        <v>666</v>
      </c>
      <c r="C405" s="83" t="s">
        <v>685</v>
      </c>
      <c r="D405" s="83" t="s">
        <v>686</v>
      </c>
      <c r="E405" s="83" t="s">
        <v>388</v>
      </c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>
      <c r="A406" s="29"/>
      <c r="B406" s="35"/>
      <c r="C406" s="29"/>
      <c r="D406" s="29"/>
      <c r="E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>
      <c r="A407" s="96">
        <v>45325.0</v>
      </c>
      <c r="B407" s="7" t="s">
        <v>431</v>
      </c>
      <c r="C407" s="81" t="s">
        <v>687</v>
      </c>
      <c r="D407" s="9" t="s">
        <v>688</v>
      </c>
      <c r="E407" s="9" t="s">
        <v>95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29"/>
      <c r="AD407" s="29"/>
    </row>
    <row r="408">
      <c r="A408" s="29"/>
      <c r="B408" s="35"/>
      <c r="C408" s="29"/>
      <c r="D408" s="29"/>
      <c r="E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>
      <c r="A409" s="96">
        <v>45327.0</v>
      </c>
      <c r="B409" s="43" t="s">
        <v>377</v>
      </c>
      <c r="C409" s="51" t="s">
        <v>378</v>
      </c>
      <c r="D409" s="60" t="s">
        <v>689</v>
      </c>
      <c r="E409" s="9" t="s">
        <v>244</v>
      </c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>
      <c r="A410" s="96">
        <v>45327.0</v>
      </c>
      <c r="B410" s="43" t="s">
        <v>377</v>
      </c>
      <c r="C410" s="49" t="s">
        <v>378</v>
      </c>
      <c r="D410" s="63" t="s">
        <v>690</v>
      </c>
      <c r="E410" s="9" t="s">
        <v>84</v>
      </c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>
      <c r="A411" s="29"/>
      <c r="B411" s="35"/>
      <c r="C411" s="29"/>
      <c r="D411" s="29"/>
      <c r="E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>
      <c r="A412" s="29"/>
      <c r="B412" s="35"/>
      <c r="C412" s="29"/>
      <c r="D412" s="29"/>
      <c r="E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>
      <c r="A413" s="106">
        <v>45328.0</v>
      </c>
      <c r="B413" s="43" t="s">
        <v>691</v>
      </c>
      <c r="C413" s="51" t="s">
        <v>692</v>
      </c>
      <c r="D413" s="63" t="s">
        <v>693</v>
      </c>
      <c r="E413" s="9" t="s">
        <v>694</v>
      </c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>
      <c r="A414" s="106">
        <v>45328.0</v>
      </c>
      <c r="B414" s="43" t="s">
        <v>377</v>
      </c>
      <c r="C414" s="51" t="s">
        <v>378</v>
      </c>
      <c r="D414" s="63" t="s">
        <v>695</v>
      </c>
      <c r="E414" s="9" t="s">
        <v>388</v>
      </c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>
      <c r="A415" s="106">
        <v>45328.0</v>
      </c>
      <c r="B415" s="43" t="s">
        <v>377</v>
      </c>
      <c r="C415" s="51" t="s">
        <v>696</v>
      </c>
      <c r="D415" s="63" t="s">
        <v>697</v>
      </c>
      <c r="E415" s="9" t="s">
        <v>388</v>
      </c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>
      <c r="A416" s="106">
        <v>45328.0</v>
      </c>
      <c r="B416" s="43" t="s">
        <v>377</v>
      </c>
      <c r="C416" s="51" t="s">
        <v>696</v>
      </c>
      <c r="D416" s="63" t="s">
        <v>698</v>
      </c>
      <c r="E416" s="9" t="s">
        <v>388</v>
      </c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>
      <c r="A417" s="106">
        <v>45328.0</v>
      </c>
      <c r="B417" s="43" t="s">
        <v>357</v>
      </c>
      <c r="C417" s="51" t="s">
        <v>358</v>
      </c>
      <c r="D417" s="63" t="s">
        <v>699</v>
      </c>
      <c r="E417" s="9" t="s">
        <v>700</v>
      </c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>
      <c r="A418" s="106">
        <v>45328.0</v>
      </c>
      <c r="B418" s="43" t="s">
        <v>377</v>
      </c>
      <c r="C418" s="51" t="s">
        <v>701</v>
      </c>
      <c r="D418" s="63" t="s">
        <v>698</v>
      </c>
      <c r="E418" s="9" t="s">
        <v>388</v>
      </c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>
      <c r="A419" s="106">
        <v>45328.0</v>
      </c>
      <c r="B419" s="43" t="s">
        <v>357</v>
      </c>
      <c r="C419" s="51" t="s">
        <v>538</v>
      </c>
      <c r="D419" s="63" t="s">
        <v>702</v>
      </c>
      <c r="E419" s="9" t="s">
        <v>700</v>
      </c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>
      <c r="A420" s="106">
        <v>45328.0</v>
      </c>
      <c r="B420" s="43" t="s">
        <v>357</v>
      </c>
      <c r="C420" s="49" t="s">
        <v>358</v>
      </c>
      <c r="D420" s="63" t="s">
        <v>703</v>
      </c>
      <c r="E420" s="9" t="s">
        <v>700</v>
      </c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>
      <c r="A421" s="29"/>
      <c r="B421" s="35"/>
      <c r="C421" s="29"/>
      <c r="D421" s="29"/>
      <c r="E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>
      <c r="A422" s="29"/>
      <c r="B422" s="35"/>
      <c r="C422" s="29"/>
      <c r="E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>
      <c r="A423" s="106">
        <v>45329.0</v>
      </c>
      <c r="B423" s="43" t="s">
        <v>357</v>
      </c>
      <c r="C423" s="51" t="s">
        <v>704</v>
      </c>
      <c r="D423" s="63" t="s">
        <v>705</v>
      </c>
      <c r="E423" s="9" t="s">
        <v>700</v>
      </c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>
      <c r="A424" s="106">
        <v>45329.0</v>
      </c>
      <c r="B424" s="43" t="s">
        <v>357</v>
      </c>
      <c r="C424" s="51" t="s">
        <v>706</v>
      </c>
      <c r="D424" s="63" t="s">
        <v>707</v>
      </c>
      <c r="E424" s="9" t="s">
        <v>700</v>
      </c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>
      <c r="A425" s="106">
        <v>45329.0</v>
      </c>
      <c r="B425" s="43" t="s">
        <v>357</v>
      </c>
      <c r="C425" s="51" t="s">
        <v>708</v>
      </c>
      <c r="D425" s="63" t="s">
        <v>709</v>
      </c>
      <c r="E425" s="9" t="s">
        <v>700</v>
      </c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>
      <c r="A426" s="106">
        <v>45329.0</v>
      </c>
      <c r="B426" s="43" t="s">
        <v>357</v>
      </c>
      <c r="C426" s="49" t="s">
        <v>358</v>
      </c>
      <c r="D426" s="63" t="s">
        <v>710</v>
      </c>
      <c r="E426" s="9" t="s">
        <v>700</v>
      </c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>
      <c r="A427" s="29"/>
      <c r="B427" s="35"/>
      <c r="C427" s="29"/>
      <c r="D427" s="29"/>
      <c r="E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>
      <c r="A428" s="106">
        <v>45330.0</v>
      </c>
      <c r="B428" s="43" t="s">
        <v>357</v>
      </c>
      <c r="C428" s="61" t="s">
        <v>711</v>
      </c>
      <c r="D428" s="63" t="s">
        <v>712</v>
      </c>
      <c r="E428" s="9" t="s">
        <v>700</v>
      </c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>
      <c r="A429" s="106">
        <v>45330.0</v>
      </c>
      <c r="B429" s="43" t="s">
        <v>357</v>
      </c>
      <c r="C429" s="51" t="s">
        <v>713</v>
      </c>
      <c r="D429" s="63" t="s">
        <v>714</v>
      </c>
      <c r="E429" s="9" t="s">
        <v>700</v>
      </c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>
      <c r="A430" s="106">
        <v>45330.0</v>
      </c>
      <c r="B430" s="43" t="s">
        <v>357</v>
      </c>
      <c r="C430" s="49" t="s">
        <v>715</v>
      </c>
      <c r="D430" s="63" t="s">
        <v>714</v>
      </c>
      <c r="E430" s="9" t="s">
        <v>700</v>
      </c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>
      <c r="A431" s="29"/>
      <c r="B431" s="35"/>
      <c r="C431" s="29"/>
      <c r="D431" s="29"/>
      <c r="E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>
      <c r="A432" s="106">
        <v>45333.0</v>
      </c>
      <c r="B432" s="43" t="s">
        <v>666</v>
      </c>
      <c r="C432" s="51" t="s">
        <v>716</v>
      </c>
      <c r="D432" s="63" t="s">
        <v>717</v>
      </c>
      <c r="E432" s="9" t="s">
        <v>718</v>
      </c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>
      <c r="A433" s="106">
        <v>45334.0</v>
      </c>
      <c r="B433" s="43" t="s">
        <v>719</v>
      </c>
      <c r="C433" s="51" t="s">
        <v>720</v>
      </c>
      <c r="D433" s="63" t="s">
        <v>721</v>
      </c>
      <c r="E433" s="9" t="s">
        <v>718</v>
      </c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>
      <c r="A434" s="106">
        <v>45334.0</v>
      </c>
      <c r="B434" s="43" t="s">
        <v>719</v>
      </c>
      <c r="C434" s="51" t="s">
        <v>722</v>
      </c>
      <c r="D434" s="63" t="s">
        <v>723</v>
      </c>
      <c r="E434" s="9" t="s">
        <v>724</v>
      </c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>
      <c r="A435" s="106">
        <v>45334.0</v>
      </c>
      <c r="B435" s="43" t="s">
        <v>719</v>
      </c>
      <c r="C435" s="51" t="s">
        <v>725</v>
      </c>
      <c r="D435" s="63" t="s">
        <v>726</v>
      </c>
      <c r="E435" s="9" t="s">
        <v>727</v>
      </c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>
      <c r="A436" s="106">
        <v>45335.0</v>
      </c>
      <c r="B436" s="43" t="s">
        <v>728</v>
      </c>
      <c r="C436" s="49" t="s">
        <v>729</v>
      </c>
      <c r="D436" s="63" t="s">
        <v>730</v>
      </c>
      <c r="E436" s="6" t="s">
        <v>125</v>
      </c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>
      <c r="A437" s="29"/>
      <c r="B437" s="35"/>
      <c r="C437" s="29"/>
      <c r="D437" s="29"/>
      <c r="E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>
      <c r="A438" s="106">
        <v>45337.0</v>
      </c>
      <c r="B438" s="43" t="s">
        <v>728</v>
      </c>
      <c r="C438" s="49" t="s">
        <v>731</v>
      </c>
      <c r="D438" s="60" t="s">
        <v>732</v>
      </c>
      <c r="E438" s="9" t="s">
        <v>718</v>
      </c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>
      <c r="A439" s="29"/>
      <c r="B439" s="35"/>
      <c r="C439" s="29"/>
      <c r="D439" s="29"/>
      <c r="E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>
      <c r="A440" s="107" t="s">
        <v>733</v>
      </c>
      <c r="B440" s="37" t="s">
        <v>666</v>
      </c>
      <c r="C440" s="38" t="s">
        <v>734</v>
      </c>
      <c r="D440" s="39" t="s">
        <v>735</v>
      </c>
      <c r="E440" s="83" t="s">
        <v>388</v>
      </c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>
      <c r="A441" s="29"/>
      <c r="B441" s="35"/>
      <c r="C441" s="29"/>
      <c r="D441" s="29"/>
      <c r="E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>
      <c r="A442" s="106">
        <v>45340.0</v>
      </c>
      <c r="B442" s="40" t="s">
        <v>728</v>
      </c>
      <c r="C442" s="87" t="s">
        <v>736</v>
      </c>
      <c r="D442" s="42" t="s">
        <v>737</v>
      </c>
      <c r="E442" s="83" t="s">
        <v>125</v>
      </c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>
      <c r="B443" s="35"/>
      <c r="C443" s="29"/>
      <c r="D443" s="29"/>
      <c r="E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>
      <c r="A444" s="106">
        <v>45343.0</v>
      </c>
      <c r="B444" s="43" t="s">
        <v>392</v>
      </c>
      <c r="C444" s="61" t="s">
        <v>459</v>
      </c>
      <c r="D444" s="63" t="s">
        <v>738</v>
      </c>
      <c r="E444" s="9" t="s">
        <v>739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29"/>
      <c r="AD444" s="29"/>
    </row>
    <row r="445">
      <c r="A445" s="29"/>
      <c r="B445" s="35"/>
      <c r="C445" s="29"/>
      <c r="D445" s="29"/>
      <c r="E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>
      <c r="A446" s="6"/>
      <c r="B446" s="103"/>
      <c r="C446" s="108"/>
      <c r="D446" s="6"/>
      <c r="E446" s="6"/>
      <c r="F446" s="104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</row>
    <row r="447">
      <c r="A447" s="106">
        <v>45345.0</v>
      </c>
      <c r="B447" s="43" t="s">
        <v>740</v>
      </c>
      <c r="C447" s="49" t="s">
        <v>741</v>
      </c>
      <c r="D447" s="63" t="s">
        <v>742</v>
      </c>
      <c r="E447" s="9" t="s">
        <v>743</v>
      </c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>
      <c r="A448" s="106">
        <v>45346.0</v>
      </c>
      <c r="B448" s="43" t="s">
        <v>392</v>
      </c>
      <c r="C448" s="69" t="s">
        <v>744</v>
      </c>
      <c r="D448" s="60" t="s">
        <v>745</v>
      </c>
      <c r="E448" s="9" t="s">
        <v>746</v>
      </c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>
      <c r="A449" s="106">
        <v>45347.0</v>
      </c>
      <c r="B449" s="43" t="s">
        <v>392</v>
      </c>
      <c r="C449" s="109" t="s">
        <v>747</v>
      </c>
      <c r="D449" s="63" t="s">
        <v>748</v>
      </c>
      <c r="E449" s="9" t="s">
        <v>749</v>
      </c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>
      <c r="A450" s="106">
        <v>45347.0</v>
      </c>
      <c r="B450" s="43" t="s">
        <v>392</v>
      </c>
      <c r="C450" s="109" t="s">
        <v>747</v>
      </c>
      <c r="D450" s="63" t="s">
        <v>750</v>
      </c>
      <c r="E450" s="9" t="s">
        <v>749</v>
      </c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>
      <c r="A451" s="106">
        <v>45347.0</v>
      </c>
      <c r="B451" s="43" t="s">
        <v>392</v>
      </c>
      <c r="C451" s="109" t="s">
        <v>747</v>
      </c>
      <c r="D451" s="63" t="s">
        <v>751</v>
      </c>
      <c r="E451" s="9" t="s">
        <v>749</v>
      </c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>
      <c r="A452" s="106">
        <v>45347.0</v>
      </c>
      <c r="B452" s="43" t="s">
        <v>392</v>
      </c>
      <c r="C452" s="109" t="s">
        <v>393</v>
      </c>
      <c r="D452" s="63" t="s">
        <v>752</v>
      </c>
      <c r="E452" s="9" t="s">
        <v>749</v>
      </c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>
      <c r="A453" s="106">
        <v>45347.0</v>
      </c>
      <c r="B453" s="43" t="s">
        <v>392</v>
      </c>
      <c r="C453" s="109" t="s">
        <v>747</v>
      </c>
      <c r="D453" s="63" t="s">
        <v>753</v>
      </c>
      <c r="E453" s="9" t="s">
        <v>749</v>
      </c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>
      <c r="A454" s="106">
        <v>45347.0</v>
      </c>
      <c r="B454" s="43" t="s">
        <v>392</v>
      </c>
      <c r="C454" s="109" t="s">
        <v>747</v>
      </c>
      <c r="D454" s="63" t="s">
        <v>754</v>
      </c>
      <c r="E454" s="9" t="s">
        <v>749</v>
      </c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>
      <c r="A455" s="106">
        <v>45347.0</v>
      </c>
      <c r="B455" s="43" t="s">
        <v>392</v>
      </c>
      <c r="C455" s="109" t="s">
        <v>393</v>
      </c>
      <c r="D455" s="63" t="s">
        <v>755</v>
      </c>
      <c r="E455" s="9" t="s">
        <v>749</v>
      </c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>
      <c r="A456" s="106">
        <v>45347.0</v>
      </c>
      <c r="B456" s="43" t="s">
        <v>392</v>
      </c>
      <c r="C456" s="109" t="s">
        <v>393</v>
      </c>
      <c r="D456" s="63" t="s">
        <v>756</v>
      </c>
      <c r="E456" s="9" t="s">
        <v>749</v>
      </c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>
      <c r="A457" s="106">
        <v>45347.0</v>
      </c>
      <c r="B457" s="43" t="s">
        <v>392</v>
      </c>
      <c r="C457" s="109" t="s">
        <v>747</v>
      </c>
      <c r="D457" s="63" t="s">
        <v>757</v>
      </c>
      <c r="E457" s="9" t="s">
        <v>749</v>
      </c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>
      <c r="A458" s="106">
        <v>45347.0</v>
      </c>
      <c r="B458" s="43" t="s">
        <v>357</v>
      </c>
      <c r="C458" s="49" t="s">
        <v>758</v>
      </c>
      <c r="D458" s="63" t="s">
        <v>759</v>
      </c>
      <c r="E458" s="9" t="s">
        <v>760</v>
      </c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>
      <c r="A459" s="29"/>
      <c r="B459" s="35"/>
      <c r="C459" s="29"/>
      <c r="D459" s="29"/>
      <c r="E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>
      <c r="A460" s="101">
        <v>45349.0</v>
      </c>
      <c r="B460" s="43" t="s">
        <v>392</v>
      </c>
      <c r="C460" s="61" t="s">
        <v>393</v>
      </c>
      <c r="D460" s="63" t="s">
        <v>761</v>
      </c>
      <c r="E460" s="6" t="s">
        <v>762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29"/>
      <c r="AD460" s="29"/>
    </row>
    <row r="461">
      <c r="A461" s="29"/>
      <c r="B461" s="35"/>
      <c r="C461" s="29"/>
      <c r="D461" s="29"/>
      <c r="E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>
      <c r="A462" s="101">
        <v>45350.0</v>
      </c>
      <c r="B462" s="43" t="s">
        <v>392</v>
      </c>
      <c r="C462" s="61" t="s">
        <v>418</v>
      </c>
      <c r="D462" s="63" t="s">
        <v>763</v>
      </c>
      <c r="E462" s="6" t="s">
        <v>764</v>
      </c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29"/>
      <c r="AD462" s="29"/>
    </row>
    <row r="463">
      <c r="A463" s="29"/>
      <c r="B463" s="35"/>
      <c r="C463" s="29"/>
      <c r="D463" s="29"/>
      <c r="E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>
      <c r="A464" s="101">
        <v>45355.0</v>
      </c>
      <c r="B464" s="43" t="s">
        <v>357</v>
      </c>
      <c r="C464" s="61" t="s">
        <v>765</v>
      </c>
      <c r="D464" s="63" t="s">
        <v>766</v>
      </c>
      <c r="E464" s="9" t="s">
        <v>767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29"/>
      <c r="AD464" s="29"/>
    </row>
    <row r="465">
      <c r="A465" s="29"/>
      <c r="B465" s="35"/>
      <c r="C465" s="29"/>
      <c r="D465" s="29"/>
      <c r="E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>
      <c r="A466" s="101">
        <v>45357.0</v>
      </c>
      <c r="B466" s="43" t="s">
        <v>768</v>
      </c>
      <c r="C466" s="61" t="s">
        <v>769</v>
      </c>
      <c r="D466" s="63" t="s">
        <v>770</v>
      </c>
      <c r="E466" s="9" t="s">
        <v>694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29"/>
      <c r="AD466" s="29"/>
    </row>
    <row r="467">
      <c r="A467" s="101">
        <v>45357.0</v>
      </c>
      <c r="B467" s="43" t="s">
        <v>771</v>
      </c>
      <c r="C467" s="61" t="s">
        <v>772</v>
      </c>
      <c r="D467" s="63" t="s">
        <v>773</v>
      </c>
      <c r="E467" s="6" t="s">
        <v>694</v>
      </c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29"/>
      <c r="AD467" s="29"/>
    </row>
    <row r="468">
      <c r="A468" s="101">
        <v>45357.0</v>
      </c>
      <c r="B468" s="43" t="s">
        <v>774</v>
      </c>
      <c r="C468" s="61" t="s">
        <v>775</v>
      </c>
      <c r="D468" s="63" t="s">
        <v>776</v>
      </c>
      <c r="E468" s="9" t="s">
        <v>125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29"/>
      <c r="AD468" s="29"/>
    </row>
    <row r="469">
      <c r="A469" s="101">
        <v>45357.0</v>
      </c>
      <c r="B469" s="43" t="s">
        <v>777</v>
      </c>
      <c r="C469" s="61" t="s">
        <v>778</v>
      </c>
      <c r="D469" s="63" t="s">
        <v>779</v>
      </c>
      <c r="E469" s="6" t="s">
        <v>125</v>
      </c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29"/>
      <c r="AD469" s="29"/>
    </row>
    <row r="470">
      <c r="A470" s="101">
        <v>45357.0</v>
      </c>
      <c r="B470" s="43" t="s">
        <v>780</v>
      </c>
      <c r="C470" s="51" t="s">
        <v>781</v>
      </c>
      <c r="D470" s="63" t="s">
        <v>782</v>
      </c>
      <c r="E470" s="6" t="s">
        <v>125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29"/>
      <c r="AD470" s="29"/>
    </row>
    <row r="471">
      <c r="A471" s="101">
        <v>45357.0</v>
      </c>
      <c r="B471" s="43" t="s">
        <v>774</v>
      </c>
      <c r="C471" s="51" t="s">
        <v>783</v>
      </c>
      <c r="D471" s="63" t="s">
        <v>784</v>
      </c>
      <c r="E471" s="6" t="s">
        <v>125</v>
      </c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29"/>
      <c r="AD471" s="29"/>
    </row>
    <row r="472">
      <c r="A472" s="101">
        <v>45357.0</v>
      </c>
      <c r="B472" s="43" t="s">
        <v>785</v>
      </c>
      <c r="C472" s="61" t="s">
        <v>786</v>
      </c>
      <c r="D472" s="63" t="s">
        <v>787</v>
      </c>
      <c r="E472" s="9" t="s">
        <v>95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29"/>
      <c r="AD472" s="29"/>
    </row>
    <row r="473">
      <c r="A473" s="101">
        <v>45357.0</v>
      </c>
      <c r="B473" s="43" t="s">
        <v>768</v>
      </c>
      <c r="C473" s="61" t="s">
        <v>788</v>
      </c>
      <c r="D473" s="63" t="s">
        <v>789</v>
      </c>
      <c r="E473" s="9" t="s">
        <v>790</v>
      </c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29"/>
      <c r="AD473" s="29"/>
    </row>
    <row r="474">
      <c r="A474" s="101">
        <v>45357.0</v>
      </c>
      <c r="B474" s="43" t="s">
        <v>357</v>
      </c>
      <c r="C474" s="61" t="s">
        <v>791</v>
      </c>
      <c r="D474" s="63" t="s">
        <v>792</v>
      </c>
      <c r="E474" s="6" t="s">
        <v>210</v>
      </c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29"/>
      <c r="AD474" s="29"/>
    </row>
    <row r="475">
      <c r="A475" s="101">
        <v>45357.0</v>
      </c>
      <c r="B475" s="43" t="s">
        <v>357</v>
      </c>
      <c r="C475" s="51" t="s">
        <v>793</v>
      </c>
      <c r="D475" s="63" t="s">
        <v>792</v>
      </c>
      <c r="E475" s="9" t="s">
        <v>794</v>
      </c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29"/>
      <c r="AD475" s="29"/>
    </row>
    <row r="476">
      <c r="A476" s="101">
        <v>45357.0</v>
      </c>
      <c r="B476" s="43" t="s">
        <v>357</v>
      </c>
      <c r="C476" s="51" t="s">
        <v>795</v>
      </c>
      <c r="D476" s="63" t="s">
        <v>796</v>
      </c>
      <c r="E476" s="6" t="s">
        <v>210</v>
      </c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29"/>
      <c r="AD476" s="29"/>
    </row>
    <row r="477">
      <c r="A477" s="29"/>
      <c r="B477" s="35"/>
      <c r="C477" s="29"/>
      <c r="D477" s="29"/>
      <c r="E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>
      <c r="A478" s="101">
        <v>45365.0</v>
      </c>
      <c r="B478" s="88" t="s">
        <v>666</v>
      </c>
      <c r="C478" s="61" t="s">
        <v>797</v>
      </c>
      <c r="D478" s="63" t="s">
        <v>798</v>
      </c>
      <c r="E478" s="9" t="s">
        <v>196</v>
      </c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29"/>
      <c r="AD478" s="29"/>
    </row>
    <row r="479">
      <c r="A479" s="101">
        <v>45365.0</v>
      </c>
      <c r="B479" s="43" t="s">
        <v>666</v>
      </c>
      <c r="C479" s="51" t="s">
        <v>799</v>
      </c>
      <c r="D479" s="63" t="s">
        <v>800</v>
      </c>
      <c r="E479" s="9" t="s">
        <v>216</v>
      </c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29"/>
      <c r="AD479" s="29"/>
    </row>
    <row r="480">
      <c r="A480" s="29"/>
      <c r="B480" s="35"/>
      <c r="C480" s="29"/>
      <c r="D480" s="29"/>
      <c r="E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>
      <c r="A481" s="101">
        <v>45366.0</v>
      </c>
      <c r="B481" s="7" t="s">
        <v>801</v>
      </c>
      <c r="C481" s="61" t="s">
        <v>802</v>
      </c>
      <c r="D481" s="63" t="s">
        <v>803</v>
      </c>
      <c r="E481" s="9" t="s">
        <v>125</v>
      </c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29"/>
      <c r="AD481" s="29"/>
    </row>
    <row r="482">
      <c r="A482" s="29"/>
      <c r="B482" s="35"/>
      <c r="C482" s="29"/>
      <c r="D482" s="29"/>
      <c r="E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>
      <c r="A483" s="101">
        <v>45368.0</v>
      </c>
      <c r="B483" s="43" t="s">
        <v>804</v>
      </c>
      <c r="C483" s="61" t="s">
        <v>805</v>
      </c>
      <c r="D483" s="63" t="s">
        <v>806</v>
      </c>
      <c r="E483" s="9" t="s">
        <v>807</v>
      </c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29"/>
      <c r="AD483" s="29"/>
    </row>
    <row r="484">
      <c r="A484" s="29"/>
      <c r="B484" s="35"/>
      <c r="C484" s="29"/>
      <c r="D484" s="29"/>
      <c r="E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>
      <c r="A485" s="101">
        <v>45369.0</v>
      </c>
      <c r="B485" s="43" t="s">
        <v>808</v>
      </c>
      <c r="C485" s="61" t="s">
        <v>809</v>
      </c>
      <c r="D485" s="63" t="s">
        <v>810</v>
      </c>
      <c r="E485" s="6" t="s">
        <v>309</v>
      </c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29"/>
      <c r="AD485" s="29"/>
    </row>
    <row r="486">
      <c r="A486" s="29"/>
      <c r="B486" s="35"/>
      <c r="C486" s="29"/>
      <c r="D486" s="29"/>
      <c r="E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>
      <c r="A487" s="101">
        <v>45371.0</v>
      </c>
      <c r="B487" s="43" t="s">
        <v>666</v>
      </c>
      <c r="C487" s="61" t="s">
        <v>811</v>
      </c>
      <c r="D487" s="63" t="s">
        <v>812</v>
      </c>
      <c r="E487" s="9" t="s">
        <v>242</v>
      </c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29"/>
      <c r="AD487" s="29"/>
    </row>
    <row r="488">
      <c r="A488" s="101">
        <v>45371.0</v>
      </c>
      <c r="B488" s="43" t="s">
        <v>666</v>
      </c>
      <c r="C488" s="51" t="s">
        <v>813</v>
      </c>
      <c r="D488" s="63" t="s">
        <v>814</v>
      </c>
      <c r="E488" s="6" t="s">
        <v>309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29"/>
      <c r="AD488" s="29"/>
    </row>
    <row r="489">
      <c r="A489" s="101">
        <v>45371.0</v>
      </c>
      <c r="B489" s="43" t="s">
        <v>666</v>
      </c>
      <c r="C489" s="61" t="s">
        <v>815</v>
      </c>
      <c r="D489" s="63" t="s">
        <v>816</v>
      </c>
      <c r="E489" s="9" t="s">
        <v>242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29"/>
      <c r="AD489" s="29"/>
    </row>
    <row r="490">
      <c r="A490" s="101">
        <v>45371.0</v>
      </c>
      <c r="B490" s="88" t="s">
        <v>666</v>
      </c>
      <c r="C490" s="51" t="s">
        <v>813</v>
      </c>
      <c r="D490" s="63" t="s">
        <v>817</v>
      </c>
      <c r="E490" s="9" t="s">
        <v>242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29"/>
      <c r="AD490" s="29"/>
    </row>
    <row r="491">
      <c r="A491" s="101">
        <v>45371.0</v>
      </c>
      <c r="B491" s="43" t="s">
        <v>666</v>
      </c>
      <c r="C491" s="61" t="s">
        <v>813</v>
      </c>
      <c r="D491" s="63" t="s">
        <v>818</v>
      </c>
      <c r="E491" s="9" t="s">
        <v>546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29"/>
      <c r="AD491" s="29"/>
    </row>
    <row r="492">
      <c r="A492" s="101">
        <v>45371.0</v>
      </c>
      <c r="B492" s="43" t="s">
        <v>666</v>
      </c>
      <c r="C492" s="61" t="s">
        <v>813</v>
      </c>
      <c r="D492" s="63" t="s">
        <v>819</v>
      </c>
      <c r="E492" s="9" t="s">
        <v>95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29"/>
      <c r="AD492" s="29"/>
    </row>
    <row r="493">
      <c r="A493" s="101">
        <v>45371.0</v>
      </c>
      <c r="B493" s="43" t="s">
        <v>666</v>
      </c>
      <c r="C493" s="51" t="s">
        <v>799</v>
      </c>
      <c r="D493" s="63" t="s">
        <v>820</v>
      </c>
      <c r="E493" s="6" t="s">
        <v>762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29"/>
      <c r="AD493" s="29"/>
    </row>
    <row r="494">
      <c r="A494" s="29"/>
      <c r="B494" s="35"/>
      <c r="C494" s="29"/>
      <c r="D494" s="29"/>
      <c r="E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>
      <c r="A495" s="101">
        <v>45372.0</v>
      </c>
      <c r="B495" s="43" t="s">
        <v>666</v>
      </c>
      <c r="C495" s="69" t="s">
        <v>821</v>
      </c>
      <c r="D495" s="63" t="s">
        <v>816</v>
      </c>
      <c r="E495" s="9" t="s">
        <v>95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29"/>
      <c r="AD495" s="29"/>
    </row>
    <row r="496">
      <c r="A496" s="101">
        <v>45372.0</v>
      </c>
      <c r="B496" s="43" t="s">
        <v>666</v>
      </c>
      <c r="C496" s="69" t="s">
        <v>822</v>
      </c>
      <c r="D496" s="63" t="s">
        <v>814</v>
      </c>
      <c r="E496" s="6" t="s">
        <v>309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29"/>
      <c r="AD496" s="29"/>
    </row>
    <row r="497">
      <c r="A497" s="101">
        <v>45372.0</v>
      </c>
      <c r="B497" s="43" t="s">
        <v>666</v>
      </c>
      <c r="C497" s="61" t="s">
        <v>813</v>
      </c>
      <c r="D497" s="63" t="s">
        <v>814</v>
      </c>
      <c r="E497" s="6" t="s">
        <v>309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29"/>
      <c r="AD497" s="29"/>
    </row>
    <row r="498">
      <c r="A498" s="29"/>
      <c r="B498" s="35"/>
      <c r="C498" s="29"/>
      <c r="D498" s="29"/>
      <c r="E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>
      <c r="A499" s="101">
        <v>45373.0</v>
      </c>
      <c r="B499" s="43" t="s">
        <v>823</v>
      </c>
      <c r="C499" s="61" t="s">
        <v>824</v>
      </c>
      <c r="D499" s="63" t="s">
        <v>825</v>
      </c>
      <c r="E499" s="9" t="s">
        <v>826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29"/>
      <c r="AD499" s="29"/>
    </row>
    <row r="500">
      <c r="A500" s="29"/>
      <c r="B500" s="35"/>
      <c r="C500" s="29"/>
      <c r="D500" s="29"/>
      <c r="E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>
      <c r="A501" s="110">
        <v>45376.0</v>
      </c>
      <c r="B501" s="43" t="s">
        <v>827</v>
      </c>
      <c r="C501" s="72" t="s">
        <v>828</v>
      </c>
      <c r="D501" s="63" t="s">
        <v>829</v>
      </c>
      <c r="E501" s="61" t="s">
        <v>830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29"/>
      <c r="AD501" s="29"/>
    </row>
    <row r="502">
      <c r="A502" s="111">
        <v>45376.0</v>
      </c>
      <c r="B502" s="43" t="s">
        <v>831</v>
      </c>
      <c r="C502" s="68" t="s">
        <v>832</v>
      </c>
      <c r="D502" s="63" t="s">
        <v>833</v>
      </c>
      <c r="E502" s="49" t="s">
        <v>834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29"/>
      <c r="AD502" s="29"/>
    </row>
    <row r="503">
      <c r="A503" s="110">
        <v>45374.0</v>
      </c>
      <c r="B503" s="43" t="s">
        <v>827</v>
      </c>
      <c r="C503" s="61" t="s">
        <v>835</v>
      </c>
      <c r="D503" s="63" t="s">
        <v>829</v>
      </c>
      <c r="E503" s="61" t="s">
        <v>830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29"/>
      <c r="AD503" s="29"/>
    </row>
    <row r="504">
      <c r="A504" s="111">
        <v>45374.0</v>
      </c>
      <c r="B504" s="43" t="s">
        <v>827</v>
      </c>
      <c r="C504" s="51" t="s">
        <v>836</v>
      </c>
      <c r="D504" s="63" t="s">
        <v>829</v>
      </c>
      <c r="E504" s="51" t="s">
        <v>830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29"/>
      <c r="AD504" s="29"/>
    </row>
    <row r="505">
      <c r="A505" s="111">
        <v>45374.0</v>
      </c>
      <c r="B505" s="43" t="s">
        <v>827</v>
      </c>
      <c r="C505" s="51" t="s">
        <v>837</v>
      </c>
      <c r="D505" s="63" t="s">
        <v>829</v>
      </c>
      <c r="E505" s="51" t="s">
        <v>830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29"/>
      <c r="AD505" s="29"/>
    </row>
    <row r="506">
      <c r="A506" s="111">
        <v>45374.0</v>
      </c>
      <c r="B506" s="43" t="s">
        <v>827</v>
      </c>
      <c r="C506" s="51" t="s">
        <v>838</v>
      </c>
      <c r="D506" s="63" t="s">
        <v>829</v>
      </c>
      <c r="E506" s="51" t="s">
        <v>830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29"/>
      <c r="AD506" s="29"/>
    </row>
    <row r="507">
      <c r="A507" s="112">
        <v>45374.0</v>
      </c>
      <c r="B507" s="43" t="s">
        <v>827</v>
      </c>
      <c r="C507" s="49" t="s">
        <v>838</v>
      </c>
      <c r="D507" s="63" t="s">
        <v>829</v>
      </c>
      <c r="E507" s="49" t="s">
        <v>830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29"/>
      <c r="AD507" s="29"/>
    </row>
    <row r="508">
      <c r="A508" s="110">
        <v>45375.0</v>
      </c>
      <c r="B508" s="43" t="s">
        <v>831</v>
      </c>
      <c r="C508" s="72" t="s">
        <v>832</v>
      </c>
      <c r="D508" s="63" t="s">
        <v>839</v>
      </c>
      <c r="E508" s="72" t="s">
        <v>840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29"/>
      <c r="AD508" s="29"/>
    </row>
    <row r="509">
      <c r="A509" s="29"/>
      <c r="B509" s="35"/>
      <c r="C509" s="29"/>
      <c r="D509" s="29"/>
      <c r="E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>
      <c r="A510" s="96">
        <v>45377.0</v>
      </c>
      <c r="B510" s="43" t="s">
        <v>841</v>
      </c>
      <c r="C510" s="61" t="s">
        <v>842</v>
      </c>
      <c r="D510" s="63" t="s">
        <v>714</v>
      </c>
      <c r="E510" s="9" t="s">
        <v>125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29"/>
      <c r="AD510" s="29"/>
    </row>
    <row r="511">
      <c r="A511" s="96">
        <v>45377.0</v>
      </c>
      <c r="B511" s="43" t="s">
        <v>843</v>
      </c>
      <c r="C511" s="61" t="s">
        <v>844</v>
      </c>
      <c r="D511" s="63" t="s">
        <v>845</v>
      </c>
      <c r="E511" s="6" t="s">
        <v>546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29"/>
      <c r="AD511" s="29"/>
    </row>
    <row r="512">
      <c r="A512" s="29"/>
      <c r="B512" s="35"/>
      <c r="C512" s="29"/>
      <c r="D512" s="29"/>
      <c r="E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>
      <c r="A513" s="101">
        <v>45378.0</v>
      </c>
      <c r="B513" s="43" t="s">
        <v>843</v>
      </c>
      <c r="C513" s="61" t="s">
        <v>846</v>
      </c>
      <c r="D513" s="63" t="s">
        <v>847</v>
      </c>
      <c r="E513" s="9" t="s">
        <v>125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29"/>
      <c r="AD513" s="29"/>
    </row>
    <row r="514">
      <c r="A514" s="101">
        <v>45378.0</v>
      </c>
      <c r="B514" s="43" t="s">
        <v>843</v>
      </c>
      <c r="C514" s="61" t="s">
        <v>848</v>
      </c>
      <c r="D514" s="63" t="s">
        <v>849</v>
      </c>
      <c r="E514" s="9" t="s">
        <v>807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29"/>
      <c r="AD514" s="29"/>
    </row>
    <row r="515">
      <c r="A515" s="29"/>
      <c r="B515" s="35"/>
      <c r="C515" s="29"/>
      <c r="D515" s="29"/>
      <c r="E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>
      <c r="A516" s="101">
        <v>45379.0</v>
      </c>
      <c r="B516" s="43" t="s">
        <v>850</v>
      </c>
      <c r="C516" s="61" t="s">
        <v>851</v>
      </c>
      <c r="D516" s="63" t="s">
        <v>852</v>
      </c>
      <c r="E516" s="9" t="s">
        <v>95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29"/>
      <c r="AD516" s="29"/>
    </row>
    <row r="517">
      <c r="A517" s="29"/>
      <c r="B517" s="35"/>
      <c r="C517" s="29"/>
      <c r="D517" s="29"/>
      <c r="E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>
      <c r="A518" s="101">
        <v>45380.0</v>
      </c>
      <c r="B518" s="43" t="s">
        <v>843</v>
      </c>
      <c r="C518" s="61" t="s">
        <v>848</v>
      </c>
      <c r="D518" s="63" t="s">
        <v>853</v>
      </c>
      <c r="E518" s="9" t="s">
        <v>242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29"/>
      <c r="AD518" s="29"/>
    </row>
    <row r="519">
      <c r="A519" s="101">
        <v>45380.0</v>
      </c>
      <c r="B519" s="43" t="s">
        <v>854</v>
      </c>
      <c r="C519" s="61" t="s">
        <v>855</v>
      </c>
      <c r="D519" s="63" t="s">
        <v>856</v>
      </c>
      <c r="E519" s="9" t="s">
        <v>531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29"/>
      <c r="AD519" s="29"/>
    </row>
    <row r="520">
      <c r="A520" s="29"/>
      <c r="B520" s="35"/>
      <c r="C520" s="29"/>
      <c r="D520" s="29"/>
      <c r="E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>
      <c r="A521" s="101">
        <v>45381.0</v>
      </c>
      <c r="B521" s="43" t="s">
        <v>857</v>
      </c>
      <c r="C521" s="61" t="s">
        <v>858</v>
      </c>
      <c r="D521" s="63" t="s">
        <v>859</v>
      </c>
      <c r="E521" s="9" t="s">
        <v>125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29"/>
      <c r="AD521" s="29"/>
    </row>
    <row r="522">
      <c r="A522" s="101">
        <v>45381.0</v>
      </c>
      <c r="B522" s="43" t="s">
        <v>860</v>
      </c>
      <c r="C522" s="61" t="s">
        <v>861</v>
      </c>
      <c r="D522" s="63" t="s">
        <v>862</v>
      </c>
      <c r="E522" s="9" t="s">
        <v>352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29"/>
      <c r="AD522" s="29"/>
    </row>
    <row r="523">
      <c r="A523" s="101">
        <v>45381.0</v>
      </c>
      <c r="B523" s="43" t="s">
        <v>863</v>
      </c>
      <c r="C523" s="61" t="s">
        <v>864</v>
      </c>
      <c r="D523" s="63" t="s">
        <v>865</v>
      </c>
      <c r="E523" s="6" t="s">
        <v>125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29"/>
      <c r="AD523" s="29"/>
    </row>
    <row r="524">
      <c r="A524" s="101">
        <v>45381.0</v>
      </c>
      <c r="B524" s="43" t="s">
        <v>843</v>
      </c>
      <c r="C524" s="61" t="s">
        <v>866</v>
      </c>
      <c r="D524" s="63" t="s">
        <v>867</v>
      </c>
      <c r="E524" s="9" t="s">
        <v>546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29"/>
      <c r="AD524" s="29"/>
    </row>
    <row r="525">
      <c r="A525" s="101">
        <v>45381.0</v>
      </c>
      <c r="B525" s="43" t="s">
        <v>868</v>
      </c>
      <c r="C525" s="51" t="s">
        <v>869</v>
      </c>
      <c r="D525" s="63" t="s">
        <v>870</v>
      </c>
      <c r="E525" s="6" t="s">
        <v>546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29"/>
      <c r="AD525" s="29"/>
    </row>
    <row r="526">
      <c r="A526" s="101">
        <v>45381.0</v>
      </c>
      <c r="B526" s="43" t="s">
        <v>860</v>
      </c>
      <c r="C526" s="61" t="s">
        <v>871</v>
      </c>
      <c r="D526" s="63" t="s">
        <v>872</v>
      </c>
      <c r="E526" s="9" t="s">
        <v>309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29"/>
      <c r="AD526" s="29"/>
    </row>
    <row r="527">
      <c r="A527" s="101">
        <v>45381.0</v>
      </c>
      <c r="B527" s="43" t="s">
        <v>873</v>
      </c>
      <c r="C527" s="51" t="s">
        <v>874</v>
      </c>
      <c r="D527" s="63" t="s">
        <v>875</v>
      </c>
      <c r="E527" s="6" t="s">
        <v>125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29"/>
      <c r="AD527" s="29"/>
    </row>
    <row r="528">
      <c r="A528" s="101">
        <v>45381.0</v>
      </c>
      <c r="B528" s="43" t="s">
        <v>873</v>
      </c>
      <c r="C528" s="61" t="s">
        <v>876</v>
      </c>
      <c r="D528" s="63" t="s">
        <v>877</v>
      </c>
      <c r="E528" s="9" t="s">
        <v>291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29"/>
      <c r="AD528" s="29"/>
    </row>
    <row r="529">
      <c r="A529" s="101">
        <v>45381.0</v>
      </c>
      <c r="B529" s="43" t="s">
        <v>873</v>
      </c>
      <c r="C529" s="61" t="s">
        <v>876</v>
      </c>
      <c r="D529" s="63" t="s">
        <v>878</v>
      </c>
      <c r="E529" s="6" t="s">
        <v>125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29"/>
      <c r="AD529" s="29"/>
    </row>
    <row r="530">
      <c r="A530" s="101">
        <v>45382.0</v>
      </c>
      <c r="B530" s="43" t="s">
        <v>879</v>
      </c>
      <c r="C530" s="61" t="s">
        <v>880</v>
      </c>
      <c r="D530" s="63" t="s">
        <v>881</v>
      </c>
      <c r="E530" s="6" t="s">
        <v>125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29"/>
      <c r="AD530" s="29"/>
    </row>
    <row r="531">
      <c r="A531" s="101">
        <v>45382.0</v>
      </c>
      <c r="B531" s="43" t="s">
        <v>882</v>
      </c>
      <c r="C531" s="61" t="s">
        <v>883</v>
      </c>
      <c r="D531" s="63" t="s">
        <v>884</v>
      </c>
      <c r="E531" s="6" t="s">
        <v>125</v>
      </c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29"/>
      <c r="AD531" s="29"/>
    </row>
    <row r="532">
      <c r="A532" s="101">
        <v>45382.0</v>
      </c>
      <c r="B532" s="43" t="s">
        <v>882</v>
      </c>
      <c r="C532" s="51" t="s">
        <v>885</v>
      </c>
      <c r="D532" s="63" t="s">
        <v>886</v>
      </c>
      <c r="E532" s="9" t="s">
        <v>887</v>
      </c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29"/>
      <c r="AD532" s="29"/>
    </row>
    <row r="533">
      <c r="A533" s="101">
        <v>45382.0</v>
      </c>
      <c r="B533" s="43" t="s">
        <v>879</v>
      </c>
      <c r="C533" s="61" t="s">
        <v>888</v>
      </c>
      <c r="D533" s="63" t="s">
        <v>889</v>
      </c>
      <c r="E533" s="9" t="s">
        <v>125</v>
      </c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29"/>
      <c r="AD533" s="29"/>
    </row>
    <row r="534">
      <c r="A534" s="29"/>
      <c r="B534" s="35"/>
      <c r="C534" s="29"/>
      <c r="D534" s="29"/>
      <c r="E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>
      <c r="A535" s="113">
        <v>45383.0</v>
      </c>
      <c r="B535" s="43" t="s">
        <v>879</v>
      </c>
      <c r="C535" s="61" t="s">
        <v>880</v>
      </c>
      <c r="D535" s="63" t="s">
        <v>890</v>
      </c>
      <c r="E535" s="9" t="s">
        <v>531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29"/>
      <c r="AD535" s="29"/>
    </row>
    <row r="536">
      <c r="A536" s="113">
        <v>45383.0</v>
      </c>
      <c r="B536" s="43" t="s">
        <v>882</v>
      </c>
      <c r="C536" s="51" t="s">
        <v>891</v>
      </c>
      <c r="D536" s="63" t="s">
        <v>892</v>
      </c>
      <c r="E536" s="6" t="s">
        <v>125</v>
      </c>
      <c r="F536" s="6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29"/>
      <c r="AD536" s="29"/>
    </row>
    <row r="537">
      <c r="A537" s="113">
        <v>45383.0</v>
      </c>
      <c r="B537" s="43" t="s">
        <v>893</v>
      </c>
      <c r="C537" s="61" t="s">
        <v>894</v>
      </c>
      <c r="D537" s="63" t="s">
        <v>895</v>
      </c>
      <c r="E537" s="6" t="s">
        <v>125</v>
      </c>
      <c r="F537" s="6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29"/>
      <c r="AD537" s="29"/>
    </row>
    <row r="538">
      <c r="A538" s="113">
        <v>45383.0</v>
      </c>
      <c r="B538" s="43" t="s">
        <v>879</v>
      </c>
      <c r="C538" s="61" t="s">
        <v>896</v>
      </c>
      <c r="D538" s="63" t="s">
        <v>897</v>
      </c>
      <c r="E538" s="9" t="s">
        <v>531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29"/>
      <c r="AD538" s="29"/>
    </row>
    <row r="539">
      <c r="A539" s="113">
        <v>45383.0</v>
      </c>
      <c r="B539" s="7" t="s">
        <v>898</v>
      </c>
      <c r="C539" s="51" t="s">
        <v>858</v>
      </c>
      <c r="D539" s="63" t="s">
        <v>899</v>
      </c>
      <c r="E539" s="9" t="s">
        <v>291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29"/>
      <c r="AD539" s="29"/>
    </row>
    <row r="540">
      <c r="A540" s="29"/>
      <c r="B540" s="35"/>
      <c r="C540" s="29"/>
      <c r="D540" s="29"/>
      <c r="E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>
      <c r="A541" s="113">
        <v>45384.0</v>
      </c>
      <c r="B541" s="43" t="s">
        <v>900</v>
      </c>
      <c r="C541" s="51" t="s">
        <v>901</v>
      </c>
      <c r="D541" s="63" t="s">
        <v>902</v>
      </c>
      <c r="E541" s="9" t="s">
        <v>291</v>
      </c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>
      <c r="A542" s="113">
        <v>45384.0</v>
      </c>
      <c r="B542" s="43" t="s">
        <v>857</v>
      </c>
      <c r="C542" s="51" t="s">
        <v>858</v>
      </c>
      <c r="D542" s="63" t="s">
        <v>903</v>
      </c>
      <c r="E542" s="9" t="s">
        <v>904</v>
      </c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>
      <c r="A543" s="113">
        <v>45384.0</v>
      </c>
      <c r="B543" s="43" t="s">
        <v>860</v>
      </c>
      <c r="C543" s="51" t="s">
        <v>901</v>
      </c>
      <c r="D543" s="63" t="s">
        <v>905</v>
      </c>
      <c r="E543" s="9" t="s">
        <v>546</v>
      </c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>
      <c r="A544" s="113">
        <v>45384.0</v>
      </c>
      <c r="B544" s="43" t="s">
        <v>860</v>
      </c>
      <c r="C544" s="51" t="s">
        <v>901</v>
      </c>
      <c r="D544" s="63" t="s">
        <v>906</v>
      </c>
      <c r="E544" s="9" t="s">
        <v>546</v>
      </c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>
      <c r="A545" s="113">
        <v>45384.0</v>
      </c>
      <c r="B545" s="43" t="s">
        <v>860</v>
      </c>
      <c r="C545" s="49" t="s">
        <v>901</v>
      </c>
      <c r="D545" s="63" t="s">
        <v>907</v>
      </c>
      <c r="E545" s="6" t="s">
        <v>546</v>
      </c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>
      <c r="A546" s="29"/>
      <c r="B546" s="35"/>
      <c r="C546" s="29"/>
      <c r="D546" s="29"/>
      <c r="E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>
      <c r="A547" s="113">
        <v>45385.0</v>
      </c>
      <c r="B547" s="43" t="s">
        <v>908</v>
      </c>
      <c r="C547" s="61" t="s">
        <v>909</v>
      </c>
      <c r="D547" s="63" t="s">
        <v>910</v>
      </c>
      <c r="E547" s="63" t="s">
        <v>196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29"/>
      <c r="AD547" s="29"/>
    </row>
    <row r="548">
      <c r="A548" s="113">
        <v>45385.0</v>
      </c>
      <c r="B548" s="43" t="s">
        <v>911</v>
      </c>
      <c r="C548" s="51" t="s">
        <v>912</v>
      </c>
      <c r="D548" s="63" t="s">
        <v>913</v>
      </c>
      <c r="E548" s="9" t="s">
        <v>95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29"/>
      <c r="AD548" s="29"/>
    </row>
    <row r="549">
      <c r="A549" s="113">
        <v>45385.0</v>
      </c>
      <c r="B549" s="43" t="s">
        <v>914</v>
      </c>
      <c r="C549" s="61" t="s">
        <v>915</v>
      </c>
      <c r="D549" s="63" t="s">
        <v>916</v>
      </c>
      <c r="E549" s="9" t="s">
        <v>125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29"/>
      <c r="AD549" s="29"/>
    </row>
    <row r="550">
      <c r="A550" s="113">
        <v>45385.0</v>
      </c>
      <c r="B550" s="43" t="s">
        <v>917</v>
      </c>
      <c r="C550" s="61" t="s">
        <v>918</v>
      </c>
      <c r="D550" s="63" t="s">
        <v>919</v>
      </c>
      <c r="E550" s="9" t="s">
        <v>125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29"/>
      <c r="AD550" s="29"/>
    </row>
    <row r="551">
      <c r="A551" s="29"/>
      <c r="B551" s="35"/>
      <c r="C551" s="29"/>
      <c r="D551" s="29"/>
      <c r="E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>
      <c r="A552" s="113">
        <v>45386.0</v>
      </c>
      <c r="B552" s="43" t="s">
        <v>920</v>
      </c>
      <c r="C552" s="61" t="s">
        <v>921</v>
      </c>
      <c r="D552" s="63" t="s">
        <v>922</v>
      </c>
      <c r="E552" s="9" t="s">
        <v>546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29"/>
      <c r="AD552" s="29"/>
    </row>
    <row r="553">
      <c r="A553" s="113">
        <v>45386.0</v>
      </c>
      <c r="B553" s="43" t="s">
        <v>923</v>
      </c>
      <c r="C553" s="61" t="s">
        <v>924</v>
      </c>
      <c r="D553" s="63" t="s">
        <v>925</v>
      </c>
      <c r="E553" s="9" t="s">
        <v>229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29"/>
      <c r="AD553" s="29"/>
    </row>
    <row r="554">
      <c r="A554" s="113">
        <v>45386.0</v>
      </c>
      <c r="B554" s="43" t="s">
        <v>926</v>
      </c>
      <c r="C554" s="51" t="s">
        <v>927</v>
      </c>
      <c r="D554" s="102" t="s">
        <v>125</v>
      </c>
      <c r="E554" s="63" t="s">
        <v>928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29"/>
      <c r="AD554" s="29"/>
    </row>
    <row r="555">
      <c r="A555" s="113">
        <v>45386.0</v>
      </c>
      <c r="B555" s="43" t="s">
        <v>929</v>
      </c>
      <c r="C555" s="61" t="s">
        <v>930</v>
      </c>
      <c r="D555" s="63" t="s">
        <v>931</v>
      </c>
      <c r="E555" s="9" t="s">
        <v>125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29"/>
      <c r="AD555" s="29"/>
    </row>
    <row r="556">
      <c r="A556" s="113">
        <v>45386.0</v>
      </c>
      <c r="B556" s="43" t="s">
        <v>920</v>
      </c>
      <c r="C556" s="61" t="s">
        <v>932</v>
      </c>
      <c r="D556" s="9" t="s">
        <v>933</v>
      </c>
      <c r="E556" s="6" t="s">
        <v>125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29"/>
      <c r="AD556" s="29"/>
    </row>
    <row r="557">
      <c r="A557" s="113">
        <v>45386.0</v>
      </c>
      <c r="B557" s="43" t="s">
        <v>934</v>
      </c>
      <c r="C557" s="61" t="s">
        <v>935</v>
      </c>
      <c r="D557" s="63" t="s">
        <v>936</v>
      </c>
      <c r="E557" s="9" t="s">
        <v>937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29"/>
      <c r="AD557" s="29"/>
    </row>
    <row r="558">
      <c r="A558" s="29"/>
      <c r="B558" s="35"/>
      <c r="C558" s="29"/>
      <c r="D558" s="29"/>
      <c r="E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>
      <c r="A559" s="101">
        <v>45387.0</v>
      </c>
      <c r="B559" s="43" t="s">
        <v>938</v>
      </c>
      <c r="C559" s="61" t="s">
        <v>939</v>
      </c>
      <c r="D559" s="63" t="s">
        <v>940</v>
      </c>
      <c r="E559" s="9" t="s">
        <v>807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29"/>
      <c r="AD559" s="29"/>
    </row>
    <row r="560">
      <c r="A560" s="101">
        <v>45387.0</v>
      </c>
      <c r="B560" s="43" t="s">
        <v>938</v>
      </c>
      <c r="C560" s="61" t="s">
        <v>941</v>
      </c>
      <c r="D560" s="63" t="s">
        <v>942</v>
      </c>
      <c r="E560" s="9" t="s">
        <v>229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29"/>
      <c r="AD560" s="29"/>
    </row>
    <row r="561">
      <c r="A561" s="101">
        <v>45387.0</v>
      </c>
      <c r="B561" s="43" t="s">
        <v>857</v>
      </c>
      <c r="C561" s="61" t="s">
        <v>858</v>
      </c>
      <c r="D561" s="63" t="s">
        <v>943</v>
      </c>
      <c r="E561" s="9" t="s">
        <v>291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29"/>
      <c r="AD561" s="29"/>
    </row>
    <row r="562">
      <c r="A562" s="101">
        <v>45387.0</v>
      </c>
      <c r="B562" s="43" t="s">
        <v>857</v>
      </c>
      <c r="C562" s="51" t="s">
        <v>858</v>
      </c>
      <c r="D562" s="63" t="s">
        <v>944</v>
      </c>
      <c r="E562" s="114" t="s">
        <v>945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29"/>
      <c r="AD562" s="29"/>
    </row>
    <row r="563">
      <c r="A563" s="101">
        <v>45387.0</v>
      </c>
      <c r="B563" s="43" t="s">
        <v>920</v>
      </c>
      <c r="C563" s="61" t="s">
        <v>946</v>
      </c>
      <c r="D563" s="63" t="s">
        <v>947</v>
      </c>
      <c r="E563" s="9" t="s">
        <v>546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29"/>
      <c r="AD563" s="29"/>
    </row>
    <row r="564">
      <c r="A564" s="101">
        <v>45387.0</v>
      </c>
      <c r="B564" s="43" t="s">
        <v>948</v>
      </c>
      <c r="C564" s="51" t="s">
        <v>949</v>
      </c>
      <c r="D564" s="63" t="s">
        <v>950</v>
      </c>
      <c r="E564" s="6" t="s">
        <v>196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29"/>
      <c r="AD564" s="29"/>
    </row>
    <row r="565">
      <c r="A565" s="101">
        <v>45387.0</v>
      </c>
      <c r="B565" s="43" t="s">
        <v>951</v>
      </c>
      <c r="C565" s="49" t="s">
        <v>952</v>
      </c>
      <c r="D565" s="63" t="s">
        <v>953</v>
      </c>
      <c r="E565" s="6" t="s">
        <v>807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29"/>
      <c r="AD565" s="29"/>
    </row>
    <row r="566">
      <c r="A566" s="29"/>
      <c r="B566" s="35"/>
      <c r="C566" s="29"/>
      <c r="D566" s="29"/>
      <c r="E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>
      <c r="A567" s="113">
        <v>45388.0</v>
      </c>
      <c r="B567" s="43" t="s">
        <v>954</v>
      </c>
      <c r="C567" s="61" t="s">
        <v>955</v>
      </c>
      <c r="D567" s="63" t="s">
        <v>956</v>
      </c>
      <c r="E567" s="6" t="s">
        <v>196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29"/>
      <c r="AD567" s="29"/>
    </row>
    <row r="568">
      <c r="A568" s="29"/>
      <c r="B568" s="35"/>
      <c r="C568" s="29"/>
      <c r="D568" s="29"/>
      <c r="E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>
      <c r="A569" s="29"/>
      <c r="B569" s="35"/>
      <c r="C569" s="29"/>
      <c r="D569" s="29"/>
      <c r="E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>
      <c r="A570" s="113">
        <v>45390.0</v>
      </c>
      <c r="B570" s="43" t="s">
        <v>954</v>
      </c>
      <c r="C570" s="51" t="s">
        <v>957</v>
      </c>
      <c r="D570" s="63" t="s">
        <v>956</v>
      </c>
      <c r="E570" s="6" t="s">
        <v>196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>
      <c r="A571" s="113">
        <v>45390.0</v>
      </c>
      <c r="B571" s="43" t="s">
        <v>954</v>
      </c>
      <c r="C571" s="51" t="s">
        <v>958</v>
      </c>
      <c r="D571" s="63" t="s">
        <v>956</v>
      </c>
      <c r="E571" s="6" t="s">
        <v>196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>
      <c r="A572" s="113">
        <v>45390.0</v>
      </c>
      <c r="B572" s="43" t="s">
        <v>959</v>
      </c>
      <c r="C572" s="51" t="s">
        <v>960</v>
      </c>
      <c r="D572" s="63" t="s">
        <v>961</v>
      </c>
      <c r="E572" s="9" t="s">
        <v>546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>
      <c r="A573" s="113">
        <v>45390.0</v>
      </c>
      <c r="B573" s="43" t="s">
        <v>938</v>
      </c>
      <c r="C573" s="51" t="s">
        <v>962</v>
      </c>
      <c r="D573" s="63" t="s">
        <v>963</v>
      </c>
      <c r="E573" s="9" t="s">
        <v>546</v>
      </c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>
      <c r="A574" s="113">
        <v>45390.0</v>
      </c>
      <c r="B574" s="43" t="s">
        <v>964</v>
      </c>
      <c r="C574" s="49" t="s">
        <v>965</v>
      </c>
      <c r="D574" s="63" t="s">
        <v>966</v>
      </c>
      <c r="E574" s="9" t="s">
        <v>967</v>
      </c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>
      <c r="A575" s="29"/>
      <c r="B575" s="35"/>
      <c r="C575" s="29"/>
      <c r="E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>
      <c r="A576" s="113">
        <v>45391.0</v>
      </c>
      <c r="B576" s="43" t="s">
        <v>911</v>
      </c>
      <c r="C576" s="61" t="s">
        <v>968</v>
      </c>
      <c r="D576" s="63" t="s">
        <v>969</v>
      </c>
      <c r="E576" s="9" t="s">
        <v>546</v>
      </c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>
      <c r="A577" s="113">
        <v>45391.0</v>
      </c>
      <c r="B577" s="43" t="s">
        <v>970</v>
      </c>
      <c r="C577" s="51" t="s">
        <v>971</v>
      </c>
      <c r="D577" s="63" t="s">
        <v>972</v>
      </c>
      <c r="E577" s="6" t="s">
        <v>807</v>
      </c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>
      <c r="A578" s="113">
        <v>45391.0</v>
      </c>
      <c r="B578" s="43" t="s">
        <v>964</v>
      </c>
      <c r="C578" s="49" t="s">
        <v>973</v>
      </c>
      <c r="D578" s="63" t="s">
        <v>974</v>
      </c>
      <c r="E578" s="9" t="s">
        <v>975</v>
      </c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>
      <c r="A579" s="29"/>
      <c r="B579" s="35"/>
      <c r="C579" s="29"/>
      <c r="D579" s="29"/>
      <c r="E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>
      <c r="A580" s="29"/>
      <c r="B580" s="35"/>
      <c r="C580" s="29"/>
      <c r="D580" s="29"/>
      <c r="E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>
      <c r="A581" s="113">
        <v>45392.0</v>
      </c>
      <c r="B581" s="43" t="s">
        <v>976</v>
      </c>
      <c r="C581" s="61" t="s">
        <v>977</v>
      </c>
      <c r="D581" s="63" t="s">
        <v>978</v>
      </c>
      <c r="E581" s="9" t="s">
        <v>979</v>
      </c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>
      <c r="A582" s="113">
        <v>45392.0</v>
      </c>
      <c r="B582" s="43" t="s">
        <v>980</v>
      </c>
      <c r="C582" s="49" t="s">
        <v>981</v>
      </c>
      <c r="D582" s="63" t="s">
        <v>982</v>
      </c>
      <c r="E582" s="9" t="s">
        <v>546</v>
      </c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>
      <c r="A583" s="113">
        <v>45393.0</v>
      </c>
      <c r="B583" s="43" t="s">
        <v>938</v>
      </c>
      <c r="C583" s="68" t="s">
        <v>983</v>
      </c>
      <c r="D583" s="63" t="s">
        <v>984</v>
      </c>
      <c r="E583" s="9" t="s">
        <v>985</v>
      </c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>
      <c r="A584" s="6"/>
      <c r="B584" s="103"/>
      <c r="C584" s="80"/>
      <c r="D584" s="80"/>
      <c r="E584" s="80"/>
      <c r="F584" s="104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</row>
    <row r="585">
      <c r="A585" s="113">
        <v>45394.0</v>
      </c>
      <c r="B585" s="43" t="s">
        <v>948</v>
      </c>
      <c r="C585" s="72" t="s">
        <v>949</v>
      </c>
      <c r="D585" s="63" t="s">
        <v>986</v>
      </c>
      <c r="E585" s="9" t="s">
        <v>987</v>
      </c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>
      <c r="A586" s="29"/>
      <c r="B586" s="35"/>
      <c r="C586" s="29"/>
      <c r="D586" s="29"/>
      <c r="E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>
      <c r="A587" s="113">
        <v>45395.0</v>
      </c>
      <c r="B587" s="43" t="s">
        <v>964</v>
      </c>
      <c r="C587" s="51" t="s">
        <v>988</v>
      </c>
      <c r="D587" s="63" t="s">
        <v>989</v>
      </c>
      <c r="E587" s="9" t="s">
        <v>125</v>
      </c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>
      <c r="A588" s="113">
        <v>45395.0</v>
      </c>
      <c r="B588" s="43" t="s">
        <v>990</v>
      </c>
      <c r="C588" s="51" t="s">
        <v>991</v>
      </c>
      <c r="D588" s="63" t="s">
        <v>992</v>
      </c>
      <c r="E588" s="9" t="s">
        <v>125</v>
      </c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>
      <c r="A589" s="113">
        <v>45395.0</v>
      </c>
      <c r="B589" s="43" t="s">
        <v>990</v>
      </c>
      <c r="C589" s="51" t="s">
        <v>991</v>
      </c>
      <c r="D589" s="63" t="s">
        <v>993</v>
      </c>
      <c r="E589" s="9" t="s">
        <v>994</v>
      </c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>
      <c r="A590" s="113">
        <v>45395.0</v>
      </c>
      <c r="B590" s="43" t="s">
        <v>995</v>
      </c>
      <c r="C590" s="51" t="s">
        <v>996</v>
      </c>
      <c r="D590" s="63" t="s">
        <v>997</v>
      </c>
      <c r="E590" s="9" t="s">
        <v>764</v>
      </c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>
      <c r="A591" s="113">
        <v>45395.0</v>
      </c>
      <c r="B591" s="43" t="s">
        <v>998</v>
      </c>
      <c r="C591" s="51" t="s">
        <v>999</v>
      </c>
      <c r="D591" s="63" t="s">
        <v>1000</v>
      </c>
      <c r="E591" s="9" t="s">
        <v>546</v>
      </c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>
      <c r="A592" s="113">
        <v>45396.0</v>
      </c>
      <c r="B592" s="43" t="s">
        <v>1001</v>
      </c>
      <c r="C592" s="51" t="s">
        <v>1002</v>
      </c>
      <c r="D592" s="63" t="s">
        <v>1003</v>
      </c>
      <c r="E592" s="115" t="s">
        <v>1004</v>
      </c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>
      <c r="A593" s="113">
        <v>45396.0</v>
      </c>
      <c r="B593" s="43" t="s">
        <v>1005</v>
      </c>
      <c r="C593" s="51" t="s">
        <v>1006</v>
      </c>
      <c r="D593" s="63" t="s">
        <v>1007</v>
      </c>
      <c r="E593" s="9" t="s">
        <v>764</v>
      </c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>
      <c r="A594" s="113">
        <v>45396.0</v>
      </c>
      <c r="B594" s="43" t="s">
        <v>914</v>
      </c>
      <c r="C594" s="49" t="s">
        <v>915</v>
      </c>
      <c r="D594" s="63" t="s">
        <v>1008</v>
      </c>
      <c r="E594" s="9" t="s">
        <v>210</v>
      </c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>
      <c r="A595" s="29"/>
      <c r="B595" s="35"/>
      <c r="C595" s="29"/>
      <c r="D595" s="29"/>
      <c r="E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>
      <c r="A596" s="113">
        <v>45397.0</v>
      </c>
      <c r="B596" s="43" t="s">
        <v>1009</v>
      </c>
      <c r="C596" s="49" t="s">
        <v>1010</v>
      </c>
      <c r="D596" s="63" t="s">
        <v>1011</v>
      </c>
      <c r="E596" s="9" t="s">
        <v>1012</v>
      </c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>
      <c r="A597" s="29"/>
      <c r="B597" s="35"/>
      <c r="C597" s="29"/>
      <c r="D597" s="29"/>
      <c r="E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>
      <c r="A598" s="113">
        <v>45398.0</v>
      </c>
      <c r="B598" s="43" t="s">
        <v>914</v>
      </c>
      <c r="C598" s="51" t="s">
        <v>1013</v>
      </c>
      <c r="D598" s="63" t="s">
        <v>1014</v>
      </c>
      <c r="E598" s="95" t="s">
        <v>1015</v>
      </c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>
      <c r="A599" s="113">
        <v>45398.0</v>
      </c>
      <c r="B599" s="43" t="s">
        <v>954</v>
      </c>
      <c r="C599" s="51" t="s">
        <v>1016</v>
      </c>
      <c r="D599" s="63" t="s">
        <v>956</v>
      </c>
      <c r="E599" s="6" t="s">
        <v>196</v>
      </c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>
      <c r="A600" s="113">
        <v>45398.0</v>
      </c>
      <c r="B600" s="43" t="s">
        <v>954</v>
      </c>
      <c r="C600" s="51" t="s">
        <v>1017</v>
      </c>
      <c r="D600" s="63" t="s">
        <v>956</v>
      </c>
      <c r="E600" s="6" t="s">
        <v>196</v>
      </c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>
      <c r="A601" s="113">
        <v>45398.0</v>
      </c>
      <c r="B601" s="43" t="s">
        <v>954</v>
      </c>
      <c r="C601" s="51" t="s">
        <v>1018</v>
      </c>
      <c r="D601" s="63" t="s">
        <v>956</v>
      </c>
      <c r="E601" s="6" t="s">
        <v>196</v>
      </c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>
      <c r="A602" s="113">
        <v>45398.0</v>
      </c>
      <c r="B602" s="43" t="s">
        <v>954</v>
      </c>
      <c r="C602" s="51" t="s">
        <v>1019</v>
      </c>
      <c r="D602" s="63" t="s">
        <v>956</v>
      </c>
      <c r="E602" s="6" t="s">
        <v>196</v>
      </c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>
      <c r="A603" s="113">
        <v>45398.0</v>
      </c>
      <c r="B603" s="43" t="s">
        <v>1009</v>
      </c>
      <c r="C603" s="49" t="s">
        <v>1020</v>
      </c>
      <c r="D603" s="63" t="s">
        <v>1021</v>
      </c>
      <c r="E603" s="9" t="s">
        <v>546</v>
      </c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>
      <c r="A604" s="29"/>
      <c r="B604" s="35"/>
      <c r="C604" s="29"/>
      <c r="D604" s="29"/>
      <c r="E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>
      <c r="A605" s="113">
        <v>45402.0</v>
      </c>
      <c r="B605" s="43" t="s">
        <v>1022</v>
      </c>
      <c r="C605" s="116" t="s">
        <v>1023</v>
      </c>
      <c r="D605" s="63" t="s">
        <v>1024</v>
      </c>
      <c r="E605" s="9" t="s">
        <v>37</v>
      </c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>
      <c r="A606" s="113">
        <v>45402.0</v>
      </c>
      <c r="B606" s="43" t="s">
        <v>1022</v>
      </c>
      <c r="C606" s="117" t="s">
        <v>1025</v>
      </c>
      <c r="D606" s="63" t="s">
        <v>1024</v>
      </c>
      <c r="E606" s="9" t="s">
        <v>37</v>
      </c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>
      <c r="A607" s="29"/>
      <c r="B607" s="35"/>
      <c r="C607" s="29"/>
      <c r="D607" s="29"/>
      <c r="E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>
      <c r="A608" s="113">
        <v>45403.0</v>
      </c>
      <c r="B608" s="43" t="s">
        <v>995</v>
      </c>
      <c r="C608" s="72" t="s">
        <v>996</v>
      </c>
      <c r="D608" s="63" t="s">
        <v>1026</v>
      </c>
      <c r="E608" s="9" t="s">
        <v>764</v>
      </c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>
      <c r="A609" s="29"/>
      <c r="B609" s="35"/>
      <c r="C609" s="29"/>
      <c r="D609" s="29"/>
      <c r="E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>
      <c r="A610" s="113">
        <v>45404.0</v>
      </c>
      <c r="B610" s="43" t="s">
        <v>1027</v>
      </c>
      <c r="C610" s="116" t="s">
        <v>1028</v>
      </c>
      <c r="D610" s="63" t="s">
        <v>1029</v>
      </c>
      <c r="E610" s="61" t="s">
        <v>807</v>
      </c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>
      <c r="A611" s="113">
        <v>45404.0</v>
      </c>
      <c r="B611" s="43" t="s">
        <v>1027</v>
      </c>
      <c r="C611" s="109" t="s">
        <v>1028</v>
      </c>
      <c r="D611" s="63" t="s">
        <v>1030</v>
      </c>
      <c r="E611" s="51" t="s">
        <v>807</v>
      </c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>
      <c r="A612" s="113">
        <v>45404.0</v>
      </c>
      <c r="B612" s="43" t="s">
        <v>1027</v>
      </c>
      <c r="C612" s="109" t="s">
        <v>1028</v>
      </c>
      <c r="D612" s="63" t="s">
        <v>1031</v>
      </c>
      <c r="E612" s="51" t="s">
        <v>807</v>
      </c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>
      <c r="A613" s="113">
        <v>45404.0</v>
      </c>
      <c r="B613" s="43" t="s">
        <v>1027</v>
      </c>
      <c r="C613" s="109" t="s">
        <v>1028</v>
      </c>
      <c r="D613" s="63" t="s">
        <v>1032</v>
      </c>
      <c r="E613" s="51" t="s">
        <v>807</v>
      </c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>
      <c r="A614" s="113">
        <v>45404.0</v>
      </c>
      <c r="B614" s="43" t="s">
        <v>1027</v>
      </c>
      <c r="C614" s="109" t="s">
        <v>1028</v>
      </c>
      <c r="D614" s="9" t="s">
        <v>1033</v>
      </c>
      <c r="E614" s="49" t="s">
        <v>807</v>
      </c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>
      <c r="A615" s="113">
        <v>45404.0</v>
      </c>
      <c r="B615" s="118" t="s">
        <v>1034</v>
      </c>
      <c r="C615" s="61" t="s">
        <v>1035</v>
      </c>
      <c r="D615" s="63" t="s">
        <v>1036</v>
      </c>
      <c r="E615" s="61" t="s">
        <v>380</v>
      </c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>
      <c r="A616" s="29"/>
      <c r="B616" s="35"/>
      <c r="C616" s="29"/>
      <c r="D616" s="29"/>
      <c r="E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>
      <c r="A617" s="29"/>
      <c r="B617" s="35"/>
      <c r="C617" s="29"/>
      <c r="D617" s="29"/>
      <c r="E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>
      <c r="A618" s="113">
        <v>45406.0</v>
      </c>
      <c r="B618" s="43" t="s">
        <v>990</v>
      </c>
      <c r="C618" s="61" t="s">
        <v>991</v>
      </c>
      <c r="D618" s="63" t="s">
        <v>1037</v>
      </c>
      <c r="E618" s="95" t="s">
        <v>1015</v>
      </c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>
      <c r="A619" s="113">
        <v>45406.0</v>
      </c>
      <c r="B619" s="43" t="s">
        <v>1005</v>
      </c>
      <c r="C619" s="61" t="s">
        <v>1038</v>
      </c>
      <c r="D619" s="63" t="s">
        <v>1039</v>
      </c>
      <c r="E619" s="9" t="s">
        <v>95</v>
      </c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>
      <c r="A620" s="29"/>
      <c r="B620" s="35"/>
      <c r="C620" s="29"/>
      <c r="D620" s="29"/>
      <c r="E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>
      <c r="A621" s="29"/>
      <c r="B621" s="35"/>
      <c r="C621" s="29"/>
      <c r="D621" s="29"/>
      <c r="E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>
      <c r="A622" s="113">
        <v>45407.0</v>
      </c>
      <c r="B622" s="43" t="s">
        <v>995</v>
      </c>
      <c r="C622" s="61" t="s">
        <v>996</v>
      </c>
      <c r="D622" s="63" t="s">
        <v>1040</v>
      </c>
      <c r="E622" s="72" t="s">
        <v>807</v>
      </c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>
      <c r="A623" s="113">
        <v>45407.0</v>
      </c>
      <c r="B623" s="43" t="s">
        <v>843</v>
      </c>
      <c r="C623" s="49" t="s">
        <v>848</v>
      </c>
      <c r="D623" s="63" t="s">
        <v>1041</v>
      </c>
      <c r="E623" s="9" t="s">
        <v>531</v>
      </c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>
      <c r="A624" s="29"/>
      <c r="B624" s="35"/>
      <c r="C624" s="29"/>
      <c r="D624" s="29"/>
      <c r="E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>
      <c r="A625" s="29"/>
      <c r="B625" s="35"/>
      <c r="C625" s="29"/>
      <c r="D625" s="29"/>
      <c r="E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>
      <c r="A626" s="113">
        <v>45409.0</v>
      </c>
      <c r="B626" s="43" t="s">
        <v>1005</v>
      </c>
      <c r="C626" s="61" t="s">
        <v>1038</v>
      </c>
      <c r="D626" s="63" t="s">
        <v>1042</v>
      </c>
      <c r="E626" s="9" t="s">
        <v>764</v>
      </c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>
      <c r="A627" s="29"/>
      <c r="B627" s="35"/>
      <c r="C627" s="29"/>
      <c r="D627" s="29"/>
      <c r="E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>
      <c r="A628" s="29"/>
      <c r="B628" s="35"/>
      <c r="C628" s="29"/>
      <c r="D628" s="29"/>
      <c r="E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>
      <c r="A629" s="113">
        <v>45410.0</v>
      </c>
      <c r="B629" s="43" t="s">
        <v>1043</v>
      </c>
      <c r="C629" s="61" t="s">
        <v>1044</v>
      </c>
      <c r="D629" s="63" t="s">
        <v>1045</v>
      </c>
      <c r="E629" s="9" t="s">
        <v>309</v>
      </c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>
      <c r="A630" s="113">
        <v>45410.0</v>
      </c>
      <c r="B630" s="43" t="s">
        <v>1005</v>
      </c>
      <c r="C630" s="51" t="s">
        <v>1046</v>
      </c>
      <c r="D630" s="63" t="s">
        <v>1047</v>
      </c>
      <c r="E630" s="9" t="s">
        <v>764</v>
      </c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>
      <c r="A631" s="29"/>
      <c r="B631" s="35"/>
      <c r="C631" s="29"/>
      <c r="D631" s="29"/>
      <c r="E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>
      <c r="A632" s="29"/>
      <c r="B632" s="35"/>
      <c r="C632" s="29"/>
      <c r="D632" s="29"/>
      <c r="E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>
      <c r="A633" s="113">
        <v>45411.0</v>
      </c>
      <c r="B633" s="43" t="s">
        <v>1048</v>
      </c>
      <c r="C633" s="61" t="s">
        <v>1049</v>
      </c>
      <c r="D633" s="63" t="s">
        <v>1050</v>
      </c>
      <c r="E633" s="9" t="s">
        <v>1051</v>
      </c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>
      <c r="A634" s="29"/>
      <c r="B634" s="35"/>
      <c r="C634" s="29"/>
      <c r="D634" s="29"/>
      <c r="E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>
      <c r="A635" s="29"/>
      <c r="B635" s="35"/>
      <c r="C635" s="29"/>
      <c r="D635" s="29"/>
      <c r="E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>
      <c r="A636" s="113">
        <v>45413.0</v>
      </c>
      <c r="B636" s="43" t="s">
        <v>1052</v>
      </c>
      <c r="C636" s="61" t="s">
        <v>1053</v>
      </c>
      <c r="D636" s="63" t="s">
        <v>1054</v>
      </c>
      <c r="E636" s="9" t="s">
        <v>1055</v>
      </c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>
      <c r="A637" s="113">
        <v>45413.0</v>
      </c>
      <c r="B637" s="43" t="s">
        <v>1056</v>
      </c>
      <c r="C637" s="61" t="s">
        <v>1057</v>
      </c>
      <c r="D637" s="63" t="s">
        <v>1058</v>
      </c>
      <c r="E637" s="9" t="s">
        <v>1059</v>
      </c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29"/>
      <c r="AD637" s="29"/>
    </row>
    <row r="638">
      <c r="A638" s="113">
        <v>45413.0</v>
      </c>
      <c r="B638" s="43" t="s">
        <v>1052</v>
      </c>
      <c r="C638" s="61" t="s">
        <v>1060</v>
      </c>
      <c r="D638" s="63" t="s">
        <v>1061</v>
      </c>
      <c r="E638" s="9" t="s">
        <v>1055</v>
      </c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29"/>
      <c r="AD638" s="29"/>
    </row>
    <row r="639">
      <c r="A639" s="113">
        <v>45413.0</v>
      </c>
      <c r="B639" s="43" t="s">
        <v>1009</v>
      </c>
      <c r="C639" s="61" t="s">
        <v>1062</v>
      </c>
      <c r="D639" s="63" t="s">
        <v>1063</v>
      </c>
      <c r="E639" s="81" t="s">
        <v>807</v>
      </c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29"/>
      <c r="AD639" s="29"/>
    </row>
    <row r="640">
      <c r="A640" s="29"/>
      <c r="B640" s="35"/>
      <c r="C640" s="29"/>
      <c r="D640" s="29"/>
      <c r="E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>
      <c r="A641" s="29"/>
      <c r="B641" s="35"/>
      <c r="C641" s="29"/>
      <c r="D641" s="29"/>
      <c r="E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>
      <c r="A642" s="113">
        <v>45414.0</v>
      </c>
      <c r="B642" s="43" t="s">
        <v>1064</v>
      </c>
      <c r="C642" s="61" t="s">
        <v>1065</v>
      </c>
      <c r="D642" s="63" t="s">
        <v>1066</v>
      </c>
      <c r="E642" s="95" t="s">
        <v>1067</v>
      </c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>
      <c r="A643" s="113">
        <v>45414.0</v>
      </c>
      <c r="B643" s="43" t="s">
        <v>1064</v>
      </c>
      <c r="C643" s="51" t="s">
        <v>1068</v>
      </c>
      <c r="D643" s="63" t="s">
        <v>1069</v>
      </c>
      <c r="E643" s="95" t="s">
        <v>1067</v>
      </c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>
      <c r="A644" s="113">
        <v>45414.0</v>
      </c>
      <c r="B644" s="43" t="s">
        <v>1052</v>
      </c>
      <c r="C644" s="49" t="s">
        <v>1053</v>
      </c>
      <c r="D644" s="63" t="s">
        <v>1054</v>
      </c>
      <c r="E644" s="9" t="s">
        <v>1070</v>
      </c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>
      <c r="A645" s="113">
        <v>45414.0</v>
      </c>
      <c r="B645" s="43" t="s">
        <v>1071</v>
      </c>
      <c r="C645" s="61" t="s">
        <v>1072</v>
      </c>
      <c r="D645" s="63" t="s">
        <v>1073</v>
      </c>
      <c r="E645" s="9" t="s">
        <v>1074</v>
      </c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>
      <c r="A646" s="113">
        <v>45414.0</v>
      </c>
      <c r="B646" s="43" t="s">
        <v>1064</v>
      </c>
      <c r="C646" s="51" t="s">
        <v>1065</v>
      </c>
      <c r="D646" s="9" t="s">
        <v>1075</v>
      </c>
      <c r="E646" s="9" t="s">
        <v>1074</v>
      </c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>
      <c r="A647" s="113">
        <v>45414.0</v>
      </c>
      <c r="B647" s="43" t="s">
        <v>1076</v>
      </c>
      <c r="C647" s="51" t="s">
        <v>1077</v>
      </c>
      <c r="D647" s="63" t="s">
        <v>1078</v>
      </c>
      <c r="E647" s="9" t="s">
        <v>1079</v>
      </c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>
      <c r="A648" s="113">
        <v>45414.0</v>
      </c>
      <c r="B648" s="43" t="s">
        <v>1076</v>
      </c>
      <c r="C648" s="51" t="s">
        <v>1080</v>
      </c>
      <c r="D648" s="63" t="s">
        <v>1081</v>
      </c>
      <c r="E648" s="9" t="s">
        <v>1079</v>
      </c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>
      <c r="A649" s="113">
        <v>45414.0</v>
      </c>
      <c r="B649" s="43" t="s">
        <v>1082</v>
      </c>
      <c r="C649" s="51" t="s">
        <v>1083</v>
      </c>
      <c r="D649" s="63" t="s">
        <v>1084</v>
      </c>
      <c r="E649" s="9" t="s">
        <v>52</v>
      </c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>
      <c r="A650" s="113">
        <v>45414.0</v>
      </c>
      <c r="B650" s="43" t="s">
        <v>1085</v>
      </c>
      <c r="C650" s="51" t="s">
        <v>1086</v>
      </c>
      <c r="D650" s="63" t="s">
        <v>1087</v>
      </c>
      <c r="E650" s="9" t="s">
        <v>229</v>
      </c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>
      <c r="A651" s="113">
        <v>45414.0</v>
      </c>
      <c r="B651" s="43" t="s">
        <v>1088</v>
      </c>
      <c r="C651" s="51" t="s">
        <v>1089</v>
      </c>
      <c r="D651" s="63" t="s">
        <v>1090</v>
      </c>
      <c r="E651" s="9" t="s">
        <v>1091</v>
      </c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>
      <c r="A652" s="113">
        <v>45414.0</v>
      </c>
      <c r="B652" s="43" t="s">
        <v>1092</v>
      </c>
      <c r="C652" s="51" t="s">
        <v>1093</v>
      </c>
      <c r="D652" s="63" t="s">
        <v>1094</v>
      </c>
      <c r="E652" s="9" t="s">
        <v>229</v>
      </c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>
      <c r="A653" s="113">
        <v>45414.0</v>
      </c>
      <c r="B653" s="43" t="s">
        <v>1092</v>
      </c>
      <c r="C653" s="51" t="s">
        <v>1093</v>
      </c>
      <c r="D653" s="63" t="s">
        <v>1095</v>
      </c>
      <c r="E653" s="9" t="s">
        <v>1096</v>
      </c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>
      <c r="A654" s="113">
        <v>45414.0</v>
      </c>
      <c r="B654" s="43" t="s">
        <v>1097</v>
      </c>
      <c r="C654" s="51" t="s">
        <v>1098</v>
      </c>
      <c r="D654" s="63" t="s">
        <v>1099</v>
      </c>
      <c r="E654" s="9" t="s">
        <v>1079</v>
      </c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>
      <c r="A655" s="113">
        <v>45414.0</v>
      </c>
      <c r="B655" s="43" t="s">
        <v>1071</v>
      </c>
      <c r="C655" s="49" t="s">
        <v>1100</v>
      </c>
      <c r="D655" s="63" t="s">
        <v>1101</v>
      </c>
      <c r="E655" s="9" t="s">
        <v>229</v>
      </c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>
      <c r="A656" s="29"/>
      <c r="B656" s="35"/>
      <c r="C656" s="29"/>
      <c r="D656" s="29"/>
      <c r="E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>
      <c r="A657" s="29"/>
      <c r="B657" s="35"/>
      <c r="C657" s="29"/>
      <c r="D657" s="29"/>
      <c r="E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>
      <c r="A658" s="113">
        <v>45415.0</v>
      </c>
      <c r="B658" s="43" t="s">
        <v>1052</v>
      </c>
      <c r="C658" s="61" t="s">
        <v>1102</v>
      </c>
      <c r="D658" s="63" t="s">
        <v>1054</v>
      </c>
      <c r="E658" s="61" t="s">
        <v>1103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29"/>
      <c r="AD658" s="29"/>
    </row>
    <row r="659">
      <c r="A659" s="113">
        <v>45415.0</v>
      </c>
      <c r="B659" s="43" t="s">
        <v>1052</v>
      </c>
      <c r="C659" s="51" t="s">
        <v>1104</v>
      </c>
      <c r="D659" s="63" t="s">
        <v>1105</v>
      </c>
      <c r="E659" s="51" t="s">
        <v>1103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29"/>
      <c r="AD659" s="29"/>
    </row>
    <row r="660">
      <c r="A660" s="113">
        <v>45415.0</v>
      </c>
      <c r="B660" s="43" t="s">
        <v>1052</v>
      </c>
      <c r="C660" s="51" t="s">
        <v>1106</v>
      </c>
      <c r="D660" s="63" t="s">
        <v>1107</v>
      </c>
      <c r="E660" s="51" t="s">
        <v>1103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29"/>
      <c r="AD660" s="29"/>
    </row>
    <row r="661">
      <c r="A661" s="113">
        <v>45415.0</v>
      </c>
      <c r="B661" s="43" t="s">
        <v>1052</v>
      </c>
      <c r="C661" s="51" t="s">
        <v>1102</v>
      </c>
      <c r="D661" s="63" t="s">
        <v>1108</v>
      </c>
      <c r="E661" s="51" t="s">
        <v>1103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29"/>
      <c r="AD661" s="29"/>
    </row>
    <row r="662">
      <c r="A662" s="113">
        <v>45415.0</v>
      </c>
      <c r="B662" s="43" t="s">
        <v>1052</v>
      </c>
      <c r="C662" s="51" t="s">
        <v>1102</v>
      </c>
      <c r="D662" s="63" t="s">
        <v>1108</v>
      </c>
      <c r="E662" s="49" t="s">
        <v>1103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29"/>
      <c r="AD662" s="29"/>
    </row>
    <row r="663">
      <c r="A663" s="113">
        <v>45415.0</v>
      </c>
      <c r="B663" s="43" t="s">
        <v>1109</v>
      </c>
      <c r="C663" s="72" t="s">
        <v>1110</v>
      </c>
      <c r="D663" s="63" t="s">
        <v>1111</v>
      </c>
      <c r="E663" s="9" t="s">
        <v>1074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29"/>
      <c r="AD663" s="29"/>
    </row>
    <row r="664">
      <c r="A664" s="29"/>
      <c r="B664" s="35"/>
      <c r="C664" s="29"/>
      <c r="D664" s="29"/>
      <c r="E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>
      <c r="A665" s="29"/>
      <c r="B665" s="35"/>
      <c r="C665" s="29"/>
      <c r="D665" s="29"/>
      <c r="E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>
      <c r="A666" s="113">
        <v>45416.0</v>
      </c>
      <c r="B666" s="43" t="s">
        <v>1064</v>
      </c>
      <c r="C666" s="61" t="s">
        <v>1112</v>
      </c>
      <c r="D666" s="63" t="s">
        <v>1113</v>
      </c>
      <c r="E666" s="9" t="s">
        <v>1074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29"/>
      <c r="AD666" s="29"/>
    </row>
    <row r="667">
      <c r="A667" s="113">
        <v>45416.0</v>
      </c>
      <c r="B667" s="43" t="s">
        <v>1005</v>
      </c>
      <c r="C667" s="51" t="s">
        <v>1114</v>
      </c>
      <c r="D667" s="63" t="s">
        <v>1115</v>
      </c>
      <c r="E667" s="9" t="s">
        <v>1074</v>
      </c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29"/>
      <c r="AD667" s="29"/>
    </row>
    <row r="668">
      <c r="A668" s="29"/>
      <c r="B668" s="35"/>
      <c r="C668" s="29"/>
      <c r="D668" s="29"/>
      <c r="E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>
      <c r="A669" s="29"/>
      <c r="B669" s="35"/>
      <c r="C669" s="29"/>
      <c r="D669" s="29"/>
      <c r="E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>
      <c r="A670" s="113">
        <v>45417.0</v>
      </c>
      <c r="B670" s="43" t="s">
        <v>1052</v>
      </c>
      <c r="C670" s="61" t="s">
        <v>1116</v>
      </c>
      <c r="D670" s="63" t="s">
        <v>1117</v>
      </c>
      <c r="E670" s="9" t="s">
        <v>1074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29"/>
      <c r="AD670" s="29"/>
    </row>
    <row r="671">
      <c r="A671" s="113">
        <v>45417.0</v>
      </c>
      <c r="B671" s="43" t="s">
        <v>1052</v>
      </c>
      <c r="C671" s="51" t="s">
        <v>1116</v>
      </c>
      <c r="D671" s="63" t="s">
        <v>1118</v>
      </c>
      <c r="E671" s="9" t="s">
        <v>1074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29"/>
      <c r="AD671" s="29"/>
    </row>
    <row r="672">
      <c r="A672" s="113">
        <v>45417.0</v>
      </c>
      <c r="B672" s="43" t="s">
        <v>1009</v>
      </c>
      <c r="C672" s="51" t="s">
        <v>1119</v>
      </c>
      <c r="D672" s="63" t="s">
        <v>1120</v>
      </c>
      <c r="E672" s="95" t="s">
        <v>1121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29"/>
      <c r="AD672" s="29"/>
    </row>
    <row r="673">
      <c r="A673" s="113">
        <v>45417.0</v>
      </c>
      <c r="B673" s="43" t="s">
        <v>1122</v>
      </c>
      <c r="C673" s="61" t="s">
        <v>1123</v>
      </c>
      <c r="D673" s="63" t="s">
        <v>1124</v>
      </c>
      <c r="E673" s="9" t="s">
        <v>95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29"/>
      <c r="AD673" s="29"/>
    </row>
    <row r="674">
      <c r="A674" s="29"/>
      <c r="B674" s="35"/>
      <c r="C674" s="29"/>
      <c r="D674" s="29"/>
      <c r="E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>
      <c r="A675" s="29"/>
      <c r="B675" s="35"/>
      <c r="C675" s="29"/>
      <c r="D675" s="29"/>
      <c r="E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>
      <c r="A676" s="113">
        <v>45418.0</v>
      </c>
      <c r="B676" s="43" t="s">
        <v>1052</v>
      </c>
      <c r="C676" s="72" t="s">
        <v>1102</v>
      </c>
      <c r="D676" s="63" t="s">
        <v>1108</v>
      </c>
      <c r="E676" s="9" t="s">
        <v>1074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29"/>
      <c r="AD676" s="29"/>
    </row>
    <row r="677">
      <c r="A677" s="29"/>
      <c r="B677" s="35"/>
      <c r="C677" s="29"/>
      <c r="D677" s="29"/>
      <c r="E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>
      <c r="A678" s="113">
        <v>45419.0</v>
      </c>
      <c r="B678" s="43" t="s">
        <v>1052</v>
      </c>
      <c r="C678" s="72" t="s">
        <v>1125</v>
      </c>
      <c r="D678" s="63" t="s">
        <v>1126</v>
      </c>
      <c r="E678" s="9" t="s">
        <v>1127</v>
      </c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>
      <c r="A679" s="29"/>
      <c r="B679" s="35"/>
      <c r="C679" s="29"/>
      <c r="D679" s="29"/>
      <c r="E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>
      <c r="A680" s="113">
        <v>45421.0</v>
      </c>
      <c r="B680" s="43" t="s">
        <v>1128</v>
      </c>
      <c r="C680" s="69" t="s">
        <v>1129</v>
      </c>
      <c r="D680" s="63" t="s">
        <v>1130</v>
      </c>
      <c r="E680" s="119" t="s">
        <v>1074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29"/>
      <c r="AD680" s="29"/>
    </row>
    <row r="681">
      <c r="A681" s="113">
        <v>45420.0</v>
      </c>
      <c r="B681" s="43" t="s">
        <v>1052</v>
      </c>
      <c r="C681" s="61" t="s">
        <v>1102</v>
      </c>
      <c r="D681" s="63" t="s">
        <v>1131</v>
      </c>
      <c r="E681" s="119" t="s">
        <v>1074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29"/>
      <c r="AD681" s="29"/>
    </row>
    <row r="682">
      <c r="A682" s="113">
        <v>45420.0</v>
      </c>
      <c r="B682" s="43" t="s">
        <v>1052</v>
      </c>
      <c r="C682" s="51" t="s">
        <v>1132</v>
      </c>
      <c r="D682" s="63" t="s">
        <v>1133</v>
      </c>
      <c r="E682" s="9" t="s">
        <v>1134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29"/>
      <c r="AD682" s="29"/>
    </row>
    <row r="683">
      <c r="A683" s="113">
        <v>45421.0</v>
      </c>
      <c r="B683" s="43" t="s">
        <v>1135</v>
      </c>
      <c r="C683" s="51" t="s">
        <v>1136</v>
      </c>
      <c r="D683" s="63" t="s">
        <v>1137</v>
      </c>
      <c r="E683" s="9" t="s">
        <v>1079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29"/>
      <c r="AD683" s="29"/>
    </row>
    <row r="684">
      <c r="A684" s="113">
        <v>45421.0</v>
      </c>
      <c r="B684" s="43" t="s">
        <v>1138</v>
      </c>
      <c r="C684" s="51" t="s">
        <v>1139</v>
      </c>
      <c r="D684" s="63" t="s">
        <v>1140</v>
      </c>
      <c r="E684" s="9" t="s">
        <v>1079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29"/>
      <c r="AD684" s="29"/>
    </row>
    <row r="685">
      <c r="A685" s="113">
        <v>45421.0</v>
      </c>
      <c r="B685" s="43" t="s">
        <v>1141</v>
      </c>
      <c r="C685" s="51" t="s">
        <v>1142</v>
      </c>
      <c r="D685" s="63" t="s">
        <v>1143</v>
      </c>
      <c r="E685" s="81" t="s">
        <v>1144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29"/>
      <c r="AD685" s="29"/>
    </row>
    <row r="686">
      <c r="A686" s="113">
        <v>45420.0</v>
      </c>
      <c r="B686" s="43" t="s">
        <v>1145</v>
      </c>
      <c r="C686" s="61" t="s">
        <v>1146</v>
      </c>
      <c r="D686" s="63" t="s">
        <v>1147</v>
      </c>
      <c r="E686" s="9" t="s">
        <v>1148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29"/>
      <c r="AD686" s="29"/>
    </row>
    <row r="687">
      <c r="A687" s="113">
        <v>45420.0</v>
      </c>
      <c r="B687" s="43" t="s">
        <v>1128</v>
      </c>
      <c r="C687" s="61" t="s">
        <v>1149</v>
      </c>
      <c r="D687" s="63" t="s">
        <v>1150</v>
      </c>
      <c r="E687" s="81" t="s">
        <v>1151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29"/>
      <c r="AD687" s="29"/>
    </row>
    <row r="688">
      <c r="A688" s="29"/>
      <c r="B688" s="35"/>
      <c r="C688" s="29"/>
      <c r="D688" s="29"/>
      <c r="E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>
      <c r="A689" s="29"/>
      <c r="B689" s="35"/>
      <c r="C689" s="29"/>
      <c r="D689" s="29"/>
      <c r="E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>
      <c r="A690" s="113">
        <v>45421.0</v>
      </c>
      <c r="B690" s="43" t="s">
        <v>1135</v>
      </c>
      <c r="C690" s="61" t="s">
        <v>1136</v>
      </c>
      <c r="D690" s="63" t="s">
        <v>1137</v>
      </c>
      <c r="E690" s="9" t="s">
        <v>1079</v>
      </c>
      <c r="F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29"/>
      <c r="AD690" s="29"/>
    </row>
    <row r="691">
      <c r="A691" s="113">
        <v>45421.0</v>
      </c>
      <c r="B691" s="43" t="s">
        <v>1138</v>
      </c>
      <c r="C691" s="51" t="s">
        <v>1139</v>
      </c>
      <c r="D691" s="63" t="s">
        <v>1140</v>
      </c>
      <c r="E691" s="9" t="s">
        <v>1079</v>
      </c>
      <c r="F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29"/>
      <c r="AD691" s="29"/>
    </row>
    <row r="692">
      <c r="A692" s="113">
        <v>45421.0</v>
      </c>
      <c r="B692" s="43" t="s">
        <v>1141</v>
      </c>
      <c r="C692" s="51" t="s">
        <v>1142</v>
      </c>
      <c r="D692" s="63" t="s">
        <v>1143</v>
      </c>
      <c r="E692" s="81" t="s">
        <v>1144</v>
      </c>
      <c r="F692" s="81"/>
      <c r="I692" s="81"/>
      <c r="J692" s="81"/>
      <c r="K692" s="81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29"/>
      <c r="AD692" s="29"/>
    </row>
    <row r="693">
      <c r="A693" s="113">
        <v>45421.0</v>
      </c>
      <c r="B693" s="43" t="s">
        <v>1128</v>
      </c>
      <c r="C693" s="69" t="s">
        <v>1129</v>
      </c>
      <c r="D693" s="63" t="s">
        <v>1130</v>
      </c>
      <c r="E693" s="119" t="s">
        <v>1074</v>
      </c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>
      <c r="A694" s="29"/>
      <c r="B694" s="35"/>
      <c r="C694" s="29"/>
      <c r="D694" s="29"/>
      <c r="E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>
      <c r="A695" s="29"/>
      <c r="B695" s="35"/>
      <c r="C695" s="29"/>
      <c r="D695" s="29"/>
      <c r="E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>
      <c r="A696" s="113">
        <v>45422.0</v>
      </c>
      <c r="B696" s="43" t="s">
        <v>1152</v>
      </c>
      <c r="C696" s="69" t="s">
        <v>1153</v>
      </c>
      <c r="D696" s="63" t="s">
        <v>1154</v>
      </c>
      <c r="E696" s="9" t="s">
        <v>1144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29"/>
      <c r="AD696" s="29"/>
    </row>
    <row r="697">
      <c r="A697" s="113">
        <v>45422.0</v>
      </c>
      <c r="B697" s="43" t="s">
        <v>1152</v>
      </c>
      <c r="C697" s="51" t="s">
        <v>1155</v>
      </c>
      <c r="D697" s="63" t="s">
        <v>1156</v>
      </c>
      <c r="E697" s="9" t="s">
        <v>1079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29"/>
      <c r="AD697" s="29"/>
    </row>
    <row r="698">
      <c r="A698" s="113">
        <v>45422.0</v>
      </c>
      <c r="B698" s="43" t="s">
        <v>1152</v>
      </c>
      <c r="C698" s="51" t="s">
        <v>1155</v>
      </c>
      <c r="D698" s="63" t="s">
        <v>1157</v>
      </c>
      <c r="E698" s="9" t="s">
        <v>1079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29"/>
      <c r="AD698" s="29"/>
    </row>
    <row r="699">
      <c r="A699" s="113">
        <v>45422.0</v>
      </c>
      <c r="B699" s="43" t="s">
        <v>1152</v>
      </c>
      <c r="C699" s="51" t="s">
        <v>1158</v>
      </c>
      <c r="D699" s="63" t="s">
        <v>1159</v>
      </c>
      <c r="E699" s="9" t="s">
        <v>1148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29"/>
      <c r="AD699" s="29"/>
    </row>
    <row r="700">
      <c r="A700" s="113">
        <v>45422.0</v>
      </c>
      <c r="B700" s="43" t="s">
        <v>1152</v>
      </c>
      <c r="C700" s="51" t="s">
        <v>1155</v>
      </c>
      <c r="D700" s="63" t="s">
        <v>1160</v>
      </c>
      <c r="E700" s="9" t="s">
        <v>1148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29"/>
      <c r="AD700" s="29"/>
    </row>
    <row r="701">
      <c r="A701" s="113">
        <v>45422.0</v>
      </c>
      <c r="B701" s="43" t="s">
        <v>1152</v>
      </c>
      <c r="C701" s="51" t="s">
        <v>1161</v>
      </c>
      <c r="D701" s="63" t="s">
        <v>1162</v>
      </c>
      <c r="E701" s="9" t="s">
        <v>1148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29"/>
      <c r="AD701" s="29"/>
    </row>
    <row r="702">
      <c r="A702" s="113">
        <v>45422.0</v>
      </c>
      <c r="B702" s="43" t="s">
        <v>1152</v>
      </c>
      <c r="C702" s="51" t="s">
        <v>1163</v>
      </c>
      <c r="D702" s="63" t="s">
        <v>1164</v>
      </c>
      <c r="E702" s="9" t="s">
        <v>1148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29"/>
      <c r="AD702" s="29"/>
    </row>
    <row r="703">
      <c r="A703" s="113">
        <v>45422.0</v>
      </c>
      <c r="B703" s="43" t="s">
        <v>1152</v>
      </c>
      <c r="C703" s="61" t="s">
        <v>1165</v>
      </c>
      <c r="D703" s="63" t="s">
        <v>1166</v>
      </c>
      <c r="E703" s="9" t="s">
        <v>229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29"/>
      <c r="AD703" s="29"/>
    </row>
    <row r="704">
      <c r="A704" s="113">
        <v>45422.0</v>
      </c>
      <c r="B704" s="43" t="s">
        <v>1167</v>
      </c>
      <c r="C704" s="61" t="s">
        <v>1168</v>
      </c>
      <c r="D704" s="63" t="s">
        <v>1169</v>
      </c>
      <c r="E704" s="9" t="s">
        <v>143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29"/>
      <c r="AD704" s="29"/>
    </row>
    <row r="705">
      <c r="A705" s="113">
        <v>45422.0</v>
      </c>
      <c r="B705" s="43" t="s">
        <v>1170</v>
      </c>
      <c r="C705" s="51" t="s">
        <v>1171</v>
      </c>
      <c r="D705" s="63" t="s">
        <v>1172</v>
      </c>
      <c r="E705" s="9" t="s">
        <v>1134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29"/>
      <c r="AD705" s="29"/>
    </row>
    <row r="706">
      <c r="A706" s="113">
        <v>45422.0</v>
      </c>
      <c r="B706" s="43" t="s">
        <v>1170</v>
      </c>
      <c r="C706" s="51" t="s">
        <v>1171</v>
      </c>
      <c r="D706" s="63" t="s">
        <v>1172</v>
      </c>
      <c r="E706" s="9" t="s">
        <v>1134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29"/>
      <c r="AD706" s="29"/>
    </row>
    <row r="707">
      <c r="A707" s="113">
        <v>45422.0</v>
      </c>
      <c r="B707" s="43" t="s">
        <v>1152</v>
      </c>
      <c r="C707" s="49" t="s">
        <v>1173</v>
      </c>
      <c r="D707" s="63" t="s">
        <v>1174</v>
      </c>
      <c r="E707" s="9" t="s">
        <v>229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29"/>
      <c r="AD707" s="29"/>
    </row>
    <row r="708">
      <c r="B708" s="120"/>
    </row>
    <row r="709">
      <c r="A709" s="113">
        <v>45423.0</v>
      </c>
      <c r="B709" s="43" t="s">
        <v>1009</v>
      </c>
      <c r="C709" s="72" t="s">
        <v>1175</v>
      </c>
      <c r="D709" s="63" t="s">
        <v>1176</v>
      </c>
      <c r="E709" s="9" t="s">
        <v>1074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29"/>
      <c r="AD709" s="29"/>
    </row>
    <row r="710">
      <c r="A710" s="29"/>
      <c r="B710" s="35"/>
      <c r="C710" s="29"/>
      <c r="D710" s="29"/>
      <c r="E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>
      <c r="A711" s="113">
        <v>45425.0</v>
      </c>
      <c r="B711" s="43" t="s">
        <v>1177</v>
      </c>
      <c r="C711" s="61" t="s">
        <v>1178</v>
      </c>
      <c r="D711" s="63" t="s">
        <v>1179</v>
      </c>
      <c r="E711" s="81" t="s">
        <v>1144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29"/>
      <c r="AD711" s="29"/>
    </row>
    <row r="712">
      <c r="A712" s="29"/>
      <c r="B712" s="35"/>
      <c r="C712" s="29"/>
      <c r="D712" s="29"/>
      <c r="E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>
      <c r="A713" s="113">
        <v>45426.0</v>
      </c>
      <c r="B713" s="43" t="s">
        <v>1170</v>
      </c>
      <c r="C713" s="61" t="s">
        <v>1180</v>
      </c>
      <c r="D713" s="63" t="s">
        <v>1181</v>
      </c>
      <c r="E713" s="9" t="s">
        <v>196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29"/>
      <c r="AD713" s="29"/>
    </row>
    <row r="714">
      <c r="A714" s="29"/>
      <c r="B714" s="35"/>
      <c r="C714" s="29"/>
      <c r="D714" s="29"/>
      <c r="E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>
      <c r="A715" s="113">
        <v>45427.0</v>
      </c>
      <c r="B715" s="43" t="s">
        <v>1182</v>
      </c>
      <c r="C715" s="61" t="s">
        <v>1183</v>
      </c>
      <c r="D715" s="63" t="s">
        <v>1184</v>
      </c>
      <c r="E715" s="81" t="s">
        <v>1185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29"/>
      <c r="AD715" s="29"/>
    </row>
    <row r="716">
      <c r="A716" s="113">
        <v>45427.0</v>
      </c>
      <c r="B716" s="43" t="s">
        <v>1186</v>
      </c>
      <c r="C716" s="61" t="s">
        <v>1187</v>
      </c>
      <c r="D716" s="63" t="s">
        <v>1188</v>
      </c>
      <c r="E716" s="61" t="s">
        <v>1189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29"/>
      <c r="AD716" s="29"/>
    </row>
    <row r="717">
      <c r="A717" s="29"/>
      <c r="B717" s="35"/>
      <c r="C717" s="29"/>
      <c r="D717" s="29"/>
      <c r="E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>
      <c r="A718" s="113">
        <v>45428.0</v>
      </c>
      <c r="B718" s="43" t="s">
        <v>1190</v>
      </c>
      <c r="C718" s="61" t="s">
        <v>1191</v>
      </c>
      <c r="D718" s="63" t="s">
        <v>1192</v>
      </c>
      <c r="E718" s="61" t="s">
        <v>764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29"/>
      <c r="AD718" s="29"/>
    </row>
    <row r="719">
      <c r="A719" s="29"/>
      <c r="B719" s="35"/>
      <c r="C719" s="29"/>
      <c r="D719" s="29"/>
      <c r="E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>
      <c r="A720" s="113">
        <v>45429.0</v>
      </c>
      <c r="B720" s="43" t="s">
        <v>1186</v>
      </c>
      <c r="C720" s="61" t="s">
        <v>1193</v>
      </c>
      <c r="D720" s="63" t="s">
        <v>1194</v>
      </c>
      <c r="E720" s="81" t="s">
        <v>764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29"/>
      <c r="AD720" s="29"/>
    </row>
    <row r="721">
      <c r="A721" s="113">
        <v>45429.0</v>
      </c>
      <c r="B721" s="43" t="s">
        <v>1170</v>
      </c>
      <c r="C721" s="61" t="s">
        <v>1195</v>
      </c>
      <c r="D721" s="63" t="s">
        <v>1196</v>
      </c>
      <c r="E721" s="81" t="s">
        <v>1197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29"/>
      <c r="AD721" s="29"/>
    </row>
    <row r="722">
      <c r="A722" s="29"/>
      <c r="B722" s="35"/>
      <c r="C722" s="29"/>
      <c r="D722" s="29"/>
      <c r="E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>
      <c r="A723" s="113">
        <v>45430.0</v>
      </c>
      <c r="B723" s="43" t="s">
        <v>1198</v>
      </c>
      <c r="C723" s="61" t="s">
        <v>1199</v>
      </c>
      <c r="D723" s="63" t="s">
        <v>1200</v>
      </c>
      <c r="E723" s="81" t="s">
        <v>1201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29"/>
      <c r="AD723" s="29"/>
    </row>
    <row r="724">
      <c r="A724" s="113">
        <v>45430.0</v>
      </c>
      <c r="B724" s="63" t="s">
        <v>1202</v>
      </c>
      <c r="C724" s="61" t="s">
        <v>1203</v>
      </c>
      <c r="D724" s="63" t="s">
        <v>1204</v>
      </c>
      <c r="E724" s="9" t="s">
        <v>764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29"/>
      <c r="AD724" s="29"/>
    </row>
    <row r="725">
      <c r="A725" s="113"/>
      <c r="B725" s="63"/>
      <c r="C725" s="68"/>
      <c r="D725" s="63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29"/>
      <c r="AD725" s="29"/>
    </row>
    <row r="726">
      <c r="A726" s="113">
        <v>45431.0</v>
      </c>
      <c r="B726" s="63" t="s">
        <v>1186</v>
      </c>
      <c r="C726" s="68" t="s">
        <v>1205</v>
      </c>
      <c r="D726" s="63" t="s">
        <v>1206</v>
      </c>
      <c r="E726" s="9" t="s">
        <v>1207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29"/>
      <c r="AD726" s="29"/>
    </row>
    <row r="727">
      <c r="A727" s="29"/>
      <c r="B727" s="35"/>
      <c r="C727" s="29"/>
      <c r="D727" s="29"/>
      <c r="E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>
      <c r="A728" s="113">
        <v>45432.0</v>
      </c>
      <c r="B728" s="63" t="s">
        <v>1208</v>
      </c>
      <c r="C728" s="69" t="s">
        <v>1209</v>
      </c>
      <c r="D728" s="63" t="s">
        <v>1210</v>
      </c>
      <c r="E728" s="9" t="s">
        <v>1211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29"/>
      <c r="AD728" s="29"/>
    </row>
    <row r="729">
      <c r="A729" s="113">
        <v>45432.0</v>
      </c>
      <c r="B729" s="63" t="s">
        <v>1212</v>
      </c>
      <c r="C729" s="51" t="s">
        <v>1213</v>
      </c>
      <c r="D729" s="63" t="s">
        <v>1214</v>
      </c>
      <c r="E729" s="9" t="s">
        <v>1201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29"/>
      <c r="AD729" s="29"/>
    </row>
    <row r="730">
      <c r="A730" s="113">
        <v>45432.0</v>
      </c>
      <c r="B730" s="63" t="s">
        <v>1212</v>
      </c>
      <c r="C730" s="61" t="s">
        <v>1215</v>
      </c>
      <c r="D730" s="63" t="s">
        <v>1216</v>
      </c>
      <c r="E730" s="61" t="s">
        <v>1217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29"/>
      <c r="AD730" s="29"/>
    </row>
    <row r="731">
      <c r="A731" s="113">
        <v>45432.0</v>
      </c>
      <c r="B731" s="63" t="s">
        <v>1212</v>
      </c>
      <c r="C731" s="51" t="s">
        <v>1218</v>
      </c>
      <c r="D731" s="63" t="s">
        <v>1219</v>
      </c>
      <c r="E731" s="51" t="s">
        <v>1217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29"/>
      <c r="AD731" s="29"/>
    </row>
    <row r="732">
      <c r="A732" s="113">
        <v>45432.0</v>
      </c>
      <c r="B732" s="63" t="s">
        <v>1212</v>
      </c>
      <c r="C732" s="51" t="s">
        <v>1213</v>
      </c>
      <c r="D732" s="63" t="s">
        <v>1220</v>
      </c>
      <c r="E732" s="51" t="s">
        <v>1217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29"/>
      <c r="AD732" s="29"/>
    </row>
    <row r="733">
      <c r="A733" s="113">
        <v>45432.0</v>
      </c>
      <c r="B733" s="63" t="s">
        <v>1212</v>
      </c>
      <c r="C733" s="51" t="s">
        <v>1221</v>
      </c>
      <c r="D733" s="63" t="s">
        <v>1222</v>
      </c>
      <c r="E733" s="51" t="s">
        <v>1217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29"/>
      <c r="AD733" s="29"/>
    </row>
    <row r="734">
      <c r="A734" s="113">
        <v>45432.0</v>
      </c>
      <c r="B734" s="63" t="s">
        <v>1212</v>
      </c>
      <c r="C734" s="61" t="s">
        <v>1223</v>
      </c>
      <c r="D734" s="63" t="s">
        <v>1224</v>
      </c>
      <c r="E734" s="72" t="s">
        <v>1217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29"/>
      <c r="AD734" s="29"/>
    </row>
    <row r="735">
      <c r="A735" s="113">
        <v>45432.0</v>
      </c>
      <c r="B735" s="63" t="s">
        <v>1212</v>
      </c>
      <c r="C735" s="51" t="s">
        <v>1225</v>
      </c>
      <c r="D735" s="63" t="s">
        <v>1226</v>
      </c>
      <c r="E735" s="9" t="s">
        <v>1211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29"/>
      <c r="AD735" s="29"/>
    </row>
    <row r="736">
      <c r="A736" s="113">
        <v>45432.0</v>
      </c>
      <c r="B736" s="63" t="s">
        <v>1212</v>
      </c>
      <c r="C736" s="51" t="s">
        <v>1225</v>
      </c>
      <c r="D736" s="63" t="s">
        <v>1227</v>
      </c>
      <c r="E736" s="9" t="s">
        <v>1211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29"/>
      <c r="AD736" s="29"/>
    </row>
    <row r="737">
      <c r="A737" s="113">
        <v>45432.0</v>
      </c>
      <c r="B737" s="63" t="s">
        <v>1212</v>
      </c>
      <c r="C737" s="51" t="s">
        <v>1228</v>
      </c>
      <c r="D737" s="63" t="s">
        <v>1229</v>
      </c>
      <c r="E737" s="81" t="s">
        <v>764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29"/>
      <c r="AD737" s="29"/>
    </row>
    <row r="738">
      <c r="A738" s="113">
        <v>45432.0</v>
      </c>
      <c r="B738" s="63" t="s">
        <v>1208</v>
      </c>
      <c r="C738" s="68" t="s">
        <v>1230</v>
      </c>
      <c r="D738" s="63" t="s">
        <v>1231</v>
      </c>
      <c r="E738" s="9" t="s">
        <v>1232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29"/>
      <c r="AD738" s="29"/>
    </row>
    <row r="739">
      <c r="A739" s="29"/>
      <c r="B739" s="35"/>
      <c r="C739" s="29"/>
      <c r="D739" s="29"/>
      <c r="E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>
      <c r="A740" s="29"/>
      <c r="B740" s="35"/>
      <c r="C740" s="29"/>
      <c r="D740" s="29"/>
      <c r="E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>
      <c r="A741" s="113">
        <v>45434.0</v>
      </c>
      <c r="B741" s="63" t="s">
        <v>1208</v>
      </c>
      <c r="C741" s="61" t="s">
        <v>1233</v>
      </c>
      <c r="D741" s="63" t="s">
        <v>1234</v>
      </c>
      <c r="E741" s="9" t="s">
        <v>531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29"/>
      <c r="AD741" s="29"/>
    </row>
    <row r="742">
      <c r="A742" s="113">
        <v>45434.0</v>
      </c>
      <c r="B742" s="63" t="s">
        <v>1208</v>
      </c>
      <c r="C742" s="69" t="s">
        <v>1235</v>
      </c>
      <c r="D742" s="63" t="s">
        <v>1236</v>
      </c>
      <c r="E742" s="61" t="s">
        <v>1237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29"/>
      <c r="AD742" s="29"/>
    </row>
    <row r="743">
      <c r="A743" s="29"/>
      <c r="B743" s="35"/>
      <c r="C743" s="29"/>
      <c r="D743" s="29"/>
      <c r="E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>
      <c r="A744" s="113">
        <v>45435.0</v>
      </c>
      <c r="B744" s="63" t="s">
        <v>1212</v>
      </c>
      <c r="C744" s="69" t="s">
        <v>1238</v>
      </c>
      <c r="D744" s="63" t="s">
        <v>1239</v>
      </c>
      <c r="E744" s="81" t="s">
        <v>1240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29"/>
      <c r="AD744" s="29"/>
    </row>
    <row r="745">
      <c r="A745" s="113">
        <v>45435.0</v>
      </c>
      <c r="B745" s="63" t="s">
        <v>1241</v>
      </c>
      <c r="C745" s="72" t="s">
        <v>1242</v>
      </c>
      <c r="D745" s="63" t="s">
        <v>1243</v>
      </c>
      <c r="E745" s="9" t="s">
        <v>531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29"/>
      <c r="AD745" s="29"/>
    </row>
    <row r="746">
      <c r="A746" s="29"/>
      <c r="B746" s="35"/>
      <c r="C746" s="29"/>
      <c r="D746" s="29"/>
      <c r="E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>
      <c r="A747" s="113">
        <v>45436.0</v>
      </c>
      <c r="B747" s="63" t="s">
        <v>1244</v>
      </c>
      <c r="C747" s="61" t="s">
        <v>1245</v>
      </c>
      <c r="D747" s="63" t="s">
        <v>1246</v>
      </c>
      <c r="E747" s="9" t="s">
        <v>1247</v>
      </c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>
      <c r="A748" s="113">
        <v>45436.0</v>
      </c>
      <c r="B748" s="63" t="s">
        <v>1248</v>
      </c>
      <c r="C748" s="51" t="s">
        <v>1249</v>
      </c>
      <c r="D748" s="63" t="s">
        <v>1250</v>
      </c>
      <c r="E748" s="9" t="s">
        <v>1247</v>
      </c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>
      <c r="A749" s="113">
        <v>45436.0</v>
      </c>
      <c r="B749" s="63" t="s">
        <v>1248</v>
      </c>
      <c r="C749" s="49" t="s">
        <v>1251</v>
      </c>
      <c r="D749" s="63" t="s">
        <v>1252</v>
      </c>
      <c r="E749" s="9" t="s">
        <v>1253</v>
      </c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>
      <c r="A750" s="113">
        <v>45436.0</v>
      </c>
      <c r="B750" s="63" t="s">
        <v>1248</v>
      </c>
      <c r="C750" s="68" t="s">
        <v>1254</v>
      </c>
      <c r="D750" s="63" t="s">
        <v>1255</v>
      </c>
      <c r="E750" s="9" t="s">
        <v>1247</v>
      </c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>
      <c r="A751" s="113">
        <v>45436.0</v>
      </c>
      <c r="B751" s="63" t="s">
        <v>1248</v>
      </c>
      <c r="C751" s="69" t="s">
        <v>1254</v>
      </c>
      <c r="D751" s="63" t="s">
        <v>1256</v>
      </c>
      <c r="E751" s="9" t="s">
        <v>1257</v>
      </c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>
      <c r="A752" s="113">
        <v>45436.0</v>
      </c>
      <c r="B752" s="63" t="s">
        <v>1248</v>
      </c>
      <c r="C752" s="51" t="s">
        <v>1258</v>
      </c>
      <c r="D752" s="9" t="s">
        <v>1259</v>
      </c>
      <c r="E752" s="9" t="s">
        <v>1247</v>
      </c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>
      <c r="A753" s="113">
        <v>45436.0</v>
      </c>
      <c r="B753" s="63" t="s">
        <v>1248</v>
      </c>
      <c r="C753" s="51" t="s">
        <v>1260</v>
      </c>
      <c r="D753" s="63" t="s">
        <v>1261</v>
      </c>
      <c r="E753" s="9" t="s">
        <v>1247</v>
      </c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>
      <c r="A754" s="113">
        <v>45436.0</v>
      </c>
      <c r="B754" s="63" t="s">
        <v>1248</v>
      </c>
      <c r="C754" s="51" t="s">
        <v>1249</v>
      </c>
      <c r="D754" s="63" t="s">
        <v>1250</v>
      </c>
      <c r="E754" s="9" t="s">
        <v>1247</v>
      </c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>
      <c r="A755" s="113">
        <v>45436.0</v>
      </c>
      <c r="B755" s="63" t="s">
        <v>1248</v>
      </c>
      <c r="C755" s="51" t="s">
        <v>1262</v>
      </c>
      <c r="D755" s="63" t="s">
        <v>1263</v>
      </c>
      <c r="E755" s="9" t="s">
        <v>1247</v>
      </c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>
      <c r="A756" s="113">
        <v>45436.0</v>
      </c>
      <c r="B756" s="63" t="s">
        <v>1248</v>
      </c>
      <c r="C756" s="51" t="s">
        <v>1260</v>
      </c>
      <c r="D756" s="9" t="s">
        <v>1264</v>
      </c>
      <c r="E756" s="9" t="s">
        <v>1247</v>
      </c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>
      <c r="A757" s="113">
        <v>45436.0</v>
      </c>
      <c r="B757" s="63" t="s">
        <v>1248</v>
      </c>
      <c r="C757" s="51" t="s">
        <v>1265</v>
      </c>
      <c r="D757" s="9" t="s">
        <v>1266</v>
      </c>
      <c r="E757" s="9" t="s">
        <v>1247</v>
      </c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>
      <c r="A758" s="113">
        <v>45436.0</v>
      </c>
      <c r="B758" s="63" t="s">
        <v>1248</v>
      </c>
      <c r="C758" s="51" t="s">
        <v>1260</v>
      </c>
      <c r="D758" s="9" t="s">
        <v>1267</v>
      </c>
      <c r="E758" s="9" t="s">
        <v>1247</v>
      </c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>
      <c r="A759" s="113">
        <v>45436.0</v>
      </c>
      <c r="B759" s="63" t="s">
        <v>1248</v>
      </c>
      <c r="C759" s="51" t="s">
        <v>1260</v>
      </c>
      <c r="D759" s="63" t="s">
        <v>1268</v>
      </c>
      <c r="E759" s="9" t="s">
        <v>1247</v>
      </c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>
      <c r="A760" s="113">
        <v>45436.0</v>
      </c>
      <c r="B760" s="63" t="s">
        <v>1248</v>
      </c>
      <c r="C760" s="51" t="s">
        <v>1260</v>
      </c>
      <c r="D760" s="63" t="s">
        <v>1269</v>
      </c>
      <c r="E760" s="9" t="s">
        <v>1247</v>
      </c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>
      <c r="A761" s="113">
        <v>45436.0</v>
      </c>
      <c r="B761" s="63" t="s">
        <v>1248</v>
      </c>
      <c r="C761" s="51" t="s">
        <v>1260</v>
      </c>
      <c r="D761" s="63" t="s">
        <v>1270</v>
      </c>
      <c r="E761" s="9" t="s">
        <v>1247</v>
      </c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>
      <c r="A762" s="113">
        <v>45436.0</v>
      </c>
      <c r="B762" s="63" t="s">
        <v>1271</v>
      </c>
      <c r="C762" s="61" t="s">
        <v>1272</v>
      </c>
      <c r="D762" s="63" t="s">
        <v>1273</v>
      </c>
      <c r="E762" s="9" t="s">
        <v>1247</v>
      </c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>
      <c r="A763" s="113">
        <v>45436.0</v>
      </c>
      <c r="B763" s="63" t="s">
        <v>1274</v>
      </c>
      <c r="C763" s="51" t="s">
        <v>1275</v>
      </c>
      <c r="D763" s="63" t="s">
        <v>1276</v>
      </c>
      <c r="E763" s="81" t="s">
        <v>1247</v>
      </c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>
      <c r="A764" s="113">
        <v>45436.0</v>
      </c>
      <c r="B764" s="63" t="s">
        <v>1271</v>
      </c>
      <c r="C764" s="72" t="s">
        <v>1272</v>
      </c>
      <c r="D764" s="63" t="s">
        <v>1277</v>
      </c>
      <c r="E764" s="9" t="s">
        <v>196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29"/>
      <c r="AD764" s="29"/>
    </row>
    <row r="765">
      <c r="A765" s="29"/>
      <c r="B765" s="35"/>
      <c r="C765" s="29"/>
      <c r="D765" s="29"/>
      <c r="E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>
      <c r="A766" s="113">
        <v>45437.0</v>
      </c>
      <c r="B766" s="63" t="s">
        <v>1208</v>
      </c>
      <c r="C766" s="61" t="s">
        <v>1278</v>
      </c>
      <c r="D766" s="63" t="s">
        <v>1279</v>
      </c>
      <c r="E766" s="72" t="s">
        <v>1280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29"/>
      <c r="AD766" s="29"/>
    </row>
    <row r="767">
      <c r="A767" s="113">
        <v>45437.0</v>
      </c>
      <c r="B767" s="63" t="s">
        <v>1212</v>
      </c>
      <c r="C767" s="61" t="s">
        <v>1213</v>
      </c>
      <c r="D767" s="63" t="s">
        <v>1281</v>
      </c>
      <c r="E767" s="9" t="s">
        <v>1282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29"/>
      <c r="AD767" s="29"/>
    </row>
    <row r="768">
      <c r="A768" s="113">
        <v>45437.0</v>
      </c>
      <c r="B768" s="63" t="s">
        <v>1274</v>
      </c>
      <c r="C768" s="49" t="s">
        <v>1283</v>
      </c>
      <c r="D768" s="63" t="s">
        <v>1284</v>
      </c>
      <c r="E768" s="9" t="s">
        <v>1285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29"/>
      <c r="AD768" s="29"/>
    </row>
    <row r="769">
      <c r="A769" s="113">
        <v>45438.0</v>
      </c>
      <c r="B769" s="63" t="s">
        <v>1208</v>
      </c>
      <c r="C769" s="72" t="s">
        <v>449</v>
      </c>
      <c r="D769" s="9" t="s">
        <v>1286</v>
      </c>
      <c r="E769" s="9" t="s">
        <v>1253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29"/>
      <c r="AD769" s="29"/>
    </row>
    <row r="770">
      <c r="A770" s="29"/>
      <c r="B770" s="35"/>
      <c r="C770" s="29"/>
      <c r="D770" s="29"/>
      <c r="E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>
      <c r="A771" s="113">
        <v>45439.0</v>
      </c>
      <c r="B771" s="63" t="s">
        <v>1208</v>
      </c>
      <c r="C771" s="61" t="s">
        <v>449</v>
      </c>
      <c r="D771" s="63" t="s">
        <v>1287</v>
      </c>
      <c r="E771" s="9" t="s">
        <v>1253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29"/>
      <c r="AD771" s="29"/>
    </row>
    <row r="772">
      <c r="A772" s="29"/>
      <c r="B772" s="35"/>
      <c r="C772" s="29"/>
      <c r="D772" s="29"/>
      <c r="E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>
      <c r="A773" s="113">
        <v>45440.0</v>
      </c>
      <c r="B773" s="63" t="s">
        <v>1288</v>
      </c>
      <c r="C773" s="61" t="s">
        <v>1289</v>
      </c>
      <c r="D773" s="63" t="s">
        <v>1290</v>
      </c>
      <c r="E773" s="9" t="s">
        <v>1282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29"/>
      <c r="AD773" s="29"/>
    </row>
    <row r="774">
      <c r="A774" s="113">
        <v>45440.0</v>
      </c>
      <c r="B774" s="63" t="s">
        <v>1208</v>
      </c>
      <c r="C774" s="61" t="s">
        <v>1278</v>
      </c>
      <c r="D774" s="63" t="s">
        <v>1291</v>
      </c>
      <c r="E774" s="121" t="s">
        <v>1292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29"/>
      <c r="AD774" s="29"/>
    </row>
    <row r="775">
      <c r="A775" s="113">
        <v>45440.0</v>
      </c>
      <c r="B775" s="63" t="s">
        <v>1208</v>
      </c>
      <c r="C775" s="51" t="s">
        <v>1278</v>
      </c>
      <c r="D775" s="63" t="s">
        <v>1293</v>
      </c>
      <c r="E775" s="122" t="s">
        <v>1292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29"/>
      <c r="AD775" s="29"/>
    </row>
    <row r="776">
      <c r="A776" s="113">
        <v>45440.0</v>
      </c>
      <c r="B776" s="63" t="s">
        <v>1208</v>
      </c>
      <c r="C776" s="51" t="s">
        <v>1278</v>
      </c>
      <c r="D776" s="63" t="s">
        <v>1294</v>
      </c>
      <c r="E776" s="122" t="s">
        <v>1292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29"/>
      <c r="AD776" s="29"/>
    </row>
    <row r="777">
      <c r="A777" s="113">
        <v>45440.0</v>
      </c>
      <c r="B777" s="63" t="s">
        <v>1208</v>
      </c>
      <c r="C777" s="51" t="s">
        <v>1278</v>
      </c>
      <c r="D777" s="63" t="s">
        <v>1295</v>
      </c>
      <c r="E777" s="123" t="s">
        <v>1292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29"/>
      <c r="AD777" s="29"/>
    </row>
    <row r="778">
      <c r="A778" s="113">
        <v>45440.0</v>
      </c>
      <c r="B778" s="63" t="s">
        <v>1248</v>
      </c>
      <c r="C778" s="61" t="s">
        <v>1296</v>
      </c>
      <c r="D778" s="63" t="s">
        <v>1297</v>
      </c>
      <c r="E778" s="9" t="s">
        <v>1247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29"/>
      <c r="AD778" s="29"/>
    </row>
    <row r="779">
      <c r="A779" s="113">
        <v>45440.0</v>
      </c>
      <c r="B779" s="63" t="s">
        <v>1274</v>
      </c>
      <c r="C779" s="61" t="s">
        <v>1283</v>
      </c>
      <c r="D779" s="63" t="s">
        <v>1298</v>
      </c>
      <c r="E779" s="81" t="s">
        <v>1247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29"/>
      <c r="AD779" s="29"/>
    </row>
    <row r="780">
      <c r="A780" s="29"/>
      <c r="B780" s="35"/>
      <c r="C780" s="29"/>
      <c r="D780" s="29"/>
      <c r="E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>
      <c r="A781" s="113">
        <v>45441.0</v>
      </c>
      <c r="B781" s="63" t="s">
        <v>1299</v>
      </c>
      <c r="C781" s="61" t="s">
        <v>1300</v>
      </c>
      <c r="D781" s="63" t="s">
        <v>1301</v>
      </c>
      <c r="E781" s="9" t="s">
        <v>1302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29"/>
      <c r="AD781" s="29"/>
    </row>
    <row r="782">
      <c r="A782" s="29"/>
      <c r="B782" s="35"/>
      <c r="C782" s="29"/>
      <c r="D782" s="29"/>
      <c r="E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>
      <c r="A783" s="113">
        <v>45442.0</v>
      </c>
      <c r="B783" s="63" t="s">
        <v>1303</v>
      </c>
      <c r="C783" s="61" t="s">
        <v>1304</v>
      </c>
      <c r="D783" s="63" t="s">
        <v>1305</v>
      </c>
      <c r="E783" s="81" t="s">
        <v>1253</v>
      </c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29"/>
      <c r="AD783" s="29"/>
    </row>
    <row r="784">
      <c r="A784" s="29"/>
      <c r="B784" s="35"/>
      <c r="C784" s="29"/>
      <c r="D784" s="29"/>
      <c r="E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>
      <c r="A785" s="113">
        <v>45443.0</v>
      </c>
      <c r="B785" s="63" t="s">
        <v>1170</v>
      </c>
      <c r="C785" s="61" t="s">
        <v>1180</v>
      </c>
      <c r="D785" s="63" t="s">
        <v>1306</v>
      </c>
      <c r="E785" s="9" t="s">
        <v>196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29"/>
      <c r="AD785" s="29"/>
    </row>
    <row r="786">
      <c r="A786" s="113">
        <v>45443.0</v>
      </c>
      <c r="B786" s="63" t="s">
        <v>1307</v>
      </c>
      <c r="C786" s="61" t="s">
        <v>1308</v>
      </c>
      <c r="D786" s="63" t="s">
        <v>1309</v>
      </c>
      <c r="E786" s="9" t="s">
        <v>531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29"/>
      <c r="AD786" s="29"/>
    </row>
    <row r="787">
      <c r="A787" s="113">
        <v>45443.0</v>
      </c>
      <c r="B787" s="63" t="s">
        <v>1310</v>
      </c>
      <c r="C787" s="61" t="s">
        <v>1311</v>
      </c>
      <c r="D787" s="63" t="s">
        <v>1312</v>
      </c>
      <c r="E787" s="81" t="s">
        <v>1313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29"/>
      <c r="AD787" s="29"/>
    </row>
    <row r="788" ht="15.0" customHeight="1">
      <c r="A788" s="113">
        <v>45443.0</v>
      </c>
      <c r="B788" s="63" t="s">
        <v>1314</v>
      </c>
      <c r="C788" s="61" t="s">
        <v>1308</v>
      </c>
      <c r="D788" s="63" t="s">
        <v>1315</v>
      </c>
      <c r="E788" s="81" t="s">
        <v>1316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29"/>
      <c r="AD788" s="29"/>
    </row>
    <row r="789">
      <c r="A789" s="113">
        <v>45443.0</v>
      </c>
      <c r="B789" s="63" t="s">
        <v>1317</v>
      </c>
      <c r="C789" s="61" t="s">
        <v>1318</v>
      </c>
      <c r="D789" s="45" t="s">
        <v>1319</v>
      </c>
      <c r="E789" s="81" t="s">
        <v>1320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29"/>
      <c r="AD789" s="29"/>
    </row>
    <row r="790">
      <c r="A790" s="113">
        <v>45443.0</v>
      </c>
      <c r="B790" s="63" t="s">
        <v>1317</v>
      </c>
      <c r="C790" s="61" t="s">
        <v>1215</v>
      </c>
      <c r="D790" s="63" t="s">
        <v>1239</v>
      </c>
      <c r="E790" s="72" t="s">
        <v>1321</v>
      </c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29"/>
      <c r="AD790" s="29"/>
    </row>
    <row r="791">
      <c r="A791" s="113">
        <v>45443.0</v>
      </c>
      <c r="B791" s="63" t="s">
        <v>1310</v>
      </c>
      <c r="C791" s="61" t="s">
        <v>1322</v>
      </c>
      <c r="D791" s="63" t="s">
        <v>1323</v>
      </c>
      <c r="E791" s="9" t="s">
        <v>1074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29"/>
      <c r="AD791" s="29"/>
    </row>
    <row r="792">
      <c r="A792" s="113">
        <v>45443.0</v>
      </c>
      <c r="B792" s="63" t="s">
        <v>1274</v>
      </c>
      <c r="C792" s="61" t="s">
        <v>1324</v>
      </c>
      <c r="D792" s="63" t="s">
        <v>1325</v>
      </c>
      <c r="E792" s="9" t="s">
        <v>1320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29"/>
      <c r="AD792" s="29"/>
    </row>
    <row r="793">
      <c r="A793" s="113">
        <v>45443.0</v>
      </c>
      <c r="B793" s="63" t="s">
        <v>1170</v>
      </c>
      <c r="C793" s="51" t="s">
        <v>1326</v>
      </c>
      <c r="D793" s="63" t="s">
        <v>1327</v>
      </c>
      <c r="E793" s="81" t="s">
        <v>1197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29"/>
      <c r="AD793" s="29"/>
    </row>
    <row r="794">
      <c r="A794" s="29"/>
      <c r="B794" s="35"/>
      <c r="C794" s="29"/>
      <c r="D794" s="29"/>
      <c r="E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>
      <c r="A795" s="113">
        <v>45444.0</v>
      </c>
      <c r="B795" s="63" t="s">
        <v>1307</v>
      </c>
      <c r="C795" s="61" t="s">
        <v>1328</v>
      </c>
      <c r="D795" s="63" t="s">
        <v>1329</v>
      </c>
      <c r="E795" s="81" t="s">
        <v>531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29"/>
      <c r="AD795" s="29"/>
    </row>
    <row r="796">
      <c r="A796" s="113">
        <v>45444.0</v>
      </c>
      <c r="B796" s="63" t="s">
        <v>1248</v>
      </c>
      <c r="C796" s="61" t="s">
        <v>1249</v>
      </c>
      <c r="D796" s="63" t="s">
        <v>1330</v>
      </c>
      <c r="E796" s="9" t="s">
        <v>531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29"/>
      <c r="AD796" s="29"/>
    </row>
    <row r="797">
      <c r="A797" s="113">
        <v>45444.0</v>
      </c>
      <c r="B797" s="63" t="s">
        <v>1248</v>
      </c>
      <c r="C797" s="51" t="s">
        <v>1260</v>
      </c>
      <c r="D797" s="63" t="s">
        <v>1331</v>
      </c>
      <c r="E797" s="9" t="s">
        <v>1332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29"/>
      <c r="AD797" s="29"/>
    </row>
    <row r="798">
      <c r="A798" s="113">
        <v>45444.0</v>
      </c>
      <c r="B798" s="63" t="s">
        <v>1248</v>
      </c>
      <c r="C798" s="51" t="s">
        <v>1260</v>
      </c>
      <c r="D798" s="63" t="s">
        <v>1333</v>
      </c>
      <c r="E798" s="9" t="s">
        <v>1201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29"/>
      <c r="AD798" s="29"/>
    </row>
    <row r="799">
      <c r="A799" s="113">
        <v>45444.0</v>
      </c>
      <c r="B799" s="63" t="s">
        <v>1317</v>
      </c>
      <c r="C799" s="51" t="s">
        <v>1221</v>
      </c>
      <c r="D799" s="63" t="s">
        <v>1334</v>
      </c>
      <c r="E799" s="81" t="s">
        <v>1201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29"/>
      <c r="AD799" s="29"/>
    </row>
    <row r="800">
      <c r="A800" s="113">
        <v>45444.0</v>
      </c>
      <c r="B800" s="63" t="s">
        <v>1248</v>
      </c>
      <c r="C800" s="61" t="s">
        <v>1260</v>
      </c>
      <c r="D800" s="63" t="s">
        <v>1333</v>
      </c>
      <c r="E800" s="81" t="s">
        <v>1201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29"/>
      <c r="AD800" s="29"/>
    </row>
    <row r="801">
      <c r="A801" s="113">
        <v>45445.0</v>
      </c>
      <c r="B801" s="63" t="s">
        <v>1335</v>
      </c>
      <c r="C801" s="61" t="s">
        <v>1336</v>
      </c>
      <c r="D801" s="63" t="s">
        <v>1337</v>
      </c>
      <c r="E801" s="81" t="s">
        <v>1074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29"/>
      <c r="AD801" s="29"/>
    </row>
    <row r="802">
      <c r="A802" s="113">
        <v>45445.0</v>
      </c>
      <c r="B802" s="63" t="s">
        <v>1274</v>
      </c>
      <c r="C802" s="61" t="s">
        <v>393</v>
      </c>
      <c r="D802" s="63" t="s">
        <v>1338</v>
      </c>
      <c r="E802" s="72" t="s">
        <v>1339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29"/>
      <c r="AD802" s="29"/>
    </row>
    <row r="803">
      <c r="A803" s="113">
        <v>45445.0</v>
      </c>
      <c r="B803" s="63" t="s">
        <v>1310</v>
      </c>
      <c r="C803" s="61" t="s">
        <v>1340</v>
      </c>
      <c r="D803" s="63" t="s">
        <v>1341</v>
      </c>
      <c r="E803" s="9" t="s">
        <v>1247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29"/>
      <c r="AD803" s="29"/>
    </row>
    <row r="804">
      <c r="A804" s="113">
        <v>45445.0</v>
      </c>
      <c r="B804" s="63" t="s">
        <v>1342</v>
      </c>
      <c r="C804" s="72" t="s">
        <v>1343</v>
      </c>
      <c r="D804" s="63" t="s">
        <v>1344</v>
      </c>
      <c r="E804" s="9" t="s">
        <v>1201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29"/>
      <c r="AD804" s="29"/>
    </row>
    <row r="805">
      <c r="A805" s="29"/>
      <c r="B805" s="35"/>
      <c r="C805" s="29"/>
      <c r="D805" s="29"/>
      <c r="E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>
      <c r="A806" s="29"/>
      <c r="B806" s="35"/>
      <c r="C806" s="29"/>
      <c r="D806" s="29"/>
      <c r="E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>
      <c r="A807" s="113">
        <v>45446.0</v>
      </c>
      <c r="B807" s="63" t="s">
        <v>1248</v>
      </c>
      <c r="C807" s="61" t="s">
        <v>1345</v>
      </c>
      <c r="D807" s="63" t="s">
        <v>1346</v>
      </c>
      <c r="E807" s="9" t="s">
        <v>1347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29"/>
      <c r="AD807" s="29"/>
    </row>
    <row r="808">
      <c r="A808" s="113">
        <v>45446.0</v>
      </c>
      <c r="B808" s="63" t="s">
        <v>1248</v>
      </c>
      <c r="C808" s="51" t="s">
        <v>1348</v>
      </c>
      <c r="D808" s="63" t="s">
        <v>1349</v>
      </c>
      <c r="E808" s="9" t="s">
        <v>1201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29"/>
      <c r="AD808" s="29"/>
    </row>
    <row r="809">
      <c r="A809" s="113">
        <v>45446.0</v>
      </c>
      <c r="B809" s="63" t="s">
        <v>1248</v>
      </c>
      <c r="C809" s="51" t="s">
        <v>1350</v>
      </c>
      <c r="D809" s="63" t="s">
        <v>1351</v>
      </c>
      <c r="E809" s="9" t="s">
        <v>1347</v>
      </c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29"/>
      <c r="AD809" s="29"/>
    </row>
    <row r="810">
      <c r="A810" s="113">
        <v>45446.0</v>
      </c>
      <c r="B810" s="63" t="s">
        <v>1248</v>
      </c>
      <c r="C810" s="51" t="s">
        <v>1260</v>
      </c>
      <c r="D810" s="63" t="s">
        <v>1352</v>
      </c>
      <c r="E810" s="81" t="s">
        <v>1201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29"/>
      <c r="AD810" s="29"/>
    </row>
    <row r="811">
      <c r="A811" s="113">
        <v>45446.0</v>
      </c>
      <c r="B811" s="63" t="s">
        <v>1248</v>
      </c>
      <c r="C811" s="51" t="s">
        <v>1353</v>
      </c>
      <c r="D811" s="63" t="s">
        <v>1354</v>
      </c>
      <c r="E811" s="51" t="s">
        <v>1339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29"/>
      <c r="AD811" s="29"/>
    </row>
    <row r="812">
      <c r="A812" s="29"/>
      <c r="B812" s="35"/>
      <c r="C812" s="29"/>
      <c r="D812" s="29"/>
      <c r="E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>
      <c r="A813" s="113">
        <v>45447.0</v>
      </c>
      <c r="B813" s="63" t="s">
        <v>1248</v>
      </c>
      <c r="C813" s="61" t="s">
        <v>1355</v>
      </c>
      <c r="D813" s="63" t="s">
        <v>1356</v>
      </c>
      <c r="E813" s="7" t="s">
        <v>764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29"/>
      <c r="AD813" s="29"/>
    </row>
    <row r="814">
      <c r="A814" s="29"/>
      <c r="B814" s="35"/>
      <c r="C814" s="29"/>
      <c r="D814" s="29"/>
      <c r="E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>
      <c r="A815" s="113">
        <v>45448.0</v>
      </c>
      <c r="B815" s="63" t="s">
        <v>1310</v>
      </c>
      <c r="C815" s="61" t="s">
        <v>1340</v>
      </c>
      <c r="D815" s="45" t="s">
        <v>1357</v>
      </c>
      <c r="E815" s="81" t="s">
        <v>1358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29"/>
      <c r="AD815" s="29"/>
    </row>
    <row r="816">
      <c r="A816" s="113">
        <v>45448.0</v>
      </c>
      <c r="B816" s="63" t="s">
        <v>1359</v>
      </c>
      <c r="C816" s="61" t="s">
        <v>1360</v>
      </c>
      <c r="D816" s="63" t="s">
        <v>1361</v>
      </c>
      <c r="E816" s="61" t="s">
        <v>1339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29"/>
      <c r="AD816" s="29"/>
    </row>
    <row r="817">
      <c r="A817" s="113">
        <v>45448.0</v>
      </c>
      <c r="B817" s="63" t="s">
        <v>1310</v>
      </c>
      <c r="C817" s="61" t="s">
        <v>1340</v>
      </c>
      <c r="D817" s="63" t="s">
        <v>1362</v>
      </c>
      <c r="E817" s="81" t="s">
        <v>1358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29"/>
      <c r="AD817" s="29"/>
    </row>
    <row r="818">
      <c r="A818" s="29"/>
      <c r="B818" s="35"/>
      <c r="C818" s="29"/>
      <c r="D818" s="29"/>
      <c r="E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>
      <c r="A819" s="113">
        <v>45449.0</v>
      </c>
      <c r="B819" s="63" t="s">
        <v>1363</v>
      </c>
      <c r="C819" s="61" t="s">
        <v>410</v>
      </c>
      <c r="D819" s="63" t="s">
        <v>1364</v>
      </c>
      <c r="E819" s="81" t="s">
        <v>531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29"/>
      <c r="AD819" s="29"/>
    </row>
    <row r="820">
      <c r="A820" s="113">
        <v>45449.0</v>
      </c>
      <c r="B820" s="63" t="s">
        <v>1248</v>
      </c>
      <c r="C820" s="61" t="s">
        <v>1365</v>
      </c>
      <c r="D820" s="63" t="s">
        <v>1366</v>
      </c>
      <c r="E820" s="124" t="s">
        <v>1367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29"/>
      <c r="AD820" s="29"/>
    </row>
    <row r="821">
      <c r="A821" s="29"/>
      <c r="B821" s="35"/>
      <c r="C821" s="29"/>
      <c r="D821" s="29"/>
      <c r="E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>
      <c r="A822" s="29"/>
      <c r="B822" s="35"/>
      <c r="C822" s="29"/>
      <c r="D822" s="29"/>
      <c r="E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>
      <c r="A823" s="113">
        <v>45450.0</v>
      </c>
      <c r="B823" s="63" t="s">
        <v>1368</v>
      </c>
      <c r="C823" s="121" t="s">
        <v>1369</v>
      </c>
      <c r="D823" s="63" t="s">
        <v>1370</v>
      </c>
      <c r="E823" s="95" t="s">
        <v>1201</v>
      </c>
      <c r="F823" s="95"/>
      <c r="G823" s="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>
      <c r="A824" s="113">
        <v>45450.0</v>
      </c>
      <c r="B824" s="63" t="s">
        <v>1363</v>
      </c>
      <c r="C824" s="122" t="s">
        <v>410</v>
      </c>
      <c r="D824" s="63" t="s">
        <v>1364</v>
      </c>
      <c r="E824" s="95" t="s">
        <v>1201</v>
      </c>
      <c r="F824" s="95"/>
      <c r="G824" s="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>
      <c r="A825" s="29"/>
      <c r="B825" s="35"/>
      <c r="C825" s="29"/>
      <c r="D825" s="29"/>
      <c r="E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>
      <c r="A826" s="29"/>
      <c r="B826" s="35"/>
      <c r="C826" s="29"/>
      <c r="D826" s="29"/>
      <c r="E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>
      <c r="A827" s="113">
        <v>45451.0</v>
      </c>
      <c r="B827" s="63" t="s">
        <v>1248</v>
      </c>
      <c r="C827" s="61" t="s">
        <v>1365</v>
      </c>
      <c r="D827" s="63" t="s">
        <v>1366</v>
      </c>
      <c r="E827" s="81" t="s">
        <v>764</v>
      </c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>
      <c r="A828" s="29"/>
      <c r="B828" s="35"/>
      <c r="C828" s="29"/>
      <c r="D828" s="29"/>
      <c r="E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>
      <c r="A829" s="113">
        <v>45453.0</v>
      </c>
      <c r="B829" s="63" t="s">
        <v>1248</v>
      </c>
      <c r="C829" s="61" t="s">
        <v>1371</v>
      </c>
      <c r="D829" s="63" t="s">
        <v>1372</v>
      </c>
      <c r="E829" s="61" t="s">
        <v>1373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29"/>
      <c r="AD829" s="29"/>
    </row>
    <row r="830">
      <c r="A830" s="113">
        <v>45453.0</v>
      </c>
      <c r="B830" s="63" t="s">
        <v>1248</v>
      </c>
      <c r="C830" s="72" t="s">
        <v>1374</v>
      </c>
      <c r="D830" s="63" t="s">
        <v>1375</v>
      </c>
      <c r="E830" s="124" t="s">
        <v>1201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29"/>
      <c r="AD830" s="29"/>
    </row>
    <row r="831">
      <c r="A831" s="29"/>
      <c r="B831" s="35"/>
      <c r="C831" s="29"/>
      <c r="D831" s="29"/>
      <c r="E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>
      <c r="A832" s="29"/>
      <c r="B832" s="35"/>
      <c r="C832" s="29"/>
      <c r="D832" s="29"/>
      <c r="E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>
      <c r="A833" s="113">
        <v>45455.0</v>
      </c>
      <c r="B833" s="9" t="s">
        <v>1376</v>
      </c>
      <c r="C833" s="9" t="s">
        <v>1278</v>
      </c>
      <c r="D833" s="9" t="s">
        <v>1377</v>
      </c>
      <c r="E833" s="125" t="s">
        <v>1378</v>
      </c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>
      <c r="A834" s="113">
        <v>45455.0</v>
      </c>
      <c r="B834" s="9" t="s">
        <v>1376</v>
      </c>
      <c r="C834" s="9" t="s">
        <v>1379</v>
      </c>
      <c r="D834" s="9" t="s">
        <v>1380</v>
      </c>
      <c r="E834" s="126" t="s">
        <v>1378</v>
      </c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>
      <c r="A835" s="113">
        <v>45455.0</v>
      </c>
      <c r="B835" s="9" t="s">
        <v>1376</v>
      </c>
      <c r="C835" s="9" t="s">
        <v>449</v>
      </c>
      <c r="D835" s="9" t="s">
        <v>1381</v>
      </c>
      <c r="E835" s="127" t="s">
        <v>1378</v>
      </c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>
      <c r="A836" s="113">
        <v>45455.0</v>
      </c>
      <c r="B836" s="9" t="s">
        <v>1009</v>
      </c>
      <c r="C836" s="9" t="s">
        <v>1382</v>
      </c>
      <c r="D836" s="9" t="s">
        <v>1383</v>
      </c>
      <c r="E836" s="81" t="s">
        <v>1384</v>
      </c>
      <c r="F836" s="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>
      <c r="A837" s="113">
        <v>45455.0</v>
      </c>
      <c r="B837" s="9" t="s">
        <v>1248</v>
      </c>
      <c r="C837" s="9" t="s">
        <v>1308</v>
      </c>
      <c r="D837" s="9" t="s">
        <v>1385</v>
      </c>
      <c r="E837" s="81" t="s">
        <v>1282</v>
      </c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>
      <c r="A838" s="113">
        <v>45455.0</v>
      </c>
      <c r="B838" s="9" t="s">
        <v>1248</v>
      </c>
      <c r="C838" s="9" t="s">
        <v>1386</v>
      </c>
      <c r="D838" s="9" t="s">
        <v>1375</v>
      </c>
      <c r="E838" s="9" t="s">
        <v>411</v>
      </c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>
      <c r="A839" s="29"/>
      <c r="B839" s="35"/>
      <c r="C839" s="29"/>
      <c r="D839" s="29"/>
      <c r="E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>
      <c r="A840" s="29"/>
      <c r="B840" s="35"/>
      <c r="C840" s="29"/>
      <c r="D840" s="29"/>
      <c r="E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>
      <c r="A841" s="113">
        <v>45456.0</v>
      </c>
      <c r="B841" s="9" t="s">
        <v>1363</v>
      </c>
      <c r="C841" s="9" t="s">
        <v>1387</v>
      </c>
      <c r="D841" s="9" t="s">
        <v>1388</v>
      </c>
      <c r="E841" s="9" t="s">
        <v>1282</v>
      </c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>
      <c r="A842" s="113">
        <v>45456.0</v>
      </c>
      <c r="B842" s="9" t="s">
        <v>1212</v>
      </c>
      <c r="C842" s="9" t="s">
        <v>1215</v>
      </c>
      <c r="D842" s="9" t="s">
        <v>1389</v>
      </c>
      <c r="E842" s="9" t="s">
        <v>1390</v>
      </c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>
      <c r="A843" s="113">
        <v>45456.0</v>
      </c>
      <c r="B843" s="9" t="s">
        <v>1248</v>
      </c>
      <c r="C843" s="9" t="s">
        <v>1355</v>
      </c>
      <c r="D843" s="9" t="s">
        <v>1391</v>
      </c>
      <c r="E843" s="124" t="s">
        <v>1339</v>
      </c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>
      <c r="A844" s="29"/>
      <c r="B844" s="35"/>
      <c r="C844" s="29"/>
      <c r="D844" s="29"/>
      <c r="E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>
      <c r="A845" s="29"/>
      <c r="B845" s="35"/>
      <c r="C845" s="29"/>
      <c r="D845" s="29"/>
      <c r="E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>
      <c r="A846" s="113">
        <v>45457.0</v>
      </c>
      <c r="B846" s="9" t="s">
        <v>1392</v>
      </c>
      <c r="C846" s="9" t="s">
        <v>1393</v>
      </c>
      <c r="D846" s="9" t="s">
        <v>1394</v>
      </c>
      <c r="E846" s="128" t="s">
        <v>1395</v>
      </c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>
      <c r="A847" s="29"/>
      <c r="B847" s="35"/>
      <c r="C847" s="29"/>
      <c r="D847" s="29"/>
      <c r="E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>
      <c r="A848" s="29"/>
      <c r="B848" s="35"/>
      <c r="C848" s="29"/>
      <c r="D848" s="29"/>
      <c r="E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>
      <c r="A849" s="113">
        <v>45458.0</v>
      </c>
      <c r="B849" s="63" t="s">
        <v>1392</v>
      </c>
      <c r="C849" s="69" t="s">
        <v>1396</v>
      </c>
      <c r="D849" s="63" t="s">
        <v>1397</v>
      </c>
      <c r="E849" s="9" t="s">
        <v>37</v>
      </c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>
      <c r="A850" s="113">
        <v>45458.0</v>
      </c>
      <c r="B850" s="63" t="s">
        <v>1398</v>
      </c>
      <c r="C850" s="51" t="s">
        <v>1399</v>
      </c>
      <c r="D850" s="63" t="s">
        <v>1400</v>
      </c>
      <c r="E850" s="9" t="s">
        <v>1401</v>
      </c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>
      <c r="A851" s="29"/>
      <c r="B851" s="35"/>
      <c r="C851" s="29"/>
      <c r="D851" s="29"/>
      <c r="E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>
      <c r="A852" s="29"/>
      <c r="B852" s="35"/>
      <c r="C852" s="29"/>
      <c r="D852" s="29"/>
      <c r="E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>
      <c r="A853" s="113">
        <v>45459.0</v>
      </c>
      <c r="B853" s="63" t="s">
        <v>1248</v>
      </c>
      <c r="C853" s="116" t="s">
        <v>835</v>
      </c>
      <c r="D853" s="63" t="s">
        <v>1402</v>
      </c>
      <c r="E853" s="9" t="s">
        <v>1074</v>
      </c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>
      <c r="A854" s="113">
        <v>45459.0</v>
      </c>
      <c r="B854" s="63" t="s">
        <v>1392</v>
      </c>
      <c r="C854" s="116" t="s">
        <v>1403</v>
      </c>
      <c r="D854" s="63" t="s">
        <v>1404</v>
      </c>
      <c r="E854" s="9" t="s">
        <v>1405</v>
      </c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>
      <c r="A855" s="109"/>
      <c r="B855" s="63"/>
      <c r="C855" s="129"/>
      <c r="D855" s="29"/>
      <c r="E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>
      <c r="A856" s="113">
        <v>45460.0</v>
      </c>
      <c r="B856" s="63" t="s">
        <v>1392</v>
      </c>
      <c r="C856" s="72" t="s">
        <v>1406</v>
      </c>
      <c r="D856" s="63" t="s">
        <v>1407</v>
      </c>
      <c r="E856" s="9" t="s">
        <v>1408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29"/>
      <c r="AD856" s="29"/>
    </row>
    <row r="857">
      <c r="A857" s="113">
        <v>45460.0</v>
      </c>
      <c r="B857" s="63" t="s">
        <v>1248</v>
      </c>
      <c r="C857" s="61" t="s">
        <v>1409</v>
      </c>
      <c r="D857" s="63" t="s">
        <v>1410</v>
      </c>
      <c r="E857" s="81" t="s">
        <v>1411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29"/>
      <c r="AD857" s="29"/>
    </row>
    <row r="858">
      <c r="A858" s="29"/>
      <c r="B858" s="35"/>
      <c r="C858" s="29"/>
      <c r="D858" s="29"/>
      <c r="E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>
      <c r="A859" s="130">
        <v>45461.0</v>
      </c>
      <c r="B859" s="63" t="s">
        <v>1392</v>
      </c>
      <c r="C859" s="61" t="s">
        <v>1412</v>
      </c>
      <c r="D859" s="63" t="s">
        <v>1413</v>
      </c>
      <c r="E859" s="61" t="s">
        <v>1074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29"/>
      <c r="AD859" s="29"/>
    </row>
    <row r="860">
      <c r="A860" s="109"/>
      <c r="B860" s="63"/>
      <c r="C860" s="129"/>
      <c r="D860" s="29"/>
      <c r="E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>
      <c r="A861" s="130">
        <v>45462.0</v>
      </c>
      <c r="B861" s="63" t="s">
        <v>1414</v>
      </c>
      <c r="C861" s="61" t="s">
        <v>1415</v>
      </c>
      <c r="D861" s="63" t="s">
        <v>1416</v>
      </c>
      <c r="E861" s="119" t="s">
        <v>1197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29"/>
      <c r="AD861" s="29"/>
    </row>
    <row r="862">
      <c r="A862" s="130">
        <v>45462.0</v>
      </c>
      <c r="B862" s="63" t="s">
        <v>1417</v>
      </c>
      <c r="C862" s="61" t="s">
        <v>1418</v>
      </c>
      <c r="D862" s="63" t="s">
        <v>1419</v>
      </c>
      <c r="E862" s="119" t="s">
        <v>1420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29"/>
      <c r="AD862" s="29"/>
    </row>
    <row r="863">
      <c r="A863" s="109"/>
      <c r="B863" s="63"/>
      <c r="C863" s="129"/>
      <c r="D863" s="29"/>
      <c r="E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>
      <c r="A864" s="130">
        <v>45464.0</v>
      </c>
      <c r="B864" s="131" t="s">
        <v>1421</v>
      </c>
      <c r="C864" s="23" t="s">
        <v>1422</v>
      </c>
      <c r="D864" s="131" t="s">
        <v>1423</v>
      </c>
      <c r="E864" s="132" t="s">
        <v>14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29"/>
      <c r="AD864" s="29"/>
    </row>
    <row r="865">
      <c r="A865" s="130">
        <v>45464.0</v>
      </c>
      <c r="B865" s="131" t="s">
        <v>1248</v>
      </c>
      <c r="C865" s="133" t="s">
        <v>1424</v>
      </c>
      <c r="D865" s="131" t="s">
        <v>1425</v>
      </c>
      <c r="E865" s="134" t="s">
        <v>1426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29"/>
      <c r="AD865" s="29"/>
    </row>
    <row r="866">
      <c r="A866" s="109"/>
      <c r="B866" s="63"/>
      <c r="C866" s="9"/>
      <c r="D866" s="29"/>
      <c r="E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>
      <c r="A867" s="109"/>
      <c r="B867" s="63"/>
      <c r="C867" s="9"/>
      <c r="D867" s="29"/>
      <c r="E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>
      <c r="A868" s="130">
        <v>45465.0</v>
      </c>
      <c r="B868" s="63" t="s">
        <v>1248</v>
      </c>
      <c r="C868" s="61" t="s">
        <v>1427</v>
      </c>
      <c r="D868" s="68" t="s">
        <v>1428</v>
      </c>
      <c r="E868" s="135" t="s">
        <v>1429</v>
      </c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>
      <c r="A869" s="130">
        <v>45465.0</v>
      </c>
      <c r="B869" s="136" t="s">
        <v>1430</v>
      </c>
      <c r="C869" s="23" t="s">
        <v>1431</v>
      </c>
      <c r="D869" s="23" t="s">
        <v>1432</v>
      </c>
      <c r="E869" s="137" t="s">
        <v>1426</v>
      </c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>
      <c r="A870" s="130">
        <v>45465.0</v>
      </c>
      <c r="B870" s="63" t="s">
        <v>1248</v>
      </c>
      <c r="C870" s="61" t="s">
        <v>1433</v>
      </c>
      <c r="D870" s="68" t="s">
        <v>1434</v>
      </c>
      <c r="E870" s="132" t="s">
        <v>1435</v>
      </c>
      <c r="F870" s="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>
      <c r="A871" s="130">
        <v>45465.0</v>
      </c>
      <c r="B871" s="136" t="s">
        <v>1248</v>
      </c>
      <c r="C871" s="138" t="s">
        <v>1374</v>
      </c>
      <c r="D871" s="23" t="s">
        <v>1436</v>
      </c>
      <c r="E871" s="139" t="s">
        <v>1426</v>
      </c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>
      <c r="A872" s="130">
        <v>45465.0</v>
      </c>
      <c r="B872" s="136" t="s">
        <v>1248</v>
      </c>
      <c r="C872" s="51" t="s">
        <v>1437</v>
      </c>
      <c r="D872" s="68" t="s">
        <v>1438</v>
      </c>
      <c r="E872" s="49" t="s">
        <v>1439</v>
      </c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>
      <c r="A873" s="51"/>
      <c r="B873" s="63"/>
      <c r="C873" s="51"/>
      <c r="D873" s="29"/>
      <c r="E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>
      <c r="A874" s="51"/>
      <c r="B874" s="63"/>
      <c r="C874" s="51"/>
      <c r="D874" s="29"/>
      <c r="E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>
      <c r="A875" s="130">
        <v>45466.0</v>
      </c>
      <c r="B875" s="22" t="s">
        <v>1417</v>
      </c>
      <c r="C875" s="81" t="s">
        <v>1440</v>
      </c>
      <c r="D875" s="140" t="s">
        <v>1441</v>
      </c>
      <c r="E875" s="132" t="s">
        <v>229</v>
      </c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>
      <c r="A876" s="51"/>
      <c r="B876" s="63"/>
      <c r="C876" s="51"/>
      <c r="D876" s="29"/>
      <c r="E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>
      <c r="A877" s="130">
        <v>45467.0</v>
      </c>
      <c r="B877" s="63" t="s">
        <v>1442</v>
      </c>
      <c r="C877" s="61" t="s">
        <v>1443</v>
      </c>
      <c r="D877" s="63" t="s">
        <v>1444</v>
      </c>
      <c r="E877" s="132" t="s">
        <v>1373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29"/>
      <c r="AD877" s="29"/>
    </row>
    <row r="878">
      <c r="A878" s="130">
        <v>45467.0</v>
      </c>
      <c r="B878" s="63" t="s">
        <v>1442</v>
      </c>
      <c r="C878" s="61" t="s">
        <v>1445</v>
      </c>
      <c r="D878" s="63" t="s">
        <v>1446</v>
      </c>
      <c r="E878" s="141" t="s">
        <v>1447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29"/>
      <c r="AD878" s="29"/>
    </row>
    <row r="879">
      <c r="A879" s="130">
        <v>45467.0</v>
      </c>
      <c r="B879" s="63" t="s">
        <v>1442</v>
      </c>
      <c r="C879" s="51" t="s">
        <v>1448</v>
      </c>
      <c r="D879" s="63" t="s">
        <v>1449</v>
      </c>
      <c r="E879" s="141" t="s">
        <v>1447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29"/>
      <c r="AD879" s="29"/>
    </row>
    <row r="880">
      <c r="A880" s="130">
        <v>45467.0</v>
      </c>
      <c r="B880" s="63" t="s">
        <v>1442</v>
      </c>
      <c r="C880" s="51" t="s">
        <v>1450</v>
      </c>
      <c r="D880" s="63" t="s">
        <v>1451</v>
      </c>
      <c r="E880" s="141" t="s">
        <v>1447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29"/>
      <c r="AD880" s="29"/>
    </row>
    <row r="881">
      <c r="A881" s="130">
        <v>45467.0</v>
      </c>
      <c r="B881" s="63" t="s">
        <v>1442</v>
      </c>
      <c r="C881" s="51" t="s">
        <v>1452</v>
      </c>
      <c r="D881" s="63" t="s">
        <v>1453</v>
      </c>
      <c r="E881" s="141" t="s">
        <v>1447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29"/>
      <c r="AD881" s="29"/>
    </row>
    <row r="882">
      <c r="A882" s="130">
        <v>45467.0</v>
      </c>
      <c r="B882" s="63" t="s">
        <v>1442</v>
      </c>
      <c r="C882" s="51" t="s">
        <v>1452</v>
      </c>
      <c r="D882" s="63" t="s">
        <v>1454</v>
      </c>
      <c r="E882" s="141" t="s">
        <v>1447</v>
      </c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29"/>
      <c r="AD882" s="29"/>
    </row>
    <row r="883">
      <c r="A883" s="130">
        <v>45467.0</v>
      </c>
      <c r="B883" s="63" t="s">
        <v>1442</v>
      </c>
      <c r="C883" s="51" t="s">
        <v>1452</v>
      </c>
      <c r="D883" s="63" t="s">
        <v>1455</v>
      </c>
      <c r="E883" s="23" t="s">
        <v>196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29"/>
      <c r="AD883" s="29"/>
    </row>
    <row r="884">
      <c r="A884" s="130">
        <v>45467.0</v>
      </c>
      <c r="B884" s="63" t="s">
        <v>1456</v>
      </c>
      <c r="C884" s="61" t="s">
        <v>1457</v>
      </c>
      <c r="D884" s="63" t="s">
        <v>1458</v>
      </c>
      <c r="E884" s="132" t="s">
        <v>1459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29"/>
      <c r="AD884" s="29"/>
    </row>
    <row r="885">
      <c r="A885" s="130">
        <v>45467.0</v>
      </c>
      <c r="B885" s="63" t="s">
        <v>1460</v>
      </c>
      <c r="C885" s="61" t="s">
        <v>1461</v>
      </c>
      <c r="D885" s="63" t="s">
        <v>1462</v>
      </c>
      <c r="E885" s="142" t="s">
        <v>196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29"/>
      <c r="AD885" s="29"/>
    </row>
    <row r="886">
      <c r="A886" s="130">
        <v>45467.0</v>
      </c>
      <c r="B886" s="63" t="s">
        <v>1463</v>
      </c>
      <c r="C886" s="51" t="s">
        <v>1464</v>
      </c>
      <c r="D886" s="63" t="s">
        <v>1236</v>
      </c>
      <c r="E886" s="132" t="s">
        <v>1051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29"/>
      <c r="AD886" s="29"/>
    </row>
    <row r="887">
      <c r="A887" s="130">
        <v>45467.0</v>
      </c>
      <c r="B887" s="63" t="s">
        <v>1465</v>
      </c>
      <c r="C887" s="49" t="s">
        <v>1466</v>
      </c>
      <c r="D887" s="63" t="s">
        <v>1467</v>
      </c>
      <c r="E887" s="132" t="s">
        <v>1468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29"/>
      <c r="AD887" s="29"/>
    </row>
    <row r="888">
      <c r="A888" s="130">
        <v>45467.0</v>
      </c>
      <c r="B888" s="63" t="s">
        <v>1460</v>
      </c>
      <c r="C888" s="61" t="s">
        <v>449</v>
      </c>
      <c r="D888" s="63" t="s">
        <v>1462</v>
      </c>
      <c r="E888" s="61" t="s">
        <v>1469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29"/>
      <c r="AD888" s="29"/>
    </row>
    <row r="889">
      <c r="A889" s="130">
        <v>45467.0</v>
      </c>
      <c r="B889" s="63" t="s">
        <v>1460</v>
      </c>
      <c r="C889" s="51" t="s">
        <v>1470</v>
      </c>
      <c r="D889" s="63" t="s">
        <v>1462</v>
      </c>
      <c r="E889" s="51" t="s">
        <v>1469</v>
      </c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29"/>
      <c r="AD889" s="29"/>
    </row>
    <row r="890">
      <c r="A890" s="130">
        <v>45467.0</v>
      </c>
      <c r="B890" s="63" t="s">
        <v>1460</v>
      </c>
      <c r="C890" s="51" t="s">
        <v>1471</v>
      </c>
      <c r="D890" s="63" t="s">
        <v>1462</v>
      </c>
      <c r="E890" s="49" t="s">
        <v>1469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29"/>
      <c r="AD890" s="29"/>
    </row>
    <row r="891">
      <c r="A891" s="109"/>
      <c r="B891" s="63"/>
      <c r="C891" s="9"/>
      <c r="D891" s="29"/>
      <c r="E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>
      <c r="A892" s="109"/>
      <c r="B892" s="63"/>
      <c r="C892" s="9"/>
      <c r="D892" s="29"/>
      <c r="E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>
      <c r="A893" s="130">
        <v>45468.0</v>
      </c>
      <c r="B893" s="63" t="s">
        <v>1460</v>
      </c>
      <c r="C893" s="140" t="s">
        <v>1472</v>
      </c>
      <c r="D893" s="63" t="s">
        <v>1462</v>
      </c>
      <c r="E893" s="142" t="s">
        <v>196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29"/>
      <c r="AD893" s="29"/>
    </row>
    <row r="894">
      <c r="A894" s="130">
        <v>45468.0</v>
      </c>
      <c r="B894" s="22" t="s">
        <v>1473</v>
      </c>
      <c r="C894" s="140" t="s">
        <v>1474</v>
      </c>
      <c r="D894" s="22" t="s">
        <v>1475</v>
      </c>
      <c r="E894" s="132" t="s">
        <v>1074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29"/>
      <c r="AD894" s="29"/>
    </row>
    <row r="895">
      <c r="A895" s="130">
        <v>45468.0</v>
      </c>
      <c r="B895" s="22" t="s">
        <v>1476</v>
      </c>
      <c r="C895" s="140" t="s">
        <v>1477</v>
      </c>
      <c r="D895" s="140" t="s">
        <v>1478</v>
      </c>
      <c r="E895" s="137" t="s">
        <v>1479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29"/>
      <c r="AD895" s="29"/>
    </row>
    <row r="896">
      <c r="A896" s="130">
        <v>45468.0</v>
      </c>
      <c r="B896" s="22" t="s">
        <v>1480</v>
      </c>
      <c r="C896" s="140" t="s">
        <v>1481</v>
      </c>
      <c r="D896" s="22" t="s">
        <v>327</v>
      </c>
      <c r="E896" s="137" t="s">
        <v>14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29"/>
      <c r="AD896" s="29"/>
    </row>
    <row r="897">
      <c r="A897" s="130">
        <v>45468.0</v>
      </c>
      <c r="B897" s="22" t="s">
        <v>1421</v>
      </c>
      <c r="C897" s="143" t="s">
        <v>1482</v>
      </c>
      <c r="D897" s="22" t="s">
        <v>1483</v>
      </c>
      <c r="E897" s="139" t="s">
        <v>14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29"/>
      <c r="AD897" s="29"/>
    </row>
    <row r="898">
      <c r="A898" s="109"/>
      <c r="B898" s="63"/>
      <c r="C898" s="9"/>
      <c r="D898" s="29"/>
      <c r="E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>
      <c r="A899" s="130">
        <v>45469.0</v>
      </c>
      <c r="B899" s="22" t="s">
        <v>1484</v>
      </c>
      <c r="C899" s="140" t="s">
        <v>1485</v>
      </c>
      <c r="D899" s="22" t="s">
        <v>1486</v>
      </c>
      <c r="E899" s="137" t="s">
        <v>1479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29"/>
      <c r="AD899" s="29"/>
    </row>
    <row r="900">
      <c r="A900" s="130">
        <v>45469.0</v>
      </c>
      <c r="B900" s="22" t="s">
        <v>1487</v>
      </c>
      <c r="C900" s="140" t="s">
        <v>1488</v>
      </c>
      <c r="D900" s="22" t="s">
        <v>1489</v>
      </c>
      <c r="E900" s="137" t="s">
        <v>1490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29"/>
      <c r="AD900" s="29"/>
    </row>
    <row r="901">
      <c r="A901" s="130">
        <v>45469.0</v>
      </c>
      <c r="B901" s="22" t="s">
        <v>1392</v>
      </c>
      <c r="C901" s="140" t="s">
        <v>1491</v>
      </c>
      <c r="D901" s="22" t="s">
        <v>1492</v>
      </c>
      <c r="E901" s="137" t="s">
        <v>1493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29"/>
      <c r="AD901" s="29"/>
    </row>
    <row r="902">
      <c r="A902" s="130">
        <v>45469.0</v>
      </c>
      <c r="B902" s="22" t="s">
        <v>1421</v>
      </c>
      <c r="C902" s="140" t="s">
        <v>1494</v>
      </c>
      <c r="D902" s="22" t="s">
        <v>1495</v>
      </c>
      <c r="E902" s="137" t="s">
        <v>1479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29"/>
      <c r="AD902" s="29"/>
    </row>
    <row r="903">
      <c r="A903" s="130">
        <v>45469.0</v>
      </c>
      <c r="B903" s="22" t="s">
        <v>1421</v>
      </c>
      <c r="C903" s="140" t="s">
        <v>1494</v>
      </c>
      <c r="D903" s="22" t="s">
        <v>1496</v>
      </c>
      <c r="E903" s="137" t="s">
        <v>1479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29"/>
      <c r="AD903" s="29"/>
    </row>
    <row r="904">
      <c r="A904" s="130">
        <v>45469.0</v>
      </c>
      <c r="B904" s="22" t="s">
        <v>1421</v>
      </c>
      <c r="C904" s="140" t="s">
        <v>1497</v>
      </c>
      <c r="D904" s="22" t="s">
        <v>1498</v>
      </c>
      <c r="E904" s="137" t="s">
        <v>1479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29"/>
      <c r="AD904" s="29"/>
    </row>
    <row r="905">
      <c r="A905" s="51"/>
      <c r="B905" s="63"/>
      <c r="C905" s="9"/>
      <c r="D905" s="29"/>
      <c r="E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>
      <c r="A906" s="51"/>
      <c r="B906" s="63"/>
      <c r="C906" s="81"/>
      <c r="D906" s="29"/>
      <c r="E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>
      <c r="A907" s="130">
        <v>45470.0</v>
      </c>
      <c r="B907" s="22" t="s">
        <v>1499</v>
      </c>
      <c r="C907" s="140" t="s">
        <v>1500</v>
      </c>
      <c r="D907" s="22" t="s">
        <v>1501</v>
      </c>
      <c r="E907" s="132" t="s">
        <v>1074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29"/>
      <c r="AD907" s="29"/>
    </row>
    <row r="908">
      <c r="A908" s="130">
        <v>45470.0</v>
      </c>
      <c r="B908" s="22" t="s">
        <v>1499</v>
      </c>
      <c r="C908" s="140" t="s">
        <v>1502</v>
      </c>
      <c r="D908" s="22" t="s">
        <v>1503</v>
      </c>
      <c r="E908" s="132" t="s">
        <v>1074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29"/>
      <c r="AD908" s="29"/>
    </row>
    <row r="909">
      <c r="A909" s="130">
        <v>45470.0</v>
      </c>
      <c r="B909" s="22" t="s">
        <v>1499</v>
      </c>
      <c r="C909" s="143" t="s">
        <v>1504</v>
      </c>
      <c r="D909" s="22" t="s">
        <v>1505</v>
      </c>
      <c r="E909" s="132" t="s">
        <v>1506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29"/>
      <c r="AD909" s="29"/>
    </row>
    <row r="910">
      <c r="A910" s="130">
        <v>45470.0</v>
      </c>
      <c r="B910" s="22" t="s">
        <v>1392</v>
      </c>
      <c r="C910" s="143" t="s">
        <v>1507</v>
      </c>
      <c r="D910" s="22" t="s">
        <v>1508</v>
      </c>
      <c r="E910" s="61" t="s">
        <v>1509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29"/>
      <c r="AD910" s="29"/>
    </row>
    <row r="911">
      <c r="A911" s="109"/>
      <c r="B911" s="63"/>
      <c r="C911" s="49"/>
      <c r="D911" s="29"/>
      <c r="E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>
      <c r="A912" s="51"/>
      <c r="B912" s="63"/>
      <c r="C912" s="9"/>
      <c r="D912" s="29"/>
      <c r="E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>
      <c r="A913" s="144">
        <v>45471.0</v>
      </c>
      <c r="B913" s="22" t="s">
        <v>1499</v>
      </c>
      <c r="C913" s="140" t="s">
        <v>1510</v>
      </c>
      <c r="D913" s="22" t="s">
        <v>1511</v>
      </c>
      <c r="E913" s="137" t="s">
        <v>1512</v>
      </c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>
      <c r="A914" s="144">
        <v>45471.0</v>
      </c>
      <c r="B914" s="22" t="s">
        <v>1499</v>
      </c>
      <c r="C914" s="140" t="s">
        <v>1513</v>
      </c>
      <c r="D914" s="22" t="s">
        <v>1514</v>
      </c>
      <c r="E914" s="137" t="s">
        <v>1512</v>
      </c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>
      <c r="A915" s="144">
        <v>45471.0</v>
      </c>
      <c r="B915" s="22" t="s">
        <v>1499</v>
      </c>
      <c r="C915" s="140" t="s">
        <v>1502</v>
      </c>
      <c r="D915" s="22" t="s">
        <v>1503</v>
      </c>
      <c r="E915" s="137" t="s">
        <v>1074</v>
      </c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>
      <c r="A916" s="144">
        <v>45471.0</v>
      </c>
      <c r="B916" s="22" t="s">
        <v>1515</v>
      </c>
      <c r="C916" s="140" t="s">
        <v>1516</v>
      </c>
      <c r="D916" s="22" t="s">
        <v>1517</v>
      </c>
      <c r="E916" s="132" t="s">
        <v>1518</v>
      </c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>
      <c r="A917" s="144">
        <v>45471.0</v>
      </c>
      <c r="B917" s="22" t="s">
        <v>1465</v>
      </c>
      <c r="C917" s="140" t="s">
        <v>1519</v>
      </c>
      <c r="D917" s="22" t="s">
        <v>1520</v>
      </c>
      <c r="E917" s="132" t="s">
        <v>1521</v>
      </c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>
      <c r="A918" s="144">
        <v>45471.0</v>
      </c>
      <c r="B918" s="22" t="s">
        <v>1515</v>
      </c>
      <c r="C918" s="140" t="s">
        <v>1522</v>
      </c>
      <c r="D918" s="22" t="s">
        <v>1523</v>
      </c>
      <c r="E918" s="132" t="s">
        <v>1524</v>
      </c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>
      <c r="A919" s="144">
        <v>45471.0</v>
      </c>
      <c r="B919" s="22" t="s">
        <v>1515</v>
      </c>
      <c r="C919" s="140" t="s">
        <v>1516</v>
      </c>
      <c r="D919" s="22" t="s">
        <v>1525</v>
      </c>
      <c r="E919" s="132" t="s">
        <v>1526</v>
      </c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>
      <c r="A920" s="144">
        <v>45471.0</v>
      </c>
      <c r="B920" s="22" t="s">
        <v>1465</v>
      </c>
      <c r="C920" s="140" t="s">
        <v>1527</v>
      </c>
      <c r="D920" s="22" t="s">
        <v>1520</v>
      </c>
      <c r="E920" s="132" t="s">
        <v>1521</v>
      </c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>
      <c r="A921" s="144">
        <v>45471.0</v>
      </c>
      <c r="B921" s="22" t="s">
        <v>1528</v>
      </c>
      <c r="C921" s="140" t="s">
        <v>1529</v>
      </c>
      <c r="D921" s="22" t="s">
        <v>1530</v>
      </c>
      <c r="E921" s="132" t="s">
        <v>1521</v>
      </c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>
      <c r="A922" s="144">
        <v>45471.0</v>
      </c>
      <c r="B922" s="22" t="s">
        <v>1528</v>
      </c>
      <c r="C922" s="140" t="s">
        <v>1531</v>
      </c>
      <c r="D922" s="22" t="s">
        <v>1290</v>
      </c>
      <c r="E922" s="132" t="s">
        <v>1521</v>
      </c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>
      <c r="A923" s="29"/>
      <c r="B923" s="35"/>
      <c r="C923" s="29"/>
      <c r="D923" s="29"/>
      <c r="E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>
      <c r="A924" s="29"/>
      <c r="B924" s="35"/>
      <c r="C924" s="29"/>
      <c r="D924" s="29"/>
      <c r="E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>
      <c r="A925" s="144">
        <v>45473.0</v>
      </c>
      <c r="B925" s="22" t="s">
        <v>1532</v>
      </c>
      <c r="C925" s="140" t="s">
        <v>1016</v>
      </c>
      <c r="D925" s="22" t="s">
        <v>1533</v>
      </c>
      <c r="E925" s="145" t="s">
        <v>1534</v>
      </c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>
      <c r="A926" s="144">
        <v>45473.0</v>
      </c>
      <c r="B926" s="22" t="s">
        <v>1532</v>
      </c>
      <c r="C926" s="140" t="s">
        <v>1535</v>
      </c>
      <c r="D926" s="22" t="s">
        <v>1536</v>
      </c>
      <c r="E926" s="146" t="s">
        <v>1534</v>
      </c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>
      <c r="A927" s="144">
        <v>45473.0</v>
      </c>
      <c r="B927" s="22" t="s">
        <v>1532</v>
      </c>
      <c r="C927" s="140" t="s">
        <v>1535</v>
      </c>
      <c r="D927" s="22" t="s">
        <v>1537</v>
      </c>
      <c r="E927" s="146" t="s">
        <v>1534</v>
      </c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>
      <c r="A928" s="144">
        <v>45473.0</v>
      </c>
      <c r="B928" s="22" t="s">
        <v>1532</v>
      </c>
      <c r="C928" s="140" t="s">
        <v>1535</v>
      </c>
      <c r="D928" s="22" t="s">
        <v>1538</v>
      </c>
      <c r="E928" s="146" t="s">
        <v>1534</v>
      </c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>
      <c r="A929" s="144">
        <v>45473.0</v>
      </c>
      <c r="B929" s="22" t="s">
        <v>1532</v>
      </c>
      <c r="C929" s="140" t="s">
        <v>449</v>
      </c>
      <c r="D929" s="22" t="s">
        <v>1539</v>
      </c>
      <c r="E929" s="146" t="s">
        <v>1534</v>
      </c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>
      <c r="A930" s="144">
        <v>45473.0</v>
      </c>
      <c r="B930" s="22" t="s">
        <v>1532</v>
      </c>
      <c r="C930" s="140" t="s">
        <v>1540</v>
      </c>
      <c r="D930" s="22" t="s">
        <v>1541</v>
      </c>
      <c r="E930" s="146" t="s">
        <v>1534</v>
      </c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>
      <c r="A931" s="144">
        <v>45473.0</v>
      </c>
      <c r="B931" s="22" t="s">
        <v>1532</v>
      </c>
      <c r="C931" s="140" t="s">
        <v>1542</v>
      </c>
      <c r="D931" s="22" t="s">
        <v>1543</v>
      </c>
      <c r="E931" s="146" t="s">
        <v>1534</v>
      </c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>
      <c r="A932" s="144">
        <v>45473.0</v>
      </c>
      <c r="B932" s="22" t="s">
        <v>1532</v>
      </c>
      <c r="C932" s="140" t="s">
        <v>1540</v>
      </c>
      <c r="D932" s="22" t="s">
        <v>1544</v>
      </c>
      <c r="E932" s="146" t="s">
        <v>1534</v>
      </c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>
      <c r="A933" s="144">
        <v>45473.0</v>
      </c>
      <c r="B933" s="22" t="s">
        <v>1532</v>
      </c>
      <c r="C933" s="140" t="s">
        <v>1545</v>
      </c>
      <c r="D933" s="22" t="s">
        <v>1546</v>
      </c>
      <c r="E933" s="146" t="s">
        <v>1534</v>
      </c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>
      <c r="A934" s="144">
        <v>45473.0</v>
      </c>
      <c r="B934" s="22" t="s">
        <v>1532</v>
      </c>
      <c r="C934" s="140" t="s">
        <v>1547</v>
      </c>
      <c r="D934" s="22" t="s">
        <v>1548</v>
      </c>
      <c r="E934" s="147" t="s">
        <v>1534</v>
      </c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>
      <c r="A935" s="144">
        <v>45473.0</v>
      </c>
      <c r="B935" s="22" t="s">
        <v>1532</v>
      </c>
      <c r="C935" s="140" t="s">
        <v>1547</v>
      </c>
      <c r="D935" s="22" t="s">
        <v>1549</v>
      </c>
      <c r="E935" s="148" t="s">
        <v>1479</v>
      </c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>
      <c r="A936" s="144">
        <v>45473.0</v>
      </c>
      <c r="B936" s="22" t="s">
        <v>1515</v>
      </c>
      <c r="C936" s="140" t="s">
        <v>1203</v>
      </c>
      <c r="D936" s="140" t="s">
        <v>1550</v>
      </c>
      <c r="E936" s="137" t="s">
        <v>1551</v>
      </c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>
      <c r="A937" s="144">
        <v>45473.0</v>
      </c>
      <c r="B937" s="22" t="s">
        <v>1515</v>
      </c>
      <c r="C937" s="143" t="s">
        <v>1203</v>
      </c>
      <c r="D937" s="140" t="s">
        <v>1552</v>
      </c>
      <c r="E937" s="139" t="s">
        <v>1551</v>
      </c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>
      <c r="A938" s="29"/>
      <c r="B938" s="35"/>
      <c r="C938" s="29"/>
      <c r="D938" s="29"/>
      <c r="E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>
      <c r="A939" s="29"/>
      <c r="B939" s="35"/>
      <c r="C939" s="29"/>
      <c r="D939" s="29"/>
      <c r="E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>
      <c r="A940" s="130">
        <v>45474.0</v>
      </c>
      <c r="B940" s="63" t="s">
        <v>1430</v>
      </c>
      <c r="C940" s="72" t="s">
        <v>1431</v>
      </c>
      <c r="D940" s="63" t="s">
        <v>1432</v>
      </c>
      <c r="E940" s="132" t="s">
        <v>1197</v>
      </c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>
      <c r="A941" s="29"/>
      <c r="B941" s="35"/>
      <c r="C941" s="29"/>
      <c r="D941" s="29"/>
      <c r="E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>
      <c r="A942" s="130">
        <v>45475.0</v>
      </c>
      <c r="B942" s="22" t="s">
        <v>1392</v>
      </c>
      <c r="C942" s="140" t="s">
        <v>1553</v>
      </c>
      <c r="D942" s="140" t="s">
        <v>424</v>
      </c>
      <c r="E942" s="137" t="s">
        <v>1554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29"/>
      <c r="AD942" s="29"/>
    </row>
    <row r="943">
      <c r="A943" s="130">
        <v>45475.0</v>
      </c>
      <c r="B943" s="22" t="s">
        <v>1392</v>
      </c>
      <c r="C943" s="140" t="s">
        <v>1555</v>
      </c>
      <c r="D943" s="140" t="s">
        <v>1556</v>
      </c>
      <c r="E943" s="137" t="s">
        <v>1479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29"/>
      <c r="AD943" s="29"/>
    </row>
    <row r="944">
      <c r="A944" s="130">
        <v>45475.0</v>
      </c>
      <c r="B944" s="22" t="s">
        <v>1392</v>
      </c>
      <c r="C944" s="140" t="s">
        <v>1555</v>
      </c>
      <c r="D944" s="140" t="s">
        <v>1557</v>
      </c>
      <c r="E944" s="137" t="s">
        <v>1479</v>
      </c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29"/>
      <c r="AD944" s="29"/>
    </row>
    <row r="945">
      <c r="A945" s="130">
        <v>45475.0</v>
      </c>
      <c r="B945" s="22" t="s">
        <v>1558</v>
      </c>
      <c r="C945" s="140" t="s">
        <v>1559</v>
      </c>
      <c r="D945" s="140" t="s">
        <v>1560</v>
      </c>
      <c r="E945" s="137" t="s">
        <v>1554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29"/>
      <c r="AD945" s="29"/>
    </row>
    <row r="946">
      <c r="A946" s="130">
        <v>45475.0</v>
      </c>
      <c r="B946" s="22" t="s">
        <v>1561</v>
      </c>
      <c r="C946" s="140" t="s">
        <v>1562</v>
      </c>
      <c r="D946" s="140" t="s">
        <v>1563</v>
      </c>
      <c r="E946" s="137" t="s">
        <v>1554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29"/>
      <c r="AD946" s="29"/>
    </row>
    <row r="947">
      <c r="A947" s="130">
        <v>45475.0</v>
      </c>
      <c r="B947" s="22" t="s">
        <v>1564</v>
      </c>
      <c r="C947" s="140" t="s">
        <v>1565</v>
      </c>
      <c r="D947" s="140" t="s">
        <v>1566</v>
      </c>
      <c r="E947" s="137" t="s">
        <v>1554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29"/>
      <c r="AD947" s="29"/>
    </row>
    <row r="948">
      <c r="A948" s="130">
        <v>45475.0</v>
      </c>
      <c r="B948" s="22" t="s">
        <v>1567</v>
      </c>
      <c r="C948" s="140" t="s">
        <v>1568</v>
      </c>
      <c r="D948" s="140" t="s">
        <v>1566</v>
      </c>
      <c r="E948" s="137" t="s">
        <v>1554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29"/>
      <c r="AD948" s="29"/>
    </row>
    <row r="949">
      <c r="A949" s="130">
        <v>45475.0</v>
      </c>
      <c r="B949" s="22" t="s">
        <v>1569</v>
      </c>
      <c r="C949" s="140" t="s">
        <v>1570</v>
      </c>
      <c r="D949" s="140" t="s">
        <v>1566</v>
      </c>
      <c r="E949" s="137" t="s">
        <v>1554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29"/>
      <c r="AD949" s="29"/>
    </row>
    <row r="950">
      <c r="A950" s="130">
        <v>45475.0</v>
      </c>
      <c r="B950" s="22" t="s">
        <v>1571</v>
      </c>
      <c r="C950" s="140" t="s">
        <v>1572</v>
      </c>
      <c r="D950" s="140" t="s">
        <v>1566</v>
      </c>
      <c r="E950" s="137" t="s">
        <v>1554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29"/>
      <c r="AD950" s="29"/>
    </row>
    <row r="951">
      <c r="A951" s="130">
        <v>45475.0</v>
      </c>
      <c r="B951" s="22" t="s">
        <v>1573</v>
      </c>
      <c r="C951" s="140" t="s">
        <v>1574</v>
      </c>
      <c r="D951" s="140" t="s">
        <v>1575</v>
      </c>
      <c r="E951" s="137" t="s">
        <v>1554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29"/>
      <c r="AD951" s="29"/>
    </row>
    <row r="952">
      <c r="A952" s="130">
        <v>45475.0</v>
      </c>
      <c r="B952" s="63" t="s">
        <v>1430</v>
      </c>
      <c r="C952" s="116" t="s">
        <v>1576</v>
      </c>
      <c r="D952" s="68" t="s">
        <v>1432</v>
      </c>
      <c r="E952" s="132" t="s">
        <v>1197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29"/>
      <c r="AD952" s="29"/>
    </row>
    <row r="953">
      <c r="A953" s="130">
        <v>45475.0</v>
      </c>
      <c r="B953" s="63" t="s">
        <v>1430</v>
      </c>
      <c r="C953" s="117" t="s">
        <v>1576</v>
      </c>
      <c r="D953" s="68" t="s">
        <v>1432</v>
      </c>
      <c r="E953" s="132" t="s">
        <v>1197</v>
      </c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29"/>
      <c r="AD953" s="29"/>
    </row>
    <row r="954">
      <c r="A954" s="130">
        <v>45475.0</v>
      </c>
      <c r="B954" s="63" t="s">
        <v>1577</v>
      </c>
      <c r="C954" s="72" t="s">
        <v>1578</v>
      </c>
      <c r="D954" s="68" t="s">
        <v>1579</v>
      </c>
      <c r="E954" s="9" t="s">
        <v>1580</v>
      </c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29"/>
      <c r="AD954" s="29"/>
    </row>
    <row r="955">
      <c r="A955" s="130">
        <v>45475.0</v>
      </c>
      <c r="B955" s="22" t="s">
        <v>1484</v>
      </c>
      <c r="C955" s="143" t="s">
        <v>1581</v>
      </c>
      <c r="D955" s="140" t="s">
        <v>513</v>
      </c>
      <c r="E955" s="137" t="s">
        <v>1479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29"/>
      <c r="AD955" s="29"/>
    </row>
    <row r="956">
      <c r="A956" s="130">
        <v>45475.0</v>
      </c>
      <c r="B956" s="63" t="s">
        <v>1577</v>
      </c>
      <c r="C956" s="51" t="s">
        <v>1578</v>
      </c>
      <c r="D956" s="68" t="s">
        <v>1579</v>
      </c>
      <c r="E956" s="9" t="s">
        <v>1580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29"/>
      <c r="AD956" s="29"/>
    </row>
    <row r="957">
      <c r="A957" s="130">
        <v>45475.0</v>
      </c>
      <c r="B957" s="63" t="s">
        <v>1421</v>
      </c>
      <c r="C957" s="51" t="s">
        <v>1582</v>
      </c>
      <c r="D957" s="68" t="s">
        <v>1583</v>
      </c>
      <c r="E957" s="119" t="s">
        <v>1584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29"/>
      <c r="AD957" s="29"/>
    </row>
    <row r="958">
      <c r="A958" s="29"/>
      <c r="B958" s="35"/>
      <c r="C958" s="29"/>
      <c r="D958" s="29"/>
      <c r="E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>
      <c r="A959" s="29"/>
      <c r="B959" s="35"/>
      <c r="C959" s="29"/>
      <c r="D959" s="29"/>
      <c r="E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>
      <c r="A960" s="130">
        <v>45476.0</v>
      </c>
      <c r="B960" s="22" t="s">
        <v>1585</v>
      </c>
      <c r="C960" s="140" t="s">
        <v>1464</v>
      </c>
      <c r="D960" s="22" t="s">
        <v>1586</v>
      </c>
      <c r="E960" s="137" t="s">
        <v>1587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29"/>
      <c r="AD960" s="29"/>
    </row>
    <row r="961">
      <c r="A961" s="130">
        <v>45476.0</v>
      </c>
      <c r="B961" s="63" t="s">
        <v>1588</v>
      </c>
      <c r="C961" s="68" t="s">
        <v>1589</v>
      </c>
      <c r="D961" s="63" t="s">
        <v>1590</v>
      </c>
      <c r="E961" s="9" t="s">
        <v>1580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29"/>
      <c r="AD961" s="29"/>
    </row>
    <row r="962">
      <c r="A962" s="130">
        <v>45476.0</v>
      </c>
      <c r="B962" s="63" t="s">
        <v>1392</v>
      </c>
      <c r="C962" s="68" t="s">
        <v>1591</v>
      </c>
      <c r="D962" s="63" t="s">
        <v>1566</v>
      </c>
      <c r="E962" s="132" t="s">
        <v>1426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29"/>
      <c r="AD962" s="29"/>
    </row>
    <row r="963">
      <c r="A963" s="130">
        <v>45476.0</v>
      </c>
      <c r="B963" s="63" t="s">
        <v>1392</v>
      </c>
      <c r="C963" s="68" t="s">
        <v>1592</v>
      </c>
      <c r="D963" s="63" t="s">
        <v>1566</v>
      </c>
      <c r="E963" s="132" t="s">
        <v>1096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29"/>
      <c r="AD963" s="29"/>
    </row>
    <row r="964">
      <c r="A964" s="130">
        <v>45476.0</v>
      </c>
      <c r="B964" s="63" t="s">
        <v>1392</v>
      </c>
      <c r="C964" s="69" t="s">
        <v>1593</v>
      </c>
      <c r="D964" s="63" t="s">
        <v>1566</v>
      </c>
      <c r="E964" s="132" t="s">
        <v>1426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29"/>
      <c r="AD964" s="29"/>
    </row>
    <row r="965">
      <c r="A965" s="130">
        <v>45476.0</v>
      </c>
      <c r="B965" s="63" t="s">
        <v>1392</v>
      </c>
      <c r="C965" s="72" t="s">
        <v>1594</v>
      </c>
      <c r="D965" s="63" t="s">
        <v>1595</v>
      </c>
      <c r="E965" s="72" t="s">
        <v>1373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29"/>
      <c r="AD965" s="29"/>
    </row>
    <row r="966">
      <c r="A966" s="130">
        <v>45476.0</v>
      </c>
      <c r="B966" s="63" t="s">
        <v>1596</v>
      </c>
      <c r="C966" s="72" t="s">
        <v>1597</v>
      </c>
      <c r="D966" s="63" t="s">
        <v>1598</v>
      </c>
      <c r="E966" s="132" t="s">
        <v>1599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29"/>
      <c r="AD966" s="29"/>
    </row>
    <row r="967">
      <c r="A967" s="130">
        <v>45476.0</v>
      </c>
      <c r="B967" s="63" t="s">
        <v>1430</v>
      </c>
      <c r="C967" s="69" t="s">
        <v>1600</v>
      </c>
      <c r="D967" s="63" t="s">
        <v>1432</v>
      </c>
      <c r="E967" s="132" t="s">
        <v>1426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29"/>
      <c r="AD967" s="29"/>
    </row>
    <row r="968">
      <c r="A968" s="130">
        <v>45476.0</v>
      </c>
      <c r="B968" s="63" t="s">
        <v>1596</v>
      </c>
      <c r="C968" s="72" t="s">
        <v>1597</v>
      </c>
      <c r="D968" s="63" t="s">
        <v>1598</v>
      </c>
      <c r="E968" s="132" t="s">
        <v>1599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29"/>
      <c r="AD968" s="29"/>
    </row>
    <row r="969">
      <c r="A969" s="130">
        <v>45476.0</v>
      </c>
      <c r="B969" s="63" t="s">
        <v>1430</v>
      </c>
      <c r="C969" s="69" t="s">
        <v>1600</v>
      </c>
      <c r="D969" s="63" t="s">
        <v>1432</v>
      </c>
      <c r="E969" s="132" t="s">
        <v>1426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29"/>
      <c r="AD969" s="29"/>
    </row>
    <row r="970">
      <c r="A970" s="29"/>
      <c r="B970" s="35"/>
      <c r="C970" s="29"/>
      <c r="D970" s="29"/>
      <c r="E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>
      <c r="A971" s="29"/>
      <c r="B971" s="35"/>
      <c r="C971" s="29"/>
      <c r="D971" s="29"/>
      <c r="E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>
      <c r="A972" s="130">
        <v>45477.0</v>
      </c>
      <c r="B972" s="63" t="s">
        <v>1601</v>
      </c>
      <c r="C972" s="51" t="s">
        <v>1602</v>
      </c>
      <c r="D972" s="63" t="s">
        <v>1603</v>
      </c>
      <c r="E972" s="132" t="s">
        <v>1426</v>
      </c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>
      <c r="A973" s="130">
        <v>45477.0</v>
      </c>
      <c r="B973" s="63" t="s">
        <v>1392</v>
      </c>
      <c r="C973" s="51" t="s">
        <v>1604</v>
      </c>
      <c r="D973" s="63" t="s">
        <v>1605</v>
      </c>
      <c r="E973" s="132" t="s">
        <v>1426</v>
      </c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>
      <c r="A974" s="130">
        <v>45477.0</v>
      </c>
      <c r="B974" s="63" t="s">
        <v>1430</v>
      </c>
      <c r="C974" s="51" t="s">
        <v>1431</v>
      </c>
      <c r="D974" s="63" t="s">
        <v>1432</v>
      </c>
      <c r="E974" s="132" t="s">
        <v>1426</v>
      </c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>
      <c r="A975" s="130">
        <v>45477.0</v>
      </c>
      <c r="B975" s="63" t="s">
        <v>1606</v>
      </c>
      <c r="C975" s="51" t="s">
        <v>1607</v>
      </c>
      <c r="D975" s="63" t="s">
        <v>1608</v>
      </c>
      <c r="E975" s="132" t="s">
        <v>1426</v>
      </c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>
      <c r="A976" s="130">
        <v>45477.0</v>
      </c>
      <c r="B976" s="63" t="s">
        <v>1430</v>
      </c>
      <c r="C976" s="51" t="s">
        <v>778</v>
      </c>
      <c r="D976" s="63" t="s">
        <v>1432</v>
      </c>
      <c r="E976" s="132" t="s">
        <v>1426</v>
      </c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>
      <c r="A977" s="130">
        <v>45477.0</v>
      </c>
      <c r="B977" s="63" t="s">
        <v>1606</v>
      </c>
      <c r="C977" s="70" t="s">
        <v>1609</v>
      </c>
      <c r="D977" s="63" t="s">
        <v>1608</v>
      </c>
      <c r="E977" s="132" t="s">
        <v>1426</v>
      </c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>
      <c r="A978" s="130">
        <v>45477.0</v>
      </c>
      <c r="B978" s="63" t="s">
        <v>1610</v>
      </c>
      <c r="C978" s="81"/>
      <c r="D978" s="9"/>
      <c r="E978" s="81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>
      <c r="A979" s="130">
        <v>45477.0</v>
      </c>
      <c r="B979" s="63" t="s">
        <v>1610</v>
      </c>
      <c r="C979" s="51" t="s">
        <v>1611</v>
      </c>
      <c r="D979" s="63" t="s">
        <v>1612</v>
      </c>
      <c r="E979" s="51" t="s">
        <v>1613</v>
      </c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>
      <c r="A980" s="130">
        <v>45477.0</v>
      </c>
      <c r="B980" s="63" t="s">
        <v>1610</v>
      </c>
      <c r="C980" s="51" t="s">
        <v>1611</v>
      </c>
      <c r="D980" s="63" t="s">
        <v>1612</v>
      </c>
      <c r="E980" s="51" t="s">
        <v>1613</v>
      </c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>
      <c r="A981" s="130">
        <v>45477.0</v>
      </c>
      <c r="B981" s="63" t="s">
        <v>1610</v>
      </c>
      <c r="C981" s="51" t="s">
        <v>1614</v>
      </c>
      <c r="D981" s="63" t="s">
        <v>1612</v>
      </c>
      <c r="E981" s="51" t="s">
        <v>1613</v>
      </c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>
      <c r="A982" s="130">
        <v>45477.0</v>
      </c>
      <c r="B982" s="22" t="s">
        <v>1615</v>
      </c>
      <c r="C982" s="51" t="s">
        <v>1616</v>
      </c>
      <c r="D982" s="63" t="s">
        <v>1617</v>
      </c>
      <c r="E982" s="149" t="s">
        <v>1599</v>
      </c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>
      <c r="A983" s="130">
        <v>45477.0</v>
      </c>
      <c r="B983" s="22" t="s">
        <v>1615</v>
      </c>
      <c r="C983" s="51" t="s">
        <v>1618</v>
      </c>
      <c r="D983" s="63" t="s">
        <v>155</v>
      </c>
      <c r="E983" s="51" t="s">
        <v>95</v>
      </c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>
      <c r="A984" s="130">
        <v>45477.0</v>
      </c>
      <c r="B984" s="22" t="s">
        <v>1615</v>
      </c>
      <c r="C984" s="51" t="s">
        <v>1619</v>
      </c>
      <c r="D984" s="63" t="s">
        <v>1620</v>
      </c>
      <c r="E984" s="51" t="s">
        <v>95</v>
      </c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>
      <c r="A985" s="130">
        <v>45477.0</v>
      </c>
      <c r="B985" s="22" t="s">
        <v>1577</v>
      </c>
      <c r="C985" s="51" t="s">
        <v>1619</v>
      </c>
      <c r="D985" s="63" t="s">
        <v>1620</v>
      </c>
      <c r="E985" s="49" t="s">
        <v>95</v>
      </c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>
      <c r="A986" s="130">
        <v>45477.0</v>
      </c>
      <c r="B986" s="22" t="s">
        <v>1577</v>
      </c>
      <c r="C986" s="51" t="s">
        <v>1578</v>
      </c>
      <c r="D986" s="63" t="s">
        <v>1621</v>
      </c>
      <c r="E986" s="137" t="s">
        <v>1622</v>
      </c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>
      <c r="A987" s="130">
        <v>45477.0</v>
      </c>
      <c r="B987" s="22" t="s">
        <v>1577</v>
      </c>
      <c r="C987" s="51" t="s">
        <v>1578</v>
      </c>
      <c r="D987" s="63" t="s">
        <v>1623</v>
      </c>
      <c r="E987" s="137" t="s">
        <v>1622</v>
      </c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>
      <c r="A988" s="130">
        <v>45477.0</v>
      </c>
      <c r="B988" s="63" t="s">
        <v>1624</v>
      </c>
      <c r="C988" s="51" t="s">
        <v>1625</v>
      </c>
      <c r="D988" s="63" t="s">
        <v>1626</v>
      </c>
      <c r="E988" s="51" t="s">
        <v>1373</v>
      </c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>
      <c r="A989" s="130">
        <v>45477.0</v>
      </c>
      <c r="B989" s="63" t="s">
        <v>1484</v>
      </c>
      <c r="C989" s="51" t="s">
        <v>1627</v>
      </c>
      <c r="D989" s="63" t="s">
        <v>1628</v>
      </c>
      <c r="E989" s="132" t="s">
        <v>1629</v>
      </c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>
      <c r="A990" s="130">
        <v>45477.0</v>
      </c>
      <c r="B990" s="63" t="s">
        <v>1630</v>
      </c>
      <c r="C990" s="51" t="s">
        <v>1631</v>
      </c>
      <c r="D990" s="63" t="s">
        <v>1632</v>
      </c>
      <c r="E990" s="49" t="s">
        <v>1373</v>
      </c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>
      <c r="A991" s="130">
        <v>45477.0</v>
      </c>
      <c r="B991" s="63" t="s">
        <v>1630</v>
      </c>
      <c r="C991" s="51" t="s">
        <v>1633</v>
      </c>
      <c r="D991" s="63" t="s">
        <v>1634</v>
      </c>
      <c r="E991" s="132" t="s">
        <v>1599</v>
      </c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>
      <c r="A992" s="130">
        <v>45477.0</v>
      </c>
      <c r="B992" s="63" t="s">
        <v>1630</v>
      </c>
      <c r="C992" s="51" t="s">
        <v>1635</v>
      </c>
      <c r="D992" s="63" t="s">
        <v>1636</v>
      </c>
      <c r="E992" s="132" t="s">
        <v>1599</v>
      </c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>
      <c r="A993" s="150"/>
      <c r="B993" s="6"/>
      <c r="C993" s="49" t="s">
        <v>1637</v>
      </c>
      <c r="D993" s="63" t="s">
        <v>1638</v>
      </c>
      <c r="E993" s="132" t="s">
        <v>1599</v>
      </c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>
      <c r="A994" s="29"/>
      <c r="B994" s="35"/>
      <c r="C994" s="29"/>
      <c r="D994" s="29"/>
      <c r="E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>
      <c r="A995" s="130">
        <v>45478.0</v>
      </c>
      <c r="B995" s="22" t="s">
        <v>1606</v>
      </c>
      <c r="C995" s="140" t="s">
        <v>1607</v>
      </c>
      <c r="D995" s="22" t="s">
        <v>1608</v>
      </c>
      <c r="E995" s="132" t="s">
        <v>1426</v>
      </c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>
      <c r="A996" s="130">
        <v>45478.0</v>
      </c>
      <c r="B996" s="22" t="s">
        <v>1639</v>
      </c>
      <c r="C996" s="140" t="s">
        <v>1640</v>
      </c>
      <c r="D996" s="22" t="s">
        <v>1641</v>
      </c>
      <c r="E996" s="132" t="s">
        <v>1201</v>
      </c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130">
        <v>45478.0</v>
      </c>
      <c r="B997" s="22" t="s">
        <v>1642</v>
      </c>
      <c r="C997" s="140" t="s">
        <v>1643</v>
      </c>
      <c r="D997" s="22" t="s">
        <v>1644</v>
      </c>
      <c r="E997" s="132" t="s">
        <v>1426</v>
      </c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9"/>
      <c r="B998" s="35"/>
      <c r="C998" s="29"/>
      <c r="D998" s="29"/>
      <c r="E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A999" s="29"/>
      <c r="B999" s="35"/>
      <c r="C999" s="29"/>
      <c r="D999" s="29"/>
      <c r="E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A1000" s="130">
        <v>45479.0</v>
      </c>
      <c r="B1000" s="22" t="s">
        <v>1601</v>
      </c>
      <c r="C1000" s="140" t="s">
        <v>1645</v>
      </c>
      <c r="D1000" s="22" t="s">
        <v>1646</v>
      </c>
      <c r="E1000" s="7" t="s">
        <v>1201</v>
      </c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  <row r="1001">
      <c r="A1001" s="130">
        <v>45479.0</v>
      </c>
      <c r="B1001" s="22" t="s">
        <v>1601</v>
      </c>
      <c r="C1001" s="140" t="s">
        <v>1647</v>
      </c>
      <c r="D1001" s="22" t="s">
        <v>1648</v>
      </c>
      <c r="E1001" s="7" t="s">
        <v>1201</v>
      </c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</row>
    <row r="1002">
      <c r="A1002" s="130">
        <v>45479.0</v>
      </c>
      <c r="B1002" s="22" t="s">
        <v>1376</v>
      </c>
      <c r="C1002" s="140" t="s">
        <v>1649</v>
      </c>
      <c r="D1002" s="22" t="s">
        <v>1650</v>
      </c>
      <c r="E1002" s="7" t="s">
        <v>1622</v>
      </c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</row>
    <row r="1003">
      <c r="A1003" s="130">
        <v>45479.0</v>
      </c>
      <c r="B1003" s="22" t="s">
        <v>1376</v>
      </c>
      <c r="C1003" s="140" t="s">
        <v>1649</v>
      </c>
      <c r="D1003" s="22" t="s">
        <v>1651</v>
      </c>
      <c r="E1003" s="7" t="s">
        <v>1622</v>
      </c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</row>
    <row r="1004">
      <c r="A1004" s="130">
        <v>45479.0</v>
      </c>
      <c r="B1004" s="22" t="s">
        <v>1376</v>
      </c>
      <c r="C1004" s="140" t="s">
        <v>1649</v>
      </c>
      <c r="D1004" s="22" t="s">
        <v>1652</v>
      </c>
      <c r="E1004" s="7" t="s">
        <v>1622</v>
      </c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</row>
    <row r="1005">
      <c r="A1005" s="130">
        <v>45479.0</v>
      </c>
      <c r="B1005" s="22" t="s">
        <v>1653</v>
      </c>
      <c r="C1005" s="140" t="s">
        <v>1654</v>
      </c>
      <c r="D1005" s="22" t="s">
        <v>1655</v>
      </c>
      <c r="E1005" s="132" t="s">
        <v>1479</v>
      </c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</row>
    <row r="1006">
      <c r="A1006" s="130">
        <v>45479.0</v>
      </c>
      <c r="B1006" s="22" t="s">
        <v>1421</v>
      </c>
      <c r="C1006" s="140" t="s">
        <v>449</v>
      </c>
      <c r="D1006" s="22" t="s">
        <v>1656</v>
      </c>
      <c r="E1006" s="132" t="s">
        <v>1479</v>
      </c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</row>
    <row r="1007">
      <c r="A1007" s="130">
        <v>45479.0</v>
      </c>
      <c r="B1007" s="22" t="s">
        <v>1421</v>
      </c>
      <c r="C1007" s="140" t="s">
        <v>1535</v>
      </c>
      <c r="D1007" s="22" t="s">
        <v>1537</v>
      </c>
      <c r="E1007" s="132" t="s">
        <v>1479</v>
      </c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</row>
    <row r="1008">
      <c r="A1008" s="130">
        <v>45479.0</v>
      </c>
      <c r="B1008" s="151" t="s">
        <v>1630</v>
      </c>
      <c r="C1008" s="140" t="s">
        <v>1657</v>
      </c>
      <c r="D1008" s="22" t="s">
        <v>1658</v>
      </c>
      <c r="E1008" s="7" t="s">
        <v>1659</v>
      </c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</row>
    <row r="1009">
      <c r="A1009" s="130">
        <v>45479.0</v>
      </c>
      <c r="B1009" s="151" t="s">
        <v>1630</v>
      </c>
      <c r="C1009" s="140" t="s">
        <v>1657</v>
      </c>
      <c r="D1009" s="22" t="s">
        <v>1660</v>
      </c>
      <c r="E1009" s="7" t="s">
        <v>1659</v>
      </c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</row>
    <row r="1010">
      <c r="A1010" s="29"/>
      <c r="B1010" s="35"/>
      <c r="C1010" s="29"/>
      <c r="D1010" s="29"/>
      <c r="E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</row>
    <row r="1011">
      <c r="A1011" s="29"/>
      <c r="B1011" s="35"/>
      <c r="C1011" s="29"/>
      <c r="D1011" s="29"/>
      <c r="E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</row>
    <row r="1012">
      <c r="A1012" s="130">
        <v>45480.0</v>
      </c>
      <c r="B1012" s="63" t="s">
        <v>1421</v>
      </c>
      <c r="C1012" s="61" t="s">
        <v>1661</v>
      </c>
      <c r="D1012" s="63" t="s">
        <v>1662</v>
      </c>
      <c r="E1012" s="132" t="s">
        <v>1663</v>
      </c>
      <c r="F1012" s="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</row>
    <row r="1013">
      <c r="A1013" s="130">
        <v>45480.0</v>
      </c>
      <c r="B1013" s="63" t="s">
        <v>1248</v>
      </c>
      <c r="C1013" s="72" t="s">
        <v>1254</v>
      </c>
      <c r="D1013" s="63" t="s">
        <v>1664</v>
      </c>
      <c r="E1013" s="9" t="s">
        <v>1479</v>
      </c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</row>
    <row r="1014">
      <c r="A1014" s="29"/>
      <c r="B1014" s="35"/>
      <c r="C1014" s="29"/>
      <c r="D1014" s="29"/>
      <c r="E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</row>
    <row r="1015">
      <c r="A1015" s="29"/>
      <c r="B1015" s="35"/>
      <c r="C1015" s="29"/>
      <c r="D1015" s="29"/>
      <c r="E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</row>
    <row r="1016">
      <c r="A1016" s="130">
        <v>45481.0</v>
      </c>
      <c r="B1016" s="63" t="s">
        <v>1208</v>
      </c>
      <c r="C1016" s="61" t="s">
        <v>1649</v>
      </c>
      <c r="D1016" s="63" t="s">
        <v>1665</v>
      </c>
      <c r="E1016" s="61" t="s">
        <v>1666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29"/>
      <c r="AD1016" s="29"/>
    </row>
    <row r="1017">
      <c r="A1017" s="130">
        <v>45481.0</v>
      </c>
      <c r="B1017" s="63" t="s">
        <v>1208</v>
      </c>
      <c r="C1017" s="51" t="s">
        <v>1649</v>
      </c>
      <c r="D1017" s="63" t="s">
        <v>1667</v>
      </c>
      <c r="E1017" s="49" t="s">
        <v>1666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29"/>
      <c r="AD1017" s="29"/>
    </row>
    <row r="1018">
      <c r="A1018" s="130">
        <v>45481.0</v>
      </c>
      <c r="B1018" s="63" t="s">
        <v>1588</v>
      </c>
      <c r="C1018" s="51" t="s">
        <v>1668</v>
      </c>
      <c r="D1018" s="63" t="s">
        <v>1669</v>
      </c>
      <c r="E1018" s="132" t="s">
        <v>1670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29"/>
      <c r="AD1018" s="29"/>
    </row>
    <row r="1019">
      <c r="A1019" s="130">
        <v>45481.0</v>
      </c>
      <c r="B1019" s="63" t="s">
        <v>1630</v>
      </c>
      <c r="C1019" s="51" t="s">
        <v>1671</v>
      </c>
      <c r="D1019" s="63" t="s">
        <v>1672</v>
      </c>
      <c r="E1019" s="149" t="s">
        <v>1673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29"/>
      <c r="AD1019" s="29"/>
    </row>
    <row r="1020">
      <c r="A1020" s="29"/>
      <c r="B1020" s="35"/>
      <c r="C1020" s="29"/>
      <c r="D1020" s="29"/>
      <c r="E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</row>
    <row r="1021">
      <c r="A1021" s="29"/>
      <c r="B1021" s="35"/>
      <c r="C1021" s="29"/>
      <c r="D1021" s="29"/>
      <c r="E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</row>
    <row r="1022">
      <c r="A1022" s="130">
        <v>45482.0</v>
      </c>
      <c r="B1022" s="63" t="s">
        <v>1208</v>
      </c>
      <c r="C1022" s="61" t="s">
        <v>1649</v>
      </c>
      <c r="D1022" s="63" t="s">
        <v>1674</v>
      </c>
      <c r="E1022" s="132" t="s">
        <v>1675</v>
      </c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</row>
    <row r="1023">
      <c r="A1023" s="130">
        <v>45482.0</v>
      </c>
      <c r="B1023" s="63" t="s">
        <v>1208</v>
      </c>
      <c r="C1023" s="49" t="s">
        <v>1649</v>
      </c>
      <c r="D1023" s="63" t="s">
        <v>1676</v>
      </c>
      <c r="E1023" s="132" t="s">
        <v>1677</v>
      </c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</row>
    <row r="1024">
      <c r="A1024" s="130">
        <v>45484.0</v>
      </c>
      <c r="B1024" s="63" t="s">
        <v>1678</v>
      </c>
      <c r="C1024" s="51" t="s">
        <v>1679</v>
      </c>
      <c r="D1024" s="115" t="s">
        <v>1680</v>
      </c>
      <c r="E1024" s="132" t="s">
        <v>1681</v>
      </c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</row>
    <row r="1025">
      <c r="A1025" s="130">
        <v>45484.0</v>
      </c>
      <c r="B1025" s="63" t="s">
        <v>1682</v>
      </c>
      <c r="C1025" s="51" t="s">
        <v>1683</v>
      </c>
      <c r="D1025" s="63" t="s">
        <v>1684</v>
      </c>
      <c r="E1025" s="149" t="s">
        <v>1074</v>
      </c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</row>
    <row r="1026">
      <c r="A1026" s="130">
        <v>45484.0</v>
      </c>
      <c r="B1026" s="63" t="s">
        <v>1208</v>
      </c>
      <c r="C1026" s="51" t="s">
        <v>1649</v>
      </c>
      <c r="D1026" s="63" t="s">
        <v>1685</v>
      </c>
      <c r="E1026" s="51" t="s">
        <v>1686</v>
      </c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</row>
    <row r="1027">
      <c r="A1027" s="130">
        <v>45484.0</v>
      </c>
      <c r="B1027" s="63" t="s">
        <v>1208</v>
      </c>
      <c r="C1027" s="51" t="s">
        <v>1649</v>
      </c>
      <c r="D1027" s="63" t="s">
        <v>1687</v>
      </c>
      <c r="E1027" s="49" t="s">
        <v>1686</v>
      </c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</row>
    <row r="1028">
      <c r="A1028" s="130">
        <v>45484.0</v>
      </c>
      <c r="B1028" s="63" t="s">
        <v>1601</v>
      </c>
      <c r="C1028" s="49" t="s">
        <v>1688</v>
      </c>
      <c r="D1028" s="63" t="s">
        <v>1689</v>
      </c>
      <c r="E1028" s="132" t="s">
        <v>1690</v>
      </c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</row>
    <row r="1029">
      <c r="A1029" s="29"/>
      <c r="B1029" s="35"/>
      <c r="C1029" s="29"/>
      <c r="D1029" s="29"/>
      <c r="E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</row>
    <row r="1030">
      <c r="A1030" s="29"/>
      <c r="B1030" s="35"/>
      <c r="C1030" s="29"/>
      <c r="D1030" s="29"/>
      <c r="E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</row>
    <row r="1031">
      <c r="A1031" s="130">
        <v>45486.0</v>
      </c>
      <c r="B1031" s="63" t="s">
        <v>1691</v>
      </c>
      <c r="C1031" s="61" t="s">
        <v>1692</v>
      </c>
      <c r="D1031" s="115" t="s">
        <v>1693</v>
      </c>
      <c r="E1031" s="149" t="s">
        <v>1694</v>
      </c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29"/>
      <c r="AD1031" s="29"/>
    </row>
    <row r="1032">
      <c r="A1032" s="130">
        <v>45486.0</v>
      </c>
      <c r="B1032" s="63" t="s">
        <v>1208</v>
      </c>
      <c r="C1032" s="61" t="s">
        <v>1163</v>
      </c>
      <c r="D1032" s="115" t="s">
        <v>1695</v>
      </c>
      <c r="E1032" s="152" t="s">
        <v>1696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29"/>
      <c r="AD1032" s="29"/>
    </row>
    <row r="1033">
      <c r="A1033" s="130">
        <v>45486.0</v>
      </c>
      <c r="B1033" s="63" t="s">
        <v>1208</v>
      </c>
      <c r="C1033" s="51" t="s">
        <v>1697</v>
      </c>
      <c r="D1033" s="115" t="s">
        <v>1698</v>
      </c>
      <c r="E1033" s="153" t="s">
        <v>1696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29"/>
      <c r="AD1033" s="29"/>
    </row>
    <row r="1034">
      <c r="A1034" s="130">
        <v>45486.0</v>
      </c>
      <c r="B1034" s="63" t="s">
        <v>1208</v>
      </c>
      <c r="C1034" s="51" t="s">
        <v>1699</v>
      </c>
      <c r="D1034" s="115" t="s">
        <v>1700</v>
      </c>
      <c r="E1034" s="153" t="s">
        <v>1696</v>
      </c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29"/>
      <c r="AD1034" s="29"/>
    </row>
    <row r="1035">
      <c r="A1035" s="130">
        <v>45486.0</v>
      </c>
      <c r="B1035" s="63" t="s">
        <v>1208</v>
      </c>
      <c r="C1035" s="51" t="s">
        <v>1699</v>
      </c>
      <c r="D1035" s="115" t="s">
        <v>1701</v>
      </c>
      <c r="E1035" s="153" t="s">
        <v>1696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29"/>
      <c r="AD1035" s="29"/>
    </row>
    <row r="1036">
      <c r="A1036" s="130">
        <v>45486.0</v>
      </c>
      <c r="B1036" s="63" t="s">
        <v>1208</v>
      </c>
      <c r="C1036" s="51" t="s">
        <v>1699</v>
      </c>
      <c r="D1036" s="115" t="s">
        <v>1702</v>
      </c>
      <c r="E1036" s="153" t="s">
        <v>1696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29"/>
      <c r="AD1036" s="29"/>
    </row>
    <row r="1037">
      <c r="A1037" s="130">
        <v>45486.0</v>
      </c>
      <c r="B1037" s="63" t="s">
        <v>1208</v>
      </c>
      <c r="C1037" s="51" t="s">
        <v>1699</v>
      </c>
      <c r="D1037" s="115" t="s">
        <v>1703</v>
      </c>
      <c r="E1037" s="153" t="s">
        <v>1696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29"/>
      <c r="AD1037" s="29"/>
    </row>
    <row r="1038">
      <c r="A1038" s="130">
        <v>45486.0</v>
      </c>
      <c r="B1038" s="63" t="s">
        <v>1208</v>
      </c>
      <c r="C1038" s="51" t="s">
        <v>1649</v>
      </c>
      <c r="D1038" s="115" t="s">
        <v>1704</v>
      </c>
      <c r="E1038" s="153" t="s">
        <v>1696</v>
      </c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29"/>
      <c r="AD1038" s="29"/>
    </row>
    <row r="1039">
      <c r="A1039" s="130">
        <v>45486.0</v>
      </c>
      <c r="B1039" s="63" t="s">
        <v>1208</v>
      </c>
      <c r="C1039" s="51" t="s">
        <v>1699</v>
      </c>
      <c r="D1039" s="115" t="s">
        <v>1705</v>
      </c>
      <c r="E1039" s="153" t="s">
        <v>1696</v>
      </c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29"/>
      <c r="AD1039" s="29"/>
    </row>
    <row r="1040">
      <c r="A1040" s="130">
        <v>45486.0</v>
      </c>
      <c r="B1040" s="63" t="s">
        <v>1691</v>
      </c>
      <c r="C1040" s="61" t="s">
        <v>1692</v>
      </c>
      <c r="D1040" s="115" t="s">
        <v>1693</v>
      </c>
      <c r="E1040" s="149" t="s">
        <v>1420</v>
      </c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29"/>
      <c r="AD1040" s="29"/>
    </row>
    <row r="1041">
      <c r="A1041" s="130">
        <v>45486.0</v>
      </c>
      <c r="B1041" s="63" t="s">
        <v>1691</v>
      </c>
      <c r="C1041" s="61" t="s">
        <v>1692</v>
      </c>
      <c r="D1041" s="115" t="s">
        <v>1706</v>
      </c>
      <c r="E1041" s="154" t="s">
        <v>1707</v>
      </c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29"/>
      <c r="AD1041" s="29"/>
    </row>
    <row r="1042">
      <c r="A1042" s="130">
        <v>45486.0</v>
      </c>
      <c r="B1042" s="63" t="s">
        <v>1691</v>
      </c>
      <c r="C1042" s="51" t="s">
        <v>1708</v>
      </c>
      <c r="D1042" s="115" t="s">
        <v>1709</v>
      </c>
      <c r="E1042" s="155" t="s">
        <v>1707</v>
      </c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29"/>
      <c r="AD1042" s="29"/>
    </row>
    <row r="1043">
      <c r="A1043" s="130">
        <v>45486.0</v>
      </c>
      <c r="B1043" s="63" t="s">
        <v>1691</v>
      </c>
      <c r="C1043" s="51" t="s">
        <v>1350</v>
      </c>
      <c r="D1043" s="115" t="s">
        <v>1710</v>
      </c>
      <c r="E1043" s="155" t="s">
        <v>1707</v>
      </c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29"/>
      <c r="AD1043" s="29"/>
    </row>
    <row r="1044">
      <c r="A1044" s="130">
        <v>45486.0</v>
      </c>
      <c r="B1044" s="63" t="s">
        <v>1691</v>
      </c>
      <c r="C1044" s="51" t="s">
        <v>1692</v>
      </c>
      <c r="D1044" s="115" t="s">
        <v>1711</v>
      </c>
      <c r="E1044" s="155" t="s">
        <v>1707</v>
      </c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29"/>
      <c r="AD1044" s="29"/>
    </row>
    <row r="1045">
      <c r="A1045" s="130">
        <v>45486.0</v>
      </c>
      <c r="B1045" s="63" t="s">
        <v>1691</v>
      </c>
      <c r="C1045" s="51" t="s">
        <v>1692</v>
      </c>
      <c r="D1045" s="115" t="s">
        <v>1712</v>
      </c>
      <c r="E1045" s="155" t="s">
        <v>1707</v>
      </c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29"/>
      <c r="AD1045" s="29"/>
    </row>
    <row r="1046">
      <c r="A1046" s="130">
        <v>45486.0</v>
      </c>
      <c r="B1046" s="63" t="s">
        <v>1691</v>
      </c>
      <c r="C1046" s="51" t="s">
        <v>1350</v>
      </c>
      <c r="D1046" s="115" t="s">
        <v>1710</v>
      </c>
      <c r="E1046" s="155" t="s">
        <v>1707</v>
      </c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29"/>
      <c r="AD1046" s="29"/>
    </row>
    <row r="1047">
      <c r="A1047" s="130">
        <v>45486.0</v>
      </c>
      <c r="B1047" s="63" t="s">
        <v>1691</v>
      </c>
      <c r="C1047" s="51" t="s">
        <v>1692</v>
      </c>
      <c r="D1047" s="115" t="s">
        <v>1713</v>
      </c>
      <c r="E1047" s="155" t="s">
        <v>1707</v>
      </c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29"/>
      <c r="AD1047" s="29"/>
    </row>
    <row r="1048">
      <c r="A1048" s="130">
        <v>45486.0</v>
      </c>
      <c r="B1048" s="63" t="s">
        <v>1691</v>
      </c>
      <c r="C1048" s="51" t="s">
        <v>1714</v>
      </c>
      <c r="D1048" s="115" t="s">
        <v>1715</v>
      </c>
      <c r="E1048" s="155" t="s">
        <v>1426</v>
      </c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29"/>
      <c r="AD1048" s="29"/>
    </row>
    <row r="1049">
      <c r="A1049" s="130">
        <v>45486.0</v>
      </c>
      <c r="B1049" s="63" t="s">
        <v>1691</v>
      </c>
      <c r="C1049" s="51" t="s">
        <v>1716</v>
      </c>
      <c r="D1049" s="115" t="s">
        <v>1717</v>
      </c>
      <c r="E1049" s="156" t="s">
        <v>1707</v>
      </c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29"/>
      <c r="AD1049" s="29"/>
    </row>
    <row r="1050">
      <c r="A1050" s="130">
        <v>45486.0</v>
      </c>
      <c r="B1050" s="63" t="s">
        <v>1718</v>
      </c>
      <c r="C1050" s="72" t="s">
        <v>329</v>
      </c>
      <c r="D1050" s="115" t="s">
        <v>1719</v>
      </c>
      <c r="E1050" s="7" t="s">
        <v>531</v>
      </c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29"/>
      <c r="AD1050" s="29"/>
    </row>
    <row r="1051">
      <c r="A1051" s="130">
        <v>45486.0</v>
      </c>
      <c r="B1051" s="63" t="s">
        <v>1720</v>
      </c>
      <c r="C1051" s="51" t="s">
        <v>1721</v>
      </c>
      <c r="D1051" s="115" t="s">
        <v>1722</v>
      </c>
      <c r="E1051" s="155" t="s">
        <v>1074</v>
      </c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29"/>
      <c r="AD1051" s="29"/>
    </row>
    <row r="1052">
      <c r="A1052" s="29"/>
      <c r="B1052" s="35"/>
      <c r="C1052" s="29"/>
      <c r="D1052" s="29"/>
      <c r="E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</row>
    <row r="1053">
      <c r="A1053" s="130">
        <v>45487.0</v>
      </c>
      <c r="B1053" s="22" t="s">
        <v>1723</v>
      </c>
      <c r="C1053" s="9" t="s">
        <v>1699</v>
      </c>
      <c r="D1053" s="119" t="s">
        <v>1724</v>
      </c>
      <c r="E1053" s="7" t="s">
        <v>1725</v>
      </c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29"/>
      <c r="AD1053" s="29"/>
    </row>
    <row r="1054">
      <c r="A1054" s="130">
        <v>45487.0</v>
      </c>
      <c r="B1054" s="22" t="s">
        <v>1723</v>
      </c>
      <c r="C1054" s="9" t="s">
        <v>1726</v>
      </c>
      <c r="D1054" s="119" t="s">
        <v>1727</v>
      </c>
      <c r="E1054" s="7" t="s">
        <v>1725</v>
      </c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29"/>
      <c r="AD1054" s="29"/>
    </row>
    <row r="1055">
      <c r="A1055" s="130">
        <v>45487.0</v>
      </c>
      <c r="B1055" s="22" t="s">
        <v>1723</v>
      </c>
      <c r="C1055" s="9" t="s">
        <v>1728</v>
      </c>
      <c r="D1055" s="119" t="s">
        <v>1729</v>
      </c>
      <c r="E1055" s="7" t="s">
        <v>1725</v>
      </c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29"/>
      <c r="AD1055" s="29"/>
    </row>
    <row r="1056">
      <c r="A1056" s="130">
        <v>45487.0</v>
      </c>
      <c r="B1056" s="22" t="s">
        <v>1723</v>
      </c>
      <c r="C1056" s="9" t="s">
        <v>1730</v>
      </c>
      <c r="D1056" s="119" t="s">
        <v>1731</v>
      </c>
      <c r="E1056" s="7" t="s">
        <v>1725</v>
      </c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29"/>
      <c r="AD1056" s="29"/>
    </row>
    <row r="1057">
      <c r="A1057" s="29"/>
      <c r="B1057" s="35"/>
      <c r="C1057" s="29"/>
      <c r="D1057" s="29"/>
      <c r="E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</row>
    <row r="1058">
      <c r="A1058" s="29"/>
      <c r="B1058" s="35"/>
      <c r="C1058" s="29"/>
      <c r="D1058" s="29"/>
      <c r="E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</row>
    <row r="1059">
      <c r="A1059" s="130">
        <v>45488.0</v>
      </c>
      <c r="B1059" s="22" t="s">
        <v>1208</v>
      </c>
      <c r="C1059" s="140" t="s">
        <v>1732</v>
      </c>
      <c r="D1059" s="22" t="s">
        <v>1733</v>
      </c>
      <c r="E1059" s="132" t="s">
        <v>1734</v>
      </c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</row>
    <row r="1060">
      <c r="A1060" s="130">
        <v>45488.0</v>
      </c>
      <c r="B1060" s="22" t="s">
        <v>1735</v>
      </c>
      <c r="C1060" s="140" t="s">
        <v>1736</v>
      </c>
      <c r="D1060" s="22" t="s">
        <v>1737</v>
      </c>
      <c r="E1060" s="132" t="s">
        <v>1479</v>
      </c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</row>
    <row r="1061">
      <c r="A1061" s="130">
        <v>45488.0</v>
      </c>
      <c r="B1061" s="22" t="s">
        <v>1682</v>
      </c>
      <c r="C1061" s="140" t="s">
        <v>1738</v>
      </c>
      <c r="D1061" s="22" t="s">
        <v>1739</v>
      </c>
      <c r="E1061" s="149" t="s">
        <v>1740</v>
      </c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</row>
    <row r="1062">
      <c r="A1062" s="130">
        <v>45488.0</v>
      </c>
      <c r="B1062" s="22" t="s">
        <v>1718</v>
      </c>
      <c r="C1062" s="140" t="s">
        <v>1741</v>
      </c>
      <c r="D1062" s="22" t="s">
        <v>1742</v>
      </c>
      <c r="E1062" s="7" t="s">
        <v>411</v>
      </c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</row>
    <row r="1063">
      <c r="A1063" s="130">
        <v>45488.0</v>
      </c>
      <c r="B1063" s="22" t="s">
        <v>1718</v>
      </c>
      <c r="C1063" s="140" t="s">
        <v>1743</v>
      </c>
      <c r="D1063" s="22" t="s">
        <v>1744</v>
      </c>
      <c r="E1063" s="7" t="s">
        <v>1201</v>
      </c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</row>
    <row r="1064">
      <c r="A1064" s="130">
        <v>45488.0</v>
      </c>
      <c r="B1064" s="22" t="s">
        <v>1718</v>
      </c>
      <c r="C1064" s="143" t="s">
        <v>1745</v>
      </c>
      <c r="D1064" s="22" t="s">
        <v>1746</v>
      </c>
      <c r="E1064" s="7" t="s">
        <v>411</v>
      </c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</row>
    <row r="1065">
      <c r="A1065" s="130">
        <v>45488.0</v>
      </c>
      <c r="B1065" s="63" t="s">
        <v>1735</v>
      </c>
      <c r="C1065" s="51" t="s">
        <v>1736</v>
      </c>
      <c r="D1065" s="63" t="s">
        <v>1737</v>
      </c>
      <c r="E1065" s="157" t="s">
        <v>1373</v>
      </c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</row>
    <row r="1066">
      <c r="A1066" s="29"/>
      <c r="B1066" s="35"/>
      <c r="C1066" s="29"/>
      <c r="D1066" s="29"/>
      <c r="E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</row>
    <row r="1067">
      <c r="A1067" s="29"/>
      <c r="B1067" s="35"/>
      <c r="C1067" s="29"/>
      <c r="D1067" s="29"/>
      <c r="E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</row>
    <row r="1068">
      <c r="A1068" s="130">
        <v>45489.0</v>
      </c>
      <c r="B1068" s="22" t="s">
        <v>1484</v>
      </c>
      <c r="C1068" s="81" t="s">
        <v>1747</v>
      </c>
      <c r="D1068" s="140" t="s">
        <v>1748</v>
      </c>
      <c r="E1068" s="132" t="s">
        <v>1479</v>
      </c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</row>
    <row r="1069">
      <c r="A1069" s="130">
        <v>45489.0</v>
      </c>
      <c r="B1069" s="63" t="s">
        <v>1749</v>
      </c>
      <c r="C1069" s="51" t="s">
        <v>1750</v>
      </c>
      <c r="D1069" s="63" t="s">
        <v>1751</v>
      </c>
      <c r="E1069" s="149" t="s">
        <v>1681</v>
      </c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</row>
    <row r="1070">
      <c r="A1070" s="130">
        <v>45489.0</v>
      </c>
      <c r="B1070" s="22" t="s">
        <v>1752</v>
      </c>
      <c r="C1070" s="140" t="s">
        <v>1753</v>
      </c>
      <c r="D1070" s="22" t="s">
        <v>1754</v>
      </c>
      <c r="E1070" s="149" t="s">
        <v>1074</v>
      </c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</row>
    <row r="1071">
      <c r="A1071" s="130">
        <v>45489.0</v>
      </c>
      <c r="B1071" s="63" t="s">
        <v>1755</v>
      </c>
      <c r="C1071" s="61" t="s">
        <v>1756</v>
      </c>
      <c r="D1071" s="63" t="s">
        <v>1757</v>
      </c>
      <c r="E1071" s="149" t="s">
        <v>411</v>
      </c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</row>
    <row r="1072">
      <c r="A1072" s="130">
        <v>45489.0</v>
      </c>
      <c r="B1072" s="63" t="s">
        <v>1758</v>
      </c>
      <c r="C1072" s="61" t="s">
        <v>1759</v>
      </c>
      <c r="D1072" s="63" t="s">
        <v>1760</v>
      </c>
      <c r="E1072" s="61" t="s">
        <v>1761</v>
      </c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</row>
    <row r="1073">
      <c r="A1073" s="130">
        <v>45489.0</v>
      </c>
      <c r="B1073" s="63" t="s">
        <v>1758</v>
      </c>
      <c r="C1073" s="51" t="s">
        <v>1762</v>
      </c>
      <c r="D1073" s="63" t="s">
        <v>1763</v>
      </c>
      <c r="E1073" s="51" t="s">
        <v>1761</v>
      </c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</row>
    <row r="1074">
      <c r="A1074" s="130">
        <v>45489.0</v>
      </c>
      <c r="B1074" s="63" t="s">
        <v>1758</v>
      </c>
      <c r="C1074" s="51" t="s">
        <v>1764</v>
      </c>
      <c r="D1074" s="63" t="s">
        <v>1765</v>
      </c>
      <c r="E1074" s="51" t="s">
        <v>1761</v>
      </c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</row>
    <row r="1075">
      <c r="A1075" s="130">
        <v>45489.0</v>
      </c>
      <c r="B1075" s="63" t="s">
        <v>1758</v>
      </c>
      <c r="C1075" s="51" t="s">
        <v>1762</v>
      </c>
      <c r="D1075" s="63" t="s">
        <v>1766</v>
      </c>
      <c r="E1075" s="51" t="s">
        <v>1761</v>
      </c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</row>
    <row r="1076">
      <c r="A1076" s="130">
        <v>45489.0</v>
      </c>
      <c r="B1076" s="63" t="s">
        <v>1484</v>
      </c>
      <c r="C1076" s="72" t="s">
        <v>1767</v>
      </c>
      <c r="D1076" s="63" t="s">
        <v>1768</v>
      </c>
      <c r="E1076" s="61" t="s">
        <v>1769</v>
      </c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</row>
    <row r="1077">
      <c r="A1077" s="130">
        <v>45489.0</v>
      </c>
      <c r="B1077" s="22" t="s">
        <v>1484</v>
      </c>
      <c r="C1077" s="140" t="s">
        <v>1770</v>
      </c>
      <c r="D1077" s="22" t="s">
        <v>1771</v>
      </c>
      <c r="E1077" s="49" t="s">
        <v>1490</v>
      </c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</row>
    <row r="1078">
      <c r="A1078" s="130">
        <v>45489.0</v>
      </c>
      <c r="B1078" s="22" t="s">
        <v>1735</v>
      </c>
      <c r="C1078" s="140" t="s">
        <v>1772</v>
      </c>
      <c r="D1078" s="22" t="s">
        <v>1773</v>
      </c>
      <c r="E1078" s="132" t="s">
        <v>1774</v>
      </c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</row>
    <row r="1079">
      <c r="A1079" s="29"/>
      <c r="B1079" s="35"/>
      <c r="C1079" s="29"/>
      <c r="D1079" s="29"/>
      <c r="E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</row>
    <row r="1080">
      <c r="A1080" s="29"/>
      <c r="B1080" s="35"/>
      <c r="C1080" s="29"/>
      <c r="D1080" s="29"/>
      <c r="E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</row>
    <row r="1081">
      <c r="A1081" s="130">
        <v>45490.0</v>
      </c>
      <c r="B1081" s="22" t="s">
        <v>1718</v>
      </c>
      <c r="C1081" s="9" t="s">
        <v>1775</v>
      </c>
      <c r="D1081" s="22" t="s">
        <v>1776</v>
      </c>
      <c r="E1081" s="132" t="s">
        <v>1201</v>
      </c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29"/>
      <c r="AD1081" s="29"/>
    </row>
    <row r="1082">
      <c r="A1082" s="130">
        <v>45490.0</v>
      </c>
      <c r="B1082" s="22" t="s">
        <v>1777</v>
      </c>
      <c r="C1082" s="9" t="s">
        <v>1778</v>
      </c>
      <c r="D1082" s="22" t="s">
        <v>1779</v>
      </c>
      <c r="E1082" s="9" t="s">
        <v>1780</v>
      </c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29"/>
      <c r="AD1082" s="29"/>
    </row>
    <row r="1083">
      <c r="A1083" s="130">
        <v>45490.0</v>
      </c>
      <c r="B1083" s="22" t="s">
        <v>1777</v>
      </c>
      <c r="C1083" s="9" t="s">
        <v>1778</v>
      </c>
      <c r="D1083" s="22" t="s">
        <v>1781</v>
      </c>
      <c r="E1083" s="9" t="s">
        <v>1780</v>
      </c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29"/>
      <c r="AD1083" s="29"/>
    </row>
    <row r="1084">
      <c r="A1084" s="130">
        <v>45490.0</v>
      </c>
      <c r="B1084" s="22" t="s">
        <v>1777</v>
      </c>
      <c r="C1084" s="9" t="s">
        <v>1782</v>
      </c>
      <c r="D1084" s="22" t="s">
        <v>1783</v>
      </c>
      <c r="E1084" s="9" t="s">
        <v>1780</v>
      </c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29"/>
      <c r="AD1084" s="29"/>
    </row>
    <row r="1085">
      <c r="A1085" s="130">
        <v>45490.0</v>
      </c>
      <c r="B1085" s="22" t="s">
        <v>1777</v>
      </c>
      <c r="C1085" s="9" t="s">
        <v>1784</v>
      </c>
      <c r="D1085" s="22" t="s">
        <v>1785</v>
      </c>
      <c r="E1085" s="9" t="s">
        <v>1780</v>
      </c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29"/>
      <c r="AD1085" s="29"/>
    </row>
    <row r="1086">
      <c r="A1086" s="130">
        <v>45490.0</v>
      </c>
      <c r="B1086" s="22" t="s">
        <v>1755</v>
      </c>
      <c r="C1086" s="9" t="s">
        <v>1786</v>
      </c>
      <c r="D1086" s="22" t="s">
        <v>1787</v>
      </c>
      <c r="E1086" s="132" t="s">
        <v>1074</v>
      </c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29"/>
      <c r="AD1086" s="29"/>
    </row>
    <row r="1087">
      <c r="A1087" s="130">
        <v>45490.0</v>
      </c>
      <c r="B1087" s="22" t="s">
        <v>1788</v>
      </c>
      <c r="C1087" s="9" t="s">
        <v>1789</v>
      </c>
      <c r="D1087" s="22" t="s">
        <v>1790</v>
      </c>
      <c r="E1087" s="132" t="s">
        <v>1201</v>
      </c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29"/>
      <c r="AD1087" s="29"/>
    </row>
    <row r="1088">
      <c r="A1088" s="130">
        <v>45490.0</v>
      </c>
      <c r="B1088" s="22" t="s">
        <v>1484</v>
      </c>
      <c r="C1088" s="9" t="s">
        <v>1485</v>
      </c>
      <c r="D1088" s="22" t="s">
        <v>1791</v>
      </c>
      <c r="E1088" s="132" t="s">
        <v>1774</v>
      </c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29"/>
      <c r="AD1088" s="29"/>
    </row>
    <row r="1089">
      <c r="A1089" s="130">
        <v>45490.0</v>
      </c>
      <c r="B1089" s="22" t="s">
        <v>1484</v>
      </c>
      <c r="C1089" s="9" t="s">
        <v>1767</v>
      </c>
      <c r="D1089" s="22" t="s">
        <v>1792</v>
      </c>
      <c r="E1089" s="132" t="s">
        <v>1793</v>
      </c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29"/>
      <c r="AD1089" s="29"/>
    </row>
    <row r="1090">
      <c r="A1090" s="130">
        <v>45490.0</v>
      </c>
      <c r="B1090" s="22" t="s">
        <v>1484</v>
      </c>
      <c r="C1090" s="9" t="s">
        <v>1794</v>
      </c>
      <c r="D1090" s="22" t="s">
        <v>1795</v>
      </c>
      <c r="E1090" s="132" t="s">
        <v>1201</v>
      </c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29"/>
      <c r="AD1090" s="29"/>
    </row>
    <row r="1091">
      <c r="A1091" s="130">
        <v>45490.0</v>
      </c>
      <c r="B1091" s="22" t="s">
        <v>1796</v>
      </c>
      <c r="C1091" s="9" t="s">
        <v>1794</v>
      </c>
      <c r="D1091" s="22" t="s">
        <v>1486</v>
      </c>
      <c r="E1091" s="132" t="s">
        <v>1774</v>
      </c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29"/>
      <c r="AD1091" s="29"/>
    </row>
    <row r="1092">
      <c r="A1092" s="130">
        <v>45490.0</v>
      </c>
      <c r="B1092" s="22" t="s">
        <v>1755</v>
      </c>
      <c r="C1092" s="81" t="s">
        <v>1797</v>
      </c>
      <c r="D1092" s="22" t="s">
        <v>1798</v>
      </c>
      <c r="E1092" s="149" t="s">
        <v>1479</v>
      </c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29"/>
      <c r="AD1092" s="29"/>
    </row>
    <row r="1093">
      <c r="A1093" s="130">
        <v>45490.0</v>
      </c>
      <c r="B1093" s="22" t="s">
        <v>1755</v>
      </c>
      <c r="C1093" s="9" t="s">
        <v>1786</v>
      </c>
      <c r="D1093" s="22" t="s">
        <v>1799</v>
      </c>
      <c r="E1093" s="132" t="s">
        <v>1479</v>
      </c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29"/>
      <c r="AD1093" s="29"/>
    </row>
    <row r="1094">
      <c r="A1094" s="130">
        <v>45490.0</v>
      </c>
      <c r="B1094" s="22" t="s">
        <v>1755</v>
      </c>
      <c r="C1094" s="9" t="s">
        <v>1800</v>
      </c>
      <c r="D1094" s="22" t="s">
        <v>1801</v>
      </c>
      <c r="E1094" s="132" t="s">
        <v>1479</v>
      </c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29"/>
      <c r="AD1094" s="29"/>
    </row>
    <row r="1095">
      <c r="A1095" s="29"/>
      <c r="B1095" s="35"/>
      <c r="C1095" s="29"/>
      <c r="D1095" s="29"/>
      <c r="E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</row>
    <row r="1096">
      <c r="A1096" s="29"/>
      <c r="B1096" s="35"/>
      <c r="C1096" s="29"/>
      <c r="D1096" s="29"/>
      <c r="E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</row>
    <row r="1097">
      <c r="A1097" s="130">
        <v>45491.0</v>
      </c>
      <c r="B1097" s="22" t="s">
        <v>1802</v>
      </c>
      <c r="C1097" s="81" t="s">
        <v>1803</v>
      </c>
      <c r="D1097" s="22" t="s">
        <v>1804</v>
      </c>
      <c r="E1097" s="132" t="s">
        <v>1201</v>
      </c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29"/>
      <c r="AD1097" s="29"/>
    </row>
    <row r="1098">
      <c r="A1098" s="130">
        <v>45491.0</v>
      </c>
      <c r="B1098" s="22" t="s">
        <v>1630</v>
      </c>
      <c r="C1098" s="9" t="s">
        <v>1805</v>
      </c>
      <c r="D1098" s="22" t="s">
        <v>1806</v>
      </c>
      <c r="E1098" s="132" t="s">
        <v>1479</v>
      </c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29"/>
      <c r="AD1098" s="29"/>
    </row>
    <row r="1099">
      <c r="A1099" s="130">
        <v>45491.0</v>
      </c>
      <c r="B1099" s="22" t="s">
        <v>1807</v>
      </c>
      <c r="C1099" s="81" t="s">
        <v>1808</v>
      </c>
      <c r="D1099" s="22" t="s">
        <v>1809</v>
      </c>
      <c r="E1099" s="149" t="s">
        <v>1774</v>
      </c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29"/>
      <c r="AD1099" s="29"/>
    </row>
    <row r="1100">
      <c r="A1100" s="130">
        <v>45491.0</v>
      </c>
      <c r="B1100" s="63" t="s">
        <v>1718</v>
      </c>
      <c r="C1100" s="72" t="s">
        <v>1810</v>
      </c>
      <c r="D1100" s="63" t="s">
        <v>1811</v>
      </c>
      <c r="E1100" s="132" t="s">
        <v>1144</v>
      </c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29"/>
      <c r="AD1100" s="29"/>
    </row>
    <row r="1101">
      <c r="A1101" s="29"/>
      <c r="B1101" s="35"/>
      <c r="C1101" s="29"/>
      <c r="D1101" s="29"/>
      <c r="E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</row>
    <row r="1102">
      <c r="A1102" s="29"/>
      <c r="B1102" s="35"/>
      <c r="C1102" s="29"/>
      <c r="D1102" s="29"/>
      <c r="E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</row>
    <row r="1103">
      <c r="A1103" s="130">
        <v>45492.0</v>
      </c>
      <c r="B1103" s="22" t="s">
        <v>1735</v>
      </c>
      <c r="C1103" s="9" t="s">
        <v>1812</v>
      </c>
      <c r="D1103" s="22" t="s">
        <v>1813</v>
      </c>
      <c r="E1103" s="149" t="s">
        <v>1201</v>
      </c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29"/>
      <c r="AD1103" s="29"/>
    </row>
    <row r="1104">
      <c r="A1104" s="130">
        <v>45492.0</v>
      </c>
      <c r="B1104" s="63" t="s">
        <v>1807</v>
      </c>
      <c r="C1104" s="61" t="s">
        <v>1193</v>
      </c>
      <c r="D1104" s="63" t="s">
        <v>1814</v>
      </c>
      <c r="E1104" s="61" t="s">
        <v>1815</v>
      </c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</row>
    <row r="1105">
      <c r="A1105" s="130">
        <v>45492.0</v>
      </c>
      <c r="B1105" s="63" t="s">
        <v>1807</v>
      </c>
      <c r="C1105" s="51" t="s">
        <v>1193</v>
      </c>
      <c r="D1105" s="63" t="s">
        <v>1816</v>
      </c>
      <c r="E1105" s="51" t="s">
        <v>1815</v>
      </c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</row>
    <row r="1106">
      <c r="A1106" s="130">
        <v>45492.0</v>
      </c>
      <c r="B1106" s="63" t="s">
        <v>1807</v>
      </c>
      <c r="C1106" s="51" t="s">
        <v>1817</v>
      </c>
      <c r="D1106" s="63" t="s">
        <v>1206</v>
      </c>
      <c r="E1106" s="49" t="s">
        <v>1815</v>
      </c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</row>
    <row r="1107">
      <c r="A1107" s="130">
        <v>45492.0</v>
      </c>
      <c r="B1107" s="63" t="s">
        <v>1807</v>
      </c>
      <c r="C1107" s="51" t="s">
        <v>1818</v>
      </c>
      <c r="D1107" s="63" t="s">
        <v>1819</v>
      </c>
      <c r="E1107" s="132" t="s">
        <v>1405</v>
      </c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</row>
    <row r="1108">
      <c r="A1108" s="130">
        <v>45492.0</v>
      </c>
      <c r="B1108" s="63" t="s">
        <v>1807</v>
      </c>
      <c r="C1108" s="51" t="s">
        <v>1820</v>
      </c>
      <c r="D1108" s="63" t="s">
        <v>1821</v>
      </c>
      <c r="E1108" s="132" t="s">
        <v>1822</v>
      </c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</row>
    <row r="1109">
      <c r="A1109" s="130">
        <v>45492.0</v>
      </c>
      <c r="B1109" s="63" t="s">
        <v>1788</v>
      </c>
      <c r="C1109" s="51" t="s">
        <v>1823</v>
      </c>
      <c r="D1109" s="63" t="s">
        <v>1824</v>
      </c>
      <c r="E1109" s="149" t="s">
        <v>1405</v>
      </c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</row>
    <row r="1110">
      <c r="A1110" s="130">
        <v>45492.0</v>
      </c>
      <c r="B1110" s="63" t="s">
        <v>1788</v>
      </c>
      <c r="C1110" s="61" t="s">
        <v>1825</v>
      </c>
      <c r="D1110" s="63" t="s">
        <v>1826</v>
      </c>
      <c r="E1110" s="132" t="s">
        <v>1827</v>
      </c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29"/>
      <c r="AD1110" s="29"/>
    </row>
    <row r="1111">
      <c r="A1111" s="130">
        <v>45492.0</v>
      </c>
      <c r="B1111" s="63" t="s">
        <v>1682</v>
      </c>
      <c r="C1111" s="49" t="s">
        <v>1828</v>
      </c>
      <c r="D1111" s="63" t="s">
        <v>1829</v>
      </c>
      <c r="E1111" s="132" t="s">
        <v>1827</v>
      </c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29"/>
      <c r="AD1111" s="29"/>
    </row>
    <row r="1112">
      <c r="A1112" s="29"/>
      <c r="B1112" s="35"/>
      <c r="C1112" s="29"/>
      <c r="D1112" s="29"/>
      <c r="E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</row>
    <row r="1113">
      <c r="A1113" s="29"/>
      <c r="B1113" s="35"/>
      <c r="C1113" s="29"/>
      <c r="D1113" s="29"/>
      <c r="E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</row>
    <row r="1114">
      <c r="A1114" s="130">
        <v>45493.0</v>
      </c>
      <c r="B1114" s="63" t="s">
        <v>1630</v>
      </c>
      <c r="C1114" s="61" t="s">
        <v>1830</v>
      </c>
      <c r="D1114" s="119" t="s">
        <v>1831</v>
      </c>
      <c r="E1114" s="132" t="s">
        <v>1832</v>
      </c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29"/>
      <c r="AD1114" s="29"/>
    </row>
    <row r="1115">
      <c r="A1115" s="130">
        <v>45493.0</v>
      </c>
      <c r="B1115" s="63" t="s">
        <v>1833</v>
      </c>
      <c r="C1115" s="51" t="s">
        <v>1834</v>
      </c>
      <c r="D1115" s="119" t="s">
        <v>1835</v>
      </c>
      <c r="E1115" s="149" t="s">
        <v>1832</v>
      </c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29"/>
      <c r="AD1115" s="29"/>
    </row>
    <row r="1116">
      <c r="A1116" s="130">
        <v>45493.0</v>
      </c>
      <c r="B1116" s="63" t="s">
        <v>1836</v>
      </c>
      <c r="C1116" s="61" t="s">
        <v>1837</v>
      </c>
      <c r="D1116" s="63" t="s">
        <v>1838</v>
      </c>
      <c r="E1116" s="149" t="s">
        <v>1839</v>
      </c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29"/>
      <c r="AD1116" s="29"/>
    </row>
    <row r="1117">
      <c r="A1117" s="130">
        <v>45493.0</v>
      </c>
      <c r="B1117" s="63" t="s">
        <v>1840</v>
      </c>
      <c r="C1117" s="61" t="s">
        <v>1841</v>
      </c>
      <c r="D1117" s="63" t="s">
        <v>1842</v>
      </c>
      <c r="E1117" s="132" t="s">
        <v>196</v>
      </c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29"/>
      <c r="AD1117" s="29"/>
    </row>
    <row r="1118">
      <c r="A1118" s="130">
        <v>45493.0</v>
      </c>
      <c r="B1118" s="63" t="s">
        <v>1840</v>
      </c>
      <c r="C1118" s="51" t="s">
        <v>1350</v>
      </c>
      <c r="D1118" s="63" t="s">
        <v>1842</v>
      </c>
      <c r="E1118" s="132" t="s">
        <v>196</v>
      </c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29"/>
      <c r="AD1118" s="29"/>
    </row>
    <row r="1119">
      <c r="A1119" s="130">
        <v>45493.0</v>
      </c>
      <c r="B1119" s="63" t="s">
        <v>1840</v>
      </c>
      <c r="C1119" s="51" t="s">
        <v>1843</v>
      </c>
      <c r="D1119" s="63" t="s">
        <v>1842</v>
      </c>
      <c r="E1119" s="132" t="s">
        <v>196</v>
      </c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29"/>
      <c r="AD1119" s="29"/>
    </row>
    <row r="1120">
      <c r="A1120" s="29"/>
      <c r="B1120" s="35"/>
      <c r="C1120" s="29"/>
      <c r="D1120" s="29"/>
      <c r="E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</row>
    <row r="1121">
      <c r="A1121" s="29"/>
      <c r="B1121" s="35"/>
      <c r="C1121" s="29"/>
      <c r="D1121" s="29"/>
      <c r="E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</row>
    <row r="1122">
      <c r="A1122" s="130">
        <v>45494.0</v>
      </c>
      <c r="B1122" s="22" t="s">
        <v>1844</v>
      </c>
      <c r="C1122" s="140" t="s">
        <v>1845</v>
      </c>
      <c r="D1122" s="22" t="s">
        <v>1846</v>
      </c>
      <c r="E1122" s="149" t="s">
        <v>1847</v>
      </c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29"/>
      <c r="AD1122" s="29"/>
    </row>
    <row r="1123">
      <c r="A1123" s="130">
        <v>45494.0</v>
      </c>
      <c r="B1123" s="22" t="s">
        <v>1844</v>
      </c>
      <c r="C1123" s="140" t="s">
        <v>498</v>
      </c>
      <c r="D1123" s="22" t="s">
        <v>1848</v>
      </c>
      <c r="E1123" s="149" t="s">
        <v>1201</v>
      </c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29"/>
      <c r="AD1123" s="29"/>
    </row>
    <row r="1124">
      <c r="A1124" s="130">
        <v>45494.0</v>
      </c>
      <c r="B1124" s="22" t="s">
        <v>1844</v>
      </c>
      <c r="C1124" s="140" t="s">
        <v>1849</v>
      </c>
      <c r="D1124" s="22" t="s">
        <v>1850</v>
      </c>
      <c r="E1124" s="149" t="s">
        <v>1201</v>
      </c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29"/>
      <c r="AD1124" s="29"/>
    </row>
    <row r="1125">
      <c r="A1125" s="130">
        <v>45494.0</v>
      </c>
      <c r="B1125" s="22" t="s">
        <v>1851</v>
      </c>
      <c r="C1125" s="140" t="s">
        <v>1852</v>
      </c>
      <c r="D1125" s="22" t="s">
        <v>1853</v>
      </c>
      <c r="E1125" s="132" t="s">
        <v>1201</v>
      </c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29"/>
      <c r="AD1125" s="29"/>
    </row>
    <row r="1126">
      <c r="A1126" s="29"/>
      <c r="B1126" s="35"/>
      <c r="C1126" s="29"/>
      <c r="D1126" s="29"/>
      <c r="E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</row>
    <row r="1127">
      <c r="A1127" s="29"/>
      <c r="B1127" s="35"/>
      <c r="C1127" s="29"/>
      <c r="D1127" s="29"/>
      <c r="E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</row>
    <row r="1128">
      <c r="A1128" s="130">
        <v>45495.0</v>
      </c>
      <c r="B1128" s="63" t="s">
        <v>1844</v>
      </c>
      <c r="C1128" s="61" t="s">
        <v>498</v>
      </c>
      <c r="D1128" s="63" t="s">
        <v>1854</v>
      </c>
      <c r="E1128" s="132" t="s">
        <v>1074</v>
      </c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29"/>
      <c r="AD1128" s="29"/>
    </row>
    <row r="1129">
      <c r="A1129" s="130">
        <v>45495.0</v>
      </c>
      <c r="B1129" s="63" t="s">
        <v>1855</v>
      </c>
      <c r="C1129" s="51" t="s">
        <v>1856</v>
      </c>
      <c r="D1129" s="63" t="s">
        <v>1857</v>
      </c>
      <c r="E1129" s="132" t="s">
        <v>1201</v>
      </c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29"/>
      <c r="AD1129" s="29"/>
    </row>
    <row r="1130">
      <c r="A1130" s="29"/>
      <c r="B1130" s="35"/>
      <c r="C1130" s="29"/>
      <c r="D1130" s="29"/>
      <c r="E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</row>
    <row r="1131">
      <c r="A1131" s="29"/>
      <c r="B1131" s="35"/>
      <c r="C1131" s="29"/>
      <c r="D1131" s="29"/>
      <c r="E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</row>
    <row r="1132">
      <c r="A1132" s="130">
        <v>45496.0</v>
      </c>
      <c r="B1132" s="63" t="s">
        <v>1858</v>
      </c>
      <c r="C1132" s="61" t="s">
        <v>1859</v>
      </c>
      <c r="D1132" s="63" t="s">
        <v>1860</v>
      </c>
      <c r="E1132" s="61" t="s">
        <v>1861</v>
      </c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</row>
    <row r="1133">
      <c r="A1133" s="130">
        <v>45496.0</v>
      </c>
      <c r="B1133" s="63" t="s">
        <v>1858</v>
      </c>
      <c r="C1133" s="49" t="s">
        <v>1862</v>
      </c>
      <c r="D1133" s="63" t="s">
        <v>1863</v>
      </c>
      <c r="E1133" s="49" t="s">
        <v>1861</v>
      </c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</row>
    <row r="1134">
      <c r="A1134" s="130">
        <v>45496.0</v>
      </c>
      <c r="B1134" s="22" t="s">
        <v>1864</v>
      </c>
      <c r="C1134" s="119" t="s">
        <v>1865</v>
      </c>
      <c r="D1134" s="22" t="s">
        <v>1866</v>
      </c>
      <c r="E1134" s="132" t="s">
        <v>1659</v>
      </c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</row>
    <row r="1135">
      <c r="A1135" s="130">
        <v>45496.0</v>
      </c>
      <c r="B1135" s="22" t="s">
        <v>1867</v>
      </c>
      <c r="C1135" s="119" t="s">
        <v>1868</v>
      </c>
      <c r="D1135" s="140" t="s">
        <v>1869</v>
      </c>
      <c r="E1135" s="132" t="s">
        <v>1870</v>
      </c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</row>
    <row r="1136">
      <c r="A1136" s="29"/>
      <c r="B1136" s="35"/>
      <c r="C1136" s="29"/>
      <c r="D1136" s="29"/>
      <c r="E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</row>
    <row r="1137">
      <c r="A1137" s="29"/>
      <c r="B1137" s="35"/>
      <c r="C1137" s="29"/>
      <c r="D1137" s="29"/>
      <c r="E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</row>
    <row r="1138">
      <c r="A1138" s="130">
        <v>45497.0</v>
      </c>
      <c r="B1138" s="22" t="s">
        <v>1871</v>
      </c>
      <c r="C1138" s="143" t="s">
        <v>1872</v>
      </c>
      <c r="D1138" s="22" t="s">
        <v>1873</v>
      </c>
      <c r="E1138" s="132" t="s">
        <v>1074</v>
      </c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</row>
    <row r="1139">
      <c r="A1139" s="130">
        <v>45497.0</v>
      </c>
      <c r="B1139" s="22" t="s">
        <v>1874</v>
      </c>
      <c r="C1139" s="140" t="s">
        <v>1470</v>
      </c>
      <c r="D1139" s="22" t="s">
        <v>1875</v>
      </c>
      <c r="E1139" s="132" t="s">
        <v>1201</v>
      </c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</row>
    <row r="1140">
      <c r="A1140" s="130">
        <v>45497.0</v>
      </c>
      <c r="B1140" s="22" t="s">
        <v>1871</v>
      </c>
      <c r="C1140" s="140" t="s">
        <v>1876</v>
      </c>
      <c r="D1140" s="22" t="s">
        <v>1877</v>
      </c>
      <c r="E1140" s="132" t="s">
        <v>1074</v>
      </c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</row>
    <row r="1141">
      <c r="A1141" s="29"/>
      <c r="B1141" s="35"/>
      <c r="C1141" s="29"/>
      <c r="D1141" s="29"/>
      <c r="E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</row>
    <row r="1142">
      <c r="A1142" s="29"/>
      <c r="B1142" s="35"/>
      <c r="C1142" s="29"/>
      <c r="D1142" s="29"/>
      <c r="E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</row>
    <row r="1143">
      <c r="A1143" s="130">
        <v>45498.0</v>
      </c>
      <c r="B1143" s="22" t="s">
        <v>1878</v>
      </c>
      <c r="C1143" s="140" t="s">
        <v>1879</v>
      </c>
      <c r="D1143" s="22" t="s">
        <v>1880</v>
      </c>
      <c r="E1143" s="132" t="s">
        <v>1479</v>
      </c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</row>
    <row r="1144">
      <c r="A1144" s="130">
        <v>45498.0</v>
      </c>
      <c r="B1144" s="22" t="s">
        <v>1878</v>
      </c>
      <c r="C1144" s="140" t="s">
        <v>1881</v>
      </c>
      <c r="D1144" s="22" t="s">
        <v>1880</v>
      </c>
      <c r="E1144" s="132" t="s">
        <v>1479</v>
      </c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</row>
    <row r="1145">
      <c r="A1145" s="29"/>
      <c r="B1145" s="35"/>
      <c r="C1145" s="29"/>
      <c r="D1145" s="29"/>
      <c r="E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</row>
    <row r="1146">
      <c r="A1146" s="29"/>
      <c r="B1146" s="35"/>
      <c r="C1146" s="29"/>
      <c r="D1146" s="29"/>
      <c r="E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</row>
    <row r="1147">
      <c r="A1147" s="130">
        <v>45499.0</v>
      </c>
      <c r="B1147" s="22" t="s">
        <v>1882</v>
      </c>
      <c r="C1147" s="140" t="s">
        <v>1883</v>
      </c>
      <c r="D1147" s="22" t="s">
        <v>1884</v>
      </c>
      <c r="E1147" s="137" t="s">
        <v>1074</v>
      </c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</row>
    <row r="1148">
      <c r="A1148" s="130">
        <v>45499.0</v>
      </c>
      <c r="B1148" s="22" t="s">
        <v>1885</v>
      </c>
      <c r="C1148" s="140" t="s">
        <v>1886</v>
      </c>
      <c r="D1148" s="22" t="s">
        <v>1887</v>
      </c>
      <c r="E1148" s="132" t="s">
        <v>1074</v>
      </c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</row>
    <row r="1149">
      <c r="A1149" s="29"/>
      <c r="B1149" s="35"/>
      <c r="C1149" s="29"/>
      <c r="D1149" s="29"/>
      <c r="E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</row>
    <row r="1150">
      <c r="A1150" s="29"/>
      <c r="B1150" s="35"/>
      <c r="C1150" s="29"/>
      <c r="D1150" s="29"/>
      <c r="E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</row>
    <row r="1151">
      <c r="A1151" s="130">
        <v>45500.0</v>
      </c>
      <c r="B1151" s="22" t="s">
        <v>1871</v>
      </c>
      <c r="C1151" s="140" t="s">
        <v>939</v>
      </c>
      <c r="D1151" s="22" t="s">
        <v>1888</v>
      </c>
      <c r="E1151" s="139" t="s">
        <v>1074</v>
      </c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</row>
    <row r="1152">
      <c r="A1152" s="29"/>
      <c r="B1152" s="35"/>
      <c r="C1152" s="29"/>
      <c r="D1152" s="29"/>
      <c r="E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</row>
    <row r="1153">
      <c r="A1153" s="29"/>
      <c r="B1153" s="35"/>
      <c r="C1153" s="29"/>
      <c r="D1153" s="29"/>
      <c r="E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</row>
    <row r="1154">
      <c r="A1154" s="130">
        <v>45501.0</v>
      </c>
      <c r="B1154" s="63" t="s">
        <v>1392</v>
      </c>
      <c r="C1154" s="61" t="s">
        <v>1889</v>
      </c>
      <c r="D1154" s="63" t="s">
        <v>1890</v>
      </c>
      <c r="E1154" s="158" t="s">
        <v>1891</v>
      </c>
      <c r="F1154" s="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</row>
    <row r="1155">
      <c r="A1155" s="130">
        <v>45501.0</v>
      </c>
      <c r="B1155" s="63" t="s">
        <v>1392</v>
      </c>
      <c r="C1155" s="51" t="s">
        <v>1892</v>
      </c>
      <c r="D1155" s="63" t="s">
        <v>1893</v>
      </c>
      <c r="E1155" s="159" t="s">
        <v>1891</v>
      </c>
      <c r="F1155" s="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</row>
    <row r="1156">
      <c r="A1156" s="130">
        <v>45501.0</v>
      </c>
      <c r="B1156" s="63" t="s">
        <v>1392</v>
      </c>
      <c r="C1156" s="51" t="s">
        <v>1894</v>
      </c>
      <c r="D1156" s="63" t="s">
        <v>1895</v>
      </c>
      <c r="E1156" s="159" t="s">
        <v>1891</v>
      </c>
      <c r="F1156" s="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</row>
    <row r="1157">
      <c r="A1157" s="130">
        <v>45501.0</v>
      </c>
      <c r="B1157" s="63" t="s">
        <v>1392</v>
      </c>
      <c r="C1157" s="51" t="s">
        <v>1896</v>
      </c>
      <c r="D1157" s="63" t="s">
        <v>1895</v>
      </c>
      <c r="E1157" s="159" t="s">
        <v>1891</v>
      </c>
      <c r="F1157" s="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</row>
    <row r="1158">
      <c r="A1158" s="130">
        <v>45501.0</v>
      </c>
      <c r="B1158" s="63" t="s">
        <v>1392</v>
      </c>
      <c r="C1158" s="51" t="s">
        <v>1897</v>
      </c>
      <c r="D1158" s="63" t="s">
        <v>1895</v>
      </c>
      <c r="E1158" s="159" t="s">
        <v>1891</v>
      </c>
      <c r="F1158" s="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</row>
    <row r="1159">
      <c r="A1159" s="130">
        <v>45501.0</v>
      </c>
      <c r="B1159" s="63" t="s">
        <v>1392</v>
      </c>
      <c r="C1159" s="51" t="s">
        <v>1898</v>
      </c>
      <c r="D1159" s="63" t="s">
        <v>1895</v>
      </c>
      <c r="E1159" s="159" t="s">
        <v>1891</v>
      </c>
      <c r="F1159" s="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</row>
    <row r="1160">
      <c r="A1160" s="130">
        <v>45501.0</v>
      </c>
      <c r="B1160" s="63" t="s">
        <v>1392</v>
      </c>
      <c r="C1160" s="51" t="s">
        <v>1899</v>
      </c>
      <c r="D1160" s="63" t="s">
        <v>1895</v>
      </c>
      <c r="E1160" s="159" t="s">
        <v>1891</v>
      </c>
      <c r="F1160" s="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</row>
    <row r="1161">
      <c r="A1161" s="130">
        <v>45501.0</v>
      </c>
      <c r="B1161" s="63" t="s">
        <v>1392</v>
      </c>
      <c r="C1161" s="51" t="s">
        <v>1900</v>
      </c>
      <c r="D1161" s="63" t="s">
        <v>1895</v>
      </c>
      <c r="E1161" s="159" t="s">
        <v>1891</v>
      </c>
      <c r="F1161" s="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</row>
    <row r="1162">
      <c r="A1162" s="130">
        <v>45501.0</v>
      </c>
      <c r="B1162" s="63" t="s">
        <v>1392</v>
      </c>
      <c r="C1162" s="51" t="s">
        <v>1901</v>
      </c>
      <c r="D1162" s="63" t="s">
        <v>1895</v>
      </c>
      <c r="E1162" s="159" t="s">
        <v>1891</v>
      </c>
      <c r="F1162" s="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</row>
    <row r="1163">
      <c r="A1163" s="130">
        <v>45501.0</v>
      </c>
      <c r="B1163" s="63" t="s">
        <v>1392</v>
      </c>
      <c r="C1163" s="51" t="s">
        <v>1902</v>
      </c>
      <c r="D1163" s="63" t="s">
        <v>1903</v>
      </c>
      <c r="E1163" s="51" t="s">
        <v>143</v>
      </c>
      <c r="F1163" s="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</row>
    <row r="1164">
      <c r="A1164" s="130">
        <v>45501.0</v>
      </c>
      <c r="B1164" s="63" t="s">
        <v>1392</v>
      </c>
      <c r="C1164" s="51" t="s">
        <v>1904</v>
      </c>
      <c r="D1164" s="63" t="s">
        <v>1905</v>
      </c>
      <c r="E1164" s="51" t="s">
        <v>143</v>
      </c>
      <c r="F1164" s="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</row>
    <row r="1165">
      <c r="A1165" s="130">
        <v>45501.0</v>
      </c>
      <c r="B1165" s="63" t="s">
        <v>1392</v>
      </c>
      <c r="C1165" s="51" t="s">
        <v>1901</v>
      </c>
      <c r="D1165" s="63" t="s">
        <v>1906</v>
      </c>
      <c r="E1165" s="51" t="s">
        <v>143</v>
      </c>
      <c r="F1165" s="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</row>
    <row r="1166">
      <c r="A1166" s="130">
        <v>45501.0</v>
      </c>
      <c r="B1166" s="63" t="s">
        <v>1392</v>
      </c>
      <c r="C1166" s="51" t="s">
        <v>1898</v>
      </c>
      <c r="D1166" s="63" t="s">
        <v>1907</v>
      </c>
      <c r="E1166" s="51" t="s">
        <v>143</v>
      </c>
      <c r="F1166" s="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</row>
    <row r="1167">
      <c r="A1167" s="130">
        <v>45501.0</v>
      </c>
      <c r="B1167" s="63" t="s">
        <v>1682</v>
      </c>
      <c r="C1167" s="61" t="s">
        <v>1908</v>
      </c>
      <c r="D1167" s="63" t="s">
        <v>1909</v>
      </c>
      <c r="E1167" s="132" t="s">
        <v>1910</v>
      </c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</row>
    <row r="1168">
      <c r="A1168" s="130">
        <v>45501.0</v>
      </c>
      <c r="B1168" s="63" t="s">
        <v>1392</v>
      </c>
      <c r="C1168" s="61" t="s">
        <v>1898</v>
      </c>
      <c r="D1168" s="63" t="s">
        <v>1911</v>
      </c>
      <c r="E1168" s="61" t="s">
        <v>143</v>
      </c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</row>
    <row r="1169">
      <c r="A1169" s="130">
        <v>45501.0</v>
      </c>
      <c r="B1169" s="63" t="s">
        <v>1392</v>
      </c>
      <c r="C1169" s="49" t="s">
        <v>1898</v>
      </c>
      <c r="D1169" s="63" t="s">
        <v>1912</v>
      </c>
      <c r="E1169" s="49" t="s">
        <v>143</v>
      </c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</row>
    <row r="1170">
      <c r="A1170" s="29"/>
      <c r="B1170" s="35"/>
      <c r="C1170" s="29"/>
      <c r="D1170" s="29"/>
      <c r="E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</row>
    <row r="1171">
      <c r="A1171" s="29"/>
      <c r="B1171" s="35"/>
      <c r="C1171" s="29"/>
      <c r="D1171" s="29"/>
      <c r="E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</row>
    <row r="1172">
      <c r="A1172" s="130">
        <v>45502.0</v>
      </c>
      <c r="B1172" s="22" t="s">
        <v>1913</v>
      </c>
      <c r="C1172" s="140" t="s">
        <v>1555</v>
      </c>
      <c r="D1172" s="22" t="s">
        <v>1914</v>
      </c>
      <c r="E1172" s="9" t="s">
        <v>1622</v>
      </c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</row>
    <row r="1173">
      <c r="A1173" s="130">
        <v>45502.0</v>
      </c>
      <c r="B1173" s="22" t="s">
        <v>1913</v>
      </c>
      <c r="C1173" s="140" t="s">
        <v>1555</v>
      </c>
      <c r="D1173" s="22" t="s">
        <v>1915</v>
      </c>
      <c r="E1173" s="9" t="s">
        <v>1622</v>
      </c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</row>
    <row r="1174">
      <c r="A1174" s="130">
        <v>45502.0</v>
      </c>
      <c r="B1174" s="22" t="s">
        <v>1913</v>
      </c>
      <c r="C1174" s="140" t="s">
        <v>1555</v>
      </c>
      <c r="D1174" s="22" t="s">
        <v>1916</v>
      </c>
      <c r="E1174" s="81" t="s">
        <v>1622</v>
      </c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</row>
    <row r="1175">
      <c r="A1175" s="130">
        <v>45502.0</v>
      </c>
      <c r="B1175" s="22" t="s">
        <v>1917</v>
      </c>
      <c r="C1175" s="140" t="s">
        <v>1918</v>
      </c>
      <c r="D1175" s="22" t="s">
        <v>1919</v>
      </c>
      <c r="E1175" s="132" t="s">
        <v>1201</v>
      </c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</row>
    <row r="1176">
      <c r="A1176" s="29"/>
      <c r="B1176" s="35"/>
      <c r="C1176" s="29"/>
      <c r="D1176" s="29"/>
      <c r="E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</row>
    <row r="1177">
      <c r="A1177" s="29"/>
      <c r="B1177" s="35"/>
      <c r="C1177" s="29"/>
      <c r="D1177" s="29"/>
      <c r="E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</row>
    <row r="1178">
      <c r="A1178" s="130">
        <v>45503.0</v>
      </c>
      <c r="B1178" s="63" t="s">
        <v>1392</v>
      </c>
      <c r="C1178" s="61" t="s">
        <v>1898</v>
      </c>
      <c r="D1178" s="63" t="s">
        <v>1920</v>
      </c>
      <c r="E1178" s="61" t="s">
        <v>1921</v>
      </c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</row>
    <row r="1179">
      <c r="A1179" s="130">
        <v>45503.0</v>
      </c>
      <c r="B1179" s="63" t="s">
        <v>1392</v>
      </c>
      <c r="C1179" s="51" t="s">
        <v>1897</v>
      </c>
      <c r="D1179" s="63" t="s">
        <v>1922</v>
      </c>
      <c r="E1179" s="51" t="s">
        <v>1921</v>
      </c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</row>
    <row r="1180">
      <c r="A1180" s="130">
        <v>45503.0</v>
      </c>
      <c r="B1180" s="63" t="s">
        <v>1392</v>
      </c>
      <c r="C1180" s="51" t="s">
        <v>1889</v>
      </c>
      <c r="D1180" s="63" t="s">
        <v>1923</v>
      </c>
      <c r="E1180" s="51" t="s">
        <v>1921</v>
      </c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</row>
    <row r="1181">
      <c r="A1181" s="130">
        <v>45503.0</v>
      </c>
      <c r="B1181" s="63" t="s">
        <v>1392</v>
      </c>
      <c r="C1181" s="51" t="s">
        <v>1594</v>
      </c>
      <c r="D1181" s="63" t="s">
        <v>1924</v>
      </c>
      <c r="E1181" s="51" t="s">
        <v>1921</v>
      </c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</row>
    <row r="1182">
      <c r="A1182" s="130">
        <v>45503.0</v>
      </c>
      <c r="B1182" s="63" t="s">
        <v>1392</v>
      </c>
      <c r="C1182" s="51" t="s">
        <v>1902</v>
      </c>
      <c r="D1182" s="63" t="s">
        <v>1903</v>
      </c>
      <c r="E1182" s="51" t="s">
        <v>1921</v>
      </c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</row>
    <row r="1183">
      <c r="A1183" s="130">
        <v>45503.0</v>
      </c>
      <c r="B1183" s="63" t="s">
        <v>1392</v>
      </c>
      <c r="C1183" s="51" t="s">
        <v>1925</v>
      </c>
      <c r="D1183" s="63" t="s">
        <v>1926</v>
      </c>
      <c r="E1183" s="51" t="s">
        <v>1921</v>
      </c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</row>
    <row r="1184">
      <c r="A1184" s="130">
        <v>45503.0</v>
      </c>
      <c r="B1184" s="63" t="s">
        <v>1392</v>
      </c>
      <c r="C1184" s="51" t="s">
        <v>1902</v>
      </c>
      <c r="D1184" s="63" t="s">
        <v>1927</v>
      </c>
      <c r="E1184" s="51" t="s">
        <v>1921</v>
      </c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</row>
    <row r="1185">
      <c r="A1185" s="130">
        <v>45503.0</v>
      </c>
      <c r="B1185" s="63" t="s">
        <v>1392</v>
      </c>
      <c r="C1185" s="51" t="s">
        <v>1594</v>
      </c>
      <c r="D1185" s="63" t="s">
        <v>1928</v>
      </c>
      <c r="E1185" s="51" t="s">
        <v>1921</v>
      </c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</row>
    <row r="1186">
      <c r="A1186" s="130">
        <v>45503.0</v>
      </c>
      <c r="B1186" s="63" t="s">
        <v>1392</v>
      </c>
      <c r="C1186" s="51" t="s">
        <v>1904</v>
      </c>
      <c r="D1186" s="63" t="s">
        <v>1929</v>
      </c>
      <c r="E1186" s="51" t="s">
        <v>1921</v>
      </c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</row>
    <row r="1187">
      <c r="A1187" s="130">
        <v>45503.0</v>
      </c>
      <c r="B1187" s="63" t="s">
        <v>1392</v>
      </c>
      <c r="C1187" s="49" t="s">
        <v>1901</v>
      </c>
      <c r="D1187" s="63" t="s">
        <v>1930</v>
      </c>
      <c r="E1187" s="49" t="s">
        <v>1921</v>
      </c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</row>
    <row r="1188">
      <c r="A1188" s="130">
        <v>45503.0</v>
      </c>
      <c r="B1188" s="22" t="s">
        <v>1931</v>
      </c>
      <c r="C1188" s="140" t="s">
        <v>1932</v>
      </c>
      <c r="D1188" s="22" t="s">
        <v>1933</v>
      </c>
      <c r="E1188" s="9" t="s">
        <v>1201</v>
      </c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</row>
    <row r="1189">
      <c r="A1189" s="130">
        <v>45503.0</v>
      </c>
      <c r="B1189" s="22" t="s">
        <v>1931</v>
      </c>
      <c r="C1189" s="143" t="s">
        <v>1868</v>
      </c>
      <c r="D1189" s="22" t="s">
        <v>1934</v>
      </c>
      <c r="E1189" s="81" t="s">
        <v>1201</v>
      </c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</row>
    <row r="1190">
      <c r="A1190" s="130">
        <v>45503.0</v>
      </c>
      <c r="B1190" s="63" t="s">
        <v>1392</v>
      </c>
      <c r="C1190" s="51" t="s">
        <v>1594</v>
      </c>
      <c r="D1190" s="63" t="s">
        <v>1935</v>
      </c>
      <c r="E1190" s="51" t="s">
        <v>1936</v>
      </c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</row>
    <row r="1191">
      <c r="A1191" s="130">
        <v>45503.0</v>
      </c>
      <c r="B1191" s="63" t="s">
        <v>1392</v>
      </c>
      <c r="C1191" s="51" t="s">
        <v>1889</v>
      </c>
      <c r="D1191" s="63" t="s">
        <v>1937</v>
      </c>
      <c r="E1191" s="51" t="s">
        <v>1921</v>
      </c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</row>
    <row r="1192">
      <c r="A1192" s="130">
        <v>45503.0</v>
      </c>
      <c r="B1192" s="63" t="s">
        <v>1392</v>
      </c>
      <c r="C1192" s="51" t="s">
        <v>1899</v>
      </c>
      <c r="D1192" s="63" t="s">
        <v>1938</v>
      </c>
      <c r="E1192" s="51" t="s">
        <v>1921</v>
      </c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</row>
    <row r="1193">
      <c r="A1193" s="130">
        <v>45503.0</v>
      </c>
      <c r="B1193" s="63" t="s">
        <v>1392</v>
      </c>
      <c r="C1193" s="51" t="s">
        <v>1594</v>
      </c>
      <c r="D1193" s="63" t="s">
        <v>1916</v>
      </c>
      <c r="E1193" s="51" t="s">
        <v>1921</v>
      </c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</row>
    <row r="1194">
      <c r="A1194" s="130">
        <v>45503.0</v>
      </c>
      <c r="B1194" s="63" t="s">
        <v>1392</v>
      </c>
      <c r="C1194" s="51" t="s">
        <v>1892</v>
      </c>
      <c r="D1194" s="63" t="s">
        <v>1916</v>
      </c>
      <c r="E1194" s="51" t="s">
        <v>1921</v>
      </c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</row>
    <row r="1195">
      <c r="A1195" s="130">
        <v>45503.0</v>
      </c>
      <c r="B1195" s="63" t="s">
        <v>1392</v>
      </c>
      <c r="C1195" s="51" t="s">
        <v>1594</v>
      </c>
      <c r="D1195" s="63" t="s">
        <v>1939</v>
      </c>
      <c r="E1195" s="51" t="s">
        <v>1921</v>
      </c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</row>
    <row r="1196">
      <c r="A1196" s="130">
        <v>45503.0</v>
      </c>
      <c r="B1196" s="63" t="s">
        <v>1392</v>
      </c>
      <c r="C1196" s="51" t="s">
        <v>1899</v>
      </c>
      <c r="D1196" s="63" t="s">
        <v>1940</v>
      </c>
      <c r="E1196" s="51" t="s">
        <v>1921</v>
      </c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</row>
    <row r="1197">
      <c r="A1197" s="130">
        <v>45503.0</v>
      </c>
      <c r="B1197" s="63" t="s">
        <v>1392</v>
      </c>
      <c r="C1197" s="51" t="s">
        <v>1894</v>
      </c>
      <c r="D1197" s="63" t="s">
        <v>1941</v>
      </c>
      <c r="E1197" s="51" t="s">
        <v>1921</v>
      </c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</row>
    <row r="1198">
      <c r="A1198" s="130">
        <v>45503.0</v>
      </c>
      <c r="B1198" s="63" t="s">
        <v>1392</v>
      </c>
      <c r="C1198" s="51" t="s">
        <v>1898</v>
      </c>
      <c r="D1198" s="63" t="s">
        <v>1911</v>
      </c>
      <c r="E1198" s="51" t="s">
        <v>1921</v>
      </c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</row>
    <row r="1199">
      <c r="A1199" s="130">
        <v>45503.0</v>
      </c>
      <c r="B1199" s="63" t="s">
        <v>1392</v>
      </c>
      <c r="C1199" s="49" t="s">
        <v>1896</v>
      </c>
      <c r="D1199" s="63" t="s">
        <v>1942</v>
      </c>
      <c r="E1199" s="49" t="s">
        <v>1921</v>
      </c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</row>
    <row r="1200">
      <c r="A1200" s="130">
        <v>45503.0</v>
      </c>
      <c r="B1200" s="22" t="s">
        <v>1943</v>
      </c>
      <c r="C1200" s="140" t="s">
        <v>1944</v>
      </c>
      <c r="D1200" s="140" t="s">
        <v>1945</v>
      </c>
      <c r="E1200" s="132" t="s">
        <v>1201</v>
      </c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</row>
    <row r="1201">
      <c r="A1201" s="29"/>
      <c r="B1201" s="35"/>
      <c r="C1201" s="29"/>
      <c r="D1201" s="29"/>
      <c r="E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</row>
    <row r="1202">
      <c r="A1202" s="29"/>
      <c r="B1202" s="35"/>
      <c r="C1202" s="29"/>
      <c r="D1202" s="29"/>
      <c r="E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</row>
    <row r="1203">
      <c r="A1203" s="130">
        <v>45504.0</v>
      </c>
      <c r="B1203" s="22" t="s">
        <v>1946</v>
      </c>
      <c r="C1203" s="140" t="s">
        <v>1947</v>
      </c>
      <c r="D1203" s="22" t="s">
        <v>1948</v>
      </c>
      <c r="E1203" s="149" t="s">
        <v>1524</v>
      </c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</row>
    <row r="1204">
      <c r="A1204" s="130">
        <v>45504.0</v>
      </c>
      <c r="B1204" s="140" t="s">
        <v>1630</v>
      </c>
      <c r="C1204" s="140" t="s">
        <v>1949</v>
      </c>
      <c r="D1204" s="22" t="s">
        <v>1950</v>
      </c>
      <c r="E1204" s="149" t="s">
        <v>1074</v>
      </c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</row>
    <row r="1205">
      <c r="A1205" s="130">
        <v>45504.0</v>
      </c>
      <c r="B1205" s="140" t="s">
        <v>1951</v>
      </c>
      <c r="C1205" s="140" t="s">
        <v>1952</v>
      </c>
      <c r="D1205" s="22" t="s">
        <v>1953</v>
      </c>
      <c r="E1205" s="51" t="s">
        <v>196</v>
      </c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</row>
    <row r="1206">
      <c r="A1206" s="130">
        <v>45504.0</v>
      </c>
      <c r="B1206" s="140" t="s">
        <v>1951</v>
      </c>
      <c r="C1206" s="140" t="s">
        <v>1952</v>
      </c>
      <c r="D1206" s="22" t="s">
        <v>1954</v>
      </c>
      <c r="E1206" s="51" t="s">
        <v>196</v>
      </c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</row>
    <row r="1207">
      <c r="A1207" s="130">
        <v>45504.0</v>
      </c>
      <c r="B1207" s="140" t="s">
        <v>1951</v>
      </c>
      <c r="C1207" s="140" t="s">
        <v>1952</v>
      </c>
      <c r="D1207" s="22" t="s">
        <v>1954</v>
      </c>
      <c r="E1207" s="51" t="s">
        <v>196</v>
      </c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</row>
    <row r="1208">
      <c r="A1208" s="130">
        <v>45504.0</v>
      </c>
      <c r="B1208" s="140" t="s">
        <v>1951</v>
      </c>
      <c r="C1208" s="140" t="s">
        <v>1952</v>
      </c>
      <c r="D1208" s="22" t="s">
        <v>1954</v>
      </c>
      <c r="E1208" s="49" t="s">
        <v>196</v>
      </c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</row>
    <row r="1209">
      <c r="A1209" s="29"/>
      <c r="B1209" s="35"/>
      <c r="C1209" s="29"/>
      <c r="D1209" s="29"/>
      <c r="E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</row>
    <row r="1210">
      <c r="A1210" s="29"/>
      <c r="B1210" s="35"/>
      <c r="C1210" s="29"/>
      <c r="D1210" s="29"/>
      <c r="E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</row>
    <row r="1211">
      <c r="A1211" s="130" t="s">
        <v>1955</v>
      </c>
      <c r="B1211" s="22" t="s">
        <v>1392</v>
      </c>
      <c r="C1211" s="140" t="s">
        <v>1956</v>
      </c>
      <c r="D1211" s="22" t="s">
        <v>1957</v>
      </c>
      <c r="E1211" s="132" t="s">
        <v>1958</v>
      </c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</row>
    <row r="1212">
      <c r="A1212" s="130" t="s">
        <v>1955</v>
      </c>
      <c r="B1212" s="22" t="s">
        <v>1392</v>
      </c>
      <c r="C1212" s="140" t="s">
        <v>1491</v>
      </c>
      <c r="D1212" s="22" t="s">
        <v>1959</v>
      </c>
      <c r="E1212" s="132" t="s">
        <v>1958</v>
      </c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</row>
    <row r="1213">
      <c r="A1213" s="29"/>
      <c r="B1213" s="35"/>
      <c r="C1213" s="29"/>
      <c r="D1213" s="29"/>
      <c r="E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</row>
    <row r="1214">
      <c r="A1214" s="29"/>
      <c r="B1214" s="35"/>
      <c r="C1214" s="29"/>
      <c r="D1214" s="29"/>
      <c r="E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</row>
    <row r="1215">
      <c r="A1215" s="16" t="s">
        <v>1960</v>
      </c>
      <c r="B1215" s="136" t="s">
        <v>1630</v>
      </c>
      <c r="C1215" s="140" t="s">
        <v>1961</v>
      </c>
      <c r="D1215" s="22" t="s">
        <v>55</v>
      </c>
      <c r="E1215" s="149" t="s">
        <v>1479</v>
      </c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</row>
    <row r="1216">
      <c r="A1216" s="16" t="s">
        <v>1960</v>
      </c>
      <c r="B1216" s="22" t="s">
        <v>1962</v>
      </c>
      <c r="C1216" s="140" t="s">
        <v>1963</v>
      </c>
      <c r="D1216" s="22" t="s">
        <v>1964</v>
      </c>
      <c r="E1216" s="122" t="s">
        <v>1965</v>
      </c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</row>
    <row r="1217">
      <c r="A1217" s="16" t="s">
        <v>1960</v>
      </c>
      <c r="B1217" s="22" t="s">
        <v>1962</v>
      </c>
      <c r="C1217" s="140" t="s">
        <v>1963</v>
      </c>
      <c r="D1217" s="22" t="s">
        <v>1305</v>
      </c>
      <c r="E1217" s="122" t="s">
        <v>1965</v>
      </c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</row>
    <row r="1218">
      <c r="A1218" s="16" t="s">
        <v>1960</v>
      </c>
      <c r="B1218" s="22" t="s">
        <v>1962</v>
      </c>
      <c r="C1218" s="140" t="s">
        <v>1963</v>
      </c>
      <c r="D1218" s="22" t="s">
        <v>1966</v>
      </c>
      <c r="E1218" s="123" t="s">
        <v>1965</v>
      </c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  <c r="AC1218" s="29"/>
      <c r="AD1218" s="29"/>
    </row>
    <row r="1219">
      <c r="A1219" s="16" t="s">
        <v>1960</v>
      </c>
      <c r="B1219" s="22" t="s">
        <v>1967</v>
      </c>
      <c r="C1219" s="140" t="s">
        <v>1968</v>
      </c>
      <c r="D1219" s="22" t="s">
        <v>1969</v>
      </c>
      <c r="E1219" s="9" t="s">
        <v>1970</v>
      </c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  <c r="AC1219" s="29"/>
      <c r="AD1219" s="29"/>
    </row>
    <row r="1220">
      <c r="A1220" s="16" t="s">
        <v>1960</v>
      </c>
      <c r="B1220" s="22" t="s">
        <v>1967</v>
      </c>
      <c r="C1220" s="140" t="s">
        <v>1968</v>
      </c>
      <c r="D1220" s="22" t="s">
        <v>1969</v>
      </c>
      <c r="E1220" s="9" t="s">
        <v>1970</v>
      </c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  <c r="AC1220" s="29"/>
      <c r="AD1220" s="29"/>
    </row>
    <row r="1221">
      <c r="A1221" s="16" t="s">
        <v>1960</v>
      </c>
      <c r="B1221" s="22" t="s">
        <v>1967</v>
      </c>
      <c r="C1221" s="140" t="s">
        <v>1968</v>
      </c>
      <c r="D1221" s="22" t="s">
        <v>1969</v>
      </c>
      <c r="E1221" s="9" t="s">
        <v>1970</v>
      </c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  <c r="AC1221" s="29"/>
      <c r="AD1221" s="29"/>
    </row>
    <row r="1222">
      <c r="A1222" s="16" t="s">
        <v>1960</v>
      </c>
      <c r="B1222" s="22" t="s">
        <v>1967</v>
      </c>
      <c r="C1222" s="140" t="s">
        <v>1968</v>
      </c>
      <c r="D1222" s="22" t="s">
        <v>1969</v>
      </c>
      <c r="E1222" s="9" t="s">
        <v>1970</v>
      </c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  <c r="AC1222" s="29"/>
      <c r="AD1222" s="29"/>
    </row>
    <row r="1223">
      <c r="A1223" s="29"/>
      <c r="B1223" s="35"/>
      <c r="C1223" s="29"/>
      <c r="D1223" s="29"/>
      <c r="E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  <c r="AC1223" s="29"/>
      <c r="AD1223" s="29"/>
    </row>
    <row r="1224">
      <c r="A1224" s="29"/>
      <c r="B1224" s="35"/>
      <c r="C1224" s="29"/>
      <c r="D1224" s="29"/>
      <c r="E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  <c r="AC1224" s="29"/>
      <c r="AD1224" s="29"/>
    </row>
    <row r="1225">
      <c r="A1225" s="16" t="s">
        <v>1971</v>
      </c>
      <c r="B1225" s="22" t="s">
        <v>1972</v>
      </c>
      <c r="C1225" s="140" t="s">
        <v>1973</v>
      </c>
      <c r="D1225" s="22" t="s">
        <v>1974</v>
      </c>
      <c r="E1225" s="137" t="s">
        <v>1201</v>
      </c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  <c r="AC1225" s="29"/>
      <c r="AD1225" s="29"/>
    </row>
    <row r="1226">
      <c r="A1226" s="16" t="s">
        <v>1971</v>
      </c>
      <c r="B1226" s="22" t="s">
        <v>1392</v>
      </c>
      <c r="C1226" s="140" t="s">
        <v>1975</v>
      </c>
      <c r="D1226" s="22" t="s">
        <v>1976</v>
      </c>
      <c r="E1226" s="132" t="s">
        <v>1977</v>
      </c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  <c r="AC1226" s="29"/>
      <c r="AD1226" s="29"/>
    </row>
    <row r="1227">
      <c r="A1227" s="16" t="s">
        <v>1971</v>
      </c>
      <c r="B1227" s="22" t="s">
        <v>1392</v>
      </c>
      <c r="C1227" s="140" t="s">
        <v>1975</v>
      </c>
      <c r="D1227" s="22" t="s">
        <v>1978</v>
      </c>
      <c r="E1227" s="132" t="s">
        <v>1977</v>
      </c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  <c r="AC1227" s="29"/>
      <c r="AD1227" s="29"/>
    </row>
    <row r="1228">
      <c r="A1228" s="29"/>
      <c r="B1228" s="35"/>
      <c r="C1228" s="29"/>
      <c r="D1228" s="29"/>
      <c r="E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  <c r="AC1228" s="29"/>
      <c r="AD1228" s="29"/>
    </row>
    <row r="1229">
      <c r="A1229" s="29"/>
      <c r="B1229" s="35"/>
      <c r="C1229" s="29"/>
      <c r="D1229" s="29"/>
      <c r="E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  <c r="AC1229" s="29"/>
      <c r="AD1229" s="29"/>
    </row>
    <row r="1230">
      <c r="A1230" s="16" t="s">
        <v>1979</v>
      </c>
      <c r="B1230" s="22" t="s">
        <v>1980</v>
      </c>
      <c r="C1230" s="140" t="s">
        <v>1981</v>
      </c>
      <c r="D1230" s="22" t="s">
        <v>1982</v>
      </c>
      <c r="E1230" s="132" t="s">
        <v>1479</v>
      </c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  <c r="AC1230" s="29"/>
      <c r="AD1230" s="29"/>
    </row>
    <row r="1231">
      <c r="A1231" s="16" t="s">
        <v>1979</v>
      </c>
      <c r="B1231" s="22" t="s">
        <v>1980</v>
      </c>
      <c r="C1231" s="140" t="s">
        <v>1983</v>
      </c>
      <c r="D1231" s="22" t="s">
        <v>1984</v>
      </c>
      <c r="E1231" s="149" t="s">
        <v>1479</v>
      </c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9"/>
      <c r="AD1231" s="29"/>
    </row>
    <row r="1232">
      <c r="A1232" s="16" t="s">
        <v>1979</v>
      </c>
      <c r="B1232" s="22" t="s">
        <v>1985</v>
      </c>
      <c r="C1232" s="140" t="s">
        <v>1986</v>
      </c>
      <c r="D1232" s="22" t="s">
        <v>1987</v>
      </c>
      <c r="E1232" s="149" t="s">
        <v>1977</v>
      </c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  <c r="AC1232" s="29"/>
      <c r="AD1232" s="29"/>
    </row>
    <row r="1233">
      <c r="A1233" s="29"/>
      <c r="B1233" s="35"/>
      <c r="C1233" s="29"/>
      <c r="D1233" s="29"/>
      <c r="E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  <c r="AC1233" s="29"/>
      <c r="AD1233" s="29"/>
    </row>
    <row r="1234">
      <c r="A1234" s="29"/>
      <c r="B1234" s="35"/>
      <c r="C1234" s="29"/>
      <c r="D1234" s="29"/>
      <c r="E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  <c r="AC1234" s="29"/>
      <c r="AD1234" s="29"/>
    </row>
    <row r="1235">
      <c r="A1235" s="16" t="s">
        <v>1988</v>
      </c>
      <c r="B1235" s="22" t="s">
        <v>1989</v>
      </c>
      <c r="C1235" s="140" t="s">
        <v>1990</v>
      </c>
      <c r="D1235" s="22" t="s">
        <v>1991</v>
      </c>
      <c r="E1235" s="9" t="s">
        <v>14</v>
      </c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  <c r="AC1235" s="29"/>
      <c r="AD1235" s="29"/>
    </row>
    <row r="1236">
      <c r="A1236" s="16" t="s">
        <v>1988</v>
      </c>
      <c r="B1236" s="22" t="s">
        <v>1989</v>
      </c>
      <c r="C1236" s="140" t="s">
        <v>1990</v>
      </c>
      <c r="D1236" s="22" t="s">
        <v>1992</v>
      </c>
      <c r="E1236" s="9" t="s">
        <v>14</v>
      </c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9"/>
      <c r="AD1236" s="29"/>
    </row>
    <row r="1237">
      <c r="A1237" s="16" t="s">
        <v>1988</v>
      </c>
      <c r="B1237" s="22" t="s">
        <v>1989</v>
      </c>
      <c r="C1237" s="140" t="s">
        <v>1990</v>
      </c>
      <c r="D1237" s="22" t="s">
        <v>1993</v>
      </c>
      <c r="E1237" s="9" t="s">
        <v>14</v>
      </c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  <c r="AC1237" s="29"/>
      <c r="AD1237" s="29"/>
    </row>
    <row r="1238">
      <c r="A1238" s="16" t="s">
        <v>1988</v>
      </c>
      <c r="B1238" s="22" t="s">
        <v>1989</v>
      </c>
      <c r="C1238" s="140" t="s">
        <v>1990</v>
      </c>
      <c r="D1238" s="22" t="s">
        <v>1994</v>
      </c>
      <c r="E1238" s="9" t="s">
        <v>14</v>
      </c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  <c r="AC1238" s="29"/>
      <c r="AD1238" s="29"/>
    </row>
    <row r="1239">
      <c r="A1239" s="29"/>
      <c r="B1239" s="35"/>
      <c r="C1239" s="29"/>
      <c r="D1239" s="29"/>
      <c r="E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  <c r="AC1239" s="29"/>
      <c r="AD1239" s="29"/>
    </row>
    <row r="1240">
      <c r="A1240" s="29"/>
      <c r="B1240" s="35"/>
      <c r="C1240" s="29"/>
      <c r="D1240" s="29"/>
      <c r="E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  <c r="AC1240" s="29"/>
      <c r="AD1240" s="29"/>
    </row>
    <row r="1241">
      <c r="A1241" s="16" t="s">
        <v>1995</v>
      </c>
      <c r="B1241" s="22" t="s">
        <v>1996</v>
      </c>
      <c r="C1241" s="140" t="s">
        <v>1997</v>
      </c>
      <c r="D1241" s="22" t="s">
        <v>1998</v>
      </c>
      <c r="E1241" s="9" t="s">
        <v>1999</v>
      </c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  <c r="AC1241" s="29"/>
      <c r="AD1241" s="29"/>
    </row>
    <row r="1242">
      <c r="A1242" s="16" t="s">
        <v>1995</v>
      </c>
      <c r="B1242" s="22" t="s">
        <v>1996</v>
      </c>
      <c r="C1242" s="140" t="s">
        <v>2000</v>
      </c>
      <c r="D1242" s="22" t="s">
        <v>1998</v>
      </c>
      <c r="E1242" s="9" t="s">
        <v>1999</v>
      </c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  <c r="AC1242" s="29"/>
      <c r="AD1242" s="29"/>
    </row>
    <row r="1243">
      <c r="A1243" s="16" t="s">
        <v>1995</v>
      </c>
      <c r="B1243" s="22" t="s">
        <v>1996</v>
      </c>
      <c r="C1243" s="140" t="s">
        <v>2001</v>
      </c>
      <c r="D1243" s="22" t="s">
        <v>1998</v>
      </c>
      <c r="E1243" s="9" t="s">
        <v>1999</v>
      </c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  <c r="AC1243" s="29"/>
      <c r="AD1243" s="29"/>
    </row>
    <row r="1244">
      <c r="A1244" s="16" t="s">
        <v>1995</v>
      </c>
      <c r="B1244" s="22" t="s">
        <v>2002</v>
      </c>
      <c r="C1244" s="140" t="s">
        <v>2003</v>
      </c>
      <c r="D1244" s="22" t="s">
        <v>2004</v>
      </c>
      <c r="E1244" s="9" t="s">
        <v>1958</v>
      </c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  <c r="AC1244" s="29"/>
      <c r="AD1244" s="29"/>
    </row>
    <row r="1245">
      <c r="A1245" s="16" t="s">
        <v>1995</v>
      </c>
      <c r="B1245" s="22" t="s">
        <v>2002</v>
      </c>
      <c r="C1245" s="140" t="s">
        <v>2005</v>
      </c>
      <c r="D1245" s="22" t="s">
        <v>2006</v>
      </c>
      <c r="E1245" s="9" t="s">
        <v>1958</v>
      </c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9"/>
      <c r="AD1245" s="29"/>
    </row>
    <row r="1246">
      <c r="A1246" s="16" t="s">
        <v>1995</v>
      </c>
      <c r="B1246" s="22" t="s">
        <v>2002</v>
      </c>
      <c r="C1246" s="140" t="s">
        <v>2007</v>
      </c>
      <c r="D1246" s="22" t="s">
        <v>2008</v>
      </c>
      <c r="E1246" s="9" t="s">
        <v>1958</v>
      </c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</row>
    <row r="1247">
      <c r="A1247" s="16" t="s">
        <v>1995</v>
      </c>
      <c r="B1247" s="22" t="s">
        <v>2002</v>
      </c>
      <c r="C1247" s="140" t="s">
        <v>2005</v>
      </c>
      <c r="D1247" s="22" t="s">
        <v>2009</v>
      </c>
      <c r="E1247" s="9" t="s">
        <v>1958</v>
      </c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  <c r="AC1247" s="29"/>
      <c r="AD1247" s="29"/>
    </row>
    <row r="1248">
      <c r="A1248" s="29"/>
      <c r="B1248" s="35"/>
      <c r="C1248" s="29"/>
      <c r="D1248" s="29"/>
      <c r="E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9"/>
      <c r="AD1248" s="29"/>
    </row>
    <row r="1249">
      <c r="A1249" s="29"/>
      <c r="B1249" s="35"/>
      <c r="C1249" s="29"/>
      <c r="D1249" s="29"/>
      <c r="E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9"/>
      <c r="AD1249" s="29"/>
    </row>
    <row r="1250">
      <c r="A1250" s="16" t="s">
        <v>2010</v>
      </c>
      <c r="B1250" s="22" t="s">
        <v>2011</v>
      </c>
      <c r="C1250" s="140" t="s">
        <v>2012</v>
      </c>
      <c r="D1250" s="22" t="s">
        <v>2013</v>
      </c>
      <c r="E1250" s="9" t="s">
        <v>1524</v>
      </c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  <c r="AC1250" s="29"/>
      <c r="AD1250" s="29"/>
    </row>
    <row r="1251">
      <c r="A1251" s="16" t="s">
        <v>2010</v>
      </c>
      <c r="B1251" s="22" t="s">
        <v>2011</v>
      </c>
      <c r="C1251" s="140" t="s">
        <v>2014</v>
      </c>
      <c r="D1251" s="22" t="s">
        <v>2015</v>
      </c>
      <c r="E1251" s="9" t="s">
        <v>1524</v>
      </c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  <c r="AC1251" s="29"/>
      <c r="AD1251" s="29"/>
    </row>
    <row r="1252">
      <c r="A1252" s="16" t="s">
        <v>2010</v>
      </c>
      <c r="B1252" s="22" t="s">
        <v>2011</v>
      </c>
      <c r="C1252" s="140" t="s">
        <v>2016</v>
      </c>
      <c r="D1252" s="22" t="s">
        <v>2017</v>
      </c>
      <c r="E1252" s="9" t="s">
        <v>1524</v>
      </c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  <c r="AC1252" s="29"/>
      <c r="AD1252" s="29"/>
    </row>
    <row r="1253">
      <c r="A1253" s="29"/>
      <c r="B1253" s="35"/>
      <c r="C1253" s="29"/>
      <c r="D1253" s="29"/>
      <c r="E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9"/>
      <c r="AD1253" s="29"/>
    </row>
    <row r="1254">
      <c r="A1254" s="29"/>
      <c r="B1254" s="35"/>
      <c r="C1254" s="29"/>
      <c r="D1254" s="29"/>
      <c r="E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  <c r="AC1254" s="29"/>
      <c r="AD1254" s="29"/>
    </row>
    <row r="1255">
      <c r="A1255" s="16" t="s">
        <v>2018</v>
      </c>
      <c r="B1255" s="22" t="s">
        <v>2019</v>
      </c>
      <c r="C1255" s="140" t="s">
        <v>2020</v>
      </c>
      <c r="D1255" s="22" t="s">
        <v>2021</v>
      </c>
      <c r="E1255" s="132" t="s">
        <v>1074</v>
      </c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9"/>
      <c r="AD1255" s="29"/>
    </row>
    <row r="1256">
      <c r="A1256" s="29"/>
      <c r="B1256" s="35"/>
      <c r="C1256" s="29"/>
      <c r="D1256" s="29"/>
      <c r="E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  <c r="AC1256" s="29"/>
      <c r="AD1256" s="29"/>
    </row>
    <row r="1257">
      <c r="A1257" s="29"/>
      <c r="B1257" s="35"/>
      <c r="C1257" s="29"/>
      <c r="D1257" s="29"/>
      <c r="E1257" s="29"/>
      <c r="G1257" s="29"/>
      <c r="H1257" s="29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9"/>
      <c r="AD1257" s="29"/>
    </row>
    <row r="1258">
      <c r="A1258" s="16" t="s">
        <v>2022</v>
      </c>
      <c r="B1258" s="22" t="s">
        <v>2023</v>
      </c>
      <c r="C1258" s="140" t="s">
        <v>1582</v>
      </c>
      <c r="D1258" s="22" t="s">
        <v>1998</v>
      </c>
      <c r="E1258" s="72" t="s">
        <v>196</v>
      </c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</row>
    <row r="1259">
      <c r="A1259" s="16" t="s">
        <v>2022</v>
      </c>
      <c r="B1259" s="22" t="s">
        <v>2019</v>
      </c>
      <c r="C1259" s="140" t="s">
        <v>2024</v>
      </c>
      <c r="D1259" s="22" t="s">
        <v>2025</v>
      </c>
      <c r="E1259" s="132" t="s">
        <v>1479</v>
      </c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/>
    </row>
    <row r="1260">
      <c r="A1260" s="29"/>
      <c r="B1260" s="35"/>
      <c r="C1260" s="29"/>
      <c r="D1260" s="29"/>
      <c r="E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</row>
    <row r="1261">
      <c r="A1261" s="29"/>
      <c r="B1261" s="35"/>
      <c r="C1261" s="29"/>
      <c r="D1261" s="29"/>
      <c r="E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9"/>
      <c r="AD1261" s="29"/>
    </row>
    <row r="1262">
      <c r="A1262" s="16" t="s">
        <v>2026</v>
      </c>
      <c r="B1262" s="22" t="s">
        <v>2027</v>
      </c>
      <c r="C1262" s="140" t="s">
        <v>2028</v>
      </c>
      <c r="D1262" s="22" t="s">
        <v>1998</v>
      </c>
      <c r="E1262" s="72" t="s">
        <v>196</v>
      </c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  <c r="AC1262" s="29"/>
      <c r="AD1262" s="29"/>
    </row>
    <row r="1263">
      <c r="A1263" s="16" t="s">
        <v>2026</v>
      </c>
      <c r="B1263" s="22" t="s">
        <v>2027</v>
      </c>
      <c r="C1263" s="140" t="s">
        <v>1350</v>
      </c>
      <c r="D1263" s="22" t="s">
        <v>1998</v>
      </c>
      <c r="E1263" s="72" t="s">
        <v>196</v>
      </c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  <c r="AC1263" s="29"/>
      <c r="AD1263" s="29"/>
    </row>
    <row r="1264">
      <c r="A1264" s="16" t="s">
        <v>2026</v>
      </c>
      <c r="B1264" s="22" t="s">
        <v>2027</v>
      </c>
      <c r="C1264" s="140" t="s">
        <v>168</v>
      </c>
      <c r="D1264" s="22" t="s">
        <v>1998</v>
      </c>
      <c r="E1264" s="72" t="s">
        <v>196</v>
      </c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  <c r="AC1264" s="29"/>
      <c r="AD1264" s="29"/>
    </row>
    <row r="1265">
      <c r="A1265" s="16" t="s">
        <v>2026</v>
      </c>
      <c r="B1265" s="22" t="s">
        <v>2027</v>
      </c>
      <c r="C1265" s="140" t="s">
        <v>2029</v>
      </c>
      <c r="D1265" s="22" t="s">
        <v>1998</v>
      </c>
      <c r="E1265" s="72" t="s">
        <v>196</v>
      </c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  <c r="AC1265" s="29"/>
      <c r="AD1265" s="29"/>
    </row>
    <row r="1266">
      <c r="A1266" s="29"/>
      <c r="B1266" s="35"/>
      <c r="C1266" s="29"/>
      <c r="D1266" s="29"/>
      <c r="E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9"/>
      <c r="AD1266" s="29"/>
    </row>
    <row r="1267">
      <c r="A1267" s="29"/>
      <c r="B1267" s="35"/>
      <c r="C1267" s="29"/>
      <c r="D1267" s="29"/>
      <c r="E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  <c r="AC1267" s="29"/>
      <c r="AD1267" s="29"/>
    </row>
    <row r="1268">
      <c r="A1268" s="16" t="s">
        <v>2030</v>
      </c>
      <c r="B1268" s="22" t="s">
        <v>2023</v>
      </c>
      <c r="C1268" s="140" t="s">
        <v>2031</v>
      </c>
      <c r="D1268" s="22" t="s">
        <v>1998</v>
      </c>
      <c r="E1268" s="72" t="s">
        <v>196</v>
      </c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9"/>
      <c r="AD1268" s="29"/>
    </row>
    <row r="1269">
      <c r="A1269" s="29"/>
      <c r="B1269" s="35"/>
      <c r="C1269" s="29"/>
      <c r="D1269" s="29"/>
      <c r="E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  <c r="AC1269" s="29"/>
      <c r="AD1269" s="29"/>
    </row>
    <row r="1270">
      <c r="A1270" s="29"/>
      <c r="B1270" s="35"/>
      <c r="C1270" s="29"/>
      <c r="D1270" s="29"/>
      <c r="E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  <c r="AC1270" s="29"/>
      <c r="AD1270" s="29"/>
    </row>
    <row r="1271">
      <c r="A1271" s="16" t="s">
        <v>2032</v>
      </c>
      <c r="B1271" s="22" t="s">
        <v>2033</v>
      </c>
      <c r="C1271" s="140" t="s">
        <v>2034</v>
      </c>
      <c r="D1271" s="22" t="s">
        <v>2035</v>
      </c>
      <c r="E1271" s="132" t="s">
        <v>14</v>
      </c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  <c r="AC1271" s="29"/>
      <c r="AD1271" s="29"/>
    </row>
    <row r="1272">
      <c r="A1272" s="29"/>
      <c r="B1272" s="35"/>
      <c r="C1272" s="29"/>
      <c r="D1272" s="29"/>
      <c r="E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  <c r="AC1272" s="29"/>
      <c r="AD1272" s="29"/>
    </row>
    <row r="1273">
      <c r="A1273" s="29"/>
      <c r="B1273" s="35"/>
      <c r="C1273" s="29"/>
      <c r="D1273" s="29"/>
      <c r="E1273" s="29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  <c r="AC1273" s="29"/>
      <c r="AD1273" s="29"/>
    </row>
    <row r="1274">
      <c r="A1274" s="16" t="s">
        <v>2036</v>
      </c>
      <c r="B1274" s="22" t="s">
        <v>2033</v>
      </c>
      <c r="C1274" s="140" t="s">
        <v>734</v>
      </c>
      <c r="D1274" s="22" t="s">
        <v>2037</v>
      </c>
      <c r="E1274" s="9" t="s">
        <v>14</v>
      </c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9"/>
      <c r="AD1274" s="29"/>
    </row>
    <row r="1275">
      <c r="A1275" s="16" t="s">
        <v>2036</v>
      </c>
      <c r="B1275" s="22" t="s">
        <v>2033</v>
      </c>
      <c r="C1275" s="140" t="s">
        <v>2038</v>
      </c>
      <c r="D1275" s="22" t="s">
        <v>2039</v>
      </c>
      <c r="E1275" s="9" t="s">
        <v>14</v>
      </c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  <c r="AC1275" s="29"/>
      <c r="AD1275" s="29"/>
    </row>
    <row r="1276">
      <c r="A1276" s="29"/>
      <c r="B1276" s="35"/>
      <c r="C1276" s="29"/>
      <c r="D1276" s="29"/>
      <c r="E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9"/>
      <c r="AD1276" s="29"/>
    </row>
    <row r="1277">
      <c r="A1277" s="29"/>
      <c r="B1277" s="35"/>
      <c r="C1277" s="29"/>
      <c r="D1277" s="29"/>
      <c r="E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  <c r="AC1277" s="29"/>
      <c r="AD1277" s="29"/>
    </row>
    <row r="1278">
      <c r="A1278" s="16" t="s">
        <v>2040</v>
      </c>
      <c r="B1278" s="22" t="s">
        <v>2041</v>
      </c>
      <c r="C1278" s="140" t="s">
        <v>449</v>
      </c>
      <c r="D1278" s="22" t="s">
        <v>2042</v>
      </c>
      <c r="E1278" s="132" t="s">
        <v>1201</v>
      </c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29"/>
      <c r="AD1278" s="29"/>
    </row>
    <row r="1279">
      <c r="A1279" s="29"/>
      <c r="B1279" s="35"/>
      <c r="C1279" s="29"/>
      <c r="D1279" s="29"/>
      <c r="E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  <c r="AC1279" s="29"/>
      <c r="AD1279" s="29"/>
    </row>
    <row r="1280">
      <c r="A1280" s="29"/>
      <c r="B1280" s="35"/>
      <c r="C1280" s="29"/>
      <c r="D1280" s="29"/>
      <c r="E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29"/>
      <c r="AD1280" s="29"/>
    </row>
    <row r="1281">
      <c r="A1281" s="16" t="s">
        <v>2043</v>
      </c>
      <c r="B1281" s="22" t="s">
        <v>1980</v>
      </c>
      <c r="C1281" s="140" t="s">
        <v>2044</v>
      </c>
      <c r="D1281" s="22" t="s">
        <v>2045</v>
      </c>
      <c r="E1281" s="132" t="s">
        <v>1479</v>
      </c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9"/>
      <c r="AD1281" s="29"/>
    </row>
    <row r="1282">
      <c r="A1282" s="29"/>
      <c r="B1282" s="35"/>
      <c r="C1282" s="29"/>
      <c r="D1282" s="29"/>
      <c r="E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9"/>
      <c r="AD1282" s="29"/>
    </row>
    <row r="1283">
      <c r="A1283" s="29"/>
      <c r="B1283" s="35"/>
      <c r="C1283" s="29"/>
      <c r="D1283" s="29"/>
      <c r="E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  <c r="AC1283" s="29"/>
      <c r="AD1283" s="29"/>
    </row>
    <row r="1284">
      <c r="A1284" s="16" t="s">
        <v>2046</v>
      </c>
      <c r="B1284" s="22" t="s">
        <v>2033</v>
      </c>
      <c r="C1284" s="140" t="s">
        <v>2047</v>
      </c>
      <c r="D1284" s="22" t="s">
        <v>2048</v>
      </c>
      <c r="E1284" s="132" t="s">
        <v>1479</v>
      </c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  <c r="AC1284" s="29"/>
      <c r="AD1284" s="29"/>
    </row>
    <row r="1285">
      <c r="A1285" s="29"/>
      <c r="B1285" s="35"/>
      <c r="C1285" s="29"/>
      <c r="D1285" s="29"/>
      <c r="E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</row>
    <row r="1286">
      <c r="A1286" s="29"/>
      <c r="B1286" s="35"/>
      <c r="C1286" s="29"/>
      <c r="D1286" s="29"/>
      <c r="E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</row>
    <row r="1287">
      <c r="A1287" s="16" t="s">
        <v>2049</v>
      </c>
      <c r="B1287" s="22" t="s">
        <v>2050</v>
      </c>
      <c r="C1287" s="140" t="s">
        <v>2051</v>
      </c>
      <c r="D1287" s="22" t="s">
        <v>2052</v>
      </c>
      <c r="E1287" s="132" t="s">
        <v>1074</v>
      </c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  <c r="AC1287" s="29"/>
      <c r="AD1287" s="29"/>
    </row>
    <row r="1288">
      <c r="A1288" s="29"/>
      <c r="B1288" s="35"/>
      <c r="C1288" s="29"/>
      <c r="D1288" s="29"/>
      <c r="E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  <c r="AC1288" s="29"/>
      <c r="AD1288" s="29"/>
    </row>
    <row r="1289">
      <c r="A1289" s="29"/>
      <c r="B1289" s="35"/>
      <c r="C1289" s="29"/>
      <c r="D1289" s="29"/>
      <c r="E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  <c r="AC1289" s="29"/>
      <c r="AD1289" s="29"/>
    </row>
    <row r="1290">
      <c r="A1290" s="16" t="s">
        <v>2053</v>
      </c>
      <c r="B1290" s="22" t="s">
        <v>2050</v>
      </c>
      <c r="C1290" s="140" t="s">
        <v>2051</v>
      </c>
      <c r="D1290" s="22" t="s">
        <v>2054</v>
      </c>
      <c r="E1290" s="132" t="s">
        <v>1074</v>
      </c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29"/>
      <c r="AD1290" s="29"/>
    </row>
    <row r="1291">
      <c r="A1291" s="16" t="s">
        <v>2053</v>
      </c>
      <c r="B1291" s="22" t="s">
        <v>2050</v>
      </c>
      <c r="C1291" s="140" t="s">
        <v>2055</v>
      </c>
      <c r="D1291" s="22" t="s">
        <v>2056</v>
      </c>
      <c r="E1291" s="132" t="s">
        <v>14</v>
      </c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  <c r="AC1291" s="29"/>
      <c r="AD1291" s="29"/>
    </row>
    <row r="1292">
      <c r="A1292" s="16" t="s">
        <v>2053</v>
      </c>
      <c r="B1292" s="22" t="s">
        <v>2050</v>
      </c>
      <c r="C1292" s="140" t="s">
        <v>2051</v>
      </c>
      <c r="D1292" s="22" t="s">
        <v>2057</v>
      </c>
      <c r="E1292" s="9" t="s">
        <v>1958</v>
      </c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9"/>
      <c r="AD1292" s="29"/>
    </row>
    <row r="1293">
      <c r="A1293" s="16" t="s">
        <v>2053</v>
      </c>
      <c r="B1293" s="22" t="s">
        <v>2050</v>
      </c>
      <c r="C1293" s="140" t="s">
        <v>2058</v>
      </c>
      <c r="D1293" s="22" t="s">
        <v>2059</v>
      </c>
      <c r="E1293" s="9" t="s">
        <v>2060</v>
      </c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  <c r="AC1293" s="29"/>
      <c r="AD1293" s="29"/>
    </row>
    <row r="1294">
      <c r="A1294" s="16" t="s">
        <v>2053</v>
      </c>
      <c r="B1294" s="22" t="s">
        <v>2050</v>
      </c>
      <c r="C1294" s="140" t="s">
        <v>2051</v>
      </c>
      <c r="D1294" s="22" t="s">
        <v>2061</v>
      </c>
      <c r="E1294" s="9" t="s">
        <v>1958</v>
      </c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  <c r="AC1294" s="29"/>
      <c r="AD1294" s="29"/>
    </row>
    <row r="1295">
      <c r="A1295" s="16" t="s">
        <v>2053</v>
      </c>
      <c r="B1295" s="22" t="s">
        <v>2050</v>
      </c>
      <c r="C1295" s="140" t="s">
        <v>2051</v>
      </c>
      <c r="D1295" s="22" t="s">
        <v>2062</v>
      </c>
      <c r="E1295" s="9" t="s">
        <v>2060</v>
      </c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  <c r="AC1295" s="29"/>
      <c r="AD1295" s="29"/>
    </row>
    <row r="1296">
      <c r="A1296" s="16" t="s">
        <v>2053</v>
      </c>
      <c r="B1296" s="22" t="s">
        <v>2063</v>
      </c>
      <c r="C1296" s="140" t="s">
        <v>2064</v>
      </c>
      <c r="D1296" s="22" t="s">
        <v>2065</v>
      </c>
      <c r="E1296" s="132" t="s">
        <v>1479</v>
      </c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  <c r="AC1296" s="29"/>
      <c r="AD1296" s="29"/>
    </row>
    <row r="1297">
      <c r="A1297" s="29"/>
      <c r="B1297" s="35"/>
      <c r="C1297" s="29"/>
      <c r="D1297" s="29"/>
      <c r="E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  <c r="AC1297" s="29"/>
      <c r="AD1297" s="29"/>
    </row>
    <row r="1298">
      <c r="A1298" s="29"/>
      <c r="B1298" s="35"/>
      <c r="C1298" s="29"/>
      <c r="D1298" s="29"/>
      <c r="E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9"/>
      <c r="AD1298" s="29"/>
    </row>
    <row r="1299">
      <c r="A1299" s="16" t="s">
        <v>2066</v>
      </c>
      <c r="B1299" s="22" t="s">
        <v>2067</v>
      </c>
      <c r="C1299" s="140" t="s">
        <v>2051</v>
      </c>
      <c r="D1299" s="22" t="s">
        <v>2061</v>
      </c>
      <c r="E1299" s="9" t="s">
        <v>1479</v>
      </c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9"/>
      <c r="AD1299" s="29"/>
    </row>
    <row r="1300">
      <c r="A1300" s="16" t="s">
        <v>2066</v>
      </c>
      <c r="B1300" s="22" t="s">
        <v>2067</v>
      </c>
      <c r="C1300" s="140" t="s">
        <v>2058</v>
      </c>
      <c r="D1300" s="22" t="s">
        <v>2068</v>
      </c>
      <c r="E1300" s="9" t="s">
        <v>1479</v>
      </c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9"/>
      <c r="AD1300" s="29"/>
    </row>
    <row r="1301">
      <c r="A1301" s="16" t="s">
        <v>2066</v>
      </c>
      <c r="B1301" s="22" t="s">
        <v>2067</v>
      </c>
      <c r="C1301" s="140" t="s">
        <v>2069</v>
      </c>
      <c r="D1301" s="22" t="s">
        <v>2070</v>
      </c>
      <c r="E1301" s="9" t="s">
        <v>1479</v>
      </c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  <c r="AC1301" s="29"/>
      <c r="AD1301" s="29"/>
    </row>
    <row r="1302">
      <c r="A1302" s="16" t="s">
        <v>2066</v>
      </c>
      <c r="B1302" s="22" t="s">
        <v>2067</v>
      </c>
      <c r="C1302" s="140" t="s">
        <v>2051</v>
      </c>
      <c r="D1302" s="22" t="s">
        <v>2071</v>
      </c>
      <c r="E1302" s="9" t="s">
        <v>1479</v>
      </c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9"/>
      <c r="AD1302" s="29"/>
    </row>
    <row r="1303">
      <c r="A1303" s="16" t="s">
        <v>2066</v>
      </c>
      <c r="B1303" s="22" t="s">
        <v>2072</v>
      </c>
      <c r="C1303" s="140" t="s">
        <v>2073</v>
      </c>
      <c r="D1303" s="22" t="s">
        <v>2074</v>
      </c>
      <c r="E1303" s="72" t="s">
        <v>196</v>
      </c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9"/>
      <c r="AD1303" s="29"/>
    </row>
    <row r="1304">
      <c r="A1304" s="29"/>
      <c r="B1304" s="35"/>
      <c r="C1304" s="29"/>
      <c r="D1304" s="29"/>
      <c r="E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9"/>
      <c r="AD1304" s="29"/>
    </row>
    <row r="1305">
      <c r="A1305" s="29"/>
      <c r="B1305" s="35"/>
      <c r="C1305" s="29"/>
      <c r="D1305" s="29"/>
      <c r="E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9"/>
      <c r="AD1305" s="29"/>
    </row>
    <row r="1306">
      <c r="A1306" s="16" t="s">
        <v>2075</v>
      </c>
      <c r="B1306" s="22" t="s">
        <v>2076</v>
      </c>
      <c r="C1306" s="140" t="s">
        <v>2077</v>
      </c>
      <c r="D1306" s="22" t="s">
        <v>2078</v>
      </c>
      <c r="E1306" s="72" t="s">
        <v>196</v>
      </c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</row>
    <row r="1307">
      <c r="A1307" s="29"/>
      <c r="B1307" s="35"/>
      <c r="C1307" s="29"/>
      <c r="D1307" s="29"/>
      <c r="E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  <c r="AC1307" s="29"/>
      <c r="AD1307" s="29"/>
    </row>
    <row r="1308">
      <c r="A1308" s="29"/>
      <c r="B1308" s="35"/>
      <c r="C1308" s="29"/>
      <c r="D1308" s="29"/>
      <c r="E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  <c r="AC1308" s="29"/>
      <c r="AD1308" s="29"/>
    </row>
    <row r="1309">
      <c r="A1309" s="16" t="s">
        <v>2079</v>
      </c>
      <c r="B1309" s="22" t="s">
        <v>2080</v>
      </c>
      <c r="C1309" s="140" t="s">
        <v>2081</v>
      </c>
      <c r="D1309" s="140" t="s">
        <v>2082</v>
      </c>
      <c r="E1309" s="9" t="s">
        <v>1622</v>
      </c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</row>
    <row r="1310">
      <c r="A1310" s="16" t="s">
        <v>2079</v>
      </c>
      <c r="B1310" s="22" t="s">
        <v>2080</v>
      </c>
      <c r="C1310" s="140" t="s">
        <v>2051</v>
      </c>
      <c r="D1310" s="140" t="s">
        <v>2083</v>
      </c>
      <c r="E1310" s="9" t="s">
        <v>1622</v>
      </c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  <c r="AC1310" s="29"/>
      <c r="AD1310" s="29"/>
    </row>
    <row r="1311">
      <c r="A1311" s="16" t="s">
        <v>2079</v>
      </c>
      <c r="B1311" s="22" t="s">
        <v>2080</v>
      </c>
      <c r="C1311" s="140" t="s">
        <v>2051</v>
      </c>
      <c r="D1311" s="140" t="s">
        <v>2084</v>
      </c>
      <c r="E1311" s="9" t="s">
        <v>1622</v>
      </c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</row>
    <row r="1312">
      <c r="A1312" s="16" t="s">
        <v>2079</v>
      </c>
      <c r="B1312" s="22" t="s">
        <v>2080</v>
      </c>
      <c r="C1312" s="140" t="s">
        <v>2051</v>
      </c>
      <c r="D1312" s="140" t="s">
        <v>2068</v>
      </c>
      <c r="E1312" s="9" t="s">
        <v>1622</v>
      </c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  <c r="AC1312" s="29"/>
      <c r="AD1312" s="29"/>
    </row>
    <row r="1313">
      <c r="A1313" s="16" t="s">
        <v>2079</v>
      </c>
      <c r="B1313" s="22" t="s">
        <v>2033</v>
      </c>
      <c r="C1313" s="140" t="s">
        <v>2085</v>
      </c>
      <c r="D1313" s="22" t="s">
        <v>2086</v>
      </c>
      <c r="E1313" s="132" t="s">
        <v>1479</v>
      </c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</row>
    <row r="1314"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9"/>
      <c r="AD1314" s="29"/>
    </row>
    <row r="1315"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  <c r="AC1315" s="29"/>
      <c r="AD1315" s="29"/>
    </row>
    <row r="1316">
      <c r="A1316" s="16" t="s">
        <v>2087</v>
      </c>
      <c r="B1316" s="22" t="s">
        <v>2080</v>
      </c>
      <c r="C1316" s="140" t="s">
        <v>2088</v>
      </c>
      <c r="D1316" s="22" t="s">
        <v>905</v>
      </c>
      <c r="E1316" s="9" t="s">
        <v>1622</v>
      </c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  <c r="AC1316" s="29"/>
      <c r="AD1316" s="29"/>
    </row>
    <row r="1317">
      <c r="A1317" s="16" t="s">
        <v>2087</v>
      </c>
      <c r="B1317" s="22" t="s">
        <v>2080</v>
      </c>
      <c r="C1317" s="140" t="s">
        <v>2051</v>
      </c>
      <c r="D1317" s="22" t="s">
        <v>2089</v>
      </c>
      <c r="E1317" s="9" t="s">
        <v>1622</v>
      </c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9"/>
      <c r="AD1317" s="29"/>
    </row>
    <row r="1318">
      <c r="A1318" s="16" t="s">
        <v>2087</v>
      </c>
      <c r="B1318" s="22" t="s">
        <v>2080</v>
      </c>
      <c r="C1318" s="140" t="s">
        <v>2051</v>
      </c>
      <c r="D1318" s="22" t="s">
        <v>2090</v>
      </c>
      <c r="E1318" s="9" t="s">
        <v>1622</v>
      </c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  <c r="AC1318" s="29"/>
      <c r="AD1318" s="29"/>
    </row>
    <row r="1319">
      <c r="A1319" s="16" t="s">
        <v>2087</v>
      </c>
      <c r="B1319" s="22" t="s">
        <v>2080</v>
      </c>
      <c r="C1319" s="140" t="s">
        <v>2051</v>
      </c>
      <c r="D1319" s="22" t="s">
        <v>2091</v>
      </c>
      <c r="E1319" s="9" t="s">
        <v>1622</v>
      </c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  <c r="AC1319" s="29"/>
      <c r="AD1319" s="29"/>
    </row>
    <row r="1320">
      <c r="A1320" s="16" t="s">
        <v>2087</v>
      </c>
      <c r="B1320" s="22" t="s">
        <v>2080</v>
      </c>
      <c r="C1320" s="140" t="s">
        <v>2081</v>
      </c>
      <c r="D1320" s="22" t="s">
        <v>2092</v>
      </c>
      <c r="E1320" s="9" t="s">
        <v>1622</v>
      </c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</row>
    <row r="1321">
      <c r="A1321" s="16" t="s">
        <v>2087</v>
      </c>
      <c r="B1321" s="22" t="s">
        <v>2080</v>
      </c>
      <c r="C1321" s="140" t="s">
        <v>2051</v>
      </c>
      <c r="D1321" s="22" t="s">
        <v>2093</v>
      </c>
      <c r="E1321" s="9" t="s">
        <v>1622</v>
      </c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</row>
    <row r="1322">
      <c r="A1322" s="16" t="s">
        <v>2087</v>
      </c>
      <c r="B1322" s="22" t="s">
        <v>2080</v>
      </c>
      <c r="C1322" s="140" t="s">
        <v>2081</v>
      </c>
      <c r="D1322" s="22" t="s">
        <v>2094</v>
      </c>
      <c r="E1322" s="9" t="s">
        <v>1622</v>
      </c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</row>
    <row r="1323">
      <c r="A1323" s="16" t="s">
        <v>2087</v>
      </c>
      <c r="B1323" s="22" t="s">
        <v>2080</v>
      </c>
      <c r="C1323" s="140" t="s">
        <v>2051</v>
      </c>
      <c r="D1323" s="22" t="s">
        <v>2095</v>
      </c>
      <c r="E1323" s="9" t="s">
        <v>1622</v>
      </c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</row>
    <row r="1324"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</row>
    <row r="1325">
      <c r="A1325" s="16" t="s">
        <v>2096</v>
      </c>
      <c r="B1325" s="22" t="s">
        <v>2097</v>
      </c>
      <c r="C1325" s="140" t="s">
        <v>2098</v>
      </c>
      <c r="D1325" s="22" t="s">
        <v>2099</v>
      </c>
      <c r="E1325" s="72" t="s">
        <v>7</v>
      </c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</row>
    <row r="1326">
      <c r="A1326" s="16" t="s">
        <v>2096</v>
      </c>
      <c r="B1326" s="22" t="s">
        <v>2097</v>
      </c>
      <c r="C1326" s="140" t="s">
        <v>2100</v>
      </c>
      <c r="D1326" s="22" t="s">
        <v>2101</v>
      </c>
      <c r="E1326" s="72" t="s">
        <v>7</v>
      </c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</row>
    <row r="1327">
      <c r="A1327" s="16" t="s">
        <v>2096</v>
      </c>
      <c r="B1327" s="22" t="s">
        <v>2097</v>
      </c>
      <c r="C1327" s="140" t="s">
        <v>2098</v>
      </c>
      <c r="D1327" s="22" t="s">
        <v>2102</v>
      </c>
      <c r="E1327" s="72" t="s">
        <v>7</v>
      </c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</row>
    <row r="1328">
      <c r="A1328" s="16" t="s">
        <v>2096</v>
      </c>
      <c r="B1328" s="22" t="s">
        <v>2097</v>
      </c>
      <c r="C1328" s="140" t="s">
        <v>2098</v>
      </c>
      <c r="D1328" s="22" t="s">
        <v>2103</v>
      </c>
      <c r="E1328" s="72" t="s">
        <v>7</v>
      </c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</row>
    <row r="1329"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  <c r="AC1329" s="29"/>
      <c r="AD1329" s="29"/>
    </row>
    <row r="1330">
      <c r="A1330" s="29"/>
      <c r="B1330" s="35"/>
      <c r="C1330" s="29"/>
      <c r="D1330" s="29"/>
      <c r="E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</row>
    <row r="1331">
      <c r="A1331" s="16" t="s">
        <v>2104</v>
      </c>
      <c r="B1331" s="22" t="s">
        <v>2105</v>
      </c>
      <c r="C1331" s="23" t="s">
        <v>2106</v>
      </c>
      <c r="D1331" s="136" t="s">
        <v>2107</v>
      </c>
      <c r="E1331" s="9" t="s">
        <v>2108</v>
      </c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9"/>
      <c r="AD1331" s="29"/>
    </row>
    <row r="1332">
      <c r="A1332" s="16" t="s">
        <v>2104</v>
      </c>
      <c r="B1332" s="22" t="s">
        <v>2105</v>
      </c>
      <c r="C1332" s="23" t="s">
        <v>2109</v>
      </c>
      <c r="D1332" s="136" t="s">
        <v>2110</v>
      </c>
      <c r="E1332" s="9" t="s">
        <v>2108</v>
      </c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  <c r="AC1332" s="29"/>
      <c r="AD1332" s="29"/>
    </row>
    <row r="1333">
      <c r="A1333" s="16" t="s">
        <v>2104</v>
      </c>
      <c r="B1333" s="22" t="s">
        <v>2105</v>
      </c>
      <c r="C1333" s="23" t="s">
        <v>1973</v>
      </c>
      <c r="D1333" s="136" t="s">
        <v>2111</v>
      </c>
      <c r="E1333" s="9" t="s">
        <v>2108</v>
      </c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  <c r="AC1333" s="29"/>
      <c r="AD1333" s="29"/>
    </row>
    <row r="1334">
      <c r="A1334" s="16" t="s">
        <v>2104</v>
      </c>
      <c r="B1334" s="22" t="s">
        <v>2105</v>
      </c>
      <c r="C1334" s="23" t="s">
        <v>2112</v>
      </c>
      <c r="D1334" s="136" t="s">
        <v>2113</v>
      </c>
      <c r="E1334" s="9" t="s">
        <v>2108</v>
      </c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  <c r="AC1334" s="29"/>
      <c r="AD1334" s="29"/>
    </row>
    <row r="1335">
      <c r="A1335" s="16" t="s">
        <v>2104</v>
      </c>
      <c r="B1335" s="22" t="s">
        <v>2105</v>
      </c>
      <c r="C1335" s="23" t="s">
        <v>2114</v>
      </c>
      <c r="D1335" s="136" t="s">
        <v>2115</v>
      </c>
      <c r="E1335" s="9" t="s">
        <v>2108</v>
      </c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9"/>
      <c r="AD1335" s="29"/>
    </row>
    <row r="1336">
      <c r="A1336" s="16" t="s">
        <v>2104</v>
      </c>
      <c r="B1336" s="22" t="s">
        <v>2105</v>
      </c>
      <c r="C1336" s="23" t="s">
        <v>332</v>
      </c>
      <c r="D1336" s="136" t="s">
        <v>1548</v>
      </c>
      <c r="E1336" s="9" t="s">
        <v>2108</v>
      </c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</row>
    <row r="1337">
      <c r="A1337" s="16" t="s">
        <v>2104</v>
      </c>
      <c r="B1337" s="22" t="s">
        <v>2105</v>
      </c>
      <c r="C1337" s="23" t="s">
        <v>1576</v>
      </c>
      <c r="D1337" s="136" t="s">
        <v>1948</v>
      </c>
      <c r="E1337" s="9" t="s">
        <v>2108</v>
      </c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9"/>
      <c r="AD1337" s="29"/>
    </row>
    <row r="1338">
      <c r="A1338" s="16" t="s">
        <v>2104</v>
      </c>
      <c r="B1338" s="22" t="s">
        <v>2105</v>
      </c>
      <c r="C1338" s="23" t="s">
        <v>332</v>
      </c>
      <c r="D1338" s="136" t="s">
        <v>2116</v>
      </c>
      <c r="E1338" s="9" t="s">
        <v>2108</v>
      </c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</row>
    <row r="1339">
      <c r="A1339" s="16" t="s">
        <v>2104</v>
      </c>
      <c r="B1339" s="22" t="s">
        <v>2105</v>
      </c>
      <c r="C1339" s="23" t="s">
        <v>778</v>
      </c>
      <c r="D1339" s="136" t="s">
        <v>2117</v>
      </c>
      <c r="E1339" s="9" t="s">
        <v>2108</v>
      </c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  <c r="AC1339" s="29"/>
      <c r="AD1339" s="29"/>
    </row>
    <row r="1340">
      <c r="A1340" s="16" t="s">
        <v>2104</v>
      </c>
      <c r="B1340" s="22" t="s">
        <v>2105</v>
      </c>
      <c r="C1340" s="23" t="s">
        <v>2106</v>
      </c>
      <c r="D1340" s="136" t="s">
        <v>2118</v>
      </c>
      <c r="E1340" s="9" t="s">
        <v>2108</v>
      </c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9"/>
      <c r="AD1340" s="29"/>
    </row>
    <row r="1341">
      <c r="A1341" s="16" t="s">
        <v>2104</v>
      </c>
      <c r="B1341" s="22" t="s">
        <v>2105</v>
      </c>
      <c r="C1341" s="23" t="s">
        <v>2119</v>
      </c>
      <c r="D1341" s="136" t="s">
        <v>2107</v>
      </c>
      <c r="E1341" s="9" t="s">
        <v>2108</v>
      </c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  <c r="AC1341" s="29"/>
      <c r="AD1341" s="29"/>
    </row>
    <row r="1342">
      <c r="A1342" s="16" t="s">
        <v>2104</v>
      </c>
      <c r="B1342" s="22" t="s">
        <v>2105</v>
      </c>
      <c r="C1342" s="23" t="s">
        <v>2120</v>
      </c>
      <c r="D1342" s="136" t="s">
        <v>2107</v>
      </c>
      <c r="E1342" s="9" t="s">
        <v>2108</v>
      </c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  <c r="AC1342" s="29"/>
      <c r="AD1342" s="29"/>
    </row>
    <row r="1343">
      <c r="A1343" s="16" t="s">
        <v>2104</v>
      </c>
      <c r="B1343" s="22" t="s">
        <v>2121</v>
      </c>
      <c r="C1343" s="140" t="s">
        <v>2122</v>
      </c>
      <c r="D1343" s="22" t="s">
        <v>2123</v>
      </c>
      <c r="E1343" s="132" t="s">
        <v>764</v>
      </c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  <c r="AC1343" s="29"/>
      <c r="AD1343" s="29"/>
    </row>
    <row r="1344">
      <c r="A1344" s="150"/>
      <c r="B1344" s="9"/>
      <c r="C1344" s="9"/>
      <c r="D1344" s="9"/>
      <c r="E1344" s="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  <c r="AC1344" s="29"/>
      <c r="AD1344" s="29"/>
    </row>
    <row r="1345">
      <c r="A1345" s="29"/>
      <c r="B1345" s="35"/>
      <c r="C1345" s="29"/>
      <c r="D1345" s="29"/>
      <c r="E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  <c r="AC1345" s="29"/>
      <c r="AD1345" s="29"/>
    </row>
    <row r="1346">
      <c r="A1346" s="16" t="s">
        <v>2124</v>
      </c>
      <c r="B1346" s="22" t="s">
        <v>2125</v>
      </c>
      <c r="C1346" s="140" t="s">
        <v>2126</v>
      </c>
      <c r="D1346" s="22" t="s">
        <v>2086</v>
      </c>
      <c r="E1346" s="72" t="s">
        <v>196</v>
      </c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9"/>
      <c r="AD1346" s="29"/>
    </row>
    <row r="1347">
      <c r="A1347" s="29"/>
      <c r="B1347" s="35"/>
      <c r="C1347" s="29"/>
      <c r="D1347" s="29"/>
      <c r="E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9"/>
      <c r="AD1347" s="29"/>
    </row>
    <row r="1348">
      <c r="A1348" s="29"/>
      <c r="B1348" s="35"/>
      <c r="C1348" s="29"/>
      <c r="D1348" s="29"/>
      <c r="E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  <c r="AC1348" s="29"/>
      <c r="AD1348" s="29"/>
    </row>
    <row r="1349">
      <c r="A1349" s="16" t="s">
        <v>2127</v>
      </c>
      <c r="B1349" s="22" t="s">
        <v>2128</v>
      </c>
      <c r="C1349" s="140" t="s">
        <v>2129</v>
      </c>
      <c r="D1349" s="22" t="s">
        <v>2130</v>
      </c>
      <c r="E1349" s="132" t="s">
        <v>1282</v>
      </c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9"/>
      <c r="AD1349" s="29"/>
    </row>
    <row r="1350">
      <c r="A1350" s="16" t="s">
        <v>2131</v>
      </c>
      <c r="B1350" s="22" t="s">
        <v>2128</v>
      </c>
      <c r="C1350" s="140" t="s">
        <v>2132</v>
      </c>
      <c r="D1350" s="22" t="s">
        <v>2133</v>
      </c>
      <c r="E1350" s="132" t="s">
        <v>1282</v>
      </c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</row>
    <row r="1351">
      <c r="A1351" s="16" t="s">
        <v>2134</v>
      </c>
      <c r="B1351" s="22" t="s">
        <v>2128</v>
      </c>
      <c r="C1351" s="140" t="s">
        <v>2135</v>
      </c>
      <c r="D1351" s="22" t="s">
        <v>2136</v>
      </c>
      <c r="E1351" s="132" t="s">
        <v>1282</v>
      </c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  <c r="AC1351" s="29"/>
      <c r="AD1351" s="29"/>
    </row>
    <row r="1352">
      <c r="A1352" s="150"/>
      <c r="B1352" s="6"/>
      <c r="C1352" s="9"/>
      <c r="D1352" s="9"/>
      <c r="E1352" s="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  <c r="AC1352" s="29"/>
      <c r="AD1352" s="29"/>
    </row>
    <row r="1353">
      <c r="A1353" s="29"/>
      <c r="B1353" s="35"/>
      <c r="C1353" s="29"/>
      <c r="D1353" s="29"/>
      <c r="E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  <c r="AC1353" s="29"/>
      <c r="AD1353" s="29"/>
    </row>
    <row r="1354">
      <c r="A1354" s="16" t="s">
        <v>2137</v>
      </c>
      <c r="B1354" s="19" t="s">
        <v>2138</v>
      </c>
      <c r="C1354" s="18" t="s">
        <v>2098</v>
      </c>
      <c r="D1354" s="19" t="s">
        <v>2139</v>
      </c>
      <c r="E1354" s="132" t="s">
        <v>764</v>
      </c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  <c r="AC1354" s="29"/>
      <c r="AD1354" s="29"/>
    </row>
    <row r="1355">
      <c r="A1355" s="16" t="s">
        <v>2137</v>
      </c>
      <c r="B1355" s="22" t="s">
        <v>2140</v>
      </c>
      <c r="C1355" s="18" t="s">
        <v>2141</v>
      </c>
      <c r="D1355" s="19" t="s">
        <v>2142</v>
      </c>
      <c r="E1355" s="9" t="s">
        <v>2143</v>
      </c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  <c r="AC1355" s="29"/>
      <c r="AD1355" s="29"/>
    </row>
    <row r="1356">
      <c r="A1356" s="16" t="s">
        <v>2137</v>
      </c>
      <c r="B1356" s="22" t="s">
        <v>2140</v>
      </c>
      <c r="C1356" s="18" t="s">
        <v>2144</v>
      </c>
      <c r="D1356" s="19" t="s">
        <v>2145</v>
      </c>
      <c r="E1356" s="9" t="s">
        <v>2143</v>
      </c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  <c r="AC1356" s="29"/>
      <c r="AD1356" s="29"/>
    </row>
    <row r="1357">
      <c r="A1357" s="16" t="s">
        <v>2137</v>
      </c>
      <c r="B1357" s="22" t="s">
        <v>2140</v>
      </c>
      <c r="C1357" s="18" t="s">
        <v>2141</v>
      </c>
      <c r="D1357" s="19" t="s">
        <v>2145</v>
      </c>
      <c r="E1357" s="9" t="s">
        <v>2143</v>
      </c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  <c r="AC1357" s="29"/>
      <c r="AD1357" s="29"/>
    </row>
    <row r="1358">
      <c r="A1358" s="16" t="s">
        <v>2137</v>
      </c>
      <c r="B1358" s="22" t="s">
        <v>2146</v>
      </c>
      <c r="C1358" s="18" t="s">
        <v>2147</v>
      </c>
      <c r="D1358" s="19" t="s">
        <v>2148</v>
      </c>
      <c r="E1358" s="132" t="s">
        <v>2149</v>
      </c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  <c r="AC1358" s="29"/>
      <c r="AD1358" s="29"/>
    </row>
    <row r="1359">
      <c r="A1359" s="16" t="s">
        <v>2137</v>
      </c>
      <c r="B1359" s="22" t="s">
        <v>2150</v>
      </c>
      <c r="C1359" s="18" t="s">
        <v>2151</v>
      </c>
      <c r="D1359" s="19" t="s">
        <v>2152</v>
      </c>
      <c r="E1359" s="132" t="s">
        <v>2149</v>
      </c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  <c r="AC1359" s="29"/>
      <c r="AD1359" s="29"/>
    </row>
    <row r="1360">
      <c r="A1360" s="16" t="s">
        <v>2137</v>
      </c>
      <c r="B1360" s="22" t="s">
        <v>2150</v>
      </c>
      <c r="C1360" s="18" t="s">
        <v>2151</v>
      </c>
      <c r="D1360" s="19" t="s">
        <v>2152</v>
      </c>
      <c r="E1360" s="132" t="s">
        <v>2149</v>
      </c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  <c r="AC1360" s="29"/>
      <c r="AD1360" s="29"/>
    </row>
    <row r="1361">
      <c r="A1361" s="16" t="s">
        <v>2137</v>
      </c>
      <c r="B1361" s="22" t="s">
        <v>2153</v>
      </c>
      <c r="C1361" s="18" t="s">
        <v>2154</v>
      </c>
      <c r="D1361" s="19" t="s">
        <v>1126</v>
      </c>
      <c r="E1361" s="9" t="s">
        <v>14</v>
      </c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29"/>
      <c r="AB1361" s="29"/>
      <c r="AC1361" s="29"/>
      <c r="AD1361" s="29"/>
    </row>
    <row r="1362">
      <c r="A1362" s="16" t="s">
        <v>2137</v>
      </c>
      <c r="B1362" s="22" t="s">
        <v>2153</v>
      </c>
      <c r="C1362" s="18" t="s">
        <v>2155</v>
      </c>
      <c r="D1362" s="19" t="s">
        <v>2156</v>
      </c>
      <c r="E1362" s="9" t="s">
        <v>2143</v>
      </c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  <c r="AA1362" s="29"/>
      <c r="AB1362" s="29"/>
      <c r="AC1362" s="29"/>
      <c r="AD1362" s="29"/>
    </row>
    <row r="1363">
      <c r="A1363" s="16" t="s">
        <v>2137</v>
      </c>
      <c r="B1363" s="22" t="s">
        <v>2153</v>
      </c>
      <c r="C1363" s="18" t="s">
        <v>2155</v>
      </c>
      <c r="D1363" s="19" t="s">
        <v>2157</v>
      </c>
      <c r="E1363" s="9" t="s">
        <v>2143</v>
      </c>
      <c r="G1363" s="29"/>
      <c r="H1363" s="29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  <c r="AC1363" s="29"/>
      <c r="AD1363" s="29"/>
    </row>
    <row r="1364">
      <c r="A1364" s="29"/>
      <c r="B1364" s="35"/>
      <c r="C1364" s="29"/>
      <c r="D1364" s="29"/>
      <c r="E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  <c r="AC1364" s="29"/>
      <c r="AD1364" s="29"/>
    </row>
    <row r="1365">
      <c r="A1365" s="29"/>
      <c r="B1365" s="35"/>
      <c r="C1365" s="29"/>
      <c r="D1365" s="29"/>
      <c r="E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  <c r="AC1365" s="29"/>
      <c r="AD1365" s="29"/>
    </row>
    <row r="1366">
      <c r="A1366" s="16" t="s">
        <v>2158</v>
      </c>
      <c r="B1366" s="22" t="s">
        <v>2159</v>
      </c>
      <c r="C1366" s="18" t="s">
        <v>2160</v>
      </c>
      <c r="D1366" s="19" t="s">
        <v>2161</v>
      </c>
      <c r="E1366" s="9" t="s">
        <v>2162</v>
      </c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  <c r="AC1366" s="29"/>
      <c r="AD1366" s="29"/>
    </row>
    <row r="1367">
      <c r="A1367" s="16" t="s">
        <v>2158</v>
      </c>
      <c r="B1367" s="22" t="s">
        <v>2159</v>
      </c>
      <c r="C1367" s="18" t="s">
        <v>2160</v>
      </c>
      <c r="D1367" s="19" t="s">
        <v>2163</v>
      </c>
      <c r="E1367" s="9" t="s">
        <v>2162</v>
      </c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  <c r="AC1367" s="29"/>
      <c r="AD1367" s="29"/>
    </row>
    <row r="1368">
      <c r="A1368" s="16" t="s">
        <v>2158</v>
      </c>
      <c r="B1368" s="22" t="s">
        <v>2159</v>
      </c>
      <c r="C1368" s="18" t="s">
        <v>2160</v>
      </c>
      <c r="D1368" s="19" t="s">
        <v>2164</v>
      </c>
      <c r="E1368" s="9" t="s">
        <v>2162</v>
      </c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  <c r="AC1368" s="29"/>
      <c r="AD1368" s="29"/>
    </row>
    <row r="1369">
      <c r="A1369" s="16" t="s">
        <v>2158</v>
      </c>
      <c r="B1369" s="19" t="s">
        <v>2165</v>
      </c>
      <c r="C1369" s="18" t="s">
        <v>2166</v>
      </c>
      <c r="D1369" s="19" t="s">
        <v>2167</v>
      </c>
      <c r="E1369" s="132" t="s">
        <v>1201</v>
      </c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  <c r="AC1369" s="29"/>
      <c r="AD1369" s="29"/>
    </row>
    <row r="1370">
      <c r="A1370" s="29"/>
      <c r="B1370" s="35"/>
      <c r="C1370" s="29"/>
      <c r="D1370" s="29"/>
      <c r="E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  <c r="AC1370" s="29"/>
      <c r="AD1370" s="29"/>
    </row>
    <row r="1371">
      <c r="A1371" s="29"/>
      <c r="B1371" s="35"/>
      <c r="C1371" s="29"/>
      <c r="D1371" s="29"/>
      <c r="E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  <c r="AC1371" s="29"/>
      <c r="AD1371" s="29"/>
    </row>
    <row r="1372">
      <c r="A1372" s="16" t="s">
        <v>2168</v>
      </c>
      <c r="B1372" s="22" t="s">
        <v>2159</v>
      </c>
      <c r="C1372" s="18" t="s">
        <v>2160</v>
      </c>
      <c r="D1372" s="19" t="s">
        <v>2169</v>
      </c>
      <c r="E1372" s="9" t="s">
        <v>1622</v>
      </c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  <c r="AC1372" s="29"/>
      <c r="AD1372" s="29"/>
    </row>
    <row r="1373">
      <c r="A1373" s="16" t="s">
        <v>2168</v>
      </c>
      <c r="B1373" s="22" t="s">
        <v>2159</v>
      </c>
      <c r="C1373" s="18" t="s">
        <v>2160</v>
      </c>
      <c r="D1373" s="19" t="s">
        <v>2163</v>
      </c>
      <c r="E1373" s="9" t="s">
        <v>1622</v>
      </c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  <c r="AC1373" s="29"/>
      <c r="AD1373" s="29"/>
    </row>
    <row r="1374">
      <c r="A1374" s="16" t="s">
        <v>2168</v>
      </c>
      <c r="B1374" s="22" t="s">
        <v>2159</v>
      </c>
      <c r="C1374" s="18" t="s">
        <v>2160</v>
      </c>
      <c r="D1374" s="19" t="s">
        <v>2161</v>
      </c>
      <c r="E1374" s="9" t="s">
        <v>1622</v>
      </c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  <c r="AC1374" s="29"/>
      <c r="AD1374" s="29"/>
    </row>
    <row r="1375">
      <c r="A1375" s="16" t="s">
        <v>2168</v>
      </c>
      <c r="B1375" s="19" t="s">
        <v>2170</v>
      </c>
      <c r="C1375" s="18" t="s">
        <v>2171</v>
      </c>
      <c r="D1375" s="19" t="s">
        <v>2172</v>
      </c>
      <c r="E1375" s="132" t="s">
        <v>1977</v>
      </c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  <c r="AC1375" s="29"/>
      <c r="AD1375" s="29"/>
    </row>
    <row r="1376">
      <c r="A1376" s="29"/>
      <c r="B1376" s="35"/>
      <c r="C1376" s="29"/>
      <c r="D1376" s="29"/>
      <c r="E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  <c r="AC1376" s="29"/>
      <c r="AD1376" s="29"/>
    </row>
    <row r="1377">
      <c r="A1377" s="29"/>
      <c r="B1377" s="35"/>
      <c r="C1377" s="29"/>
      <c r="D1377" s="29"/>
      <c r="E1377" s="29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  <c r="AC1377" s="29"/>
      <c r="AD1377" s="29"/>
    </row>
    <row r="1378">
      <c r="A1378" s="16" t="s">
        <v>2173</v>
      </c>
      <c r="B1378" s="22" t="s">
        <v>2174</v>
      </c>
      <c r="C1378" s="18" t="s">
        <v>2160</v>
      </c>
      <c r="D1378" s="19" t="s">
        <v>2175</v>
      </c>
      <c r="E1378" s="72" t="s">
        <v>7</v>
      </c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  <c r="AA1378" s="29"/>
      <c r="AB1378" s="29"/>
      <c r="AC1378" s="29"/>
      <c r="AD1378" s="29"/>
    </row>
    <row r="1379">
      <c r="A1379" s="16" t="s">
        <v>2173</v>
      </c>
      <c r="B1379" s="22" t="s">
        <v>2174</v>
      </c>
      <c r="C1379" s="18" t="s">
        <v>2160</v>
      </c>
      <c r="D1379" s="19" t="s">
        <v>2176</v>
      </c>
      <c r="E1379" s="72" t="s">
        <v>7</v>
      </c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  <c r="AC1379" s="29"/>
      <c r="AD1379" s="29"/>
    </row>
    <row r="1380">
      <c r="A1380" s="16" t="s">
        <v>2173</v>
      </c>
      <c r="B1380" s="22" t="s">
        <v>2174</v>
      </c>
      <c r="C1380" s="18" t="s">
        <v>2160</v>
      </c>
      <c r="D1380" s="19" t="s">
        <v>2177</v>
      </c>
      <c r="E1380" s="72" t="s">
        <v>7</v>
      </c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  <c r="AC1380" s="29"/>
      <c r="AD1380" s="29"/>
    </row>
    <row r="1381">
      <c r="A1381" s="16" t="s">
        <v>2173</v>
      </c>
      <c r="B1381" s="22" t="s">
        <v>2174</v>
      </c>
      <c r="C1381" s="18" t="s">
        <v>2160</v>
      </c>
      <c r="D1381" s="19" t="s">
        <v>2178</v>
      </c>
      <c r="E1381" s="72" t="s">
        <v>7</v>
      </c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  <c r="AC1381" s="29"/>
      <c r="AD1381" s="29"/>
    </row>
    <row r="1382">
      <c r="A1382" s="16" t="s">
        <v>2173</v>
      </c>
      <c r="B1382" s="19" t="s">
        <v>2179</v>
      </c>
      <c r="C1382" s="18" t="s">
        <v>2180</v>
      </c>
      <c r="D1382" s="19" t="s">
        <v>2181</v>
      </c>
      <c r="E1382" s="72" t="s">
        <v>196</v>
      </c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  <c r="AC1382" s="29"/>
      <c r="AD1382" s="29"/>
    </row>
    <row r="1383">
      <c r="A1383" s="16" t="s">
        <v>2173</v>
      </c>
      <c r="B1383" s="19" t="s">
        <v>2170</v>
      </c>
      <c r="C1383" s="18" t="s">
        <v>2171</v>
      </c>
      <c r="D1383" s="19" t="s">
        <v>2182</v>
      </c>
      <c r="E1383" s="132" t="s">
        <v>14</v>
      </c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  <c r="AC1383" s="29"/>
      <c r="AD1383" s="29"/>
    </row>
    <row r="1384">
      <c r="A1384" s="16" t="s">
        <v>2173</v>
      </c>
      <c r="B1384" s="19" t="s">
        <v>2183</v>
      </c>
      <c r="C1384" s="18" t="s">
        <v>2184</v>
      </c>
      <c r="D1384" s="19" t="s">
        <v>2185</v>
      </c>
      <c r="E1384" s="132" t="s">
        <v>14</v>
      </c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  <c r="AC1384" s="29"/>
      <c r="AD1384" s="29"/>
    </row>
    <row r="1385">
      <c r="A1385" s="16" t="s">
        <v>2173</v>
      </c>
      <c r="B1385" s="19" t="s">
        <v>2183</v>
      </c>
      <c r="C1385" s="18" t="s">
        <v>2186</v>
      </c>
      <c r="D1385" s="19" t="s">
        <v>2187</v>
      </c>
      <c r="E1385" s="132" t="s">
        <v>14</v>
      </c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  <c r="AC1385" s="29"/>
      <c r="AD1385" s="29"/>
    </row>
    <row r="1386">
      <c r="A1386" s="29"/>
      <c r="B1386" s="35"/>
      <c r="C1386" s="29"/>
      <c r="D1386" s="29"/>
      <c r="E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  <c r="AC1386" s="29"/>
      <c r="AD1386" s="29"/>
    </row>
    <row r="1387">
      <c r="A1387" s="29"/>
      <c r="B1387" s="35"/>
      <c r="C1387" s="29"/>
      <c r="D1387" s="29"/>
      <c r="E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  <c r="AC1387" s="29"/>
      <c r="AD1387" s="29"/>
    </row>
    <row r="1388">
      <c r="A1388" s="16" t="s">
        <v>2188</v>
      </c>
      <c r="B1388" s="22" t="s">
        <v>2159</v>
      </c>
      <c r="C1388" s="18" t="s">
        <v>2160</v>
      </c>
      <c r="D1388" s="19" t="s">
        <v>2177</v>
      </c>
      <c r="E1388" s="9" t="s">
        <v>2143</v>
      </c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  <c r="AC1388" s="29"/>
      <c r="AD1388" s="29"/>
    </row>
    <row r="1389">
      <c r="A1389" s="16" t="s">
        <v>2188</v>
      </c>
      <c r="B1389" s="22" t="s">
        <v>2159</v>
      </c>
      <c r="C1389" s="18" t="s">
        <v>2160</v>
      </c>
      <c r="D1389" s="19" t="s">
        <v>2189</v>
      </c>
      <c r="E1389" s="9" t="s">
        <v>2143</v>
      </c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  <c r="AC1389" s="29"/>
      <c r="AD1389" s="29"/>
    </row>
    <row r="1390">
      <c r="A1390" s="16" t="s">
        <v>2188</v>
      </c>
      <c r="B1390" s="19" t="s">
        <v>2033</v>
      </c>
      <c r="C1390" s="18" t="s">
        <v>2190</v>
      </c>
      <c r="D1390" s="19" t="s">
        <v>2191</v>
      </c>
      <c r="E1390" s="132" t="s">
        <v>14</v>
      </c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  <c r="AC1390" s="29"/>
      <c r="AD1390" s="29"/>
    </row>
    <row r="1391">
      <c r="A1391" s="16" t="s">
        <v>2188</v>
      </c>
      <c r="B1391" s="22" t="s">
        <v>2192</v>
      </c>
      <c r="C1391" s="18" t="s">
        <v>1399</v>
      </c>
      <c r="D1391" s="19" t="s">
        <v>2193</v>
      </c>
      <c r="E1391" s="9" t="s">
        <v>2143</v>
      </c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  <c r="AC1391" s="29"/>
      <c r="AD1391" s="29"/>
    </row>
    <row r="1392">
      <c r="A1392" s="16" t="s">
        <v>2188</v>
      </c>
      <c r="B1392" s="22" t="s">
        <v>2192</v>
      </c>
      <c r="C1392" s="18" t="s">
        <v>1399</v>
      </c>
      <c r="D1392" s="19" t="s">
        <v>2194</v>
      </c>
      <c r="E1392" s="9" t="s">
        <v>2143</v>
      </c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  <c r="AC1392" s="29"/>
      <c r="AD1392" s="29"/>
    </row>
    <row r="1393">
      <c r="A1393" s="16" t="s">
        <v>2188</v>
      </c>
      <c r="B1393" s="22" t="s">
        <v>2192</v>
      </c>
      <c r="C1393" s="18" t="s">
        <v>1399</v>
      </c>
      <c r="D1393" s="19" t="s">
        <v>2195</v>
      </c>
      <c r="E1393" s="9" t="s">
        <v>2143</v>
      </c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  <c r="AC1393" s="29"/>
      <c r="AD1393" s="29"/>
    </row>
    <row r="1394">
      <c r="A1394" s="16" t="s">
        <v>2188</v>
      </c>
      <c r="B1394" s="22" t="s">
        <v>2192</v>
      </c>
      <c r="C1394" s="18" t="s">
        <v>1399</v>
      </c>
      <c r="D1394" s="19" t="s">
        <v>2196</v>
      </c>
      <c r="E1394" s="9" t="s">
        <v>2143</v>
      </c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  <c r="AC1394" s="29"/>
      <c r="AD1394" s="29"/>
    </row>
    <row r="1395">
      <c r="A1395" s="16" t="s">
        <v>2188</v>
      </c>
      <c r="B1395" s="22" t="s">
        <v>2192</v>
      </c>
      <c r="C1395" s="18" t="s">
        <v>1399</v>
      </c>
      <c r="D1395" s="19" t="s">
        <v>2197</v>
      </c>
      <c r="E1395" s="9" t="s">
        <v>2143</v>
      </c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  <c r="AC1395" s="29"/>
      <c r="AD1395" s="29"/>
    </row>
    <row r="1396">
      <c r="A1396" s="29"/>
      <c r="B1396" s="35"/>
      <c r="C1396" s="29"/>
      <c r="D1396" s="29"/>
      <c r="E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  <c r="AC1396" s="29"/>
      <c r="AD1396" s="29"/>
    </row>
    <row r="1397">
      <c r="A1397" s="29"/>
      <c r="B1397" s="35"/>
      <c r="C1397" s="29"/>
      <c r="D1397" s="29"/>
      <c r="E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  <c r="AC1397" s="29"/>
      <c r="AD1397" s="29"/>
    </row>
    <row r="1398">
      <c r="A1398" s="16" t="s">
        <v>2198</v>
      </c>
      <c r="B1398" s="19" t="s">
        <v>2199</v>
      </c>
      <c r="C1398" s="18" t="s">
        <v>2200</v>
      </c>
      <c r="D1398" s="19" t="s">
        <v>2201</v>
      </c>
      <c r="E1398" s="9" t="s">
        <v>1074</v>
      </c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  <c r="AC1398" s="29"/>
      <c r="AD1398" s="29"/>
    </row>
    <row r="1399">
      <c r="A1399" s="29"/>
      <c r="B1399" s="35"/>
      <c r="C1399" s="29"/>
      <c r="D1399" s="29"/>
      <c r="E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  <c r="AC1399" s="29"/>
      <c r="AD1399" s="29"/>
    </row>
    <row r="1400">
      <c r="A1400" s="29"/>
      <c r="B1400" s="35"/>
      <c r="C1400" s="29"/>
      <c r="D1400" s="29"/>
      <c r="E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  <c r="AC1400" s="29"/>
      <c r="AD1400" s="29"/>
    </row>
    <row r="1401">
      <c r="A1401" s="16" t="s">
        <v>2202</v>
      </c>
      <c r="B1401" s="19" t="s">
        <v>2199</v>
      </c>
      <c r="C1401" s="18" t="s">
        <v>2203</v>
      </c>
      <c r="D1401" s="19" t="s">
        <v>2204</v>
      </c>
      <c r="E1401" s="132" t="s">
        <v>14</v>
      </c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  <c r="AC1401" s="29"/>
      <c r="AD1401" s="29"/>
    </row>
    <row r="1402">
      <c r="A1402" s="150"/>
      <c r="B1402" s="6"/>
      <c r="C1402" s="47"/>
      <c r="D1402" s="6"/>
      <c r="E1402" s="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  <c r="AC1402" s="29"/>
      <c r="AD1402" s="29"/>
    </row>
    <row r="1403">
      <c r="A1403" s="29"/>
      <c r="B1403" s="35"/>
      <c r="C1403" s="29"/>
      <c r="D1403" s="29"/>
      <c r="E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  <c r="AC1403" s="29"/>
      <c r="AD1403" s="29"/>
    </row>
    <row r="1404">
      <c r="A1404" s="160" t="s">
        <v>2205</v>
      </c>
      <c r="B1404" s="19" t="s">
        <v>2206</v>
      </c>
      <c r="C1404" s="18" t="s">
        <v>2207</v>
      </c>
      <c r="D1404" s="19" t="s">
        <v>2208</v>
      </c>
      <c r="E1404" s="132" t="s">
        <v>1479</v>
      </c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  <c r="AC1404" s="29"/>
      <c r="AD1404" s="29"/>
    </row>
    <row r="1405">
      <c r="A1405" s="160" t="s">
        <v>2205</v>
      </c>
      <c r="B1405" s="19" t="s">
        <v>2206</v>
      </c>
      <c r="C1405" s="18" t="s">
        <v>2209</v>
      </c>
      <c r="D1405" s="19" t="s">
        <v>2208</v>
      </c>
      <c r="E1405" s="132" t="s">
        <v>1479</v>
      </c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  <c r="AC1405" s="29"/>
      <c r="AD1405" s="29"/>
    </row>
    <row r="1406">
      <c r="A1406" s="160" t="s">
        <v>2205</v>
      </c>
      <c r="B1406" s="19" t="s">
        <v>2210</v>
      </c>
      <c r="C1406" s="18" t="s">
        <v>2211</v>
      </c>
      <c r="D1406" s="19" t="s">
        <v>155</v>
      </c>
      <c r="E1406" s="9" t="s">
        <v>764</v>
      </c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  <c r="AC1406" s="29"/>
      <c r="AD1406" s="29"/>
    </row>
    <row r="1407">
      <c r="A1407" s="160" t="s">
        <v>2205</v>
      </c>
      <c r="B1407" s="19" t="s">
        <v>2210</v>
      </c>
      <c r="C1407" s="18" t="s">
        <v>2212</v>
      </c>
      <c r="D1407" s="19" t="s">
        <v>2213</v>
      </c>
      <c r="E1407" s="9" t="s">
        <v>764</v>
      </c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  <c r="AC1407" s="29"/>
      <c r="AD1407" s="29"/>
    </row>
    <row r="1408">
      <c r="A1408" s="160" t="s">
        <v>2205</v>
      </c>
      <c r="B1408" s="19" t="s">
        <v>2206</v>
      </c>
      <c r="C1408" s="18" t="s">
        <v>2214</v>
      </c>
      <c r="D1408" s="19" t="s">
        <v>2208</v>
      </c>
      <c r="E1408" s="132" t="s">
        <v>1479</v>
      </c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  <c r="AC1408" s="29"/>
      <c r="AD1408" s="29"/>
    </row>
    <row r="1409">
      <c r="A1409" s="160" t="s">
        <v>2205</v>
      </c>
      <c r="B1409" s="19" t="s">
        <v>2215</v>
      </c>
      <c r="C1409" s="18" t="s">
        <v>2216</v>
      </c>
      <c r="D1409" s="19" t="s">
        <v>2217</v>
      </c>
      <c r="E1409" s="72" t="s">
        <v>196</v>
      </c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  <c r="AC1409" s="29"/>
      <c r="AD1409" s="29"/>
    </row>
    <row r="1410">
      <c r="A1410" s="160" t="s">
        <v>2205</v>
      </c>
      <c r="B1410" s="19" t="s">
        <v>2218</v>
      </c>
      <c r="C1410" s="18" t="s">
        <v>2219</v>
      </c>
      <c r="D1410" s="19" t="s">
        <v>2220</v>
      </c>
      <c r="E1410" s="72" t="s">
        <v>196</v>
      </c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  <c r="AC1410" s="29"/>
      <c r="AD1410" s="29"/>
    </row>
    <row r="1411">
      <c r="A1411" s="160" t="s">
        <v>2205</v>
      </c>
      <c r="B1411" s="19" t="s">
        <v>2210</v>
      </c>
      <c r="C1411" s="18" t="s">
        <v>2212</v>
      </c>
      <c r="D1411" s="19" t="s">
        <v>2213</v>
      </c>
      <c r="E1411" s="132" t="s">
        <v>1479</v>
      </c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  <c r="AC1411" s="29"/>
      <c r="AD1411" s="29"/>
    </row>
    <row r="1412">
      <c r="A1412" s="160" t="s">
        <v>2205</v>
      </c>
      <c r="B1412" s="19" t="s">
        <v>2221</v>
      </c>
      <c r="C1412" s="18" t="s">
        <v>2222</v>
      </c>
      <c r="D1412" s="19" t="s">
        <v>2223</v>
      </c>
      <c r="E1412" s="132" t="s">
        <v>14</v>
      </c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  <c r="AC1412" s="29"/>
      <c r="AD1412" s="29"/>
    </row>
    <row r="1413">
      <c r="A1413" s="29"/>
      <c r="B1413" s="35"/>
      <c r="C1413" s="29"/>
      <c r="D1413" s="29"/>
      <c r="E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  <c r="AC1413" s="29"/>
      <c r="AD1413" s="29"/>
    </row>
    <row r="1414">
      <c r="A1414" s="29"/>
      <c r="B1414" s="35"/>
      <c r="C1414" s="29"/>
      <c r="D1414" s="29"/>
      <c r="E1414" s="29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  <c r="AC1414" s="29"/>
      <c r="AD1414" s="29"/>
    </row>
    <row r="1415">
      <c r="A1415" s="115" t="s">
        <v>2224</v>
      </c>
      <c r="B1415" s="136" t="s">
        <v>2210</v>
      </c>
      <c r="C1415" s="23" t="s">
        <v>677</v>
      </c>
      <c r="D1415" s="136" t="s">
        <v>2225</v>
      </c>
      <c r="E1415" s="132" t="s">
        <v>1479</v>
      </c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  <c r="AC1415" s="29"/>
      <c r="AD1415" s="29"/>
    </row>
    <row r="1416">
      <c r="A1416" s="115" t="s">
        <v>2224</v>
      </c>
      <c r="B1416" s="136" t="s">
        <v>2226</v>
      </c>
      <c r="C1416" s="23" t="s">
        <v>1470</v>
      </c>
      <c r="D1416" s="136" t="s">
        <v>2208</v>
      </c>
      <c r="E1416" s="132" t="s">
        <v>1479</v>
      </c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  <c r="AC1416" s="29"/>
      <c r="AD1416" s="29"/>
    </row>
    <row r="1417">
      <c r="A1417" s="29"/>
      <c r="B1417" s="35"/>
      <c r="C1417" s="9"/>
      <c r="D1417" s="9"/>
      <c r="E1417" s="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  <c r="AC1417" s="29"/>
      <c r="AD1417" s="29"/>
    </row>
    <row r="1418">
      <c r="A1418" s="29"/>
      <c r="B1418" s="35"/>
      <c r="C1418" s="29"/>
      <c r="D1418" s="29"/>
      <c r="E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  <c r="AC1418" s="29"/>
      <c r="AD1418" s="29"/>
    </row>
    <row r="1419">
      <c r="A1419" s="115" t="s">
        <v>2227</v>
      </c>
      <c r="B1419" s="19" t="s">
        <v>2199</v>
      </c>
      <c r="C1419" s="23" t="s">
        <v>2228</v>
      </c>
      <c r="D1419" s="136" t="s">
        <v>2229</v>
      </c>
      <c r="E1419" s="132" t="s">
        <v>764</v>
      </c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  <c r="AC1419" s="29"/>
      <c r="AD1419" s="29"/>
    </row>
    <row r="1420">
      <c r="A1420" s="29"/>
      <c r="B1420" s="35"/>
      <c r="C1420" s="29"/>
      <c r="D1420" s="29"/>
      <c r="E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  <c r="AC1420" s="29"/>
      <c r="AD1420" s="29"/>
    </row>
    <row r="1421">
      <c r="A1421" s="29"/>
      <c r="B1421" s="35"/>
      <c r="C1421" s="29"/>
      <c r="D1421" s="29"/>
      <c r="E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  <c r="AC1421" s="29"/>
      <c r="AD1421" s="29"/>
    </row>
    <row r="1422">
      <c r="A1422" s="115" t="s">
        <v>2230</v>
      </c>
      <c r="B1422" s="19" t="s">
        <v>2210</v>
      </c>
      <c r="C1422" s="18" t="s">
        <v>2211</v>
      </c>
      <c r="D1422" s="19" t="s">
        <v>155</v>
      </c>
      <c r="E1422" s="132" t="s">
        <v>2231</v>
      </c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29"/>
      <c r="AB1422" s="29"/>
      <c r="AC1422" s="29"/>
      <c r="AD1422" s="29"/>
    </row>
    <row r="1423">
      <c r="A1423" s="29"/>
      <c r="B1423" s="35"/>
      <c r="C1423" s="9"/>
      <c r="D1423" s="9"/>
      <c r="E1423" s="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29"/>
      <c r="AC1423" s="29"/>
      <c r="AD1423" s="29"/>
    </row>
    <row r="1424">
      <c r="A1424" s="29"/>
      <c r="B1424" s="35"/>
      <c r="C1424" s="29"/>
      <c r="D1424" s="29"/>
      <c r="E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  <c r="AC1424" s="29"/>
      <c r="AD1424" s="29"/>
    </row>
    <row r="1425">
      <c r="A1425" s="16" t="s">
        <v>2232</v>
      </c>
      <c r="B1425" s="22" t="s">
        <v>2233</v>
      </c>
      <c r="C1425" s="18" t="s">
        <v>2234</v>
      </c>
      <c r="D1425" s="19" t="s">
        <v>2235</v>
      </c>
      <c r="E1425" s="9" t="s">
        <v>2143</v>
      </c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  <c r="AC1425" s="29"/>
      <c r="AD1425" s="29"/>
    </row>
    <row r="1426">
      <c r="A1426" s="16" t="s">
        <v>2232</v>
      </c>
      <c r="B1426" s="22" t="s">
        <v>2233</v>
      </c>
      <c r="C1426" s="18" t="s">
        <v>2234</v>
      </c>
      <c r="D1426" s="19" t="s">
        <v>2235</v>
      </c>
      <c r="E1426" s="9" t="s">
        <v>2143</v>
      </c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  <c r="AC1426" s="29"/>
      <c r="AD1426" s="29"/>
    </row>
    <row r="1427">
      <c r="A1427" s="16" t="s">
        <v>2232</v>
      </c>
      <c r="B1427" s="22" t="s">
        <v>2233</v>
      </c>
      <c r="C1427" s="18" t="s">
        <v>2236</v>
      </c>
      <c r="D1427" s="19" t="s">
        <v>2237</v>
      </c>
      <c r="E1427" s="9" t="s">
        <v>2143</v>
      </c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  <c r="AC1427" s="29"/>
      <c r="AD1427" s="29"/>
    </row>
    <row r="1428">
      <c r="A1428" s="16" t="s">
        <v>2232</v>
      </c>
      <c r="B1428" s="22" t="s">
        <v>2233</v>
      </c>
      <c r="C1428" s="18" t="s">
        <v>2234</v>
      </c>
      <c r="D1428" s="19" t="s">
        <v>2237</v>
      </c>
      <c r="E1428" s="9" t="s">
        <v>2143</v>
      </c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  <c r="AA1428" s="29"/>
      <c r="AB1428" s="29"/>
      <c r="AC1428" s="29"/>
      <c r="AD1428" s="29"/>
    </row>
    <row r="1429">
      <c r="A1429" s="16" t="s">
        <v>2232</v>
      </c>
      <c r="B1429" s="19" t="s">
        <v>2033</v>
      </c>
      <c r="C1429" s="18" t="s">
        <v>2238</v>
      </c>
      <c r="D1429" s="19" t="s">
        <v>2086</v>
      </c>
      <c r="E1429" s="132" t="s">
        <v>14</v>
      </c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  <c r="AC1429" s="29"/>
      <c r="AD1429" s="29"/>
    </row>
    <row r="1430">
      <c r="A1430" s="29"/>
      <c r="B1430" s="35"/>
      <c r="C1430" s="29"/>
      <c r="D1430" s="29"/>
      <c r="E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  <c r="AA1430" s="29"/>
      <c r="AB1430" s="29"/>
      <c r="AC1430" s="29"/>
      <c r="AD1430" s="29"/>
    </row>
    <row r="1431">
      <c r="A1431" s="29"/>
      <c r="B1431" s="35"/>
      <c r="C1431" s="29"/>
      <c r="D1431" s="29"/>
      <c r="E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29"/>
      <c r="AB1431" s="29"/>
      <c r="AC1431" s="29"/>
      <c r="AD1431" s="29"/>
    </row>
    <row r="1432">
      <c r="A1432" s="16" t="s">
        <v>2239</v>
      </c>
      <c r="B1432" s="19" t="s">
        <v>2240</v>
      </c>
      <c r="C1432" s="18" t="s">
        <v>2241</v>
      </c>
      <c r="D1432" s="19" t="s">
        <v>2242</v>
      </c>
      <c r="E1432" s="72" t="s">
        <v>7</v>
      </c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29"/>
      <c r="AB1432" s="29"/>
      <c r="AC1432" s="29"/>
      <c r="AD1432" s="29"/>
    </row>
    <row r="1433">
      <c r="A1433" s="16" t="s">
        <v>2239</v>
      </c>
      <c r="B1433" s="19" t="s">
        <v>2243</v>
      </c>
      <c r="C1433" s="18" t="s">
        <v>2244</v>
      </c>
      <c r="D1433" s="19" t="s">
        <v>2242</v>
      </c>
      <c r="E1433" s="72" t="s">
        <v>7</v>
      </c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29"/>
      <c r="AB1433" s="29"/>
      <c r="AC1433" s="29"/>
      <c r="AD1433" s="29"/>
    </row>
    <row r="1434">
      <c r="A1434" s="16" t="s">
        <v>2239</v>
      </c>
      <c r="B1434" s="19" t="s">
        <v>2245</v>
      </c>
      <c r="C1434" s="18" t="s">
        <v>2246</v>
      </c>
      <c r="D1434" s="19" t="s">
        <v>2242</v>
      </c>
      <c r="E1434" s="72" t="s">
        <v>7</v>
      </c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  <c r="AC1434" s="29"/>
      <c r="AD1434" s="29"/>
    </row>
    <row r="1435">
      <c r="A1435" s="16" t="s">
        <v>2239</v>
      </c>
      <c r="B1435" s="19" t="s">
        <v>2247</v>
      </c>
      <c r="C1435" s="18" t="s">
        <v>2248</v>
      </c>
      <c r="D1435" s="19" t="s">
        <v>2242</v>
      </c>
      <c r="E1435" s="72" t="s">
        <v>7</v>
      </c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  <c r="AC1435" s="29"/>
      <c r="AD1435" s="29"/>
    </row>
    <row r="1436">
      <c r="A1436" s="16" t="s">
        <v>2239</v>
      </c>
      <c r="B1436" s="19" t="s">
        <v>2249</v>
      </c>
      <c r="C1436" s="18" t="s">
        <v>2250</v>
      </c>
      <c r="D1436" s="19" t="s">
        <v>2251</v>
      </c>
      <c r="E1436" s="132" t="s">
        <v>14</v>
      </c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  <c r="AC1436" s="29"/>
      <c r="AD1436" s="29"/>
    </row>
    <row r="1437">
      <c r="A1437" s="29"/>
      <c r="B1437" s="35"/>
      <c r="C1437" s="29"/>
      <c r="D1437" s="29"/>
      <c r="E1437" s="29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  <c r="AC1437" s="29"/>
      <c r="AD1437" s="29"/>
    </row>
    <row r="1438">
      <c r="A1438" s="29"/>
      <c r="B1438" s="35"/>
      <c r="C1438" s="29"/>
      <c r="D1438" s="29"/>
      <c r="E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  <c r="AA1438" s="29"/>
      <c r="AB1438" s="29"/>
      <c r="AC1438" s="29"/>
      <c r="AD1438" s="29"/>
    </row>
    <row r="1439">
      <c r="A1439" s="115" t="s">
        <v>2252</v>
      </c>
      <c r="B1439" s="19" t="s">
        <v>2253</v>
      </c>
      <c r="C1439" s="18" t="s">
        <v>2254</v>
      </c>
      <c r="D1439" s="19" t="s">
        <v>2255</v>
      </c>
      <c r="E1439" s="132" t="s">
        <v>14</v>
      </c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  <c r="AC1439" s="29"/>
      <c r="AD1439" s="29"/>
    </row>
    <row r="1440">
      <c r="A1440" s="29"/>
      <c r="B1440" s="35"/>
      <c r="C1440" s="29"/>
      <c r="D1440" s="29"/>
      <c r="E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  <c r="AA1440" s="29"/>
      <c r="AB1440" s="29"/>
      <c r="AC1440" s="29"/>
      <c r="AD1440" s="29"/>
    </row>
    <row r="1441">
      <c r="A1441" s="29"/>
      <c r="B1441" s="35"/>
      <c r="C1441" s="29"/>
      <c r="D1441" s="29"/>
      <c r="E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  <c r="AA1441" s="29"/>
      <c r="AB1441" s="29"/>
      <c r="AC1441" s="29"/>
      <c r="AD1441" s="29"/>
    </row>
    <row r="1442">
      <c r="A1442" s="16" t="s">
        <v>2256</v>
      </c>
      <c r="B1442" s="22" t="s">
        <v>2257</v>
      </c>
      <c r="C1442" s="18" t="s">
        <v>2258</v>
      </c>
      <c r="D1442" s="19" t="s">
        <v>2259</v>
      </c>
      <c r="E1442" s="72" t="s">
        <v>7</v>
      </c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  <c r="AC1442" s="29"/>
      <c r="AD1442" s="29"/>
    </row>
    <row r="1443">
      <c r="A1443" s="16" t="s">
        <v>2256</v>
      </c>
      <c r="B1443" s="22" t="s">
        <v>2257</v>
      </c>
      <c r="C1443" s="18" t="s">
        <v>2260</v>
      </c>
      <c r="D1443" s="19" t="s">
        <v>2259</v>
      </c>
      <c r="E1443" s="72" t="s">
        <v>7</v>
      </c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  <c r="AC1443" s="29"/>
      <c r="AD1443" s="29"/>
    </row>
    <row r="1444">
      <c r="A1444" s="16" t="s">
        <v>2256</v>
      </c>
      <c r="B1444" s="22" t="s">
        <v>2257</v>
      </c>
      <c r="C1444" s="18" t="s">
        <v>2261</v>
      </c>
      <c r="D1444" s="19" t="s">
        <v>2259</v>
      </c>
      <c r="E1444" s="72" t="s">
        <v>7</v>
      </c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  <c r="AC1444" s="29"/>
      <c r="AD1444" s="29"/>
    </row>
    <row r="1445">
      <c r="A1445" s="29"/>
      <c r="B1445" s="35"/>
      <c r="C1445" s="29"/>
      <c r="D1445" s="29"/>
      <c r="E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  <c r="AC1445" s="29"/>
      <c r="AD1445" s="29"/>
    </row>
    <row r="1446">
      <c r="A1446" s="29"/>
      <c r="B1446" s="35"/>
      <c r="C1446" s="29"/>
      <c r="D1446" s="29"/>
      <c r="E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  <c r="AC1446" s="29"/>
      <c r="AD1446" s="29"/>
    </row>
    <row r="1447">
      <c r="A1447" s="115" t="s">
        <v>2262</v>
      </c>
      <c r="B1447" s="19" t="s">
        <v>2263</v>
      </c>
      <c r="C1447" s="18" t="s">
        <v>2264</v>
      </c>
      <c r="D1447" s="19" t="s">
        <v>2265</v>
      </c>
      <c r="E1447" s="132" t="s">
        <v>14</v>
      </c>
      <c r="F1447" s="132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  <c r="AC1447" s="29"/>
      <c r="AD1447" s="29"/>
    </row>
    <row r="1448">
      <c r="A1448" s="115"/>
      <c r="B1448" s="22"/>
      <c r="C1448" s="19"/>
      <c r="D1448" s="19"/>
      <c r="E1448" s="132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  <c r="AC1448" s="29"/>
      <c r="AD1448" s="29"/>
    </row>
    <row r="1449">
      <c r="A1449" s="115"/>
      <c r="B1449" s="22"/>
      <c r="C1449" s="19"/>
      <c r="D1449" s="19"/>
      <c r="E1449" s="132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  <c r="AC1449" s="29"/>
      <c r="AD1449" s="29"/>
    </row>
    <row r="1450">
      <c r="A1450" s="115" t="s">
        <v>2266</v>
      </c>
      <c r="B1450" s="22" t="s">
        <v>2267</v>
      </c>
      <c r="C1450" s="19" t="s">
        <v>2268</v>
      </c>
      <c r="D1450" s="19" t="s">
        <v>2269</v>
      </c>
      <c r="E1450" s="132" t="s">
        <v>1506</v>
      </c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  <c r="AC1450" s="29"/>
      <c r="AD1450" s="29"/>
    </row>
    <row r="1451">
      <c r="A1451" s="115" t="s">
        <v>2266</v>
      </c>
      <c r="B1451" s="19" t="s">
        <v>2270</v>
      </c>
      <c r="C1451" s="19" t="s">
        <v>2271</v>
      </c>
      <c r="D1451" s="19" t="s">
        <v>2272</v>
      </c>
      <c r="E1451" s="132" t="s">
        <v>14</v>
      </c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  <c r="AC1451" s="29"/>
      <c r="AD1451" s="29"/>
    </row>
    <row r="1452">
      <c r="A1452" s="115" t="s">
        <v>2266</v>
      </c>
      <c r="B1452" s="22" t="s">
        <v>2273</v>
      </c>
      <c r="C1452" s="19" t="s">
        <v>2274</v>
      </c>
      <c r="D1452" s="19" t="s">
        <v>2275</v>
      </c>
      <c r="E1452" s="72" t="s">
        <v>7</v>
      </c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  <c r="AC1452" s="29"/>
      <c r="AD1452" s="29"/>
    </row>
    <row r="1453">
      <c r="A1453" s="115" t="s">
        <v>2266</v>
      </c>
      <c r="B1453" s="22" t="s">
        <v>2273</v>
      </c>
      <c r="C1453" s="19" t="s">
        <v>2276</v>
      </c>
      <c r="D1453" s="19" t="s">
        <v>2275</v>
      </c>
      <c r="E1453" s="72" t="s">
        <v>7</v>
      </c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  <c r="AC1453" s="29"/>
      <c r="AD1453" s="29"/>
    </row>
    <row r="1454">
      <c r="A1454" s="115" t="s">
        <v>2266</v>
      </c>
      <c r="B1454" s="22" t="s">
        <v>2273</v>
      </c>
      <c r="C1454" s="19" t="s">
        <v>667</v>
      </c>
      <c r="D1454" s="19" t="s">
        <v>2275</v>
      </c>
      <c r="E1454" s="72" t="s">
        <v>7</v>
      </c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  <c r="AC1454" s="29"/>
      <c r="AD1454" s="29"/>
    </row>
    <row r="1455">
      <c r="A1455" s="115" t="s">
        <v>2266</v>
      </c>
      <c r="B1455" s="22" t="s">
        <v>2273</v>
      </c>
      <c r="C1455" s="19" t="s">
        <v>1350</v>
      </c>
      <c r="D1455" s="19" t="s">
        <v>2275</v>
      </c>
      <c r="E1455" s="72" t="s">
        <v>7</v>
      </c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  <c r="AC1455" s="29"/>
      <c r="AD1455" s="29"/>
    </row>
    <row r="1456">
      <c r="A1456" s="115" t="s">
        <v>2266</v>
      </c>
      <c r="B1456" s="22" t="s">
        <v>2273</v>
      </c>
      <c r="C1456" s="19" t="s">
        <v>2277</v>
      </c>
      <c r="D1456" s="19" t="s">
        <v>2275</v>
      </c>
      <c r="E1456" s="72" t="s">
        <v>7</v>
      </c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  <c r="AC1456" s="29"/>
      <c r="AD1456" s="29"/>
    </row>
    <row r="1457">
      <c r="A1457" s="115" t="s">
        <v>2266</v>
      </c>
      <c r="B1457" s="22" t="s">
        <v>2278</v>
      </c>
      <c r="C1457" s="19" t="s">
        <v>2276</v>
      </c>
      <c r="D1457" s="19" t="s">
        <v>2279</v>
      </c>
      <c r="E1457" s="72" t="s">
        <v>7</v>
      </c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  <c r="AC1457" s="29"/>
      <c r="AD1457" s="29"/>
    </row>
    <row r="1458">
      <c r="A1458" s="115" t="s">
        <v>2266</v>
      </c>
      <c r="B1458" s="22" t="s">
        <v>2278</v>
      </c>
      <c r="C1458" s="19" t="s">
        <v>2280</v>
      </c>
      <c r="D1458" s="19" t="s">
        <v>2279</v>
      </c>
      <c r="E1458" s="72" t="s">
        <v>7</v>
      </c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  <c r="AC1458" s="29"/>
      <c r="AD1458" s="29"/>
    </row>
    <row r="1459">
      <c r="A1459" s="29"/>
      <c r="B1459" s="35"/>
      <c r="C1459" s="29"/>
      <c r="D1459" s="29"/>
      <c r="E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  <c r="AC1459" s="29"/>
      <c r="AD1459" s="29"/>
    </row>
    <row r="1460">
      <c r="A1460" s="29"/>
      <c r="B1460" s="35"/>
      <c r="C1460" s="29"/>
      <c r="D1460" s="29"/>
      <c r="E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  <c r="AC1460" s="29"/>
      <c r="AD1460" s="29"/>
    </row>
    <row r="1461">
      <c r="A1461" s="115" t="s">
        <v>2281</v>
      </c>
      <c r="B1461" s="22" t="s">
        <v>2282</v>
      </c>
      <c r="C1461" s="18" t="s">
        <v>2283</v>
      </c>
      <c r="D1461" s="18" t="s">
        <v>2284</v>
      </c>
      <c r="E1461" s="72" t="s">
        <v>196</v>
      </c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  <c r="AC1461" s="29"/>
      <c r="AD1461" s="29"/>
    </row>
    <row r="1462">
      <c r="A1462" s="115" t="s">
        <v>2285</v>
      </c>
      <c r="B1462" s="22" t="s">
        <v>2286</v>
      </c>
      <c r="C1462" s="18" t="s">
        <v>2287</v>
      </c>
      <c r="D1462" s="19" t="s">
        <v>2288</v>
      </c>
      <c r="E1462" s="9" t="s">
        <v>764</v>
      </c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  <c r="AC1462" s="29"/>
      <c r="AD1462" s="29"/>
    </row>
    <row r="1463">
      <c r="A1463" s="115" t="s">
        <v>2289</v>
      </c>
      <c r="B1463" s="22" t="s">
        <v>2286</v>
      </c>
      <c r="C1463" s="18" t="s">
        <v>2287</v>
      </c>
      <c r="D1463" s="19" t="s">
        <v>2288</v>
      </c>
      <c r="E1463" s="9" t="s">
        <v>764</v>
      </c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  <c r="AC1463" s="29"/>
      <c r="AD1463" s="29"/>
    </row>
    <row r="1464">
      <c r="A1464" s="115" t="s">
        <v>2290</v>
      </c>
      <c r="B1464" s="19" t="s">
        <v>2270</v>
      </c>
      <c r="C1464" s="18" t="s">
        <v>2291</v>
      </c>
      <c r="D1464" s="19" t="s">
        <v>2292</v>
      </c>
      <c r="E1464" s="72" t="s">
        <v>196</v>
      </c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  <c r="AC1464" s="29"/>
      <c r="AD1464" s="29"/>
    </row>
    <row r="1465">
      <c r="A1465" s="29"/>
      <c r="B1465" s="35"/>
      <c r="C1465" s="29"/>
      <c r="D1465" s="29"/>
      <c r="E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  <c r="AC1465" s="29"/>
      <c r="AD1465" s="29"/>
    </row>
    <row r="1466">
      <c r="A1466" s="29"/>
      <c r="B1466" s="35"/>
      <c r="C1466" s="29"/>
      <c r="D1466" s="29"/>
      <c r="E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  <c r="AC1466" s="29"/>
      <c r="AD1466" s="29"/>
    </row>
    <row r="1467">
      <c r="A1467" s="115" t="s">
        <v>2293</v>
      </c>
      <c r="B1467" s="22" t="s">
        <v>2294</v>
      </c>
      <c r="C1467" s="18" t="s">
        <v>2258</v>
      </c>
      <c r="D1467" s="19" t="s">
        <v>2295</v>
      </c>
      <c r="E1467" s="132" t="s">
        <v>14</v>
      </c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  <c r="AC1467" s="29"/>
      <c r="AD1467" s="29"/>
    </row>
    <row r="1468">
      <c r="A1468" s="115" t="s">
        <v>2293</v>
      </c>
      <c r="B1468" s="19" t="s">
        <v>2296</v>
      </c>
      <c r="C1468" s="18" t="s">
        <v>2297</v>
      </c>
      <c r="D1468" s="19" t="s">
        <v>2298</v>
      </c>
      <c r="E1468" s="72" t="s">
        <v>196</v>
      </c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  <c r="AC1468" s="29"/>
      <c r="AD1468" s="29"/>
    </row>
    <row r="1469">
      <c r="A1469" s="6"/>
      <c r="B1469" s="9"/>
      <c r="C1469" s="9"/>
      <c r="D1469" s="9"/>
      <c r="E1469" s="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  <c r="AC1469" s="29"/>
      <c r="AD1469" s="29"/>
    </row>
    <row r="1470">
      <c r="A1470" s="6"/>
      <c r="B1470" s="9"/>
      <c r="C1470" s="9"/>
      <c r="D1470" s="9"/>
      <c r="E1470" s="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  <c r="AC1470" s="29"/>
      <c r="AD1470" s="29"/>
    </row>
    <row r="1471">
      <c r="A1471" s="115" t="s">
        <v>2299</v>
      </c>
      <c r="B1471" s="19" t="s">
        <v>2296</v>
      </c>
      <c r="C1471" s="18" t="s">
        <v>2297</v>
      </c>
      <c r="D1471" s="19" t="s">
        <v>2298</v>
      </c>
      <c r="E1471" s="72" t="s">
        <v>196</v>
      </c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  <c r="AC1471" s="29"/>
      <c r="AD1471" s="29"/>
    </row>
    <row r="1472">
      <c r="A1472" s="29"/>
      <c r="B1472" s="35"/>
      <c r="C1472" s="29"/>
      <c r="D1472" s="29"/>
      <c r="E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  <c r="AC1472" s="29"/>
      <c r="AD1472" s="29"/>
    </row>
    <row r="1473">
      <c r="A1473" s="29"/>
      <c r="B1473" s="35"/>
      <c r="C1473" s="29"/>
      <c r="D1473" s="29"/>
      <c r="E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  <c r="AC1473" s="29"/>
      <c r="AD1473" s="29"/>
    </row>
    <row r="1474">
      <c r="A1474" s="115" t="s">
        <v>2300</v>
      </c>
      <c r="B1474" s="19" t="s">
        <v>2296</v>
      </c>
      <c r="C1474" s="18" t="s">
        <v>2297</v>
      </c>
      <c r="D1474" s="19" t="s">
        <v>2298</v>
      </c>
      <c r="E1474" s="72" t="s">
        <v>196</v>
      </c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  <c r="AC1474" s="29"/>
      <c r="AD1474" s="29"/>
    </row>
    <row r="1475">
      <c r="A1475" s="29"/>
      <c r="B1475" s="35"/>
      <c r="C1475" s="29"/>
      <c r="D1475" s="29"/>
      <c r="E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  <c r="AC1475" s="29"/>
      <c r="AD1475" s="29"/>
    </row>
    <row r="1476">
      <c r="A1476" s="29"/>
      <c r="B1476" s="35"/>
      <c r="C1476" s="29"/>
      <c r="D1476" s="29"/>
      <c r="E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  <c r="AC1476" s="29"/>
      <c r="AD1476" s="29"/>
    </row>
    <row r="1477">
      <c r="A1477" s="16" t="s">
        <v>2301</v>
      </c>
      <c r="B1477" s="19" t="s">
        <v>2302</v>
      </c>
      <c r="C1477" s="18" t="s">
        <v>2303</v>
      </c>
      <c r="D1477" s="19" t="s">
        <v>2304</v>
      </c>
      <c r="E1477" s="72" t="s">
        <v>196</v>
      </c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  <c r="AC1477" s="29"/>
      <c r="AD1477" s="29"/>
    </row>
    <row r="1478">
      <c r="A1478" s="16" t="s">
        <v>2301</v>
      </c>
      <c r="B1478" s="22" t="s">
        <v>2305</v>
      </c>
      <c r="C1478" s="18" t="s">
        <v>2306</v>
      </c>
      <c r="D1478" s="19" t="s">
        <v>2307</v>
      </c>
      <c r="E1478" s="9" t="s">
        <v>2308</v>
      </c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  <c r="AC1478" s="29"/>
      <c r="AD1478" s="29"/>
    </row>
    <row r="1479">
      <c r="A1479" s="16" t="s">
        <v>2301</v>
      </c>
      <c r="B1479" s="22" t="s">
        <v>2305</v>
      </c>
      <c r="C1479" s="18" t="s">
        <v>2306</v>
      </c>
      <c r="D1479" s="19" t="s">
        <v>2307</v>
      </c>
      <c r="E1479" s="9" t="s">
        <v>2308</v>
      </c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  <c r="AC1479" s="29"/>
      <c r="AD1479" s="29"/>
    </row>
    <row r="1480">
      <c r="A1480" s="29"/>
      <c r="B1480" s="35"/>
      <c r="C1480" s="29"/>
      <c r="D1480" s="29"/>
      <c r="E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  <c r="AC1480" s="29"/>
      <c r="AD1480" s="29"/>
    </row>
    <row r="1481">
      <c r="A1481" s="29"/>
      <c r="B1481" s="35"/>
      <c r="C1481" s="29"/>
      <c r="D1481" s="29"/>
      <c r="E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  <c r="AC1481" s="29"/>
      <c r="AD1481" s="29"/>
    </row>
    <row r="1482">
      <c r="A1482" s="115" t="s">
        <v>2309</v>
      </c>
      <c r="B1482" s="22" t="s">
        <v>2310</v>
      </c>
      <c r="C1482" s="18" t="s">
        <v>2311</v>
      </c>
      <c r="D1482" s="18" t="s">
        <v>2304</v>
      </c>
      <c r="E1482" s="72" t="s">
        <v>196</v>
      </c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  <c r="AC1482" s="29"/>
      <c r="AD1482" s="29"/>
    </row>
    <row r="1483">
      <c r="A1483" s="115" t="s">
        <v>2309</v>
      </c>
      <c r="B1483" s="22" t="s">
        <v>2310</v>
      </c>
      <c r="C1483" s="18" t="s">
        <v>2312</v>
      </c>
      <c r="D1483" s="18" t="s">
        <v>2304</v>
      </c>
      <c r="E1483" s="9" t="s">
        <v>2313</v>
      </c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  <c r="AC1483" s="29"/>
      <c r="AD1483" s="29"/>
    </row>
    <row r="1484">
      <c r="A1484" s="115" t="s">
        <v>2309</v>
      </c>
      <c r="B1484" s="22" t="s">
        <v>2310</v>
      </c>
      <c r="C1484" s="18" t="s">
        <v>2314</v>
      </c>
      <c r="D1484" s="18" t="s">
        <v>2304</v>
      </c>
      <c r="E1484" s="9" t="s">
        <v>2313</v>
      </c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  <c r="AC1484" s="29"/>
      <c r="AD1484" s="29"/>
    </row>
    <row r="1485">
      <c r="A1485" s="115" t="s">
        <v>2309</v>
      </c>
      <c r="B1485" s="22" t="s">
        <v>2315</v>
      </c>
      <c r="C1485" s="18" t="s">
        <v>2316</v>
      </c>
      <c r="D1485" s="18" t="s">
        <v>903</v>
      </c>
      <c r="E1485" s="132" t="s">
        <v>2317</v>
      </c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  <c r="AC1485" s="29"/>
      <c r="AD1485" s="29"/>
    </row>
    <row r="1486">
      <c r="A1486" s="115" t="s">
        <v>2309</v>
      </c>
      <c r="B1486" s="22" t="s">
        <v>2318</v>
      </c>
      <c r="C1486" s="18" t="s">
        <v>2319</v>
      </c>
      <c r="D1486" s="18" t="s">
        <v>2320</v>
      </c>
      <c r="E1486" s="72" t="s">
        <v>7</v>
      </c>
      <c r="F1486" s="72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  <c r="AC1486" s="29"/>
      <c r="AD1486" s="29"/>
    </row>
    <row r="1487">
      <c r="A1487" s="115" t="s">
        <v>2309</v>
      </c>
      <c r="B1487" s="22" t="s">
        <v>2318</v>
      </c>
      <c r="C1487" s="18" t="s">
        <v>2321</v>
      </c>
      <c r="D1487" s="18" t="s">
        <v>2320</v>
      </c>
      <c r="E1487" s="72" t="s">
        <v>7</v>
      </c>
      <c r="F1487" s="72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  <c r="AC1487" s="29"/>
      <c r="AD1487" s="29"/>
    </row>
    <row r="1488">
      <c r="A1488" s="115" t="s">
        <v>2309</v>
      </c>
      <c r="B1488" s="22" t="s">
        <v>2318</v>
      </c>
      <c r="C1488" s="18" t="s">
        <v>2322</v>
      </c>
      <c r="D1488" s="18" t="s">
        <v>2320</v>
      </c>
      <c r="E1488" s="72" t="s">
        <v>7</v>
      </c>
      <c r="F1488" s="72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  <c r="AC1488" s="29"/>
      <c r="AD1488" s="29"/>
    </row>
    <row r="1489">
      <c r="A1489" s="115" t="s">
        <v>2309</v>
      </c>
      <c r="B1489" s="22" t="s">
        <v>2318</v>
      </c>
      <c r="C1489" s="18" t="s">
        <v>2323</v>
      </c>
      <c r="D1489" s="18" t="s">
        <v>2320</v>
      </c>
      <c r="E1489" s="72" t="s">
        <v>7</v>
      </c>
      <c r="F1489" s="72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  <c r="AC1489" s="29"/>
      <c r="AD1489" s="29"/>
    </row>
    <row r="1490">
      <c r="A1490" s="115" t="s">
        <v>2309</v>
      </c>
      <c r="B1490" s="22" t="s">
        <v>2318</v>
      </c>
      <c r="C1490" s="18" t="s">
        <v>2324</v>
      </c>
      <c r="D1490" s="18" t="s">
        <v>2320</v>
      </c>
      <c r="E1490" s="72" t="s">
        <v>7</v>
      </c>
      <c r="F1490" s="72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  <c r="AC1490" s="29"/>
      <c r="AD1490" s="29"/>
    </row>
    <row r="1491">
      <c r="A1491" s="29"/>
      <c r="B1491" s="35"/>
      <c r="C1491" s="9"/>
      <c r="D1491" s="9"/>
      <c r="E1491" s="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  <c r="AC1491" s="29"/>
      <c r="AD1491" s="29"/>
    </row>
    <row r="1492">
      <c r="A1492" s="29"/>
      <c r="B1492" s="35"/>
      <c r="C1492" s="29"/>
      <c r="D1492" s="29"/>
      <c r="E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  <c r="AC1492" s="29"/>
      <c r="AD1492" s="29"/>
    </row>
    <row r="1493">
      <c r="A1493" s="115" t="s">
        <v>2325</v>
      </c>
      <c r="B1493" s="19" t="s">
        <v>2326</v>
      </c>
      <c r="C1493" s="18" t="s">
        <v>2327</v>
      </c>
      <c r="D1493" s="19" t="s">
        <v>2320</v>
      </c>
      <c r="E1493" s="72" t="s">
        <v>196</v>
      </c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  <c r="AC1493" s="29"/>
      <c r="AD1493" s="29"/>
    </row>
    <row r="1494">
      <c r="A1494" s="115" t="s">
        <v>2325</v>
      </c>
      <c r="B1494" s="19" t="s">
        <v>2326</v>
      </c>
      <c r="C1494" s="18" t="s">
        <v>2328</v>
      </c>
      <c r="D1494" s="19" t="s">
        <v>2320</v>
      </c>
      <c r="E1494" s="72" t="s">
        <v>196</v>
      </c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  <c r="AC1494" s="29"/>
      <c r="AD1494" s="29"/>
    </row>
    <row r="1495">
      <c r="A1495" s="115" t="s">
        <v>2325</v>
      </c>
      <c r="B1495" s="22" t="s">
        <v>2329</v>
      </c>
      <c r="C1495" s="18" t="s">
        <v>2330</v>
      </c>
      <c r="D1495" s="19" t="s">
        <v>2331</v>
      </c>
      <c r="E1495" s="9" t="s">
        <v>2332</v>
      </c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  <c r="AC1495" s="29"/>
      <c r="AD1495" s="29"/>
    </row>
    <row r="1496">
      <c r="A1496" s="115" t="s">
        <v>2325</v>
      </c>
      <c r="B1496" s="22" t="s">
        <v>2329</v>
      </c>
      <c r="C1496" s="18" t="s">
        <v>2330</v>
      </c>
      <c r="D1496" s="19" t="s">
        <v>2331</v>
      </c>
      <c r="E1496" s="9" t="s">
        <v>2332</v>
      </c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  <c r="AC1496" s="29"/>
      <c r="AD1496" s="29"/>
    </row>
    <row r="1497">
      <c r="A1497" s="115" t="s">
        <v>2325</v>
      </c>
      <c r="B1497" s="22" t="s">
        <v>2329</v>
      </c>
      <c r="C1497" s="18" t="s">
        <v>2330</v>
      </c>
      <c r="D1497" s="19" t="s">
        <v>2331</v>
      </c>
      <c r="E1497" s="9" t="s">
        <v>2332</v>
      </c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  <c r="AC1497" s="29"/>
      <c r="AD1497" s="29"/>
    </row>
    <row r="1498">
      <c r="A1498" s="115" t="s">
        <v>2325</v>
      </c>
      <c r="B1498" s="22" t="s">
        <v>2333</v>
      </c>
      <c r="C1498" s="18" t="s">
        <v>2334</v>
      </c>
      <c r="D1498" s="19" t="s">
        <v>2335</v>
      </c>
      <c r="E1498" s="72" t="s">
        <v>196</v>
      </c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  <c r="AC1498" s="29"/>
      <c r="AD1498" s="29"/>
    </row>
    <row r="1499">
      <c r="A1499" s="29"/>
      <c r="B1499" s="35"/>
      <c r="C1499" s="29"/>
      <c r="D1499" s="29"/>
      <c r="E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  <c r="AC1499" s="29"/>
      <c r="AD1499" s="29"/>
    </row>
    <row r="1500">
      <c r="A1500" s="29"/>
      <c r="B1500" s="35"/>
      <c r="C1500" s="29"/>
      <c r="D1500" s="29"/>
      <c r="E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9"/>
      <c r="AD1500" s="29"/>
    </row>
    <row r="1501">
      <c r="A1501" s="115" t="s">
        <v>2336</v>
      </c>
      <c r="B1501" s="22" t="s">
        <v>2337</v>
      </c>
      <c r="C1501" s="18" t="s">
        <v>2338</v>
      </c>
      <c r="D1501" s="18" t="s">
        <v>2339</v>
      </c>
      <c r="E1501" s="72" t="s">
        <v>196</v>
      </c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  <c r="AC1501" s="29"/>
      <c r="AD1501" s="29"/>
    </row>
    <row r="1502">
      <c r="A1502" s="115" t="s">
        <v>2336</v>
      </c>
      <c r="B1502" s="19" t="s">
        <v>2340</v>
      </c>
      <c r="C1502" s="18" t="s">
        <v>2341</v>
      </c>
      <c r="D1502" s="19" t="s">
        <v>2342</v>
      </c>
      <c r="E1502" s="9" t="s">
        <v>14</v>
      </c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9"/>
      <c r="AD1502" s="29"/>
    </row>
    <row r="1503">
      <c r="A1503" s="115" t="s">
        <v>2336</v>
      </c>
      <c r="B1503" s="22" t="s">
        <v>2343</v>
      </c>
      <c r="C1503" s="18" t="s">
        <v>2344</v>
      </c>
      <c r="D1503" s="19" t="s">
        <v>2345</v>
      </c>
      <c r="E1503" s="161" t="s">
        <v>7</v>
      </c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  <c r="AC1503" s="29"/>
      <c r="AD1503" s="29"/>
    </row>
    <row r="1504">
      <c r="A1504" s="115" t="s">
        <v>2336</v>
      </c>
      <c r="B1504" s="22" t="s">
        <v>2343</v>
      </c>
      <c r="C1504" s="18" t="s">
        <v>2346</v>
      </c>
      <c r="D1504" s="19" t="s">
        <v>2345</v>
      </c>
      <c r="E1504" s="161" t="s">
        <v>7</v>
      </c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  <c r="AC1504" s="29"/>
      <c r="AD1504" s="29"/>
    </row>
    <row r="1505">
      <c r="A1505" s="115" t="s">
        <v>2336</v>
      </c>
      <c r="B1505" s="22" t="s">
        <v>2343</v>
      </c>
      <c r="C1505" s="18" t="s">
        <v>2347</v>
      </c>
      <c r="D1505" s="19" t="s">
        <v>2345</v>
      </c>
      <c r="E1505" s="161" t="s">
        <v>7</v>
      </c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  <c r="AA1505" s="29"/>
      <c r="AB1505" s="29"/>
      <c r="AC1505" s="29"/>
      <c r="AD1505" s="29"/>
    </row>
    <row r="1506">
      <c r="A1506" s="115" t="s">
        <v>2336</v>
      </c>
      <c r="B1506" s="22" t="s">
        <v>2343</v>
      </c>
      <c r="C1506" s="18" t="s">
        <v>2348</v>
      </c>
      <c r="D1506" s="19" t="s">
        <v>2345</v>
      </c>
      <c r="E1506" s="161" t="s">
        <v>7</v>
      </c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  <c r="AA1506" s="29"/>
      <c r="AB1506" s="29"/>
      <c r="AC1506" s="29"/>
      <c r="AD1506" s="29"/>
    </row>
    <row r="1507">
      <c r="A1507" s="115" t="s">
        <v>2336</v>
      </c>
      <c r="B1507" s="22" t="s">
        <v>2343</v>
      </c>
      <c r="C1507" s="18" t="s">
        <v>2349</v>
      </c>
      <c r="D1507" s="19" t="s">
        <v>2345</v>
      </c>
      <c r="E1507" s="161" t="s">
        <v>7</v>
      </c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  <c r="AA1507" s="29"/>
      <c r="AB1507" s="29"/>
      <c r="AC1507" s="29"/>
      <c r="AD1507" s="29"/>
    </row>
    <row r="1508">
      <c r="A1508" s="115" t="s">
        <v>2336</v>
      </c>
      <c r="B1508" s="22" t="s">
        <v>2343</v>
      </c>
      <c r="C1508" s="18" t="s">
        <v>2344</v>
      </c>
      <c r="D1508" s="19" t="s">
        <v>2345</v>
      </c>
      <c r="E1508" s="161" t="s">
        <v>7</v>
      </c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29"/>
      <c r="AB1508" s="29"/>
      <c r="AC1508" s="29"/>
      <c r="AD1508" s="29"/>
    </row>
    <row r="1509">
      <c r="A1509" s="115" t="s">
        <v>2336</v>
      </c>
      <c r="B1509" s="19" t="s">
        <v>2350</v>
      </c>
      <c r="C1509" s="18" t="s">
        <v>2351</v>
      </c>
      <c r="D1509" s="19" t="s">
        <v>2352</v>
      </c>
      <c r="E1509" s="132" t="s">
        <v>1506</v>
      </c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29"/>
      <c r="AB1509" s="29"/>
      <c r="AC1509" s="29"/>
      <c r="AD1509" s="29"/>
    </row>
    <row r="1510">
      <c r="A1510" s="29"/>
      <c r="B1510" s="35"/>
      <c r="C1510" s="29"/>
      <c r="D1510" s="29"/>
      <c r="E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  <c r="AC1510" s="29"/>
      <c r="AD1510" s="29"/>
    </row>
    <row r="1511">
      <c r="A1511" s="29"/>
      <c r="B1511" s="35"/>
      <c r="C1511" s="29"/>
      <c r="D1511" s="29"/>
      <c r="E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  <c r="AC1511" s="29"/>
      <c r="AD1511" s="29"/>
    </row>
    <row r="1512">
      <c r="A1512" s="115" t="s">
        <v>2353</v>
      </c>
      <c r="B1512" s="22" t="s">
        <v>2354</v>
      </c>
      <c r="C1512" s="18" t="s">
        <v>2355</v>
      </c>
      <c r="D1512" s="19" t="s">
        <v>2356</v>
      </c>
      <c r="E1512" s="72" t="s">
        <v>196</v>
      </c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  <c r="AC1512" s="29"/>
      <c r="AD1512" s="29"/>
    </row>
    <row r="1513">
      <c r="A1513" s="115" t="s">
        <v>2353</v>
      </c>
      <c r="B1513" s="22" t="s">
        <v>2329</v>
      </c>
      <c r="C1513" s="18" t="s">
        <v>2330</v>
      </c>
      <c r="D1513" s="18" t="s">
        <v>2331</v>
      </c>
      <c r="E1513" s="72" t="s">
        <v>196</v>
      </c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  <c r="AC1513" s="29"/>
      <c r="AD1513" s="29"/>
    </row>
    <row r="1514">
      <c r="A1514" s="29"/>
      <c r="B1514" s="35"/>
      <c r="C1514" s="29"/>
      <c r="D1514" s="29"/>
      <c r="E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  <c r="AC1514" s="29"/>
      <c r="AD1514" s="29"/>
    </row>
    <row r="1515">
      <c r="A1515" s="29"/>
      <c r="B1515" s="35"/>
      <c r="C1515" s="29"/>
      <c r="D1515" s="29"/>
      <c r="E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  <c r="AC1515" s="29"/>
      <c r="AD1515" s="29"/>
    </row>
    <row r="1516">
      <c r="A1516" s="115" t="s">
        <v>2357</v>
      </c>
      <c r="B1516" s="22" t="s">
        <v>2358</v>
      </c>
      <c r="C1516" s="18" t="s">
        <v>2359</v>
      </c>
      <c r="D1516" s="19" t="s">
        <v>2360</v>
      </c>
      <c r="E1516" s="72" t="s">
        <v>196</v>
      </c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  <c r="AC1516" s="29"/>
      <c r="AD1516" s="29"/>
    </row>
    <row r="1517">
      <c r="A1517" s="115" t="s">
        <v>2357</v>
      </c>
      <c r="B1517" s="22" t="s">
        <v>2358</v>
      </c>
      <c r="C1517" s="18" t="s">
        <v>2361</v>
      </c>
      <c r="D1517" s="19" t="s">
        <v>2360</v>
      </c>
      <c r="E1517" s="72" t="s">
        <v>196</v>
      </c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  <c r="AC1517" s="29"/>
      <c r="AD1517" s="29"/>
    </row>
    <row r="1518">
      <c r="A1518" s="115" t="s">
        <v>2357</v>
      </c>
      <c r="B1518" s="22" t="s">
        <v>2358</v>
      </c>
      <c r="C1518" s="18" t="s">
        <v>2362</v>
      </c>
      <c r="D1518" s="19" t="s">
        <v>2360</v>
      </c>
      <c r="E1518" s="72" t="s">
        <v>196</v>
      </c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  <c r="AC1518" s="29"/>
      <c r="AD1518" s="29"/>
    </row>
    <row r="1519">
      <c r="A1519" s="115" t="s">
        <v>2357</v>
      </c>
      <c r="B1519" s="22" t="s">
        <v>2358</v>
      </c>
      <c r="C1519" s="18" t="s">
        <v>2363</v>
      </c>
      <c r="D1519" s="19" t="s">
        <v>2360</v>
      </c>
      <c r="E1519" s="72" t="s">
        <v>196</v>
      </c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  <c r="AC1519" s="29"/>
      <c r="AD1519" s="29"/>
    </row>
    <row r="1520">
      <c r="A1520" s="29"/>
      <c r="B1520" s="35"/>
      <c r="C1520" s="29"/>
      <c r="D1520" s="29"/>
      <c r="E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  <c r="AC1520" s="29"/>
      <c r="AD1520" s="29"/>
    </row>
    <row r="1521">
      <c r="A1521" s="29"/>
      <c r="B1521" s="35"/>
      <c r="C1521" s="29"/>
      <c r="D1521" s="29"/>
      <c r="E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  <c r="AC1521" s="29"/>
      <c r="AD1521" s="29"/>
    </row>
    <row r="1522">
      <c r="A1522" s="115" t="s">
        <v>2364</v>
      </c>
      <c r="B1522" s="19" t="s">
        <v>2350</v>
      </c>
      <c r="C1522" s="18" t="s">
        <v>2365</v>
      </c>
      <c r="D1522" s="19" t="s">
        <v>2366</v>
      </c>
      <c r="E1522" s="132" t="s">
        <v>14</v>
      </c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  <c r="AC1522" s="29"/>
      <c r="AD1522" s="29"/>
    </row>
    <row r="1523">
      <c r="A1523" s="115" t="s">
        <v>2364</v>
      </c>
      <c r="B1523" s="22" t="s">
        <v>2367</v>
      </c>
      <c r="C1523" s="18" t="s">
        <v>2368</v>
      </c>
      <c r="D1523" s="19" t="s">
        <v>2369</v>
      </c>
      <c r="E1523" s="161" t="s">
        <v>7</v>
      </c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  <c r="AC1523" s="29"/>
      <c r="AD1523" s="29"/>
    </row>
    <row r="1524">
      <c r="A1524" s="115" t="s">
        <v>2364</v>
      </c>
      <c r="B1524" s="22" t="s">
        <v>2367</v>
      </c>
      <c r="C1524" s="18" t="s">
        <v>2370</v>
      </c>
      <c r="D1524" s="19" t="s">
        <v>2369</v>
      </c>
      <c r="E1524" s="161" t="s">
        <v>7</v>
      </c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  <c r="AC1524" s="29"/>
      <c r="AD1524" s="29"/>
    </row>
    <row r="1525">
      <c r="A1525" s="115" t="s">
        <v>2364</v>
      </c>
      <c r="B1525" s="22" t="s">
        <v>2367</v>
      </c>
      <c r="C1525" s="18" t="s">
        <v>2371</v>
      </c>
      <c r="D1525" s="19" t="s">
        <v>2372</v>
      </c>
      <c r="E1525" s="72" t="s">
        <v>196</v>
      </c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  <c r="AC1525" s="29"/>
      <c r="AD1525" s="29"/>
    </row>
    <row r="1526">
      <c r="A1526" s="115" t="s">
        <v>2364</v>
      </c>
      <c r="B1526" s="22" t="s">
        <v>2367</v>
      </c>
      <c r="C1526" s="18" t="s">
        <v>2373</v>
      </c>
      <c r="D1526" s="19" t="s">
        <v>2372</v>
      </c>
      <c r="E1526" s="161" t="s">
        <v>7</v>
      </c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  <c r="AC1526" s="29"/>
      <c r="AD1526" s="29"/>
    </row>
    <row r="1527">
      <c r="A1527" s="115" t="s">
        <v>2364</v>
      </c>
      <c r="B1527" s="22" t="s">
        <v>2367</v>
      </c>
      <c r="C1527" s="18" t="s">
        <v>2374</v>
      </c>
      <c r="D1527" s="19" t="s">
        <v>2372</v>
      </c>
      <c r="E1527" s="161" t="s">
        <v>7</v>
      </c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  <c r="AC1527" s="29"/>
      <c r="AD1527" s="29"/>
    </row>
    <row r="1528">
      <c r="A1528" s="115" t="s">
        <v>2364</v>
      </c>
      <c r="B1528" s="22" t="s">
        <v>2367</v>
      </c>
      <c r="C1528" s="18" t="s">
        <v>2375</v>
      </c>
      <c r="D1528" s="19" t="s">
        <v>2372</v>
      </c>
      <c r="E1528" s="161" t="s">
        <v>7</v>
      </c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  <c r="AC1528" s="29"/>
      <c r="AD1528" s="29"/>
    </row>
    <row r="1529">
      <c r="A1529" s="115" t="s">
        <v>2364</v>
      </c>
      <c r="B1529" s="19" t="s">
        <v>2376</v>
      </c>
      <c r="C1529" s="23" t="s">
        <v>2377</v>
      </c>
      <c r="D1529" s="19" t="s">
        <v>2360</v>
      </c>
      <c r="E1529" s="72" t="s">
        <v>196</v>
      </c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  <c r="AC1529" s="29"/>
      <c r="AD1529" s="29"/>
    </row>
    <row r="1530">
      <c r="A1530" s="115" t="s">
        <v>2364</v>
      </c>
      <c r="B1530" s="19" t="s">
        <v>2378</v>
      </c>
      <c r="C1530" s="18" t="s">
        <v>2330</v>
      </c>
      <c r="D1530" s="19" t="s">
        <v>2331</v>
      </c>
      <c r="E1530" s="72" t="s">
        <v>196</v>
      </c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  <c r="AC1530" s="29"/>
      <c r="AD1530" s="29"/>
    </row>
    <row r="1531">
      <c r="A1531" s="29"/>
      <c r="B1531" s="35"/>
      <c r="C1531" s="29"/>
      <c r="D1531" s="29"/>
      <c r="E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  <c r="AC1531" s="29"/>
      <c r="AD1531" s="29"/>
    </row>
    <row r="1532">
      <c r="A1532" s="29"/>
      <c r="B1532" s="35"/>
      <c r="C1532" s="29"/>
      <c r="D1532" s="29"/>
      <c r="E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  <c r="AC1532" s="29"/>
      <c r="AD1532" s="29"/>
    </row>
    <row r="1533">
      <c r="A1533" s="115" t="s">
        <v>2379</v>
      </c>
      <c r="B1533" s="22" t="s">
        <v>2367</v>
      </c>
      <c r="C1533" s="18" t="s">
        <v>2380</v>
      </c>
      <c r="D1533" s="19" t="s">
        <v>2369</v>
      </c>
      <c r="E1533" s="9" t="s">
        <v>1622</v>
      </c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  <c r="AC1533" s="29"/>
      <c r="AD1533" s="29"/>
    </row>
    <row r="1534">
      <c r="A1534" s="115" t="s">
        <v>2379</v>
      </c>
      <c r="B1534" s="22" t="s">
        <v>2367</v>
      </c>
      <c r="C1534" s="18" t="s">
        <v>2381</v>
      </c>
      <c r="D1534" s="19" t="s">
        <v>2369</v>
      </c>
      <c r="E1534" s="9" t="s">
        <v>1622</v>
      </c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  <c r="AC1534" s="29"/>
      <c r="AD1534" s="29"/>
    </row>
    <row r="1535">
      <c r="A1535" s="115" t="s">
        <v>2379</v>
      </c>
      <c r="B1535" s="22" t="s">
        <v>2367</v>
      </c>
      <c r="C1535" s="18" t="s">
        <v>2382</v>
      </c>
      <c r="D1535" s="19" t="s">
        <v>2369</v>
      </c>
      <c r="E1535" s="9" t="s">
        <v>1622</v>
      </c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  <c r="AC1535" s="29"/>
      <c r="AD1535" s="29"/>
    </row>
    <row r="1536">
      <c r="A1536" s="115" t="s">
        <v>2379</v>
      </c>
      <c r="B1536" s="22" t="s">
        <v>2367</v>
      </c>
      <c r="C1536" s="18" t="s">
        <v>2383</v>
      </c>
      <c r="D1536" s="19" t="s">
        <v>2369</v>
      </c>
      <c r="E1536" s="9" t="s">
        <v>1622</v>
      </c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  <c r="AC1536" s="29"/>
      <c r="AD1536" s="29"/>
    </row>
    <row r="1537">
      <c r="A1537" s="115" t="s">
        <v>2379</v>
      </c>
      <c r="B1537" s="19" t="s">
        <v>2384</v>
      </c>
      <c r="C1537" s="18" t="s">
        <v>2385</v>
      </c>
      <c r="D1537" s="19" t="s">
        <v>2386</v>
      </c>
      <c r="E1537" s="132" t="s">
        <v>14</v>
      </c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  <c r="AC1537" s="29"/>
      <c r="AD1537" s="29"/>
    </row>
    <row r="1538">
      <c r="A1538" s="115" t="s">
        <v>2379</v>
      </c>
      <c r="B1538" s="19" t="s">
        <v>2378</v>
      </c>
      <c r="C1538" s="18" t="s">
        <v>2330</v>
      </c>
      <c r="D1538" s="19" t="s">
        <v>2331</v>
      </c>
      <c r="E1538" s="72" t="s">
        <v>196</v>
      </c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  <c r="AC1538" s="29"/>
      <c r="AD1538" s="29"/>
    </row>
    <row r="1539">
      <c r="A1539" s="115" t="s">
        <v>2379</v>
      </c>
      <c r="B1539" s="19" t="s">
        <v>2378</v>
      </c>
      <c r="C1539" s="18" t="s">
        <v>2330</v>
      </c>
      <c r="D1539" s="19" t="s">
        <v>2331</v>
      </c>
      <c r="E1539" s="72" t="s">
        <v>196</v>
      </c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  <c r="AC1539" s="29"/>
      <c r="AD1539" s="29"/>
    </row>
    <row r="1540">
      <c r="A1540" s="6"/>
      <c r="B1540" s="9"/>
      <c r="C1540" s="9"/>
      <c r="D1540" s="9"/>
      <c r="E1540" s="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  <c r="AC1540" s="29"/>
      <c r="AD1540" s="29"/>
    </row>
    <row r="1541">
      <c r="A1541" s="6"/>
      <c r="B1541" s="9"/>
      <c r="C1541" s="9"/>
      <c r="D1541" s="9"/>
      <c r="E1541" s="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  <c r="AC1541" s="29"/>
      <c r="AD1541" s="29"/>
    </row>
    <row r="1542">
      <c r="A1542" s="115" t="s">
        <v>2387</v>
      </c>
      <c r="B1542" s="19" t="s">
        <v>2378</v>
      </c>
      <c r="C1542" s="18" t="s">
        <v>2330</v>
      </c>
      <c r="D1542" s="19" t="s">
        <v>2331</v>
      </c>
      <c r="E1542" s="72" t="s">
        <v>196</v>
      </c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  <c r="AC1542" s="29"/>
      <c r="AD1542" s="29"/>
    </row>
    <row r="1543">
      <c r="A1543" s="29"/>
      <c r="B1543" s="35"/>
      <c r="C1543" s="29"/>
      <c r="D1543" s="29"/>
      <c r="E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  <c r="AC1543" s="29"/>
      <c r="AD1543" s="29"/>
    </row>
    <row r="1544">
      <c r="A1544" s="29"/>
      <c r="B1544" s="35"/>
      <c r="C1544" s="29"/>
      <c r="D1544" s="29"/>
      <c r="E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  <c r="AC1544" s="29"/>
      <c r="AD1544" s="29"/>
    </row>
    <row r="1545">
      <c r="A1545" s="115" t="s">
        <v>2388</v>
      </c>
      <c r="B1545" s="19" t="s">
        <v>2389</v>
      </c>
      <c r="C1545" s="18" t="s">
        <v>2390</v>
      </c>
      <c r="D1545" s="19" t="s">
        <v>2391</v>
      </c>
      <c r="E1545" s="132" t="s">
        <v>14</v>
      </c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  <c r="AC1545" s="29"/>
      <c r="AD1545" s="29"/>
    </row>
    <row r="1546">
      <c r="A1546" s="115" t="s">
        <v>2388</v>
      </c>
      <c r="B1546" s="22" t="s">
        <v>2392</v>
      </c>
      <c r="C1546" s="18" t="s">
        <v>2393</v>
      </c>
      <c r="D1546" s="19" t="s">
        <v>2394</v>
      </c>
      <c r="E1546" s="132" t="s">
        <v>14</v>
      </c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  <c r="AC1546" s="29"/>
      <c r="AD1546" s="29"/>
    </row>
    <row r="1547">
      <c r="A1547" s="115" t="s">
        <v>2388</v>
      </c>
      <c r="B1547" s="19" t="s">
        <v>2395</v>
      </c>
      <c r="C1547" s="18" t="s">
        <v>2396</v>
      </c>
      <c r="D1547" s="19" t="s">
        <v>2397</v>
      </c>
      <c r="E1547" s="132" t="s">
        <v>14</v>
      </c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  <c r="AC1547" s="29"/>
      <c r="AD1547" s="29"/>
    </row>
    <row r="1548">
      <c r="A1548" s="115" t="s">
        <v>2388</v>
      </c>
      <c r="B1548" s="19" t="s">
        <v>2398</v>
      </c>
      <c r="C1548" s="18" t="s">
        <v>2399</v>
      </c>
      <c r="D1548" s="19" t="s">
        <v>2400</v>
      </c>
      <c r="E1548" s="132" t="s">
        <v>14</v>
      </c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  <c r="AC1548" s="29"/>
      <c r="AD1548" s="29"/>
    </row>
    <row r="1549">
      <c r="A1549" s="6"/>
      <c r="B1549" s="9"/>
      <c r="C1549" s="9"/>
      <c r="D1549" s="9"/>
      <c r="E1549" s="9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  <c r="AC1549" s="29"/>
      <c r="AD1549" s="29"/>
    </row>
    <row r="1550">
      <c r="A1550" s="6"/>
      <c r="B1550" s="9"/>
      <c r="C1550" s="9"/>
      <c r="D1550" s="9"/>
      <c r="E1550" s="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  <c r="AC1550" s="29"/>
      <c r="AD1550" s="29"/>
    </row>
    <row r="1551">
      <c r="A1551" s="115" t="s">
        <v>2401</v>
      </c>
      <c r="B1551" s="19" t="s">
        <v>2398</v>
      </c>
      <c r="C1551" s="18" t="s">
        <v>2402</v>
      </c>
      <c r="D1551" s="19" t="s">
        <v>2403</v>
      </c>
      <c r="E1551" s="9" t="s">
        <v>1506</v>
      </c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  <c r="AC1551" s="29"/>
      <c r="AD1551" s="29"/>
    </row>
    <row r="1552">
      <c r="A1552" s="115" t="s">
        <v>2401</v>
      </c>
      <c r="B1552" s="19" t="s">
        <v>2398</v>
      </c>
      <c r="C1552" s="18" t="s">
        <v>2404</v>
      </c>
      <c r="D1552" s="19" t="s">
        <v>2405</v>
      </c>
      <c r="E1552" s="9" t="s">
        <v>1506</v>
      </c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  <c r="AC1552" s="29"/>
      <c r="AD1552" s="29"/>
    </row>
    <row r="1553">
      <c r="A1553" s="115" t="s">
        <v>2401</v>
      </c>
      <c r="B1553" s="22" t="s">
        <v>2406</v>
      </c>
      <c r="C1553" s="18" t="s">
        <v>2407</v>
      </c>
      <c r="D1553" s="18" t="s">
        <v>2408</v>
      </c>
      <c r="E1553" s="132" t="s">
        <v>14</v>
      </c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  <c r="AC1553" s="29"/>
      <c r="AD1553" s="29"/>
    </row>
    <row r="1554">
      <c r="A1554" s="115" t="s">
        <v>2401</v>
      </c>
      <c r="B1554" s="22" t="s">
        <v>2406</v>
      </c>
      <c r="C1554" s="18" t="s">
        <v>2409</v>
      </c>
      <c r="D1554" s="18" t="s">
        <v>2410</v>
      </c>
      <c r="E1554" s="132" t="s">
        <v>14</v>
      </c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  <c r="AC1554" s="29"/>
      <c r="AD1554" s="29"/>
    </row>
    <row r="1555">
      <c r="A1555" s="115" t="s">
        <v>2401</v>
      </c>
      <c r="B1555" s="22" t="s">
        <v>2411</v>
      </c>
      <c r="C1555" s="18" t="s">
        <v>2412</v>
      </c>
      <c r="D1555" s="19" t="s">
        <v>2413</v>
      </c>
      <c r="E1555" s="72" t="s">
        <v>196</v>
      </c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  <c r="AC1555" s="29"/>
      <c r="AD1555" s="29"/>
    </row>
    <row r="1556">
      <c r="A1556" s="6"/>
      <c r="B1556" s="9"/>
      <c r="C1556" s="9"/>
      <c r="D1556" s="9"/>
      <c r="E1556" s="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  <c r="AC1556" s="29"/>
      <c r="AD1556" s="29"/>
    </row>
    <row r="1557">
      <c r="A1557" s="6"/>
      <c r="B1557" s="9"/>
      <c r="C1557" s="9"/>
      <c r="D1557" s="9"/>
      <c r="E1557" s="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  <c r="AC1557" s="29"/>
      <c r="AD1557" s="29"/>
    </row>
    <row r="1558">
      <c r="A1558" s="115" t="s">
        <v>2414</v>
      </c>
      <c r="B1558" s="19" t="s">
        <v>2218</v>
      </c>
      <c r="C1558" s="18" t="s">
        <v>2219</v>
      </c>
      <c r="D1558" s="19" t="s">
        <v>2220</v>
      </c>
      <c r="E1558" s="72" t="s">
        <v>196</v>
      </c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  <c r="AC1558" s="29"/>
      <c r="AD1558" s="29"/>
    </row>
    <row r="1559">
      <c r="A1559" s="29"/>
      <c r="B1559" s="35"/>
      <c r="C1559" s="29"/>
      <c r="D1559" s="29"/>
      <c r="E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  <c r="AC1559" s="29"/>
      <c r="AD1559" s="29"/>
    </row>
    <row r="1560">
      <c r="A1560" s="29"/>
      <c r="B1560" s="35"/>
      <c r="C1560" s="29"/>
      <c r="D1560" s="29"/>
      <c r="E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  <c r="AC1560" s="29"/>
      <c r="AD1560" s="29"/>
    </row>
    <row r="1561">
      <c r="A1561" s="115" t="s">
        <v>2415</v>
      </c>
      <c r="B1561" s="22" t="s">
        <v>2416</v>
      </c>
      <c r="C1561" s="18" t="s">
        <v>2417</v>
      </c>
      <c r="D1561" s="19" t="s">
        <v>2418</v>
      </c>
      <c r="E1561" s="9" t="s">
        <v>1622</v>
      </c>
      <c r="G1561" s="29"/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  <c r="AC1561" s="29"/>
      <c r="AD1561" s="29"/>
    </row>
    <row r="1562">
      <c r="A1562" s="115" t="s">
        <v>2415</v>
      </c>
      <c r="B1562" s="22" t="s">
        <v>2416</v>
      </c>
      <c r="C1562" s="18" t="s">
        <v>2419</v>
      </c>
      <c r="D1562" s="19" t="s">
        <v>2420</v>
      </c>
      <c r="E1562" s="9" t="s">
        <v>1622</v>
      </c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  <c r="AC1562" s="29"/>
      <c r="AD1562" s="29"/>
    </row>
    <row r="1563">
      <c r="A1563" s="115" t="s">
        <v>2415</v>
      </c>
      <c r="B1563" s="22" t="s">
        <v>2416</v>
      </c>
      <c r="C1563" s="18" t="s">
        <v>2421</v>
      </c>
      <c r="D1563" s="19" t="s">
        <v>2422</v>
      </c>
      <c r="E1563" s="9" t="s">
        <v>1622</v>
      </c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  <c r="AC1563" s="29"/>
      <c r="AD1563" s="29"/>
    </row>
    <row r="1564">
      <c r="A1564" s="115" t="s">
        <v>2415</v>
      </c>
      <c r="B1564" s="22" t="s">
        <v>2416</v>
      </c>
      <c r="C1564" s="18" t="s">
        <v>2421</v>
      </c>
      <c r="D1564" s="19" t="s">
        <v>2423</v>
      </c>
      <c r="E1564" s="9" t="s">
        <v>1622</v>
      </c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  <c r="AC1564" s="29"/>
      <c r="AD1564" s="29"/>
    </row>
    <row r="1565">
      <c r="A1565" s="115" t="s">
        <v>2415</v>
      </c>
      <c r="B1565" s="22" t="s">
        <v>2416</v>
      </c>
      <c r="C1565" s="18" t="s">
        <v>2424</v>
      </c>
      <c r="D1565" s="19" t="s">
        <v>2425</v>
      </c>
      <c r="E1565" s="9" t="s">
        <v>1622</v>
      </c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  <c r="AC1565" s="29"/>
      <c r="AD1565" s="29"/>
    </row>
    <row r="1566">
      <c r="A1566" s="115" t="s">
        <v>2415</v>
      </c>
      <c r="B1566" s="22" t="s">
        <v>2416</v>
      </c>
      <c r="C1566" s="18" t="s">
        <v>2426</v>
      </c>
      <c r="D1566" s="19" t="s">
        <v>2427</v>
      </c>
      <c r="E1566" s="9" t="s">
        <v>1622</v>
      </c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  <c r="AC1566" s="29"/>
      <c r="AD1566" s="29"/>
    </row>
    <row r="1567">
      <c r="A1567" s="115" t="s">
        <v>2415</v>
      </c>
      <c r="B1567" s="22" t="s">
        <v>2416</v>
      </c>
      <c r="C1567" s="18" t="s">
        <v>2428</v>
      </c>
      <c r="D1567" s="19" t="s">
        <v>2429</v>
      </c>
      <c r="E1567" s="9" t="s">
        <v>1622</v>
      </c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  <c r="AC1567" s="29"/>
      <c r="AD1567" s="29"/>
    </row>
    <row r="1568">
      <c r="A1568" s="115" t="s">
        <v>2415</v>
      </c>
      <c r="B1568" s="22" t="s">
        <v>2416</v>
      </c>
      <c r="C1568" s="18" t="s">
        <v>2430</v>
      </c>
      <c r="D1568" s="19" t="s">
        <v>2431</v>
      </c>
      <c r="E1568" s="9" t="s">
        <v>1622</v>
      </c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  <c r="AC1568" s="29"/>
      <c r="AD1568" s="29"/>
    </row>
    <row r="1569">
      <c r="A1569" s="115" t="s">
        <v>2415</v>
      </c>
      <c r="B1569" s="22" t="s">
        <v>2432</v>
      </c>
      <c r="C1569" s="18" t="s">
        <v>2433</v>
      </c>
      <c r="D1569" s="19" t="s">
        <v>2434</v>
      </c>
      <c r="E1569" s="132" t="s">
        <v>14</v>
      </c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  <c r="AC1569" s="29"/>
      <c r="AD1569" s="29"/>
    </row>
    <row r="1570">
      <c r="A1570" s="29"/>
      <c r="B1570" s="35"/>
      <c r="C1570" s="29"/>
      <c r="D1570" s="29"/>
      <c r="E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  <c r="AC1570" s="29"/>
      <c r="AD1570" s="29"/>
    </row>
    <row r="1571">
      <c r="A1571" s="29"/>
      <c r="B1571" s="35"/>
      <c r="C1571" s="29"/>
      <c r="D1571" s="29"/>
      <c r="E1571" s="29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  <c r="AC1571" s="29"/>
      <c r="AD1571" s="29"/>
    </row>
    <row r="1572">
      <c r="A1572" s="115" t="s">
        <v>2435</v>
      </c>
      <c r="B1572" s="22" t="s">
        <v>2436</v>
      </c>
      <c r="C1572" s="18" t="s">
        <v>2437</v>
      </c>
      <c r="D1572" s="19" t="s">
        <v>2438</v>
      </c>
      <c r="E1572" s="72" t="s">
        <v>196</v>
      </c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  <c r="AC1572" s="29"/>
      <c r="AD1572" s="29"/>
    </row>
    <row r="1573">
      <c r="A1573" s="115" t="s">
        <v>2435</v>
      </c>
      <c r="B1573" s="22" t="s">
        <v>2436</v>
      </c>
      <c r="C1573" s="18" t="s">
        <v>2439</v>
      </c>
      <c r="D1573" s="19" t="s">
        <v>2438</v>
      </c>
      <c r="E1573" s="72" t="s">
        <v>196</v>
      </c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  <c r="AC1573" s="29"/>
      <c r="AD1573" s="29"/>
    </row>
    <row r="1574">
      <c r="A1574" s="115" t="s">
        <v>2435</v>
      </c>
      <c r="B1574" s="22" t="s">
        <v>2440</v>
      </c>
      <c r="C1574" s="18" t="s">
        <v>2441</v>
      </c>
      <c r="D1574" s="19" t="s">
        <v>2442</v>
      </c>
      <c r="E1574" s="72" t="s">
        <v>196</v>
      </c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  <c r="AC1574" s="29"/>
      <c r="AD1574" s="29"/>
    </row>
    <row r="1575">
      <c r="A1575" s="115" t="s">
        <v>2435</v>
      </c>
      <c r="B1575" s="22" t="s">
        <v>2443</v>
      </c>
      <c r="C1575" s="18" t="s">
        <v>2444</v>
      </c>
      <c r="D1575" s="19" t="s">
        <v>2445</v>
      </c>
      <c r="E1575" s="132" t="s">
        <v>14</v>
      </c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  <c r="AC1575" s="29"/>
      <c r="AD1575" s="29"/>
    </row>
    <row r="1576">
      <c r="A1576" s="115" t="s">
        <v>2435</v>
      </c>
      <c r="B1576" s="19" t="s">
        <v>2446</v>
      </c>
      <c r="C1576" s="18" t="s">
        <v>2447</v>
      </c>
      <c r="D1576" s="19" t="s">
        <v>2448</v>
      </c>
      <c r="E1576" s="72" t="s">
        <v>196</v>
      </c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  <c r="AC1576" s="29"/>
      <c r="AD1576" s="29"/>
    </row>
    <row r="1577">
      <c r="A1577" s="115" t="s">
        <v>2435</v>
      </c>
      <c r="B1577" s="19" t="s">
        <v>2449</v>
      </c>
      <c r="C1577" s="18" t="s">
        <v>2450</v>
      </c>
      <c r="D1577" s="19" t="s">
        <v>2451</v>
      </c>
      <c r="E1577" s="132" t="s">
        <v>14</v>
      </c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  <c r="AC1577" s="29"/>
      <c r="AD1577" s="29"/>
    </row>
    <row r="1578">
      <c r="A1578" s="29"/>
      <c r="B1578" s="35"/>
      <c r="C1578" s="29"/>
      <c r="D1578" s="29"/>
      <c r="E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  <c r="AC1578" s="29"/>
      <c r="AD1578" s="29"/>
    </row>
    <row r="1579">
      <c r="A1579" s="29"/>
      <c r="B1579" s="35"/>
      <c r="C1579" s="29"/>
      <c r="D1579" s="29"/>
      <c r="E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  <c r="AC1579" s="29"/>
      <c r="AD1579" s="29"/>
    </row>
    <row r="1580">
      <c r="A1580" s="115" t="s">
        <v>2452</v>
      </c>
      <c r="B1580" s="22" t="s">
        <v>2453</v>
      </c>
      <c r="C1580" s="18" t="s">
        <v>2454</v>
      </c>
      <c r="D1580" s="19" t="s">
        <v>2455</v>
      </c>
      <c r="E1580" s="9" t="s">
        <v>2456</v>
      </c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  <c r="AC1580" s="29"/>
      <c r="AD1580" s="29"/>
    </row>
    <row r="1581">
      <c r="A1581" s="115" t="s">
        <v>2452</v>
      </c>
      <c r="B1581" s="22" t="s">
        <v>2453</v>
      </c>
      <c r="C1581" s="18" t="s">
        <v>2454</v>
      </c>
      <c r="D1581" s="19" t="s">
        <v>2457</v>
      </c>
      <c r="E1581" s="9" t="s">
        <v>2456</v>
      </c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  <c r="AC1581" s="29"/>
      <c r="AD1581" s="29"/>
    </row>
    <row r="1582">
      <c r="A1582" s="115" t="s">
        <v>2452</v>
      </c>
      <c r="B1582" s="22" t="s">
        <v>2453</v>
      </c>
      <c r="C1582" s="18" t="s">
        <v>2454</v>
      </c>
      <c r="D1582" s="19" t="s">
        <v>2458</v>
      </c>
      <c r="E1582" s="9" t="s">
        <v>2456</v>
      </c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  <c r="AC1582" s="29"/>
      <c r="AD1582" s="29"/>
    </row>
    <row r="1583">
      <c r="A1583" s="115" t="s">
        <v>2452</v>
      </c>
      <c r="B1583" s="22" t="s">
        <v>2453</v>
      </c>
      <c r="C1583" s="18" t="s">
        <v>2454</v>
      </c>
      <c r="D1583" s="19" t="s">
        <v>2459</v>
      </c>
      <c r="E1583" s="9" t="s">
        <v>2456</v>
      </c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  <c r="AC1583" s="29"/>
      <c r="AD1583" s="29"/>
    </row>
    <row r="1584">
      <c r="A1584" s="115" t="s">
        <v>2452</v>
      </c>
      <c r="B1584" s="22" t="s">
        <v>2453</v>
      </c>
      <c r="C1584" s="18" t="s">
        <v>2454</v>
      </c>
      <c r="D1584" s="19" t="s">
        <v>2460</v>
      </c>
      <c r="E1584" s="9" t="s">
        <v>2456</v>
      </c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  <c r="AC1584" s="29"/>
      <c r="AD1584" s="29"/>
    </row>
    <row r="1585">
      <c r="A1585" s="115" t="s">
        <v>2452</v>
      </c>
      <c r="B1585" s="19" t="s">
        <v>2378</v>
      </c>
      <c r="C1585" s="18" t="s">
        <v>2330</v>
      </c>
      <c r="D1585" s="19" t="s">
        <v>2331</v>
      </c>
      <c r="E1585" s="72" t="s">
        <v>196</v>
      </c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  <c r="AC1585" s="29"/>
      <c r="AD1585" s="29"/>
    </row>
    <row r="1586">
      <c r="A1586" s="115" t="s">
        <v>2452</v>
      </c>
      <c r="B1586" s="22" t="s">
        <v>2461</v>
      </c>
      <c r="C1586" s="18" t="s">
        <v>2462</v>
      </c>
      <c r="D1586" s="19" t="s">
        <v>2463</v>
      </c>
      <c r="E1586" s="132" t="s">
        <v>14</v>
      </c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  <c r="AC1586" s="29"/>
      <c r="AD1586" s="29"/>
    </row>
    <row r="1587">
      <c r="A1587" s="115" t="s">
        <v>2452</v>
      </c>
      <c r="B1587" s="19" t="s">
        <v>2464</v>
      </c>
      <c r="C1587" s="18" t="s">
        <v>2465</v>
      </c>
      <c r="D1587" s="19" t="s">
        <v>2466</v>
      </c>
      <c r="E1587" s="132" t="s">
        <v>14</v>
      </c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  <c r="AC1587" s="29"/>
      <c r="AD1587" s="29"/>
    </row>
    <row r="1588">
      <c r="A1588" s="29"/>
      <c r="B1588" s="35"/>
      <c r="C1588" s="29"/>
      <c r="D1588" s="29"/>
      <c r="E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  <c r="AC1588" s="29"/>
      <c r="AD1588" s="29"/>
    </row>
    <row r="1589">
      <c r="A1589" s="29"/>
      <c r="B1589" s="35"/>
      <c r="C1589" s="29"/>
      <c r="D1589" s="29"/>
      <c r="E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  <c r="AC1589" s="29"/>
      <c r="AD1589" s="29"/>
    </row>
    <row r="1590">
      <c r="A1590" s="115" t="s">
        <v>2467</v>
      </c>
      <c r="B1590" s="19" t="s">
        <v>2449</v>
      </c>
      <c r="C1590" s="18" t="s">
        <v>1251</v>
      </c>
      <c r="D1590" s="19" t="s">
        <v>2468</v>
      </c>
      <c r="E1590" s="132" t="s">
        <v>14</v>
      </c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  <c r="AC1590" s="29"/>
      <c r="AD1590" s="29"/>
    </row>
    <row r="1591">
      <c r="A1591" s="29"/>
      <c r="B1591" s="35"/>
      <c r="C1591" s="29"/>
      <c r="D1591" s="29"/>
      <c r="E1591" s="29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  <c r="AC1591" s="29"/>
      <c r="AD1591" s="29"/>
    </row>
    <row r="1592">
      <c r="A1592" s="29"/>
      <c r="B1592" s="35"/>
      <c r="C1592" s="29"/>
      <c r="D1592" s="29"/>
      <c r="E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  <c r="AC1592" s="29"/>
      <c r="AD1592" s="29"/>
    </row>
    <row r="1593">
      <c r="A1593" s="16" t="s">
        <v>2469</v>
      </c>
      <c r="B1593" s="22" t="s">
        <v>2470</v>
      </c>
      <c r="C1593" s="18" t="s">
        <v>2471</v>
      </c>
      <c r="D1593" s="19" t="s">
        <v>2472</v>
      </c>
      <c r="E1593" s="72" t="s">
        <v>196</v>
      </c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  <c r="AC1593" s="29"/>
      <c r="AD1593" s="29"/>
    </row>
    <row r="1594">
      <c r="A1594" s="16" t="s">
        <v>2469</v>
      </c>
      <c r="B1594" s="22" t="s">
        <v>2473</v>
      </c>
      <c r="C1594" s="18" t="s">
        <v>2474</v>
      </c>
      <c r="D1594" s="19" t="s">
        <v>2475</v>
      </c>
      <c r="E1594" s="72" t="s">
        <v>196</v>
      </c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  <c r="AC1594" s="29"/>
      <c r="AD1594" s="29"/>
    </row>
    <row r="1595">
      <c r="A1595" s="16" t="s">
        <v>2469</v>
      </c>
      <c r="B1595" s="22" t="s">
        <v>2473</v>
      </c>
      <c r="C1595" s="18" t="s">
        <v>449</v>
      </c>
      <c r="D1595" s="19" t="s">
        <v>2475</v>
      </c>
      <c r="E1595" s="72" t="s">
        <v>196</v>
      </c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  <c r="AC1595" s="29"/>
      <c r="AD1595" s="29"/>
    </row>
    <row r="1596">
      <c r="A1596" s="16" t="s">
        <v>2469</v>
      </c>
      <c r="B1596" s="19" t="s">
        <v>2476</v>
      </c>
      <c r="C1596" s="18" t="s">
        <v>2477</v>
      </c>
      <c r="D1596" s="19" t="s">
        <v>2438</v>
      </c>
      <c r="E1596" s="72" t="s">
        <v>196</v>
      </c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  <c r="AC1596" s="29"/>
      <c r="AD1596" s="29"/>
    </row>
    <row r="1597">
      <c r="A1597" s="16" t="s">
        <v>2469</v>
      </c>
      <c r="B1597" s="19" t="s">
        <v>2476</v>
      </c>
      <c r="C1597" s="18" t="s">
        <v>2437</v>
      </c>
      <c r="D1597" s="19" t="s">
        <v>2438</v>
      </c>
      <c r="E1597" s="72" t="s">
        <v>196</v>
      </c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  <c r="AC1597" s="29"/>
      <c r="AD1597" s="29"/>
    </row>
    <row r="1598">
      <c r="A1598" s="29"/>
      <c r="B1598" s="35"/>
      <c r="C1598" s="29"/>
      <c r="D1598" s="29"/>
      <c r="E1598" s="29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  <c r="AC1598" s="29"/>
      <c r="AD1598" s="29"/>
    </row>
    <row r="1599">
      <c r="A1599" s="29"/>
      <c r="B1599" s="35"/>
      <c r="C1599" s="29"/>
      <c r="D1599" s="29"/>
      <c r="E1599" s="29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  <c r="AC1599" s="29"/>
      <c r="AD1599" s="29"/>
    </row>
    <row r="1600">
      <c r="A1600" s="16" t="s">
        <v>2478</v>
      </c>
      <c r="B1600" s="22" t="s">
        <v>2479</v>
      </c>
      <c r="C1600" s="18" t="s">
        <v>2480</v>
      </c>
      <c r="D1600" s="19" t="s">
        <v>2481</v>
      </c>
      <c r="E1600" s="132" t="s">
        <v>14</v>
      </c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29"/>
      <c r="AD1600" s="29"/>
    </row>
    <row r="1601">
      <c r="A1601" s="29"/>
      <c r="B1601" s="35"/>
      <c r="C1601" s="29"/>
      <c r="D1601" s="29"/>
      <c r="E1601" s="29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  <c r="AC1601" s="29"/>
      <c r="AD1601" s="29"/>
    </row>
    <row r="1602">
      <c r="A1602" s="29"/>
      <c r="B1602" s="35"/>
      <c r="C1602" s="29"/>
      <c r="D1602" s="29"/>
      <c r="E1602" s="29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  <c r="AC1602" s="29"/>
      <c r="AD1602" s="29"/>
    </row>
    <row r="1603">
      <c r="A1603" s="115" t="s">
        <v>2482</v>
      </c>
      <c r="B1603" s="19" t="s">
        <v>2483</v>
      </c>
      <c r="C1603" s="18" t="s">
        <v>2484</v>
      </c>
      <c r="D1603" s="19" t="s">
        <v>2485</v>
      </c>
      <c r="E1603" s="132" t="s">
        <v>2486</v>
      </c>
      <c r="F1603" s="162"/>
      <c r="G1603" s="118"/>
      <c r="H1603" s="6"/>
      <c r="I1603" s="6"/>
      <c r="J1603" s="6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29"/>
      <c r="AD1603" s="29"/>
    </row>
    <row r="1604">
      <c r="A1604" s="29"/>
      <c r="B1604" s="35"/>
      <c r="C1604" s="29"/>
      <c r="D1604" s="29"/>
      <c r="E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  <c r="AC1604" s="29"/>
      <c r="AD1604" s="29"/>
    </row>
    <row r="1605">
      <c r="A1605" s="29"/>
      <c r="B1605" s="35"/>
      <c r="C1605" s="29"/>
      <c r="D1605" s="29"/>
      <c r="E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  <c r="AC1605" s="29"/>
      <c r="AD1605" s="29"/>
    </row>
    <row r="1606">
      <c r="A1606" s="115" t="s">
        <v>2487</v>
      </c>
      <c r="B1606" s="19" t="s">
        <v>2488</v>
      </c>
      <c r="C1606" s="18" t="s">
        <v>2489</v>
      </c>
      <c r="D1606" s="19" t="s">
        <v>2490</v>
      </c>
      <c r="E1606" s="72" t="s">
        <v>196</v>
      </c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  <c r="AC1606" s="29"/>
      <c r="AD1606" s="29"/>
    </row>
    <row r="1607">
      <c r="A1607" s="115" t="s">
        <v>2487</v>
      </c>
      <c r="B1607" s="19" t="s">
        <v>2491</v>
      </c>
      <c r="C1607" s="18" t="s">
        <v>2492</v>
      </c>
      <c r="D1607" s="19" t="s">
        <v>2493</v>
      </c>
      <c r="E1607" s="132" t="s">
        <v>2494</v>
      </c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  <c r="AC1607" s="29"/>
      <c r="AD1607" s="29"/>
    </row>
    <row r="1608">
      <c r="A1608" s="115" t="s">
        <v>2487</v>
      </c>
      <c r="B1608" s="22" t="s">
        <v>2495</v>
      </c>
      <c r="C1608" s="18" t="s">
        <v>2496</v>
      </c>
      <c r="D1608" s="19" t="s">
        <v>2497</v>
      </c>
      <c r="E1608" s="132" t="s">
        <v>2498</v>
      </c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  <c r="AC1608" s="29"/>
      <c r="AD1608" s="29"/>
    </row>
    <row r="1609">
      <c r="A1609" s="115" t="s">
        <v>2487</v>
      </c>
      <c r="B1609" s="22" t="s">
        <v>2499</v>
      </c>
      <c r="C1609" s="18" t="s">
        <v>2500</v>
      </c>
      <c r="D1609" s="19" t="s">
        <v>2501</v>
      </c>
      <c r="E1609" s="161" t="s">
        <v>7</v>
      </c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  <c r="AC1609" s="29"/>
      <c r="AD1609" s="29"/>
    </row>
    <row r="1610">
      <c r="A1610" s="115" t="s">
        <v>2487</v>
      </c>
      <c r="B1610" s="22" t="s">
        <v>2499</v>
      </c>
      <c r="C1610" s="18" t="s">
        <v>2502</v>
      </c>
      <c r="D1610" s="19" t="s">
        <v>2503</v>
      </c>
      <c r="E1610" s="161" t="s">
        <v>7</v>
      </c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  <c r="AC1610" s="29"/>
      <c r="AD1610" s="29"/>
    </row>
    <row r="1611">
      <c r="A1611" s="115" t="s">
        <v>2487</v>
      </c>
      <c r="B1611" s="22" t="s">
        <v>2499</v>
      </c>
      <c r="C1611" s="18" t="s">
        <v>2504</v>
      </c>
      <c r="D1611" s="19" t="s">
        <v>2505</v>
      </c>
      <c r="E1611" s="161" t="s">
        <v>7</v>
      </c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  <c r="AC1611" s="29"/>
      <c r="AD1611" s="29"/>
    </row>
    <row r="1612">
      <c r="A1612" s="115" t="s">
        <v>2487</v>
      </c>
      <c r="B1612" s="22" t="s">
        <v>2499</v>
      </c>
      <c r="C1612" s="18" t="s">
        <v>2506</v>
      </c>
      <c r="D1612" s="19" t="s">
        <v>2507</v>
      </c>
      <c r="E1612" s="161" t="s">
        <v>7</v>
      </c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  <c r="AC1612" s="29"/>
      <c r="AD1612" s="29"/>
    </row>
    <row r="1613">
      <c r="A1613" s="115" t="s">
        <v>2487</v>
      </c>
      <c r="B1613" s="22" t="s">
        <v>2499</v>
      </c>
      <c r="C1613" s="18" t="s">
        <v>2508</v>
      </c>
      <c r="D1613" s="19" t="s">
        <v>2509</v>
      </c>
      <c r="E1613" s="161" t="s">
        <v>7</v>
      </c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  <c r="AC1613" s="29"/>
      <c r="AD1613" s="29"/>
    </row>
    <row r="1614">
      <c r="A1614" s="115" t="s">
        <v>2487</v>
      </c>
      <c r="B1614" s="22" t="s">
        <v>2499</v>
      </c>
      <c r="C1614" s="18" t="s">
        <v>2508</v>
      </c>
      <c r="D1614" s="19" t="s">
        <v>2510</v>
      </c>
      <c r="E1614" s="161" t="s">
        <v>7</v>
      </c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  <c r="AC1614" s="29"/>
      <c r="AD1614" s="29"/>
    </row>
    <row r="1615">
      <c r="A1615" s="115" t="s">
        <v>2487</v>
      </c>
      <c r="B1615" s="22" t="s">
        <v>2499</v>
      </c>
      <c r="C1615" s="18" t="s">
        <v>2511</v>
      </c>
      <c r="D1615" s="19" t="s">
        <v>2512</v>
      </c>
      <c r="E1615" s="161" t="s">
        <v>7</v>
      </c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  <c r="AC1615" s="29"/>
      <c r="AD1615" s="29"/>
    </row>
    <row r="1616">
      <c r="A1616" s="115" t="s">
        <v>2487</v>
      </c>
      <c r="B1616" s="19" t="s">
        <v>2513</v>
      </c>
      <c r="C1616" s="18" t="s">
        <v>2514</v>
      </c>
      <c r="D1616" s="19" t="s">
        <v>2515</v>
      </c>
      <c r="E1616" s="72" t="s">
        <v>196</v>
      </c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  <c r="AC1616" s="29"/>
      <c r="AD1616" s="29"/>
    </row>
    <row r="1617">
      <c r="A1617" s="115" t="s">
        <v>2487</v>
      </c>
      <c r="B1617" s="22" t="s">
        <v>2516</v>
      </c>
      <c r="C1617" s="18" t="s">
        <v>2517</v>
      </c>
      <c r="D1617" s="19" t="s">
        <v>2518</v>
      </c>
      <c r="E1617" s="9" t="s">
        <v>2519</v>
      </c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</row>
    <row r="1618">
      <c r="A1618" s="115" t="s">
        <v>2487</v>
      </c>
      <c r="B1618" s="22" t="s">
        <v>2516</v>
      </c>
      <c r="C1618" s="18" t="s">
        <v>2520</v>
      </c>
      <c r="D1618" s="19" t="s">
        <v>2521</v>
      </c>
      <c r="E1618" s="9" t="s">
        <v>2519</v>
      </c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</row>
    <row r="1619">
      <c r="A1619" s="115" t="s">
        <v>2487</v>
      </c>
      <c r="B1619" s="22" t="s">
        <v>2516</v>
      </c>
      <c r="C1619" s="18" t="s">
        <v>2522</v>
      </c>
      <c r="D1619" s="19" t="s">
        <v>2523</v>
      </c>
      <c r="E1619" s="9" t="s">
        <v>2519</v>
      </c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</row>
    <row r="1620">
      <c r="A1620" s="115" t="s">
        <v>2487</v>
      </c>
      <c r="B1620" s="22" t="s">
        <v>2524</v>
      </c>
      <c r="C1620" s="18" t="s">
        <v>2525</v>
      </c>
      <c r="D1620" s="19" t="s">
        <v>2526</v>
      </c>
      <c r="E1620" s="132" t="s">
        <v>1201</v>
      </c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</row>
    <row r="1621">
      <c r="A1621" s="29"/>
      <c r="B1621" s="35"/>
      <c r="C1621" s="29"/>
      <c r="D1621" s="29"/>
      <c r="E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  <c r="AC1621" s="29"/>
      <c r="AD1621" s="29"/>
    </row>
    <row r="1622">
      <c r="A1622" s="29"/>
      <c r="B1622" s="35"/>
      <c r="C1622" s="29"/>
      <c r="D1622" s="29"/>
      <c r="E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  <c r="AC1622" s="29"/>
      <c r="AD1622" s="29"/>
    </row>
    <row r="1623">
      <c r="A1623" s="18" t="s">
        <v>2527</v>
      </c>
      <c r="B1623" s="22" t="s">
        <v>2440</v>
      </c>
      <c r="C1623" s="18" t="s">
        <v>2528</v>
      </c>
      <c r="D1623" s="19" t="s">
        <v>2529</v>
      </c>
      <c r="E1623" s="9" t="s">
        <v>2519</v>
      </c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  <c r="AC1623" s="29"/>
      <c r="AD1623" s="29"/>
    </row>
    <row r="1624">
      <c r="A1624" s="18" t="s">
        <v>2527</v>
      </c>
      <c r="B1624" s="22" t="s">
        <v>2440</v>
      </c>
      <c r="C1624" s="18" t="s">
        <v>2441</v>
      </c>
      <c r="D1624" s="19" t="s">
        <v>2530</v>
      </c>
      <c r="E1624" s="9" t="s">
        <v>2519</v>
      </c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</row>
    <row r="1625">
      <c r="A1625" s="18" t="s">
        <v>2527</v>
      </c>
      <c r="B1625" s="22" t="s">
        <v>2440</v>
      </c>
      <c r="C1625" s="18" t="s">
        <v>2528</v>
      </c>
      <c r="D1625" s="19" t="s">
        <v>2530</v>
      </c>
      <c r="E1625" s="9" t="s">
        <v>2519</v>
      </c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</row>
    <row r="1626">
      <c r="A1626" s="18" t="s">
        <v>2527</v>
      </c>
      <c r="B1626" s="22" t="s">
        <v>2440</v>
      </c>
      <c r="C1626" s="18" t="s">
        <v>2531</v>
      </c>
      <c r="D1626" s="19" t="s">
        <v>2532</v>
      </c>
      <c r="E1626" s="9" t="s">
        <v>2519</v>
      </c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  <c r="AC1626" s="29"/>
      <c r="AD1626" s="29"/>
    </row>
    <row r="1627">
      <c r="A1627" s="18" t="s">
        <v>2527</v>
      </c>
      <c r="B1627" s="22" t="s">
        <v>2440</v>
      </c>
      <c r="C1627" s="18" t="s">
        <v>2528</v>
      </c>
      <c r="D1627" s="19" t="s">
        <v>2532</v>
      </c>
      <c r="E1627" s="9" t="s">
        <v>2519</v>
      </c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  <c r="AC1627" s="29"/>
      <c r="AD1627" s="29"/>
    </row>
    <row r="1628">
      <c r="A1628" s="18" t="s">
        <v>2527</v>
      </c>
      <c r="B1628" s="22" t="s">
        <v>2440</v>
      </c>
      <c r="C1628" s="18" t="s">
        <v>2533</v>
      </c>
      <c r="D1628" s="19" t="s">
        <v>2534</v>
      </c>
      <c r="E1628" s="9" t="s">
        <v>2519</v>
      </c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  <c r="AC1628" s="29"/>
      <c r="AD1628" s="29"/>
    </row>
    <row r="1629">
      <c r="A1629" s="18" t="s">
        <v>2527</v>
      </c>
      <c r="B1629" s="19" t="s">
        <v>2263</v>
      </c>
      <c r="C1629" s="18" t="s">
        <v>2535</v>
      </c>
      <c r="D1629" s="19" t="s">
        <v>2536</v>
      </c>
      <c r="E1629" s="72" t="s">
        <v>196</v>
      </c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  <c r="AC1629" s="29"/>
      <c r="AD1629" s="29"/>
    </row>
    <row r="1630">
      <c r="A1630" s="18" t="s">
        <v>2527</v>
      </c>
      <c r="B1630" s="22" t="s">
        <v>2499</v>
      </c>
      <c r="C1630" s="18" t="s">
        <v>2537</v>
      </c>
      <c r="D1630" s="19" t="s">
        <v>2538</v>
      </c>
      <c r="E1630" s="9" t="s">
        <v>2519</v>
      </c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  <c r="AC1630" s="29"/>
      <c r="AD1630" s="29"/>
    </row>
    <row r="1631">
      <c r="A1631" s="18" t="s">
        <v>2527</v>
      </c>
      <c r="B1631" s="22" t="s">
        <v>2499</v>
      </c>
      <c r="C1631" s="18" t="s">
        <v>2539</v>
      </c>
      <c r="D1631" s="19" t="s">
        <v>2538</v>
      </c>
      <c r="E1631" s="9" t="s">
        <v>2519</v>
      </c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</row>
    <row r="1632">
      <c r="A1632" s="18" t="s">
        <v>2527</v>
      </c>
      <c r="B1632" s="22" t="s">
        <v>2499</v>
      </c>
      <c r="C1632" s="18" t="s">
        <v>2540</v>
      </c>
      <c r="D1632" s="19" t="s">
        <v>2541</v>
      </c>
      <c r="E1632" s="9" t="s">
        <v>2519</v>
      </c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  <c r="AC1632" s="29"/>
      <c r="AD1632" s="29"/>
    </row>
    <row r="1633">
      <c r="A1633" s="18" t="s">
        <v>2527</v>
      </c>
      <c r="B1633" s="22" t="s">
        <v>2499</v>
      </c>
      <c r="C1633" s="18" t="s">
        <v>2542</v>
      </c>
      <c r="D1633" s="19" t="s">
        <v>2543</v>
      </c>
      <c r="E1633" s="9" t="s">
        <v>2519</v>
      </c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  <c r="AC1633" s="29"/>
      <c r="AD1633" s="29"/>
    </row>
    <row r="1634">
      <c r="A1634" s="18" t="s">
        <v>2527</v>
      </c>
      <c r="B1634" s="22" t="s">
        <v>2499</v>
      </c>
      <c r="C1634" s="18" t="s">
        <v>2544</v>
      </c>
      <c r="D1634" s="19" t="s">
        <v>2545</v>
      </c>
      <c r="E1634" s="9" t="s">
        <v>2519</v>
      </c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  <c r="AC1634" s="29"/>
      <c r="AD1634" s="29"/>
    </row>
    <row r="1635">
      <c r="A1635" s="18" t="s">
        <v>2527</v>
      </c>
      <c r="B1635" s="22" t="s">
        <v>2546</v>
      </c>
      <c r="C1635" s="18" t="s">
        <v>2547</v>
      </c>
      <c r="D1635" s="19" t="s">
        <v>2548</v>
      </c>
      <c r="E1635" s="132" t="s">
        <v>14</v>
      </c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29"/>
      <c r="AB1635" s="29"/>
      <c r="AC1635" s="29"/>
      <c r="AD1635" s="29"/>
    </row>
    <row r="1636">
      <c r="A1636" s="18" t="s">
        <v>2527</v>
      </c>
      <c r="B1636" s="19" t="s">
        <v>2263</v>
      </c>
      <c r="C1636" s="18" t="s">
        <v>1350</v>
      </c>
      <c r="D1636" s="19" t="s">
        <v>2536</v>
      </c>
      <c r="E1636" s="72" t="s">
        <v>196</v>
      </c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29"/>
      <c r="AB1636" s="29"/>
      <c r="AC1636" s="29"/>
      <c r="AD1636" s="29"/>
    </row>
    <row r="1637">
      <c r="A1637" s="18" t="s">
        <v>2527</v>
      </c>
      <c r="B1637" s="19" t="s">
        <v>2263</v>
      </c>
      <c r="C1637" s="23" t="s">
        <v>2549</v>
      </c>
      <c r="D1637" s="19" t="s">
        <v>2536</v>
      </c>
      <c r="E1637" s="72" t="s">
        <v>196</v>
      </c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</row>
    <row r="1638">
      <c r="A1638" s="18" t="s">
        <v>2527</v>
      </c>
      <c r="B1638" s="22" t="s">
        <v>2550</v>
      </c>
      <c r="C1638" s="18" t="s">
        <v>2551</v>
      </c>
      <c r="D1638" s="19" t="s">
        <v>2552</v>
      </c>
      <c r="E1638" s="72" t="s">
        <v>196</v>
      </c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29"/>
      <c r="AB1638" s="29"/>
      <c r="AC1638" s="29"/>
      <c r="AD1638" s="29"/>
    </row>
    <row r="1639">
      <c r="A1639" s="163"/>
      <c r="B1639" s="164"/>
      <c r="C1639" s="74"/>
      <c r="D1639" s="74"/>
      <c r="E1639" s="165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29"/>
      <c r="AB1639" s="29"/>
      <c r="AC1639" s="29"/>
      <c r="AD1639" s="29"/>
    </row>
    <row r="1640">
      <c r="A1640" s="163"/>
      <c r="B1640" s="164"/>
      <c r="C1640" s="74"/>
      <c r="D1640" s="74"/>
      <c r="E1640" s="165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</row>
    <row r="1641">
      <c r="A1641" s="163" t="s">
        <v>2553</v>
      </c>
      <c r="B1641" s="164" t="s">
        <v>2554</v>
      </c>
      <c r="C1641" s="74" t="s">
        <v>2555</v>
      </c>
      <c r="D1641" s="74" t="s">
        <v>2556</v>
      </c>
      <c r="E1641" s="165" t="s">
        <v>1506</v>
      </c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29"/>
      <c r="AB1641" s="29"/>
      <c r="AC1641" s="29"/>
      <c r="AD1641" s="29"/>
    </row>
    <row r="1642">
      <c r="A1642" s="18"/>
      <c r="B1642" s="22"/>
      <c r="C1642" s="18"/>
      <c r="D1642" s="19"/>
      <c r="E1642" s="4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29"/>
      <c r="AA1642" s="29"/>
      <c r="AB1642" s="29"/>
      <c r="AC1642" s="29"/>
      <c r="AD1642" s="29"/>
    </row>
    <row r="1643">
      <c r="A1643" s="18"/>
      <c r="B1643" s="22"/>
      <c r="C1643" s="18"/>
      <c r="D1643" s="19"/>
      <c r="E1643" s="4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9"/>
      <c r="AA1643" s="29"/>
      <c r="AB1643" s="29"/>
      <c r="AC1643" s="29"/>
      <c r="AD1643" s="29"/>
    </row>
    <row r="1644">
      <c r="A1644" s="115" t="s">
        <v>2557</v>
      </c>
      <c r="B1644" s="19" t="s">
        <v>2398</v>
      </c>
      <c r="C1644" s="18" t="s">
        <v>2399</v>
      </c>
      <c r="D1644" s="19" t="s">
        <v>2558</v>
      </c>
      <c r="E1644" s="132" t="s">
        <v>14</v>
      </c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9"/>
      <c r="AA1644" s="29"/>
      <c r="AB1644" s="29"/>
      <c r="AC1644" s="29"/>
      <c r="AD1644" s="29"/>
    </row>
    <row r="1645">
      <c r="A1645" s="115" t="s">
        <v>2557</v>
      </c>
      <c r="B1645" s="19" t="s">
        <v>2398</v>
      </c>
      <c r="C1645" s="18" t="s">
        <v>2399</v>
      </c>
      <c r="D1645" s="19" t="s">
        <v>2559</v>
      </c>
      <c r="E1645" s="132" t="s">
        <v>14</v>
      </c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  <c r="AA1645" s="29"/>
      <c r="AB1645" s="29"/>
      <c r="AC1645" s="29"/>
      <c r="AD1645" s="29"/>
    </row>
    <row r="1646">
      <c r="A1646" s="115" t="s">
        <v>2557</v>
      </c>
      <c r="B1646" s="19" t="s">
        <v>2398</v>
      </c>
      <c r="C1646" s="18" t="s">
        <v>2399</v>
      </c>
      <c r="D1646" s="19" t="s">
        <v>2560</v>
      </c>
      <c r="E1646" s="132" t="s">
        <v>14</v>
      </c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  <c r="AA1646" s="29"/>
      <c r="AB1646" s="29"/>
      <c r="AC1646" s="29"/>
      <c r="AD1646" s="29"/>
    </row>
    <row r="1647">
      <c r="A1647" s="115" t="s">
        <v>2557</v>
      </c>
      <c r="B1647" s="19" t="s">
        <v>2398</v>
      </c>
      <c r="C1647" s="18" t="s">
        <v>2561</v>
      </c>
      <c r="D1647" s="18" t="s">
        <v>2562</v>
      </c>
      <c r="E1647" s="132" t="s">
        <v>14</v>
      </c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  <c r="AA1647" s="29"/>
      <c r="AB1647" s="29"/>
      <c r="AC1647" s="29"/>
      <c r="AD1647" s="29"/>
    </row>
    <row r="1648">
      <c r="A1648" s="115" t="s">
        <v>2557</v>
      </c>
      <c r="B1648" s="19" t="s">
        <v>2398</v>
      </c>
      <c r="C1648" s="18" t="s">
        <v>2563</v>
      </c>
      <c r="D1648" s="19" t="s">
        <v>2564</v>
      </c>
      <c r="E1648" s="132" t="s">
        <v>125</v>
      </c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29"/>
      <c r="X1648" s="29"/>
      <c r="Y1648" s="29"/>
      <c r="Z1648" s="29"/>
      <c r="AA1648" s="29"/>
      <c r="AB1648" s="29"/>
      <c r="AC1648" s="29"/>
      <c r="AD1648" s="29"/>
    </row>
    <row r="1649">
      <c r="A1649" s="115" t="s">
        <v>2557</v>
      </c>
      <c r="B1649" s="19" t="s">
        <v>2398</v>
      </c>
      <c r="C1649" s="18" t="s">
        <v>2565</v>
      </c>
      <c r="D1649" s="19" t="s">
        <v>2566</v>
      </c>
      <c r="E1649" s="132" t="s">
        <v>125</v>
      </c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  <c r="AA1649" s="29"/>
      <c r="AB1649" s="29"/>
      <c r="AC1649" s="29"/>
      <c r="AD1649" s="29"/>
    </row>
    <row r="1650">
      <c r="A1650" s="115" t="s">
        <v>2557</v>
      </c>
      <c r="B1650" s="19" t="s">
        <v>2398</v>
      </c>
      <c r="C1650" s="18" t="s">
        <v>2399</v>
      </c>
      <c r="D1650" s="19" t="s">
        <v>2567</v>
      </c>
      <c r="E1650" s="132" t="s">
        <v>125</v>
      </c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  <c r="AA1650" s="29"/>
      <c r="AB1650" s="29"/>
      <c r="AC1650" s="29"/>
      <c r="AD1650" s="29"/>
    </row>
    <row r="1651">
      <c r="A1651" s="115" t="s">
        <v>2557</v>
      </c>
      <c r="B1651" s="19" t="s">
        <v>2398</v>
      </c>
      <c r="C1651" s="18" t="s">
        <v>2568</v>
      </c>
      <c r="D1651" s="19" t="s">
        <v>2569</v>
      </c>
      <c r="E1651" s="132" t="s">
        <v>125</v>
      </c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  <c r="AA1651" s="29"/>
      <c r="AB1651" s="29"/>
      <c r="AC1651" s="29"/>
      <c r="AD1651" s="29"/>
    </row>
    <row r="1652">
      <c r="A1652" s="6"/>
      <c r="B1652" s="9"/>
      <c r="C1652" s="18"/>
      <c r="D1652" s="19"/>
      <c r="E1652" s="4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  <c r="AA1652" s="29"/>
      <c r="AB1652" s="29"/>
      <c r="AC1652" s="29"/>
      <c r="AD1652" s="29"/>
    </row>
    <row r="1653">
      <c r="A1653" s="18"/>
      <c r="B1653" s="22"/>
      <c r="C1653" s="18"/>
      <c r="D1653" s="19"/>
      <c r="E1653" s="49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29"/>
      <c r="X1653" s="29"/>
      <c r="Y1653" s="29"/>
      <c r="Z1653" s="29"/>
      <c r="AA1653" s="29"/>
      <c r="AB1653" s="29"/>
      <c r="AC1653" s="29"/>
      <c r="AD1653" s="29"/>
    </row>
    <row r="1654">
      <c r="A1654" s="16" t="s">
        <v>2570</v>
      </c>
      <c r="B1654" s="22" t="s">
        <v>2571</v>
      </c>
      <c r="C1654" s="18" t="s">
        <v>451</v>
      </c>
      <c r="D1654" s="19" t="s">
        <v>2572</v>
      </c>
      <c r="E1654" s="9" t="s">
        <v>14</v>
      </c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  <c r="AA1654" s="29"/>
      <c r="AB1654" s="29"/>
      <c r="AC1654" s="29"/>
      <c r="AD1654" s="29"/>
    </row>
    <row r="1655">
      <c r="A1655" s="16" t="s">
        <v>2570</v>
      </c>
      <c r="B1655" s="22" t="s">
        <v>2571</v>
      </c>
      <c r="C1655" s="18" t="s">
        <v>2573</v>
      </c>
      <c r="D1655" s="19" t="s">
        <v>2574</v>
      </c>
      <c r="E1655" s="9" t="s">
        <v>14</v>
      </c>
      <c r="G1655" s="29"/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29"/>
      <c r="AA1655" s="29"/>
      <c r="AB1655" s="29"/>
      <c r="AC1655" s="29"/>
      <c r="AD1655" s="29"/>
    </row>
    <row r="1656">
      <c r="A1656" s="16" t="s">
        <v>2570</v>
      </c>
      <c r="B1656" s="22" t="s">
        <v>2571</v>
      </c>
      <c r="C1656" s="18" t="s">
        <v>156</v>
      </c>
      <c r="D1656" s="19" t="s">
        <v>2575</v>
      </c>
      <c r="E1656" s="9" t="s">
        <v>14</v>
      </c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29"/>
      <c r="X1656" s="29"/>
      <c r="Y1656" s="29"/>
      <c r="Z1656" s="29"/>
      <c r="AA1656" s="29"/>
      <c r="AB1656" s="29"/>
      <c r="AC1656" s="29"/>
      <c r="AD1656" s="29"/>
    </row>
    <row r="1657">
      <c r="A1657" s="16" t="s">
        <v>2570</v>
      </c>
      <c r="B1657" s="22" t="s">
        <v>2571</v>
      </c>
      <c r="C1657" s="18" t="s">
        <v>778</v>
      </c>
      <c r="D1657" s="19" t="s">
        <v>2576</v>
      </c>
      <c r="E1657" s="9" t="s">
        <v>14</v>
      </c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29"/>
      <c r="X1657" s="29"/>
      <c r="Y1657" s="29"/>
      <c r="Z1657" s="29"/>
      <c r="AA1657" s="29"/>
      <c r="AB1657" s="29"/>
      <c r="AC1657" s="29"/>
      <c r="AD1657" s="29"/>
    </row>
    <row r="1658">
      <c r="A1658" s="16" t="s">
        <v>2570</v>
      </c>
      <c r="B1658" s="22" t="s">
        <v>2571</v>
      </c>
      <c r="C1658" s="18" t="s">
        <v>2577</v>
      </c>
      <c r="D1658" s="19" t="s">
        <v>2578</v>
      </c>
      <c r="E1658" s="9" t="s">
        <v>14</v>
      </c>
      <c r="G1658" s="29"/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  <c r="AA1658" s="29"/>
      <c r="AB1658" s="29"/>
      <c r="AC1658" s="29"/>
      <c r="AD1658" s="29"/>
    </row>
    <row r="1659">
      <c r="A1659" s="18"/>
      <c r="B1659" s="22"/>
      <c r="C1659" s="18"/>
      <c r="D1659" s="19"/>
      <c r="E1659" s="4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  <c r="AA1659" s="29"/>
      <c r="AB1659" s="29"/>
      <c r="AC1659" s="29"/>
      <c r="AD1659" s="29"/>
    </row>
    <row r="1660">
      <c r="A1660" s="18"/>
      <c r="B1660" s="22"/>
      <c r="C1660" s="18"/>
      <c r="D1660" s="19"/>
      <c r="E1660" s="4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  <c r="AA1660" s="29"/>
      <c r="AB1660" s="29"/>
      <c r="AC1660" s="29"/>
      <c r="AD1660" s="29"/>
    </row>
    <row r="1661">
      <c r="A1661" s="16" t="s">
        <v>2579</v>
      </c>
      <c r="B1661" s="19" t="s">
        <v>2580</v>
      </c>
      <c r="C1661" s="18" t="s">
        <v>2581</v>
      </c>
      <c r="D1661" s="19" t="s">
        <v>2582</v>
      </c>
      <c r="E1661" s="15" t="s">
        <v>196</v>
      </c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29"/>
      <c r="AD1661" s="29"/>
    </row>
    <row r="1662">
      <c r="A1662" s="18"/>
      <c r="B1662" s="22"/>
      <c r="C1662" s="18"/>
      <c r="D1662" s="19"/>
      <c r="E1662" s="49"/>
      <c r="G1662" s="29"/>
      <c r="H1662" s="29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  <c r="AA1662" s="29"/>
      <c r="AB1662" s="29"/>
      <c r="AC1662" s="29"/>
      <c r="AD1662" s="29"/>
    </row>
    <row r="1663">
      <c r="A1663" s="18"/>
      <c r="B1663" s="22"/>
      <c r="C1663" s="18"/>
      <c r="D1663" s="19"/>
      <c r="E1663" s="4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29"/>
      <c r="X1663" s="29"/>
      <c r="Y1663" s="29"/>
      <c r="Z1663" s="29"/>
      <c r="AA1663" s="29"/>
      <c r="AB1663" s="29"/>
      <c r="AC1663" s="29"/>
      <c r="AD1663" s="29"/>
    </row>
    <row r="1664">
      <c r="A1664" s="166" t="s">
        <v>2583</v>
      </c>
      <c r="B1664" s="22" t="s">
        <v>2584</v>
      </c>
      <c r="C1664" s="18" t="s">
        <v>2585</v>
      </c>
      <c r="D1664" s="19" t="s">
        <v>2586</v>
      </c>
      <c r="E1664" s="9" t="s">
        <v>196</v>
      </c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29"/>
      <c r="AD1664" s="29"/>
    </row>
    <row r="1665">
      <c r="A1665" s="166" t="s">
        <v>2583</v>
      </c>
      <c r="B1665" s="19" t="s">
        <v>2587</v>
      </c>
      <c r="C1665" s="18" t="s">
        <v>2588</v>
      </c>
      <c r="D1665" s="19" t="s">
        <v>2589</v>
      </c>
      <c r="E1665" s="132" t="s">
        <v>764</v>
      </c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29"/>
      <c r="AD1665" s="29"/>
    </row>
    <row r="1666">
      <c r="A1666" s="18"/>
      <c r="B1666" s="22"/>
      <c r="C1666" s="18"/>
      <c r="D1666" s="19"/>
      <c r="E1666" s="49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29"/>
      <c r="X1666" s="29"/>
      <c r="Y1666" s="29"/>
      <c r="Z1666" s="29"/>
      <c r="AA1666" s="29"/>
      <c r="AB1666" s="29"/>
      <c r="AC1666" s="29"/>
      <c r="AD1666" s="29"/>
    </row>
    <row r="1667">
      <c r="A1667" s="18"/>
      <c r="B1667" s="22"/>
      <c r="C1667" s="18"/>
      <c r="D1667" s="19"/>
      <c r="E1667" s="49"/>
      <c r="G1667" s="29"/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9"/>
      <c r="AA1667" s="29"/>
      <c r="AB1667" s="29"/>
      <c r="AC1667" s="29"/>
      <c r="AD1667" s="29"/>
    </row>
    <row r="1668">
      <c r="A1668" s="16" t="s">
        <v>2590</v>
      </c>
      <c r="B1668" s="22" t="s">
        <v>2591</v>
      </c>
      <c r="C1668" s="18" t="s">
        <v>2424</v>
      </c>
      <c r="D1668" s="19" t="s">
        <v>2592</v>
      </c>
      <c r="E1668" s="9" t="s">
        <v>196</v>
      </c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29"/>
      <c r="AD1668" s="29"/>
    </row>
    <row r="1669">
      <c r="A1669" s="18"/>
      <c r="B1669" s="22"/>
      <c r="C1669" s="18"/>
      <c r="D1669" s="19"/>
      <c r="E1669" s="49"/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29"/>
      <c r="X1669" s="29"/>
      <c r="Y1669" s="29"/>
      <c r="Z1669" s="29"/>
      <c r="AA1669" s="29"/>
      <c r="AB1669" s="29"/>
      <c r="AC1669" s="29"/>
      <c r="AD1669" s="29"/>
    </row>
    <row r="1670">
      <c r="A1670" s="18"/>
      <c r="B1670" s="22"/>
      <c r="C1670" s="18"/>
      <c r="D1670" s="19"/>
      <c r="E1670" s="49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29"/>
      <c r="X1670" s="29"/>
      <c r="Y1670" s="29"/>
      <c r="Z1670" s="29"/>
      <c r="AA1670" s="29"/>
      <c r="AB1670" s="29"/>
      <c r="AC1670" s="29"/>
      <c r="AD1670" s="29"/>
    </row>
    <row r="1671">
      <c r="A1671" s="115" t="s">
        <v>2593</v>
      </c>
      <c r="B1671" s="22" t="s">
        <v>2591</v>
      </c>
      <c r="C1671" s="18" t="s">
        <v>2594</v>
      </c>
      <c r="D1671" s="19" t="s">
        <v>2592</v>
      </c>
      <c r="E1671" s="9" t="s">
        <v>196</v>
      </c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  <c r="AA1671" s="29"/>
      <c r="AB1671" s="29"/>
      <c r="AC1671" s="29"/>
      <c r="AD1671" s="29"/>
    </row>
    <row r="1672">
      <c r="A1672" s="115" t="s">
        <v>2593</v>
      </c>
      <c r="B1672" s="22" t="s">
        <v>2591</v>
      </c>
      <c r="C1672" s="18" t="s">
        <v>2595</v>
      </c>
      <c r="D1672" s="19" t="s">
        <v>2596</v>
      </c>
      <c r="E1672" s="9" t="s">
        <v>196</v>
      </c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9"/>
      <c r="AA1672" s="29"/>
      <c r="AB1672" s="29"/>
      <c r="AC1672" s="29"/>
      <c r="AD1672" s="29"/>
    </row>
    <row r="1673">
      <c r="A1673" s="115" t="s">
        <v>2593</v>
      </c>
      <c r="B1673" s="22" t="s">
        <v>2597</v>
      </c>
      <c r="C1673" s="18" t="s">
        <v>2598</v>
      </c>
      <c r="D1673" s="18" t="s">
        <v>2599</v>
      </c>
      <c r="E1673" s="18" t="s">
        <v>14</v>
      </c>
      <c r="G1673" s="29"/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9"/>
      <c r="AA1673" s="29"/>
      <c r="AB1673" s="29"/>
      <c r="AC1673" s="29"/>
      <c r="AD1673" s="29"/>
    </row>
    <row r="1674">
      <c r="A1674" s="115" t="s">
        <v>2593</v>
      </c>
      <c r="B1674" s="22" t="s">
        <v>2600</v>
      </c>
      <c r="C1674" s="18" t="s">
        <v>2601</v>
      </c>
      <c r="D1674" s="19" t="s">
        <v>2602</v>
      </c>
      <c r="E1674" s="18" t="s">
        <v>14</v>
      </c>
      <c r="G1674" s="29"/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  <c r="AA1674" s="29"/>
      <c r="AB1674" s="29"/>
      <c r="AC1674" s="29"/>
      <c r="AD1674" s="29"/>
    </row>
    <row r="1675">
      <c r="A1675" s="115" t="s">
        <v>2593</v>
      </c>
      <c r="B1675" s="19" t="s">
        <v>2603</v>
      </c>
      <c r="C1675" s="18" t="s">
        <v>463</v>
      </c>
      <c r="D1675" s="19" t="s">
        <v>2604</v>
      </c>
      <c r="E1675" s="18" t="s">
        <v>14</v>
      </c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  <c r="AA1675" s="29"/>
      <c r="AB1675" s="29"/>
      <c r="AC1675" s="29"/>
      <c r="AD1675" s="29"/>
    </row>
    <row r="1676">
      <c r="A1676" s="18"/>
      <c r="B1676" s="22"/>
      <c r="C1676" s="18"/>
      <c r="D1676" s="19"/>
      <c r="E1676" s="4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29"/>
      <c r="X1676" s="29"/>
      <c r="Y1676" s="29"/>
      <c r="Z1676" s="29"/>
      <c r="AA1676" s="29"/>
      <c r="AB1676" s="29"/>
      <c r="AC1676" s="29"/>
      <c r="AD1676" s="29"/>
    </row>
    <row r="1677">
      <c r="A1677" s="18"/>
      <c r="B1677" s="22"/>
      <c r="C1677" s="18"/>
      <c r="D1677" s="19"/>
      <c r="E1677" s="49"/>
      <c r="G1677" s="29"/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29"/>
      <c r="X1677" s="29"/>
      <c r="Y1677" s="29"/>
      <c r="Z1677" s="29"/>
      <c r="AA1677" s="29"/>
      <c r="AB1677" s="29"/>
      <c r="AC1677" s="29"/>
      <c r="AD1677" s="29"/>
    </row>
    <row r="1678">
      <c r="A1678" s="18" t="s">
        <v>2605</v>
      </c>
      <c r="B1678" s="19" t="s">
        <v>2606</v>
      </c>
      <c r="C1678" s="18" t="s">
        <v>2607</v>
      </c>
      <c r="D1678" s="19" t="s">
        <v>2608</v>
      </c>
      <c r="E1678" s="9" t="s">
        <v>196</v>
      </c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29"/>
      <c r="X1678" s="29"/>
      <c r="Y1678" s="29"/>
      <c r="Z1678" s="29"/>
      <c r="AA1678" s="29"/>
      <c r="AB1678" s="29"/>
      <c r="AC1678" s="29"/>
      <c r="AD1678" s="29"/>
    </row>
    <row r="1679">
      <c r="A1679" s="18" t="s">
        <v>2605</v>
      </c>
      <c r="B1679" s="22" t="s">
        <v>2367</v>
      </c>
      <c r="C1679" s="18" t="s">
        <v>2609</v>
      </c>
      <c r="D1679" s="19" t="s">
        <v>2610</v>
      </c>
      <c r="E1679" s="9" t="s">
        <v>196</v>
      </c>
      <c r="G1679" s="29"/>
      <c r="H1679" s="29"/>
      <c r="I1679" s="29"/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29"/>
      <c r="X1679" s="29"/>
      <c r="Y1679" s="29"/>
      <c r="Z1679" s="29"/>
      <c r="AA1679" s="29"/>
      <c r="AB1679" s="29"/>
      <c r="AC1679" s="29"/>
      <c r="AD1679" s="29"/>
    </row>
    <row r="1680">
      <c r="A1680" s="18" t="s">
        <v>2605</v>
      </c>
      <c r="B1680" s="22" t="s">
        <v>2611</v>
      </c>
      <c r="C1680" s="18" t="s">
        <v>2551</v>
      </c>
      <c r="D1680" s="19" t="s">
        <v>2612</v>
      </c>
      <c r="E1680" s="9" t="s">
        <v>2519</v>
      </c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  <c r="AA1680" s="29"/>
      <c r="AB1680" s="29"/>
      <c r="AC1680" s="29"/>
      <c r="AD1680" s="29"/>
    </row>
    <row r="1681">
      <c r="A1681" s="18" t="s">
        <v>2605</v>
      </c>
      <c r="B1681" s="22" t="s">
        <v>2611</v>
      </c>
      <c r="C1681" s="18" t="s">
        <v>2613</v>
      </c>
      <c r="D1681" s="19" t="s">
        <v>2614</v>
      </c>
      <c r="E1681" s="9" t="s">
        <v>2519</v>
      </c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29"/>
      <c r="Y1681" s="29"/>
      <c r="Z1681" s="29"/>
      <c r="AA1681" s="29"/>
      <c r="AB1681" s="29"/>
      <c r="AC1681" s="29"/>
      <c r="AD1681" s="29"/>
    </row>
    <row r="1682">
      <c r="A1682" s="18" t="s">
        <v>2605</v>
      </c>
      <c r="B1682" s="22" t="s">
        <v>2611</v>
      </c>
      <c r="C1682" s="18" t="s">
        <v>2615</v>
      </c>
      <c r="D1682" s="19" t="s">
        <v>2616</v>
      </c>
      <c r="E1682" s="9" t="s">
        <v>2519</v>
      </c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  <c r="AA1682" s="29"/>
      <c r="AB1682" s="29"/>
      <c r="AC1682" s="29"/>
      <c r="AD1682" s="29"/>
    </row>
    <row r="1683">
      <c r="A1683" s="18" t="s">
        <v>2605</v>
      </c>
      <c r="B1683" s="22" t="s">
        <v>2611</v>
      </c>
      <c r="C1683" s="18" t="s">
        <v>2617</v>
      </c>
      <c r="D1683" s="19" t="s">
        <v>2618</v>
      </c>
      <c r="E1683" s="9" t="s">
        <v>2519</v>
      </c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  <c r="AA1683" s="29"/>
      <c r="AB1683" s="29"/>
      <c r="AC1683" s="29"/>
      <c r="AD1683" s="29"/>
    </row>
    <row r="1684">
      <c r="A1684" s="18" t="s">
        <v>2605</v>
      </c>
      <c r="B1684" s="22" t="s">
        <v>2619</v>
      </c>
      <c r="C1684" s="18" t="s">
        <v>2620</v>
      </c>
      <c r="D1684" s="19" t="s">
        <v>2621</v>
      </c>
      <c r="E1684" s="132" t="s">
        <v>125</v>
      </c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  <c r="AA1684" s="29"/>
      <c r="AB1684" s="29"/>
      <c r="AC1684" s="29"/>
      <c r="AD1684" s="29"/>
    </row>
    <row r="1685">
      <c r="A1685" s="18" t="s">
        <v>2605</v>
      </c>
      <c r="B1685" s="22" t="s">
        <v>2622</v>
      </c>
      <c r="C1685" s="18" t="s">
        <v>2623</v>
      </c>
      <c r="D1685" s="19" t="s">
        <v>2624</v>
      </c>
      <c r="E1685" s="132" t="s">
        <v>2625</v>
      </c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29"/>
      <c r="X1685" s="29"/>
      <c r="Y1685" s="29"/>
      <c r="Z1685" s="29"/>
      <c r="AA1685" s="29"/>
      <c r="AB1685" s="29"/>
      <c r="AC1685" s="29"/>
      <c r="AD1685" s="29"/>
    </row>
    <row r="1686">
      <c r="A1686" s="18" t="s">
        <v>2605</v>
      </c>
      <c r="B1686" s="22" t="s">
        <v>2626</v>
      </c>
      <c r="C1686" s="18" t="s">
        <v>2627</v>
      </c>
      <c r="D1686" s="19" t="s">
        <v>2628</v>
      </c>
      <c r="E1686" s="9" t="s">
        <v>2519</v>
      </c>
      <c r="G1686" s="29"/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29"/>
      <c r="X1686" s="29"/>
      <c r="Y1686" s="29"/>
      <c r="Z1686" s="29"/>
      <c r="AA1686" s="29"/>
      <c r="AB1686" s="29"/>
      <c r="AC1686" s="29"/>
      <c r="AD1686" s="29"/>
    </row>
    <row r="1687">
      <c r="A1687" s="18" t="s">
        <v>2605</v>
      </c>
      <c r="B1687" s="22" t="s">
        <v>2626</v>
      </c>
      <c r="C1687" s="18" t="s">
        <v>2629</v>
      </c>
      <c r="D1687" s="19" t="s">
        <v>2630</v>
      </c>
      <c r="E1687" s="9" t="s">
        <v>2519</v>
      </c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29"/>
      <c r="X1687" s="29"/>
      <c r="Y1687" s="29"/>
      <c r="Z1687" s="29"/>
      <c r="AA1687" s="29"/>
      <c r="AB1687" s="29"/>
      <c r="AC1687" s="29"/>
      <c r="AD1687" s="29"/>
    </row>
    <row r="1688">
      <c r="A1688" s="18" t="s">
        <v>2605</v>
      </c>
      <c r="B1688" s="22" t="s">
        <v>2626</v>
      </c>
      <c r="C1688" s="18" t="s">
        <v>2631</v>
      </c>
      <c r="D1688" s="19" t="s">
        <v>2630</v>
      </c>
      <c r="E1688" s="9" t="s">
        <v>2519</v>
      </c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29"/>
      <c r="X1688" s="29"/>
      <c r="Y1688" s="29"/>
      <c r="Z1688" s="29"/>
      <c r="AA1688" s="29"/>
      <c r="AB1688" s="29"/>
      <c r="AC1688" s="29"/>
      <c r="AD1688" s="29"/>
    </row>
    <row r="1689">
      <c r="A1689" s="18" t="s">
        <v>2605</v>
      </c>
      <c r="B1689" s="22" t="s">
        <v>2626</v>
      </c>
      <c r="C1689" s="18" t="s">
        <v>2632</v>
      </c>
      <c r="D1689" s="19" t="s">
        <v>2633</v>
      </c>
      <c r="E1689" s="9" t="s">
        <v>2519</v>
      </c>
      <c r="G1689" s="29"/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  <c r="AA1689" s="29"/>
      <c r="AB1689" s="29"/>
      <c r="AC1689" s="29"/>
      <c r="AD1689" s="29"/>
    </row>
    <row r="1690">
      <c r="A1690" s="18" t="s">
        <v>2605</v>
      </c>
      <c r="B1690" s="22" t="s">
        <v>2626</v>
      </c>
      <c r="C1690" s="18" t="s">
        <v>2634</v>
      </c>
      <c r="D1690" s="19" t="s">
        <v>2635</v>
      </c>
      <c r="E1690" s="9" t="s">
        <v>2519</v>
      </c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29"/>
      <c r="X1690" s="29"/>
      <c r="Y1690" s="29"/>
      <c r="Z1690" s="29"/>
      <c r="AA1690" s="29"/>
      <c r="AB1690" s="29"/>
      <c r="AC1690" s="29"/>
      <c r="AD1690" s="29"/>
    </row>
    <row r="1691">
      <c r="A1691" s="18" t="s">
        <v>2605</v>
      </c>
      <c r="B1691" s="22" t="s">
        <v>2636</v>
      </c>
      <c r="C1691" s="18" t="s">
        <v>2637</v>
      </c>
      <c r="D1691" s="19" t="s">
        <v>2638</v>
      </c>
      <c r="E1691" s="9" t="s">
        <v>2519</v>
      </c>
      <c r="G1691" s="29"/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  <c r="AA1691" s="29"/>
      <c r="AB1691" s="29"/>
      <c r="AC1691" s="29"/>
      <c r="AD1691" s="29"/>
    </row>
    <row r="1692">
      <c r="A1692" s="18" t="s">
        <v>2605</v>
      </c>
      <c r="B1692" s="22" t="s">
        <v>2636</v>
      </c>
      <c r="C1692" s="18" t="s">
        <v>2637</v>
      </c>
      <c r="D1692" s="19" t="s">
        <v>2639</v>
      </c>
      <c r="E1692" s="9" t="s">
        <v>2519</v>
      </c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  <c r="AA1692" s="29"/>
      <c r="AB1692" s="29"/>
      <c r="AC1692" s="29"/>
      <c r="AD1692" s="29"/>
    </row>
    <row r="1693">
      <c r="A1693" s="18" t="s">
        <v>2605</v>
      </c>
      <c r="B1693" s="22" t="s">
        <v>2636</v>
      </c>
      <c r="C1693" s="18" t="s">
        <v>2637</v>
      </c>
      <c r="D1693" s="19" t="s">
        <v>2640</v>
      </c>
      <c r="E1693" s="9" t="s">
        <v>2519</v>
      </c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29"/>
      <c r="X1693" s="29"/>
      <c r="Y1693" s="29"/>
      <c r="Z1693" s="29"/>
      <c r="AA1693" s="29"/>
      <c r="AB1693" s="29"/>
      <c r="AC1693" s="29"/>
      <c r="AD1693" s="29"/>
    </row>
    <row r="1694">
      <c r="A1694" s="18" t="s">
        <v>2605</v>
      </c>
      <c r="B1694" s="22" t="s">
        <v>2546</v>
      </c>
      <c r="C1694" s="18" t="s">
        <v>2641</v>
      </c>
      <c r="D1694" s="19" t="s">
        <v>2642</v>
      </c>
      <c r="E1694" s="9" t="s">
        <v>2519</v>
      </c>
      <c r="G1694" s="29"/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  <c r="AA1694" s="29"/>
      <c r="AB1694" s="29"/>
      <c r="AC1694" s="29"/>
      <c r="AD1694" s="29"/>
    </row>
    <row r="1695">
      <c r="A1695" s="18"/>
      <c r="B1695" s="22"/>
      <c r="C1695" s="18"/>
      <c r="D1695" s="19"/>
      <c r="E1695" s="49"/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  <c r="AA1695" s="29"/>
      <c r="AB1695" s="29"/>
      <c r="AC1695" s="29"/>
      <c r="AD1695" s="29"/>
    </row>
    <row r="1696">
      <c r="A1696" s="18"/>
      <c r="B1696" s="22"/>
      <c r="C1696" s="18"/>
      <c r="D1696" s="19"/>
      <c r="E1696" s="4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  <c r="AA1696" s="29"/>
      <c r="AB1696" s="29"/>
      <c r="AC1696" s="29"/>
      <c r="AD1696" s="29"/>
    </row>
    <row r="1697">
      <c r="A1697" s="115" t="s">
        <v>2643</v>
      </c>
      <c r="B1697" s="19" t="s">
        <v>2644</v>
      </c>
      <c r="C1697" s="18" t="s">
        <v>1350</v>
      </c>
      <c r="D1697" s="19" t="s">
        <v>2645</v>
      </c>
      <c r="E1697" s="132" t="s">
        <v>2625</v>
      </c>
      <c r="G1697" s="29"/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  <c r="AA1697" s="29"/>
      <c r="AB1697" s="29"/>
      <c r="AC1697" s="29"/>
      <c r="AD1697" s="29"/>
    </row>
    <row r="1698">
      <c r="A1698" s="18"/>
      <c r="B1698" s="22"/>
      <c r="C1698" s="18"/>
      <c r="D1698" s="19"/>
      <c r="E1698" s="4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29"/>
      <c r="X1698" s="29"/>
      <c r="Y1698" s="29"/>
      <c r="Z1698" s="29"/>
      <c r="AA1698" s="29"/>
      <c r="AB1698" s="29"/>
      <c r="AC1698" s="29"/>
      <c r="AD1698" s="29"/>
    </row>
    <row r="1699">
      <c r="A1699" s="18"/>
      <c r="B1699" s="22"/>
      <c r="C1699" s="18"/>
      <c r="D1699" s="19"/>
      <c r="E1699" s="49"/>
      <c r="G1699" s="29"/>
      <c r="H1699" s="29"/>
      <c r="I1699" s="29"/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  <c r="AA1699" s="29"/>
      <c r="AB1699" s="29"/>
      <c r="AC1699" s="29"/>
      <c r="AD1699" s="29"/>
    </row>
    <row r="1700">
      <c r="A1700" s="115" t="s">
        <v>2646</v>
      </c>
      <c r="B1700" s="22" t="s">
        <v>2647</v>
      </c>
      <c r="C1700" s="18" t="s">
        <v>1365</v>
      </c>
      <c r="D1700" s="19" t="s">
        <v>2648</v>
      </c>
      <c r="E1700" s="9" t="s">
        <v>1479</v>
      </c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29"/>
      <c r="Z1700" s="29"/>
      <c r="AA1700" s="29"/>
      <c r="AB1700" s="29"/>
      <c r="AC1700" s="29"/>
      <c r="AD1700" s="29"/>
    </row>
    <row r="1701">
      <c r="A1701" s="115" t="s">
        <v>2646</v>
      </c>
      <c r="B1701" s="22" t="s">
        <v>2647</v>
      </c>
      <c r="C1701" s="18" t="s">
        <v>1365</v>
      </c>
      <c r="D1701" s="19" t="s">
        <v>2649</v>
      </c>
      <c r="E1701" s="132" t="s">
        <v>14</v>
      </c>
      <c r="G1701" s="29"/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  <c r="AA1701" s="29"/>
      <c r="AB1701" s="29"/>
      <c r="AC1701" s="29"/>
      <c r="AD1701" s="29"/>
    </row>
    <row r="1702">
      <c r="A1702" s="115" t="s">
        <v>2646</v>
      </c>
      <c r="B1702" s="22" t="s">
        <v>2650</v>
      </c>
      <c r="C1702" s="18" t="s">
        <v>329</v>
      </c>
      <c r="D1702" s="19" t="s">
        <v>2651</v>
      </c>
      <c r="E1702" s="161" t="s">
        <v>7</v>
      </c>
      <c r="G1702" s="29"/>
      <c r="H1702" s="29"/>
      <c r="I1702" s="29"/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  <c r="AA1702" s="29"/>
      <c r="AB1702" s="29"/>
      <c r="AC1702" s="29"/>
      <c r="AD1702" s="29"/>
    </row>
    <row r="1703">
      <c r="A1703" s="115" t="s">
        <v>2646</v>
      </c>
      <c r="B1703" s="22" t="s">
        <v>2650</v>
      </c>
      <c r="C1703" s="18" t="s">
        <v>1365</v>
      </c>
      <c r="D1703" s="19" t="s">
        <v>2652</v>
      </c>
      <c r="E1703" s="161" t="s">
        <v>7</v>
      </c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  <c r="AA1703" s="29"/>
      <c r="AB1703" s="29"/>
      <c r="AC1703" s="29"/>
      <c r="AD1703" s="29"/>
    </row>
    <row r="1704">
      <c r="A1704" s="115" t="s">
        <v>2646</v>
      </c>
      <c r="B1704" s="22" t="s">
        <v>2650</v>
      </c>
      <c r="C1704" s="18" t="s">
        <v>1365</v>
      </c>
      <c r="D1704" s="19" t="s">
        <v>2653</v>
      </c>
      <c r="E1704" s="161" t="s">
        <v>7</v>
      </c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  <c r="AA1704" s="29"/>
      <c r="AB1704" s="29"/>
      <c r="AC1704" s="29"/>
      <c r="AD1704" s="29"/>
    </row>
    <row r="1705">
      <c r="A1705" s="115" t="s">
        <v>2646</v>
      </c>
      <c r="B1705" s="22" t="s">
        <v>2650</v>
      </c>
      <c r="C1705" s="18" t="s">
        <v>1365</v>
      </c>
      <c r="D1705" s="19" t="s">
        <v>2654</v>
      </c>
      <c r="E1705" s="161" t="s">
        <v>7</v>
      </c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29"/>
      <c r="X1705" s="29"/>
      <c r="Y1705" s="29"/>
      <c r="Z1705" s="29"/>
      <c r="AA1705" s="29"/>
      <c r="AB1705" s="29"/>
      <c r="AC1705" s="29"/>
      <c r="AD1705" s="29"/>
    </row>
    <row r="1706">
      <c r="A1706" s="115" t="s">
        <v>2646</v>
      </c>
      <c r="B1706" s="22" t="s">
        <v>2650</v>
      </c>
      <c r="C1706" s="18" t="s">
        <v>1365</v>
      </c>
      <c r="D1706" s="19" t="s">
        <v>2655</v>
      </c>
      <c r="E1706" s="161" t="s">
        <v>7</v>
      </c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  <c r="AA1706" s="29"/>
      <c r="AB1706" s="29"/>
      <c r="AC1706" s="29"/>
      <c r="AD1706" s="29"/>
    </row>
    <row r="1707">
      <c r="A1707" s="115" t="s">
        <v>2646</v>
      </c>
      <c r="B1707" s="22" t="s">
        <v>2656</v>
      </c>
      <c r="C1707" s="18" t="s">
        <v>463</v>
      </c>
      <c r="D1707" s="19" t="s">
        <v>2657</v>
      </c>
      <c r="E1707" s="132" t="s">
        <v>2625</v>
      </c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29"/>
      <c r="X1707" s="29"/>
      <c r="Y1707" s="29"/>
      <c r="Z1707" s="29"/>
      <c r="AA1707" s="29"/>
      <c r="AB1707" s="29"/>
      <c r="AC1707" s="29"/>
      <c r="AD1707" s="29"/>
    </row>
    <row r="1708">
      <c r="A1708" s="115" t="s">
        <v>2646</v>
      </c>
      <c r="B1708" s="22" t="s">
        <v>2658</v>
      </c>
      <c r="C1708" s="18" t="s">
        <v>2659</v>
      </c>
      <c r="D1708" s="19" t="s">
        <v>2586</v>
      </c>
      <c r="E1708" s="9" t="s">
        <v>196</v>
      </c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  <c r="AA1708" s="29"/>
      <c r="AB1708" s="29"/>
      <c r="AC1708" s="29"/>
      <c r="AD1708" s="29"/>
    </row>
    <row r="1709">
      <c r="A1709" s="115" t="s">
        <v>2646</v>
      </c>
      <c r="B1709" s="22" t="s">
        <v>2622</v>
      </c>
      <c r="C1709" s="18" t="s">
        <v>2660</v>
      </c>
      <c r="D1709" s="19" t="s">
        <v>2661</v>
      </c>
      <c r="E1709" s="9"/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  <c r="AA1709" s="29"/>
      <c r="AB1709" s="29"/>
      <c r="AC1709" s="29"/>
      <c r="AD1709" s="29"/>
    </row>
    <row r="1710">
      <c r="A1710" s="6"/>
      <c r="B1710" s="9"/>
      <c r="C1710" s="9"/>
      <c r="D1710" s="9"/>
      <c r="E1710" s="9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  <c r="AA1710" s="29"/>
      <c r="AB1710" s="29"/>
      <c r="AC1710" s="29"/>
      <c r="AD1710" s="29"/>
    </row>
    <row r="1711">
      <c r="A1711" s="6"/>
      <c r="B1711" s="9"/>
      <c r="C1711" s="9"/>
      <c r="D1711" s="9"/>
      <c r="E1711" s="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  <c r="AA1711" s="29"/>
      <c r="AB1711" s="29"/>
      <c r="AC1711" s="29"/>
      <c r="AD1711" s="29"/>
    </row>
    <row r="1712">
      <c r="A1712" s="115" t="s">
        <v>2662</v>
      </c>
      <c r="B1712" s="22" t="s">
        <v>2663</v>
      </c>
      <c r="C1712" s="18" t="s">
        <v>2664</v>
      </c>
      <c r="D1712" s="19" t="s">
        <v>2665</v>
      </c>
      <c r="E1712" s="132" t="s">
        <v>2625</v>
      </c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  <c r="AA1712" s="29"/>
      <c r="AB1712" s="29"/>
      <c r="AC1712" s="29"/>
      <c r="AD1712" s="29"/>
    </row>
    <row r="1713">
      <c r="A1713" s="115" t="s">
        <v>2662</v>
      </c>
      <c r="B1713" s="22" t="s">
        <v>2666</v>
      </c>
      <c r="C1713" s="18" t="s">
        <v>2667</v>
      </c>
      <c r="D1713" s="19" t="s">
        <v>515</v>
      </c>
      <c r="E1713" s="9" t="s">
        <v>1479</v>
      </c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  <c r="AA1713" s="29"/>
      <c r="AB1713" s="29"/>
      <c r="AC1713" s="29"/>
      <c r="AD1713" s="29"/>
    </row>
    <row r="1714">
      <c r="A1714" s="115" t="s">
        <v>2662</v>
      </c>
      <c r="B1714" s="19" t="s">
        <v>2668</v>
      </c>
      <c r="C1714" s="18" t="s">
        <v>2660</v>
      </c>
      <c r="D1714" s="19" t="s">
        <v>2661</v>
      </c>
      <c r="E1714" s="9" t="s">
        <v>196</v>
      </c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  <c r="AA1714" s="29"/>
      <c r="AB1714" s="29"/>
      <c r="AC1714" s="29"/>
      <c r="AD1714" s="29"/>
    </row>
    <row r="1715">
      <c r="A1715" s="18"/>
      <c r="B1715" s="22"/>
      <c r="C1715" s="18"/>
      <c r="D1715" s="19"/>
      <c r="E1715" s="49"/>
      <c r="G1715" s="29"/>
      <c r="H1715" s="29"/>
      <c r="I1715" s="29"/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  <c r="AA1715" s="29"/>
      <c r="AB1715" s="29"/>
      <c r="AC1715" s="29"/>
      <c r="AD1715" s="29"/>
    </row>
    <row r="1716">
      <c r="A1716" s="18"/>
      <c r="B1716" s="22"/>
      <c r="C1716" s="18"/>
      <c r="D1716" s="19"/>
      <c r="E1716" s="4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  <c r="AA1716" s="29"/>
      <c r="AB1716" s="29"/>
      <c r="AC1716" s="29"/>
      <c r="AD1716" s="29"/>
    </row>
    <row r="1717">
      <c r="A1717" s="16" t="s">
        <v>2669</v>
      </c>
      <c r="B1717" s="22" t="s">
        <v>2670</v>
      </c>
      <c r="C1717" s="18" t="s">
        <v>1215</v>
      </c>
      <c r="D1717" s="19" t="s">
        <v>2671</v>
      </c>
      <c r="E1717" s="161" t="s">
        <v>7</v>
      </c>
      <c r="G1717" s="29"/>
      <c r="H1717" s="29"/>
      <c r="I1717" s="29"/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29"/>
      <c r="X1717" s="29"/>
      <c r="Y1717" s="29"/>
      <c r="Z1717" s="29"/>
      <c r="AA1717" s="29"/>
      <c r="AB1717" s="29"/>
      <c r="AC1717" s="29"/>
      <c r="AD1717" s="29"/>
    </row>
    <row r="1718">
      <c r="A1718" s="16" t="s">
        <v>2669</v>
      </c>
      <c r="B1718" s="22" t="s">
        <v>2670</v>
      </c>
      <c r="C1718" s="18" t="s">
        <v>1215</v>
      </c>
      <c r="D1718" s="19" t="s">
        <v>2672</v>
      </c>
      <c r="E1718" s="161" t="s">
        <v>7</v>
      </c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  <c r="AA1718" s="29"/>
      <c r="AB1718" s="29"/>
      <c r="AC1718" s="29"/>
      <c r="AD1718" s="29"/>
    </row>
    <row r="1719">
      <c r="A1719" s="16" t="s">
        <v>2669</v>
      </c>
      <c r="B1719" s="22" t="s">
        <v>2670</v>
      </c>
      <c r="C1719" s="18" t="s">
        <v>1215</v>
      </c>
      <c r="D1719" s="19" t="s">
        <v>2673</v>
      </c>
      <c r="E1719" s="161" t="s">
        <v>7</v>
      </c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9"/>
      <c r="Y1719" s="29"/>
      <c r="Z1719" s="29"/>
      <c r="AA1719" s="29"/>
      <c r="AB1719" s="29"/>
      <c r="AC1719" s="29"/>
      <c r="AD1719" s="29"/>
    </row>
    <row r="1720">
      <c r="A1720" s="16" t="s">
        <v>2669</v>
      </c>
      <c r="B1720" s="22" t="s">
        <v>2670</v>
      </c>
      <c r="C1720" s="18" t="s">
        <v>1215</v>
      </c>
      <c r="D1720" s="19" t="s">
        <v>2674</v>
      </c>
      <c r="E1720" s="161" t="s">
        <v>7</v>
      </c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  <c r="AA1720" s="29"/>
      <c r="AB1720" s="29"/>
      <c r="AC1720" s="29"/>
      <c r="AD1720" s="29"/>
    </row>
    <row r="1721">
      <c r="A1721" s="16" t="s">
        <v>2669</v>
      </c>
      <c r="B1721" s="22" t="s">
        <v>2670</v>
      </c>
      <c r="C1721" s="18" t="s">
        <v>1215</v>
      </c>
      <c r="D1721" s="19" t="s">
        <v>2675</v>
      </c>
      <c r="E1721" s="161" t="s">
        <v>7</v>
      </c>
      <c r="G1721" s="29"/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9"/>
      <c r="Y1721" s="29"/>
      <c r="Z1721" s="29"/>
      <c r="AA1721" s="29"/>
      <c r="AB1721" s="29"/>
      <c r="AC1721" s="29"/>
      <c r="AD1721" s="29"/>
    </row>
    <row r="1722">
      <c r="A1722" s="16" t="s">
        <v>2669</v>
      </c>
      <c r="B1722" s="22" t="s">
        <v>2670</v>
      </c>
      <c r="C1722" s="18" t="s">
        <v>2676</v>
      </c>
      <c r="D1722" s="19" t="s">
        <v>2677</v>
      </c>
      <c r="E1722" s="161" t="s">
        <v>7</v>
      </c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9"/>
      <c r="Y1722" s="29"/>
      <c r="Z1722" s="29"/>
      <c r="AA1722" s="29"/>
      <c r="AB1722" s="29"/>
      <c r="AC1722" s="29"/>
      <c r="AD1722" s="29"/>
    </row>
    <row r="1723">
      <c r="A1723" s="16" t="s">
        <v>2669</v>
      </c>
      <c r="B1723" s="22" t="s">
        <v>2670</v>
      </c>
      <c r="C1723" s="18" t="s">
        <v>2676</v>
      </c>
      <c r="D1723" s="19" t="s">
        <v>2678</v>
      </c>
      <c r="E1723" s="161" t="s">
        <v>7</v>
      </c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9"/>
      <c r="Y1723" s="29"/>
      <c r="Z1723" s="29"/>
      <c r="AA1723" s="29"/>
      <c r="AB1723" s="29"/>
      <c r="AC1723" s="29"/>
      <c r="AD1723" s="29"/>
    </row>
    <row r="1724">
      <c r="A1724" s="16" t="s">
        <v>2669</v>
      </c>
      <c r="B1724" s="22" t="s">
        <v>2670</v>
      </c>
      <c r="C1724" s="18" t="s">
        <v>2676</v>
      </c>
      <c r="D1724" s="19" t="s">
        <v>2679</v>
      </c>
      <c r="E1724" s="161" t="s">
        <v>7</v>
      </c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9"/>
      <c r="Y1724" s="29"/>
      <c r="Z1724" s="29"/>
      <c r="AA1724" s="29"/>
      <c r="AB1724" s="29"/>
      <c r="AC1724" s="29"/>
      <c r="AD1724" s="29"/>
    </row>
    <row r="1725">
      <c r="A1725" s="16" t="s">
        <v>2669</v>
      </c>
      <c r="B1725" s="22" t="s">
        <v>2670</v>
      </c>
      <c r="C1725" s="18" t="s">
        <v>2676</v>
      </c>
      <c r="D1725" s="19" t="s">
        <v>2680</v>
      </c>
      <c r="E1725" s="161" t="s">
        <v>7</v>
      </c>
      <c r="G1725" s="29"/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9"/>
      <c r="AA1725" s="29"/>
      <c r="AB1725" s="29"/>
      <c r="AC1725" s="29"/>
      <c r="AD1725" s="29"/>
    </row>
    <row r="1726">
      <c r="A1726" s="16" t="s">
        <v>2669</v>
      </c>
      <c r="B1726" s="22" t="s">
        <v>2670</v>
      </c>
      <c r="C1726" s="18" t="s">
        <v>2676</v>
      </c>
      <c r="D1726" s="19" t="s">
        <v>2681</v>
      </c>
      <c r="E1726" s="161" t="s">
        <v>7</v>
      </c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  <c r="AA1726" s="29"/>
      <c r="AB1726" s="29"/>
      <c r="AC1726" s="29"/>
      <c r="AD1726" s="29"/>
    </row>
    <row r="1727">
      <c r="A1727" s="16" t="s">
        <v>2669</v>
      </c>
      <c r="B1727" s="22" t="s">
        <v>2670</v>
      </c>
      <c r="C1727" s="18" t="s">
        <v>2676</v>
      </c>
      <c r="D1727" s="19" t="s">
        <v>2682</v>
      </c>
      <c r="E1727" s="161" t="s">
        <v>7</v>
      </c>
      <c r="G1727" s="29"/>
      <c r="H1727" s="29"/>
      <c r="I1727" s="29"/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  <c r="AA1727" s="29"/>
      <c r="AB1727" s="29"/>
      <c r="AC1727" s="29"/>
      <c r="AD1727" s="29"/>
    </row>
    <row r="1728">
      <c r="A1728" s="16" t="s">
        <v>2669</v>
      </c>
      <c r="B1728" s="22" t="s">
        <v>2670</v>
      </c>
      <c r="C1728" s="18" t="s">
        <v>1215</v>
      </c>
      <c r="D1728" s="19" t="s">
        <v>2683</v>
      </c>
      <c r="E1728" s="161" t="s">
        <v>7</v>
      </c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  <c r="AA1728" s="29"/>
      <c r="AB1728" s="29"/>
      <c r="AC1728" s="29"/>
      <c r="AD1728" s="29"/>
    </row>
    <row r="1729">
      <c r="A1729" s="16" t="s">
        <v>2669</v>
      </c>
      <c r="B1729" s="22" t="s">
        <v>2670</v>
      </c>
      <c r="C1729" s="18" t="s">
        <v>2684</v>
      </c>
      <c r="D1729" s="19" t="s">
        <v>2685</v>
      </c>
      <c r="E1729" s="161" t="s">
        <v>7</v>
      </c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29"/>
      <c r="Z1729" s="29"/>
      <c r="AA1729" s="29"/>
      <c r="AB1729" s="29"/>
      <c r="AC1729" s="29"/>
      <c r="AD1729" s="29"/>
    </row>
    <row r="1730">
      <c r="A1730" s="16" t="s">
        <v>2669</v>
      </c>
      <c r="B1730" s="22" t="s">
        <v>2670</v>
      </c>
      <c r="C1730" s="18" t="s">
        <v>2686</v>
      </c>
      <c r="D1730" s="19" t="s">
        <v>2687</v>
      </c>
      <c r="E1730" s="9" t="s">
        <v>2486</v>
      </c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  <c r="AA1730" s="29"/>
      <c r="AB1730" s="29"/>
      <c r="AC1730" s="29"/>
      <c r="AD1730" s="29"/>
    </row>
    <row r="1731">
      <c r="A1731" s="16" t="s">
        <v>2669</v>
      </c>
      <c r="B1731" s="22" t="s">
        <v>2688</v>
      </c>
      <c r="C1731" s="18" t="s">
        <v>2689</v>
      </c>
      <c r="D1731" s="19" t="s">
        <v>2690</v>
      </c>
      <c r="E1731" s="9" t="s">
        <v>1479</v>
      </c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  <c r="AA1731" s="29"/>
      <c r="AB1731" s="29"/>
      <c r="AC1731" s="29"/>
      <c r="AD1731" s="29"/>
    </row>
    <row r="1732">
      <c r="A1732" s="16" t="s">
        <v>2669</v>
      </c>
      <c r="B1732" s="22" t="s">
        <v>2688</v>
      </c>
      <c r="C1732" s="18" t="s">
        <v>2689</v>
      </c>
      <c r="D1732" s="19" t="s">
        <v>2691</v>
      </c>
      <c r="E1732" s="9" t="s">
        <v>1479</v>
      </c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29"/>
      <c r="Z1732" s="29"/>
      <c r="AA1732" s="29"/>
      <c r="AB1732" s="29"/>
      <c r="AC1732" s="29"/>
      <c r="AD1732" s="29"/>
    </row>
    <row r="1733">
      <c r="A1733" s="16" t="s">
        <v>2669</v>
      </c>
      <c r="B1733" s="22" t="s">
        <v>2591</v>
      </c>
      <c r="C1733" s="18" t="s">
        <v>2692</v>
      </c>
      <c r="D1733" s="19" t="s">
        <v>2693</v>
      </c>
      <c r="E1733" s="9" t="s">
        <v>196</v>
      </c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  <c r="AA1733" s="29"/>
      <c r="AB1733" s="29"/>
      <c r="AC1733" s="29"/>
      <c r="AD1733" s="29"/>
    </row>
    <row r="1734">
      <c r="A1734" s="16" t="s">
        <v>2669</v>
      </c>
      <c r="B1734" s="22" t="s">
        <v>2694</v>
      </c>
      <c r="C1734" s="18" t="s">
        <v>2695</v>
      </c>
      <c r="D1734" s="19" t="s">
        <v>2696</v>
      </c>
      <c r="E1734" s="9" t="s">
        <v>2486</v>
      </c>
      <c r="G1734" s="29"/>
      <c r="H1734" s="29"/>
      <c r="I1734" s="29"/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  <c r="AA1734" s="29"/>
      <c r="AB1734" s="29"/>
      <c r="AC1734" s="29"/>
      <c r="AD1734" s="29"/>
    </row>
    <row r="1735">
      <c r="A1735" s="16" t="s">
        <v>2669</v>
      </c>
      <c r="B1735" s="22" t="s">
        <v>2694</v>
      </c>
      <c r="C1735" s="18" t="s">
        <v>2695</v>
      </c>
      <c r="D1735" s="19" t="s">
        <v>2697</v>
      </c>
      <c r="E1735" s="9" t="s">
        <v>2486</v>
      </c>
      <c r="G1735" s="29"/>
      <c r="H1735" s="29"/>
      <c r="I1735" s="29"/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29"/>
      <c r="X1735" s="29"/>
      <c r="Y1735" s="29"/>
      <c r="Z1735" s="29"/>
      <c r="AA1735" s="29"/>
      <c r="AB1735" s="29"/>
      <c r="AC1735" s="29"/>
      <c r="AD1735" s="29"/>
    </row>
    <row r="1736">
      <c r="A1736" s="16" t="s">
        <v>2669</v>
      </c>
      <c r="B1736" s="22" t="s">
        <v>2694</v>
      </c>
      <c r="C1736" s="18" t="s">
        <v>2695</v>
      </c>
      <c r="D1736" s="19" t="s">
        <v>2698</v>
      </c>
      <c r="E1736" s="9" t="s">
        <v>2486</v>
      </c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  <c r="AA1736" s="29"/>
      <c r="AB1736" s="29"/>
      <c r="AC1736" s="29"/>
      <c r="AD1736" s="29"/>
    </row>
    <row r="1737">
      <c r="A1737" s="16" t="s">
        <v>2669</v>
      </c>
      <c r="B1737" s="22" t="s">
        <v>2694</v>
      </c>
      <c r="C1737" s="18" t="s">
        <v>2695</v>
      </c>
      <c r="D1737" s="19" t="s">
        <v>2699</v>
      </c>
      <c r="E1737" s="9" t="s">
        <v>2486</v>
      </c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  <c r="AA1737" s="29"/>
      <c r="AB1737" s="29"/>
      <c r="AC1737" s="29"/>
      <c r="AD1737" s="29"/>
    </row>
    <row r="1738">
      <c r="A1738" s="16" t="s">
        <v>2669</v>
      </c>
      <c r="B1738" s="22" t="s">
        <v>2694</v>
      </c>
      <c r="C1738" s="18" t="s">
        <v>2695</v>
      </c>
      <c r="D1738" s="19" t="s">
        <v>2700</v>
      </c>
      <c r="E1738" s="9" t="s">
        <v>2486</v>
      </c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  <c r="AA1738" s="29"/>
      <c r="AB1738" s="29"/>
      <c r="AC1738" s="29"/>
      <c r="AD1738" s="29"/>
    </row>
    <row r="1739">
      <c r="A1739" s="16" t="s">
        <v>2669</v>
      </c>
      <c r="B1739" s="22" t="s">
        <v>2694</v>
      </c>
      <c r="C1739" s="18" t="s">
        <v>2695</v>
      </c>
      <c r="D1739" s="19" t="s">
        <v>2701</v>
      </c>
      <c r="E1739" s="9" t="s">
        <v>2486</v>
      </c>
      <c r="G1739" s="29"/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  <c r="AA1739" s="29"/>
      <c r="AB1739" s="29"/>
      <c r="AC1739" s="29"/>
      <c r="AD1739" s="29"/>
    </row>
    <row r="1740">
      <c r="A1740" s="16" t="s">
        <v>2669</v>
      </c>
      <c r="B1740" s="22" t="s">
        <v>2694</v>
      </c>
      <c r="C1740" s="18" t="s">
        <v>2695</v>
      </c>
      <c r="D1740" s="19" t="s">
        <v>2702</v>
      </c>
      <c r="E1740" s="9" t="s">
        <v>2486</v>
      </c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29"/>
      <c r="X1740" s="29"/>
      <c r="Y1740" s="29"/>
      <c r="Z1740" s="29"/>
      <c r="AA1740" s="29"/>
      <c r="AB1740" s="29"/>
      <c r="AC1740" s="29"/>
      <c r="AD1740" s="29"/>
    </row>
    <row r="1741">
      <c r="A1741" s="16" t="s">
        <v>2669</v>
      </c>
      <c r="B1741" s="22" t="s">
        <v>2694</v>
      </c>
      <c r="C1741" s="18" t="s">
        <v>2695</v>
      </c>
      <c r="D1741" s="19" t="s">
        <v>2703</v>
      </c>
      <c r="E1741" s="9" t="s">
        <v>2486</v>
      </c>
      <c r="G1741" s="29"/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29"/>
      <c r="X1741" s="29"/>
      <c r="Y1741" s="29"/>
      <c r="Z1741" s="29"/>
      <c r="AA1741" s="29"/>
      <c r="AB1741" s="29"/>
      <c r="AC1741" s="29"/>
      <c r="AD1741" s="29"/>
    </row>
    <row r="1742">
      <c r="A1742" s="16" t="s">
        <v>2669</v>
      </c>
      <c r="B1742" s="22" t="s">
        <v>2704</v>
      </c>
      <c r="C1742" s="18" t="s">
        <v>1688</v>
      </c>
      <c r="D1742" s="18" t="s">
        <v>2705</v>
      </c>
      <c r="E1742" s="9" t="s">
        <v>1479</v>
      </c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  <c r="AA1742" s="29"/>
      <c r="AB1742" s="29"/>
      <c r="AC1742" s="29"/>
      <c r="AD1742" s="29"/>
    </row>
    <row r="1743">
      <c r="A1743" s="16" t="s">
        <v>2669</v>
      </c>
      <c r="B1743" s="22" t="s">
        <v>2704</v>
      </c>
      <c r="C1743" s="18" t="s">
        <v>2706</v>
      </c>
      <c r="D1743" s="18" t="s">
        <v>2707</v>
      </c>
      <c r="E1743" s="9" t="s">
        <v>1479</v>
      </c>
      <c r="G1743" s="29"/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  <c r="AA1743" s="29"/>
      <c r="AB1743" s="29"/>
      <c r="AC1743" s="29"/>
      <c r="AD1743" s="29"/>
    </row>
    <row r="1744">
      <c r="A1744" s="16" t="s">
        <v>2669</v>
      </c>
      <c r="B1744" s="22" t="s">
        <v>2704</v>
      </c>
      <c r="C1744" s="18" t="s">
        <v>1470</v>
      </c>
      <c r="D1744" s="18" t="s">
        <v>2708</v>
      </c>
      <c r="E1744" s="9" t="s">
        <v>1479</v>
      </c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29"/>
      <c r="X1744" s="29"/>
      <c r="Y1744" s="29"/>
      <c r="Z1744" s="29"/>
      <c r="AA1744" s="29"/>
      <c r="AB1744" s="29"/>
      <c r="AC1744" s="29"/>
      <c r="AD1744" s="29"/>
    </row>
    <row r="1745">
      <c r="A1745" s="16" t="s">
        <v>2669</v>
      </c>
      <c r="B1745" s="22" t="s">
        <v>2709</v>
      </c>
      <c r="C1745" s="18" t="s">
        <v>2710</v>
      </c>
      <c r="D1745" s="19" t="s">
        <v>2711</v>
      </c>
      <c r="E1745" s="161" t="s">
        <v>7</v>
      </c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  <c r="AA1745" s="29"/>
      <c r="AB1745" s="29"/>
      <c r="AC1745" s="29"/>
      <c r="AD1745" s="29"/>
    </row>
    <row r="1746">
      <c r="A1746" s="16" t="s">
        <v>2669</v>
      </c>
      <c r="B1746" s="22" t="s">
        <v>2709</v>
      </c>
      <c r="C1746" s="18" t="s">
        <v>2712</v>
      </c>
      <c r="D1746" s="19" t="s">
        <v>2713</v>
      </c>
      <c r="E1746" s="161" t="s">
        <v>7</v>
      </c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29"/>
      <c r="X1746" s="29"/>
      <c r="Y1746" s="29"/>
      <c r="Z1746" s="29"/>
      <c r="AA1746" s="29"/>
      <c r="AB1746" s="29"/>
      <c r="AC1746" s="29"/>
      <c r="AD1746" s="29"/>
    </row>
    <row r="1747">
      <c r="A1747" s="16" t="s">
        <v>2669</v>
      </c>
      <c r="B1747" s="22" t="s">
        <v>2709</v>
      </c>
      <c r="C1747" s="18" t="s">
        <v>2714</v>
      </c>
      <c r="D1747" s="19" t="s">
        <v>2715</v>
      </c>
      <c r="E1747" s="161" t="s">
        <v>7</v>
      </c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29"/>
      <c r="X1747" s="29"/>
      <c r="Y1747" s="29"/>
      <c r="Z1747" s="29"/>
      <c r="AA1747" s="29"/>
      <c r="AB1747" s="29"/>
      <c r="AC1747" s="29"/>
      <c r="AD1747" s="29"/>
    </row>
    <row r="1748">
      <c r="A1748" s="16" t="s">
        <v>2669</v>
      </c>
      <c r="B1748" s="22" t="s">
        <v>2709</v>
      </c>
      <c r="C1748" s="18" t="s">
        <v>2716</v>
      </c>
      <c r="D1748" s="19" t="s">
        <v>2717</v>
      </c>
      <c r="E1748" s="161" t="s">
        <v>7</v>
      </c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29"/>
      <c r="X1748" s="29"/>
      <c r="Y1748" s="29"/>
      <c r="Z1748" s="29"/>
      <c r="AA1748" s="29"/>
      <c r="AB1748" s="29"/>
      <c r="AC1748" s="29"/>
      <c r="AD1748" s="29"/>
    </row>
    <row r="1749">
      <c r="A1749" s="16" t="s">
        <v>2669</v>
      </c>
      <c r="B1749" s="22" t="s">
        <v>2709</v>
      </c>
      <c r="C1749" s="18" t="s">
        <v>2718</v>
      </c>
      <c r="D1749" s="19" t="s">
        <v>2719</v>
      </c>
      <c r="E1749" s="161" t="s">
        <v>7</v>
      </c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  <c r="AA1749" s="29"/>
      <c r="AB1749" s="29"/>
      <c r="AC1749" s="29"/>
      <c r="AD1749" s="29"/>
    </row>
    <row r="1750">
      <c r="A1750" s="16" t="s">
        <v>2669</v>
      </c>
      <c r="B1750" s="22" t="s">
        <v>2709</v>
      </c>
      <c r="C1750" s="18" t="s">
        <v>2720</v>
      </c>
      <c r="D1750" s="19" t="s">
        <v>2721</v>
      </c>
      <c r="E1750" s="161" t="s">
        <v>7</v>
      </c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  <c r="AA1750" s="29"/>
      <c r="AB1750" s="29"/>
      <c r="AC1750" s="29"/>
      <c r="AD1750" s="29"/>
    </row>
    <row r="1751">
      <c r="A1751" s="16" t="s">
        <v>2669</v>
      </c>
      <c r="B1751" s="22" t="s">
        <v>2709</v>
      </c>
      <c r="C1751" s="18" t="s">
        <v>2722</v>
      </c>
      <c r="D1751" s="19" t="s">
        <v>2723</v>
      </c>
      <c r="E1751" s="161" t="s">
        <v>7</v>
      </c>
      <c r="G1751" s="29"/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  <c r="AA1751" s="29"/>
      <c r="AB1751" s="29"/>
      <c r="AC1751" s="29"/>
      <c r="AD1751" s="29"/>
    </row>
    <row r="1752">
      <c r="A1752" s="16" t="s">
        <v>2669</v>
      </c>
      <c r="B1752" s="19" t="s">
        <v>2724</v>
      </c>
      <c r="C1752" s="18" t="s">
        <v>2667</v>
      </c>
      <c r="D1752" s="19" t="s">
        <v>2725</v>
      </c>
      <c r="E1752" s="18" t="s">
        <v>14</v>
      </c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29"/>
      <c r="X1752" s="29"/>
      <c r="Y1752" s="29"/>
      <c r="Z1752" s="29"/>
      <c r="AA1752" s="29"/>
      <c r="AB1752" s="29"/>
      <c r="AC1752" s="29"/>
      <c r="AD1752" s="29"/>
    </row>
    <row r="1753">
      <c r="A1753" s="16" t="s">
        <v>2669</v>
      </c>
      <c r="B1753" s="22" t="s">
        <v>2726</v>
      </c>
      <c r="C1753" s="18" t="s">
        <v>2727</v>
      </c>
      <c r="D1753" s="19" t="s">
        <v>2728</v>
      </c>
      <c r="E1753" s="18" t="s">
        <v>14</v>
      </c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29"/>
      <c r="X1753" s="29"/>
      <c r="Y1753" s="29"/>
      <c r="Z1753" s="29"/>
      <c r="AA1753" s="29"/>
      <c r="AB1753" s="29"/>
      <c r="AC1753" s="29"/>
      <c r="AD1753" s="29"/>
    </row>
    <row r="1754">
      <c r="A1754" s="16" t="s">
        <v>2669</v>
      </c>
      <c r="B1754" s="22" t="s">
        <v>2729</v>
      </c>
      <c r="C1754" s="18" t="s">
        <v>2730</v>
      </c>
      <c r="D1754" s="19" t="s">
        <v>2731</v>
      </c>
      <c r="E1754" s="161" t="s">
        <v>7</v>
      </c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  <c r="AA1754" s="29"/>
      <c r="AB1754" s="29"/>
      <c r="AC1754" s="29"/>
      <c r="AD1754" s="29"/>
    </row>
    <row r="1755">
      <c r="A1755" s="16" t="s">
        <v>2669</v>
      </c>
      <c r="B1755" s="22" t="s">
        <v>2729</v>
      </c>
      <c r="C1755" s="18" t="s">
        <v>2732</v>
      </c>
      <c r="D1755" s="19" t="s">
        <v>2733</v>
      </c>
      <c r="E1755" s="161" t="s">
        <v>7</v>
      </c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29"/>
      <c r="Z1755" s="29"/>
      <c r="AA1755" s="29"/>
      <c r="AB1755" s="29"/>
      <c r="AC1755" s="29"/>
      <c r="AD1755" s="29"/>
    </row>
    <row r="1756">
      <c r="A1756" s="16" t="s">
        <v>2669</v>
      </c>
      <c r="B1756" s="22" t="s">
        <v>2729</v>
      </c>
      <c r="C1756" s="18" t="s">
        <v>2734</v>
      </c>
      <c r="D1756" s="19" t="s">
        <v>2735</v>
      </c>
      <c r="E1756" s="161" t="s">
        <v>7</v>
      </c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  <c r="AA1756" s="29"/>
      <c r="AB1756" s="29"/>
      <c r="AC1756" s="29"/>
      <c r="AD1756" s="29"/>
    </row>
    <row r="1757">
      <c r="A1757" s="16" t="s">
        <v>2669</v>
      </c>
      <c r="B1757" s="22" t="s">
        <v>2729</v>
      </c>
      <c r="C1757" s="18" t="s">
        <v>811</v>
      </c>
      <c r="D1757" s="19" t="s">
        <v>2736</v>
      </c>
      <c r="E1757" s="9" t="s">
        <v>196</v>
      </c>
      <c r="G1757" s="29"/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29"/>
      <c r="X1757" s="29"/>
      <c r="Y1757" s="29"/>
      <c r="Z1757" s="29"/>
      <c r="AA1757" s="29"/>
      <c r="AB1757" s="29"/>
      <c r="AC1757" s="29"/>
      <c r="AD1757" s="29"/>
    </row>
    <row r="1758">
      <c r="A1758" s="16" t="s">
        <v>2669</v>
      </c>
      <c r="B1758" s="22" t="s">
        <v>2729</v>
      </c>
      <c r="C1758" s="18" t="s">
        <v>2737</v>
      </c>
      <c r="D1758" s="19" t="s">
        <v>2735</v>
      </c>
      <c r="E1758" s="161" t="s">
        <v>7</v>
      </c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  <c r="AA1758" s="29"/>
      <c r="AB1758" s="29"/>
      <c r="AC1758" s="29"/>
      <c r="AD1758" s="29"/>
    </row>
    <row r="1759">
      <c r="A1759" s="16" t="s">
        <v>2669</v>
      </c>
      <c r="B1759" s="22" t="s">
        <v>2729</v>
      </c>
      <c r="C1759" s="18" t="s">
        <v>2738</v>
      </c>
      <c r="D1759" s="19" t="s">
        <v>2739</v>
      </c>
      <c r="E1759" s="161" t="s">
        <v>7</v>
      </c>
      <c r="G1759" s="29"/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  <c r="AA1759" s="29"/>
      <c r="AB1759" s="29"/>
      <c r="AC1759" s="29"/>
      <c r="AD1759" s="29"/>
    </row>
    <row r="1760">
      <c r="A1760" s="16" t="s">
        <v>2669</v>
      </c>
      <c r="B1760" s="22" t="s">
        <v>2729</v>
      </c>
      <c r="C1760" s="18" t="s">
        <v>1365</v>
      </c>
      <c r="D1760" s="19" t="s">
        <v>2739</v>
      </c>
      <c r="E1760" s="161" t="s">
        <v>7</v>
      </c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29"/>
      <c r="W1760" s="29"/>
      <c r="X1760" s="29"/>
      <c r="Y1760" s="29"/>
      <c r="Z1760" s="29"/>
      <c r="AA1760" s="29"/>
      <c r="AB1760" s="29"/>
      <c r="AC1760" s="29"/>
      <c r="AD1760" s="29"/>
    </row>
    <row r="1761">
      <c r="A1761" s="18"/>
      <c r="B1761" s="22"/>
      <c r="C1761" s="18"/>
      <c r="D1761" s="19"/>
      <c r="E1761" s="49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  <c r="AA1761" s="29"/>
      <c r="AB1761" s="29"/>
      <c r="AC1761" s="29"/>
      <c r="AD1761" s="29"/>
    </row>
    <row r="1762">
      <c r="A1762" s="18"/>
      <c r="B1762" s="22"/>
      <c r="C1762" s="18"/>
      <c r="D1762" s="19"/>
      <c r="E1762" s="49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29"/>
      <c r="X1762" s="29"/>
      <c r="Y1762" s="29"/>
      <c r="Z1762" s="29"/>
      <c r="AA1762" s="29"/>
      <c r="AB1762" s="29"/>
      <c r="AC1762" s="29"/>
      <c r="AD1762" s="29"/>
    </row>
    <row r="1763">
      <c r="A1763" s="115" t="s">
        <v>2740</v>
      </c>
      <c r="B1763" s="22" t="s">
        <v>2666</v>
      </c>
      <c r="C1763" s="18" t="s">
        <v>2667</v>
      </c>
      <c r="D1763" s="19" t="s">
        <v>2741</v>
      </c>
      <c r="E1763" s="132" t="s">
        <v>2625</v>
      </c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29"/>
      <c r="X1763" s="29"/>
      <c r="Y1763" s="29"/>
      <c r="Z1763" s="29"/>
      <c r="AA1763" s="29"/>
      <c r="AB1763" s="29"/>
      <c r="AC1763" s="29"/>
      <c r="AD1763" s="29"/>
    </row>
    <row r="1764">
      <c r="A1764" s="115" t="s">
        <v>2740</v>
      </c>
      <c r="B1764" s="22" t="s">
        <v>2666</v>
      </c>
      <c r="C1764" s="18" t="s">
        <v>2742</v>
      </c>
      <c r="D1764" s="19" t="s">
        <v>2743</v>
      </c>
      <c r="E1764" s="9" t="s">
        <v>1479</v>
      </c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  <c r="AA1764" s="29"/>
      <c r="AB1764" s="29"/>
      <c r="AC1764" s="29"/>
      <c r="AD1764" s="29"/>
    </row>
    <row r="1765">
      <c r="A1765" s="115" t="s">
        <v>2740</v>
      </c>
      <c r="B1765" s="22" t="s">
        <v>2744</v>
      </c>
      <c r="C1765" s="18" t="s">
        <v>1973</v>
      </c>
      <c r="D1765" s="19" t="s">
        <v>2745</v>
      </c>
      <c r="E1765" s="9" t="s">
        <v>1479</v>
      </c>
      <c r="G1765" s="29"/>
      <c r="H1765" s="29"/>
      <c r="I1765" s="29"/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29"/>
      <c r="X1765" s="29"/>
      <c r="Y1765" s="29"/>
      <c r="Z1765" s="29"/>
      <c r="AA1765" s="29"/>
      <c r="AB1765" s="29"/>
      <c r="AC1765" s="29"/>
      <c r="AD1765" s="29"/>
    </row>
    <row r="1766">
      <c r="A1766" s="115" t="s">
        <v>2740</v>
      </c>
      <c r="B1766" s="22" t="s">
        <v>2744</v>
      </c>
      <c r="C1766" s="18" t="s">
        <v>2746</v>
      </c>
      <c r="D1766" s="19" t="s">
        <v>2745</v>
      </c>
      <c r="E1766" s="9" t="s">
        <v>1479</v>
      </c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  <c r="AA1766" s="29"/>
      <c r="AB1766" s="29"/>
      <c r="AC1766" s="29"/>
      <c r="AD1766" s="29"/>
    </row>
    <row r="1767">
      <c r="A1767" s="115" t="s">
        <v>2740</v>
      </c>
      <c r="B1767" s="22" t="s">
        <v>2744</v>
      </c>
      <c r="C1767" s="18" t="s">
        <v>2746</v>
      </c>
      <c r="D1767" s="19" t="s">
        <v>2745</v>
      </c>
      <c r="E1767" s="9" t="s">
        <v>1479</v>
      </c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  <c r="AA1767" s="29"/>
      <c r="AB1767" s="29"/>
      <c r="AC1767" s="29"/>
      <c r="AD1767" s="29"/>
    </row>
    <row r="1768">
      <c r="A1768" s="115" t="s">
        <v>2740</v>
      </c>
      <c r="B1768" s="19" t="s">
        <v>2747</v>
      </c>
      <c r="C1768" s="18" t="s">
        <v>2748</v>
      </c>
      <c r="D1768" s="19" t="s">
        <v>2749</v>
      </c>
      <c r="E1768" s="132" t="s">
        <v>2625</v>
      </c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  <c r="AA1768" s="29"/>
      <c r="AB1768" s="29"/>
      <c r="AC1768" s="29"/>
      <c r="AD1768" s="29"/>
    </row>
    <row r="1769">
      <c r="A1769" s="115" t="s">
        <v>2740</v>
      </c>
      <c r="B1769" s="19" t="s">
        <v>2750</v>
      </c>
      <c r="C1769" s="18" t="s">
        <v>2751</v>
      </c>
      <c r="D1769" s="19" t="s">
        <v>2752</v>
      </c>
      <c r="E1769" s="9" t="s">
        <v>196</v>
      </c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  <c r="AA1769" s="29"/>
      <c r="AB1769" s="29"/>
      <c r="AC1769" s="29"/>
      <c r="AD1769" s="29"/>
    </row>
    <row r="1770">
      <c r="A1770" s="115" t="s">
        <v>2740</v>
      </c>
      <c r="B1770" s="22" t="s">
        <v>2753</v>
      </c>
      <c r="C1770" s="18" t="s">
        <v>2754</v>
      </c>
      <c r="D1770" s="19" t="s">
        <v>2755</v>
      </c>
      <c r="E1770" s="132" t="s">
        <v>2625</v>
      </c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  <c r="AA1770" s="29"/>
      <c r="AB1770" s="29"/>
      <c r="AC1770" s="29"/>
      <c r="AD1770" s="29"/>
    </row>
    <row r="1771">
      <c r="A1771" s="18"/>
      <c r="B1771" s="22"/>
      <c r="C1771" s="18"/>
      <c r="D1771" s="19"/>
      <c r="E1771" s="4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  <c r="AA1771" s="29"/>
      <c r="AB1771" s="29"/>
      <c r="AC1771" s="29"/>
      <c r="AD1771" s="29"/>
    </row>
    <row r="1772">
      <c r="A1772" s="18"/>
      <c r="B1772" s="22"/>
      <c r="C1772" s="18"/>
      <c r="D1772" s="19"/>
      <c r="E1772" s="4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  <c r="AA1772" s="29"/>
      <c r="AB1772" s="29"/>
      <c r="AC1772" s="29"/>
      <c r="AD1772" s="29"/>
    </row>
    <row r="1773">
      <c r="A1773" s="115" t="s">
        <v>2756</v>
      </c>
      <c r="B1773" s="22" t="s">
        <v>2666</v>
      </c>
      <c r="C1773" s="18" t="s">
        <v>2757</v>
      </c>
      <c r="D1773" s="19" t="s">
        <v>2758</v>
      </c>
      <c r="E1773" s="132" t="s">
        <v>2759</v>
      </c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  <c r="AA1773" s="29"/>
      <c r="AB1773" s="29"/>
      <c r="AC1773" s="29"/>
      <c r="AD1773" s="29"/>
    </row>
    <row r="1774">
      <c r="A1774" s="115" t="s">
        <v>2756</v>
      </c>
      <c r="B1774" s="22" t="s">
        <v>2760</v>
      </c>
      <c r="C1774" s="18" t="s">
        <v>1582</v>
      </c>
      <c r="D1774" s="19" t="s">
        <v>2761</v>
      </c>
      <c r="E1774" s="9" t="s">
        <v>2762</v>
      </c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  <c r="AA1774" s="29"/>
      <c r="AB1774" s="29"/>
      <c r="AC1774" s="29"/>
      <c r="AD1774" s="29"/>
    </row>
    <row r="1775">
      <c r="A1775" s="115" t="s">
        <v>2756</v>
      </c>
      <c r="B1775" s="22" t="s">
        <v>2760</v>
      </c>
      <c r="C1775" s="18" t="s">
        <v>1163</v>
      </c>
      <c r="D1775" s="19" t="s">
        <v>2763</v>
      </c>
      <c r="E1775" s="9" t="s">
        <v>2762</v>
      </c>
      <c r="G1775" s="29"/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  <c r="AA1775" s="29"/>
      <c r="AB1775" s="29"/>
      <c r="AC1775" s="29"/>
      <c r="AD1775" s="29"/>
    </row>
    <row r="1776">
      <c r="A1776" s="115" t="s">
        <v>2756</v>
      </c>
      <c r="B1776" s="22" t="s">
        <v>2760</v>
      </c>
      <c r="C1776" s="18" t="s">
        <v>2738</v>
      </c>
      <c r="D1776" s="19" t="s">
        <v>2764</v>
      </c>
      <c r="E1776" s="9" t="s">
        <v>2762</v>
      </c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  <c r="AA1776" s="29"/>
      <c r="AB1776" s="29"/>
      <c r="AC1776" s="29"/>
      <c r="AD1776" s="29"/>
    </row>
    <row r="1777">
      <c r="A1777" s="115" t="s">
        <v>2756</v>
      </c>
      <c r="B1777" s="22" t="s">
        <v>2760</v>
      </c>
      <c r="C1777" s="18" t="s">
        <v>2765</v>
      </c>
      <c r="D1777" s="19" t="s">
        <v>2766</v>
      </c>
      <c r="E1777" s="9" t="s">
        <v>2762</v>
      </c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  <c r="AA1777" s="29"/>
      <c r="AB1777" s="29"/>
      <c r="AC1777" s="29"/>
      <c r="AD1777" s="29"/>
    </row>
    <row r="1778">
      <c r="A1778" s="115" t="s">
        <v>2756</v>
      </c>
      <c r="B1778" s="19" t="s">
        <v>2767</v>
      </c>
      <c r="C1778" s="18" t="s">
        <v>2768</v>
      </c>
      <c r="D1778" s="19" t="s">
        <v>2769</v>
      </c>
      <c r="E1778" s="9" t="s">
        <v>196</v>
      </c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  <c r="AA1778" s="29"/>
      <c r="AB1778" s="29"/>
      <c r="AC1778" s="29"/>
      <c r="AD1778" s="29"/>
    </row>
    <row r="1779">
      <c r="A1779" s="18"/>
      <c r="B1779" s="22"/>
      <c r="C1779" s="18"/>
      <c r="D1779" s="19"/>
      <c r="E1779" s="4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  <c r="AA1779" s="29"/>
      <c r="AB1779" s="29"/>
      <c r="AC1779" s="29"/>
      <c r="AD1779" s="29"/>
    </row>
    <row r="1780">
      <c r="A1780" s="18"/>
      <c r="B1780" s="22"/>
      <c r="C1780" s="18"/>
      <c r="D1780" s="19"/>
      <c r="E1780" s="4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  <c r="AA1780" s="29"/>
      <c r="AB1780" s="29"/>
      <c r="AC1780" s="29"/>
      <c r="AD1780" s="29"/>
    </row>
    <row r="1781">
      <c r="A1781" s="16" t="s">
        <v>2770</v>
      </c>
      <c r="B1781" s="22" t="s">
        <v>2771</v>
      </c>
      <c r="C1781" s="18" t="s">
        <v>2738</v>
      </c>
      <c r="D1781" s="19" t="s">
        <v>2772</v>
      </c>
      <c r="E1781" s="9" t="s">
        <v>196</v>
      </c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  <c r="AA1781" s="29"/>
      <c r="AB1781" s="29"/>
      <c r="AC1781" s="29"/>
      <c r="AD1781" s="29"/>
    </row>
    <row r="1782">
      <c r="A1782" s="16" t="s">
        <v>2770</v>
      </c>
      <c r="B1782" s="22" t="s">
        <v>2546</v>
      </c>
      <c r="C1782" s="18" t="s">
        <v>2773</v>
      </c>
      <c r="D1782" s="19" t="s">
        <v>2774</v>
      </c>
      <c r="E1782" s="9" t="s">
        <v>1479</v>
      </c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  <c r="AA1782" s="29"/>
      <c r="AB1782" s="29"/>
      <c r="AC1782" s="29"/>
      <c r="AD1782" s="29"/>
    </row>
    <row r="1783">
      <c r="A1783" s="16" t="s">
        <v>2770</v>
      </c>
      <c r="B1783" s="22" t="s">
        <v>2546</v>
      </c>
      <c r="C1783" s="18" t="s">
        <v>2773</v>
      </c>
      <c r="D1783" s="19" t="s">
        <v>2775</v>
      </c>
      <c r="E1783" s="9" t="s">
        <v>1479</v>
      </c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  <c r="AA1783" s="29"/>
      <c r="AB1783" s="29"/>
      <c r="AC1783" s="29"/>
      <c r="AD1783" s="29"/>
    </row>
    <row r="1784">
      <c r="A1784" s="16" t="s">
        <v>2770</v>
      </c>
      <c r="B1784" s="22" t="s">
        <v>2546</v>
      </c>
      <c r="C1784" s="18" t="s">
        <v>2773</v>
      </c>
      <c r="D1784" s="19" t="s">
        <v>2776</v>
      </c>
      <c r="E1784" s="9" t="s">
        <v>1479</v>
      </c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  <c r="AA1784" s="29"/>
      <c r="AB1784" s="29"/>
      <c r="AC1784" s="29"/>
      <c r="AD1784" s="29"/>
    </row>
    <row r="1785">
      <c r="A1785" s="16" t="s">
        <v>2770</v>
      </c>
      <c r="B1785" s="22" t="s">
        <v>2546</v>
      </c>
      <c r="C1785" s="18" t="s">
        <v>2773</v>
      </c>
      <c r="D1785" s="19" t="s">
        <v>2777</v>
      </c>
      <c r="E1785" s="9" t="s">
        <v>1479</v>
      </c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  <c r="AA1785" s="29"/>
      <c r="AB1785" s="29"/>
      <c r="AC1785" s="29"/>
      <c r="AD1785" s="29"/>
    </row>
    <row r="1786">
      <c r="A1786" s="16" t="s">
        <v>2770</v>
      </c>
      <c r="B1786" s="22" t="s">
        <v>2546</v>
      </c>
      <c r="C1786" s="18" t="s">
        <v>2778</v>
      </c>
      <c r="D1786" s="19" t="s">
        <v>2779</v>
      </c>
      <c r="E1786" s="9" t="s">
        <v>1479</v>
      </c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  <c r="AA1786" s="29"/>
      <c r="AB1786" s="29"/>
      <c r="AC1786" s="29"/>
      <c r="AD1786" s="29"/>
    </row>
    <row r="1787">
      <c r="A1787" s="16" t="s">
        <v>2770</v>
      </c>
      <c r="B1787" s="22" t="s">
        <v>2546</v>
      </c>
      <c r="C1787" s="18" t="s">
        <v>329</v>
      </c>
      <c r="D1787" s="19" t="s">
        <v>611</v>
      </c>
      <c r="E1787" s="9" t="s">
        <v>1479</v>
      </c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  <c r="AA1787" s="29"/>
      <c r="AB1787" s="29"/>
      <c r="AC1787" s="29"/>
      <c r="AD1787" s="29"/>
    </row>
    <row r="1788">
      <c r="A1788" s="16" t="s">
        <v>2770</v>
      </c>
      <c r="B1788" s="22" t="s">
        <v>2546</v>
      </c>
      <c r="C1788" s="18" t="s">
        <v>329</v>
      </c>
      <c r="D1788" s="19" t="s">
        <v>2780</v>
      </c>
      <c r="E1788" s="9" t="s">
        <v>1479</v>
      </c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  <c r="AA1788" s="29"/>
      <c r="AB1788" s="29"/>
      <c r="AC1788" s="29"/>
      <c r="AD1788" s="29"/>
    </row>
    <row r="1789">
      <c r="A1789" s="16" t="s">
        <v>2770</v>
      </c>
      <c r="B1789" s="19" t="s">
        <v>2781</v>
      </c>
      <c r="C1789" s="18" t="s">
        <v>2782</v>
      </c>
      <c r="D1789" s="19" t="s">
        <v>2783</v>
      </c>
      <c r="E1789" s="161" t="s">
        <v>7</v>
      </c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  <c r="AA1789" s="29"/>
      <c r="AB1789" s="29"/>
      <c r="AC1789" s="29"/>
      <c r="AD1789" s="29"/>
    </row>
    <row r="1790">
      <c r="A1790" s="16" t="s">
        <v>2770</v>
      </c>
      <c r="B1790" s="22" t="s">
        <v>2784</v>
      </c>
      <c r="C1790" s="18" t="s">
        <v>2785</v>
      </c>
      <c r="D1790" s="19" t="s">
        <v>2786</v>
      </c>
      <c r="E1790" s="9" t="s">
        <v>14</v>
      </c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  <c r="AA1790" s="29"/>
      <c r="AB1790" s="29"/>
      <c r="AC1790" s="29"/>
      <c r="AD1790" s="29"/>
    </row>
    <row r="1791">
      <c r="A1791" s="16" t="s">
        <v>2770</v>
      </c>
      <c r="B1791" s="19" t="s">
        <v>2787</v>
      </c>
      <c r="C1791" s="18" t="s">
        <v>2788</v>
      </c>
      <c r="D1791" s="19" t="s">
        <v>2789</v>
      </c>
      <c r="E1791" s="9" t="s">
        <v>14</v>
      </c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  <c r="AA1791" s="29"/>
      <c r="AB1791" s="29"/>
      <c r="AC1791" s="29"/>
      <c r="AD1791" s="29"/>
    </row>
    <row r="1792">
      <c r="A1792" s="16" t="s">
        <v>2770</v>
      </c>
      <c r="B1792" s="22" t="s">
        <v>2440</v>
      </c>
      <c r="C1792" s="18" t="s">
        <v>2790</v>
      </c>
      <c r="D1792" s="19" t="s">
        <v>2791</v>
      </c>
      <c r="E1792" s="9" t="s">
        <v>2149</v>
      </c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  <c r="AA1792" s="29"/>
      <c r="AB1792" s="29"/>
      <c r="AC1792" s="29"/>
      <c r="AD1792" s="29"/>
    </row>
    <row r="1793">
      <c r="A1793" s="16" t="s">
        <v>2770</v>
      </c>
      <c r="B1793" s="22" t="s">
        <v>2440</v>
      </c>
      <c r="C1793" s="18" t="s">
        <v>2790</v>
      </c>
      <c r="D1793" s="19" t="s">
        <v>2791</v>
      </c>
      <c r="E1793" s="9" t="s">
        <v>2149</v>
      </c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  <c r="AA1793" s="29"/>
      <c r="AB1793" s="29"/>
      <c r="AC1793" s="29"/>
      <c r="AD1793" s="29"/>
    </row>
    <row r="1794">
      <c r="A1794" s="16" t="s">
        <v>2770</v>
      </c>
      <c r="B1794" s="22" t="s">
        <v>2792</v>
      </c>
      <c r="C1794" s="18" t="s">
        <v>2793</v>
      </c>
      <c r="D1794" s="19" t="s">
        <v>2792</v>
      </c>
      <c r="E1794" s="9" t="s">
        <v>196</v>
      </c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  <c r="AA1794" s="29"/>
      <c r="AB1794" s="29"/>
      <c r="AC1794" s="29"/>
      <c r="AD1794" s="29"/>
    </row>
    <row r="1795">
      <c r="A1795" s="16" t="s">
        <v>2770</v>
      </c>
      <c r="B1795" s="19" t="s">
        <v>2767</v>
      </c>
      <c r="C1795" s="18" t="s">
        <v>2794</v>
      </c>
      <c r="D1795" s="19" t="s">
        <v>2602</v>
      </c>
      <c r="E1795" s="9" t="s">
        <v>196</v>
      </c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  <c r="AA1795" s="29"/>
      <c r="AB1795" s="29"/>
      <c r="AC1795" s="29"/>
      <c r="AD1795" s="29"/>
    </row>
    <row r="1796">
      <c r="A1796" s="18"/>
      <c r="B1796" s="22"/>
      <c r="C1796" s="18"/>
      <c r="D1796" s="19"/>
      <c r="E1796" s="4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  <c r="AA1796" s="29"/>
      <c r="AB1796" s="29"/>
      <c r="AC1796" s="29"/>
      <c r="AD1796" s="29"/>
    </row>
    <row r="1797">
      <c r="A1797" s="18"/>
      <c r="B1797" s="22"/>
      <c r="C1797" s="18"/>
      <c r="D1797" s="19"/>
      <c r="E1797" s="49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  <c r="AA1797" s="29"/>
      <c r="AB1797" s="29"/>
      <c r="AC1797" s="29"/>
      <c r="AD1797" s="29"/>
    </row>
    <row r="1798">
      <c r="A1798" s="115" t="s">
        <v>2795</v>
      </c>
      <c r="B1798" s="22" t="s">
        <v>2666</v>
      </c>
      <c r="C1798" s="18" t="s">
        <v>2796</v>
      </c>
      <c r="D1798" s="19" t="s">
        <v>2797</v>
      </c>
      <c r="E1798" s="9" t="s">
        <v>14</v>
      </c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  <c r="AA1798" s="29"/>
      <c r="AB1798" s="29"/>
      <c r="AC1798" s="29"/>
      <c r="AD1798" s="29"/>
    </row>
    <row r="1799">
      <c r="A1799" s="115" t="s">
        <v>2795</v>
      </c>
      <c r="B1799" s="22" t="s">
        <v>2666</v>
      </c>
      <c r="C1799" s="18" t="s">
        <v>2798</v>
      </c>
      <c r="D1799" s="19" t="s">
        <v>2799</v>
      </c>
      <c r="E1799" s="161" t="s">
        <v>7</v>
      </c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  <c r="AA1799" s="29"/>
      <c r="AB1799" s="29"/>
      <c r="AC1799" s="29"/>
      <c r="AD1799" s="29"/>
    </row>
    <row r="1800">
      <c r="A1800" s="115" t="s">
        <v>2795</v>
      </c>
      <c r="B1800" s="22" t="s">
        <v>2800</v>
      </c>
      <c r="C1800" s="18" t="s">
        <v>2801</v>
      </c>
      <c r="D1800" s="19" t="s">
        <v>2802</v>
      </c>
      <c r="E1800" s="161" t="s">
        <v>7</v>
      </c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  <c r="AA1800" s="29"/>
      <c r="AB1800" s="29"/>
      <c r="AC1800" s="29"/>
      <c r="AD1800" s="29"/>
    </row>
    <row r="1801">
      <c r="A1801" s="115" t="s">
        <v>2795</v>
      </c>
      <c r="B1801" s="22" t="s">
        <v>2803</v>
      </c>
      <c r="C1801" s="18" t="s">
        <v>2804</v>
      </c>
      <c r="D1801" s="19" t="s">
        <v>2805</v>
      </c>
      <c r="E1801" s="161" t="s">
        <v>7</v>
      </c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  <c r="AA1801" s="29"/>
      <c r="AB1801" s="29"/>
      <c r="AC1801" s="29"/>
      <c r="AD1801" s="29"/>
    </row>
    <row r="1802">
      <c r="A1802" s="115" t="s">
        <v>2795</v>
      </c>
      <c r="B1802" s="22" t="s">
        <v>2803</v>
      </c>
      <c r="C1802" s="18" t="s">
        <v>2806</v>
      </c>
      <c r="D1802" s="19" t="s">
        <v>2807</v>
      </c>
      <c r="E1802" s="161" t="s">
        <v>7</v>
      </c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  <c r="AA1802" s="29"/>
      <c r="AB1802" s="29"/>
      <c r="AC1802" s="29"/>
      <c r="AD1802" s="29"/>
    </row>
    <row r="1803">
      <c r="A1803" s="115" t="s">
        <v>2795</v>
      </c>
      <c r="B1803" s="22" t="s">
        <v>2803</v>
      </c>
      <c r="C1803" s="18" t="s">
        <v>2808</v>
      </c>
      <c r="D1803" s="19" t="s">
        <v>2809</v>
      </c>
      <c r="E1803" s="161" t="s">
        <v>7</v>
      </c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29"/>
      <c r="X1803" s="29"/>
      <c r="Y1803" s="29"/>
      <c r="Z1803" s="29"/>
      <c r="AA1803" s="29"/>
      <c r="AB1803" s="29"/>
      <c r="AC1803" s="29"/>
      <c r="AD1803" s="29"/>
    </row>
    <row r="1804">
      <c r="A1804" s="115" t="s">
        <v>2795</v>
      </c>
      <c r="B1804" s="22" t="s">
        <v>2803</v>
      </c>
      <c r="C1804" s="18" t="s">
        <v>2810</v>
      </c>
      <c r="D1804" s="19" t="s">
        <v>2811</v>
      </c>
      <c r="E1804" s="161" t="s">
        <v>7</v>
      </c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29"/>
      <c r="X1804" s="29"/>
      <c r="Y1804" s="29"/>
      <c r="Z1804" s="29"/>
      <c r="AA1804" s="29"/>
      <c r="AB1804" s="29"/>
      <c r="AC1804" s="29"/>
      <c r="AD1804" s="29"/>
    </row>
    <row r="1805">
      <c r="A1805" s="115" t="s">
        <v>2795</v>
      </c>
      <c r="B1805" s="22" t="s">
        <v>2803</v>
      </c>
      <c r="C1805" s="18" t="s">
        <v>2812</v>
      </c>
      <c r="D1805" s="19" t="s">
        <v>2813</v>
      </c>
      <c r="E1805" s="161" t="s">
        <v>7</v>
      </c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29"/>
      <c r="X1805" s="29"/>
      <c r="Y1805" s="29"/>
      <c r="Z1805" s="29"/>
      <c r="AA1805" s="29"/>
      <c r="AB1805" s="29"/>
      <c r="AC1805" s="29"/>
      <c r="AD1805" s="29"/>
    </row>
    <row r="1806">
      <c r="A1806" s="115" t="s">
        <v>2795</v>
      </c>
      <c r="B1806" s="22" t="s">
        <v>2803</v>
      </c>
      <c r="C1806" s="18" t="s">
        <v>2812</v>
      </c>
      <c r="D1806" s="19" t="s">
        <v>2814</v>
      </c>
      <c r="E1806" s="161" t="s">
        <v>7</v>
      </c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29"/>
      <c r="Y1806" s="29"/>
      <c r="Z1806" s="29"/>
      <c r="AA1806" s="29"/>
      <c r="AB1806" s="29"/>
      <c r="AC1806" s="29"/>
      <c r="AD1806" s="29"/>
    </row>
    <row r="1807">
      <c r="A1807" s="115" t="s">
        <v>2795</v>
      </c>
      <c r="B1807" s="22" t="s">
        <v>2815</v>
      </c>
      <c r="C1807" s="18" t="s">
        <v>2773</v>
      </c>
      <c r="D1807" s="19" t="s">
        <v>2777</v>
      </c>
      <c r="E1807" s="9" t="s">
        <v>1479</v>
      </c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29"/>
      <c r="X1807" s="29"/>
      <c r="Y1807" s="29"/>
      <c r="Z1807" s="29"/>
      <c r="AA1807" s="29"/>
      <c r="AB1807" s="29"/>
      <c r="AC1807" s="29"/>
      <c r="AD1807" s="29"/>
    </row>
    <row r="1808">
      <c r="A1808" s="115" t="s">
        <v>2795</v>
      </c>
      <c r="B1808" s="22" t="s">
        <v>2816</v>
      </c>
      <c r="C1808" s="18" t="s">
        <v>329</v>
      </c>
      <c r="D1808" s="19" t="s">
        <v>2780</v>
      </c>
      <c r="E1808" s="9" t="s">
        <v>1479</v>
      </c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29"/>
      <c r="X1808" s="29"/>
      <c r="Y1808" s="29"/>
      <c r="Z1808" s="29"/>
      <c r="AA1808" s="29"/>
      <c r="AB1808" s="29"/>
      <c r="AC1808" s="29"/>
      <c r="AD1808" s="29"/>
    </row>
    <row r="1809">
      <c r="A1809" s="115" t="s">
        <v>2795</v>
      </c>
      <c r="B1809" s="22" t="s">
        <v>2817</v>
      </c>
      <c r="C1809" s="18" t="s">
        <v>977</v>
      </c>
      <c r="D1809" s="19" t="s">
        <v>2818</v>
      </c>
      <c r="E1809" s="9" t="s">
        <v>1479</v>
      </c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29"/>
      <c r="X1809" s="29"/>
      <c r="Y1809" s="29"/>
      <c r="Z1809" s="29"/>
      <c r="AA1809" s="29"/>
      <c r="AB1809" s="29"/>
      <c r="AC1809" s="29"/>
      <c r="AD1809" s="29"/>
    </row>
    <row r="1810">
      <c r="A1810" s="115" t="s">
        <v>2795</v>
      </c>
      <c r="B1810" s="22" t="s">
        <v>2819</v>
      </c>
      <c r="C1810" s="18" t="s">
        <v>2778</v>
      </c>
      <c r="D1810" s="19" t="s">
        <v>2779</v>
      </c>
      <c r="E1810" s="9" t="s">
        <v>1479</v>
      </c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29"/>
      <c r="X1810" s="29"/>
      <c r="Y1810" s="29"/>
      <c r="Z1810" s="29"/>
      <c r="AA1810" s="29"/>
      <c r="AB1810" s="29"/>
      <c r="AC1810" s="29"/>
      <c r="AD1810" s="29"/>
    </row>
    <row r="1811">
      <c r="A1811" s="115" t="s">
        <v>2795</v>
      </c>
      <c r="B1811" s="22" t="s">
        <v>2820</v>
      </c>
      <c r="C1811" s="18" t="s">
        <v>329</v>
      </c>
      <c r="D1811" s="19" t="s">
        <v>611</v>
      </c>
      <c r="E1811" s="9" t="s">
        <v>1479</v>
      </c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  <c r="AA1811" s="29"/>
      <c r="AB1811" s="29"/>
      <c r="AC1811" s="29"/>
      <c r="AD1811" s="29"/>
    </row>
    <row r="1812">
      <c r="A1812" s="115" t="s">
        <v>2795</v>
      </c>
      <c r="B1812" s="22" t="s">
        <v>2666</v>
      </c>
      <c r="C1812" s="18" t="s">
        <v>2821</v>
      </c>
      <c r="D1812" s="19" t="s">
        <v>2822</v>
      </c>
      <c r="E1812" s="9" t="s">
        <v>1479</v>
      </c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29"/>
      <c r="Z1812" s="29"/>
      <c r="AA1812" s="29"/>
      <c r="AB1812" s="29"/>
      <c r="AC1812" s="29"/>
      <c r="AD1812" s="29"/>
    </row>
    <row r="1813">
      <c r="A1813" s="18"/>
      <c r="B1813" s="22"/>
      <c r="C1813" s="18"/>
      <c r="D1813" s="19"/>
      <c r="E1813" s="49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29"/>
      <c r="Z1813" s="29"/>
      <c r="AA1813" s="29"/>
      <c r="AB1813" s="29"/>
      <c r="AC1813" s="29"/>
      <c r="AD1813" s="29"/>
    </row>
    <row r="1814">
      <c r="A1814" s="18"/>
      <c r="B1814" s="22"/>
      <c r="C1814" s="18"/>
      <c r="D1814" s="19"/>
      <c r="E1814" s="49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29"/>
      <c r="X1814" s="29"/>
      <c r="Y1814" s="29"/>
      <c r="Z1814" s="29"/>
      <c r="AA1814" s="29"/>
      <c r="AB1814" s="29"/>
      <c r="AC1814" s="29"/>
      <c r="AD1814" s="29"/>
    </row>
    <row r="1815">
      <c r="A1815" s="115" t="s">
        <v>2823</v>
      </c>
      <c r="B1815" s="19" t="s">
        <v>2446</v>
      </c>
      <c r="C1815" s="18" t="s">
        <v>2824</v>
      </c>
      <c r="D1815" s="19" t="s">
        <v>2825</v>
      </c>
      <c r="E1815" s="9" t="s">
        <v>1479</v>
      </c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29"/>
      <c r="X1815" s="29"/>
      <c r="Y1815" s="29"/>
      <c r="Z1815" s="29"/>
      <c r="AA1815" s="29"/>
      <c r="AB1815" s="29"/>
      <c r="AC1815" s="29"/>
      <c r="AD1815" s="29"/>
    </row>
    <row r="1816">
      <c r="A1816" s="115" t="s">
        <v>2823</v>
      </c>
      <c r="B1816" s="22" t="s">
        <v>2729</v>
      </c>
      <c r="C1816" s="18" t="s">
        <v>1365</v>
      </c>
      <c r="D1816" s="19" t="s">
        <v>2826</v>
      </c>
      <c r="E1816" s="161" t="s">
        <v>7</v>
      </c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29"/>
      <c r="Z1816" s="29"/>
      <c r="AA1816" s="29"/>
      <c r="AB1816" s="29"/>
      <c r="AC1816" s="29"/>
      <c r="AD1816" s="29"/>
    </row>
    <row r="1817">
      <c r="A1817" s="115" t="s">
        <v>2823</v>
      </c>
      <c r="B1817" s="22" t="s">
        <v>2729</v>
      </c>
      <c r="C1817" s="18" t="s">
        <v>2827</v>
      </c>
      <c r="D1817" s="19" t="s">
        <v>2828</v>
      </c>
      <c r="E1817" s="161" t="s">
        <v>7</v>
      </c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29"/>
      <c r="Z1817" s="29"/>
      <c r="AA1817" s="29"/>
      <c r="AB1817" s="29"/>
      <c r="AC1817" s="29"/>
      <c r="AD1817" s="29"/>
    </row>
    <row r="1818">
      <c r="A1818" s="115" t="s">
        <v>2823</v>
      </c>
      <c r="B1818" s="22" t="s">
        <v>2729</v>
      </c>
      <c r="C1818" s="18" t="s">
        <v>667</v>
      </c>
      <c r="D1818" s="19" t="s">
        <v>2829</v>
      </c>
      <c r="E1818" s="161" t="s">
        <v>7</v>
      </c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29"/>
      <c r="Z1818" s="29"/>
      <c r="AA1818" s="29"/>
      <c r="AB1818" s="29"/>
      <c r="AC1818" s="29"/>
      <c r="AD1818" s="29"/>
    </row>
    <row r="1819">
      <c r="A1819" s="115" t="s">
        <v>2823</v>
      </c>
      <c r="B1819" s="22" t="s">
        <v>2729</v>
      </c>
      <c r="C1819" s="18" t="s">
        <v>2474</v>
      </c>
      <c r="D1819" s="19" t="s">
        <v>2830</v>
      </c>
      <c r="E1819" s="161" t="s">
        <v>7</v>
      </c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29"/>
      <c r="Z1819" s="29"/>
      <c r="AA1819" s="29"/>
      <c r="AB1819" s="29"/>
      <c r="AC1819" s="29"/>
      <c r="AD1819" s="29"/>
    </row>
    <row r="1820">
      <c r="A1820" s="115" t="s">
        <v>2823</v>
      </c>
      <c r="B1820" s="22" t="s">
        <v>2831</v>
      </c>
      <c r="C1820" s="18" t="s">
        <v>2832</v>
      </c>
      <c r="D1820" s="19" t="s">
        <v>55</v>
      </c>
      <c r="E1820" s="9" t="s">
        <v>1479</v>
      </c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29"/>
      <c r="X1820" s="29"/>
      <c r="Y1820" s="29"/>
      <c r="Z1820" s="29"/>
      <c r="AA1820" s="29"/>
      <c r="AB1820" s="29"/>
      <c r="AC1820" s="29"/>
      <c r="AD1820" s="29"/>
    </row>
    <row r="1821">
      <c r="A1821" s="115" t="s">
        <v>2823</v>
      </c>
      <c r="B1821" s="22" t="s">
        <v>2831</v>
      </c>
      <c r="C1821" s="18" t="s">
        <v>2832</v>
      </c>
      <c r="D1821" s="19" t="s">
        <v>2833</v>
      </c>
      <c r="E1821" s="9" t="s">
        <v>1479</v>
      </c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  <c r="AA1821" s="29"/>
      <c r="AB1821" s="29"/>
      <c r="AC1821" s="29"/>
      <c r="AD1821" s="29"/>
    </row>
    <row r="1822">
      <c r="A1822" s="115" t="s">
        <v>2823</v>
      </c>
      <c r="B1822" s="22" t="s">
        <v>2834</v>
      </c>
      <c r="C1822" s="18" t="s">
        <v>2835</v>
      </c>
      <c r="D1822" s="19" t="s">
        <v>2836</v>
      </c>
      <c r="E1822" s="9" t="s">
        <v>2837</v>
      </c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29"/>
      <c r="X1822" s="29"/>
      <c r="Y1822" s="29"/>
      <c r="Z1822" s="29"/>
      <c r="AA1822" s="29"/>
      <c r="AB1822" s="29"/>
      <c r="AC1822" s="29"/>
      <c r="AD1822" s="29"/>
    </row>
    <row r="1823">
      <c r="A1823" s="115" t="s">
        <v>2823</v>
      </c>
      <c r="B1823" s="22" t="s">
        <v>2834</v>
      </c>
      <c r="C1823" s="18" t="s">
        <v>2838</v>
      </c>
      <c r="D1823" s="19" t="s">
        <v>2839</v>
      </c>
      <c r="E1823" s="9" t="s">
        <v>2837</v>
      </c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29"/>
      <c r="X1823" s="29"/>
      <c r="Y1823" s="29"/>
      <c r="Z1823" s="29"/>
      <c r="AA1823" s="29"/>
      <c r="AB1823" s="29"/>
      <c r="AC1823" s="29"/>
      <c r="AD1823" s="29"/>
    </row>
    <row r="1824">
      <c r="A1824" s="115" t="s">
        <v>2823</v>
      </c>
      <c r="B1824" s="22" t="s">
        <v>2834</v>
      </c>
      <c r="C1824" s="18" t="s">
        <v>2835</v>
      </c>
      <c r="D1824" s="19" t="s">
        <v>2840</v>
      </c>
      <c r="E1824" s="9" t="s">
        <v>2837</v>
      </c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29"/>
      <c r="X1824" s="29"/>
      <c r="Y1824" s="29"/>
      <c r="Z1824" s="29"/>
      <c r="AA1824" s="29"/>
      <c r="AB1824" s="29"/>
      <c r="AC1824" s="29"/>
      <c r="AD1824" s="29"/>
    </row>
    <row r="1825">
      <c r="A1825" s="115" t="s">
        <v>2823</v>
      </c>
      <c r="B1825" s="22" t="s">
        <v>2834</v>
      </c>
      <c r="C1825" s="18" t="s">
        <v>2835</v>
      </c>
      <c r="D1825" s="19" t="s">
        <v>2841</v>
      </c>
      <c r="E1825" s="9" t="s">
        <v>2837</v>
      </c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29"/>
      <c r="X1825" s="29"/>
      <c r="Y1825" s="29"/>
      <c r="Z1825" s="29"/>
      <c r="AA1825" s="29"/>
      <c r="AB1825" s="29"/>
      <c r="AC1825" s="29"/>
      <c r="AD1825" s="29"/>
    </row>
    <row r="1826">
      <c r="A1826" s="115" t="s">
        <v>2823</v>
      </c>
      <c r="B1826" s="22" t="s">
        <v>2834</v>
      </c>
      <c r="C1826" s="18" t="s">
        <v>2835</v>
      </c>
      <c r="D1826" s="19" t="s">
        <v>2842</v>
      </c>
      <c r="E1826" s="9" t="s">
        <v>2837</v>
      </c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29"/>
      <c r="X1826" s="29"/>
      <c r="Y1826" s="29"/>
      <c r="Z1826" s="29"/>
      <c r="AA1826" s="29"/>
      <c r="AB1826" s="29"/>
      <c r="AC1826" s="29"/>
      <c r="AD1826" s="29"/>
    </row>
    <row r="1827">
      <c r="A1827" s="115" t="s">
        <v>2823</v>
      </c>
      <c r="B1827" s="22" t="s">
        <v>2834</v>
      </c>
      <c r="C1827" s="18" t="s">
        <v>2843</v>
      </c>
      <c r="D1827" s="19" t="s">
        <v>2844</v>
      </c>
      <c r="E1827" s="9" t="s">
        <v>2837</v>
      </c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29"/>
      <c r="Y1827" s="29"/>
      <c r="Z1827" s="29"/>
      <c r="AA1827" s="29"/>
      <c r="AB1827" s="29"/>
      <c r="AC1827" s="29"/>
      <c r="AD1827" s="29"/>
    </row>
    <row r="1828">
      <c r="A1828" s="115" t="s">
        <v>2823</v>
      </c>
      <c r="B1828" s="22" t="s">
        <v>2834</v>
      </c>
      <c r="C1828" s="18" t="s">
        <v>2835</v>
      </c>
      <c r="D1828" s="19" t="s">
        <v>2845</v>
      </c>
      <c r="E1828" s="9" t="s">
        <v>2837</v>
      </c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29"/>
      <c r="X1828" s="29"/>
      <c r="Y1828" s="29"/>
      <c r="Z1828" s="29"/>
      <c r="AA1828" s="29"/>
      <c r="AB1828" s="29"/>
      <c r="AC1828" s="29"/>
      <c r="AD1828" s="29"/>
    </row>
    <row r="1829">
      <c r="A1829" s="115" t="s">
        <v>2823</v>
      </c>
      <c r="B1829" s="22" t="s">
        <v>2834</v>
      </c>
      <c r="C1829" s="18" t="s">
        <v>2835</v>
      </c>
      <c r="D1829" s="19" t="s">
        <v>2846</v>
      </c>
      <c r="E1829" s="9" t="s">
        <v>2837</v>
      </c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  <c r="AA1829" s="29"/>
      <c r="AB1829" s="29"/>
      <c r="AC1829" s="29"/>
      <c r="AD1829" s="29"/>
    </row>
    <row r="1830">
      <c r="A1830" s="115" t="s">
        <v>2823</v>
      </c>
      <c r="B1830" s="22" t="s">
        <v>2834</v>
      </c>
      <c r="C1830" s="18" t="s">
        <v>2847</v>
      </c>
      <c r="D1830" s="19" t="s">
        <v>2848</v>
      </c>
      <c r="E1830" s="9" t="s">
        <v>2837</v>
      </c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29"/>
      <c r="X1830" s="29"/>
      <c r="Y1830" s="29"/>
      <c r="Z1830" s="29"/>
      <c r="AA1830" s="29"/>
      <c r="AB1830" s="29"/>
      <c r="AC1830" s="29"/>
      <c r="AD1830" s="29"/>
    </row>
    <row r="1831">
      <c r="A1831" s="115" t="s">
        <v>2823</v>
      </c>
      <c r="B1831" s="22" t="s">
        <v>2658</v>
      </c>
      <c r="C1831" s="18" t="s">
        <v>2849</v>
      </c>
      <c r="D1831" s="19" t="s">
        <v>2850</v>
      </c>
      <c r="E1831" s="161" t="s">
        <v>7</v>
      </c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29"/>
      <c r="X1831" s="29"/>
      <c r="Y1831" s="29"/>
      <c r="Z1831" s="29"/>
      <c r="AA1831" s="29"/>
      <c r="AB1831" s="29"/>
      <c r="AC1831" s="29"/>
      <c r="AD1831" s="29"/>
    </row>
    <row r="1832">
      <c r="A1832" s="115" t="s">
        <v>2823</v>
      </c>
      <c r="B1832" s="22" t="s">
        <v>2658</v>
      </c>
      <c r="C1832" s="18" t="s">
        <v>2851</v>
      </c>
      <c r="D1832" s="19" t="s">
        <v>2852</v>
      </c>
      <c r="E1832" s="161" t="s">
        <v>7</v>
      </c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  <c r="AA1832" s="29"/>
      <c r="AB1832" s="29"/>
      <c r="AC1832" s="29"/>
      <c r="AD1832" s="29"/>
    </row>
    <row r="1833">
      <c r="A1833" s="115" t="s">
        <v>2823</v>
      </c>
      <c r="B1833" s="22" t="s">
        <v>2658</v>
      </c>
      <c r="C1833" s="18" t="s">
        <v>2853</v>
      </c>
      <c r="D1833" s="19" t="s">
        <v>2854</v>
      </c>
      <c r="E1833" s="161" t="s">
        <v>7</v>
      </c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29"/>
      <c r="X1833" s="29"/>
      <c r="Y1833" s="29"/>
      <c r="Z1833" s="29"/>
      <c r="AA1833" s="29"/>
      <c r="AB1833" s="29"/>
      <c r="AC1833" s="29"/>
      <c r="AD1833" s="29"/>
    </row>
    <row r="1834">
      <c r="A1834" s="115" t="s">
        <v>2823</v>
      </c>
      <c r="B1834" s="22" t="s">
        <v>2658</v>
      </c>
      <c r="C1834" s="18" t="s">
        <v>2855</v>
      </c>
      <c r="D1834" s="19" t="s">
        <v>2856</v>
      </c>
      <c r="E1834" s="161" t="s">
        <v>7</v>
      </c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29"/>
      <c r="X1834" s="29"/>
      <c r="Y1834" s="29"/>
      <c r="Z1834" s="29"/>
      <c r="AA1834" s="29"/>
      <c r="AB1834" s="29"/>
      <c r="AC1834" s="29"/>
      <c r="AD1834" s="29"/>
    </row>
    <row r="1835">
      <c r="A1835" s="115" t="s">
        <v>2823</v>
      </c>
      <c r="B1835" s="22" t="s">
        <v>2658</v>
      </c>
      <c r="C1835" s="18" t="s">
        <v>1013</v>
      </c>
      <c r="D1835" s="19" t="s">
        <v>2857</v>
      </c>
      <c r="E1835" s="161" t="s">
        <v>7</v>
      </c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29"/>
      <c r="X1835" s="29"/>
      <c r="Y1835" s="29"/>
      <c r="Z1835" s="29"/>
      <c r="AA1835" s="29"/>
      <c r="AB1835" s="29"/>
      <c r="AC1835" s="29"/>
      <c r="AD1835" s="29"/>
    </row>
    <row r="1836">
      <c r="A1836" s="115" t="s">
        <v>2823</v>
      </c>
      <c r="B1836" s="22" t="s">
        <v>2658</v>
      </c>
      <c r="C1836" s="18" t="s">
        <v>2793</v>
      </c>
      <c r="D1836" s="19" t="s">
        <v>2858</v>
      </c>
      <c r="E1836" s="161" t="s">
        <v>7</v>
      </c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29"/>
      <c r="X1836" s="29"/>
      <c r="Y1836" s="29"/>
      <c r="Z1836" s="29"/>
      <c r="AA1836" s="29"/>
      <c r="AB1836" s="29"/>
      <c r="AC1836" s="29"/>
      <c r="AD1836" s="29"/>
    </row>
    <row r="1837">
      <c r="A1837" s="115" t="s">
        <v>2823</v>
      </c>
      <c r="B1837" s="22" t="s">
        <v>2859</v>
      </c>
      <c r="C1837" s="18" t="s">
        <v>2860</v>
      </c>
      <c r="D1837" s="19" t="s">
        <v>2861</v>
      </c>
      <c r="E1837" s="161" t="s">
        <v>7</v>
      </c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29"/>
      <c r="X1837" s="29"/>
      <c r="Y1837" s="29"/>
      <c r="Z1837" s="29"/>
      <c r="AA1837" s="29"/>
      <c r="AB1837" s="29"/>
      <c r="AC1837" s="29"/>
      <c r="AD1837" s="29"/>
    </row>
    <row r="1838">
      <c r="A1838" s="115" t="s">
        <v>2823</v>
      </c>
      <c r="B1838" s="22" t="s">
        <v>2859</v>
      </c>
      <c r="C1838" s="18" t="s">
        <v>2862</v>
      </c>
      <c r="D1838" s="19" t="s">
        <v>2863</v>
      </c>
      <c r="E1838" s="161" t="s">
        <v>7</v>
      </c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29"/>
      <c r="X1838" s="29"/>
      <c r="Y1838" s="29"/>
      <c r="Z1838" s="29"/>
      <c r="AA1838" s="29"/>
      <c r="AB1838" s="29"/>
      <c r="AC1838" s="29"/>
      <c r="AD1838" s="29"/>
    </row>
    <row r="1839">
      <c r="A1839" s="115" t="s">
        <v>2823</v>
      </c>
      <c r="B1839" s="19" t="s">
        <v>2864</v>
      </c>
      <c r="C1839" s="18" t="s">
        <v>2865</v>
      </c>
      <c r="D1839" s="19" t="s">
        <v>2866</v>
      </c>
      <c r="E1839" s="132" t="s">
        <v>1074</v>
      </c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29"/>
      <c r="X1839" s="29"/>
      <c r="Y1839" s="29"/>
      <c r="Z1839" s="29"/>
      <c r="AA1839" s="29"/>
      <c r="AB1839" s="29"/>
      <c r="AC1839" s="29"/>
      <c r="AD1839" s="29"/>
    </row>
    <row r="1840">
      <c r="A1840" s="115" t="s">
        <v>2823</v>
      </c>
      <c r="B1840" s="22" t="s">
        <v>2867</v>
      </c>
      <c r="C1840" s="18" t="s">
        <v>2868</v>
      </c>
      <c r="D1840" s="19" t="s">
        <v>2869</v>
      </c>
      <c r="E1840" s="132" t="s">
        <v>2308</v>
      </c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29"/>
      <c r="V1840" s="29"/>
      <c r="W1840" s="29"/>
      <c r="X1840" s="29"/>
      <c r="Y1840" s="29"/>
      <c r="Z1840" s="29"/>
      <c r="AA1840" s="29"/>
      <c r="AB1840" s="29"/>
      <c r="AC1840" s="29"/>
      <c r="AD1840" s="29"/>
    </row>
    <row r="1841">
      <c r="A1841" s="115" t="s">
        <v>2823</v>
      </c>
      <c r="B1841" s="22" t="s">
        <v>2867</v>
      </c>
      <c r="C1841" s="18" t="s">
        <v>2868</v>
      </c>
      <c r="D1841" s="19" t="s">
        <v>2869</v>
      </c>
      <c r="E1841" s="132" t="s">
        <v>2308</v>
      </c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29"/>
      <c r="X1841" s="29"/>
      <c r="Y1841" s="29"/>
      <c r="Z1841" s="29"/>
      <c r="AA1841" s="29"/>
      <c r="AB1841" s="29"/>
      <c r="AC1841" s="29"/>
      <c r="AD1841" s="29"/>
    </row>
    <row r="1842">
      <c r="A1842" s="115" t="s">
        <v>2823</v>
      </c>
      <c r="B1842" s="22" t="s">
        <v>2870</v>
      </c>
      <c r="C1842" s="18" t="s">
        <v>2871</v>
      </c>
      <c r="D1842" s="19" t="s">
        <v>2872</v>
      </c>
      <c r="E1842" s="9" t="s">
        <v>196</v>
      </c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29"/>
      <c r="X1842" s="29"/>
      <c r="Y1842" s="29"/>
      <c r="Z1842" s="29"/>
      <c r="AA1842" s="29"/>
      <c r="AB1842" s="29"/>
      <c r="AC1842" s="29"/>
      <c r="AD1842" s="29"/>
    </row>
    <row r="1843">
      <c r="A1843" s="115" t="s">
        <v>2823</v>
      </c>
      <c r="B1843" s="22" t="s">
        <v>2870</v>
      </c>
      <c r="C1843" s="18" t="s">
        <v>2873</v>
      </c>
      <c r="D1843" s="19" t="s">
        <v>2872</v>
      </c>
      <c r="E1843" s="9" t="s">
        <v>196</v>
      </c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29"/>
      <c r="X1843" s="29"/>
      <c r="Y1843" s="29"/>
      <c r="Z1843" s="29"/>
      <c r="AA1843" s="29"/>
      <c r="AB1843" s="29"/>
      <c r="AC1843" s="29"/>
      <c r="AD1843" s="29"/>
    </row>
    <row r="1844">
      <c r="A1844" s="115" t="s">
        <v>2823</v>
      </c>
      <c r="B1844" s="22" t="s">
        <v>2870</v>
      </c>
      <c r="C1844" s="18" t="s">
        <v>2874</v>
      </c>
      <c r="D1844" s="19" t="s">
        <v>2872</v>
      </c>
      <c r="E1844" s="161" t="s">
        <v>2875</v>
      </c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29"/>
      <c r="X1844" s="29"/>
      <c r="Y1844" s="29"/>
      <c r="Z1844" s="29"/>
      <c r="AA1844" s="29"/>
      <c r="AB1844" s="29"/>
      <c r="AC1844" s="29"/>
      <c r="AD1844" s="29"/>
    </row>
    <row r="1845">
      <c r="A1845" s="115" t="s">
        <v>2823</v>
      </c>
      <c r="B1845" s="22" t="s">
        <v>2870</v>
      </c>
      <c r="C1845" s="18" t="s">
        <v>2876</v>
      </c>
      <c r="D1845" s="19" t="s">
        <v>2872</v>
      </c>
      <c r="E1845" s="161" t="s">
        <v>2875</v>
      </c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29"/>
      <c r="U1845" s="29"/>
      <c r="V1845" s="29"/>
      <c r="W1845" s="29"/>
      <c r="X1845" s="29"/>
      <c r="Y1845" s="29"/>
      <c r="Z1845" s="29"/>
      <c r="AA1845" s="29"/>
      <c r="AB1845" s="29"/>
      <c r="AC1845" s="29"/>
      <c r="AD1845" s="29"/>
    </row>
    <row r="1846">
      <c r="A1846" s="115" t="s">
        <v>2823</v>
      </c>
      <c r="B1846" s="19" t="s">
        <v>2877</v>
      </c>
      <c r="C1846" s="18" t="s">
        <v>2878</v>
      </c>
      <c r="D1846" s="19" t="s">
        <v>2879</v>
      </c>
      <c r="E1846" s="132" t="s">
        <v>2880</v>
      </c>
      <c r="G1846" s="29"/>
      <c r="H1846" s="29"/>
      <c r="I1846" s="29"/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29"/>
      <c r="U1846" s="29"/>
      <c r="V1846" s="29"/>
      <c r="W1846" s="29"/>
      <c r="X1846" s="29"/>
      <c r="Y1846" s="29"/>
      <c r="Z1846" s="29"/>
      <c r="AA1846" s="29"/>
      <c r="AB1846" s="29"/>
      <c r="AC1846" s="29"/>
      <c r="AD1846" s="29"/>
    </row>
    <row r="1847">
      <c r="A1847" s="18"/>
      <c r="B1847" s="22"/>
      <c r="C1847" s="18"/>
      <c r="D1847" s="19"/>
      <c r="E1847" s="49"/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29"/>
      <c r="Y1847" s="29"/>
      <c r="Z1847" s="29"/>
      <c r="AA1847" s="29"/>
      <c r="AB1847" s="29"/>
      <c r="AC1847" s="29"/>
      <c r="AD1847" s="29"/>
    </row>
    <row r="1848">
      <c r="A1848" s="18"/>
      <c r="B1848" s="22"/>
      <c r="C1848" s="18"/>
      <c r="D1848" s="19"/>
      <c r="E1848" s="4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  <c r="Z1848" s="29"/>
      <c r="AA1848" s="29"/>
      <c r="AB1848" s="29"/>
      <c r="AC1848" s="29"/>
      <c r="AD1848" s="29"/>
    </row>
    <row r="1849">
      <c r="A1849" s="18" t="s">
        <v>2881</v>
      </c>
      <c r="B1849" s="19" t="s">
        <v>2870</v>
      </c>
      <c r="C1849" s="18" t="s">
        <v>2882</v>
      </c>
      <c r="D1849" s="19" t="s">
        <v>2872</v>
      </c>
      <c r="E1849" s="161" t="s">
        <v>7</v>
      </c>
      <c r="G1849" s="29"/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29"/>
      <c r="V1849" s="29"/>
      <c r="W1849" s="29"/>
      <c r="X1849" s="29"/>
      <c r="Y1849" s="29"/>
      <c r="Z1849" s="29"/>
      <c r="AA1849" s="29"/>
      <c r="AB1849" s="29"/>
      <c r="AC1849" s="29"/>
      <c r="AD1849" s="29"/>
    </row>
    <row r="1850">
      <c r="A1850" s="18" t="s">
        <v>2881</v>
      </c>
      <c r="B1850" s="22" t="s">
        <v>2650</v>
      </c>
      <c r="C1850" s="18" t="s">
        <v>2883</v>
      </c>
      <c r="D1850" s="19" t="s">
        <v>2884</v>
      </c>
      <c r="E1850" s="161" t="s">
        <v>7</v>
      </c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29"/>
      <c r="X1850" s="29"/>
      <c r="Y1850" s="29"/>
      <c r="Z1850" s="29"/>
      <c r="AA1850" s="29"/>
      <c r="AB1850" s="29"/>
      <c r="AC1850" s="29"/>
      <c r="AD1850" s="29"/>
    </row>
    <row r="1851">
      <c r="A1851" s="18" t="s">
        <v>2881</v>
      </c>
      <c r="B1851" s="22" t="s">
        <v>2650</v>
      </c>
      <c r="C1851" s="18" t="s">
        <v>2885</v>
      </c>
      <c r="D1851" s="19" t="s">
        <v>2886</v>
      </c>
      <c r="E1851" s="161" t="s">
        <v>7</v>
      </c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29"/>
      <c r="X1851" s="29"/>
      <c r="Y1851" s="29"/>
      <c r="Z1851" s="29"/>
      <c r="AA1851" s="29"/>
      <c r="AB1851" s="29"/>
      <c r="AC1851" s="29"/>
      <c r="AD1851" s="29"/>
    </row>
    <row r="1852">
      <c r="A1852" s="18" t="s">
        <v>2881</v>
      </c>
      <c r="B1852" s="22" t="s">
        <v>2650</v>
      </c>
      <c r="C1852" s="18" t="s">
        <v>2738</v>
      </c>
      <c r="D1852" s="19" t="s">
        <v>2830</v>
      </c>
      <c r="E1852" s="161" t="s">
        <v>7</v>
      </c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29"/>
      <c r="X1852" s="29"/>
      <c r="Y1852" s="29"/>
      <c r="Z1852" s="29"/>
      <c r="AA1852" s="29"/>
      <c r="AB1852" s="29"/>
      <c r="AC1852" s="29"/>
      <c r="AD1852" s="29"/>
    </row>
    <row r="1853">
      <c r="A1853" s="18" t="s">
        <v>2881</v>
      </c>
      <c r="B1853" s="22" t="s">
        <v>2650</v>
      </c>
      <c r="C1853" s="18" t="s">
        <v>932</v>
      </c>
      <c r="D1853" s="19" t="s">
        <v>2887</v>
      </c>
      <c r="E1853" s="161" t="s">
        <v>7</v>
      </c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29"/>
      <c r="X1853" s="29"/>
      <c r="Y1853" s="29"/>
      <c r="Z1853" s="29"/>
      <c r="AA1853" s="29"/>
      <c r="AB1853" s="29"/>
      <c r="AC1853" s="29"/>
      <c r="AD1853" s="29"/>
    </row>
    <row r="1854">
      <c r="A1854" s="18" t="s">
        <v>2881</v>
      </c>
      <c r="B1854" s="22" t="s">
        <v>2834</v>
      </c>
      <c r="C1854" s="18" t="s">
        <v>2835</v>
      </c>
      <c r="D1854" s="19" t="s">
        <v>2888</v>
      </c>
      <c r="E1854" s="9" t="s">
        <v>2837</v>
      </c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29"/>
      <c r="X1854" s="29"/>
      <c r="Y1854" s="29"/>
      <c r="Z1854" s="29"/>
      <c r="AA1854" s="29"/>
      <c r="AB1854" s="29"/>
      <c r="AC1854" s="29"/>
      <c r="AD1854" s="29"/>
    </row>
    <row r="1855">
      <c r="A1855" s="18" t="s">
        <v>2881</v>
      </c>
      <c r="B1855" s="22" t="s">
        <v>2834</v>
      </c>
      <c r="C1855" s="18" t="s">
        <v>2835</v>
      </c>
      <c r="D1855" s="19" t="s">
        <v>2889</v>
      </c>
      <c r="E1855" s="9" t="s">
        <v>2837</v>
      </c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29"/>
      <c r="V1855" s="29"/>
      <c r="W1855" s="29"/>
      <c r="X1855" s="29"/>
      <c r="Y1855" s="29"/>
      <c r="Z1855" s="29"/>
      <c r="AA1855" s="29"/>
      <c r="AB1855" s="29"/>
      <c r="AC1855" s="29"/>
      <c r="AD1855" s="29"/>
    </row>
    <row r="1856">
      <c r="A1856" s="18" t="s">
        <v>2881</v>
      </c>
      <c r="B1856" s="22" t="s">
        <v>2834</v>
      </c>
      <c r="C1856" s="18" t="s">
        <v>2890</v>
      </c>
      <c r="D1856" s="19" t="s">
        <v>2891</v>
      </c>
      <c r="E1856" s="9" t="s">
        <v>2837</v>
      </c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29"/>
      <c r="X1856" s="29"/>
      <c r="Y1856" s="29"/>
      <c r="Z1856" s="29"/>
      <c r="AA1856" s="29"/>
      <c r="AB1856" s="29"/>
      <c r="AC1856" s="29"/>
      <c r="AD1856" s="29"/>
    </row>
    <row r="1857">
      <c r="A1857" s="18" t="s">
        <v>2881</v>
      </c>
      <c r="B1857" s="22" t="s">
        <v>2834</v>
      </c>
      <c r="C1857" s="18" t="s">
        <v>2835</v>
      </c>
      <c r="D1857" s="19" t="s">
        <v>2892</v>
      </c>
      <c r="E1857" s="9" t="s">
        <v>2837</v>
      </c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29"/>
      <c r="V1857" s="29"/>
      <c r="W1857" s="29"/>
      <c r="X1857" s="29"/>
      <c r="Y1857" s="29"/>
      <c r="Z1857" s="29"/>
      <c r="AA1857" s="29"/>
      <c r="AB1857" s="29"/>
      <c r="AC1857" s="29"/>
      <c r="AD1857" s="29"/>
    </row>
    <row r="1858">
      <c r="A1858" s="18" t="s">
        <v>2881</v>
      </c>
      <c r="B1858" s="22" t="s">
        <v>2834</v>
      </c>
      <c r="C1858" s="18" t="s">
        <v>2835</v>
      </c>
      <c r="D1858" s="19" t="s">
        <v>2893</v>
      </c>
      <c r="E1858" s="9" t="s">
        <v>2837</v>
      </c>
      <c r="G1858" s="29"/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29"/>
      <c r="X1858" s="29"/>
      <c r="Y1858" s="29"/>
      <c r="Z1858" s="29"/>
      <c r="AA1858" s="29"/>
      <c r="AB1858" s="29"/>
      <c r="AC1858" s="29"/>
      <c r="AD1858" s="29"/>
    </row>
    <row r="1859">
      <c r="A1859" s="18" t="s">
        <v>2881</v>
      </c>
      <c r="B1859" s="22" t="s">
        <v>2834</v>
      </c>
      <c r="C1859" s="18" t="s">
        <v>2835</v>
      </c>
      <c r="D1859" s="19" t="s">
        <v>2894</v>
      </c>
      <c r="E1859" s="9" t="s">
        <v>2837</v>
      </c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29"/>
      <c r="X1859" s="29"/>
      <c r="Y1859" s="29"/>
      <c r="Z1859" s="29"/>
      <c r="AA1859" s="29"/>
      <c r="AB1859" s="29"/>
      <c r="AC1859" s="29"/>
      <c r="AD1859" s="29"/>
    </row>
    <row r="1860">
      <c r="A1860" s="18" t="s">
        <v>2881</v>
      </c>
      <c r="B1860" s="22" t="s">
        <v>2834</v>
      </c>
      <c r="C1860" s="18" t="s">
        <v>2835</v>
      </c>
      <c r="D1860" s="19" t="s">
        <v>2895</v>
      </c>
      <c r="E1860" s="9" t="s">
        <v>2837</v>
      </c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  <c r="AA1860" s="29"/>
      <c r="AB1860" s="29"/>
      <c r="AC1860" s="29"/>
      <c r="AD1860" s="29"/>
    </row>
    <row r="1861">
      <c r="A1861" s="18" t="s">
        <v>2881</v>
      </c>
      <c r="B1861" s="22" t="s">
        <v>2834</v>
      </c>
      <c r="C1861" s="18" t="s">
        <v>2835</v>
      </c>
      <c r="D1861" s="19" t="s">
        <v>2896</v>
      </c>
      <c r="E1861" s="9" t="s">
        <v>2837</v>
      </c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29"/>
      <c r="X1861" s="29"/>
      <c r="Y1861" s="29"/>
      <c r="Z1861" s="29"/>
      <c r="AA1861" s="29"/>
      <c r="AB1861" s="29"/>
      <c r="AC1861" s="29"/>
      <c r="AD1861" s="29"/>
    </row>
    <row r="1862">
      <c r="A1862" s="18" t="s">
        <v>2881</v>
      </c>
      <c r="B1862" s="22" t="s">
        <v>2834</v>
      </c>
      <c r="C1862" s="18" t="s">
        <v>2835</v>
      </c>
      <c r="D1862" s="19" t="s">
        <v>2897</v>
      </c>
      <c r="E1862" s="9" t="s">
        <v>2837</v>
      </c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  <c r="AA1862" s="29"/>
      <c r="AB1862" s="29"/>
      <c r="AC1862" s="29"/>
      <c r="AD1862" s="29"/>
    </row>
    <row r="1863">
      <c r="A1863" s="18" t="s">
        <v>2881</v>
      </c>
      <c r="B1863" s="22" t="s">
        <v>2834</v>
      </c>
      <c r="C1863" s="18" t="s">
        <v>2835</v>
      </c>
      <c r="D1863" s="19" t="s">
        <v>2897</v>
      </c>
      <c r="E1863" s="9" t="s">
        <v>2837</v>
      </c>
      <c r="G1863" s="29"/>
      <c r="H1863" s="29"/>
      <c r="I1863" s="29"/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29"/>
      <c r="X1863" s="29"/>
      <c r="Y1863" s="29"/>
      <c r="Z1863" s="29"/>
      <c r="AA1863" s="29"/>
      <c r="AB1863" s="29"/>
      <c r="AC1863" s="29"/>
      <c r="AD1863" s="29"/>
    </row>
    <row r="1864">
      <c r="A1864" s="18" t="s">
        <v>2881</v>
      </c>
      <c r="B1864" s="22" t="s">
        <v>2834</v>
      </c>
      <c r="C1864" s="18" t="s">
        <v>2835</v>
      </c>
      <c r="D1864" s="19" t="s">
        <v>2897</v>
      </c>
      <c r="E1864" s="9" t="s">
        <v>2837</v>
      </c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29"/>
      <c r="X1864" s="29"/>
      <c r="Y1864" s="29"/>
      <c r="Z1864" s="29"/>
      <c r="AA1864" s="29"/>
      <c r="AB1864" s="29"/>
      <c r="AC1864" s="29"/>
      <c r="AD1864" s="29"/>
    </row>
    <row r="1865">
      <c r="A1865" s="18" t="s">
        <v>2881</v>
      </c>
      <c r="B1865" s="22" t="s">
        <v>2834</v>
      </c>
      <c r="C1865" s="18" t="s">
        <v>2835</v>
      </c>
      <c r="D1865" s="19" t="s">
        <v>2898</v>
      </c>
      <c r="E1865" s="9" t="s">
        <v>2837</v>
      </c>
      <c r="G1865" s="29"/>
      <c r="H1865" s="29"/>
      <c r="I1865" s="29"/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29"/>
      <c r="U1865" s="29"/>
      <c r="V1865" s="29"/>
      <c r="W1865" s="29"/>
      <c r="X1865" s="29"/>
      <c r="Y1865" s="29"/>
      <c r="Z1865" s="29"/>
      <c r="AA1865" s="29"/>
      <c r="AB1865" s="29"/>
      <c r="AC1865" s="29"/>
      <c r="AD1865" s="29"/>
    </row>
    <row r="1866">
      <c r="A1866" s="18" t="s">
        <v>2881</v>
      </c>
      <c r="B1866" s="22" t="s">
        <v>2834</v>
      </c>
      <c r="C1866" s="18" t="s">
        <v>2899</v>
      </c>
      <c r="D1866" s="19" t="s">
        <v>1539</v>
      </c>
      <c r="E1866" s="9" t="s">
        <v>2837</v>
      </c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29"/>
      <c r="U1866" s="29"/>
      <c r="V1866" s="29"/>
      <c r="W1866" s="29"/>
      <c r="X1866" s="29"/>
      <c r="Y1866" s="29"/>
      <c r="Z1866" s="29"/>
      <c r="AA1866" s="29"/>
      <c r="AB1866" s="29"/>
      <c r="AC1866" s="29"/>
      <c r="AD1866" s="29"/>
    </row>
    <row r="1867">
      <c r="A1867" s="18" t="s">
        <v>2881</v>
      </c>
      <c r="B1867" s="22" t="s">
        <v>2834</v>
      </c>
      <c r="C1867" s="18" t="s">
        <v>2835</v>
      </c>
      <c r="D1867" s="19" t="s">
        <v>2900</v>
      </c>
      <c r="E1867" s="9" t="s">
        <v>2837</v>
      </c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29"/>
      <c r="X1867" s="29"/>
      <c r="Y1867" s="29"/>
      <c r="Z1867" s="29"/>
      <c r="AA1867" s="29"/>
      <c r="AB1867" s="29"/>
      <c r="AC1867" s="29"/>
      <c r="AD1867" s="29"/>
    </row>
    <row r="1868">
      <c r="A1868" s="18" t="s">
        <v>2881</v>
      </c>
      <c r="B1868" s="22" t="s">
        <v>2834</v>
      </c>
      <c r="C1868" s="18" t="s">
        <v>2899</v>
      </c>
      <c r="D1868" s="19" t="s">
        <v>2901</v>
      </c>
      <c r="E1868" s="9" t="s">
        <v>2837</v>
      </c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29"/>
      <c r="U1868" s="29"/>
      <c r="V1868" s="29"/>
      <c r="W1868" s="29"/>
      <c r="X1868" s="29"/>
      <c r="Y1868" s="29"/>
      <c r="Z1868" s="29"/>
      <c r="AA1868" s="29"/>
      <c r="AB1868" s="29"/>
      <c r="AC1868" s="29"/>
      <c r="AD1868" s="29"/>
    </row>
    <row r="1869">
      <c r="A1869" s="18" t="s">
        <v>2881</v>
      </c>
      <c r="B1869" s="22" t="s">
        <v>2834</v>
      </c>
      <c r="C1869" s="18" t="s">
        <v>2835</v>
      </c>
      <c r="D1869" s="19" t="s">
        <v>2902</v>
      </c>
      <c r="E1869" s="9" t="s">
        <v>2837</v>
      </c>
      <c r="G1869" s="29"/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29"/>
      <c r="X1869" s="29"/>
      <c r="Y1869" s="29"/>
      <c r="Z1869" s="29"/>
      <c r="AA1869" s="29"/>
      <c r="AB1869" s="29"/>
      <c r="AC1869" s="29"/>
      <c r="AD1869" s="29"/>
    </row>
    <row r="1870">
      <c r="A1870" s="18" t="s">
        <v>2881</v>
      </c>
      <c r="B1870" s="22" t="s">
        <v>2834</v>
      </c>
      <c r="C1870" s="18" t="s">
        <v>2835</v>
      </c>
      <c r="D1870" s="19" t="s">
        <v>2903</v>
      </c>
      <c r="E1870" s="9" t="s">
        <v>2837</v>
      </c>
      <c r="G1870" s="29"/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29"/>
      <c r="Y1870" s="29"/>
      <c r="Z1870" s="29"/>
      <c r="AA1870" s="29"/>
      <c r="AB1870" s="29"/>
      <c r="AC1870" s="29"/>
      <c r="AD1870" s="29"/>
    </row>
    <row r="1871">
      <c r="A1871" s="18" t="s">
        <v>2881</v>
      </c>
      <c r="B1871" s="22" t="s">
        <v>2834</v>
      </c>
      <c r="C1871" s="18" t="s">
        <v>2835</v>
      </c>
      <c r="D1871" s="19" t="s">
        <v>2904</v>
      </c>
      <c r="E1871" s="9" t="s">
        <v>2837</v>
      </c>
      <c r="G1871" s="29"/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29"/>
      <c r="U1871" s="29"/>
      <c r="V1871" s="29"/>
      <c r="W1871" s="29"/>
      <c r="X1871" s="29"/>
      <c r="Y1871" s="29"/>
      <c r="Z1871" s="29"/>
      <c r="AA1871" s="29"/>
      <c r="AB1871" s="29"/>
      <c r="AC1871" s="29"/>
      <c r="AD1871" s="29"/>
    </row>
    <row r="1872">
      <c r="A1872" s="18" t="s">
        <v>2881</v>
      </c>
      <c r="B1872" s="22" t="s">
        <v>2834</v>
      </c>
      <c r="C1872" s="18" t="s">
        <v>2835</v>
      </c>
      <c r="D1872" s="19" t="s">
        <v>2905</v>
      </c>
      <c r="E1872" s="9" t="s">
        <v>2837</v>
      </c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29"/>
      <c r="X1872" s="29"/>
      <c r="Y1872" s="29"/>
      <c r="Z1872" s="29"/>
      <c r="AA1872" s="29"/>
      <c r="AB1872" s="29"/>
      <c r="AC1872" s="29"/>
      <c r="AD1872" s="29"/>
    </row>
    <row r="1873">
      <c r="A1873" s="18" t="s">
        <v>2881</v>
      </c>
      <c r="B1873" s="22" t="s">
        <v>2834</v>
      </c>
      <c r="C1873" s="18" t="s">
        <v>2906</v>
      </c>
      <c r="D1873" s="19" t="s">
        <v>2907</v>
      </c>
      <c r="E1873" s="9" t="s">
        <v>2837</v>
      </c>
      <c r="G1873" s="29"/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29"/>
      <c r="X1873" s="29"/>
      <c r="Y1873" s="29"/>
      <c r="Z1873" s="29"/>
      <c r="AA1873" s="29"/>
      <c r="AB1873" s="29"/>
      <c r="AC1873" s="29"/>
      <c r="AD1873" s="29"/>
    </row>
    <row r="1874">
      <c r="A1874" s="18" t="s">
        <v>2881</v>
      </c>
      <c r="B1874" s="22" t="s">
        <v>2834</v>
      </c>
      <c r="C1874" s="18" t="s">
        <v>2835</v>
      </c>
      <c r="D1874" s="19" t="s">
        <v>2908</v>
      </c>
      <c r="E1874" s="9" t="s">
        <v>2837</v>
      </c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29"/>
      <c r="U1874" s="29"/>
      <c r="V1874" s="29"/>
      <c r="W1874" s="29"/>
      <c r="X1874" s="29"/>
      <c r="Y1874" s="29"/>
      <c r="Z1874" s="29"/>
      <c r="AA1874" s="29"/>
      <c r="AB1874" s="29"/>
      <c r="AC1874" s="29"/>
      <c r="AD1874" s="29"/>
    </row>
    <row r="1875">
      <c r="A1875" s="18" t="s">
        <v>2881</v>
      </c>
      <c r="B1875" s="22" t="s">
        <v>2909</v>
      </c>
      <c r="C1875" s="18" t="s">
        <v>2910</v>
      </c>
      <c r="D1875" s="19" t="s">
        <v>2911</v>
      </c>
      <c r="E1875" s="132" t="s">
        <v>14</v>
      </c>
      <c r="G1875" s="29"/>
      <c r="H1875" s="29"/>
      <c r="I1875" s="29"/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29"/>
      <c r="U1875" s="29"/>
      <c r="V1875" s="29"/>
      <c r="W1875" s="29"/>
      <c r="X1875" s="29"/>
      <c r="Y1875" s="29"/>
      <c r="Z1875" s="29"/>
      <c r="AA1875" s="29"/>
      <c r="AB1875" s="29"/>
      <c r="AC1875" s="29"/>
      <c r="AD1875" s="29"/>
    </row>
    <row r="1876">
      <c r="A1876" s="18" t="s">
        <v>2881</v>
      </c>
      <c r="B1876" s="19" t="s">
        <v>2912</v>
      </c>
      <c r="C1876" s="18" t="s">
        <v>2835</v>
      </c>
      <c r="D1876" s="19" t="s">
        <v>2894</v>
      </c>
      <c r="E1876" s="9" t="s">
        <v>2837</v>
      </c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>
      <c r="A1877" s="18" t="s">
        <v>2881</v>
      </c>
      <c r="B1877" s="19" t="s">
        <v>2913</v>
      </c>
      <c r="C1877" s="18" t="s">
        <v>2914</v>
      </c>
      <c r="D1877" s="19" t="s">
        <v>2915</v>
      </c>
      <c r="E1877" s="9" t="s">
        <v>196</v>
      </c>
      <c r="G1877" s="29"/>
      <c r="H1877" s="29"/>
      <c r="I1877" s="29"/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29"/>
      <c r="X1877" s="29"/>
      <c r="Y1877" s="29"/>
      <c r="Z1877" s="29"/>
      <c r="AA1877" s="29"/>
      <c r="AB1877" s="29"/>
      <c r="AC1877" s="29"/>
      <c r="AD1877" s="29"/>
    </row>
    <row r="1878">
      <c r="A1878" s="18"/>
      <c r="B1878" s="22"/>
      <c r="C1878" s="18"/>
      <c r="D1878" s="19"/>
      <c r="E1878" s="49"/>
      <c r="G1878" s="29"/>
      <c r="H1878" s="29"/>
      <c r="I1878" s="29"/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29"/>
      <c r="X1878" s="29"/>
      <c r="Y1878" s="29"/>
      <c r="Z1878" s="29"/>
      <c r="AA1878" s="29"/>
      <c r="AB1878" s="29"/>
      <c r="AC1878" s="29"/>
      <c r="AD1878" s="29"/>
    </row>
    <row r="1879">
      <c r="A1879" s="18"/>
      <c r="B1879" s="22"/>
      <c r="C1879" s="18"/>
      <c r="D1879" s="19"/>
      <c r="E1879" s="49"/>
      <c r="G1879" s="29"/>
      <c r="H1879" s="29"/>
      <c r="I1879" s="29"/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29"/>
      <c r="U1879" s="29"/>
      <c r="V1879" s="29"/>
      <c r="W1879" s="29"/>
      <c r="X1879" s="29"/>
      <c r="Y1879" s="29"/>
      <c r="Z1879" s="29"/>
      <c r="AA1879" s="29"/>
      <c r="AB1879" s="29"/>
      <c r="AC1879" s="29"/>
      <c r="AD1879" s="29"/>
    </row>
    <row r="1880">
      <c r="A1880" s="115" t="s">
        <v>2916</v>
      </c>
      <c r="B1880" s="22" t="s">
        <v>2767</v>
      </c>
      <c r="C1880" s="18" t="s">
        <v>2917</v>
      </c>
      <c r="D1880" s="19" t="s">
        <v>2602</v>
      </c>
      <c r="E1880" s="9" t="s">
        <v>196</v>
      </c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29"/>
      <c r="U1880" s="29"/>
      <c r="V1880" s="29"/>
      <c r="W1880" s="29"/>
      <c r="X1880" s="29"/>
      <c r="Y1880" s="29"/>
      <c r="Z1880" s="29"/>
      <c r="AA1880" s="29"/>
      <c r="AB1880" s="29"/>
      <c r="AC1880" s="29"/>
      <c r="AD1880" s="29"/>
    </row>
    <row r="1881">
      <c r="A1881" s="115" t="s">
        <v>2916</v>
      </c>
      <c r="B1881" s="22" t="s">
        <v>2767</v>
      </c>
      <c r="C1881" s="18" t="s">
        <v>2918</v>
      </c>
      <c r="D1881" s="19" t="s">
        <v>2602</v>
      </c>
      <c r="E1881" s="9" t="s">
        <v>196</v>
      </c>
      <c r="G1881" s="29"/>
      <c r="H1881" s="29"/>
      <c r="I1881" s="29"/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29"/>
      <c r="U1881" s="29"/>
      <c r="V1881" s="29"/>
      <c r="W1881" s="29"/>
      <c r="X1881" s="29"/>
      <c r="Y1881" s="29"/>
      <c r="Z1881" s="29"/>
      <c r="AA1881" s="29"/>
      <c r="AB1881" s="29"/>
      <c r="AC1881" s="29"/>
      <c r="AD1881" s="29"/>
    </row>
    <row r="1882">
      <c r="A1882" s="18"/>
      <c r="B1882" s="22"/>
      <c r="C1882" s="18"/>
      <c r="D1882" s="19"/>
      <c r="E1882" s="49"/>
      <c r="G1882" s="29"/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29"/>
      <c r="X1882" s="29"/>
      <c r="Y1882" s="29"/>
      <c r="Z1882" s="29"/>
      <c r="AA1882" s="29"/>
      <c r="AB1882" s="29"/>
      <c r="AC1882" s="29"/>
      <c r="AD1882" s="29"/>
    </row>
    <row r="1883">
      <c r="A1883" s="18"/>
      <c r="B1883" s="22"/>
      <c r="C1883" s="18"/>
      <c r="D1883" s="19"/>
      <c r="E1883" s="49"/>
      <c r="G1883" s="29"/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29"/>
      <c r="V1883" s="29"/>
      <c r="W1883" s="29"/>
      <c r="X1883" s="29"/>
      <c r="Y1883" s="29"/>
      <c r="Z1883" s="29"/>
      <c r="AA1883" s="29"/>
      <c r="AB1883" s="29"/>
      <c r="AC1883" s="29"/>
      <c r="AD1883" s="29"/>
    </row>
    <row r="1884">
      <c r="A1884" s="115" t="s">
        <v>2919</v>
      </c>
      <c r="B1884" s="19" t="s">
        <v>2920</v>
      </c>
      <c r="C1884" s="18" t="s">
        <v>2921</v>
      </c>
      <c r="D1884" s="19" t="s">
        <v>2922</v>
      </c>
      <c r="E1884" s="132" t="s">
        <v>764</v>
      </c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29"/>
      <c r="X1884" s="29"/>
      <c r="Y1884" s="29"/>
      <c r="Z1884" s="29"/>
      <c r="AA1884" s="29"/>
      <c r="AB1884" s="29"/>
      <c r="AC1884" s="29"/>
      <c r="AD1884" s="29"/>
    </row>
    <row r="1885">
      <c r="A1885" s="115" t="s">
        <v>2919</v>
      </c>
      <c r="B1885" s="22" t="s">
        <v>2411</v>
      </c>
      <c r="C1885" s="18" t="s">
        <v>2595</v>
      </c>
      <c r="D1885" s="19" t="s">
        <v>2596</v>
      </c>
      <c r="E1885" s="9" t="s">
        <v>196</v>
      </c>
      <c r="G1885" s="29"/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29"/>
      <c r="V1885" s="29"/>
      <c r="W1885" s="29"/>
      <c r="X1885" s="29"/>
      <c r="Y1885" s="29"/>
      <c r="Z1885" s="29"/>
      <c r="AA1885" s="29"/>
      <c r="AB1885" s="29"/>
      <c r="AC1885" s="29"/>
      <c r="AD1885" s="29"/>
    </row>
    <row r="1886">
      <c r="A1886" s="115" t="s">
        <v>2919</v>
      </c>
      <c r="B1886" s="22" t="s">
        <v>2411</v>
      </c>
      <c r="C1886" s="18" t="s">
        <v>2923</v>
      </c>
      <c r="D1886" s="19" t="s">
        <v>2924</v>
      </c>
      <c r="E1886" s="9" t="s">
        <v>2925</v>
      </c>
      <c r="G1886" s="29"/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29"/>
      <c r="V1886" s="29"/>
      <c r="W1886" s="29"/>
      <c r="X1886" s="29"/>
      <c r="Y1886" s="29"/>
      <c r="Z1886" s="29"/>
      <c r="AA1886" s="29"/>
      <c r="AB1886" s="29"/>
      <c r="AC1886" s="29"/>
      <c r="AD1886" s="29"/>
    </row>
    <row r="1887">
      <c r="A1887" s="115" t="s">
        <v>2919</v>
      </c>
      <c r="B1887" s="22" t="s">
        <v>2926</v>
      </c>
      <c r="C1887" s="18" t="s">
        <v>2927</v>
      </c>
      <c r="D1887" s="19" t="s">
        <v>2928</v>
      </c>
      <c r="E1887" s="161" t="s">
        <v>7</v>
      </c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29"/>
      <c r="V1887" s="29"/>
      <c r="W1887" s="29"/>
      <c r="X1887" s="29"/>
      <c r="Y1887" s="29"/>
      <c r="Z1887" s="29"/>
      <c r="AA1887" s="29"/>
      <c r="AB1887" s="29"/>
      <c r="AC1887" s="29"/>
      <c r="AD1887" s="29"/>
    </row>
    <row r="1888">
      <c r="A1888" s="115" t="s">
        <v>2919</v>
      </c>
      <c r="B1888" s="22" t="s">
        <v>2926</v>
      </c>
      <c r="C1888" s="18" t="s">
        <v>2929</v>
      </c>
      <c r="D1888" s="19" t="s">
        <v>2930</v>
      </c>
      <c r="E1888" s="161" t="s">
        <v>7</v>
      </c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29"/>
      <c r="V1888" s="29"/>
      <c r="W1888" s="29"/>
      <c r="X1888" s="29"/>
      <c r="Y1888" s="29"/>
      <c r="Z1888" s="29"/>
      <c r="AA1888" s="29"/>
      <c r="AB1888" s="29"/>
      <c r="AC1888" s="29"/>
      <c r="AD1888" s="29"/>
    </row>
    <row r="1889">
      <c r="A1889" s="115" t="s">
        <v>2919</v>
      </c>
      <c r="B1889" s="22" t="s">
        <v>2931</v>
      </c>
      <c r="C1889" s="18" t="s">
        <v>2835</v>
      </c>
      <c r="D1889" s="19" t="s">
        <v>2905</v>
      </c>
      <c r="E1889" s="9" t="s">
        <v>2932</v>
      </c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29"/>
      <c r="X1889" s="29"/>
      <c r="Y1889" s="29"/>
      <c r="Z1889" s="29"/>
      <c r="AA1889" s="29"/>
      <c r="AB1889" s="29"/>
      <c r="AC1889" s="29"/>
      <c r="AD1889" s="29"/>
    </row>
    <row r="1890">
      <c r="A1890" s="115" t="s">
        <v>2919</v>
      </c>
      <c r="B1890" s="22" t="s">
        <v>2931</v>
      </c>
      <c r="C1890" s="18" t="s">
        <v>2890</v>
      </c>
      <c r="D1890" s="19" t="s">
        <v>2891</v>
      </c>
      <c r="E1890" s="9" t="s">
        <v>2932</v>
      </c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29"/>
      <c r="X1890" s="29"/>
      <c r="Y1890" s="29"/>
      <c r="Z1890" s="29"/>
      <c r="AA1890" s="29"/>
      <c r="AB1890" s="29"/>
      <c r="AC1890" s="29"/>
      <c r="AD1890" s="29"/>
    </row>
    <row r="1891">
      <c r="A1891" s="115" t="s">
        <v>2919</v>
      </c>
      <c r="B1891" s="22" t="s">
        <v>2931</v>
      </c>
      <c r="C1891" s="18" t="s">
        <v>2835</v>
      </c>
      <c r="D1891" s="19" t="s">
        <v>2902</v>
      </c>
      <c r="E1891" s="9" t="s">
        <v>2933</v>
      </c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29"/>
      <c r="X1891" s="29"/>
      <c r="Y1891" s="29"/>
      <c r="Z1891" s="29"/>
      <c r="AA1891" s="29"/>
      <c r="AB1891" s="29"/>
      <c r="AC1891" s="29"/>
      <c r="AD1891" s="29"/>
    </row>
    <row r="1892">
      <c r="A1892" s="115" t="s">
        <v>2919</v>
      </c>
      <c r="B1892" s="22" t="s">
        <v>2931</v>
      </c>
      <c r="C1892" s="18" t="s">
        <v>2835</v>
      </c>
      <c r="D1892" s="19" t="s">
        <v>2934</v>
      </c>
      <c r="E1892" s="9" t="s">
        <v>2932</v>
      </c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29"/>
      <c r="W1892" s="29"/>
      <c r="X1892" s="29"/>
      <c r="Y1892" s="29"/>
      <c r="Z1892" s="29"/>
      <c r="AA1892" s="29"/>
      <c r="AB1892" s="29"/>
      <c r="AC1892" s="29"/>
      <c r="AD1892" s="29"/>
    </row>
    <row r="1893">
      <c r="A1893" s="115" t="s">
        <v>2919</v>
      </c>
      <c r="B1893" s="22" t="s">
        <v>2931</v>
      </c>
      <c r="C1893" s="18" t="s">
        <v>2835</v>
      </c>
      <c r="D1893" s="19" t="s">
        <v>2934</v>
      </c>
      <c r="E1893" s="9" t="s">
        <v>2932</v>
      </c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29"/>
      <c r="U1893" s="29"/>
      <c r="V1893" s="29"/>
      <c r="W1893" s="29"/>
      <c r="X1893" s="29"/>
      <c r="Y1893" s="29"/>
      <c r="Z1893" s="29"/>
      <c r="AA1893" s="29"/>
      <c r="AB1893" s="29"/>
      <c r="AC1893" s="29"/>
      <c r="AD1893" s="29"/>
    </row>
    <row r="1894">
      <c r="A1894" s="115" t="s">
        <v>2919</v>
      </c>
      <c r="B1894" s="22" t="s">
        <v>2931</v>
      </c>
      <c r="C1894" s="18" t="s">
        <v>2835</v>
      </c>
      <c r="D1894" s="19" t="s">
        <v>2892</v>
      </c>
      <c r="E1894" s="9" t="s">
        <v>2932</v>
      </c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29"/>
      <c r="X1894" s="29"/>
      <c r="Y1894" s="29"/>
      <c r="Z1894" s="29"/>
      <c r="AA1894" s="29"/>
      <c r="AB1894" s="29"/>
      <c r="AC1894" s="29"/>
      <c r="AD1894" s="29"/>
    </row>
    <row r="1895">
      <c r="A1895" s="115" t="s">
        <v>2919</v>
      </c>
      <c r="B1895" s="22" t="s">
        <v>2931</v>
      </c>
      <c r="C1895" s="18" t="s">
        <v>2835</v>
      </c>
      <c r="D1895" s="19" t="s">
        <v>2900</v>
      </c>
      <c r="E1895" s="9" t="s">
        <v>2932</v>
      </c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29"/>
      <c r="X1895" s="29"/>
      <c r="Y1895" s="29"/>
      <c r="Z1895" s="29"/>
      <c r="AA1895" s="29"/>
      <c r="AB1895" s="29"/>
      <c r="AC1895" s="29"/>
      <c r="AD1895" s="29"/>
    </row>
    <row r="1896">
      <c r="A1896" s="115" t="s">
        <v>2919</v>
      </c>
      <c r="B1896" s="22" t="s">
        <v>2931</v>
      </c>
      <c r="C1896" s="18" t="s">
        <v>2835</v>
      </c>
      <c r="D1896" s="19" t="s">
        <v>2836</v>
      </c>
      <c r="E1896" s="9" t="s">
        <v>2932</v>
      </c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29"/>
      <c r="X1896" s="29"/>
      <c r="Y1896" s="29"/>
      <c r="Z1896" s="29"/>
      <c r="AA1896" s="29"/>
      <c r="AB1896" s="29"/>
      <c r="AC1896" s="29"/>
      <c r="AD1896" s="29"/>
    </row>
    <row r="1897">
      <c r="A1897" s="115" t="s">
        <v>2919</v>
      </c>
      <c r="B1897" s="22" t="s">
        <v>2931</v>
      </c>
      <c r="C1897" s="18" t="s">
        <v>2835</v>
      </c>
      <c r="D1897" s="19" t="s">
        <v>2904</v>
      </c>
      <c r="E1897" s="9" t="s">
        <v>2932</v>
      </c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29"/>
      <c r="X1897" s="29"/>
      <c r="Y1897" s="29"/>
      <c r="Z1897" s="29"/>
      <c r="AA1897" s="29"/>
      <c r="AB1897" s="29"/>
      <c r="AC1897" s="29"/>
      <c r="AD1897" s="29"/>
    </row>
    <row r="1898">
      <c r="A1898" s="115" t="s">
        <v>2919</v>
      </c>
      <c r="B1898" s="22" t="s">
        <v>2935</v>
      </c>
      <c r="C1898" s="18" t="s">
        <v>2936</v>
      </c>
      <c r="D1898" s="19" t="s">
        <v>2937</v>
      </c>
      <c r="E1898" s="9" t="s">
        <v>1479</v>
      </c>
      <c r="G1898" s="29"/>
      <c r="H1898" s="29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29"/>
      <c r="U1898" s="29"/>
      <c r="V1898" s="29"/>
      <c r="W1898" s="29"/>
      <c r="X1898" s="29"/>
      <c r="Y1898" s="29"/>
      <c r="Z1898" s="29"/>
      <c r="AA1898" s="29"/>
      <c r="AB1898" s="29"/>
      <c r="AC1898" s="29"/>
      <c r="AD1898" s="29"/>
    </row>
    <row r="1899">
      <c r="A1899" s="115" t="s">
        <v>2919</v>
      </c>
      <c r="B1899" s="22" t="s">
        <v>2591</v>
      </c>
      <c r="C1899" s="18" t="s">
        <v>2938</v>
      </c>
      <c r="D1899" s="19" t="s">
        <v>2939</v>
      </c>
      <c r="E1899" s="9" t="s">
        <v>1479</v>
      </c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29"/>
      <c r="AB1899" s="29"/>
      <c r="AC1899" s="29"/>
      <c r="AD1899" s="29"/>
    </row>
    <row r="1900">
      <c r="A1900" s="115" t="s">
        <v>2919</v>
      </c>
      <c r="B1900" s="22" t="s">
        <v>2591</v>
      </c>
      <c r="C1900" s="18" t="s">
        <v>2940</v>
      </c>
      <c r="D1900" s="19" t="s">
        <v>2939</v>
      </c>
      <c r="E1900" s="9" t="s">
        <v>1479</v>
      </c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29"/>
      <c r="Z1900" s="29"/>
      <c r="AA1900" s="29"/>
      <c r="AB1900" s="29"/>
      <c r="AC1900" s="29"/>
      <c r="AD1900" s="29"/>
    </row>
    <row r="1901">
      <c r="A1901" s="115" t="s">
        <v>2919</v>
      </c>
      <c r="B1901" s="22" t="s">
        <v>2591</v>
      </c>
      <c r="C1901" s="18" t="s">
        <v>2941</v>
      </c>
      <c r="D1901" s="19" t="s">
        <v>2942</v>
      </c>
      <c r="E1901" s="9" t="s">
        <v>1479</v>
      </c>
      <c r="G1901" s="29"/>
      <c r="H1901" s="29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29"/>
      <c r="X1901" s="29"/>
      <c r="Y1901" s="29"/>
      <c r="Z1901" s="29"/>
      <c r="AA1901" s="29"/>
      <c r="AB1901" s="29"/>
      <c r="AC1901" s="29"/>
      <c r="AD1901" s="29"/>
    </row>
    <row r="1902">
      <c r="A1902" s="115" t="s">
        <v>2919</v>
      </c>
      <c r="B1902" s="22" t="s">
        <v>2591</v>
      </c>
      <c r="C1902" s="18" t="s">
        <v>2943</v>
      </c>
      <c r="D1902" s="19" t="s">
        <v>2942</v>
      </c>
      <c r="E1902" s="9" t="s">
        <v>1479</v>
      </c>
      <c r="G1902" s="29"/>
      <c r="H1902" s="29"/>
      <c r="I1902" s="29"/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29"/>
      <c r="U1902" s="29"/>
      <c r="V1902" s="29"/>
      <c r="W1902" s="29"/>
      <c r="X1902" s="29"/>
      <c r="Y1902" s="29"/>
      <c r="Z1902" s="29"/>
      <c r="AA1902" s="29"/>
      <c r="AB1902" s="29"/>
      <c r="AC1902" s="29"/>
      <c r="AD1902" s="29"/>
    </row>
    <row r="1903">
      <c r="A1903" s="115" t="s">
        <v>2919</v>
      </c>
      <c r="B1903" s="22" t="s">
        <v>2944</v>
      </c>
      <c r="C1903" s="18" t="s">
        <v>2945</v>
      </c>
      <c r="D1903" s="19" t="s">
        <v>2946</v>
      </c>
      <c r="E1903" s="9" t="s">
        <v>1479</v>
      </c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29"/>
      <c r="AB1903" s="29"/>
      <c r="AC1903" s="29"/>
      <c r="AD1903" s="29"/>
    </row>
    <row r="1904">
      <c r="A1904" s="115" t="s">
        <v>2919</v>
      </c>
      <c r="B1904" s="22" t="s">
        <v>2944</v>
      </c>
      <c r="C1904" s="18" t="s">
        <v>2947</v>
      </c>
      <c r="D1904" s="19" t="s">
        <v>2946</v>
      </c>
      <c r="E1904" s="9" t="s">
        <v>1479</v>
      </c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29"/>
      <c r="Z1904" s="29"/>
      <c r="AA1904" s="29"/>
      <c r="AB1904" s="29"/>
      <c r="AC1904" s="29"/>
      <c r="AD1904" s="29"/>
    </row>
    <row r="1905">
      <c r="A1905" s="115" t="s">
        <v>2919</v>
      </c>
      <c r="B1905" s="19" t="s">
        <v>2948</v>
      </c>
      <c r="C1905" s="18" t="s">
        <v>2949</v>
      </c>
      <c r="D1905" s="19" t="s">
        <v>2950</v>
      </c>
      <c r="E1905" s="9" t="s">
        <v>196</v>
      </c>
      <c r="G1905" s="29"/>
      <c r="H1905" s="29"/>
      <c r="I1905" s="29"/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29"/>
      <c r="Z1905" s="29"/>
      <c r="AA1905" s="29"/>
      <c r="AB1905" s="29"/>
      <c r="AC1905" s="29"/>
      <c r="AD1905" s="29"/>
    </row>
    <row r="1906">
      <c r="A1906" s="18"/>
      <c r="B1906" s="22"/>
      <c r="C1906" s="18"/>
      <c r="D1906" s="19"/>
      <c r="E1906" s="49"/>
      <c r="G1906" s="29"/>
      <c r="H1906" s="29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29"/>
      <c r="X1906" s="29"/>
      <c r="Y1906" s="29"/>
      <c r="Z1906" s="29"/>
      <c r="AA1906" s="29"/>
      <c r="AB1906" s="29"/>
      <c r="AC1906" s="29"/>
      <c r="AD1906" s="29"/>
    </row>
    <row r="1907">
      <c r="A1907" s="18"/>
      <c r="B1907" s="22"/>
      <c r="C1907" s="18"/>
      <c r="D1907" s="19"/>
      <c r="E1907" s="49"/>
      <c r="G1907" s="29"/>
      <c r="H1907" s="29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29"/>
      <c r="U1907" s="29"/>
      <c r="V1907" s="29"/>
      <c r="W1907" s="29"/>
      <c r="X1907" s="29"/>
      <c r="Y1907" s="29"/>
      <c r="Z1907" s="29"/>
      <c r="AA1907" s="29"/>
      <c r="AB1907" s="29"/>
      <c r="AC1907" s="29"/>
      <c r="AD1907" s="29"/>
    </row>
    <row r="1908">
      <c r="A1908" s="115" t="s">
        <v>2951</v>
      </c>
      <c r="B1908" s="22" t="s">
        <v>2952</v>
      </c>
      <c r="C1908" s="18" t="s">
        <v>2918</v>
      </c>
      <c r="D1908" s="19" t="s">
        <v>1273</v>
      </c>
      <c r="E1908" s="9" t="s">
        <v>2953</v>
      </c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29"/>
      <c r="U1908" s="29"/>
      <c r="V1908" s="29"/>
      <c r="W1908" s="29"/>
      <c r="X1908" s="29"/>
      <c r="Y1908" s="29"/>
      <c r="Z1908" s="29"/>
      <c r="AA1908" s="29"/>
      <c r="AB1908" s="29"/>
      <c r="AC1908" s="29"/>
      <c r="AD1908" s="29"/>
    </row>
    <row r="1909">
      <c r="A1909" s="115" t="s">
        <v>2951</v>
      </c>
      <c r="B1909" s="22" t="s">
        <v>2952</v>
      </c>
      <c r="C1909" s="18" t="s">
        <v>2918</v>
      </c>
      <c r="D1909" s="19" t="s">
        <v>2954</v>
      </c>
      <c r="E1909" s="9" t="s">
        <v>2955</v>
      </c>
      <c r="G1909" s="29"/>
      <c r="H1909" s="29"/>
      <c r="I1909" s="29"/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29"/>
      <c r="X1909" s="29"/>
      <c r="Y1909" s="29"/>
      <c r="Z1909" s="29"/>
      <c r="AA1909" s="29"/>
      <c r="AB1909" s="29"/>
      <c r="AC1909" s="29"/>
      <c r="AD1909" s="29"/>
    </row>
    <row r="1910">
      <c r="A1910" s="115" t="s">
        <v>2951</v>
      </c>
      <c r="B1910" s="22" t="s">
        <v>2931</v>
      </c>
      <c r="C1910" s="18" t="s">
        <v>2835</v>
      </c>
      <c r="D1910" s="19" t="s">
        <v>2934</v>
      </c>
      <c r="E1910" s="161" t="s">
        <v>7</v>
      </c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  <c r="AA1910" s="29"/>
      <c r="AB1910" s="29"/>
      <c r="AC1910" s="29"/>
      <c r="AD1910" s="29"/>
    </row>
    <row r="1911">
      <c r="A1911" s="115" t="s">
        <v>2951</v>
      </c>
      <c r="B1911" s="22" t="s">
        <v>2931</v>
      </c>
      <c r="C1911" s="18" t="s">
        <v>2835</v>
      </c>
      <c r="D1911" s="19" t="s">
        <v>2841</v>
      </c>
      <c r="E1911" s="161" t="s">
        <v>7</v>
      </c>
      <c r="G1911" s="29"/>
      <c r="H1911" s="29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29"/>
      <c r="X1911" s="29"/>
      <c r="Y1911" s="29"/>
      <c r="Z1911" s="29"/>
      <c r="AA1911" s="29"/>
      <c r="AB1911" s="29"/>
      <c r="AC1911" s="29"/>
      <c r="AD1911" s="29"/>
    </row>
    <row r="1912">
      <c r="A1912" s="115" t="s">
        <v>2951</v>
      </c>
      <c r="B1912" s="22" t="s">
        <v>2931</v>
      </c>
      <c r="C1912" s="18" t="s">
        <v>2835</v>
      </c>
      <c r="D1912" s="19" t="s">
        <v>2904</v>
      </c>
      <c r="E1912" s="161" t="s">
        <v>7</v>
      </c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29"/>
      <c r="X1912" s="29"/>
      <c r="Y1912" s="29"/>
      <c r="Z1912" s="29"/>
      <c r="AA1912" s="29"/>
      <c r="AB1912" s="29"/>
      <c r="AC1912" s="29"/>
      <c r="AD1912" s="29"/>
    </row>
    <row r="1913">
      <c r="A1913" s="115" t="s">
        <v>2951</v>
      </c>
      <c r="B1913" s="22" t="s">
        <v>2931</v>
      </c>
      <c r="C1913" s="18" t="s">
        <v>2835</v>
      </c>
      <c r="D1913" s="19" t="s">
        <v>2956</v>
      </c>
      <c r="E1913" s="161" t="s">
        <v>7</v>
      </c>
      <c r="G1913" s="29"/>
      <c r="H1913" s="29"/>
      <c r="I1913" s="29"/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29"/>
      <c r="X1913" s="29"/>
      <c r="Y1913" s="29"/>
      <c r="Z1913" s="29"/>
      <c r="AA1913" s="29"/>
      <c r="AB1913" s="29"/>
      <c r="AC1913" s="29"/>
      <c r="AD1913" s="29"/>
    </row>
    <row r="1914">
      <c r="A1914" s="115" t="s">
        <v>2951</v>
      </c>
      <c r="B1914" s="22" t="s">
        <v>2957</v>
      </c>
      <c r="C1914" s="18" t="s">
        <v>2214</v>
      </c>
      <c r="D1914" s="19" t="s">
        <v>2958</v>
      </c>
      <c r="E1914" s="9" t="s">
        <v>2932</v>
      </c>
      <c r="G1914" s="29"/>
      <c r="H1914" s="29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29"/>
      <c r="X1914" s="29"/>
      <c r="Y1914" s="29"/>
      <c r="Z1914" s="29"/>
      <c r="AA1914" s="29"/>
      <c r="AB1914" s="29"/>
      <c r="AC1914" s="29"/>
      <c r="AD1914" s="29"/>
    </row>
    <row r="1915">
      <c r="A1915" s="115" t="s">
        <v>2951</v>
      </c>
      <c r="B1915" s="22" t="s">
        <v>2957</v>
      </c>
      <c r="C1915" s="18" t="s">
        <v>2098</v>
      </c>
      <c r="D1915" s="19" t="s">
        <v>2959</v>
      </c>
      <c r="E1915" s="9" t="s">
        <v>2932</v>
      </c>
      <c r="G1915" s="29"/>
      <c r="H1915" s="29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29"/>
      <c r="X1915" s="29"/>
      <c r="Y1915" s="29"/>
      <c r="Z1915" s="29"/>
      <c r="AA1915" s="29"/>
      <c r="AB1915" s="29"/>
      <c r="AC1915" s="29"/>
      <c r="AD1915" s="29"/>
    </row>
    <row r="1916">
      <c r="A1916" s="115" t="s">
        <v>2951</v>
      </c>
      <c r="B1916" s="22" t="s">
        <v>2957</v>
      </c>
      <c r="C1916" s="18" t="s">
        <v>2960</v>
      </c>
      <c r="D1916" s="19" t="s">
        <v>2961</v>
      </c>
      <c r="E1916" s="9" t="s">
        <v>2932</v>
      </c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29"/>
      <c r="U1916" s="29"/>
      <c r="V1916" s="29"/>
      <c r="W1916" s="29"/>
      <c r="X1916" s="29"/>
      <c r="Y1916" s="29"/>
      <c r="Z1916" s="29"/>
      <c r="AA1916" s="29"/>
      <c r="AB1916" s="29"/>
      <c r="AC1916" s="29"/>
      <c r="AD1916" s="29"/>
    </row>
    <row r="1917">
      <c r="A1917" s="115" t="s">
        <v>2951</v>
      </c>
      <c r="B1917" s="22" t="s">
        <v>2957</v>
      </c>
      <c r="C1917" s="18" t="s">
        <v>2962</v>
      </c>
      <c r="D1917" s="19" t="s">
        <v>2961</v>
      </c>
      <c r="E1917" s="9" t="s">
        <v>2932</v>
      </c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29"/>
      <c r="X1917" s="29"/>
      <c r="Y1917" s="29"/>
      <c r="Z1917" s="29"/>
      <c r="AA1917" s="29"/>
      <c r="AB1917" s="29"/>
      <c r="AC1917" s="29"/>
      <c r="AD1917" s="29"/>
    </row>
    <row r="1918">
      <c r="A1918" s="18"/>
      <c r="B1918" s="22"/>
      <c r="C1918" s="18"/>
      <c r="D1918" s="19"/>
      <c r="E1918" s="49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  <c r="AA1918" s="29"/>
      <c r="AB1918" s="29"/>
      <c r="AC1918" s="29"/>
      <c r="AD1918" s="29"/>
    </row>
    <row r="1919">
      <c r="A1919" s="18"/>
      <c r="B1919" s="22"/>
      <c r="C1919" s="18"/>
      <c r="D1919" s="19"/>
      <c r="E1919" s="49"/>
      <c r="G1919" s="29"/>
      <c r="H1919" s="29"/>
      <c r="I1919" s="29"/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  <c r="V1919" s="29"/>
      <c r="W1919" s="29"/>
      <c r="X1919" s="29"/>
      <c r="Y1919" s="29"/>
      <c r="Z1919" s="29"/>
      <c r="AA1919" s="29"/>
      <c r="AB1919" s="29"/>
      <c r="AC1919" s="29"/>
      <c r="AD1919" s="29"/>
    </row>
    <row r="1920">
      <c r="A1920" s="16" t="s">
        <v>2963</v>
      </c>
      <c r="B1920" s="22" t="s">
        <v>2964</v>
      </c>
      <c r="C1920" s="18" t="s">
        <v>2965</v>
      </c>
      <c r="D1920" s="19" t="s">
        <v>2966</v>
      </c>
      <c r="E1920" s="9" t="s">
        <v>196</v>
      </c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</row>
    <row r="1921">
      <c r="A1921" s="16" t="s">
        <v>2963</v>
      </c>
      <c r="B1921" s="19" t="s">
        <v>2967</v>
      </c>
      <c r="C1921" s="18" t="s">
        <v>2835</v>
      </c>
      <c r="D1921" s="19" t="s">
        <v>2968</v>
      </c>
      <c r="E1921" s="9" t="s">
        <v>1479</v>
      </c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</row>
    <row r="1922">
      <c r="A1922" s="18"/>
      <c r="B1922" s="22"/>
      <c r="C1922" s="18"/>
      <c r="D1922" s="19"/>
      <c r="E1922" s="4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  <c r="AA1922" s="29"/>
      <c r="AB1922" s="29"/>
      <c r="AC1922" s="29"/>
      <c r="AD1922" s="29"/>
    </row>
    <row r="1923">
      <c r="A1923" s="18"/>
      <c r="B1923" s="22"/>
      <c r="C1923" s="18"/>
      <c r="D1923" s="19"/>
      <c r="E1923" s="4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  <c r="AA1923" s="29"/>
      <c r="AB1923" s="29"/>
      <c r="AC1923" s="29"/>
      <c r="AD1923" s="29"/>
    </row>
    <row r="1924">
      <c r="A1924" s="16" t="s">
        <v>2969</v>
      </c>
      <c r="B1924" s="19" t="s">
        <v>2970</v>
      </c>
      <c r="C1924" s="18" t="s">
        <v>2971</v>
      </c>
      <c r="D1924" s="19" t="s">
        <v>2972</v>
      </c>
      <c r="E1924" s="9" t="s">
        <v>196</v>
      </c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</row>
    <row r="1925">
      <c r="A1925" s="18"/>
      <c r="B1925" s="22"/>
      <c r="C1925" s="18"/>
      <c r="D1925" s="19"/>
      <c r="E1925" s="49"/>
      <c r="G1925" s="29"/>
      <c r="H1925" s="29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29"/>
      <c r="X1925" s="29"/>
      <c r="Y1925" s="29"/>
      <c r="Z1925" s="29"/>
      <c r="AA1925" s="29"/>
      <c r="AB1925" s="29"/>
      <c r="AC1925" s="29"/>
      <c r="AD1925" s="29"/>
    </row>
    <row r="1926">
      <c r="A1926" s="18"/>
      <c r="B1926" s="22"/>
      <c r="C1926" s="18"/>
      <c r="D1926" s="19"/>
      <c r="E1926" s="49"/>
      <c r="G1926" s="29"/>
      <c r="H1926" s="29"/>
      <c r="I1926" s="29"/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29"/>
      <c r="X1926" s="29"/>
      <c r="Y1926" s="29"/>
      <c r="Z1926" s="29"/>
      <c r="AA1926" s="29"/>
      <c r="AB1926" s="29"/>
      <c r="AC1926" s="29"/>
      <c r="AD1926" s="29"/>
    </row>
    <row r="1927">
      <c r="A1927" s="115" t="s">
        <v>2973</v>
      </c>
      <c r="B1927" s="22" t="s">
        <v>2974</v>
      </c>
      <c r="C1927" s="18" t="s">
        <v>2975</v>
      </c>
      <c r="D1927" s="19" t="s">
        <v>2972</v>
      </c>
      <c r="E1927" s="9" t="s">
        <v>196</v>
      </c>
      <c r="G1927" s="29"/>
      <c r="H1927" s="29"/>
      <c r="I1927" s="29"/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  <c r="AA1927" s="29"/>
      <c r="AB1927" s="29"/>
      <c r="AC1927" s="29"/>
      <c r="AD1927" s="29"/>
    </row>
    <row r="1928">
      <c r="A1928" s="115" t="s">
        <v>2973</v>
      </c>
      <c r="B1928" s="22" t="s">
        <v>2974</v>
      </c>
      <c r="C1928" s="18" t="s">
        <v>2976</v>
      </c>
      <c r="D1928" s="19" t="s">
        <v>2972</v>
      </c>
      <c r="E1928" s="9" t="s">
        <v>196</v>
      </c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29"/>
      <c r="X1928" s="29"/>
      <c r="Y1928" s="29"/>
      <c r="Z1928" s="29"/>
      <c r="AA1928" s="29"/>
      <c r="AB1928" s="29"/>
      <c r="AC1928" s="29"/>
      <c r="AD1928" s="29"/>
    </row>
    <row r="1929">
      <c r="A1929" s="115" t="s">
        <v>2973</v>
      </c>
      <c r="B1929" s="22" t="s">
        <v>2974</v>
      </c>
      <c r="C1929" s="18" t="s">
        <v>2977</v>
      </c>
      <c r="D1929" s="19" t="s">
        <v>2972</v>
      </c>
      <c r="E1929" s="9" t="s">
        <v>196</v>
      </c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9"/>
      <c r="AA1929" s="29"/>
      <c r="AB1929" s="29"/>
      <c r="AC1929" s="29"/>
      <c r="AD1929" s="29"/>
    </row>
    <row r="1930">
      <c r="A1930" s="115" t="s">
        <v>2973</v>
      </c>
      <c r="B1930" s="22" t="s">
        <v>2978</v>
      </c>
      <c r="C1930" s="18" t="s">
        <v>2595</v>
      </c>
      <c r="D1930" s="19" t="s">
        <v>2596</v>
      </c>
      <c r="E1930" s="9" t="s">
        <v>196</v>
      </c>
      <c r="G1930" s="29"/>
      <c r="H1930" s="29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  <c r="AA1930" s="29"/>
      <c r="AB1930" s="29"/>
      <c r="AC1930" s="29"/>
      <c r="AD1930" s="29"/>
    </row>
    <row r="1931">
      <c r="A1931" s="115" t="s">
        <v>2973</v>
      </c>
      <c r="B1931" s="22" t="s">
        <v>2978</v>
      </c>
      <c r="C1931" s="18" t="s">
        <v>2979</v>
      </c>
      <c r="D1931" s="19" t="s">
        <v>2980</v>
      </c>
      <c r="E1931" s="9" t="s">
        <v>1479</v>
      </c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  <c r="AA1931" s="29"/>
      <c r="AB1931" s="29"/>
      <c r="AC1931" s="29"/>
      <c r="AD1931" s="29"/>
    </row>
    <row r="1932">
      <c r="A1932" s="115" t="s">
        <v>2973</v>
      </c>
      <c r="B1932" s="22" t="s">
        <v>2978</v>
      </c>
      <c r="C1932" s="18" t="s">
        <v>2981</v>
      </c>
      <c r="D1932" s="19" t="s">
        <v>2982</v>
      </c>
      <c r="E1932" s="9" t="s">
        <v>1479</v>
      </c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29"/>
      <c r="Z1932" s="29"/>
      <c r="AA1932" s="29"/>
      <c r="AB1932" s="29"/>
      <c r="AC1932" s="29"/>
      <c r="AD1932" s="29"/>
    </row>
    <row r="1933">
      <c r="A1933" s="115" t="s">
        <v>2973</v>
      </c>
      <c r="B1933" s="22" t="s">
        <v>2983</v>
      </c>
      <c r="C1933" s="18" t="s">
        <v>2984</v>
      </c>
      <c r="D1933" s="19" t="s">
        <v>2985</v>
      </c>
      <c r="E1933" s="132" t="s">
        <v>14</v>
      </c>
      <c r="G1933" s="29"/>
      <c r="H1933" s="29"/>
      <c r="I1933" s="29"/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29"/>
      <c r="Z1933" s="29"/>
      <c r="AA1933" s="29"/>
      <c r="AB1933" s="29"/>
      <c r="AC1933" s="29"/>
      <c r="AD1933" s="29"/>
    </row>
    <row r="1934">
      <c r="A1934" s="115" t="s">
        <v>2973</v>
      </c>
      <c r="B1934" s="22" t="s">
        <v>2986</v>
      </c>
      <c r="C1934" s="18" t="s">
        <v>2987</v>
      </c>
      <c r="D1934" s="19" t="s">
        <v>2988</v>
      </c>
      <c r="E1934" s="132" t="s">
        <v>14</v>
      </c>
      <c r="G1934" s="29"/>
      <c r="H1934" s="29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  <c r="AA1934" s="29"/>
      <c r="AB1934" s="29"/>
      <c r="AC1934" s="29"/>
      <c r="AD1934" s="29"/>
    </row>
    <row r="1935">
      <c r="A1935" s="6"/>
      <c r="B1935" s="9"/>
      <c r="C1935" s="9"/>
      <c r="D1935" s="9"/>
      <c r="E1935" s="9"/>
      <c r="G1935" s="29"/>
      <c r="H1935" s="29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  <c r="AA1935" s="29"/>
      <c r="AB1935" s="29"/>
      <c r="AC1935" s="29"/>
      <c r="AD1935" s="29"/>
    </row>
    <row r="1936">
      <c r="A1936" s="6"/>
      <c r="B1936" s="9"/>
      <c r="C1936" s="9"/>
      <c r="D1936" s="9"/>
      <c r="E1936" s="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  <c r="AA1936" s="29"/>
      <c r="AB1936" s="29"/>
      <c r="AC1936" s="29"/>
      <c r="AD1936" s="29"/>
    </row>
    <row r="1937">
      <c r="A1937" s="115" t="s">
        <v>2989</v>
      </c>
      <c r="B1937" s="22" t="s">
        <v>2990</v>
      </c>
      <c r="C1937" s="18" t="s">
        <v>2991</v>
      </c>
      <c r="D1937" s="19" t="s">
        <v>2992</v>
      </c>
      <c r="E1937" s="132" t="s">
        <v>14</v>
      </c>
      <c r="G1937" s="29"/>
      <c r="H1937" s="29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29"/>
      <c r="X1937" s="29"/>
      <c r="Y1937" s="29"/>
      <c r="Z1937" s="29"/>
      <c r="AA1937" s="29"/>
      <c r="AB1937" s="29"/>
      <c r="AC1937" s="29"/>
      <c r="AD1937" s="29"/>
    </row>
    <row r="1938">
      <c r="A1938" s="115" t="s">
        <v>2989</v>
      </c>
      <c r="B1938" s="22" t="s">
        <v>2993</v>
      </c>
      <c r="C1938" s="18" t="s">
        <v>2994</v>
      </c>
      <c r="D1938" s="19" t="s">
        <v>2995</v>
      </c>
      <c r="E1938" s="9" t="s">
        <v>2996</v>
      </c>
      <c r="G1938" s="29"/>
      <c r="H1938" s="29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  <c r="AA1938" s="29"/>
      <c r="AB1938" s="29"/>
      <c r="AC1938" s="29"/>
      <c r="AD1938" s="29"/>
    </row>
    <row r="1939">
      <c r="A1939" s="115" t="s">
        <v>2989</v>
      </c>
      <c r="B1939" s="22" t="s">
        <v>2993</v>
      </c>
      <c r="C1939" s="18" t="s">
        <v>2997</v>
      </c>
      <c r="D1939" s="19" t="s">
        <v>2998</v>
      </c>
      <c r="E1939" s="9" t="s">
        <v>2996</v>
      </c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  <c r="AA1939" s="29"/>
      <c r="AB1939" s="29"/>
      <c r="AC1939" s="29"/>
      <c r="AD1939" s="29"/>
    </row>
    <row r="1940">
      <c r="A1940" s="115" t="s">
        <v>2989</v>
      </c>
      <c r="B1940" s="19" t="s">
        <v>2999</v>
      </c>
      <c r="C1940" s="18" t="s">
        <v>2595</v>
      </c>
      <c r="D1940" s="19" t="s">
        <v>2596</v>
      </c>
      <c r="E1940" s="9" t="s">
        <v>196</v>
      </c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  <c r="AA1940" s="29"/>
      <c r="AB1940" s="29"/>
      <c r="AC1940" s="29"/>
      <c r="AD1940" s="29"/>
    </row>
    <row r="1941">
      <c r="A1941" s="18"/>
      <c r="B1941" s="22"/>
      <c r="C1941" s="18"/>
      <c r="D1941" s="19"/>
      <c r="E1941" s="49"/>
      <c r="G1941" s="29"/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  <c r="AA1941" s="29"/>
      <c r="AB1941" s="29"/>
      <c r="AC1941" s="29"/>
      <c r="AD1941" s="29"/>
    </row>
    <row r="1942">
      <c r="A1942" s="18"/>
      <c r="B1942" s="22"/>
      <c r="C1942" s="18"/>
      <c r="D1942" s="19"/>
      <c r="E1942" s="49"/>
      <c r="G1942" s="29"/>
      <c r="H1942" s="29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  <c r="AA1942" s="29"/>
      <c r="AB1942" s="29"/>
      <c r="AC1942" s="29"/>
      <c r="AD1942" s="29"/>
    </row>
    <row r="1943">
      <c r="A1943" s="115" t="s">
        <v>3000</v>
      </c>
      <c r="B1943" s="22" t="s">
        <v>3001</v>
      </c>
      <c r="C1943" s="18" t="s">
        <v>3002</v>
      </c>
      <c r="D1943" s="19" t="s">
        <v>3003</v>
      </c>
      <c r="E1943" s="9" t="s">
        <v>3004</v>
      </c>
      <c r="G1943" s="29"/>
      <c r="H1943" s="29"/>
      <c r="I1943" s="29"/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  <c r="AA1943" s="29"/>
      <c r="AB1943" s="29"/>
      <c r="AC1943" s="29"/>
      <c r="AD1943" s="29"/>
    </row>
    <row r="1944">
      <c r="A1944" s="115" t="s">
        <v>3000</v>
      </c>
      <c r="B1944" s="22" t="s">
        <v>3001</v>
      </c>
      <c r="C1944" s="18" t="s">
        <v>3005</v>
      </c>
      <c r="D1944" s="19" t="s">
        <v>3006</v>
      </c>
      <c r="E1944" s="9" t="s">
        <v>3004</v>
      </c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29"/>
      <c r="X1944" s="29"/>
      <c r="Y1944" s="29"/>
      <c r="Z1944" s="29"/>
      <c r="AA1944" s="29"/>
      <c r="AB1944" s="29"/>
      <c r="AC1944" s="29"/>
      <c r="AD1944" s="29"/>
    </row>
    <row r="1945">
      <c r="A1945" s="115" t="s">
        <v>3000</v>
      </c>
      <c r="B1945" s="22" t="s">
        <v>3001</v>
      </c>
      <c r="C1945" s="18" t="s">
        <v>3007</v>
      </c>
      <c r="D1945" s="19" t="s">
        <v>3008</v>
      </c>
      <c r="E1945" s="9" t="s">
        <v>3004</v>
      </c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  <c r="AA1945" s="29"/>
      <c r="AB1945" s="29"/>
      <c r="AC1945" s="29"/>
      <c r="AD1945" s="29"/>
    </row>
    <row r="1946">
      <c r="A1946" s="115" t="s">
        <v>3000</v>
      </c>
      <c r="B1946" s="19" t="s">
        <v>2488</v>
      </c>
      <c r="C1946" s="18" t="s">
        <v>2595</v>
      </c>
      <c r="D1946" s="19" t="s">
        <v>3009</v>
      </c>
      <c r="E1946" s="132" t="s">
        <v>764</v>
      </c>
      <c r="G1946" s="29"/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29"/>
      <c r="Y1946" s="29"/>
      <c r="Z1946" s="29"/>
      <c r="AA1946" s="29"/>
      <c r="AB1946" s="29"/>
      <c r="AC1946" s="29"/>
      <c r="AD1946" s="29"/>
    </row>
    <row r="1947">
      <c r="A1947" s="115" t="s">
        <v>3000</v>
      </c>
      <c r="B1947" s="19" t="s">
        <v>3010</v>
      </c>
      <c r="C1947" s="18" t="s">
        <v>3011</v>
      </c>
      <c r="D1947" s="19" t="s">
        <v>3012</v>
      </c>
      <c r="E1947" s="132" t="s">
        <v>1506</v>
      </c>
      <c r="G1947" s="29"/>
      <c r="H1947" s="29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  <c r="AA1947" s="29"/>
      <c r="AB1947" s="29"/>
      <c r="AC1947" s="29"/>
      <c r="AD1947" s="29"/>
    </row>
    <row r="1948">
      <c r="A1948" s="115" t="s">
        <v>3000</v>
      </c>
      <c r="B1948" s="19" t="s">
        <v>3013</v>
      </c>
      <c r="C1948" s="18" t="s">
        <v>2595</v>
      </c>
      <c r="D1948" s="19" t="s">
        <v>2596</v>
      </c>
      <c r="E1948" s="9" t="s">
        <v>196</v>
      </c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  <c r="AA1948" s="29"/>
      <c r="AB1948" s="29"/>
      <c r="AC1948" s="29"/>
      <c r="AD1948" s="29"/>
    </row>
    <row r="1949">
      <c r="A1949" s="115" t="s">
        <v>3000</v>
      </c>
      <c r="B1949" s="22" t="s">
        <v>2978</v>
      </c>
      <c r="C1949" s="18" t="s">
        <v>3014</v>
      </c>
      <c r="D1949" s="19" t="s">
        <v>3015</v>
      </c>
      <c r="E1949" s="132" t="s">
        <v>14</v>
      </c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  <c r="AA1949" s="29"/>
      <c r="AB1949" s="29"/>
      <c r="AC1949" s="29"/>
      <c r="AD1949" s="29"/>
    </row>
    <row r="1950">
      <c r="A1950" s="115" t="s">
        <v>3000</v>
      </c>
      <c r="B1950" s="19" t="s">
        <v>2970</v>
      </c>
      <c r="C1950" s="18" t="s">
        <v>3016</v>
      </c>
      <c r="D1950" s="19" t="s">
        <v>2972</v>
      </c>
      <c r="E1950" s="9" t="s">
        <v>196</v>
      </c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  <c r="AA1950" s="29"/>
      <c r="AB1950" s="29"/>
      <c r="AC1950" s="29"/>
      <c r="AD1950" s="29"/>
    </row>
    <row r="1951">
      <c r="A1951" s="18"/>
      <c r="B1951" s="22"/>
      <c r="C1951" s="18"/>
      <c r="D1951" s="19"/>
      <c r="E1951" s="49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  <c r="AA1951" s="29"/>
      <c r="AB1951" s="29"/>
      <c r="AC1951" s="29"/>
      <c r="AD1951" s="29"/>
    </row>
    <row r="1952">
      <c r="A1952" s="18"/>
      <c r="B1952" s="22"/>
      <c r="C1952" s="18"/>
      <c r="D1952" s="19"/>
      <c r="E1952" s="4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29"/>
      <c r="AB1952" s="29"/>
      <c r="AC1952" s="29"/>
      <c r="AD1952" s="29"/>
    </row>
    <row r="1953">
      <c r="A1953" s="16" t="s">
        <v>3017</v>
      </c>
      <c r="B1953" s="19" t="s">
        <v>3018</v>
      </c>
      <c r="C1953" s="18" t="s">
        <v>3019</v>
      </c>
      <c r="D1953" s="19" t="s">
        <v>3020</v>
      </c>
      <c r="E1953" s="9" t="s">
        <v>14</v>
      </c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</row>
    <row r="1954">
      <c r="A1954" s="16" t="s">
        <v>3017</v>
      </c>
      <c r="B1954" s="19" t="s">
        <v>3018</v>
      </c>
      <c r="C1954" s="18" t="s">
        <v>3021</v>
      </c>
      <c r="D1954" s="19" t="s">
        <v>3022</v>
      </c>
      <c r="E1954" s="9" t="s">
        <v>14</v>
      </c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</row>
    <row r="1955">
      <c r="A1955" s="16" t="s">
        <v>3017</v>
      </c>
      <c r="B1955" s="19" t="s">
        <v>3018</v>
      </c>
      <c r="C1955" s="18" t="s">
        <v>3023</v>
      </c>
      <c r="D1955" s="19" t="s">
        <v>3024</v>
      </c>
      <c r="E1955" s="132" t="s">
        <v>1506</v>
      </c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</row>
    <row r="1956">
      <c r="A1956" s="16" t="s">
        <v>3017</v>
      </c>
      <c r="B1956" s="19" t="s">
        <v>3025</v>
      </c>
      <c r="C1956" s="18" t="s">
        <v>3026</v>
      </c>
      <c r="D1956" s="19" t="s">
        <v>3027</v>
      </c>
      <c r="E1956" s="132" t="s">
        <v>1506</v>
      </c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</row>
    <row r="1957">
      <c r="A1957" s="16" t="s">
        <v>3017</v>
      </c>
      <c r="B1957" s="22" t="s">
        <v>2411</v>
      </c>
      <c r="C1957" s="18" t="s">
        <v>2595</v>
      </c>
      <c r="D1957" s="19" t="s">
        <v>3028</v>
      </c>
      <c r="E1957" s="132" t="s">
        <v>1479</v>
      </c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</row>
    <row r="1958">
      <c r="A1958" s="16" t="s">
        <v>3017</v>
      </c>
      <c r="B1958" s="22" t="s">
        <v>2411</v>
      </c>
      <c r="C1958" s="18" t="s">
        <v>3029</v>
      </c>
      <c r="D1958" s="19" t="s">
        <v>3030</v>
      </c>
      <c r="E1958" s="132" t="s">
        <v>764</v>
      </c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</row>
    <row r="1959">
      <c r="A1959" s="16" t="s">
        <v>3017</v>
      </c>
      <c r="B1959" s="22" t="s">
        <v>2411</v>
      </c>
      <c r="C1959" s="18" t="s">
        <v>3031</v>
      </c>
      <c r="D1959" s="19" t="s">
        <v>3032</v>
      </c>
      <c r="E1959" s="132" t="s">
        <v>1479</v>
      </c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</row>
    <row r="1960">
      <c r="A1960" s="16" t="s">
        <v>3017</v>
      </c>
      <c r="B1960" s="22" t="s">
        <v>3033</v>
      </c>
      <c r="C1960" s="18" t="s">
        <v>3034</v>
      </c>
      <c r="D1960" s="19" t="s">
        <v>3035</v>
      </c>
      <c r="E1960" s="9" t="s">
        <v>14</v>
      </c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</row>
    <row r="1961">
      <c r="A1961" s="16" t="s">
        <v>3017</v>
      </c>
      <c r="B1961" s="19" t="s">
        <v>3036</v>
      </c>
      <c r="C1961" s="18" t="s">
        <v>3037</v>
      </c>
      <c r="D1961" s="19" t="s">
        <v>3038</v>
      </c>
      <c r="E1961" s="9" t="s">
        <v>14</v>
      </c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</row>
    <row r="1962">
      <c r="A1962" s="16" t="s">
        <v>3017</v>
      </c>
      <c r="B1962" s="22" t="s">
        <v>3039</v>
      </c>
      <c r="C1962" s="18" t="s">
        <v>3040</v>
      </c>
      <c r="D1962" s="19" t="s">
        <v>3041</v>
      </c>
      <c r="E1962" s="132" t="s">
        <v>1506</v>
      </c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</row>
    <row r="1963">
      <c r="A1963" s="18"/>
      <c r="B1963" s="22"/>
      <c r="C1963" s="18"/>
      <c r="D1963" s="19"/>
      <c r="E1963" s="49"/>
      <c r="G1963" s="29"/>
      <c r="H1963" s="29"/>
      <c r="I1963" s="29"/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  <c r="AA1963" s="29"/>
      <c r="AB1963" s="29"/>
      <c r="AC1963" s="29"/>
      <c r="AD1963" s="29"/>
    </row>
    <row r="1964">
      <c r="A1964" s="18"/>
      <c r="B1964" s="22"/>
      <c r="C1964" s="18"/>
      <c r="D1964" s="19"/>
      <c r="E1964" s="4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29"/>
      <c r="X1964" s="29"/>
      <c r="Y1964" s="29"/>
      <c r="Z1964" s="29"/>
      <c r="AA1964" s="29"/>
      <c r="AB1964" s="29"/>
      <c r="AC1964" s="29"/>
      <c r="AD1964" s="29"/>
    </row>
    <row r="1965">
      <c r="A1965" s="16" t="s">
        <v>3042</v>
      </c>
      <c r="B1965" s="22" t="s">
        <v>2411</v>
      </c>
      <c r="C1965" s="18" t="s">
        <v>3043</v>
      </c>
      <c r="D1965" s="19" t="s">
        <v>3044</v>
      </c>
      <c r="E1965" s="132" t="s">
        <v>1506</v>
      </c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</row>
    <row r="1966">
      <c r="A1966" s="16" t="s">
        <v>3042</v>
      </c>
      <c r="B1966" s="22" t="s">
        <v>3039</v>
      </c>
      <c r="C1966" s="18" t="s">
        <v>3040</v>
      </c>
      <c r="D1966" s="19" t="s">
        <v>3045</v>
      </c>
      <c r="E1966" s="9" t="s">
        <v>2932</v>
      </c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</row>
    <row r="1967">
      <c r="A1967" s="16" t="s">
        <v>3042</v>
      </c>
      <c r="B1967" s="22" t="s">
        <v>3039</v>
      </c>
      <c r="C1967" s="18" t="s">
        <v>3040</v>
      </c>
      <c r="D1967" s="19" t="s">
        <v>3046</v>
      </c>
      <c r="E1967" s="9" t="s">
        <v>2932</v>
      </c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</row>
    <row r="1968">
      <c r="A1968" s="16" t="s">
        <v>3042</v>
      </c>
      <c r="B1968" s="22" t="s">
        <v>3039</v>
      </c>
      <c r="C1968" s="18" t="s">
        <v>3040</v>
      </c>
      <c r="D1968" s="19" t="s">
        <v>3047</v>
      </c>
      <c r="E1968" s="9" t="s">
        <v>2932</v>
      </c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</row>
    <row r="1969">
      <c r="A1969" s="16" t="s">
        <v>3042</v>
      </c>
      <c r="B1969" s="22" t="s">
        <v>3039</v>
      </c>
      <c r="C1969" s="18" t="s">
        <v>3040</v>
      </c>
      <c r="D1969" s="19" t="s">
        <v>3048</v>
      </c>
      <c r="E1969" s="9" t="s">
        <v>2932</v>
      </c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</row>
    <row r="1970">
      <c r="A1970" s="16" t="s">
        <v>3042</v>
      </c>
      <c r="B1970" s="22" t="s">
        <v>3039</v>
      </c>
      <c r="C1970" s="18" t="s">
        <v>3040</v>
      </c>
      <c r="D1970" s="19" t="s">
        <v>682</v>
      </c>
      <c r="E1970" s="9" t="s">
        <v>2932</v>
      </c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</row>
    <row r="1971">
      <c r="A1971" s="16" t="s">
        <v>3042</v>
      </c>
      <c r="B1971" s="22" t="s">
        <v>3039</v>
      </c>
      <c r="C1971" s="18" t="s">
        <v>3040</v>
      </c>
      <c r="D1971" s="19" t="s">
        <v>3049</v>
      </c>
      <c r="E1971" s="9" t="s">
        <v>2932</v>
      </c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</row>
    <row r="1972">
      <c r="A1972" s="16" t="s">
        <v>3042</v>
      </c>
      <c r="B1972" s="22" t="s">
        <v>3039</v>
      </c>
      <c r="C1972" s="18" t="s">
        <v>3040</v>
      </c>
      <c r="D1972" s="19" t="s">
        <v>3050</v>
      </c>
      <c r="E1972" s="9" t="s">
        <v>2932</v>
      </c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</row>
    <row r="1973">
      <c r="A1973" s="16" t="s">
        <v>3042</v>
      </c>
      <c r="B1973" s="22" t="s">
        <v>3039</v>
      </c>
      <c r="C1973" s="18" t="s">
        <v>3040</v>
      </c>
      <c r="D1973" s="19" t="s">
        <v>3051</v>
      </c>
      <c r="E1973" s="9" t="s">
        <v>2932</v>
      </c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</row>
    <row r="1974">
      <c r="A1974" s="16" t="s">
        <v>3042</v>
      </c>
      <c r="B1974" s="22" t="s">
        <v>3039</v>
      </c>
      <c r="C1974" s="18" t="s">
        <v>3040</v>
      </c>
      <c r="D1974" s="19" t="s">
        <v>3052</v>
      </c>
      <c r="E1974" s="9" t="s">
        <v>2932</v>
      </c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</row>
    <row r="1975">
      <c r="A1975" s="16" t="s">
        <v>3042</v>
      </c>
      <c r="B1975" s="22" t="s">
        <v>3039</v>
      </c>
      <c r="C1975" s="18" t="s">
        <v>3040</v>
      </c>
      <c r="D1975" s="19" t="s">
        <v>3053</v>
      </c>
      <c r="E1975" s="9" t="s">
        <v>2932</v>
      </c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</row>
    <row r="1976">
      <c r="A1976" s="16" t="s">
        <v>3042</v>
      </c>
      <c r="B1976" s="22" t="s">
        <v>3039</v>
      </c>
      <c r="C1976" s="18" t="s">
        <v>3040</v>
      </c>
      <c r="D1976" s="19" t="s">
        <v>3054</v>
      </c>
      <c r="E1976" s="9" t="s">
        <v>2932</v>
      </c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</row>
    <row r="1977">
      <c r="A1977" s="16" t="s">
        <v>3042</v>
      </c>
      <c r="B1977" s="22" t="s">
        <v>3039</v>
      </c>
      <c r="C1977" s="18" t="s">
        <v>3040</v>
      </c>
      <c r="D1977" s="19" t="s">
        <v>3055</v>
      </c>
      <c r="E1977" s="9" t="s">
        <v>2932</v>
      </c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</row>
    <row r="1978">
      <c r="A1978" s="16" t="s">
        <v>3042</v>
      </c>
      <c r="B1978" s="22" t="s">
        <v>3039</v>
      </c>
      <c r="C1978" s="18" t="s">
        <v>3040</v>
      </c>
      <c r="D1978" s="19" t="s">
        <v>3056</v>
      </c>
      <c r="E1978" s="9" t="s">
        <v>2932</v>
      </c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</row>
    <row r="1979">
      <c r="A1979" s="16" t="s">
        <v>3042</v>
      </c>
      <c r="B1979" s="22" t="s">
        <v>3039</v>
      </c>
      <c r="C1979" s="18" t="s">
        <v>3057</v>
      </c>
      <c r="D1979" s="19" t="s">
        <v>3058</v>
      </c>
      <c r="E1979" s="9" t="s">
        <v>2932</v>
      </c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</row>
    <row r="1980">
      <c r="A1980" s="16" t="s">
        <v>3042</v>
      </c>
      <c r="B1980" s="22" t="s">
        <v>3059</v>
      </c>
      <c r="C1980" s="18" t="s">
        <v>3019</v>
      </c>
      <c r="D1980" s="19" t="s">
        <v>3060</v>
      </c>
      <c r="E1980" s="9" t="s">
        <v>2932</v>
      </c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</row>
    <row r="1981">
      <c r="A1981" s="16" t="s">
        <v>3042</v>
      </c>
      <c r="B1981" s="22" t="s">
        <v>3059</v>
      </c>
      <c r="C1981" s="18" t="s">
        <v>3019</v>
      </c>
      <c r="D1981" s="19" t="s">
        <v>3061</v>
      </c>
      <c r="E1981" s="9" t="s">
        <v>2932</v>
      </c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</row>
    <row r="1982">
      <c r="A1982" s="16" t="s">
        <v>3042</v>
      </c>
      <c r="B1982" s="22" t="s">
        <v>3059</v>
      </c>
      <c r="C1982" s="18" t="s">
        <v>3019</v>
      </c>
      <c r="D1982" s="19" t="s">
        <v>3062</v>
      </c>
      <c r="E1982" s="9" t="s">
        <v>2932</v>
      </c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</row>
    <row r="1983">
      <c r="A1983" s="16" t="s">
        <v>3042</v>
      </c>
      <c r="B1983" s="22" t="s">
        <v>3059</v>
      </c>
      <c r="C1983" s="18" t="s">
        <v>3019</v>
      </c>
      <c r="D1983" s="19" t="s">
        <v>3063</v>
      </c>
      <c r="E1983" s="9" t="s">
        <v>2932</v>
      </c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</row>
    <row r="1984">
      <c r="A1984" s="16" t="s">
        <v>3042</v>
      </c>
      <c r="B1984" s="22" t="s">
        <v>3059</v>
      </c>
      <c r="C1984" s="18" t="s">
        <v>3019</v>
      </c>
      <c r="D1984" s="19" t="s">
        <v>3064</v>
      </c>
      <c r="E1984" s="9" t="s">
        <v>2932</v>
      </c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</row>
    <row r="1985">
      <c r="A1985" s="16" t="s">
        <v>3042</v>
      </c>
      <c r="B1985" s="22" t="s">
        <v>3059</v>
      </c>
      <c r="C1985" s="18" t="s">
        <v>3065</v>
      </c>
      <c r="D1985" s="19" t="s">
        <v>3066</v>
      </c>
      <c r="E1985" s="9" t="s">
        <v>2932</v>
      </c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</row>
    <row r="1986">
      <c r="A1986" s="16" t="s">
        <v>3042</v>
      </c>
      <c r="B1986" s="22" t="s">
        <v>3059</v>
      </c>
      <c r="C1986" s="18" t="s">
        <v>3019</v>
      </c>
      <c r="D1986" s="19" t="s">
        <v>3067</v>
      </c>
      <c r="E1986" s="9" t="s">
        <v>2932</v>
      </c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</row>
    <row r="1987">
      <c r="A1987" s="16" t="s">
        <v>3042</v>
      </c>
      <c r="B1987" s="22" t="s">
        <v>3059</v>
      </c>
      <c r="C1987" s="18" t="s">
        <v>3019</v>
      </c>
      <c r="D1987" s="19" t="s">
        <v>1117</v>
      </c>
      <c r="E1987" s="9" t="s">
        <v>2932</v>
      </c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</row>
    <row r="1988">
      <c r="A1988" s="16" t="s">
        <v>3042</v>
      </c>
      <c r="B1988" s="22" t="s">
        <v>3059</v>
      </c>
      <c r="C1988" s="18" t="s">
        <v>3019</v>
      </c>
      <c r="D1988" s="19" t="s">
        <v>312</v>
      </c>
      <c r="E1988" s="9" t="s">
        <v>2932</v>
      </c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</row>
    <row r="1989">
      <c r="A1989" s="16" t="s">
        <v>3042</v>
      </c>
      <c r="B1989" s="22" t="s">
        <v>3059</v>
      </c>
      <c r="C1989" s="18" t="s">
        <v>3019</v>
      </c>
      <c r="D1989" s="19" t="s">
        <v>3068</v>
      </c>
      <c r="E1989" s="9" t="s">
        <v>2932</v>
      </c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</row>
    <row r="1990">
      <c r="A1990" s="16" t="s">
        <v>3042</v>
      </c>
      <c r="B1990" s="22" t="s">
        <v>3059</v>
      </c>
      <c r="C1990" s="18" t="s">
        <v>3019</v>
      </c>
      <c r="D1990" s="19" t="s">
        <v>3069</v>
      </c>
      <c r="E1990" s="9" t="s">
        <v>2932</v>
      </c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</row>
    <row r="1991">
      <c r="A1991" s="16" t="s">
        <v>3042</v>
      </c>
      <c r="B1991" s="22" t="s">
        <v>3059</v>
      </c>
      <c r="C1991" s="18" t="s">
        <v>3019</v>
      </c>
      <c r="D1991" s="19" t="s">
        <v>3070</v>
      </c>
      <c r="E1991" s="9" t="s">
        <v>2932</v>
      </c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</row>
    <row r="1992">
      <c r="A1992" s="16" t="s">
        <v>3042</v>
      </c>
      <c r="B1992" s="22" t="s">
        <v>3059</v>
      </c>
      <c r="C1992" s="18" t="s">
        <v>3019</v>
      </c>
      <c r="D1992" s="19" t="s">
        <v>1646</v>
      </c>
      <c r="E1992" s="9" t="s">
        <v>2932</v>
      </c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</row>
    <row r="1993">
      <c r="A1993" s="16" t="s">
        <v>3042</v>
      </c>
      <c r="B1993" s="22" t="s">
        <v>3059</v>
      </c>
      <c r="C1993" s="18" t="s">
        <v>3019</v>
      </c>
      <c r="D1993" s="19" t="s">
        <v>3071</v>
      </c>
      <c r="E1993" s="9" t="s">
        <v>2932</v>
      </c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</row>
    <row r="1994">
      <c r="A1994" s="16" t="s">
        <v>3042</v>
      </c>
      <c r="B1994" s="22" t="s">
        <v>3072</v>
      </c>
      <c r="C1994" s="18" t="s">
        <v>3073</v>
      </c>
      <c r="D1994" s="19" t="s">
        <v>3074</v>
      </c>
      <c r="E1994" s="132" t="s">
        <v>1506</v>
      </c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</row>
    <row r="1995">
      <c r="A1995" s="16" t="s">
        <v>3042</v>
      </c>
      <c r="B1995" s="22" t="s">
        <v>3075</v>
      </c>
      <c r="C1995" s="18" t="s">
        <v>3076</v>
      </c>
      <c r="D1995" s="19" t="s">
        <v>3077</v>
      </c>
      <c r="E1995" s="9" t="s">
        <v>2932</v>
      </c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</row>
    <row r="1996">
      <c r="A1996" s="16" t="s">
        <v>3042</v>
      </c>
      <c r="B1996" s="22" t="s">
        <v>3075</v>
      </c>
      <c r="C1996" s="18" t="s">
        <v>3078</v>
      </c>
      <c r="D1996" s="19" t="s">
        <v>3079</v>
      </c>
      <c r="E1996" s="9" t="s">
        <v>2932</v>
      </c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</row>
    <row r="1997">
      <c r="A1997" s="16" t="s">
        <v>3042</v>
      </c>
      <c r="B1997" s="22" t="s">
        <v>3075</v>
      </c>
      <c r="C1997" s="18" t="s">
        <v>3080</v>
      </c>
      <c r="D1997" s="19" t="s">
        <v>3081</v>
      </c>
      <c r="E1997" s="9" t="s">
        <v>2932</v>
      </c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</row>
    <row r="1998">
      <c r="A1998" s="16" t="s">
        <v>3042</v>
      </c>
      <c r="B1998" s="22" t="s">
        <v>3075</v>
      </c>
      <c r="C1998" s="18" t="s">
        <v>3082</v>
      </c>
      <c r="D1998" s="19" t="s">
        <v>3083</v>
      </c>
      <c r="E1998" s="9" t="s">
        <v>2932</v>
      </c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</row>
    <row r="1999">
      <c r="A1999" s="16" t="s">
        <v>3042</v>
      </c>
      <c r="B1999" s="22" t="s">
        <v>3075</v>
      </c>
      <c r="C1999" s="18" t="s">
        <v>3084</v>
      </c>
      <c r="D1999" s="19" t="s">
        <v>3085</v>
      </c>
      <c r="E1999" s="9" t="s">
        <v>2932</v>
      </c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</row>
    <row r="2000">
      <c r="A2000" s="16" t="s">
        <v>3042</v>
      </c>
      <c r="B2000" s="22" t="s">
        <v>3086</v>
      </c>
      <c r="C2000" s="18" t="s">
        <v>3087</v>
      </c>
      <c r="D2000" s="19" t="s">
        <v>3088</v>
      </c>
      <c r="E2000" s="132" t="s">
        <v>14</v>
      </c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</row>
    <row r="2001">
      <c r="A2001" s="16" t="s">
        <v>3042</v>
      </c>
      <c r="B2001" s="22" t="s">
        <v>3089</v>
      </c>
      <c r="C2001" s="18" t="s">
        <v>3090</v>
      </c>
      <c r="D2001" s="19" t="s">
        <v>3091</v>
      </c>
      <c r="E2001" s="132" t="s">
        <v>3092</v>
      </c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</row>
    <row r="2002">
      <c r="A2002" s="16" t="s">
        <v>3042</v>
      </c>
      <c r="B2002" s="22" t="s">
        <v>3089</v>
      </c>
      <c r="C2002" s="18" t="s">
        <v>3090</v>
      </c>
      <c r="D2002" s="19" t="s">
        <v>3093</v>
      </c>
      <c r="E2002" s="132" t="s">
        <v>3092</v>
      </c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</row>
    <row r="2003">
      <c r="A2003" s="16" t="s">
        <v>3042</v>
      </c>
      <c r="B2003" s="19" t="s">
        <v>3094</v>
      </c>
      <c r="C2003" s="18" t="s">
        <v>3095</v>
      </c>
      <c r="D2003" s="19" t="s">
        <v>3096</v>
      </c>
      <c r="E2003" s="132" t="s">
        <v>14</v>
      </c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</row>
    <row r="2004">
      <c r="A2004" s="18"/>
      <c r="B2004" s="22"/>
      <c r="C2004" s="18"/>
      <c r="D2004" s="19"/>
      <c r="E2004" s="49"/>
      <c r="G2004" s="29"/>
      <c r="H2004" s="29"/>
      <c r="I2004" s="29"/>
      <c r="J2004" s="29"/>
      <c r="K2004" s="29"/>
      <c r="L2004" s="29"/>
      <c r="M2004" s="29"/>
      <c r="N2004" s="29"/>
      <c r="O2004" s="29"/>
      <c r="P2004" s="29"/>
      <c r="Q2004" s="29"/>
      <c r="R2004" s="29"/>
      <c r="S2004" s="29"/>
      <c r="T2004" s="29"/>
      <c r="U2004" s="29"/>
      <c r="V2004" s="29"/>
      <c r="W2004" s="29"/>
      <c r="X2004" s="29"/>
      <c r="Y2004" s="29"/>
      <c r="Z2004" s="29"/>
      <c r="AA2004" s="29"/>
      <c r="AB2004" s="29"/>
      <c r="AC2004" s="29"/>
      <c r="AD2004" s="29"/>
    </row>
    <row r="2005">
      <c r="A2005" s="18"/>
      <c r="B2005" s="22"/>
      <c r="C2005" s="18"/>
      <c r="D2005" s="19"/>
      <c r="E2005" s="49"/>
      <c r="G2005" s="29"/>
      <c r="H2005" s="29"/>
      <c r="I2005" s="29"/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  <c r="AA2005" s="29"/>
      <c r="AB2005" s="29"/>
      <c r="AC2005" s="29"/>
      <c r="AD2005" s="29"/>
    </row>
    <row r="2006">
      <c r="A2006" s="16" t="s">
        <v>3097</v>
      </c>
      <c r="B2006" s="22" t="s">
        <v>3039</v>
      </c>
      <c r="C2006" s="18" t="s">
        <v>3098</v>
      </c>
      <c r="D2006" s="19" t="s">
        <v>3099</v>
      </c>
      <c r="E2006" s="9" t="s">
        <v>3100</v>
      </c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</row>
    <row r="2007">
      <c r="A2007" s="16" t="s">
        <v>3097</v>
      </c>
      <c r="B2007" s="22" t="s">
        <v>3039</v>
      </c>
      <c r="C2007" s="18" t="s">
        <v>3101</v>
      </c>
      <c r="D2007" s="19" t="s">
        <v>3102</v>
      </c>
      <c r="E2007" s="9" t="s">
        <v>3100</v>
      </c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</row>
    <row r="2008">
      <c r="A2008" s="16" t="s">
        <v>3097</v>
      </c>
      <c r="B2008" s="22" t="s">
        <v>3039</v>
      </c>
      <c r="C2008" s="18" t="s">
        <v>3103</v>
      </c>
      <c r="D2008" s="19" t="s">
        <v>3104</v>
      </c>
      <c r="E2008" s="9" t="s">
        <v>3100</v>
      </c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</row>
    <row r="2009">
      <c r="A2009" s="16" t="s">
        <v>3097</v>
      </c>
      <c r="B2009" s="22" t="s">
        <v>3039</v>
      </c>
      <c r="C2009" s="18" t="s">
        <v>3040</v>
      </c>
      <c r="D2009" s="19" t="s">
        <v>3105</v>
      </c>
      <c r="E2009" s="9" t="s">
        <v>3100</v>
      </c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</row>
    <row r="2010">
      <c r="A2010" s="16" t="s">
        <v>3097</v>
      </c>
      <c r="B2010" s="22" t="s">
        <v>2931</v>
      </c>
      <c r="C2010" s="18" t="s">
        <v>2890</v>
      </c>
      <c r="D2010" s="19" t="s">
        <v>2891</v>
      </c>
      <c r="E2010" s="161" t="s">
        <v>3106</v>
      </c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</row>
    <row r="2011">
      <c r="A2011" s="16" t="s">
        <v>3097</v>
      </c>
      <c r="B2011" s="22" t="s">
        <v>2931</v>
      </c>
      <c r="C2011" s="18" t="s">
        <v>2847</v>
      </c>
      <c r="D2011" s="19" t="s">
        <v>2848</v>
      </c>
      <c r="E2011" s="161" t="s">
        <v>3106</v>
      </c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</row>
    <row r="2012">
      <c r="A2012" s="16" t="s">
        <v>3097</v>
      </c>
      <c r="B2012" s="22" t="s">
        <v>2931</v>
      </c>
      <c r="C2012" s="18" t="s">
        <v>2835</v>
      </c>
      <c r="D2012" s="19" t="s">
        <v>3107</v>
      </c>
      <c r="E2012" s="161" t="s">
        <v>3106</v>
      </c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</row>
    <row r="2013">
      <c r="A2013" s="16" t="s">
        <v>3097</v>
      </c>
      <c r="B2013" s="19" t="s">
        <v>2488</v>
      </c>
      <c r="C2013" s="18" t="s">
        <v>3031</v>
      </c>
      <c r="D2013" s="19" t="s">
        <v>3108</v>
      </c>
      <c r="E2013" s="132" t="s">
        <v>764</v>
      </c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</row>
    <row r="2014">
      <c r="A2014" s="16" t="s">
        <v>3097</v>
      </c>
      <c r="B2014" s="19" t="s">
        <v>2488</v>
      </c>
      <c r="C2014" s="18" t="s">
        <v>3031</v>
      </c>
      <c r="D2014" s="19" t="s">
        <v>3109</v>
      </c>
      <c r="E2014" s="132" t="s">
        <v>1506</v>
      </c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</row>
    <row r="2015">
      <c r="A2015" s="16" t="s">
        <v>3097</v>
      </c>
      <c r="B2015" s="19" t="s">
        <v>2488</v>
      </c>
      <c r="C2015" s="18" t="s">
        <v>3031</v>
      </c>
      <c r="D2015" s="19" t="s">
        <v>3110</v>
      </c>
      <c r="E2015" s="132" t="s">
        <v>1506</v>
      </c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</row>
    <row r="2016">
      <c r="A2016" s="16" t="s">
        <v>3097</v>
      </c>
      <c r="B2016" s="19" t="s">
        <v>2488</v>
      </c>
      <c r="C2016" s="18" t="s">
        <v>3111</v>
      </c>
      <c r="D2016" s="19" t="s">
        <v>3112</v>
      </c>
      <c r="E2016" s="132" t="s">
        <v>1506</v>
      </c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</row>
    <row r="2017">
      <c r="A2017" s="16" t="s">
        <v>3097</v>
      </c>
      <c r="B2017" s="19" t="s">
        <v>2488</v>
      </c>
      <c r="C2017" s="18" t="s">
        <v>1006</v>
      </c>
      <c r="D2017" s="19" t="s">
        <v>3113</v>
      </c>
      <c r="E2017" s="9" t="s">
        <v>196</v>
      </c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</row>
    <row r="2018">
      <c r="A2018" s="16" t="s">
        <v>3097</v>
      </c>
      <c r="B2018" s="19" t="s">
        <v>2488</v>
      </c>
      <c r="C2018" s="18" t="s">
        <v>3111</v>
      </c>
      <c r="D2018" s="19" t="s">
        <v>3114</v>
      </c>
      <c r="E2018" s="132" t="s">
        <v>1506</v>
      </c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</row>
    <row r="2019">
      <c r="A2019" s="16" t="s">
        <v>3097</v>
      </c>
      <c r="B2019" s="19" t="s">
        <v>2488</v>
      </c>
      <c r="C2019" s="18" t="s">
        <v>3111</v>
      </c>
      <c r="D2019" s="19" t="s">
        <v>3115</v>
      </c>
      <c r="E2019" s="132" t="s">
        <v>14</v>
      </c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</row>
    <row r="2020">
      <c r="A2020" s="16" t="s">
        <v>3097</v>
      </c>
      <c r="B2020" s="22" t="s">
        <v>2983</v>
      </c>
      <c r="C2020" s="18" t="s">
        <v>3116</v>
      </c>
      <c r="D2020" s="19" t="s">
        <v>3117</v>
      </c>
      <c r="E2020" s="132" t="s">
        <v>14</v>
      </c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</row>
    <row r="2021">
      <c r="A2021" s="16" t="s">
        <v>3097</v>
      </c>
      <c r="B2021" s="22" t="s">
        <v>2983</v>
      </c>
      <c r="C2021" s="18" t="s">
        <v>3118</v>
      </c>
      <c r="D2021" s="19" t="s">
        <v>3119</v>
      </c>
      <c r="E2021" s="132" t="s">
        <v>14</v>
      </c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</row>
    <row r="2022">
      <c r="A2022" s="16" t="s">
        <v>3097</v>
      </c>
      <c r="B2022" s="22" t="s">
        <v>2983</v>
      </c>
      <c r="C2022" s="18" t="s">
        <v>3116</v>
      </c>
      <c r="D2022" s="19" t="s">
        <v>3120</v>
      </c>
      <c r="E2022" s="132" t="s">
        <v>14</v>
      </c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</row>
    <row r="2023">
      <c r="A2023" s="16" t="s">
        <v>3097</v>
      </c>
      <c r="B2023" s="22" t="s">
        <v>2983</v>
      </c>
      <c r="C2023" s="18" t="s">
        <v>3116</v>
      </c>
      <c r="D2023" s="19" t="s">
        <v>3121</v>
      </c>
      <c r="E2023" s="132" t="s">
        <v>14</v>
      </c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</row>
    <row r="2024">
      <c r="A2024" s="18"/>
      <c r="B2024" s="22"/>
      <c r="C2024" s="18"/>
      <c r="D2024" s="19"/>
      <c r="E2024" s="49"/>
      <c r="G2024" s="29"/>
      <c r="H2024" s="29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29"/>
      <c r="X2024" s="29"/>
      <c r="Y2024" s="29"/>
      <c r="Z2024" s="29"/>
      <c r="AA2024" s="29"/>
      <c r="AB2024" s="29"/>
      <c r="AC2024" s="29"/>
      <c r="AD2024" s="29"/>
    </row>
    <row r="2025">
      <c r="A2025" s="18"/>
      <c r="B2025" s="22"/>
      <c r="C2025" s="18"/>
      <c r="D2025" s="19"/>
      <c r="E2025" s="49"/>
      <c r="G2025" s="29"/>
      <c r="H2025" s="29"/>
      <c r="I2025" s="29"/>
      <c r="J2025" s="29"/>
      <c r="K2025" s="29"/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29"/>
      <c r="X2025" s="29"/>
      <c r="Y2025" s="29"/>
      <c r="Z2025" s="29"/>
      <c r="AA2025" s="29"/>
      <c r="AB2025" s="29"/>
      <c r="AC2025" s="29"/>
      <c r="AD2025" s="29"/>
    </row>
    <row r="2026">
      <c r="A2026" s="160" t="s">
        <v>3122</v>
      </c>
      <c r="B2026" s="19" t="s">
        <v>3123</v>
      </c>
      <c r="C2026" s="18" t="s">
        <v>3124</v>
      </c>
      <c r="D2026" s="19" t="s">
        <v>3125</v>
      </c>
      <c r="E2026" s="132" t="s">
        <v>14</v>
      </c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</row>
    <row r="2027">
      <c r="A2027" s="160" t="s">
        <v>3122</v>
      </c>
      <c r="B2027" s="22" t="s">
        <v>3126</v>
      </c>
      <c r="C2027" s="18" t="s">
        <v>1431</v>
      </c>
      <c r="D2027" s="19" t="s">
        <v>3127</v>
      </c>
      <c r="E2027" s="132" t="s">
        <v>14</v>
      </c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</row>
    <row r="2028">
      <c r="A2028" s="160" t="s">
        <v>3122</v>
      </c>
      <c r="B2028" s="22" t="s">
        <v>3128</v>
      </c>
      <c r="C2028" s="18" t="s">
        <v>3129</v>
      </c>
      <c r="D2028" s="19" t="s">
        <v>3130</v>
      </c>
      <c r="E2028" s="161" t="s">
        <v>7</v>
      </c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</row>
    <row r="2029">
      <c r="A2029" s="160" t="s">
        <v>3122</v>
      </c>
      <c r="B2029" s="22" t="s">
        <v>3128</v>
      </c>
      <c r="C2029" s="18" t="s">
        <v>3131</v>
      </c>
      <c r="D2029" s="19" t="s">
        <v>3130</v>
      </c>
      <c r="E2029" s="161" t="s">
        <v>7</v>
      </c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</row>
    <row r="2030">
      <c r="A2030" s="160" t="s">
        <v>3122</v>
      </c>
      <c r="B2030" s="22" t="s">
        <v>3128</v>
      </c>
      <c r="C2030" s="18" t="s">
        <v>3132</v>
      </c>
      <c r="D2030" s="19" t="s">
        <v>3130</v>
      </c>
      <c r="E2030" s="161" t="s">
        <v>7</v>
      </c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</row>
    <row r="2031">
      <c r="A2031" s="160" t="s">
        <v>3122</v>
      </c>
      <c r="B2031" s="22" t="s">
        <v>3133</v>
      </c>
      <c r="C2031" s="18" t="s">
        <v>3134</v>
      </c>
      <c r="D2031" s="19" t="s">
        <v>3135</v>
      </c>
      <c r="E2031" s="132" t="s">
        <v>14</v>
      </c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</row>
    <row r="2032">
      <c r="A2032" s="160" t="s">
        <v>3122</v>
      </c>
      <c r="B2032" s="22" t="s">
        <v>3133</v>
      </c>
      <c r="C2032" s="18" t="s">
        <v>3136</v>
      </c>
      <c r="D2032" s="19" t="s">
        <v>3137</v>
      </c>
      <c r="E2032" s="132" t="s">
        <v>14</v>
      </c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</row>
    <row r="2033">
      <c r="A2033" s="160" t="s">
        <v>3122</v>
      </c>
      <c r="B2033" s="22" t="s">
        <v>3133</v>
      </c>
      <c r="C2033" s="18" t="s">
        <v>3136</v>
      </c>
      <c r="D2033" s="19" t="s">
        <v>3138</v>
      </c>
      <c r="E2033" s="132" t="s">
        <v>14</v>
      </c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</row>
    <row r="2034">
      <c r="A2034" s="160" t="s">
        <v>3122</v>
      </c>
      <c r="B2034" s="22" t="s">
        <v>3133</v>
      </c>
      <c r="C2034" s="18" t="s">
        <v>3136</v>
      </c>
      <c r="D2034" s="19" t="s">
        <v>3139</v>
      </c>
      <c r="E2034" s="132" t="s">
        <v>14</v>
      </c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</row>
    <row r="2035">
      <c r="A2035" s="160" t="s">
        <v>3122</v>
      </c>
      <c r="B2035" s="19" t="s">
        <v>3140</v>
      </c>
      <c r="C2035" s="23" t="s">
        <v>3141</v>
      </c>
      <c r="D2035" s="136" t="s">
        <v>3142</v>
      </c>
      <c r="E2035" s="132" t="s">
        <v>1506</v>
      </c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</row>
    <row r="2036">
      <c r="A2036" s="160" t="s">
        <v>3122</v>
      </c>
      <c r="B2036" s="22" t="s">
        <v>3143</v>
      </c>
      <c r="C2036" s="18" t="s">
        <v>3144</v>
      </c>
      <c r="D2036" s="19" t="s">
        <v>3145</v>
      </c>
      <c r="E2036" s="132" t="s">
        <v>1506</v>
      </c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</row>
    <row r="2037">
      <c r="A2037" s="160" t="s">
        <v>3122</v>
      </c>
      <c r="B2037" s="22" t="s">
        <v>3146</v>
      </c>
      <c r="C2037" s="18" t="s">
        <v>3147</v>
      </c>
      <c r="D2037" s="19" t="s">
        <v>3148</v>
      </c>
      <c r="E2037" s="161" t="s">
        <v>7</v>
      </c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</row>
    <row r="2038">
      <c r="A2038" s="160" t="s">
        <v>3122</v>
      </c>
      <c r="B2038" s="22" t="s">
        <v>3146</v>
      </c>
      <c r="C2038" s="18" t="s">
        <v>3149</v>
      </c>
      <c r="D2038" s="19" t="s">
        <v>3150</v>
      </c>
      <c r="E2038" s="161" t="s">
        <v>7</v>
      </c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</row>
    <row r="2039">
      <c r="A2039" s="160" t="s">
        <v>3122</v>
      </c>
      <c r="B2039" s="22" t="s">
        <v>2983</v>
      </c>
      <c r="C2039" s="18" t="s">
        <v>3116</v>
      </c>
      <c r="D2039" s="19" t="s">
        <v>3117</v>
      </c>
      <c r="E2039" s="161" t="s">
        <v>7</v>
      </c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</row>
    <row r="2040">
      <c r="A2040" s="160" t="s">
        <v>3122</v>
      </c>
      <c r="B2040" s="22" t="s">
        <v>2983</v>
      </c>
      <c r="C2040" s="18" t="s">
        <v>3116</v>
      </c>
      <c r="D2040" s="19" t="s">
        <v>3121</v>
      </c>
      <c r="E2040" s="161" t="s">
        <v>7</v>
      </c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</row>
    <row r="2041">
      <c r="A2041" s="160" t="s">
        <v>3122</v>
      </c>
      <c r="B2041" s="22" t="s">
        <v>2983</v>
      </c>
      <c r="C2041" s="18" t="s">
        <v>3116</v>
      </c>
      <c r="D2041" s="19" t="s">
        <v>3119</v>
      </c>
      <c r="E2041" s="161" t="s">
        <v>7</v>
      </c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</row>
    <row r="2042">
      <c r="A2042" s="160" t="s">
        <v>3122</v>
      </c>
      <c r="B2042" s="22" t="s">
        <v>2983</v>
      </c>
      <c r="C2042" s="18" t="s">
        <v>3116</v>
      </c>
      <c r="D2042" s="19" t="s">
        <v>3151</v>
      </c>
      <c r="E2042" s="161" t="s">
        <v>7</v>
      </c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</row>
    <row r="2043">
      <c r="A2043" s="160" t="s">
        <v>3122</v>
      </c>
      <c r="B2043" s="22" t="s">
        <v>2983</v>
      </c>
      <c r="C2043" s="18" t="s">
        <v>3116</v>
      </c>
      <c r="D2043" s="19" t="s">
        <v>3152</v>
      </c>
      <c r="E2043" s="161" t="s">
        <v>7</v>
      </c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</row>
    <row r="2044">
      <c r="A2044" s="160" t="s">
        <v>3122</v>
      </c>
      <c r="B2044" s="22" t="s">
        <v>2983</v>
      </c>
      <c r="C2044" s="18" t="s">
        <v>3153</v>
      </c>
      <c r="D2044" s="19" t="s">
        <v>3154</v>
      </c>
      <c r="E2044" s="161" t="s">
        <v>7</v>
      </c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</row>
    <row r="2045">
      <c r="A2045" s="160" t="s">
        <v>3122</v>
      </c>
      <c r="B2045" s="22" t="s">
        <v>2983</v>
      </c>
      <c r="C2045" s="18" t="s">
        <v>3116</v>
      </c>
      <c r="D2045" s="19" t="s">
        <v>3155</v>
      </c>
      <c r="E2045" s="161" t="s">
        <v>7</v>
      </c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</row>
    <row r="2046">
      <c r="A2046" s="160" t="s">
        <v>3122</v>
      </c>
      <c r="B2046" s="22" t="s">
        <v>2983</v>
      </c>
      <c r="C2046" s="18" t="s">
        <v>3116</v>
      </c>
      <c r="D2046" s="19" t="s">
        <v>3156</v>
      </c>
      <c r="E2046" s="161" t="s">
        <v>7</v>
      </c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</row>
    <row r="2047">
      <c r="A2047" s="160" t="s">
        <v>3122</v>
      </c>
      <c r="B2047" s="22" t="s">
        <v>2983</v>
      </c>
      <c r="C2047" s="18" t="s">
        <v>3116</v>
      </c>
      <c r="D2047" s="19" t="s">
        <v>3157</v>
      </c>
      <c r="E2047" s="161" t="s">
        <v>7</v>
      </c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</row>
    <row r="2048">
      <c r="A2048" s="160" t="s">
        <v>3122</v>
      </c>
      <c r="B2048" s="22" t="s">
        <v>2983</v>
      </c>
      <c r="C2048" s="18" t="s">
        <v>3158</v>
      </c>
      <c r="D2048" s="19" t="s">
        <v>3159</v>
      </c>
      <c r="E2048" s="161" t="s">
        <v>7</v>
      </c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</row>
    <row r="2049">
      <c r="A2049" s="18"/>
      <c r="B2049" s="22"/>
      <c r="C2049" s="18"/>
      <c r="D2049" s="19"/>
      <c r="E2049" s="49"/>
      <c r="G2049" s="29"/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29"/>
      <c r="X2049" s="29"/>
      <c r="Y2049" s="29"/>
      <c r="Z2049" s="29"/>
      <c r="AA2049" s="29"/>
      <c r="AB2049" s="29"/>
      <c r="AC2049" s="29"/>
      <c r="AD2049" s="29"/>
    </row>
    <row r="2050">
      <c r="A2050" s="18"/>
      <c r="B2050" s="22"/>
      <c r="C2050" s="18"/>
      <c r="D2050" s="19"/>
      <c r="E2050" s="49"/>
      <c r="G2050" s="29"/>
      <c r="H2050" s="29"/>
      <c r="I2050" s="29"/>
      <c r="J2050" s="29"/>
      <c r="K2050" s="29"/>
      <c r="L2050" s="29"/>
      <c r="M2050" s="29"/>
      <c r="N2050" s="29"/>
      <c r="O2050" s="29"/>
      <c r="P2050" s="29"/>
      <c r="Q2050" s="29"/>
      <c r="R2050" s="29"/>
      <c r="S2050" s="29"/>
      <c r="T2050" s="29"/>
      <c r="U2050" s="29"/>
      <c r="V2050" s="29"/>
      <c r="W2050" s="29"/>
      <c r="X2050" s="29"/>
      <c r="Y2050" s="29"/>
      <c r="Z2050" s="29"/>
      <c r="AA2050" s="29"/>
      <c r="AB2050" s="29"/>
      <c r="AC2050" s="29"/>
      <c r="AD2050" s="29"/>
    </row>
    <row r="2051">
      <c r="A2051" s="115" t="s">
        <v>3160</v>
      </c>
      <c r="B2051" s="22" t="s">
        <v>3059</v>
      </c>
      <c r="C2051" s="18" t="s">
        <v>3161</v>
      </c>
      <c r="D2051" s="19" t="s">
        <v>3162</v>
      </c>
      <c r="E2051" s="132" t="s">
        <v>1506</v>
      </c>
      <c r="G2051" s="29"/>
      <c r="H2051" s="29"/>
      <c r="I2051" s="29"/>
      <c r="J2051" s="29"/>
      <c r="K2051" s="29"/>
      <c r="L2051" s="29"/>
      <c r="M2051" s="29"/>
      <c r="N2051" s="29"/>
      <c r="O2051" s="29"/>
      <c r="P2051" s="29"/>
      <c r="Q2051" s="29"/>
      <c r="R2051" s="29"/>
      <c r="S2051" s="29"/>
      <c r="T2051" s="29"/>
      <c r="U2051" s="29"/>
      <c r="V2051" s="29"/>
      <c r="W2051" s="29"/>
      <c r="X2051" s="29"/>
      <c r="Y2051" s="29"/>
      <c r="Z2051" s="29"/>
      <c r="AA2051" s="29"/>
      <c r="AB2051" s="29"/>
      <c r="AC2051" s="29"/>
      <c r="AD2051" s="29"/>
    </row>
    <row r="2052">
      <c r="A2052" s="115" t="s">
        <v>3160</v>
      </c>
      <c r="B2052" s="22" t="s">
        <v>3059</v>
      </c>
      <c r="C2052" s="18" t="s">
        <v>3019</v>
      </c>
      <c r="D2052" s="19" t="s">
        <v>2624</v>
      </c>
      <c r="E2052" s="132" t="s">
        <v>1506</v>
      </c>
      <c r="G2052" s="29"/>
      <c r="H2052" s="29"/>
      <c r="I2052" s="29"/>
      <c r="J2052" s="29"/>
      <c r="K2052" s="29"/>
      <c r="L2052" s="29"/>
      <c r="M2052" s="29"/>
      <c r="N2052" s="29"/>
      <c r="O2052" s="29"/>
      <c r="P2052" s="29"/>
      <c r="Q2052" s="29"/>
      <c r="R2052" s="29"/>
      <c r="S2052" s="29"/>
      <c r="T2052" s="29"/>
      <c r="U2052" s="29"/>
      <c r="V2052" s="29"/>
      <c r="W2052" s="29"/>
      <c r="X2052" s="29"/>
      <c r="Y2052" s="29"/>
      <c r="Z2052" s="29"/>
      <c r="AA2052" s="29"/>
      <c r="AB2052" s="29"/>
      <c r="AC2052" s="29"/>
      <c r="AD2052" s="29"/>
    </row>
    <row r="2053">
      <c r="A2053" s="115" t="s">
        <v>3160</v>
      </c>
      <c r="B2053" s="22" t="s">
        <v>3163</v>
      </c>
      <c r="C2053" s="18" t="s">
        <v>3116</v>
      </c>
      <c r="D2053" s="19" t="s">
        <v>3164</v>
      </c>
      <c r="E2053" s="132" t="s">
        <v>1506</v>
      </c>
      <c r="G2053" s="29"/>
      <c r="H2053" s="29"/>
      <c r="I2053" s="29"/>
      <c r="J2053" s="29"/>
      <c r="K2053" s="29"/>
      <c r="L2053" s="29"/>
      <c r="M2053" s="29"/>
      <c r="N2053" s="29"/>
      <c r="O2053" s="29"/>
      <c r="P2053" s="29"/>
      <c r="Q2053" s="29"/>
      <c r="R2053" s="29"/>
      <c r="S2053" s="29"/>
      <c r="T2053" s="29"/>
      <c r="U2053" s="29"/>
      <c r="V2053" s="29"/>
      <c r="W2053" s="29"/>
      <c r="X2053" s="29"/>
      <c r="Y2053" s="29"/>
      <c r="Z2053" s="29"/>
      <c r="AA2053" s="29"/>
      <c r="AB2053" s="29"/>
      <c r="AC2053" s="29"/>
      <c r="AD2053" s="29"/>
    </row>
    <row r="2054">
      <c r="A2054" s="115" t="s">
        <v>3160</v>
      </c>
      <c r="B2054" s="22" t="s">
        <v>2411</v>
      </c>
      <c r="C2054" s="18" t="s">
        <v>3165</v>
      </c>
      <c r="D2054" s="19" t="s">
        <v>3166</v>
      </c>
      <c r="E2054" s="132" t="s">
        <v>1506</v>
      </c>
      <c r="G2054" s="29"/>
      <c r="H2054" s="29"/>
      <c r="I2054" s="29"/>
      <c r="J2054" s="29"/>
      <c r="K2054" s="29"/>
      <c r="L2054" s="29"/>
      <c r="M2054" s="29"/>
      <c r="N2054" s="29"/>
      <c r="O2054" s="29"/>
      <c r="P2054" s="29"/>
      <c r="Q2054" s="29"/>
      <c r="R2054" s="29"/>
      <c r="S2054" s="29"/>
      <c r="T2054" s="29"/>
      <c r="U2054" s="29"/>
      <c r="V2054" s="29"/>
      <c r="W2054" s="29"/>
      <c r="X2054" s="29"/>
      <c r="Y2054" s="29"/>
      <c r="Z2054" s="29"/>
      <c r="AA2054" s="29"/>
      <c r="AB2054" s="29"/>
      <c r="AC2054" s="29"/>
      <c r="AD2054" s="29"/>
    </row>
    <row r="2055">
      <c r="A2055" s="115" t="s">
        <v>3160</v>
      </c>
      <c r="B2055" s="22" t="s">
        <v>2411</v>
      </c>
      <c r="C2055" s="18" t="s">
        <v>3167</v>
      </c>
      <c r="D2055" s="19" t="s">
        <v>3168</v>
      </c>
      <c r="E2055" s="132" t="s">
        <v>1506</v>
      </c>
      <c r="G2055" s="29"/>
      <c r="H2055" s="29"/>
      <c r="I2055" s="29"/>
      <c r="J2055" s="29"/>
      <c r="K2055" s="29"/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29"/>
      <c r="X2055" s="29"/>
      <c r="Y2055" s="29"/>
      <c r="Z2055" s="29"/>
      <c r="AA2055" s="29"/>
      <c r="AB2055" s="29"/>
      <c r="AC2055" s="29"/>
      <c r="AD2055" s="29"/>
    </row>
    <row r="2056">
      <c r="A2056" s="115" t="s">
        <v>3160</v>
      </c>
      <c r="B2056" s="19" t="s">
        <v>3169</v>
      </c>
      <c r="C2056" s="18" t="s">
        <v>3170</v>
      </c>
      <c r="D2056" s="19" t="s">
        <v>3171</v>
      </c>
      <c r="E2056" s="132" t="s">
        <v>14</v>
      </c>
      <c r="G2056" s="29"/>
      <c r="H2056" s="29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29"/>
      <c r="X2056" s="29"/>
      <c r="Y2056" s="29"/>
      <c r="Z2056" s="29"/>
      <c r="AA2056" s="29"/>
      <c r="AB2056" s="29"/>
      <c r="AC2056" s="29"/>
      <c r="AD2056" s="29"/>
    </row>
    <row r="2057">
      <c r="A2057" s="115" t="s">
        <v>3160</v>
      </c>
      <c r="B2057" s="22" t="s">
        <v>3172</v>
      </c>
      <c r="C2057" s="18" t="s">
        <v>3173</v>
      </c>
      <c r="D2057" s="19" t="s">
        <v>3174</v>
      </c>
      <c r="E2057" s="9" t="s">
        <v>196</v>
      </c>
      <c r="G2057" s="29"/>
      <c r="H2057" s="29"/>
      <c r="I2057" s="29"/>
      <c r="J2057" s="29"/>
      <c r="K2057" s="29"/>
      <c r="L2057" s="29"/>
      <c r="M2057" s="29"/>
      <c r="N2057" s="29"/>
      <c r="O2057" s="29"/>
      <c r="P2057" s="29"/>
      <c r="Q2057" s="29"/>
      <c r="R2057" s="29"/>
      <c r="S2057" s="29"/>
      <c r="T2057" s="29"/>
      <c r="U2057" s="29"/>
      <c r="V2057" s="29"/>
      <c r="W2057" s="29"/>
      <c r="X2057" s="29"/>
      <c r="Y2057" s="29"/>
      <c r="Z2057" s="29"/>
      <c r="AA2057" s="29"/>
      <c r="AB2057" s="29"/>
      <c r="AC2057" s="29"/>
      <c r="AD2057" s="29"/>
    </row>
    <row r="2058">
      <c r="A2058" s="115" t="s">
        <v>3160</v>
      </c>
      <c r="B2058" s="19" t="s">
        <v>3175</v>
      </c>
      <c r="C2058" s="18" t="s">
        <v>3176</v>
      </c>
      <c r="D2058" s="19" t="s">
        <v>3177</v>
      </c>
      <c r="E2058" s="132" t="s">
        <v>14</v>
      </c>
      <c r="G2058" s="29"/>
      <c r="H2058" s="29"/>
      <c r="I2058" s="29"/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29"/>
      <c r="X2058" s="29"/>
      <c r="Y2058" s="29"/>
      <c r="Z2058" s="29"/>
      <c r="AA2058" s="29"/>
      <c r="AB2058" s="29"/>
      <c r="AC2058" s="29"/>
      <c r="AD2058" s="29"/>
    </row>
    <row r="2059">
      <c r="A2059" s="6"/>
      <c r="B2059" s="6"/>
      <c r="C2059" s="9"/>
      <c r="D2059" s="9"/>
      <c r="E2059" s="9"/>
      <c r="G2059" s="29"/>
      <c r="H2059" s="29"/>
      <c r="I2059" s="29"/>
      <c r="J2059" s="29"/>
      <c r="K2059" s="29"/>
      <c r="L2059" s="29"/>
      <c r="M2059" s="29"/>
      <c r="N2059" s="29"/>
      <c r="O2059" s="29"/>
      <c r="P2059" s="29"/>
      <c r="Q2059" s="29"/>
      <c r="R2059" s="29"/>
      <c r="S2059" s="29"/>
      <c r="T2059" s="29"/>
      <c r="U2059" s="29"/>
      <c r="V2059" s="29"/>
      <c r="W2059" s="29"/>
      <c r="X2059" s="29"/>
      <c r="Y2059" s="29"/>
      <c r="Z2059" s="29"/>
      <c r="AA2059" s="29"/>
      <c r="AB2059" s="29"/>
      <c r="AC2059" s="29"/>
      <c r="AD2059" s="29"/>
    </row>
    <row r="2060">
      <c r="A2060" s="6"/>
      <c r="B2060" s="6"/>
      <c r="C2060" s="9"/>
      <c r="D2060" s="9"/>
      <c r="E2060" s="9"/>
      <c r="G2060" s="29"/>
      <c r="H2060" s="29"/>
      <c r="I2060" s="29"/>
      <c r="J2060" s="29"/>
      <c r="K2060" s="29"/>
      <c r="L2060" s="29"/>
      <c r="M2060" s="29"/>
      <c r="N2060" s="29"/>
      <c r="O2060" s="29"/>
      <c r="P2060" s="29"/>
      <c r="Q2060" s="29"/>
      <c r="R2060" s="29"/>
      <c r="S2060" s="29"/>
      <c r="T2060" s="29"/>
      <c r="U2060" s="29"/>
      <c r="V2060" s="29"/>
      <c r="W2060" s="29"/>
      <c r="X2060" s="29"/>
      <c r="Y2060" s="29"/>
      <c r="Z2060" s="29"/>
      <c r="AA2060" s="29"/>
      <c r="AB2060" s="29"/>
      <c r="AC2060" s="29"/>
      <c r="AD2060" s="29"/>
    </row>
    <row r="2061">
      <c r="A2061" s="115" t="s">
        <v>3178</v>
      </c>
      <c r="B2061" s="22" t="s">
        <v>3179</v>
      </c>
      <c r="C2061" s="18" t="s">
        <v>3180</v>
      </c>
      <c r="D2061" s="19" t="s">
        <v>3181</v>
      </c>
      <c r="E2061" s="132" t="s">
        <v>764</v>
      </c>
      <c r="G2061" s="29"/>
      <c r="H2061" s="29"/>
      <c r="I2061" s="29"/>
      <c r="J2061" s="29"/>
      <c r="K2061" s="29"/>
      <c r="L2061" s="29"/>
      <c r="M2061" s="29"/>
      <c r="N2061" s="29"/>
      <c r="O2061" s="29"/>
      <c r="P2061" s="29"/>
      <c r="Q2061" s="29"/>
      <c r="R2061" s="29"/>
      <c r="S2061" s="29"/>
      <c r="T2061" s="29"/>
      <c r="U2061" s="29"/>
      <c r="V2061" s="29"/>
      <c r="W2061" s="29"/>
      <c r="X2061" s="29"/>
      <c r="Y2061" s="29"/>
      <c r="Z2061" s="29"/>
      <c r="AA2061" s="29"/>
      <c r="AB2061" s="29"/>
      <c r="AC2061" s="29"/>
      <c r="AD2061" s="29"/>
    </row>
    <row r="2062">
      <c r="A2062" s="115" t="s">
        <v>3178</v>
      </c>
      <c r="B2062" s="22" t="s">
        <v>2440</v>
      </c>
      <c r="C2062" s="18" t="s">
        <v>3182</v>
      </c>
      <c r="D2062" s="19" t="s">
        <v>3183</v>
      </c>
      <c r="E2062" s="161" t="s">
        <v>7</v>
      </c>
      <c r="G2062" s="29"/>
      <c r="H2062" s="29"/>
      <c r="I2062" s="29"/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29"/>
      <c r="X2062" s="29"/>
      <c r="Y2062" s="29"/>
      <c r="Z2062" s="29"/>
      <c r="AA2062" s="29"/>
      <c r="AB2062" s="29"/>
      <c r="AC2062" s="29"/>
      <c r="AD2062" s="29"/>
    </row>
    <row r="2063">
      <c r="A2063" s="115" t="s">
        <v>3178</v>
      </c>
      <c r="B2063" s="22" t="s">
        <v>2440</v>
      </c>
      <c r="C2063" s="18" t="s">
        <v>3184</v>
      </c>
      <c r="D2063" s="19" t="s">
        <v>3183</v>
      </c>
      <c r="E2063" s="161" t="s">
        <v>7</v>
      </c>
      <c r="G2063" s="29"/>
      <c r="H2063" s="29"/>
      <c r="I2063" s="29"/>
      <c r="J2063" s="29"/>
      <c r="K2063" s="29"/>
      <c r="L2063" s="29"/>
      <c r="M2063" s="29"/>
      <c r="N2063" s="29"/>
      <c r="O2063" s="29"/>
      <c r="P2063" s="29"/>
      <c r="Q2063" s="29"/>
      <c r="R2063" s="29"/>
      <c r="S2063" s="29"/>
      <c r="T2063" s="29"/>
      <c r="U2063" s="29"/>
      <c r="V2063" s="29"/>
      <c r="W2063" s="29"/>
      <c r="X2063" s="29"/>
      <c r="Y2063" s="29"/>
      <c r="Z2063" s="29"/>
      <c r="AA2063" s="29"/>
      <c r="AB2063" s="29"/>
      <c r="AC2063" s="29"/>
      <c r="AD2063" s="29"/>
    </row>
    <row r="2064">
      <c r="A2064" s="115" t="s">
        <v>3178</v>
      </c>
      <c r="B2064" s="22" t="s">
        <v>2440</v>
      </c>
      <c r="C2064" s="18" t="s">
        <v>3185</v>
      </c>
      <c r="D2064" s="19" t="s">
        <v>3183</v>
      </c>
      <c r="E2064" s="161" t="s">
        <v>7</v>
      </c>
      <c r="G2064" s="29"/>
      <c r="H2064" s="29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29"/>
      <c r="X2064" s="29"/>
      <c r="Y2064" s="29"/>
      <c r="Z2064" s="29"/>
      <c r="AA2064" s="29"/>
      <c r="AB2064" s="29"/>
      <c r="AC2064" s="29"/>
      <c r="AD2064" s="29"/>
    </row>
    <row r="2065">
      <c r="A2065" s="115" t="s">
        <v>3178</v>
      </c>
      <c r="B2065" s="22" t="s">
        <v>2440</v>
      </c>
      <c r="C2065" s="18" t="s">
        <v>3186</v>
      </c>
      <c r="D2065" s="19" t="s">
        <v>3183</v>
      </c>
      <c r="E2065" s="161" t="s">
        <v>7</v>
      </c>
      <c r="G2065" s="29"/>
      <c r="H2065" s="29"/>
      <c r="I2065" s="29"/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29"/>
      <c r="V2065" s="29"/>
      <c r="W2065" s="29"/>
      <c r="X2065" s="29"/>
      <c r="Y2065" s="29"/>
      <c r="Z2065" s="29"/>
      <c r="AA2065" s="29"/>
      <c r="AB2065" s="29"/>
      <c r="AC2065" s="29"/>
      <c r="AD2065" s="29"/>
    </row>
    <row r="2066">
      <c r="A2066" s="115" t="s">
        <v>3178</v>
      </c>
      <c r="B2066" s="22" t="s">
        <v>2440</v>
      </c>
      <c r="C2066" s="18" t="s">
        <v>3187</v>
      </c>
      <c r="D2066" s="19" t="s">
        <v>3188</v>
      </c>
      <c r="E2066" s="161" t="s">
        <v>7</v>
      </c>
      <c r="G2066" s="29"/>
      <c r="H2066" s="29"/>
      <c r="I2066" s="29"/>
      <c r="J2066" s="29"/>
      <c r="K2066" s="29"/>
      <c r="L2066" s="29"/>
      <c r="M2066" s="29"/>
      <c r="N2066" s="29"/>
      <c r="O2066" s="29"/>
      <c r="P2066" s="29"/>
      <c r="Q2066" s="29"/>
      <c r="R2066" s="29"/>
      <c r="S2066" s="29"/>
      <c r="T2066" s="29"/>
      <c r="U2066" s="29"/>
      <c r="V2066" s="29"/>
      <c r="W2066" s="29"/>
      <c r="X2066" s="29"/>
      <c r="Y2066" s="29"/>
      <c r="Z2066" s="29"/>
      <c r="AA2066" s="29"/>
      <c r="AB2066" s="29"/>
      <c r="AC2066" s="29"/>
      <c r="AD2066" s="29"/>
    </row>
    <row r="2067">
      <c r="A2067" s="115" t="s">
        <v>3178</v>
      </c>
      <c r="B2067" s="22" t="s">
        <v>2440</v>
      </c>
      <c r="C2067" s="18" t="s">
        <v>3189</v>
      </c>
      <c r="D2067" s="19" t="s">
        <v>3188</v>
      </c>
      <c r="E2067" s="161" t="s">
        <v>7</v>
      </c>
      <c r="G2067" s="29"/>
      <c r="H2067" s="29"/>
      <c r="I2067" s="29"/>
      <c r="J2067" s="29"/>
      <c r="K2067" s="29"/>
      <c r="L2067" s="29"/>
      <c r="M2067" s="29"/>
      <c r="N2067" s="29"/>
      <c r="O2067" s="29"/>
      <c r="P2067" s="29"/>
      <c r="Q2067" s="29"/>
      <c r="R2067" s="29"/>
      <c r="S2067" s="29"/>
      <c r="T2067" s="29"/>
      <c r="U2067" s="29"/>
      <c r="V2067" s="29"/>
      <c r="W2067" s="29"/>
      <c r="X2067" s="29"/>
      <c r="Y2067" s="29"/>
      <c r="Z2067" s="29"/>
      <c r="AA2067" s="29"/>
      <c r="AB2067" s="29"/>
      <c r="AC2067" s="29"/>
      <c r="AD2067" s="29"/>
    </row>
    <row r="2068">
      <c r="A2068" s="115" t="s">
        <v>3178</v>
      </c>
      <c r="B2068" s="22" t="s">
        <v>2440</v>
      </c>
      <c r="C2068" s="18" t="s">
        <v>2441</v>
      </c>
      <c r="D2068" s="19" t="s">
        <v>3188</v>
      </c>
      <c r="E2068" s="161" t="s">
        <v>7</v>
      </c>
      <c r="G2068" s="29"/>
      <c r="H2068" s="29"/>
      <c r="I2068" s="29"/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29"/>
      <c r="V2068" s="29"/>
      <c r="W2068" s="29"/>
      <c r="X2068" s="29"/>
      <c r="Y2068" s="29"/>
      <c r="Z2068" s="29"/>
      <c r="AA2068" s="29"/>
      <c r="AB2068" s="29"/>
      <c r="AC2068" s="29"/>
      <c r="AD2068" s="29"/>
    </row>
    <row r="2069">
      <c r="A2069" s="115" t="s">
        <v>3178</v>
      </c>
      <c r="B2069" s="22" t="s">
        <v>2440</v>
      </c>
      <c r="C2069" s="18" t="s">
        <v>2528</v>
      </c>
      <c r="D2069" s="19" t="s">
        <v>3188</v>
      </c>
      <c r="E2069" s="161" t="s">
        <v>7</v>
      </c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  <c r="AA2069" s="29"/>
      <c r="AB2069" s="29"/>
      <c r="AC2069" s="29"/>
      <c r="AD2069" s="29"/>
    </row>
    <row r="2070">
      <c r="A2070" s="115" t="s">
        <v>3178</v>
      </c>
      <c r="B2070" s="22" t="s">
        <v>2440</v>
      </c>
      <c r="C2070" s="18" t="s">
        <v>3190</v>
      </c>
      <c r="D2070" s="19" t="s">
        <v>3188</v>
      </c>
      <c r="E2070" s="161" t="s">
        <v>7</v>
      </c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  <c r="AA2070" s="29"/>
      <c r="AB2070" s="29"/>
      <c r="AC2070" s="29"/>
      <c r="AD2070" s="29"/>
    </row>
    <row r="2071">
      <c r="A2071" s="115" t="s">
        <v>3178</v>
      </c>
      <c r="B2071" s="22" t="s">
        <v>2440</v>
      </c>
      <c r="C2071" s="18" t="s">
        <v>3191</v>
      </c>
      <c r="D2071" s="19" t="s">
        <v>3192</v>
      </c>
      <c r="E2071" s="161" t="s">
        <v>7</v>
      </c>
      <c r="G2071" s="29"/>
      <c r="H2071" s="29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29"/>
      <c r="X2071" s="29"/>
      <c r="Y2071" s="29"/>
      <c r="Z2071" s="29"/>
      <c r="AA2071" s="29"/>
      <c r="AB2071" s="29"/>
      <c r="AC2071" s="29"/>
      <c r="AD2071" s="29"/>
    </row>
    <row r="2072">
      <c r="A2072" s="115" t="s">
        <v>3178</v>
      </c>
      <c r="B2072" s="22" t="s">
        <v>2440</v>
      </c>
      <c r="C2072" s="18" t="s">
        <v>3193</v>
      </c>
      <c r="D2072" s="19" t="s">
        <v>3192</v>
      </c>
      <c r="E2072" s="161" t="s">
        <v>7</v>
      </c>
      <c r="G2072" s="29"/>
      <c r="H2072" s="29"/>
      <c r="I2072" s="29"/>
      <c r="J2072" s="29"/>
      <c r="K2072" s="29"/>
      <c r="L2072" s="29"/>
      <c r="M2072" s="29"/>
      <c r="N2072" s="29"/>
      <c r="O2072" s="29"/>
      <c r="P2072" s="29"/>
      <c r="Q2072" s="29"/>
      <c r="R2072" s="29"/>
      <c r="S2072" s="29"/>
      <c r="T2072" s="29"/>
      <c r="U2072" s="29"/>
      <c r="V2072" s="29"/>
      <c r="W2072" s="29"/>
      <c r="X2072" s="29"/>
      <c r="Y2072" s="29"/>
      <c r="Z2072" s="29"/>
      <c r="AA2072" s="29"/>
      <c r="AB2072" s="29"/>
      <c r="AC2072" s="29"/>
      <c r="AD2072" s="29"/>
    </row>
    <row r="2073">
      <c r="A2073" s="18"/>
      <c r="B2073" s="22"/>
      <c r="C2073" s="18"/>
      <c r="D2073" s="19"/>
      <c r="E2073" s="4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  <c r="AA2073" s="29"/>
      <c r="AB2073" s="29"/>
      <c r="AC2073" s="29"/>
      <c r="AD2073" s="29"/>
    </row>
    <row r="2074">
      <c r="A2074" s="18"/>
      <c r="B2074" s="22"/>
      <c r="C2074" s="18"/>
      <c r="D2074" s="19"/>
      <c r="E2074" s="49"/>
      <c r="G2074" s="29"/>
      <c r="H2074" s="29"/>
      <c r="I2074" s="29"/>
      <c r="J2074" s="29"/>
      <c r="K2074" s="29"/>
      <c r="L2074" s="29"/>
      <c r="M2074" s="29"/>
      <c r="N2074" s="29"/>
      <c r="O2074" s="29"/>
      <c r="P2074" s="29"/>
      <c r="Q2074" s="29"/>
      <c r="R2074" s="29"/>
      <c r="S2074" s="29"/>
      <c r="T2074" s="29"/>
      <c r="U2074" s="29"/>
      <c r="V2074" s="29"/>
      <c r="W2074" s="29"/>
      <c r="X2074" s="29"/>
      <c r="Y2074" s="29"/>
      <c r="Z2074" s="29"/>
      <c r="AA2074" s="29"/>
      <c r="AB2074" s="29"/>
      <c r="AC2074" s="29"/>
      <c r="AD2074" s="29"/>
    </row>
    <row r="2075">
      <c r="A2075" s="115" t="s">
        <v>3194</v>
      </c>
      <c r="B2075" s="22" t="s">
        <v>3195</v>
      </c>
      <c r="C2075" s="18" t="s">
        <v>3196</v>
      </c>
      <c r="D2075" s="19" t="s">
        <v>656</v>
      </c>
      <c r="E2075" s="132" t="s">
        <v>14</v>
      </c>
      <c r="G2075" s="29"/>
      <c r="H2075" s="29"/>
      <c r="I2075" s="29"/>
      <c r="J2075" s="29"/>
      <c r="K2075" s="29"/>
      <c r="L2075" s="29"/>
      <c r="M2075" s="29"/>
      <c r="N2075" s="29"/>
      <c r="O2075" s="29"/>
      <c r="P2075" s="29"/>
      <c r="Q2075" s="29"/>
      <c r="R2075" s="29"/>
      <c r="S2075" s="29"/>
      <c r="T2075" s="29"/>
      <c r="U2075" s="29"/>
      <c r="V2075" s="29"/>
      <c r="W2075" s="29"/>
      <c r="X2075" s="29"/>
      <c r="Y2075" s="29"/>
      <c r="Z2075" s="29"/>
      <c r="AA2075" s="29"/>
      <c r="AB2075" s="29"/>
      <c r="AC2075" s="29"/>
      <c r="AD2075" s="29"/>
    </row>
    <row r="2076">
      <c r="A2076" s="115" t="s">
        <v>3194</v>
      </c>
      <c r="B2076" s="22" t="s">
        <v>3172</v>
      </c>
      <c r="C2076" s="18" t="s">
        <v>3173</v>
      </c>
      <c r="D2076" s="19" t="s">
        <v>3174</v>
      </c>
      <c r="E2076" s="9" t="s">
        <v>196</v>
      </c>
      <c r="G2076" s="29"/>
      <c r="H2076" s="29"/>
      <c r="I2076" s="29"/>
      <c r="J2076" s="29"/>
      <c r="K2076" s="29"/>
      <c r="L2076" s="29"/>
      <c r="M2076" s="29"/>
      <c r="N2076" s="29"/>
      <c r="O2076" s="29"/>
      <c r="P2076" s="29"/>
      <c r="Q2076" s="29"/>
      <c r="R2076" s="29"/>
      <c r="S2076" s="29"/>
      <c r="T2076" s="29"/>
      <c r="U2076" s="29"/>
      <c r="V2076" s="29"/>
      <c r="W2076" s="29"/>
      <c r="X2076" s="29"/>
      <c r="Y2076" s="29"/>
      <c r="Z2076" s="29"/>
      <c r="AA2076" s="29"/>
      <c r="AB2076" s="29"/>
      <c r="AC2076" s="29"/>
      <c r="AD2076" s="29"/>
    </row>
    <row r="2077">
      <c r="A2077" s="115" t="s">
        <v>3194</v>
      </c>
      <c r="B2077" s="22" t="s">
        <v>3197</v>
      </c>
      <c r="C2077" s="18" t="s">
        <v>3198</v>
      </c>
      <c r="D2077" s="19" t="s">
        <v>3199</v>
      </c>
      <c r="E2077" s="161" t="s">
        <v>7</v>
      </c>
      <c r="G2077" s="29"/>
      <c r="H2077" s="29"/>
      <c r="I2077" s="29"/>
      <c r="J2077" s="29"/>
      <c r="K2077" s="29"/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29"/>
      <c r="X2077" s="29"/>
      <c r="Y2077" s="29"/>
      <c r="Z2077" s="29"/>
      <c r="AA2077" s="29"/>
      <c r="AB2077" s="29"/>
      <c r="AC2077" s="29"/>
      <c r="AD2077" s="29"/>
    </row>
    <row r="2078">
      <c r="A2078" s="115" t="s">
        <v>3194</v>
      </c>
      <c r="B2078" s="22" t="s">
        <v>3197</v>
      </c>
      <c r="C2078" s="18" t="s">
        <v>3198</v>
      </c>
      <c r="D2078" s="19" t="s">
        <v>3200</v>
      </c>
      <c r="E2078" s="161" t="s">
        <v>7</v>
      </c>
      <c r="G2078" s="29"/>
      <c r="H2078" s="29"/>
      <c r="I2078" s="29"/>
      <c r="J2078" s="29"/>
      <c r="K2078" s="29"/>
      <c r="L2078" s="29"/>
      <c r="M2078" s="29"/>
      <c r="N2078" s="29"/>
      <c r="O2078" s="29"/>
      <c r="P2078" s="29"/>
      <c r="Q2078" s="29"/>
      <c r="R2078" s="29"/>
      <c r="S2078" s="29"/>
      <c r="T2078" s="29"/>
      <c r="U2078" s="29"/>
      <c r="V2078" s="29"/>
      <c r="W2078" s="29"/>
      <c r="X2078" s="29"/>
      <c r="Y2078" s="29"/>
      <c r="Z2078" s="29"/>
      <c r="AA2078" s="29"/>
      <c r="AB2078" s="29"/>
      <c r="AC2078" s="29"/>
      <c r="AD2078" s="29"/>
    </row>
    <row r="2079">
      <c r="A2079" s="115" t="s">
        <v>3194</v>
      </c>
      <c r="B2079" s="22" t="s">
        <v>3197</v>
      </c>
      <c r="C2079" s="18" t="s">
        <v>3198</v>
      </c>
      <c r="D2079" s="19" t="s">
        <v>3201</v>
      </c>
      <c r="E2079" s="161" t="s">
        <v>7</v>
      </c>
      <c r="G2079" s="29"/>
      <c r="H2079" s="29"/>
      <c r="I2079" s="29"/>
      <c r="J2079" s="29"/>
      <c r="K2079" s="29"/>
      <c r="L2079" s="29"/>
      <c r="M2079" s="29"/>
      <c r="N2079" s="29"/>
      <c r="O2079" s="29"/>
      <c r="P2079" s="29"/>
      <c r="Q2079" s="29"/>
      <c r="R2079" s="29"/>
      <c r="S2079" s="29"/>
      <c r="T2079" s="29"/>
      <c r="U2079" s="29"/>
      <c r="V2079" s="29"/>
      <c r="W2079" s="29"/>
      <c r="X2079" s="29"/>
      <c r="Y2079" s="29"/>
      <c r="Z2079" s="29"/>
      <c r="AA2079" s="29"/>
      <c r="AB2079" s="29"/>
      <c r="AC2079" s="29"/>
      <c r="AD2079" s="29"/>
    </row>
    <row r="2080">
      <c r="A2080" s="115" t="s">
        <v>3194</v>
      </c>
      <c r="B2080" s="22" t="s">
        <v>3197</v>
      </c>
      <c r="C2080" s="18" t="s">
        <v>3198</v>
      </c>
      <c r="D2080" s="19" t="s">
        <v>3202</v>
      </c>
      <c r="E2080" s="161" t="s">
        <v>7</v>
      </c>
      <c r="G2080" s="29"/>
      <c r="H2080" s="29"/>
      <c r="I2080" s="29"/>
      <c r="J2080" s="29"/>
      <c r="K2080" s="29"/>
      <c r="L2080" s="29"/>
      <c r="M2080" s="29"/>
      <c r="N2080" s="29"/>
      <c r="O2080" s="29"/>
      <c r="P2080" s="29"/>
      <c r="Q2080" s="29"/>
      <c r="R2080" s="29"/>
      <c r="S2080" s="29"/>
      <c r="T2080" s="29"/>
      <c r="U2080" s="29"/>
      <c r="V2080" s="29"/>
      <c r="W2080" s="29"/>
      <c r="X2080" s="29"/>
      <c r="Y2080" s="29"/>
      <c r="Z2080" s="29"/>
      <c r="AA2080" s="29"/>
      <c r="AB2080" s="29"/>
      <c r="AC2080" s="29"/>
      <c r="AD2080" s="29"/>
    </row>
    <row r="2081">
      <c r="A2081" s="115" t="s">
        <v>3194</v>
      </c>
      <c r="B2081" s="22" t="s">
        <v>3197</v>
      </c>
      <c r="C2081" s="18" t="s">
        <v>3198</v>
      </c>
      <c r="D2081" s="19" t="s">
        <v>3203</v>
      </c>
      <c r="E2081" s="161" t="s">
        <v>7</v>
      </c>
      <c r="G2081" s="29"/>
      <c r="H2081" s="29"/>
      <c r="I2081" s="29"/>
      <c r="J2081" s="29"/>
      <c r="K2081" s="29"/>
      <c r="L2081" s="29"/>
      <c r="M2081" s="29"/>
      <c r="N2081" s="29"/>
      <c r="O2081" s="29"/>
      <c r="P2081" s="29"/>
      <c r="Q2081" s="29"/>
      <c r="R2081" s="29"/>
      <c r="S2081" s="29"/>
      <c r="T2081" s="29"/>
      <c r="U2081" s="29"/>
      <c r="V2081" s="29"/>
      <c r="W2081" s="29"/>
      <c r="X2081" s="29"/>
      <c r="Y2081" s="29"/>
      <c r="Z2081" s="29"/>
      <c r="AA2081" s="29"/>
      <c r="AB2081" s="29"/>
      <c r="AC2081" s="29"/>
      <c r="AD2081" s="29"/>
    </row>
    <row r="2082">
      <c r="A2082" s="115" t="s">
        <v>3194</v>
      </c>
      <c r="B2082" s="22" t="s">
        <v>3197</v>
      </c>
      <c r="C2082" s="18" t="s">
        <v>3204</v>
      </c>
      <c r="D2082" s="19" t="s">
        <v>3205</v>
      </c>
      <c r="E2082" s="161" t="s">
        <v>7</v>
      </c>
      <c r="G2082" s="29"/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  <c r="S2082" s="29"/>
      <c r="T2082" s="29"/>
      <c r="U2082" s="29"/>
      <c r="V2082" s="29"/>
      <c r="W2082" s="29"/>
      <c r="X2082" s="29"/>
      <c r="Y2082" s="29"/>
      <c r="Z2082" s="29"/>
      <c r="AA2082" s="29"/>
      <c r="AB2082" s="29"/>
      <c r="AC2082" s="29"/>
      <c r="AD2082" s="29"/>
    </row>
    <row r="2083">
      <c r="A2083" s="115" t="s">
        <v>3194</v>
      </c>
      <c r="B2083" s="22" t="s">
        <v>3197</v>
      </c>
      <c r="C2083" s="18" t="s">
        <v>952</v>
      </c>
      <c r="D2083" s="19" t="s">
        <v>3206</v>
      </c>
      <c r="E2083" s="161" t="s">
        <v>7</v>
      </c>
      <c r="G2083" s="29"/>
      <c r="H2083" s="29"/>
      <c r="I2083" s="29"/>
      <c r="J2083" s="29"/>
      <c r="K2083" s="29"/>
      <c r="L2083" s="29"/>
      <c r="M2083" s="29"/>
      <c r="N2083" s="29"/>
      <c r="O2083" s="29"/>
      <c r="P2083" s="29"/>
      <c r="Q2083" s="29"/>
      <c r="R2083" s="29"/>
      <c r="S2083" s="29"/>
      <c r="T2083" s="29"/>
      <c r="U2083" s="29"/>
      <c r="V2083" s="29"/>
      <c r="W2083" s="29"/>
      <c r="X2083" s="29"/>
      <c r="Y2083" s="29"/>
      <c r="Z2083" s="29"/>
      <c r="AA2083" s="29"/>
      <c r="AB2083" s="29"/>
      <c r="AC2083" s="29"/>
      <c r="AD2083" s="29"/>
    </row>
    <row r="2084">
      <c r="A2084" s="115" t="s">
        <v>3194</v>
      </c>
      <c r="B2084" s="22" t="s">
        <v>3197</v>
      </c>
      <c r="C2084" s="18" t="s">
        <v>952</v>
      </c>
      <c r="D2084" s="19" t="s">
        <v>3207</v>
      </c>
      <c r="E2084" s="161" t="s">
        <v>7</v>
      </c>
      <c r="G2084" s="29"/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  <c r="S2084" s="29"/>
      <c r="T2084" s="29"/>
      <c r="U2084" s="29"/>
      <c r="V2084" s="29"/>
      <c r="W2084" s="29"/>
      <c r="X2084" s="29"/>
      <c r="Y2084" s="29"/>
      <c r="Z2084" s="29"/>
      <c r="AA2084" s="29"/>
      <c r="AB2084" s="29"/>
      <c r="AC2084" s="29"/>
      <c r="AD2084" s="29"/>
    </row>
    <row r="2085">
      <c r="A2085" s="115" t="s">
        <v>3194</v>
      </c>
      <c r="B2085" s="22" t="s">
        <v>2479</v>
      </c>
      <c r="C2085" s="18" t="s">
        <v>3208</v>
      </c>
      <c r="D2085" s="19" t="s">
        <v>3209</v>
      </c>
      <c r="E2085" s="161" t="s">
        <v>7</v>
      </c>
      <c r="G2085" s="29"/>
      <c r="H2085" s="29"/>
      <c r="I2085" s="29"/>
      <c r="J2085" s="29"/>
      <c r="K2085" s="29"/>
      <c r="L2085" s="29"/>
      <c r="M2085" s="29"/>
      <c r="N2085" s="29"/>
      <c r="O2085" s="29"/>
      <c r="P2085" s="29"/>
      <c r="Q2085" s="29"/>
      <c r="R2085" s="29"/>
      <c r="S2085" s="29"/>
      <c r="T2085" s="29"/>
      <c r="U2085" s="29"/>
      <c r="V2085" s="29"/>
      <c r="W2085" s="29"/>
      <c r="X2085" s="29"/>
      <c r="Y2085" s="29"/>
      <c r="Z2085" s="29"/>
      <c r="AA2085" s="29"/>
      <c r="AB2085" s="29"/>
      <c r="AC2085" s="29"/>
      <c r="AD2085" s="29"/>
    </row>
    <row r="2086">
      <c r="A2086" s="115" t="s">
        <v>3194</v>
      </c>
      <c r="B2086" s="22" t="s">
        <v>2479</v>
      </c>
      <c r="C2086" s="18" t="s">
        <v>3165</v>
      </c>
      <c r="D2086" s="19" t="s">
        <v>3210</v>
      </c>
      <c r="E2086" s="9" t="s">
        <v>196</v>
      </c>
      <c r="G2086" s="29"/>
      <c r="H2086" s="29"/>
      <c r="I2086" s="29"/>
      <c r="J2086" s="29"/>
      <c r="K2086" s="29"/>
      <c r="L2086" s="29"/>
      <c r="M2086" s="29"/>
      <c r="N2086" s="29"/>
      <c r="O2086" s="29"/>
      <c r="P2086" s="29"/>
      <c r="Q2086" s="29"/>
      <c r="R2086" s="29"/>
      <c r="S2086" s="29"/>
      <c r="T2086" s="29"/>
      <c r="U2086" s="29"/>
      <c r="V2086" s="29"/>
      <c r="W2086" s="29"/>
      <c r="X2086" s="29"/>
      <c r="Y2086" s="29"/>
      <c r="Z2086" s="29"/>
      <c r="AA2086" s="29"/>
      <c r="AB2086" s="29"/>
      <c r="AC2086" s="29"/>
      <c r="AD2086" s="29"/>
    </row>
    <row r="2087">
      <c r="A2087" s="115" t="s">
        <v>3194</v>
      </c>
      <c r="B2087" s="22" t="s">
        <v>2479</v>
      </c>
      <c r="C2087" s="18" t="s">
        <v>3211</v>
      </c>
      <c r="D2087" s="19" t="s">
        <v>3210</v>
      </c>
      <c r="E2087" s="9" t="s">
        <v>196</v>
      </c>
      <c r="G2087" s="29"/>
      <c r="H2087" s="29"/>
      <c r="I2087" s="29"/>
      <c r="J2087" s="29"/>
      <c r="K2087" s="29"/>
      <c r="L2087" s="29"/>
      <c r="M2087" s="29"/>
      <c r="N2087" s="29"/>
      <c r="O2087" s="29"/>
      <c r="P2087" s="29"/>
      <c r="Q2087" s="29"/>
      <c r="R2087" s="29"/>
      <c r="S2087" s="29"/>
      <c r="T2087" s="29"/>
      <c r="U2087" s="29"/>
      <c r="V2087" s="29"/>
      <c r="W2087" s="29"/>
      <c r="X2087" s="29"/>
      <c r="Y2087" s="29"/>
      <c r="Z2087" s="29"/>
      <c r="AA2087" s="29"/>
      <c r="AB2087" s="29"/>
      <c r="AC2087" s="29"/>
      <c r="AD2087" s="29"/>
    </row>
    <row r="2088">
      <c r="A2088" s="115" t="s">
        <v>3194</v>
      </c>
      <c r="B2088" s="22" t="s">
        <v>2479</v>
      </c>
      <c r="C2088" s="18" t="s">
        <v>3165</v>
      </c>
      <c r="D2088" s="19" t="s">
        <v>3210</v>
      </c>
      <c r="E2088" s="9" t="s">
        <v>196</v>
      </c>
      <c r="G2088" s="29"/>
      <c r="H2088" s="29"/>
      <c r="I2088" s="29"/>
      <c r="J2088" s="29"/>
      <c r="K2088" s="29"/>
      <c r="L2088" s="29"/>
      <c r="M2088" s="29"/>
      <c r="N2088" s="29"/>
      <c r="O2088" s="29"/>
      <c r="P2088" s="29"/>
      <c r="Q2088" s="29"/>
      <c r="R2088" s="29"/>
      <c r="S2088" s="29"/>
      <c r="T2088" s="29"/>
      <c r="U2088" s="29"/>
      <c r="V2088" s="29"/>
      <c r="W2088" s="29"/>
      <c r="X2088" s="29"/>
      <c r="Y2088" s="29"/>
      <c r="Z2088" s="29"/>
      <c r="AA2088" s="29"/>
      <c r="AB2088" s="29"/>
      <c r="AC2088" s="29"/>
      <c r="AD2088" s="29"/>
    </row>
    <row r="2089">
      <c r="A2089" s="115" t="s">
        <v>3194</v>
      </c>
      <c r="B2089" s="22" t="s">
        <v>2479</v>
      </c>
      <c r="C2089" s="18" t="s">
        <v>3211</v>
      </c>
      <c r="D2089" s="19" t="s">
        <v>3209</v>
      </c>
      <c r="E2089" s="161" t="s">
        <v>7</v>
      </c>
      <c r="G2089" s="29"/>
      <c r="H2089" s="29"/>
      <c r="I2089" s="29"/>
      <c r="J2089" s="29"/>
      <c r="K2089" s="29"/>
      <c r="L2089" s="29"/>
      <c r="M2089" s="29"/>
      <c r="N2089" s="29"/>
      <c r="O2089" s="29"/>
      <c r="P2089" s="29"/>
      <c r="Q2089" s="29"/>
      <c r="R2089" s="29"/>
      <c r="S2089" s="29"/>
      <c r="T2089" s="29"/>
      <c r="U2089" s="29"/>
      <c r="V2089" s="29"/>
      <c r="W2089" s="29"/>
      <c r="X2089" s="29"/>
      <c r="Y2089" s="29"/>
      <c r="Z2089" s="29"/>
      <c r="AA2089" s="29"/>
      <c r="AB2089" s="29"/>
      <c r="AC2089" s="29"/>
      <c r="AD2089" s="29"/>
    </row>
    <row r="2090">
      <c r="A2090" s="115" t="s">
        <v>3194</v>
      </c>
      <c r="B2090" s="22" t="s">
        <v>2479</v>
      </c>
      <c r="C2090" s="18" t="s">
        <v>3212</v>
      </c>
      <c r="D2090" s="19" t="s">
        <v>3209</v>
      </c>
      <c r="E2090" s="161" t="s">
        <v>7</v>
      </c>
      <c r="G2090" s="29"/>
      <c r="H2090" s="29"/>
      <c r="I2090" s="29"/>
      <c r="J2090" s="29"/>
      <c r="K2090" s="29"/>
      <c r="L2090" s="29"/>
      <c r="M2090" s="29"/>
      <c r="N2090" s="29"/>
      <c r="O2090" s="29"/>
      <c r="P2090" s="29"/>
      <c r="Q2090" s="29"/>
      <c r="R2090" s="29"/>
      <c r="S2090" s="29"/>
      <c r="T2090" s="29"/>
      <c r="U2090" s="29"/>
      <c r="V2090" s="29"/>
      <c r="W2090" s="29"/>
      <c r="X2090" s="29"/>
      <c r="Y2090" s="29"/>
      <c r="Z2090" s="29"/>
      <c r="AA2090" s="29"/>
      <c r="AB2090" s="29"/>
      <c r="AC2090" s="29"/>
      <c r="AD2090" s="29"/>
    </row>
    <row r="2091">
      <c r="A2091" s="115" t="s">
        <v>3194</v>
      </c>
      <c r="B2091" s="22" t="s">
        <v>2479</v>
      </c>
      <c r="C2091" s="18" t="s">
        <v>3208</v>
      </c>
      <c r="D2091" s="19" t="s">
        <v>3213</v>
      </c>
      <c r="E2091" s="161" t="s">
        <v>7</v>
      </c>
      <c r="G2091" s="29"/>
      <c r="H2091" s="29"/>
      <c r="I2091" s="29"/>
      <c r="J2091" s="29"/>
      <c r="K2091" s="29"/>
      <c r="L2091" s="29"/>
      <c r="M2091" s="29"/>
      <c r="N2091" s="29"/>
      <c r="O2091" s="29"/>
      <c r="P2091" s="29"/>
      <c r="Q2091" s="29"/>
      <c r="R2091" s="29"/>
      <c r="S2091" s="29"/>
      <c r="T2091" s="29"/>
      <c r="U2091" s="29"/>
      <c r="V2091" s="29"/>
      <c r="W2091" s="29"/>
      <c r="X2091" s="29"/>
      <c r="Y2091" s="29"/>
      <c r="Z2091" s="29"/>
      <c r="AA2091" s="29"/>
      <c r="AB2091" s="29"/>
      <c r="AC2091" s="29"/>
      <c r="AD2091" s="29"/>
    </row>
    <row r="2092">
      <c r="A2092" s="115" t="s">
        <v>3194</v>
      </c>
      <c r="B2092" s="22" t="s">
        <v>2479</v>
      </c>
      <c r="C2092" s="18" t="s">
        <v>3214</v>
      </c>
      <c r="D2092" s="19" t="s">
        <v>3215</v>
      </c>
      <c r="E2092" s="161" t="s">
        <v>14</v>
      </c>
      <c r="G2092" s="29"/>
      <c r="H2092" s="29"/>
      <c r="I2092" s="29"/>
      <c r="J2092" s="29"/>
      <c r="K2092" s="29"/>
      <c r="L2092" s="29"/>
      <c r="M2092" s="29"/>
      <c r="N2092" s="29"/>
      <c r="O2092" s="29"/>
      <c r="P2092" s="29"/>
      <c r="Q2092" s="29"/>
      <c r="R2092" s="29"/>
      <c r="S2092" s="29"/>
      <c r="T2092" s="29"/>
      <c r="U2092" s="29"/>
      <c r="V2092" s="29"/>
      <c r="W2092" s="29"/>
      <c r="X2092" s="29"/>
      <c r="Y2092" s="29"/>
      <c r="Z2092" s="29"/>
      <c r="AA2092" s="29"/>
      <c r="AB2092" s="29"/>
      <c r="AC2092" s="29"/>
      <c r="AD2092" s="29"/>
    </row>
    <row r="2093">
      <c r="A2093" s="115" t="s">
        <v>3194</v>
      </c>
      <c r="B2093" s="22" t="s">
        <v>3133</v>
      </c>
      <c r="C2093" s="18" t="s">
        <v>3136</v>
      </c>
      <c r="D2093" s="19" t="s">
        <v>3216</v>
      </c>
      <c r="E2093" s="9" t="s">
        <v>3217</v>
      </c>
      <c r="G2093" s="29"/>
      <c r="H2093" s="29"/>
      <c r="I2093" s="29"/>
      <c r="J2093" s="29"/>
      <c r="K2093" s="29"/>
      <c r="L2093" s="29"/>
      <c r="M2093" s="29"/>
      <c r="N2093" s="29"/>
      <c r="O2093" s="29"/>
      <c r="P2093" s="29"/>
      <c r="Q2093" s="29"/>
      <c r="R2093" s="29"/>
      <c r="S2093" s="29"/>
      <c r="T2093" s="29"/>
      <c r="U2093" s="29"/>
      <c r="V2093" s="29"/>
      <c r="W2093" s="29"/>
      <c r="X2093" s="29"/>
      <c r="Y2093" s="29"/>
      <c r="Z2093" s="29"/>
      <c r="AA2093" s="29"/>
      <c r="AB2093" s="29"/>
      <c r="AC2093" s="29"/>
      <c r="AD2093" s="29"/>
    </row>
    <row r="2094">
      <c r="A2094" s="115" t="s">
        <v>3194</v>
      </c>
      <c r="B2094" s="22" t="s">
        <v>3133</v>
      </c>
      <c r="C2094" s="18" t="s">
        <v>3136</v>
      </c>
      <c r="D2094" s="19" t="s">
        <v>3218</v>
      </c>
      <c r="E2094" s="9" t="s">
        <v>3217</v>
      </c>
      <c r="G2094" s="29"/>
      <c r="H2094" s="29"/>
      <c r="I2094" s="29"/>
      <c r="J2094" s="29"/>
      <c r="K2094" s="29"/>
      <c r="L2094" s="29"/>
      <c r="M2094" s="29"/>
      <c r="N2094" s="29"/>
      <c r="O2094" s="29"/>
      <c r="P2094" s="29"/>
      <c r="Q2094" s="29"/>
      <c r="R2094" s="29"/>
      <c r="S2094" s="29"/>
      <c r="T2094" s="29"/>
      <c r="U2094" s="29"/>
      <c r="V2094" s="29"/>
      <c r="W2094" s="29"/>
      <c r="X2094" s="29"/>
      <c r="Y2094" s="29"/>
      <c r="Z2094" s="29"/>
      <c r="AA2094" s="29"/>
      <c r="AB2094" s="29"/>
      <c r="AC2094" s="29"/>
      <c r="AD2094" s="29"/>
    </row>
    <row r="2095">
      <c r="A2095" s="115" t="s">
        <v>3194</v>
      </c>
      <c r="B2095" s="22" t="s">
        <v>3133</v>
      </c>
      <c r="C2095" s="18" t="s">
        <v>3136</v>
      </c>
      <c r="D2095" s="19" t="s">
        <v>3219</v>
      </c>
      <c r="E2095" s="9" t="s">
        <v>3217</v>
      </c>
      <c r="G2095" s="29"/>
      <c r="H2095" s="29"/>
      <c r="I2095" s="29"/>
      <c r="J2095" s="29"/>
      <c r="K2095" s="29"/>
      <c r="L2095" s="29"/>
      <c r="M2095" s="29"/>
      <c r="N2095" s="29"/>
      <c r="O2095" s="29"/>
      <c r="P2095" s="29"/>
      <c r="Q2095" s="29"/>
      <c r="R2095" s="29"/>
      <c r="S2095" s="29"/>
      <c r="T2095" s="29"/>
      <c r="U2095" s="29"/>
      <c r="V2095" s="29"/>
      <c r="W2095" s="29"/>
      <c r="X2095" s="29"/>
      <c r="Y2095" s="29"/>
      <c r="Z2095" s="29"/>
      <c r="AA2095" s="29"/>
      <c r="AB2095" s="29"/>
      <c r="AC2095" s="29"/>
      <c r="AD2095" s="29"/>
    </row>
    <row r="2096">
      <c r="A2096" s="115" t="s">
        <v>3194</v>
      </c>
      <c r="B2096" s="19" t="s">
        <v>3220</v>
      </c>
      <c r="C2096" s="18" t="s">
        <v>3221</v>
      </c>
      <c r="D2096" s="19" t="s">
        <v>3210</v>
      </c>
      <c r="E2096" s="9" t="s">
        <v>196</v>
      </c>
      <c r="G2096" s="29"/>
      <c r="H2096" s="29"/>
      <c r="I2096" s="29"/>
      <c r="J2096" s="29"/>
      <c r="K2096" s="29"/>
      <c r="L2096" s="29"/>
      <c r="M2096" s="29"/>
      <c r="N2096" s="29"/>
      <c r="O2096" s="29"/>
      <c r="P2096" s="29"/>
      <c r="Q2096" s="29"/>
      <c r="R2096" s="29"/>
      <c r="S2096" s="29"/>
      <c r="T2096" s="29"/>
      <c r="U2096" s="29"/>
      <c r="V2096" s="29"/>
      <c r="W2096" s="29"/>
      <c r="X2096" s="29"/>
      <c r="Y2096" s="29"/>
      <c r="Z2096" s="29"/>
      <c r="AA2096" s="29"/>
      <c r="AB2096" s="29"/>
      <c r="AC2096" s="29"/>
      <c r="AD2096" s="29"/>
    </row>
    <row r="2097">
      <c r="A2097" s="18"/>
      <c r="B2097" s="22"/>
      <c r="C2097" s="18"/>
      <c r="D2097" s="19"/>
      <c r="E2097" s="49"/>
      <c r="G2097" s="29"/>
      <c r="H2097" s="29"/>
      <c r="I2097" s="29"/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29"/>
      <c r="X2097" s="29"/>
      <c r="Y2097" s="29"/>
      <c r="Z2097" s="29"/>
      <c r="AA2097" s="29"/>
      <c r="AB2097" s="29"/>
      <c r="AC2097" s="29"/>
      <c r="AD2097" s="29"/>
    </row>
    <row r="2098">
      <c r="A2098" s="18"/>
      <c r="B2098" s="22"/>
      <c r="C2098" s="18"/>
      <c r="D2098" s="19"/>
      <c r="E2098" s="49"/>
      <c r="G2098" s="29"/>
      <c r="H2098" s="29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29"/>
      <c r="V2098" s="29"/>
      <c r="W2098" s="29"/>
      <c r="X2098" s="29"/>
      <c r="Y2098" s="29"/>
      <c r="Z2098" s="29"/>
      <c r="AA2098" s="29"/>
      <c r="AB2098" s="29"/>
      <c r="AC2098" s="29"/>
      <c r="AD2098" s="29"/>
    </row>
    <row r="2099">
      <c r="A2099" s="115" t="s">
        <v>3222</v>
      </c>
      <c r="B2099" s="22" t="s">
        <v>3223</v>
      </c>
      <c r="C2099" s="18" t="s">
        <v>952</v>
      </c>
      <c r="D2099" s="19" t="s">
        <v>3224</v>
      </c>
      <c r="E2099" s="161" t="s">
        <v>7</v>
      </c>
      <c r="G2099" s="29"/>
      <c r="H2099" s="29"/>
      <c r="I2099" s="29"/>
      <c r="J2099" s="29"/>
      <c r="K2099" s="29"/>
      <c r="L2099" s="29"/>
      <c r="M2099" s="29"/>
      <c r="N2099" s="29"/>
      <c r="O2099" s="29"/>
      <c r="P2099" s="29"/>
      <c r="Q2099" s="29"/>
      <c r="R2099" s="29"/>
      <c r="S2099" s="29"/>
      <c r="T2099" s="29"/>
      <c r="U2099" s="29"/>
      <c r="V2099" s="29"/>
      <c r="W2099" s="29"/>
      <c r="X2099" s="29"/>
      <c r="Y2099" s="29"/>
      <c r="Z2099" s="29"/>
      <c r="AA2099" s="29"/>
      <c r="AB2099" s="29"/>
      <c r="AC2099" s="29"/>
      <c r="AD2099" s="29"/>
    </row>
    <row r="2100">
      <c r="A2100" s="115" t="s">
        <v>3222</v>
      </c>
      <c r="B2100" s="22" t="s">
        <v>3223</v>
      </c>
      <c r="C2100" s="18" t="s">
        <v>952</v>
      </c>
      <c r="D2100" s="19" t="s">
        <v>3225</v>
      </c>
      <c r="E2100" s="161" t="s">
        <v>7</v>
      </c>
      <c r="G2100" s="29"/>
      <c r="H2100" s="29"/>
      <c r="I2100" s="29"/>
      <c r="J2100" s="29"/>
      <c r="K2100" s="29"/>
      <c r="L2100" s="29"/>
      <c r="M2100" s="29"/>
      <c r="N2100" s="29"/>
      <c r="O2100" s="29"/>
      <c r="P2100" s="29"/>
      <c r="Q2100" s="29"/>
      <c r="R2100" s="29"/>
      <c r="S2100" s="29"/>
      <c r="T2100" s="29"/>
      <c r="U2100" s="29"/>
      <c r="V2100" s="29"/>
      <c r="W2100" s="29"/>
      <c r="X2100" s="29"/>
      <c r="Y2100" s="29"/>
      <c r="Z2100" s="29"/>
      <c r="AA2100" s="29"/>
      <c r="AB2100" s="29"/>
      <c r="AC2100" s="29"/>
      <c r="AD2100" s="29"/>
    </row>
    <row r="2101">
      <c r="A2101" s="115" t="s">
        <v>3222</v>
      </c>
      <c r="B2101" s="22" t="s">
        <v>3223</v>
      </c>
      <c r="C2101" s="18" t="s">
        <v>3226</v>
      </c>
      <c r="D2101" s="19" t="s">
        <v>3227</v>
      </c>
      <c r="E2101" s="161" t="s">
        <v>7</v>
      </c>
      <c r="G2101" s="29"/>
      <c r="H2101" s="29"/>
      <c r="I2101" s="29"/>
      <c r="J2101" s="29"/>
      <c r="K2101" s="29"/>
      <c r="L2101" s="29"/>
      <c r="M2101" s="29"/>
      <c r="N2101" s="29"/>
      <c r="O2101" s="29"/>
      <c r="P2101" s="29"/>
      <c r="Q2101" s="29"/>
      <c r="R2101" s="29"/>
      <c r="S2101" s="29"/>
      <c r="T2101" s="29"/>
      <c r="U2101" s="29"/>
      <c r="V2101" s="29"/>
      <c r="W2101" s="29"/>
      <c r="X2101" s="29"/>
      <c r="Y2101" s="29"/>
      <c r="Z2101" s="29"/>
      <c r="AA2101" s="29"/>
      <c r="AB2101" s="29"/>
      <c r="AC2101" s="29"/>
      <c r="AD2101" s="29"/>
    </row>
    <row r="2102">
      <c r="A2102" s="115" t="s">
        <v>3222</v>
      </c>
      <c r="B2102" s="22" t="s">
        <v>3223</v>
      </c>
      <c r="C2102" s="18" t="s">
        <v>952</v>
      </c>
      <c r="D2102" s="19" t="s">
        <v>3228</v>
      </c>
      <c r="E2102" s="161" t="s">
        <v>7</v>
      </c>
      <c r="G2102" s="29"/>
      <c r="H2102" s="29"/>
      <c r="I2102" s="29"/>
      <c r="J2102" s="29"/>
      <c r="K2102" s="29"/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  <c r="V2102" s="29"/>
      <c r="W2102" s="29"/>
      <c r="X2102" s="29"/>
      <c r="Y2102" s="29"/>
      <c r="Z2102" s="29"/>
      <c r="AA2102" s="29"/>
      <c r="AB2102" s="29"/>
      <c r="AC2102" s="29"/>
      <c r="AD2102" s="29"/>
    </row>
    <row r="2103">
      <c r="A2103" s="115" t="s">
        <v>3222</v>
      </c>
      <c r="B2103" s="22" t="s">
        <v>3223</v>
      </c>
      <c r="C2103" s="18" t="s">
        <v>3198</v>
      </c>
      <c r="D2103" s="19" t="s">
        <v>3229</v>
      </c>
      <c r="E2103" s="161" t="s">
        <v>7</v>
      </c>
      <c r="G2103" s="29"/>
      <c r="H2103" s="29"/>
      <c r="I2103" s="29"/>
      <c r="J2103" s="29"/>
      <c r="K2103" s="29"/>
      <c r="L2103" s="29"/>
      <c r="M2103" s="29"/>
      <c r="N2103" s="29"/>
      <c r="O2103" s="29"/>
      <c r="P2103" s="29"/>
      <c r="Q2103" s="29"/>
      <c r="R2103" s="29"/>
      <c r="S2103" s="29"/>
      <c r="T2103" s="29"/>
      <c r="U2103" s="29"/>
      <c r="V2103" s="29"/>
      <c r="W2103" s="29"/>
      <c r="X2103" s="29"/>
      <c r="Y2103" s="29"/>
      <c r="Z2103" s="29"/>
      <c r="AA2103" s="29"/>
      <c r="AB2103" s="29"/>
      <c r="AC2103" s="29"/>
      <c r="AD2103" s="29"/>
    </row>
    <row r="2104">
      <c r="A2104" s="115" t="s">
        <v>3222</v>
      </c>
      <c r="B2104" s="22" t="s">
        <v>3223</v>
      </c>
      <c r="C2104" s="18" t="s">
        <v>952</v>
      </c>
      <c r="D2104" s="19" t="s">
        <v>3230</v>
      </c>
      <c r="E2104" s="161" t="s">
        <v>7</v>
      </c>
      <c r="G2104" s="29"/>
      <c r="H2104" s="29"/>
      <c r="I2104" s="29"/>
      <c r="J2104" s="29"/>
      <c r="K2104" s="29"/>
      <c r="L2104" s="29"/>
      <c r="M2104" s="29"/>
      <c r="N2104" s="29"/>
      <c r="O2104" s="29"/>
      <c r="P2104" s="29"/>
      <c r="Q2104" s="29"/>
      <c r="R2104" s="29"/>
      <c r="S2104" s="29"/>
      <c r="T2104" s="29"/>
      <c r="U2104" s="29"/>
      <c r="V2104" s="29"/>
      <c r="W2104" s="29"/>
      <c r="X2104" s="29"/>
      <c r="Y2104" s="29"/>
      <c r="Z2104" s="29"/>
      <c r="AA2104" s="29"/>
      <c r="AB2104" s="29"/>
      <c r="AC2104" s="29"/>
      <c r="AD2104" s="29"/>
    </row>
    <row r="2105">
      <c r="A2105" s="115" t="s">
        <v>3222</v>
      </c>
      <c r="B2105" s="22" t="s">
        <v>3223</v>
      </c>
      <c r="C2105" s="18" t="s">
        <v>952</v>
      </c>
      <c r="D2105" s="19" t="s">
        <v>3231</v>
      </c>
      <c r="E2105" s="161" t="s">
        <v>7</v>
      </c>
      <c r="G2105" s="29"/>
      <c r="H2105" s="29"/>
      <c r="I2105" s="29"/>
      <c r="J2105" s="29"/>
      <c r="K2105" s="29"/>
      <c r="L2105" s="29"/>
      <c r="M2105" s="29"/>
      <c r="N2105" s="29"/>
      <c r="O2105" s="29"/>
      <c r="P2105" s="29"/>
      <c r="Q2105" s="29"/>
      <c r="R2105" s="29"/>
      <c r="S2105" s="29"/>
      <c r="T2105" s="29"/>
      <c r="U2105" s="29"/>
      <c r="V2105" s="29"/>
      <c r="W2105" s="29"/>
      <c r="X2105" s="29"/>
      <c r="Y2105" s="29"/>
      <c r="Z2105" s="29"/>
      <c r="AA2105" s="29"/>
      <c r="AB2105" s="29"/>
      <c r="AC2105" s="29"/>
      <c r="AD2105" s="29"/>
    </row>
    <row r="2106">
      <c r="A2106" s="115" t="s">
        <v>3222</v>
      </c>
      <c r="B2106" s="22" t="s">
        <v>3223</v>
      </c>
      <c r="C2106" s="18" t="s">
        <v>3226</v>
      </c>
      <c r="D2106" s="19" t="s">
        <v>2062</v>
      </c>
      <c r="E2106" s="161" t="s">
        <v>7</v>
      </c>
      <c r="G2106" s="29"/>
      <c r="H2106" s="29"/>
      <c r="I2106" s="29"/>
      <c r="J2106" s="29"/>
      <c r="K2106" s="29"/>
      <c r="L2106" s="29"/>
      <c r="M2106" s="29"/>
      <c r="N2106" s="29"/>
      <c r="O2106" s="29"/>
      <c r="P2106" s="29"/>
      <c r="Q2106" s="29"/>
      <c r="R2106" s="29"/>
      <c r="S2106" s="29"/>
      <c r="T2106" s="29"/>
      <c r="U2106" s="29"/>
      <c r="V2106" s="29"/>
      <c r="W2106" s="29"/>
      <c r="X2106" s="29"/>
      <c r="Y2106" s="29"/>
      <c r="Z2106" s="29"/>
      <c r="AA2106" s="29"/>
      <c r="AB2106" s="29"/>
      <c r="AC2106" s="29"/>
      <c r="AD2106" s="29"/>
    </row>
    <row r="2107">
      <c r="A2107" s="115" t="s">
        <v>3222</v>
      </c>
      <c r="B2107" s="22" t="s">
        <v>3232</v>
      </c>
      <c r="C2107" s="18" t="s">
        <v>1163</v>
      </c>
      <c r="D2107" s="19" t="s">
        <v>3233</v>
      </c>
      <c r="E2107" s="161" t="s">
        <v>7</v>
      </c>
      <c r="G2107" s="29"/>
      <c r="H2107" s="29"/>
      <c r="I2107" s="29"/>
      <c r="J2107" s="29"/>
      <c r="K2107" s="29"/>
      <c r="L2107" s="29"/>
      <c r="M2107" s="29"/>
      <c r="N2107" s="29"/>
      <c r="O2107" s="29"/>
      <c r="P2107" s="29"/>
      <c r="Q2107" s="29"/>
      <c r="R2107" s="29"/>
      <c r="S2107" s="29"/>
      <c r="T2107" s="29"/>
      <c r="U2107" s="29"/>
      <c r="V2107" s="29"/>
      <c r="W2107" s="29"/>
      <c r="X2107" s="29"/>
      <c r="Y2107" s="29"/>
      <c r="Z2107" s="29"/>
      <c r="AA2107" s="29"/>
      <c r="AB2107" s="29"/>
      <c r="AC2107" s="29"/>
      <c r="AD2107" s="29"/>
    </row>
    <row r="2108">
      <c r="A2108" s="115" t="s">
        <v>3222</v>
      </c>
      <c r="B2108" s="22" t="s">
        <v>3232</v>
      </c>
      <c r="C2108" s="18" t="s">
        <v>1163</v>
      </c>
      <c r="D2108" s="19" t="s">
        <v>3234</v>
      </c>
      <c r="E2108" s="161" t="s">
        <v>7</v>
      </c>
      <c r="G2108" s="29"/>
      <c r="H2108" s="29"/>
      <c r="I2108" s="29"/>
      <c r="J2108" s="29"/>
      <c r="K2108" s="29"/>
      <c r="L2108" s="29"/>
      <c r="M2108" s="29"/>
      <c r="N2108" s="29"/>
      <c r="O2108" s="29"/>
      <c r="P2108" s="29"/>
      <c r="Q2108" s="29"/>
      <c r="R2108" s="29"/>
      <c r="S2108" s="29"/>
      <c r="T2108" s="29"/>
      <c r="U2108" s="29"/>
      <c r="V2108" s="29"/>
      <c r="W2108" s="29"/>
      <c r="X2108" s="29"/>
      <c r="Y2108" s="29"/>
      <c r="Z2108" s="29"/>
      <c r="AA2108" s="29"/>
      <c r="AB2108" s="29"/>
      <c r="AC2108" s="29"/>
      <c r="AD2108" s="29"/>
    </row>
    <row r="2109">
      <c r="A2109" s="115" t="s">
        <v>3222</v>
      </c>
      <c r="B2109" s="22" t="s">
        <v>3232</v>
      </c>
      <c r="C2109" s="18" t="s">
        <v>1582</v>
      </c>
      <c r="D2109" s="19" t="s">
        <v>3235</v>
      </c>
      <c r="E2109" s="161" t="s">
        <v>7</v>
      </c>
      <c r="G2109" s="29"/>
      <c r="H2109" s="29"/>
      <c r="I2109" s="29"/>
      <c r="J2109" s="29"/>
      <c r="K2109" s="29"/>
      <c r="L2109" s="29"/>
      <c r="M2109" s="29"/>
      <c r="N2109" s="29"/>
      <c r="O2109" s="29"/>
      <c r="P2109" s="29"/>
      <c r="Q2109" s="29"/>
      <c r="R2109" s="29"/>
      <c r="S2109" s="29"/>
      <c r="T2109" s="29"/>
      <c r="U2109" s="29"/>
      <c r="V2109" s="29"/>
      <c r="W2109" s="29"/>
      <c r="X2109" s="29"/>
      <c r="Y2109" s="29"/>
      <c r="Z2109" s="29"/>
      <c r="AA2109" s="29"/>
      <c r="AB2109" s="29"/>
      <c r="AC2109" s="29"/>
      <c r="AD2109" s="29"/>
    </row>
    <row r="2110">
      <c r="A2110" s="115" t="s">
        <v>3222</v>
      </c>
      <c r="B2110" s="22" t="s">
        <v>3232</v>
      </c>
      <c r="C2110" s="18" t="s">
        <v>3236</v>
      </c>
      <c r="D2110" s="19" t="s">
        <v>3237</v>
      </c>
      <c r="E2110" s="161" t="s">
        <v>7</v>
      </c>
      <c r="G2110" s="29"/>
      <c r="H2110" s="29"/>
      <c r="I2110" s="29"/>
      <c r="J2110" s="29"/>
      <c r="K2110" s="29"/>
      <c r="L2110" s="29"/>
      <c r="M2110" s="29"/>
      <c r="N2110" s="29"/>
      <c r="O2110" s="29"/>
      <c r="P2110" s="29"/>
      <c r="Q2110" s="29"/>
      <c r="R2110" s="29"/>
      <c r="S2110" s="29"/>
      <c r="T2110" s="29"/>
      <c r="U2110" s="29"/>
      <c r="V2110" s="29"/>
      <c r="W2110" s="29"/>
      <c r="X2110" s="29"/>
      <c r="Y2110" s="29"/>
      <c r="Z2110" s="29"/>
      <c r="AA2110" s="29"/>
      <c r="AB2110" s="29"/>
      <c r="AC2110" s="29"/>
      <c r="AD2110" s="29"/>
    </row>
    <row r="2111">
      <c r="A2111" s="115" t="s">
        <v>3222</v>
      </c>
      <c r="B2111" s="22" t="s">
        <v>3232</v>
      </c>
      <c r="C2111" s="18" t="s">
        <v>1582</v>
      </c>
      <c r="D2111" s="19" t="s">
        <v>3238</v>
      </c>
      <c r="E2111" s="161" t="s">
        <v>7</v>
      </c>
      <c r="G2111" s="29"/>
      <c r="H2111" s="29"/>
      <c r="I2111" s="29"/>
      <c r="J2111" s="29"/>
      <c r="K2111" s="29"/>
      <c r="L2111" s="29"/>
      <c r="M2111" s="29"/>
      <c r="N2111" s="29"/>
      <c r="O2111" s="29"/>
      <c r="P2111" s="29"/>
      <c r="Q2111" s="29"/>
      <c r="R2111" s="29"/>
      <c r="S2111" s="29"/>
      <c r="T2111" s="29"/>
      <c r="U2111" s="29"/>
      <c r="V2111" s="29"/>
      <c r="W2111" s="29"/>
      <c r="X2111" s="29"/>
      <c r="Y2111" s="29"/>
      <c r="Z2111" s="29"/>
      <c r="AA2111" s="29"/>
      <c r="AB2111" s="29"/>
      <c r="AC2111" s="29"/>
      <c r="AD2111" s="29"/>
    </row>
    <row r="2112">
      <c r="A2112" s="115" t="s">
        <v>3222</v>
      </c>
      <c r="B2112" s="22" t="s">
        <v>3232</v>
      </c>
      <c r="C2112" s="18" t="s">
        <v>1582</v>
      </c>
      <c r="D2112" s="19" t="s">
        <v>3239</v>
      </c>
      <c r="E2112" s="161" t="s">
        <v>7</v>
      </c>
      <c r="G2112" s="29"/>
      <c r="H2112" s="29"/>
      <c r="I2112" s="29"/>
      <c r="J2112" s="29"/>
      <c r="K2112" s="29"/>
      <c r="L2112" s="29"/>
      <c r="M2112" s="29"/>
      <c r="N2112" s="29"/>
      <c r="O2112" s="29"/>
      <c r="P2112" s="29"/>
      <c r="Q2112" s="29"/>
      <c r="R2112" s="29"/>
      <c r="S2112" s="29"/>
      <c r="T2112" s="29"/>
      <c r="U2112" s="29"/>
      <c r="V2112" s="29"/>
      <c r="W2112" s="29"/>
      <c r="X2112" s="29"/>
      <c r="Y2112" s="29"/>
      <c r="Z2112" s="29"/>
      <c r="AA2112" s="29"/>
      <c r="AB2112" s="29"/>
      <c r="AC2112" s="29"/>
      <c r="AD2112" s="29"/>
    </row>
    <row r="2113">
      <c r="A2113" s="115" t="s">
        <v>3222</v>
      </c>
      <c r="B2113" s="22" t="s">
        <v>3232</v>
      </c>
      <c r="C2113" s="18" t="s">
        <v>1582</v>
      </c>
      <c r="D2113" s="19" t="s">
        <v>3240</v>
      </c>
      <c r="E2113" s="161" t="s">
        <v>7</v>
      </c>
      <c r="G2113" s="29"/>
      <c r="H2113" s="29"/>
      <c r="I2113" s="29"/>
      <c r="J2113" s="29"/>
      <c r="K2113" s="29"/>
      <c r="L2113" s="29"/>
      <c r="M2113" s="29"/>
      <c r="N2113" s="29"/>
      <c r="O2113" s="29"/>
      <c r="P2113" s="29"/>
      <c r="Q2113" s="29"/>
      <c r="R2113" s="29"/>
      <c r="S2113" s="29"/>
      <c r="T2113" s="29"/>
      <c r="U2113" s="29"/>
      <c r="V2113" s="29"/>
      <c r="W2113" s="29"/>
      <c r="X2113" s="29"/>
      <c r="Y2113" s="29"/>
      <c r="Z2113" s="29"/>
      <c r="AA2113" s="29"/>
      <c r="AB2113" s="29"/>
      <c r="AC2113" s="29"/>
      <c r="AD2113" s="29"/>
    </row>
    <row r="2114">
      <c r="A2114" s="115" t="s">
        <v>3222</v>
      </c>
      <c r="B2114" s="22" t="s">
        <v>3232</v>
      </c>
      <c r="C2114" s="18" t="s">
        <v>3236</v>
      </c>
      <c r="D2114" s="19" t="s">
        <v>3241</v>
      </c>
      <c r="E2114" s="161" t="s">
        <v>7</v>
      </c>
      <c r="G2114" s="29"/>
      <c r="H2114" s="29"/>
      <c r="I2114" s="29"/>
      <c r="J2114" s="29"/>
      <c r="K2114" s="29"/>
      <c r="L2114" s="29"/>
      <c r="M2114" s="29"/>
      <c r="N2114" s="29"/>
      <c r="O2114" s="29"/>
      <c r="P2114" s="29"/>
      <c r="Q2114" s="29"/>
      <c r="R2114" s="29"/>
      <c r="S2114" s="29"/>
      <c r="T2114" s="29"/>
      <c r="U2114" s="29"/>
      <c r="V2114" s="29"/>
      <c r="W2114" s="29"/>
      <c r="X2114" s="29"/>
      <c r="Y2114" s="29"/>
      <c r="Z2114" s="29"/>
      <c r="AA2114" s="29"/>
      <c r="AB2114" s="29"/>
      <c r="AC2114" s="29"/>
      <c r="AD2114" s="29"/>
    </row>
    <row r="2115">
      <c r="A2115" s="115" t="s">
        <v>3222</v>
      </c>
      <c r="B2115" s="22" t="s">
        <v>3232</v>
      </c>
      <c r="C2115" s="18" t="s">
        <v>3236</v>
      </c>
      <c r="D2115" s="19" t="s">
        <v>3242</v>
      </c>
      <c r="E2115" s="161" t="s">
        <v>7</v>
      </c>
      <c r="G2115" s="29"/>
      <c r="H2115" s="29"/>
      <c r="I2115" s="29"/>
      <c r="J2115" s="29"/>
      <c r="K2115" s="29"/>
      <c r="L2115" s="29"/>
      <c r="M2115" s="29"/>
      <c r="N2115" s="29"/>
      <c r="O2115" s="29"/>
      <c r="P2115" s="29"/>
      <c r="Q2115" s="29"/>
      <c r="R2115" s="29"/>
      <c r="S2115" s="29"/>
      <c r="T2115" s="29"/>
      <c r="U2115" s="29"/>
      <c r="V2115" s="29"/>
      <c r="W2115" s="29"/>
      <c r="X2115" s="29"/>
      <c r="Y2115" s="29"/>
      <c r="Z2115" s="29"/>
      <c r="AA2115" s="29"/>
      <c r="AB2115" s="29"/>
      <c r="AC2115" s="29"/>
      <c r="AD2115" s="29"/>
    </row>
    <row r="2116">
      <c r="A2116" s="115" t="s">
        <v>3222</v>
      </c>
      <c r="B2116" s="22" t="s">
        <v>3232</v>
      </c>
      <c r="C2116" s="18" t="s">
        <v>3236</v>
      </c>
      <c r="D2116" s="19" t="s">
        <v>3243</v>
      </c>
      <c r="E2116" s="161" t="s">
        <v>7</v>
      </c>
      <c r="G2116" s="29"/>
      <c r="H2116" s="29"/>
      <c r="I2116" s="29"/>
      <c r="J2116" s="29"/>
      <c r="K2116" s="29"/>
      <c r="L2116" s="29"/>
      <c r="M2116" s="29"/>
      <c r="N2116" s="29"/>
      <c r="O2116" s="29"/>
      <c r="P2116" s="29"/>
      <c r="Q2116" s="29"/>
      <c r="R2116" s="29"/>
      <c r="S2116" s="29"/>
      <c r="T2116" s="29"/>
      <c r="U2116" s="29"/>
      <c r="V2116" s="29"/>
      <c r="W2116" s="29"/>
      <c r="X2116" s="29"/>
      <c r="Y2116" s="29"/>
      <c r="Z2116" s="29"/>
      <c r="AA2116" s="29"/>
      <c r="AB2116" s="29"/>
      <c r="AC2116" s="29"/>
      <c r="AD2116" s="29"/>
    </row>
    <row r="2117">
      <c r="A2117" s="115" t="s">
        <v>3222</v>
      </c>
      <c r="B2117" s="22" t="s">
        <v>3232</v>
      </c>
      <c r="C2117" s="18" t="s">
        <v>3236</v>
      </c>
      <c r="D2117" s="19" t="s">
        <v>3244</v>
      </c>
      <c r="E2117" s="161" t="s">
        <v>7</v>
      </c>
      <c r="G2117" s="29"/>
      <c r="H2117" s="29"/>
      <c r="I2117" s="29"/>
      <c r="J2117" s="29"/>
      <c r="K2117" s="29"/>
      <c r="L2117" s="29"/>
      <c r="M2117" s="29"/>
      <c r="N2117" s="29"/>
      <c r="O2117" s="29"/>
      <c r="P2117" s="29"/>
      <c r="Q2117" s="29"/>
      <c r="R2117" s="29"/>
      <c r="S2117" s="29"/>
      <c r="T2117" s="29"/>
      <c r="U2117" s="29"/>
      <c r="V2117" s="29"/>
      <c r="W2117" s="29"/>
      <c r="X2117" s="29"/>
      <c r="Y2117" s="29"/>
      <c r="Z2117" s="29"/>
      <c r="AA2117" s="29"/>
      <c r="AB2117" s="29"/>
      <c r="AC2117" s="29"/>
      <c r="AD2117" s="29"/>
    </row>
    <row r="2118">
      <c r="A2118" s="115" t="s">
        <v>3222</v>
      </c>
      <c r="B2118" s="22" t="s">
        <v>3232</v>
      </c>
      <c r="C2118" s="18" t="s">
        <v>3236</v>
      </c>
      <c r="D2118" s="19" t="s">
        <v>3245</v>
      </c>
      <c r="E2118" s="161" t="s">
        <v>7</v>
      </c>
      <c r="G2118" s="29"/>
      <c r="H2118" s="29"/>
      <c r="I2118" s="29"/>
      <c r="J2118" s="29"/>
      <c r="K2118" s="29"/>
      <c r="L2118" s="29"/>
      <c r="M2118" s="29"/>
      <c r="N2118" s="29"/>
      <c r="O2118" s="29"/>
      <c r="P2118" s="29"/>
      <c r="Q2118" s="29"/>
      <c r="R2118" s="29"/>
      <c r="S2118" s="29"/>
      <c r="T2118" s="29"/>
      <c r="U2118" s="29"/>
      <c r="V2118" s="29"/>
      <c r="W2118" s="29"/>
      <c r="X2118" s="29"/>
      <c r="Y2118" s="29"/>
      <c r="Z2118" s="29"/>
      <c r="AA2118" s="29"/>
      <c r="AB2118" s="29"/>
      <c r="AC2118" s="29"/>
      <c r="AD2118" s="29"/>
    </row>
    <row r="2119">
      <c r="A2119" s="6"/>
      <c r="B2119" s="9"/>
      <c r="C2119" s="9"/>
      <c r="D2119" s="9"/>
      <c r="E2119" s="167"/>
      <c r="G2119" s="29"/>
      <c r="H2119" s="29"/>
      <c r="I2119" s="29"/>
      <c r="J2119" s="29"/>
      <c r="K2119" s="29"/>
      <c r="L2119" s="29"/>
      <c r="M2119" s="29"/>
      <c r="N2119" s="29"/>
      <c r="O2119" s="29"/>
      <c r="P2119" s="29"/>
      <c r="Q2119" s="29"/>
      <c r="R2119" s="29"/>
      <c r="S2119" s="29"/>
      <c r="T2119" s="29"/>
      <c r="U2119" s="29"/>
      <c r="V2119" s="29"/>
      <c r="W2119" s="29"/>
      <c r="X2119" s="29"/>
      <c r="Y2119" s="29"/>
      <c r="Z2119" s="29"/>
      <c r="AA2119" s="29"/>
      <c r="AB2119" s="29"/>
      <c r="AC2119" s="29"/>
      <c r="AD2119" s="29"/>
    </row>
    <row r="2120">
      <c r="A2120" s="6"/>
      <c r="B2120" s="9"/>
      <c r="C2120" s="9"/>
      <c r="D2120" s="9"/>
      <c r="E2120" s="9"/>
      <c r="G2120" s="29"/>
      <c r="H2120" s="29"/>
      <c r="I2120" s="29"/>
      <c r="J2120" s="29"/>
      <c r="K2120" s="29"/>
      <c r="L2120" s="29"/>
      <c r="M2120" s="29"/>
      <c r="N2120" s="29"/>
      <c r="O2120" s="29"/>
      <c r="P2120" s="29"/>
      <c r="Q2120" s="29"/>
      <c r="R2120" s="29"/>
      <c r="S2120" s="29"/>
      <c r="T2120" s="29"/>
      <c r="U2120" s="29"/>
      <c r="V2120" s="29"/>
      <c r="W2120" s="29"/>
      <c r="X2120" s="29"/>
      <c r="Y2120" s="29"/>
      <c r="Z2120" s="29"/>
      <c r="AA2120" s="29"/>
      <c r="AB2120" s="29"/>
      <c r="AC2120" s="29"/>
      <c r="AD2120" s="29"/>
    </row>
    <row r="2121">
      <c r="A2121" s="115" t="s">
        <v>3246</v>
      </c>
      <c r="B2121" s="22" t="s">
        <v>3232</v>
      </c>
      <c r="C2121" s="18" t="s">
        <v>1582</v>
      </c>
      <c r="D2121" s="19" t="s">
        <v>3247</v>
      </c>
      <c r="E2121" s="161" t="s">
        <v>7</v>
      </c>
      <c r="G2121" s="29"/>
      <c r="H2121" s="29"/>
      <c r="I2121" s="29"/>
      <c r="J2121" s="29"/>
      <c r="K2121" s="29"/>
      <c r="L2121" s="29"/>
      <c r="M2121" s="29"/>
      <c r="N2121" s="29"/>
      <c r="O2121" s="29"/>
      <c r="P2121" s="29"/>
      <c r="Q2121" s="29"/>
      <c r="R2121" s="29"/>
      <c r="S2121" s="29"/>
      <c r="T2121" s="29"/>
      <c r="U2121" s="29"/>
      <c r="V2121" s="29"/>
      <c r="W2121" s="29"/>
      <c r="X2121" s="29"/>
      <c r="Y2121" s="29"/>
      <c r="Z2121" s="29"/>
      <c r="AA2121" s="29"/>
      <c r="AB2121" s="29"/>
      <c r="AC2121" s="29"/>
      <c r="AD2121" s="29"/>
    </row>
    <row r="2122">
      <c r="A2122" s="115" t="s">
        <v>3246</v>
      </c>
      <c r="B2122" s="22" t="s">
        <v>3232</v>
      </c>
      <c r="C2122" s="18" t="s">
        <v>3236</v>
      </c>
      <c r="D2122" s="19" t="s">
        <v>3248</v>
      </c>
      <c r="E2122" s="161" t="s">
        <v>7</v>
      </c>
      <c r="G2122" s="29"/>
      <c r="H2122" s="29"/>
      <c r="I2122" s="29"/>
      <c r="J2122" s="29"/>
      <c r="K2122" s="29"/>
      <c r="L2122" s="29"/>
      <c r="M2122" s="29"/>
      <c r="N2122" s="29"/>
      <c r="O2122" s="29"/>
      <c r="P2122" s="29"/>
      <c r="Q2122" s="29"/>
      <c r="R2122" s="29"/>
      <c r="S2122" s="29"/>
      <c r="T2122" s="29"/>
      <c r="U2122" s="29"/>
      <c r="V2122" s="29"/>
      <c r="W2122" s="29"/>
      <c r="X2122" s="29"/>
      <c r="Y2122" s="29"/>
      <c r="Z2122" s="29"/>
      <c r="AA2122" s="29"/>
      <c r="AB2122" s="29"/>
      <c r="AC2122" s="29"/>
      <c r="AD2122" s="29"/>
    </row>
    <row r="2123">
      <c r="A2123" s="115" t="s">
        <v>3246</v>
      </c>
      <c r="B2123" s="22" t="s">
        <v>3232</v>
      </c>
      <c r="C2123" s="18" t="s">
        <v>3236</v>
      </c>
      <c r="D2123" s="19" t="s">
        <v>3249</v>
      </c>
      <c r="E2123" s="161" t="s">
        <v>7</v>
      </c>
      <c r="G2123" s="29"/>
      <c r="H2123" s="29"/>
      <c r="I2123" s="29"/>
      <c r="J2123" s="29"/>
      <c r="K2123" s="29"/>
      <c r="L2123" s="29"/>
      <c r="M2123" s="29"/>
      <c r="N2123" s="29"/>
      <c r="O2123" s="29"/>
      <c r="P2123" s="29"/>
      <c r="Q2123" s="29"/>
      <c r="R2123" s="29"/>
      <c r="S2123" s="29"/>
      <c r="T2123" s="29"/>
      <c r="U2123" s="29"/>
      <c r="V2123" s="29"/>
      <c r="W2123" s="29"/>
      <c r="X2123" s="29"/>
      <c r="Y2123" s="29"/>
      <c r="Z2123" s="29"/>
      <c r="AA2123" s="29"/>
      <c r="AB2123" s="29"/>
      <c r="AC2123" s="29"/>
      <c r="AD2123" s="29"/>
    </row>
    <row r="2124">
      <c r="A2124" s="115" t="s">
        <v>3246</v>
      </c>
      <c r="B2124" s="22" t="s">
        <v>3232</v>
      </c>
      <c r="C2124" s="18" t="s">
        <v>1163</v>
      </c>
      <c r="D2124" s="19" t="s">
        <v>3250</v>
      </c>
      <c r="E2124" s="161" t="s">
        <v>7</v>
      </c>
      <c r="G2124" s="29"/>
      <c r="H2124" s="29"/>
      <c r="I2124" s="29"/>
      <c r="J2124" s="29"/>
      <c r="K2124" s="29"/>
      <c r="L2124" s="29"/>
      <c r="M2124" s="29"/>
      <c r="N2124" s="29"/>
      <c r="O2124" s="29"/>
      <c r="P2124" s="29"/>
      <c r="Q2124" s="29"/>
      <c r="R2124" s="29"/>
      <c r="S2124" s="29"/>
      <c r="T2124" s="29"/>
      <c r="U2124" s="29"/>
      <c r="V2124" s="29"/>
      <c r="W2124" s="29"/>
      <c r="X2124" s="29"/>
      <c r="Y2124" s="29"/>
      <c r="Z2124" s="29"/>
      <c r="AA2124" s="29"/>
      <c r="AB2124" s="29"/>
      <c r="AC2124" s="29"/>
      <c r="AD2124" s="29"/>
    </row>
    <row r="2125">
      <c r="A2125" s="115" t="s">
        <v>3246</v>
      </c>
      <c r="B2125" s="22" t="s">
        <v>3232</v>
      </c>
      <c r="C2125" s="18" t="s">
        <v>1163</v>
      </c>
      <c r="D2125" s="19" t="s">
        <v>3251</v>
      </c>
      <c r="E2125" s="161" t="s">
        <v>7</v>
      </c>
      <c r="G2125" s="29"/>
      <c r="H2125" s="29"/>
      <c r="I2125" s="29"/>
      <c r="J2125" s="29"/>
      <c r="K2125" s="29"/>
      <c r="L2125" s="29"/>
      <c r="M2125" s="29"/>
      <c r="N2125" s="29"/>
      <c r="O2125" s="29"/>
      <c r="P2125" s="29"/>
      <c r="Q2125" s="29"/>
      <c r="R2125" s="29"/>
      <c r="S2125" s="29"/>
      <c r="T2125" s="29"/>
      <c r="U2125" s="29"/>
      <c r="V2125" s="29"/>
      <c r="W2125" s="29"/>
      <c r="X2125" s="29"/>
      <c r="Y2125" s="29"/>
      <c r="Z2125" s="29"/>
      <c r="AA2125" s="29"/>
      <c r="AB2125" s="29"/>
      <c r="AC2125" s="29"/>
      <c r="AD2125" s="29"/>
    </row>
    <row r="2126">
      <c r="A2126" s="115" t="s">
        <v>3246</v>
      </c>
      <c r="B2126" s="22" t="s">
        <v>3232</v>
      </c>
      <c r="C2126" s="18" t="s">
        <v>3236</v>
      </c>
      <c r="D2126" s="19" t="s">
        <v>3252</v>
      </c>
      <c r="E2126" s="161" t="s">
        <v>7</v>
      </c>
      <c r="G2126" s="29"/>
      <c r="H2126" s="29"/>
      <c r="I2126" s="29"/>
      <c r="J2126" s="29"/>
      <c r="K2126" s="29"/>
      <c r="L2126" s="29"/>
      <c r="M2126" s="29"/>
      <c r="N2126" s="29"/>
      <c r="O2126" s="29"/>
      <c r="P2126" s="29"/>
      <c r="Q2126" s="29"/>
      <c r="R2126" s="29"/>
      <c r="S2126" s="29"/>
      <c r="T2126" s="29"/>
      <c r="U2126" s="29"/>
      <c r="V2126" s="29"/>
      <c r="W2126" s="29"/>
      <c r="X2126" s="29"/>
      <c r="Y2126" s="29"/>
      <c r="Z2126" s="29"/>
      <c r="AA2126" s="29"/>
      <c r="AB2126" s="29"/>
      <c r="AC2126" s="29"/>
      <c r="AD2126" s="29"/>
    </row>
    <row r="2127">
      <c r="A2127" s="115" t="s">
        <v>3246</v>
      </c>
      <c r="B2127" s="22" t="s">
        <v>3232</v>
      </c>
      <c r="C2127" s="18" t="s">
        <v>3236</v>
      </c>
      <c r="D2127" s="19" t="s">
        <v>3253</v>
      </c>
      <c r="E2127" s="161" t="s">
        <v>7</v>
      </c>
      <c r="G2127" s="29"/>
      <c r="H2127" s="29"/>
      <c r="I2127" s="29"/>
      <c r="J2127" s="29"/>
      <c r="K2127" s="29"/>
      <c r="L2127" s="29"/>
      <c r="M2127" s="29"/>
      <c r="N2127" s="29"/>
      <c r="O2127" s="29"/>
      <c r="P2127" s="29"/>
      <c r="Q2127" s="29"/>
      <c r="R2127" s="29"/>
      <c r="S2127" s="29"/>
      <c r="T2127" s="29"/>
      <c r="U2127" s="29"/>
      <c r="V2127" s="29"/>
      <c r="W2127" s="29"/>
      <c r="X2127" s="29"/>
      <c r="Y2127" s="29"/>
      <c r="Z2127" s="29"/>
      <c r="AA2127" s="29"/>
      <c r="AB2127" s="29"/>
      <c r="AC2127" s="29"/>
      <c r="AD2127" s="29"/>
    </row>
    <row r="2128">
      <c r="A2128" s="115" t="s">
        <v>3246</v>
      </c>
      <c r="B2128" s="22" t="s">
        <v>2416</v>
      </c>
      <c r="C2128" s="18" t="s">
        <v>2941</v>
      </c>
      <c r="D2128" s="19" t="s">
        <v>2942</v>
      </c>
      <c r="E2128" s="9" t="s">
        <v>1479</v>
      </c>
      <c r="G2128" s="29"/>
      <c r="H2128" s="29"/>
      <c r="I2128" s="29"/>
      <c r="J2128" s="29"/>
      <c r="K2128" s="29"/>
      <c r="L2128" s="29"/>
      <c r="M2128" s="29"/>
      <c r="N2128" s="29"/>
      <c r="O2128" s="29"/>
      <c r="P2128" s="29"/>
      <c r="Q2128" s="29"/>
      <c r="R2128" s="29"/>
      <c r="S2128" s="29"/>
      <c r="T2128" s="29"/>
      <c r="U2128" s="29"/>
      <c r="V2128" s="29"/>
      <c r="W2128" s="29"/>
      <c r="X2128" s="29"/>
      <c r="Y2128" s="29"/>
      <c r="Z2128" s="29"/>
      <c r="AA2128" s="29"/>
      <c r="AB2128" s="29"/>
      <c r="AC2128" s="29"/>
      <c r="AD2128" s="29"/>
    </row>
    <row r="2129">
      <c r="A2129" s="115" t="s">
        <v>3246</v>
      </c>
      <c r="B2129" s="22" t="s">
        <v>2416</v>
      </c>
      <c r="C2129" s="18" t="s">
        <v>3254</v>
      </c>
      <c r="D2129" s="19" t="s">
        <v>3255</v>
      </c>
      <c r="E2129" s="9" t="s">
        <v>1479</v>
      </c>
      <c r="G2129" s="29"/>
      <c r="H2129" s="29"/>
      <c r="I2129" s="29"/>
      <c r="J2129" s="29"/>
      <c r="K2129" s="29"/>
      <c r="L2129" s="29"/>
      <c r="M2129" s="29"/>
      <c r="N2129" s="29"/>
      <c r="O2129" s="29"/>
      <c r="P2129" s="29"/>
      <c r="Q2129" s="29"/>
      <c r="R2129" s="29"/>
      <c r="S2129" s="29"/>
      <c r="T2129" s="29"/>
      <c r="U2129" s="29"/>
      <c r="V2129" s="29"/>
      <c r="W2129" s="29"/>
      <c r="X2129" s="29"/>
      <c r="Y2129" s="29"/>
      <c r="Z2129" s="29"/>
      <c r="AA2129" s="29"/>
      <c r="AB2129" s="29"/>
      <c r="AC2129" s="29"/>
      <c r="AD2129" s="29"/>
    </row>
    <row r="2130">
      <c r="A2130" s="115" t="s">
        <v>3246</v>
      </c>
      <c r="B2130" s="22" t="s">
        <v>2416</v>
      </c>
      <c r="C2130" s="18" t="s">
        <v>3254</v>
      </c>
      <c r="D2130" s="19" t="s">
        <v>3256</v>
      </c>
      <c r="E2130" s="9" t="s">
        <v>1479</v>
      </c>
      <c r="G2130" s="29"/>
      <c r="H2130" s="29"/>
      <c r="I2130" s="29"/>
      <c r="J2130" s="29"/>
      <c r="K2130" s="29"/>
      <c r="L2130" s="29"/>
      <c r="M2130" s="29"/>
      <c r="N2130" s="29"/>
      <c r="O2130" s="29"/>
      <c r="P2130" s="29"/>
      <c r="Q2130" s="29"/>
      <c r="R2130" s="29"/>
      <c r="S2130" s="29"/>
      <c r="T2130" s="29"/>
      <c r="U2130" s="29"/>
      <c r="V2130" s="29"/>
      <c r="W2130" s="29"/>
      <c r="X2130" s="29"/>
      <c r="Y2130" s="29"/>
      <c r="Z2130" s="29"/>
      <c r="AA2130" s="29"/>
      <c r="AB2130" s="29"/>
      <c r="AC2130" s="29"/>
      <c r="AD2130" s="29"/>
    </row>
    <row r="2131">
      <c r="A2131" s="115" t="s">
        <v>3246</v>
      </c>
      <c r="B2131" s="22" t="s">
        <v>2416</v>
      </c>
      <c r="C2131" s="18" t="s">
        <v>2692</v>
      </c>
      <c r="D2131" s="19" t="s">
        <v>3257</v>
      </c>
      <c r="E2131" s="9" t="s">
        <v>1479</v>
      </c>
      <c r="G2131" s="29"/>
      <c r="H2131" s="29"/>
      <c r="I2131" s="29"/>
      <c r="J2131" s="29"/>
      <c r="K2131" s="29"/>
      <c r="L2131" s="29"/>
      <c r="M2131" s="29"/>
      <c r="N2131" s="29"/>
      <c r="O2131" s="29"/>
      <c r="P2131" s="29"/>
      <c r="Q2131" s="29"/>
      <c r="R2131" s="29"/>
      <c r="S2131" s="29"/>
      <c r="T2131" s="29"/>
      <c r="U2131" s="29"/>
      <c r="V2131" s="29"/>
      <c r="W2131" s="29"/>
      <c r="X2131" s="29"/>
      <c r="Y2131" s="29"/>
      <c r="Z2131" s="29"/>
      <c r="AA2131" s="29"/>
      <c r="AB2131" s="29"/>
      <c r="AC2131" s="29"/>
      <c r="AD2131" s="29"/>
    </row>
    <row r="2132">
      <c r="A2132" s="115" t="s">
        <v>3246</v>
      </c>
      <c r="B2132" s="22" t="s">
        <v>3258</v>
      </c>
      <c r="C2132" s="18" t="s">
        <v>3259</v>
      </c>
      <c r="D2132" s="19" t="s">
        <v>3260</v>
      </c>
      <c r="E2132" s="132" t="s">
        <v>14</v>
      </c>
      <c r="G2132" s="29"/>
      <c r="H2132" s="29"/>
      <c r="I2132" s="29"/>
      <c r="J2132" s="29"/>
      <c r="K2132" s="29"/>
      <c r="L2132" s="29"/>
      <c r="M2132" s="29"/>
      <c r="N2132" s="29"/>
      <c r="O2132" s="29"/>
      <c r="P2132" s="29"/>
      <c r="Q2132" s="29"/>
      <c r="R2132" s="29"/>
      <c r="S2132" s="29"/>
      <c r="T2132" s="29"/>
      <c r="U2132" s="29"/>
      <c r="V2132" s="29"/>
      <c r="W2132" s="29"/>
      <c r="X2132" s="29"/>
      <c r="Y2132" s="29"/>
      <c r="Z2132" s="29"/>
      <c r="AA2132" s="29"/>
      <c r="AB2132" s="29"/>
      <c r="AC2132" s="29"/>
      <c r="AD2132" s="29"/>
    </row>
    <row r="2133">
      <c r="A2133" s="115" t="s">
        <v>3246</v>
      </c>
      <c r="B2133" s="22" t="s">
        <v>3223</v>
      </c>
      <c r="C2133" s="18" t="s">
        <v>3261</v>
      </c>
      <c r="D2133" s="19" t="s">
        <v>3262</v>
      </c>
      <c r="E2133" s="161" t="s">
        <v>7</v>
      </c>
      <c r="G2133" s="29"/>
      <c r="H2133" s="29"/>
      <c r="I2133" s="29"/>
      <c r="J2133" s="29"/>
      <c r="K2133" s="29"/>
      <c r="L2133" s="29"/>
      <c r="M2133" s="29"/>
      <c r="N2133" s="29"/>
      <c r="O2133" s="29"/>
      <c r="P2133" s="29"/>
      <c r="Q2133" s="29"/>
      <c r="R2133" s="29"/>
      <c r="S2133" s="29"/>
      <c r="T2133" s="29"/>
      <c r="U2133" s="29"/>
      <c r="V2133" s="29"/>
      <c r="W2133" s="29"/>
      <c r="X2133" s="29"/>
      <c r="Y2133" s="29"/>
      <c r="Z2133" s="29"/>
      <c r="AA2133" s="29"/>
      <c r="AB2133" s="29"/>
      <c r="AC2133" s="29"/>
      <c r="AD2133" s="29"/>
    </row>
    <row r="2134">
      <c r="A2134" s="115" t="s">
        <v>3246</v>
      </c>
      <c r="B2134" s="22" t="s">
        <v>3223</v>
      </c>
      <c r="C2134" s="18" t="s">
        <v>952</v>
      </c>
      <c r="D2134" s="19" t="s">
        <v>3263</v>
      </c>
      <c r="E2134" s="161" t="s">
        <v>7</v>
      </c>
      <c r="G2134" s="29"/>
      <c r="H2134" s="29"/>
      <c r="I2134" s="29"/>
      <c r="J2134" s="29"/>
      <c r="K2134" s="29"/>
      <c r="L2134" s="29"/>
      <c r="M2134" s="29"/>
      <c r="N2134" s="29"/>
      <c r="O2134" s="29"/>
      <c r="P2134" s="29"/>
      <c r="Q2134" s="29"/>
      <c r="R2134" s="29"/>
      <c r="S2134" s="29"/>
      <c r="T2134" s="29"/>
      <c r="U2134" s="29"/>
      <c r="V2134" s="29"/>
      <c r="W2134" s="29"/>
      <c r="X2134" s="29"/>
      <c r="Y2134" s="29"/>
      <c r="Z2134" s="29"/>
      <c r="AA2134" s="29"/>
      <c r="AB2134" s="29"/>
      <c r="AC2134" s="29"/>
      <c r="AD2134" s="29"/>
    </row>
    <row r="2135">
      <c r="A2135" s="115" t="s">
        <v>3246</v>
      </c>
      <c r="B2135" s="22" t="s">
        <v>3223</v>
      </c>
      <c r="C2135" s="18" t="s">
        <v>3264</v>
      </c>
      <c r="D2135" s="19" t="s">
        <v>3265</v>
      </c>
      <c r="E2135" s="161" t="s">
        <v>7</v>
      </c>
      <c r="G2135" s="29"/>
      <c r="H2135" s="29"/>
      <c r="I2135" s="29"/>
      <c r="J2135" s="29"/>
      <c r="K2135" s="29"/>
      <c r="L2135" s="29"/>
      <c r="M2135" s="29"/>
      <c r="N2135" s="29"/>
      <c r="O2135" s="29"/>
      <c r="P2135" s="29"/>
      <c r="Q2135" s="29"/>
      <c r="R2135" s="29"/>
      <c r="S2135" s="29"/>
      <c r="T2135" s="29"/>
      <c r="U2135" s="29"/>
      <c r="V2135" s="29"/>
      <c r="W2135" s="29"/>
      <c r="X2135" s="29"/>
      <c r="Y2135" s="29"/>
      <c r="Z2135" s="29"/>
      <c r="AA2135" s="29"/>
      <c r="AB2135" s="29"/>
      <c r="AC2135" s="29"/>
      <c r="AD2135" s="29"/>
    </row>
    <row r="2136">
      <c r="A2136" s="115" t="s">
        <v>3246</v>
      </c>
      <c r="B2136" s="22" t="s">
        <v>3223</v>
      </c>
      <c r="C2136" s="18" t="s">
        <v>952</v>
      </c>
      <c r="D2136" s="19" t="s">
        <v>3266</v>
      </c>
      <c r="E2136" s="161" t="s">
        <v>7</v>
      </c>
      <c r="G2136" s="29"/>
      <c r="H2136" s="29"/>
      <c r="I2136" s="29"/>
      <c r="J2136" s="29"/>
      <c r="K2136" s="29"/>
      <c r="L2136" s="29"/>
      <c r="M2136" s="29"/>
      <c r="N2136" s="29"/>
      <c r="O2136" s="29"/>
      <c r="P2136" s="29"/>
      <c r="Q2136" s="29"/>
      <c r="R2136" s="29"/>
      <c r="S2136" s="29"/>
      <c r="T2136" s="29"/>
      <c r="U2136" s="29"/>
      <c r="V2136" s="29"/>
      <c r="W2136" s="29"/>
      <c r="X2136" s="29"/>
      <c r="Y2136" s="29"/>
      <c r="Z2136" s="29"/>
      <c r="AA2136" s="29"/>
      <c r="AB2136" s="29"/>
      <c r="AC2136" s="29"/>
      <c r="AD2136" s="29"/>
    </row>
    <row r="2137">
      <c r="A2137" s="115" t="s">
        <v>3246</v>
      </c>
      <c r="B2137" s="22" t="s">
        <v>3223</v>
      </c>
      <c r="C2137" s="18" t="s">
        <v>952</v>
      </c>
      <c r="D2137" s="19" t="s">
        <v>3267</v>
      </c>
      <c r="E2137" s="161" t="s">
        <v>7</v>
      </c>
      <c r="G2137" s="29"/>
      <c r="H2137" s="29"/>
      <c r="I2137" s="29"/>
      <c r="J2137" s="29"/>
      <c r="K2137" s="29"/>
      <c r="L2137" s="29"/>
      <c r="M2137" s="29"/>
      <c r="N2137" s="29"/>
      <c r="O2137" s="29"/>
      <c r="P2137" s="29"/>
      <c r="Q2137" s="29"/>
      <c r="R2137" s="29"/>
      <c r="S2137" s="29"/>
      <c r="T2137" s="29"/>
      <c r="U2137" s="29"/>
      <c r="V2137" s="29"/>
      <c r="W2137" s="29"/>
      <c r="X2137" s="29"/>
      <c r="Y2137" s="29"/>
      <c r="Z2137" s="29"/>
      <c r="AA2137" s="29"/>
      <c r="AB2137" s="29"/>
      <c r="AC2137" s="29"/>
      <c r="AD2137" s="29"/>
    </row>
    <row r="2138">
      <c r="A2138" s="115" t="s">
        <v>3246</v>
      </c>
      <c r="B2138" s="22" t="s">
        <v>3223</v>
      </c>
      <c r="C2138" s="18" t="s">
        <v>3268</v>
      </c>
      <c r="D2138" s="19" t="s">
        <v>3269</v>
      </c>
      <c r="E2138" s="161" t="s">
        <v>7</v>
      </c>
      <c r="G2138" s="29"/>
      <c r="H2138" s="29"/>
      <c r="I2138" s="29"/>
      <c r="J2138" s="29"/>
      <c r="K2138" s="29"/>
      <c r="L2138" s="29"/>
      <c r="M2138" s="29"/>
      <c r="N2138" s="29"/>
      <c r="O2138" s="29"/>
      <c r="P2138" s="29"/>
      <c r="Q2138" s="29"/>
      <c r="R2138" s="29"/>
      <c r="S2138" s="29"/>
      <c r="T2138" s="29"/>
      <c r="U2138" s="29"/>
      <c r="V2138" s="29"/>
      <c r="W2138" s="29"/>
      <c r="X2138" s="29"/>
      <c r="Y2138" s="29"/>
      <c r="Z2138" s="29"/>
      <c r="AA2138" s="29"/>
      <c r="AB2138" s="29"/>
      <c r="AC2138" s="29"/>
      <c r="AD2138" s="29"/>
    </row>
    <row r="2139">
      <c r="A2139" s="115" t="s">
        <v>3246</v>
      </c>
      <c r="B2139" s="22" t="s">
        <v>3223</v>
      </c>
      <c r="C2139" s="18" t="s">
        <v>952</v>
      </c>
      <c r="D2139" s="19" t="s">
        <v>3270</v>
      </c>
      <c r="E2139" s="161" t="s">
        <v>7</v>
      </c>
      <c r="G2139" s="29"/>
      <c r="H2139" s="29"/>
      <c r="I2139" s="29"/>
      <c r="J2139" s="29"/>
      <c r="K2139" s="29"/>
      <c r="L2139" s="29"/>
      <c r="M2139" s="29"/>
      <c r="N2139" s="29"/>
      <c r="O2139" s="29"/>
      <c r="P2139" s="29"/>
      <c r="Q2139" s="29"/>
      <c r="R2139" s="29"/>
      <c r="S2139" s="29"/>
      <c r="T2139" s="29"/>
      <c r="U2139" s="29"/>
      <c r="V2139" s="29"/>
      <c r="W2139" s="29"/>
      <c r="X2139" s="29"/>
      <c r="Y2139" s="29"/>
      <c r="Z2139" s="29"/>
      <c r="AA2139" s="29"/>
      <c r="AB2139" s="29"/>
      <c r="AC2139" s="29"/>
      <c r="AD2139" s="29"/>
    </row>
    <row r="2140">
      <c r="A2140" s="115" t="s">
        <v>3246</v>
      </c>
      <c r="B2140" s="22" t="s">
        <v>3223</v>
      </c>
      <c r="C2140" s="18" t="s">
        <v>952</v>
      </c>
      <c r="D2140" s="19" t="s">
        <v>3271</v>
      </c>
      <c r="E2140" s="161" t="s">
        <v>7</v>
      </c>
      <c r="G2140" s="29"/>
      <c r="H2140" s="29"/>
      <c r="I2140" s="29"/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  <c r="AA2140" s="29"/>
      <c r="AB2140" s="29"/>
      <c r="AC2140" s="29"/>
      <c r="AD2140" s="29"/>
    </row>
    <row r="2141">
      <c r="A2141" s="115" t="s">
        <v>3246</v>
      </c>
      <c r="B2141" s="22" t="s">
        <v>3223</v>
      </c>
      <c r="C2141" s="18" t="s">
        <v>3226</v>
      </c>
      <c r="D2141" s="19" t="s">
        <v>3272</v>
      </c>
      <c r="E2141" s="161" t="s">
        <v>7</v>
      </c>
      <c r="G2141" s="29"/>
      <c r="H2141" s="29"/>
      <c r="I2141" s="29"/>
      <c r="J2141" s="29"/>
      <c r="K2141" s="29"/>
      <c r="L2141" s="29"/>
      <c r="M2141" s="29"/>
      <c r="N2141" s="29"/>
      <c r="O2141" s="29"/>
      <c r="P2141" s="29"/>
      <c r="Q2141" s="29"/>
      <c r="R2141" s="29"/>
      <c r="S2141" s="29"/>
      <c r="T2141" s="29"/>
      <c r="U2141" s="29"/>
      <c r="V2141" s="29"/>
      <c r="W2141" s="29"/>
      <c r="X2141" s="29"/>
      <c r="Y2141" s="29"/>
      <c r="Z2141" s="29"/>
      <c r="AA2141" s="29"/>
      <c r="AB2141" s="29"/>
      <c r="AC2141" s="29"/>
      <c r="AD2141" s="29"/>
    </row>
    <row r="2142">
      <c r="A2142" s="115" t="s">
        <v>3246</v>
      </c>
      <c r="B2142" s="22" t="s">
        <v>3223</v>
      </c>
      <c r="C2142" s="18" t="s">
        <v>952</v>
      </c>
      <c r="D2142" s="19" t="s">
        <v>3273</v>
      </c>
      <c r="E2142" s="161" t="s">
        <v>7</v>
      </c>
      <c r="G2142" s="29"/>
      <c r="H2142" s="29"/>
      <c r="I2142" s="29"/>
      <c r="J2142" s="29"/>
      <c r="K2142" s="29"/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  <c r="AA2142" s="29"/>
      <c r="AB2142" s="29"/>
      <c r="AC2142" s="29"/>
      <c r="AD2142" s="29"/>
    </row>
    <row r="2143">
      <c r="A2143" s="115" t="s">
        <v>3246</v>
      </c>
      <c r="B2143" s="22" t="s">
        <v>3223</v>
      </c>
      <c r="C2143" s="18" t="s">
        <v>952</v>
      </c>
      <c r="D2143" s="19" t="s">
        <v>3274</v>
      </c>
      <c r="E2143" s="161" t="s">
        <v>7</v>
      </c>
      <c r="G2143" s="29"/>
      <c r="H2143" s="29"/>
      <c r="I2143" s="29"/>
      <c r="J2143" s="29"/>
      <c r="K2143" s="29"/>
      <c r="L2143" s="29"/>
      <c r="M2143" s="29"/>
      <c r="N2143" s="29"/>
      <c r="O2143" s="29"/>
      <c r="P2143" s="29"/>
      <c r="Q2143" s="29"/>
      <c r="R2143" s="29"/>
      <c r="S2143" s="29"/>
      <c r="T2143" s="29"/>
      <c r="U2143" s="29"/>
      <c r="V2143" s="29"/>
      <c r="W2143" s="29"/>
      <c r="X2143" s="29"/>
      <c r="Y2143" s="29"/>
      <c r="Z2143" s="29"/>
      <c r="AA2143" s="29"/>
      <c r="AB2143" s="29"/>
      <c r="AC2143" s="29"/>
      <c r="AD2143" s="29"/>
    </row>
    <row r="2144">
      <c r="A2144" s="115" t="s">
        <v>3246</v>
      </c>
      <c r="B2144" s="22" t="s">
        <v>3223</v>
      </c>
      <c r="C2144" s="18" t="s">
        <v>952</v>
      </c>
      <c r="D2144" s="19" t="s">
        <v>3275</v>
      </c>
      <c r="E2144" s="161" t="s">
        <v>7</v>
      </c>
      <c r="G2144" s="29"/>
      <c r="H2144" s="29"/>
      <c r="I2144" s="29"/>
      <c r="J2144" s="29"/>
      <c r="K2144" s="29"/>
      <c r="L2144" s="29"/>
      <c r="M2144" s="29"/>
      <c r="N2144" s="29"/>
      <c r="O2144" s="29"/>
      <c r="P2144" s="29"/>
      <c r="Q2144" s="29"/>
      <c r="R2144" s="29"/>
      <c r="S2144" s="29"/>
      <c r="T2144" s="29"/>
      <c r="U2144" s="29"/>
      <c r="V2144" s="29"/>
      <c r="W2144" s="29"/>
      <c r="X2144" s="29"/>
      <c r="Y2144" s="29"/>
      <c r="Z2144" s="29"/>
      <c r="AA2144" s="29"/>
      <c r="AB2144" s="29"/>
      <c r="AC2144" s="29"/>
      <c r="AD2144" s="29"/>
    </row>
    <row r="2145">
      <c r="A2145" s="115" t="s">
        <v>3246</v>
      </c>
      <c r="B2145" s="22" t="s">
        <v>3039</v>
      </c>
      <c r="C2145" s="18" t="s">
        <v>3276</v>
      </c>
      <c r="D2145" s="19" t="s">
        <v>3277</v>
      </c>
      <c r="E2145" s="161" t="s">
        <v>1479</v>
      </c>
      <c r="G2145" s="29"/>
      <c r="H2145" s="29"/>
      <c r="I2145" s="29"/>
      <c r="J2145" s="29"/>
      <c r="K2145" s="29"/>
      <c r="L2145" s="29"/>
      <c r="M2145" s="29"/>
      <c r="N2145" s="29"/>
      <c r="O2145" s="29"/>
      <c r="P2145" s="29"/>
      <c r="Q2145" s="29"/>
      <c r="R2145" s="29"/>
      <c r="S2145" s="29"/>
      <c r="T2145" s="29"/>
      <c r="U2145" s="29"/>
      <c r="V2145" s="29"/>
      <c r="W2145" s="29"/>
      <c r="X2145" s="29"/>
      <c r="Y2145" s="29"/>
      <c r="Z2145" s="29"/>
      <c r="AA2145" s="29"/>
      <c r="AB2145" s="29"/>
      <c r="AC2145" s="29"/>
      <c r="AD2145" s="29"/>
    </row>
    <row r="2146">
      <c r="A2146" s="18"/>
      <c r="B2146" s="22"/>
      <c r="C2146" s="18"/>
      <c r="D2146" s="19"/>
      <c r="E2146" s="49"/>
      <c r="G2146" s="29"/>
      <c r="H2146" s="29"/>
      <c r="I2146" s="29"/>
      <c r="J2146" s="29"/>
      <c r="K2146" s="29"/>
      <c r="L2146" s="29"/>
      <c r="M2146" s="29"/>
      <c r="N2146" s="29"/>
      <c r="O2146" s="29"/>
      <c r="P2146" s="29"/>
      <c r="Q2146" s="29"/>
      <c r="R2146" s="29"/>
      <c r="S2146" s="29"/>
      <c r="T2146" s="29"/>
      <c r="U2146" s="29"/>
      <c r="V2146" s="29"/>
      <c r="W2146" s="29"/>
      <c r="X2146" s="29"/>
      <c r="Y2146" s="29"/>
      <c r="Z2146" s="29"/>
      <c r="AA2146" s="29"/>
      <c r="AB2146" s="29"/>
      <c r="AC2146" s="29"/>
      <c r="AD2146" s="29"/>
    </row>
    <row r="2147">
      <c r="A2147" s="18"/>
      <c r="B2147" s="22"/>
      <c r="C2147" s="18"/>
      <c r="D2147" s="19"/>
      <c r="E2147" s="49"/>
      <c r="G2147" s="29"/>
      <c r="H2147" s="29"/>
      <c r="I2147" s="29"/>
      <c r="J2147" s="29"/>
      <c r="K2147" s="29"/>
      <c r="L2147" s="29"/>
      <c r="M2147" s="29"/>
      <c r="N2147" s="29"/>
      <c r="O2147" s="29"/>
      <c r="P2147" s="29"/>
      <c r="Q2147" s="29"/>
      <c r="R2147" s="29"/>
      <c r="S2147" s="29"/>
      <c r="T2147" s="29"/>
      <c r="U2147" s="29"/>
      <c r="V2147" s="29"/>
      <c r="W2147" s="29"/>
      <c r="X2147" s="29"/>
      <c r="Y2147" s="29"/>
      <c r="Z2147" s="29"/>
      <c r="AA2147" s="29"/>
      <c r="AB2147" s="29"/>
      <c r="AC2147" s="29"/>
      <c r="AD2147" s="29"/>
    </row>
    <row r="2148">
      <c r="A2148" s="115" t="s">
        <v>3278</v>
      </c>
      <c r="B2148" s="22" t="s">
        <v>3279</v>
      </c>
      <c r="C2148" s="18" t="s">
        <v>3280</v>
      </c>
      <c r="D2148" s="19" t="s">
        <v>3281</v>
      </c>
      <c r="E2148" s="161" t="s">
        <v>7</v>
      </c>
      <c r="G2148" s="29"/>
      <c r="H2148" s="29"/>
      <c r="I2148" s="29"/>
      <c r="J2148" s="29"/>
      <c r="K2148" s="29"/>
      <c r="L2148" s="29"/>
      <c r="M2148" s="29"/>
      <c r="N2148" s="29"/>
      <c r="O2148" s="29"/>
      <c r="P2148" s="29"/>
      <c r="Q2148" s="29"/>
      <c r="R2148" s="29"/>
      <c r="S2148" s="29"/>
      <c r="T2148" s="29"/>
      <c r="U2148" s="29"/>
      <c r="V2148" s="29"/>
      <c r="W2148" s="29"/>
      <c r="X2148" s="29"/>
      <c r="Y2148" s="29"/>
      <c r="Z2148" s="29"/>
      <c r="AA2148" s="29"/>
      <c r="AB2148" s="29"/>
      <c r="AC2148" s="29"/>
      <c r="AD2148" s="29"/>
    </row>
    <row r="2149">
      <c r="A2149" s="115" t="s">
        <v>3278</v>
      </c>
      <c r="B2149" s="22" t="s">
        <v>3279</v>
      </c>
      <c r="C2149" s="18" t="s">
        <v>3280</v>
      </c>
      <c r="D2149" s="19" t="s">
        <v>3282</v>
      </c>
      <c r="E2149" s="161" t="s">
        <v>7</v>
      </c>
      <c r="G2149" s="29"/>
      <c r="H2149" s="29"/>
      <c r="I2149" s="29"/>
      <c r="J2149" s="29"/>
      <c r="K2149" s="29"/>
      <c r="L2149" s="29"/>
      <c r="M2149" s="29"/>
      <c r="N2149" s="29"/>
      <c r="O2149" s="29"/>
      <c r="P2149" s="29"/>
      <c r="Q2149" s="29"/>
      <c r="R2149" s="29"/>
      <c r="S2149" s="29"/>
      <c r="T2149" s="29"/>
      <c r="U2149" s="29"/>
      <c r="V2149" s="29"/>
      <c r="W2149" s="29"/>
      <c r="X2149" s="29"/>
      <c r="Y2149" s="29"/>
      <c r="Z2149" s="29"/>
      <c r="AA2149" s="29"/>
      <c r="AB2149" s="29"/>
      <c r="AC2149" s="29"/>
      <c r="AD2149" s="29"/>
    </row>
    <row r="2150">
      <c r="A2150" s="115" t="s">
        <v>3278</v>
      </c>
      <c r="B2150" s="22" t="s">
        <v>3279</v>
      </c>
      <c r="C2150" s="18" t="s">
        <v>3280</v>
      </c>
      <c r="D2150" s="19" t="s">
        <v>3283</v>
      </c>
      <c r="E2150" s="161" t="s">
        <v>7</v>
      </c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29"/>
      <c r="AB2150" s="29"/>
      <c r="AC2150" s="29"/>
      <c r="AD2150" s="29"/>
    </row>
    <row r="2151">
      <c r="A2151" s="115" t="s">
        <v>3278</v>
      </c>
      <c r="B2151" s="22" t="s">
        <v>3279</v>
      </c>
      <c r="C2151" s="18" t="s">
        <v>3280</v>
      </c>
      <c r="D2151" s="19" t="s">
        <v>3284</v>
      </c>
      <c r="E2151" s="161" t="s">
        <v>7</v>
      </c>
      <c r="G2151" s="29"/>
      <c r="H2151" s="29"/>
      <c r="I2151" s="29"/>
      <c r="J2151" s="29"/>
      <c r="K2151" s="29"/>
      <c r="L2151" s="29"/>
      <c r="M2151" s="29"/>
      <c r="N2151" s="29"/>
      <c r="O2151" s="29"/>
      <c r="P2151" s="29"/>
      <c r="Q2151" s="29"/>
      <c r="R2151" s="29"/>
      <c r="S2151" s="29"/>
      <c r="T2151" s="29"/>
      <c r="U2151" s="29"/>
      <c r="V2151" s="29"/>
      <c r="W2151" s="29"/>
      <c r="X2151" s="29"/>
      <c r="Y2151" s="29"/>
      <c r="Z2151" s="29"/>
      <c r="AA2151" s="29"/>
      <c r="AB2151" s="29"/>
      <c r="AC2151" s="29"/>
      <c r="AD2151" s="29"/>
    </row>
    <row r="2152">
      <c r="A2152" s="115" t="s">
        <v>3278</v>
      </c>
      <c r="B2152" s="22" t="s">
        <v>3279</v>
      </c>
      <c r="C2152" s="18" t="s">
        <v>3280</v>
      </c>
      <c r="D2152" s="19" t="s">
        <v>3285</v>
      </c>
      <c r="E2152" s="161" t="s">
        <v>7</v>
      </c>
      <c r="G2152" s="29"/>
      <c r="H2152" s="29"/>
      <c r="I2152" s="29"/>
      <c r="J2152" s="29"/>
      <c r="K2152" s="29"/>
      <c r="L2152" s="29"/>
      <c r="M2152" s="29"/>
      <c r="N2152" s="29"/>
      <c r="O2152" s="29"/>
      <c r="P2152" s="29"/>
      <c r="Q2152" s="29"/>
      <c r="R2152" s="29"/>
      <c r="S2152" s="29"/>
      <c r="T2152" s="29"/>
      <c r="U2152" s="29"/>
      <c r="V2152" s="29"/>
      <c r="W2152" s="29"/>
      <c r="X2152" s="29"/>
      <c r="Y2152" s="29"/>
      <c r="Z2152" s="29"/>
      <c r="AA2152" s="29"/>
      <c r="AB2152" s="29"/>
      <c r="AC2152" s="29"/>
      <c r="AD2152" s="29"/>
    </row>
    <row r="2153">
      <c r="A2153" s="115" t="s">
        <v>3278</v>
      </c>
      <c r="B2153" s="22" t="s">
        <v>3279</v>
      </c>
      <c r="C2153" s="18" t="s">
        <v>3280</v>
      </c>
      <c r="D2153" s="19" t="s">
        <v>3286</v>
      </c>
      <c r="E2153" s="161" t="s">
        <v>7</v>
      </c>
      <c r="G2153" s="29"/>
      <c r="H2153" s="29"/>
      <c r="I2153" s="29"/>
      <c r="J2153" s="29"/>
      <c r="K2153" s="29"/>
      <c r="L2153" s="29"/>
      <c r="M2153" s="29"/>
      <c r="N2153" s="29"/>
      <c r="O2153" s="29"/>
      <c r="P2153" s="29"/>
      <c r="Q2153" s="29"/>
      <c r="R2153" s="29"/>
      <c r="S2153" s="29"/>
      <c r="T2153" s="29"/>
      <c r="U2153" s="29"/>
      <c r="V2153" s="29"/>
      <c r="W2153" s="29"/>
      <c r="X2153" s="29"/>
      <c r="Y2153" s="29"/>
      <c r="Z2153" s="29"/>
      <c r="AA2153" s="29"/>
      <c r="AB2153" s="29"/>
      <c r="AC2153" s="29"/>
      <c r="AD2153" s="29"/>
    </row>
    <row r="2154">
      <c r="A2154" s="115" t="s">
        <v>3278</v>
      </c>
      <c r="B2154" s="22" t="s">
        <v>3279</v>
      </c>
      <c r="C2154" s="18" t="s">
        <v>3280</v>
      </c>
      <c r="D2154" s="19" t="s">
        <v>3287</v>
      </c>
      <c r="E2154" s="161" t="s">
        <v>7</v>
      </c>
      <c r="G2154" s="29"/>
      <c r="H2154" s="29"/>
      <c r="I2154" s="29"/>
      <c r="J2154" s="29"/>
      <c r="K2154" s="29"/>
      <c r="L2154" s="29"/>
      <c r="M2154" s="29"/>
      <c r="N2154" s="29"/>
      <c r="O2154" s="29"/>
      <c r="P2154" s="29"/>
      <c r="Q2154" s="29"/>
      <c r="R2154" s="29"/>
      <c r="S2154" s="29"/>
      <c r="T2154" s="29"/>
      <c r="U2154" s="29"/>
      <c r="V2154" s="29"/>
      <c r="W2154" s="29"/>
      <c r="X2154" s="29"/>
      <c r="Y2154" s="29"/>
      <c r="Z2154" s="29"/>
      <c r="AA2154" s="29"/>
      <c r="AB2154" s="29"/>
      <c r="AC2154" s="29"/>
      <c r="AD2154" s="29"/>
    </row>
    <row r="2155">
      <c r="A2155" s="115" t="s">
        <v>3278</v>
      </c>
      <c r="B2155" s="22" t="s">
        <v>3223</v>
      </c>
      <c r="C2155" s="18" t="s">
        <v>952</v>
      </c>
      <c r="D2155" s="19" t="s">
        <v>3288</v>
      </c>
      <c r="E2155" s="161" t="s">
        <v>7</v>
      </c>
      <c r="G2155" s="29"/>
      <c r="H2155" s="29"/>
      <c r="I2155" s="29"/>
      <c r="J2155" s="29"/>
      <c r="K2155" s="29"/>
      <c r="L2155" s="29"/>
      <c r="M2155" s="29"/>
      <c r="N2155" s="29"/>
      <c r="O2155" s="29"/>
      <c r="P2155" s="29"/>
      <c r="Q2155" s="29"/>
      <c r="R2155" s="29"/>
      <c r="S2155" s="29"/>
      <c r="T2155" s="29"/>
      <c r="U2155" s="29"/>
      <c r="V2155" s="29"/>
      <c r="W2155" s="29"/>
      <c r="X2155" s="29"/>
      <c r="Y2155" s="29"/>
      <c r="Z2155" s="29"/>
      <c r="AA2155" s="29"/>
      <c r="AB2155" s="29"/>
      <c r="AC2155" s="29"/>
      <c r="AD2155" s="29"/>
    </row>
    <row r="2156">
      <c r="A2156" s="115" t="s">
        <v>3278</v>
      </c>
      <c r="B2156" s="22" t="s">
        <v>3223</v>
      </c>
      <c r="C2156" s="18" t="s">
        <v>952</v>
      </c>
      <c r="D2156" s="19" t="s">
        <v>3289</v>
      </c>
      <c r="E2156" s="161" t="s">
        <v>7</v>
      </c>
      <c r="G2156" s="29"/>
      <c r="H2156" s="29"/>
      <c r="I2156" s="29"/>
      <c r="J2156" s="29"/>
      <c r="K2156" s="29"/>
      <c r="L2156" s="29"/>
      <c r="M2156" s="29"/>
      <c r="N2156" s="29"/>
      <c r="O2156" s="29"/>
      <c r="P2156" s="29"/>
      <c r="Q2156" s="29"/>
      <c r="R2156" s="29"/>
      <c r="S2156" s="29"/>
      <c r="T2156" s="29"/>
      <c r="U2156" s="29"/>
      <c r="V2156" s="29"/>
      <c r="W2156" s="29"/>
      <c r="X2156" s="29"/>
      <c r="Y2156" s="29"/>
      <c r="Z2156" s="29"/>
      <c r="AA2156" s="29"/>
      <c r="AB2156" s="29"/>
      <c r="AC2156" s="29"/>
      <c r="AD2156" s="29"/>
    </row>
    <row r="2157">
      <c r="A2157" s="115" t="s">
        <v>3278</v>
      </c>
      <c r="B2157" s="22" t="s">
        <v>3223</v>
      </c>
      <c r="C2157" s="18" t="s">
        <v>952</v>
      </c>
      <c r="D2157" s="19" t="s">
        <v>3290</v>
      </c>
      <c r="E2157" s="161" t="s">
        <v>7</v>
      </c>
      <c r="G2157" s="29"/>
      <c r="H2157" s="29"/>
      <c r="I2157" s="29"/>
      <c r="J2157" s="29"/>
      <c r="K2157" s="29"/>
      <c r="L2157" s="29"/>
      <c r="M2157" s="29"/>
      <c r="N2157" s="29"/>
      <c r="O2157" s="29"/>
      <c r="P2157" s="29"/>
      <c r="Q2157" s="29"/>
      <c r="R2157" s="29"/>
      <c r="S2157" s="29"/>
      <c r="T2157" s="29"/>
      <c r="U2157" s="29"/>
      <c r="V2157" s="29"/>
      <c r="W2157" s="29"/>
      <c r="X2157" s="29"/>
      <c r="Y2157" s="29"/>
      <c r="Z2157" s="29"/>
      <c r="AA2157" s="29"/>
      <c r="AB2157" s="29"/>
      <c r="AC2157" s="29"/>
      <c r="AD2157" s="29"/>
    </row>
    <row r="2158">
      <c r="A2158" s="115" t="s">
        <v>3278</v>
      </c>
      <c r="B2158" s="22" t="s">
        <v>3223</v>
      </c>
      <c r="C2158" s="18" t="s">
        <v>952</v>
      </c>
      <c r="D2158" s="19" t="s">
        <v>3291</v>
      </c>
      <c r="E2158" s="161" t="s">
        <v>7</v>
      </c>
      <c r="G2158" s="29"/>
      <c r="H2158" s="29"/>
      <c r="I2158" s="29"/>
      <c r="J2158" s="29"/>
      <c r="K2158" s="29"/>
      <c r="L2158" s="29"/>
      <c r="M2158" s="29"/>
      <c r="N2158" s="29"/>
      <c r="O2158" s="29"/>
      <c r="P2158" s="29"/>
      <c r="Q2158" s="29"/>
      <c r="R2158" s="29"/>
      <c r="S2158" s="29"/>
      <c r="T2158" s="29"/>
      <c r="U2158" s="29"/>
      <c r="V2158" s="29"/>
      <c r="W2158" s="29"/>
      <c r="X2158" s="29"/>
      <c r="Y2158" s="29"/>
      <c r="Z2158" s="29"/>
      <c r="AA2158" s="29"/>
      <c r="AB2158" s="29"/>
      <c r="AC2158" s="29"/>
      <c r="AD2158" s="29"/>
    </row>
    <row r="2159">
      <c r="A2159" s="115" t="s">
        <v>3278</v>
      </c>
      <c r="B2159" s="22" t="s">
        <v>3223</v>
      </c>
      <c r="C2159" s="18" t="s">
        <v>952</v>
      </c>
      <c r="D2159" s="19" t="s">
        <v>3292</v>
      </c>
      <c r="E2159" s="161" t="s">
        <v>7</v>
      </c>
      <c r="G2159" s="29"/>
      <c r="H2159" s="29"/>
      <c r="I2159" s="29"/>
      <c r="J2159" s="29"/>
      <c r="K2159" s="29"/>
      <c r="L2159" s="29"/>
      <c r="M2159" s="29"/>
      <c r="N2159" s="29"/>
      <c r="O2159" s="29"/>
      <c r="P2159" s="29"/>
      <c r="Q2159" s="29"/>
      <c r="R2159" s="29"/>
      <c r="S2159" s="29"/>
      <c r="T2159" s="29"/>
      <c r="U2159" s="29"/>
      <c r="V2159" s="29"/>
      <c r="W2159" s="29"/>
      <c r="X2159" s="29"/>
      <c r="Y2159" s="29"/>
      <c r="Z2159" s="29"/>
      <c r="AA2159" s="29"/>
      <c r="AB2159" s="29"/>
      <c r="AC2159" s="29"/>
      <c r="AD2159" s="29"/>
    </row>
    <row r="2160">
      <c r="A2160" s="115" t="s">
        <v>3278</v>
      </c>
      <c r="B2160" s="22" t="s">
        <v>3293</v>
      </c>
      <c r="C2160" s="18" t="s">
        <v>3236</v>
      </c>
      <c r="D2160" s="19" t="s">
        <v>3294</v>
      </c>
      <c r="E2160" s="132" t="s">
        <v>1506</v>
      </c>
      <c r="G2160" s="29"/>
      <c r="H2160" s="29"/>
      <c r="I2160" s="29"/>
      <c r="J2160" s="29"/>
      <c r="K2160" s="29"/>
      <c r="L2160" s="29"/>
      <c r="M2160" s="29"/>
      <c r="N2160" s="29"/>
      <c r="O2160" s="29"/>
      <c r="P2160" s="29"/>
      <c r="Q2160" s="29"/>
      <c r="R2160" s="29"/>
      <c r="S2160" s="29"/>
      <c r="T2160" s="29"/>
      <c r="U2160" s="29"/>
      <c r="V2160" s="29"/>
      <c r="W2160" s="29"/>
      <c r="X2160" s="29"/>
      <c r="Y2160" s="29"/>
      <c r="Z2160" s="29"/>
      <c r="AA2160" s="29"/>
      <c r="AB2160" s="29"/>
      <c r="AC2160" s="29"/>
      <c r="AD2160" s="29"/>
    </row>
    <row r="2161">
      <c r="A2161" s="115" t="s">
        <v>3278</v>
      </c>
      <c r="B2161" s="22" t="s">
        <v>2619</v>
      </c>
      <c r="C2161" s="18" t="s">
        <v>3295</v>
      </c>
      <c r="D2161" s="19" t="s">
        <v>2833</v>
      </c>
      <c r="E2161" s="132" t="s">
        <v>1506</v>
      </c>
      <c r="G2161" s="29"/>
      <c r="H2161" s="29"/>
      <c r="I2161" s="29"/>
      <c r="J2161" s="29"/>
      <c r="K2161" s="29"/>
      <c r="L2161" s="29"/>
      <c r="M2161" s="29"/>
      <c r="N2161" s="29"/>
      <c r="O2161" s="29"/>
      <c r="P2161" s="29"/>
      <c r="Q2161" s="29"/>
      <c r="R2161" s="29"/>
      <c r="S2161" s="29"/>
      <c r="T2161" s="29"/>
      <c r="U2161" s="29"/>
      <c r="V2161" s="29"/>
      <c r="W2161" s="29"/>
      <c r="X2161" s="29"/>
      <c r="Y2161" s="29"/>
      <c r="Z2161" s="29"/>
      <c r="AA2161" s="29"/>
      <c r="AB2161" s="29"/>
      <c r="AC2161" s="29"/>
      <c r="AD2161" s="29"/>
    </row>
    <row r="2162">
      <c r="A2162" s="6"/>
      <c r="B2162" s="9"/>
      <c r="C2162" s="9"/>
      <c r="D2162" s="9"/>
      <c r="E2162" s="9"/>
      <c r="G2162" s="29"/>
      <c r="H2162" s="29"/>
      <c r="I2162" s="29"/>
      <c r="J2162" s="29"/>
      <c r="K2162" s="29"/>
      <c r="L2162" s="29"/>
      <c r="M2162" s="29"/>
      <c r="N2162" s="29"/>
      <c r="O2162" s="29"/>
      <c r="P2162" s="29"/>
      <c r="Q2162" s="29"/>
      <c r="R2162" s="29"/>
      <c r="S2162" s="29"/>
      <c r="T2162" s="29"/>
      <c r="U2162" s="29"/>
      <c r="V2162" s="29"/>
      <c r="W2162" s="29"/>
      <c r="X2162" s="29"/>
      <c r="Y2162" s="29"/>
      <c r="Z2162" s="29"/>
      <c r="AA2162" s="29"/>
      <c r="AB2162" s="29"/>
      <c r="AC2162" s="29"/>
      <c r="AD2162" s="29"/>
    </row>
    <row r="2163">
      <c r="A2163" s="6"/>
      <c r="B2163" s="9"/>
      <c r="C2163" s="9"/>
      <c r="D2163" s="9"/>
      <c r="E2163" s="9"/>
      <c r="G2163" s="29"/>
      <c r="H2163" s="29"/>
      <c r="I2163" s="29"/>
      <c r="J2163" s="29"/>
      <c r="K2163" s="29"/>
      <c r="L2163" s="29"/>
      <c r="M2163" s="29"/>
      <c r="N2163" s="29"/>
      <c r="O2163" s="29"/>
      <c r="P2163" s="29"/>
      <c r="Q2163" s="29"/>
      <c r="R2163" s="29"/>
      <c r="S2163" s="29"/>
      <c r="T2163" s="29"/>
      <c r="U2163" s="29"/>
      <c r="V2163" s="29"/>
      <c r="W2163" s="29"/>
      <c r="X2163" s="29"/>
      <c r="Y2163" s="29"/>
      <c r="Z2163" s="29"/>
      <c r="AA2163" s="29"/>
      <c r="AB2163" s="29"/>
      <c r="AC2163" s="29"/>
      <c r="AD2163" s="29"/>
    </row>
    <row r="2164">
      <c r="A2164" s="115" t="s">
        <v>3278</v>
      </c>
      <c r="B2164" s="22" t="s">
        <v>2619</v>
      </c>
      <c r="C2164" s="18" t="s">
        <v>3296</v>
      </c>
      <c r="D2164" s="19" t="s">
        <v>2833</v>
      </c>
      <c r="E2164" s="132" t="s">
        <v>1506</v>
      </c>
      <c r="G2164" s="29"/>
      <c r="H2164" s="29"/>
      <c r="I2164" s="29"/>
      <c r="J2164" s="29"/>
      <c r="K2164" s="29"/>
      <c r="L2164" s="29"/>
      <c r="M2164" s="29"/>
      <c r="N2164" s="29"/>
      <c r="O2164" s="29"/>
      <c r="P2164" s="29"/>
      <c r="Q2164" s="29"/>
      <c r="R2164" s="29"/>
      <c r="S2164" s="29"/>
      <c r="T2164" s="29"/>
      <c r="U2164" s="29"/>
      <c r="V2164" s="29"/>
      <c r="W2164" s="29"/>
      <c r="X2164" s="29"/>
      <c r="Y2164" s="29"/>
      <c r="Z2164" s="29"/>
      <c r="AA2164" s="29"/>
      <c r="AB2164" s="29"/>
      <c r="AC2164" s="29"/>
      <c r="AD2164" s="29"/>
    </row>
    <row r="2165">
      <c r="A2165" s="115" t="s">
        <v>3297</v>
      </c>
      <c r="B2165" s="22" t="s">
        <v>2416</v>
      </c>
      <c r="C2165" s="18" t="s">
        <v>3298</v>
      </c>
      <c r="D2165" s="19" t="s">
        <v>3299</v>
      </c>
      <c r="E2165" s="9" t="s">
        <v>3217</v>
      </c>
      <c r="G2165" s="29"/>
      <c r="H2165" s="29"/>
      <c r="I2165" s="29"/>
      <c r="J2165" s="29"/>
      <c r="K2165" s="29"/>
      <c r="L2165" s="29"/>
      <c r="M2165" s="29"/>
      <c r="N2165" s="29"/>
      <c r="O2165" s="29"/>
      <c r="P2165" s="29"/>
      <c r="Q2165" s="29"/>
      <c r="R2165" s="29"/>
      <c r="S2165" s="29"/>
      <c r="T2165" s="29"/>
      <c r="U2165" s="29"/>
      <c r="V2165" s="29"/>
      <c r="W2165" s="29"/>
      <c r="X2165" s="29"/>
      <c r="Y2165" s="29"/>
      <c r="Z2165" s="29"/>
      <c r="AA2165" s="29"/>
      <c r="AB2165" s="29"/>
      <c r="AC2165" s="29"/>
      <c r="AD2165" s="29"/>
    </row>
    <row r="2166">
      <c r="A2166" s="115" t="s">
        <v>3297</v>
      </c>
      <c r="B2166" s="22" t="s">
        <v>2416</v>
      </c>
      <c r="C2166" s="18" t="s">
        <v>3300</v>
      </c>
      <c r="D2166" s="19" t="s">
        <v>3301</v>
      </c>
      <c r="E2166" s="9" t="s">
        <v>3217</v>
      </c>
      <c r="G2166" s="29"/>
      <c r="H2166" s="29"/>
      <c r="I2166" s="29"/>
      <c r="J2166" s="29"/>
      <c r="K2166" s="29"/>
      <c r="L2166" s="29"/>
      <c r="M2166" s="29"/>
      <c r="N2166" s="29"/>
      <c r="O2166" s="29"/>
      <c r="P2166" s="29"/>
      <c r="Q2166" s="29"/>
      <c r="R2166" s="29"/>
      <c r="S2166" s="29"/>
      <c r="T2166" s="29"/>
      <c r="U2166" s="29"/>
      <c r="V2166" s="29"/>
      <c r="W2166" s="29"/>
      <c r="X2166" s="29"/>
      <c r="Y2166" s="29"/>
      <c r="Z2166" s="29"/>
      <c r="AA2166" s="29"/>
      <c r="AB2166" s="29"/>
      <c r="AC2166" s="29"/>
      <c r="AD2166" s="29"/>
    </row>
    <row r="2167">
      <c r="A2167" s="115" t="s">
        <v>3297</v>
      </c>
      <c r="B2167" s="22" t="s">
        <v>2416</v>
      </c>
      <c r="C2167" s="18" t="s">
        <v>3302</v>
      </c>
      <c r="D2167" s="19" t="s">
        <v>3303</v>
      </c>
      <c r="E2167" s="9" t="s">
        <v>3217</v>
      </c>
      <c r="G2167" s="29"/>
      <c r="H2167" s="29"/>
      <c r="I2167" s="29"/>
      <c r="J2167" s="29"/>
      <c r="K2167" s="29"/>
      <c r="L2167" s="29"/>
      <c r="M2167" s="29"/>
      <c r="N2167" s="29"/>
      <c r="O2167" s="29"/>
      <c r="P2167" s="29"/>
      <c r="Q2167" s="29"/>
      <c r="R2167" s="29"/>
      <c r="S2167" s="29"/>
      <c r="T2167" s="29"/>
      <c r="U2167" s="29"/>
      <c r="V2167" s="29"/>
      <c r="W2167" s="29"/>
      <c r="X2167" s="29"/>
      <c r="Y2167" s="29"/>
      <c r="Z2167" s="29"/>
      <c r="AA2167" s="29"/>
      <c r="AB2167" s="29"/>
      <c r="AC2167" s="29"/>
      <c r="AD2167" s="29"/>
    </row>
    <row r="2168">
      <c r="A2168" s="115" t="s">
        <v>3297</v>
      </c>
      <c r="B2168" s="22" t="s">
        <v>2416</v>
      </c>
      <c r="C2168" s="18" t="s">
        <v>2426</v>
      </c>
      <c r="D2168" s="19" t="s">
        <v>3304</v>
      </c>
      <c r="E2168" s="9" t="s">
        <v>3217</v>
      </c>
      <c r="G2168" s="29"/>
      <c r="H2168" s="29"/>
      <c r="I2168" s="29"/>
      <c r="J2168" s="29"/>
      <c r="K2168" s="29"/>
      <c r="L2168" s="29"/>
      <c r="M2168" s="29"/>
      <c r="N2168" s="29"/>
      <c r="O2168" s="29"/>
      <c r="P2168" s="29"/>
      <c r="Q2168" s="29"/>
      <c r="R2168" s="29"/>
      <c r="S2168" s="29"/>
      <c r="T2168" s="29"/>
      <c r="U2168" s="29"/>
      <c r="V2168" s="29"/>
      <c r="W2168" s="29"/>
      <c r="X2168" s="29"/>
      <c r="Y2168" s="29"/>
      <c r="Z2168" s="29"/>
      <c r="AA2168" s="29"/>
      <c r="AB2168" s="29"/>
      <c r="AC2168" s="29"/>
      <c r="AD2168" s="29"/>
    </row>
    <row r="2169">
      <c r="A2169" s="115" t="s">
        <v>3297</v>
      </c>
      <c r="B2169" s="22" t="s">
        <v>2416</v>
      </c>
      <c r="C2169" s="18" t="s">
        <v>3305</v>
      </c>
      <c r="D2169" s="19" t="s">
        <v>3306</v>
      </c>
      <c r="E2169" s="9" t="s">
        <v>3217</v>
      </c>
      <c r="G2169" s="29"/>
      <c r="H2169" s="29"/>
      <c r="I2169" s="29"/>
      <c r="J2169" s="29"/>
      <c r="K2169" s="29"/>
      <c r="L2169" s="29"/>
      <c r="M2169" s="29"/>
      <c r="N2169" s="29"/>
      <c r="O2169" s="29"/>
      <c r="P2169" s="29"/>
      <c r="Q2169" s="29"/>
      <c r="R2169" s="29"/>
      <c r="S2169" s="29"/>
      <c r="T2169" s="29"/>
      <c r="U2169" s="29"/>
      <c r="V2169" s="29"/>
      <c r="W2169" s="29"/>
      <c r="X2169" s="29"/>
      <c r="Y2169" s="29"/>
      <c r="Z2169" s="29"/>
      <c r="AA2169" s="29"/>
      <c r="AB2169" s="29"/>
      <c r="AC2169" s="29"/>
      <c r="AD2169" s="29"/>
    </row>
    <row r="2170">
      <c r="A2170" s="6"/>
      <c r="B2170" s="9"/>
      <c r="C2170" s="9"/>
      <c r="D2170" s="9"/>
      <c r="E2170" s="9"/>
      <c r="G2170" s="29"/>
      <c r="H2170" s="29"/>
      <c r="I2170" s="29"/>
      <c r="J2170" s="29"/>
      <c r="K2170" s="29"/>
      <c r="L2170" s="29"/>
      <c r="M2170" s="29"/>
      <c r="N2170" s="29"/>
      <c r="O2170" s="29"/>
      <c r="P2170" s="29"/>
      <c r="Q2170" s="29"/>
      <c r="R2170" s="29"/>
      <c r="S2170" s="29"/>
      <c r="T2170" s="29"/>
      <c r="U2170" s="29"/>
      <c r="V2170" s="29"/>
      <c r="W2170" s="29"/>
      <c r="X2170" s="29"/>
      <c r="Y2170" s="29"/>
      <c r="Z2170" s="29"/>
      <c r="AA2170" s="29"/>
      <c r="AB2170" s="29"/>
      <c r="AC2170" s="29"/>
      <c r="AD2170" s="29"/>
    </row>
    <row r="2171">
      <c r="A2171" s="6"/>
      <c r="B2171" s="9"/>
      <c r="C2171" s="9"/>
      <c r="D2171" s="9"/>
      <c r="E2171" s="9"/>
      <c r="G2171" s="29"/>
      <c r="H2171" s="29"/>
      <c r="I2171" s="29"/>
      <c r="J2171" s="29"/>
      <c r="K2171" s="29"/>
      <c r="L2171" s="29"/>
      <c r="M2171" s="29"/>
      <c r="N2171" s="29"/>
      <c r="O2171" s="29"/>
      <c r="P2171" s="29"/>
      <c r="Q2171" s="29"/>
      <c r="R2171" s="29"/>
      <c r="S2171" s="29"/>
      <c r="T2171" s="29"/>
      <c r="U2171" s="29"/>
      <c r="V2171" s="29"/>
      <c r="W2171" s="29"/>
      <c r="X2171" s="29"/>
      <c r="Y2171" s="29"/>
      <c r="Z2171" s="29"/>
      <c r="AA2171" s="29"/>
      <c r="AB2171" s="29"/>
      <c r="AC2171" s="29"/>
      <c r="AD2171" s="29"/>
    </row>
    <row r="2172">
      <c r="A2172" s="115" t="s">
        <v>3307</v>
      </c>
      <c r="B2172" s="22" t="s">
        <v>3308</v>
      </c>
      <c r="C2172" s="18" t="s">
        <v>3309</v>
      </c>
      <c r="D2172" s="19" t="s">
        <v>3310</v>
      </c>
      <c r="E2172" s="161" t="s">
        <v>7</v>
      </c>
      <c r="G2172" s="29"/>
      <c r="H2172" s="29"/>
      <c r="I2172" s="29"/>
      <c r="J2172" s="29"/>
      <c r="K2172" s="29"/>
      <c r="L2172" s="29"/>
      <c r="M2172" s="29"/>
      <c r="N2172" s="29"/>
      <c r="O2172" s="29"/>
      <c r="P2172" s="29"/>
      <c r="Q2172" s="29"/>
      <c r="R2172" s="29"/>
      <c r="S2172" s="29"/>
      <c r="T2172" s="29"/>
      <c r="U2172" s="29"/>
      <c r="V2172" s="29"/>
      <c r="W2172" s="29"/>
      <c r="X2172" s="29"/>
      <c r="Y2172" s="29"/>
      <c r="Z2172" s="29"/>
      <c r="AA2172" s="29"/>
      <c r="AB2172" s="29"/>
      <c r="AC2172" s="29"/>
      <c r="AD2172" s="29"/>
    </row>
    <row r="2173">
      <c r="A2173" s="115" t="s">
        <v>3307</v>
      </c>
      <c r="B2173" s="22" t="s">
        <v>2416</v>
      </c>
      <c r="C2173" s="18" t="s">
        <v>3311</v>
      </c>
      <c r="D2173" s="19" t="s">
        <v>3312</v>
      </c>
      <c r="E2173" s="161" t="s">
        <v>7</v>
      </c>
      <c r="G2173" s="29"/>
      <c r="H2173" s="29"/>
      <c r="I2173" s="29"/>
      <c r="J2173" s="29"/>
      <c r="K2173" s="29"/>
      <c r="L2173" s="29"/>
      <c r="M2173" s="29"/>
      <c r="N2173" s="29"/>
      <c r="O2173" s="29"/>
      <c r="P2173" s="29"/>
      <c r="Q2173" s="29"/>
      <c r="R2173" s="29"/>
      <c r="S2173" s="29"/>
      <c r="T2173" s="29"/>
      <c r="U2173" s="29"/>
      <c r="V2173" s="29"/>
      <c r="W2173" s="29"/>
      <c r="X2173" s="29"/>
      <c r="Y2173" s="29"/>
      <c r="Z2173" s="29"/>
      <c r="AA2173" s="29"/>
      <c r="AB2173" s="29"/>
      <c r="AC2173" s="29"/>
      <c r="AD2173" s="29"/>
    </row>
    <row r="2174">
      <c r="A2174" s="115" t="s">
        <v>3307</v>
      </c>
      <c r="B2174" s="22" t="s">
        <v>2416</v>
      </c>
      <c r="C2174" s="18" t="s">
        <v>3313</v>
      </c>
      <c r="D2174" s="19" t="s">
        <v>3256</v>
      </c>
      <c r="E2174" s="161" t="s">
        <v>7</v>
      </c>
      <c r="G2174" s="29"/>
      <c r="H2174" s="29"/>
      <c r="I2174" s="29"/>
      <c r="J2174" s="29"/>
      <c r="K2174" s="29"/>
      <c r="L2174" s="29"/>
      <c r="M2174" s="29"/>
      <c r="N2174" s="29"/>
      <c r="O2174" s="29"/>
      <c r="P2174" s="29"/>
      <c r="Q2174" s="29"/>
      <c r="R2174" s="29"/>
      <c r="S2174" s="29"/>
      <c r="T2174" s="29"/>
      <c r="U2174" s="29"/>
      <c r="V2174" s="29"/>
      <c r="W2174" s="29"/>
      <c r="X2174" s="29"/>
      <c r="Y2174" s="29"/>
      <c r="Z2174" s="29"/>
      <c r="AA2174" s="29"/>
      <c r="AB2174" s="29"/>
      <c r="AC2174" s="29"/>
      <c r="AD2174" s="29"/>
    </row>
    <row r="2175">
      <c r="A2175" s="115" t="s">
        <v>3307</v>
      </c>
      <c r="B2175" s="22" t="s">
        <v>2416</v>
      </c>
      <c r="C2175" s="18" t="s">
        <v>2426</v>
      </c>
      <c r="D2175" s="19" t="s">
        <v>3314</v>
      </c>
      <c r="E2175" s="161" t="s">
        <v>7</v>
      </c>
      <c r="G2175" s="29"/>
      <c r="H2175" s="29"/>
      <c r="I2175" s="29"/>
      <c r="J2175" s="29"/>
      <c r="K2175" s="29"/>
      <c r="L2175" s="29"/>
      <c r="M2175" s="29"/>
      <c r="N2175" s="29"/>
      <c r="O2175" s="29"/>
      <c r="P2175" s="29"/>
      <c r="Q2175" s="29"/>
      <c r="R2175" s="29"/>
      <c r="S2175" s="29"/>
      <c r="T2175" s="29"/>
      <c r="U2175" s="29"/>
      <c r="V2175" s="29"/>
      <c r="W2175" s="29"/>
      <c r="X2175" s="29"/>
      <c r="Y2175" s="29"/>
      <c r="Z2175" s="29"/>
      <c r="AA2175" s="29"/>
      <c r="AB2175" s="29"/>
      <c r="AC2175" s="29"/>
      <c r="AD2175" s="29"/>
    </row>
    <row r="2176">
      <c r="A2176" s="115" t="s">
        <v>3307</v>
      </c>
      <c r="B2176" s="22" t="s">
        <v>3086</v>
      </c>
      <c r="C2176" s="18" t="s">
        <v>3315</v>
      </c>
      <c r="D2176" s="19" t="s">
        <v>3316</v>
      </c>
      <c r="E2176" s="132" t="s">
        <v>14</v>
      </c>
      <c r="G2176" s="29"/>
      <c r="H2176" s="29"/>
      <c r="I2176" s="29"/>
      <c r="J2176" s="29"/>
      <c r="K2176" s="29"/>
      <c r="L2176" s="29"/>
      <c r="M2176" s="29"/>
      <c r="N2176" s="29"/>
      <c r="O2176" s="29"/>
      <c r="P2176" s="29"/>
      <c r="Q2176" s="29"/>
      <c r="R2176" s="29"/>
      <c r="S2176" s="29"/>
      <c r="T2176" s="29"/>
      <c r="U2176" s="29"/>
      <c r="V2176" s="29"/>
      <c r="W2176" s="29"/>
      <c r="X2176" s="29"/>
      <c r="Y2176" s="29"/>
      <c r="Z2176" s="29"/>
      <c r="AA2176" s="29"/>
      <c r="AB2176" s="29"/>
      <c r="AC2176" s="29"/>
      <c r="AD2176" s="29"/>
    </row>
    <row r="2177">
      <c r="A2177" s="115" t="s">
        <v>3307</v>
      </c>
      <c r="B2177" s="22" t="s">
        <v>3086</v>
      </c>
      <c r="C2177" s="18" t="s">
        <v>3317</v>
      </c>
      <c r="D2177" s="19" t="s">
        <v>3318</v>
      </c>
      <c r="E2177" s="9" t="s">
        <v>1506</v>
      </c>
      <c r="G2177" s="29"/>
      <c r="H2177" s="29"/>
      <c r="I2177" s="29"/>
      <c r="J2177" s="29"/>
      <c r="K2177" s="29"/>
      <c r="L2177" s="29"/>
      <c r="M2177" s="29"/>
      <c r="N2177" s="29"/>
      <c r="O2177" s="29"/>
      <c r="P2177" s="29"/>
      <c r="Q2177" s="29"/>
      <c r="R2177" s="29"/>
      <c r="S2177" s="29"/>
      <c r="T2177" s="29"/>
      <c r="U2177" s="29"/>
      <c r="V2177" s="29"/>
      <c r="W2177" s="29"/>
      <c r="X2177" s="29"/>
      <c r="Y2177" s="29"/>
      <c r="Z2177" s="29"/>
      <c r="AA2177" s="29"/>
      <c r="AB2177" s="29"/>
      <c r="AC2177" s="29"/>
      <c r="AD2177" s="29"/>
    </row>
    <row r="2178">
      <c r="A2178" s="115" t="s">
        <v>3307</v>
      </c>
      <c r="B2178" s="22" t="s">
        <v>3086</v>
      </c>
      <c r="C2178" s="18" t="s">
        <v>3319</v>
      </c>
      <c r="D2178" s="19" t="s">
        <v>3320</v>
      </c>
      <c r="E2178" s="132" t="s">
        <v>14</v>
      </c>
      <c r="G2178" s="29"/>
      <c r="H2178" s="29"/>
      <c r="I2178" s="29"/>
      <c r="J2178" s="29"/>
      <c r="K2178" s="29"/>
      <c r="L2178" s="29"/>
      <c r="M2178" s="29"/>
      <c r="N2178" s="29"/>
      <c r="O2178" s="29"/>
      <c r="P2178" s="29"/>
      <c r="Q2178" s="29"/>
      <c r="R2178" s="29"/>
      <c r="S2178" s="29"/>
      <c r="T2178" s="29"/>
      <c r="U2178" s="29"/>
      <c r="V2178" s="29"/>
      <c r="W2178" s="29"/>
      <c r="X2178" s="29"/>
      <c r="Y2178" s="29"/>
      <c r="Z2178" s="29"/>
      <c r="AA2178" s="29"/>
      <c r="AB2178" s="29"/>
      <c r="AC2178" s="29"/>
      <c r="AD2178" s="29"/>
    </row>
    <row r="2179">
      <c r="A2179" s="115" t="s">
        <v>3307</v>
      </c>
      <c r="B2179" s="22" t="s">
        <v>3086</v>
      </c>
      <c r="C2179" s="18" t="s">
        <v>3321</v>
      </c>
      <c r="D2179" s="19" t="s">
        <v>3322</v>
      </c>
      <c r="E2179" s="9" t="s">
        <v>764</v>
      </c>
      <c r="G2179" s="29"/>
      <c r="H2179" s="29"/>
      <c r="I2179" s="29"/>
      <c r="J2179" s="29"/>
      <c r="K2179" s="29"/>
      <c r="L2179" s="29"/>
      <c r="M2179" s="29"/>
      <c r="N2179" s="29"/>
      <c r="O2179" s="29"/>
      <c r="P2179" s="29"/>
      <c r="Q2179" s="29"/>
      <c r="R2179" s="29"/>
      <c r="S2179" s="29"/>
      <c r="T2179" s="29"/>
      <c r="U2179" s="29"/>
      <c r="V2179" s="29"/>
      <c r="W2179" s="29"/>
      <c r="X2179" s="29"/>
      <c r="Y2179" s="29"/>
      <c r="Z2179" s="29"/>
      <c r="AA2179" s="29"/>
      <c r="AB2179" s="29"/>
      <c r="AC2179" s="29"/>
      <c r="AD2179" s="29"/>
    </row>
    <row r="2180">
      <c r="A2180" s="115" t="s">
        <v>3307</v>
      </c>
      <c r="B2180" s="22" t="s">
        <v>3086</v>
      </c>
      <c r="C2180" s="18" t="s">
        <v>3323</v>
      </c>
      <c r="D2180" s="19" t="s">
        <v>3324</v>
      </c>
      <c r="E2180" s="9" t="s">
        <v>764</v>
      </c>
      <c r="G2180" s="29"/>
      <c r="H2180" s="29"/>
      <c r="I2180" s="29"/>
      <c r="J2180" s="29"/>
      <c r="K2180" s="29"/>
      <c r="L2180" s="29"/>
      <c r="M2180" s="29"/>
      <c r="N2180" s="29"/>
      <c r="O2180" s="29"/>
      <c r="P2180" s="29"/>
      <c r="Q2180" s="29"/>
      <c r="R2180" s="29"/>
      <c r="S2180" s="29"/>
      <c r="T2180" s="29"/>
      <c r="U2180" s="29"/>
      <c r="V2180" s="29"/>
      <c r="W2180" s="29"/>
      <c r="X2180" s="29"/>
      <c r="Y2180" s="29"/>
      <c r="Z2180" s="29"/>
      <c r="AA2180" s="29"/>
      <c r="AB2180" s="29"/>
      <c r="AC2180" s="29"/>
      <c r="AD2180" s="29"/>
    </row>
    <row r="2181">
      <c r="A2181" s="115" t="s">
        <v>3307</v>
      </c>
      <c r="B2181" s="19" t="s">
        <v>3325</v>
      </c>
      <c r="C2181" s="18" t="s">
        <v>3326</v>
      </c>
      <c r="D2181" s="19" t="s">
        <v>3327</v>
      </c>
      <c r="E2181" s="9" t="s">
        <v>3328</v>
      </c>
      <c r="G2181" s="29"/>
      <c r="H2181" s="29"/>
      <c r="I2181" s="29"/>
      <c r="J2181" s="29"/>
      <c r="K2181" s="29"/>
      <c r="L2181" s="29"/>
      <c r="M2181" s="29"/>
      <c r="N2181" s="29"/>
      <c r="O2181" s="29"/>
      <c r="P2181" s="29"/>
      <c r="Q2181" s="29"/>
      <c r="R2181" s="29"/>
      <c r="S2181" s="29"/>
      <c r="T2181" s="29"/>
      <c r="U2181" s="29"/>
      <c r="V2181" s="29"/>
      <c r="W2181" s="29"/>
      <c r="X2181" s="29"/>
      <c r="Y2181" s="29"/>
      <c r="Z2181" s="29"/>
      <c r="AA2181" s="29"/>
      <c r="AB2181" s="29"/>
      <c r="AC2181" s="29"/>
      <c r="AD2181" s="29"/>
    </row>
    <row r="2182">
      <c r="A2182" s="18"/>
      <c r="B2182" s="22"/>
      <c r="C2182" s="18"/>
      <c r="D2182" s="19"/>
      <c r="E2182" s="49"/>
      <c r="G2182" s="29"/>
      <c r="H2182" s="29"/>
      <c r="I2182" s="29"/>
      <c r="J2182" s="29"/>
      <c r="K2182" s="29"/>
      <c r="L2182" s="29"/>
      <c r="M2182" s="29"/>
      <c r="N2182" s="29"/>
      <c r="O2182" s="29"/>
      <c r="P2182" s="29"/>
      <c r="Q2182" s="29"/>
      <c r="R2182" s="29"/>
      <c r="S2182" s="29"/>
      <c r="T2182" s="29"/>
      <c r="U2182" s="29"/>
      <c r="V2182" s="29"/>
      <c r="W2182" s="29"/>
      <c r="X2182" s="29"/>
      <c r="Y2182" s="29"/>
      <c r="Z2182" s="29"/>
      <c r="AA2182" s="29"/>
      <c r="AB2182" s="29"/>
      <c r="AC2182" s="29"/>
      <c r="AD2182" s="29"/>
    </row>
    <row r="2183">
      <c r="A2183" s="18"/>
      <c r="B2183" s="22"/>
      <c r="C2183" s="18"/>
      <c r="D2183" s="19"/>
      <c r="E2183" s="49"/>
      <c r="G2183" s="29"/>
      <c r="H2183" s="29"/>
      <c r="I2183" s="29"/>
      <c r="J2183" s="29"/>
      <c r="K2183" s="29"/>
      <c r="L2183" s="29"/>
      <c r="M2183" s="29"/>
      <c r="N2183" s="29"/>
      <c r="O2183" s="29"/>
      <c r="P2183" s="29"/>
      <c r="Q2183" s="29"/>
      <c r="R2183" s="29"/>
      <c r="S2183" s="29"/>
      <c r="T2183" s="29"/>
      <c r="U2183" s="29"/>
      <c r="V2183" s="29"/>
      <c r="W2183" s="29"/>
      <c r="X2183" s="29"/>
      <c r="Y2183" s="29"/>
      <c r="Z2183" s="29"/>
      <c r="AA2183" s="29"/>
      <c r="AB2183" s="29"/>
      <c r="AC2183" s="29"/>
      <c r="AD2183" s="29"/>
    </row>
    <row r="2184">
      <c r="A2184" s="115" t="s">
        <v>3329</v>
      </c>
      <c r="B2184" s="22" t="s">
        <v>3086</v>
      </c>
      <c r="C2184" s="18" t="s">
        <v>1412</v>
      </c>
      <c r="D2184" s="19" t="s">
        <v>3330</v>
      </c>
      <c r="E2184" s="132" t="s">
        <v>14</v>
      </c>
      <c r="G2184" s="29"/>
      <c r="H2184" s="29"/>
      <c r="I2184" s="29"/>
      <c r="J2184" s="29"/>
      <c r="K2184" s="29"/>
      <c r="L2184" s="29"/>
      <c r="M2184" s="29"/>
      <c r="N2184" s="29"/>
      <c r="O2184" s="29"/>
      <c r="P2184" s="29"/>
      <c r="Q2184" s="29"/>
      <c r="R2184" s="29"/>
      <c r="S2184" s="29"/>
      <c r="T2184" s="29"/>
      <c r="U2184" s="29"/>
      <c r="V2184" s="29"/>
      <c r="W2184" s="29"/>
      <c r="X2184" s="29"/>
      <c r="Y2184" s="29"/>
      <c r="Z2184" s="29"/>
      <c r="AA2184" s="29"/>
      <c r="AB2184" s="29"/>
      <c r="AC2184" s="29"/>
      <c r="AD2184" s="29"/>
    </row>
    <row r="2185">
      <c r="A2185" s="6"/>
      <c r="B2185" s="9"/>
      <c r="C2185" s="9"/>
      <c r="D2185" s="9"/>
      <c r="E2185" s="9"/>
      <c r="G2185" s="29"/>
      <c r="H2185" s="29"/>
      <c r="I2185" s="29"/>
      <c r="J2185" s="29"/>
      <c r="K2185" s="29"/>
      <c r="L2185" s="29"/>
      <c r="M2185" s="29"/>
      <c r="N2185" s="29"/>
      <c r="O2185" s="29"/>
      <c r="P2185" s="29"/>
      <c r="Q2185" s="29"/>
      <c r="R2185" s="29"/>
      <c r="S2185" s="29"/>
      <c r="T2185" s="29"/>
      <c r="U2185" s="29"/>
      <c r="V2185" s="29"/>
      <c r="W2185" s="29"/>
      <c r="X2185" s="29"/>
      <c r="Y2185" s="29"/>
      <c r="Z2185" s="29"/>
      <c r="AA2185" s="29"/>
      <c r="AB2185" s="29"/>
      <c r="AC2185" s="29"/>
      <c r="AD2185" s="29"/>
    </row>
    <row r="2186">
      <c r="A2186" s="6"/>
      <c r="B2186" s="9"/>
      <c r="C2186" s="9"/>
      <c r="D2186" s="9"/>
      <c r="E2186" s="9"/>
      <c r="G2186" s="29"/>
      <c r="H2186" s="29"/>
      <c r="I2186" s="29"/>
      <c r="J2186" s="29"/>
      <c r="K2186" s="29"/>
      <c r="L2186" s="29"/>
      <c r="M2186" s="29"/>
      <c r="N2186" s="29"/>
      <c r="O2186" s="29"/>
      <c r="P2186" s="29"/>
      <c r="Q2186" s="29"/>
      <c r="R2186" s="29"/>
      <c r="S2186" s="29"/>
      <c r="T2186" s="29"/>
      <c r="U2186" s="29"/>
      <c r="V2186" s="29"/>
      <c r="W2186" s="29"/>
      <c r="X2186" s="29"/>
      <c r="Y2186" s="29"/>
      <c r="Z2186" s="29"/>
      <c r="AA2186" s="29"/>
      <c r="AB2186" s="29"/>
      <c r="AC2186" s="29"/>
      <c r="AD2186" s="29"/>
    </row>
    <row r="2187">
      <c r="A2187" s="115" t="s">
        <v>3331</v>
      </c>
      <c r="B2187" s="22" t="s">
        <v>3332</v>
      </c>
      <c r="C2187" s="18" t="s">
        <v>3333</v>
      </c>
      <c r="D2187" s="19" t="s">
        <v>3334</v>
      </c>
      <c r="E2187" s="9" t="s">
        <v>1506</v>
      </c>
      <c r="G2187" s="29"/>
      <c r="H2187" s="29"/>
      <c r="I2187" s="29"/>
      <c r="J2187" s="29"/>
      <c r="K2187" s="29"/>
      <c r="L2187" s="29"/>
      <c r="M2187" s="29"/>
      <c r="N2187" s="29"/>
      <c r="O2187" s="29"/>
      <c r="P2187" s="29"/>
      <c r="Q2187" s="29"/>
      <c r="R2187" s="29"/>
      <c r="S2187" s="29"/>
      <c r="T2187" s="29"/>
      <c r="U2187" s="29"/>
      <c r="V2187" s="29"/>
      <c r="W2187" s="29"/>
      <c r="X2187" s="29"/>
      <c r="Y2187" s="29"/>
      <c r="Z2187" s="29"/>
      <c r="AA2187" s="29"/>
      <c r="AB2187" s="29"/>
      <c r="AC2187" s="29"/>
      <c r="AD2187" s="29"/>
    </row>
    <row r="2188">
      <c r="A2188" s="115" t="s">
        <v>3331</v>
      </c>
      <c r="B2188" s="22" t="s">
        <v>3332</v>
      </c>
      <c r="C2188" s="18" t="s">
        <v>3335</v>
      </c>
      <c r="D2188" s="19" t="s">
        <v>3334</v>
      </c>
      <c r="E2188" s="9" t="s">
        <v>1506</v>
      </c>
      <c r="G2188" s="29"/>
      <c r="H2188" s="29"/>
      <c r="I2188" s="29"/>
      <c r="J2188" s="29"/>
      <c r="K2188" s="29"/>
      <c r="L2188" s="29"/>
      <c r="M2188" s="29"/>
      <c r="N2188" s="29"/>
      <c r="O2188" s="29"/>
      <c r="P2188" s="29"/>
      <c r="Q2188" s="29"/>
      <c r="R2188" s="29"/>
      <c r="S2188" s="29"/>
      <c r="T2188" s="29"/>
      <c r="U2188" s="29"/>
      <c r="V2188" s="29"/>
      <c r="W2188" s="29"/>
      <c r="X2188" s="29"/>
      <c r="Y2188" s="29"/>
      <c r="Z2188" s="29"/>
      <c r="AA2188" s="29"/>
      <c r="AB2188" s="29"/>
      <c r="AC2188" s="29"/>
      <c r="AD2188" s="29"/>
    </row>
    <row r="2189">
      <c r="A2189" s="115" t="s">
        <v>3331</v>
      </c>
      <c r="B2189" s="22" t="s">
        <v>3332</v>
      </c>
      <c r="C2189" s="18" t="s">
        <v>3336</v>
      </c>
      <c r="D2189" s="19" t="s">
        <v>3337</v>
      </c>
      <c r="E2189" s="9" t="s">
        <v>1506</v>
      </c>
      <c r="G2189" s="29"/>
      <c r="H2189" s="29"/>
      <c r="I2189" s="29"/>
      <c r="J2189" s="29"/>
      <c r="K2189" s="29"/>
      <c r="L2189" s="29"/>
      <c r="M2189" s="29"/>
      <c r="N2189" s="29"/>
      <c r="O2189" s="29"/>
      <c r="P2189" s="29"/>
      <c r="Q2189" s="29"/>
      <c r="R2189" s="29"/>
      <c r="S2189" s="29"/>
      <c r="T2189" s="29"/>
      <c r="U2189" s="29"/>
      <c r="V2189" s="29"/>
      <c r="W2189" s="29"/>
      <c r="X2189" s="29"/>
      <c r="Y2189" s="29"/>
      <c r="Z2189" s="29"/>
      <c r="AA2189" s="29"/>
      <c r="AB2189" s="29"/>
      <c r="AC2189" s="29"/>
      <c r="AD2189" s="29"/>
    </row>
    <row r="2190">
      <c r="A2190" s="115" t="s">
        <v>3331</v>
      </c>
      <c r="B2190" s="22" t="s">
        <v>3332</v>
      </c>
      <c r="C2190" s="18" t="s">
        <v>3338</v>
      </c>
      <c r="D2190" s="19" t="s">
        <v>3339</v>
      </c>
      <c r="E2190" s="9" t="s">
        <v>1506</v>
      </c>
      <c r="G2190" s="29"/>
      <c r="H2190" s="29"/>
      <c r="I2190" s="29"/>
      <c r="J2190" s="29"/>
      <c r="K2190" s="29"/>
      <c r="L2190" s="29"/>
      <c r="M2190" s="29"/>
      <c r="N2190" s="29"/>
      <c r="O2190" s="29"/>
      <c r="P2190" s="29"/>
      <c r="Q2190" s="29"/>
      <c r="R2190" s="29"/>
      <c r="S2190" s="29"/>
      <c r="T2190" s="29"/>
      <c r="U2190" s="29"/>
      <c r="V2190" s="29"/>
      <c r="W2190" s="29"/>
      <c r="X2190" s="29"/>
      <c r="Y2190" s="29"/>
      <c r="Z2190" s="29"/>
      <c r="AA2190" s="29"/>
      <c r="AB2190" s="29"/>
      <c r="AC2190" s="29"/>
      <c r="AD2190" s="29"/>
    </row>
    <row r="2191">
      <c r="A2191" s="115" t="s">
        <v>3331</v>
      </c>
      <c r="B2191" s="22" t="s">
        <v>3332</v>
      </c>
      <c r="C2191" s="18" t="s">
        <v>3340</v>
      </c>
      <c r="D2191" s="19" t="s">
        <v>3339</v>
      </c>
      <c r="E2191" s="9" t="s">
        <v>1506</v>
      </c>
      <c r="G2191" s="29"/>
      <c r="H2191" s="29"/>
      <c r="I2191" s="29"/>
      <c r="J2191" s="29"/>
      <c r="K2191" s="29"/>
      <c r="L2191" s="29"/>
      <c r="M2191" s="29"/>
      <c r="N2191" s="29"/>
      <c r="O2191" s="29"/>
      <c r="P2191" s="29"/>
      <c r="Q2191" s="29"/>
      <c r="R2191" s="29"/>
      <c r="S2191" s="29"/>
      <c r="T2191" s="29"/>
      <c r="U2191" s="29"/>
      <c r="V2191" s="29"/>
      <c r="W2191" s="29"/>
      <c r="X2191" s="29"/>
      <c r="Y2191" s="29"/>
      <c r="Z2191" s="29"/>
      <c r="AA2191" s="29"/>
      <c r="AB2191" s="29"/>
      <c r="AC2191" s="29"/>
      <c r="AD2191" s="29"/>
    </row>
    <row r="2192">
      <c r="A2192" s="115" t="s">
        <v>3331</v>
      </c>
      <c r="B2192" s="22" t="s">
        <v>3332</v>
      </c>
      <c r="C2192" s="18" t="s">
        <v>3336</v>
      </c>
      <c r="D2192" s="19" t="s">
        <v>3341</v>
      </c>
      <c r="E2192" s="9" t="s">
        <v>1506</v>
      </c>
      <c r="G2192" s="29"/>
      <c r="H2192" s="29"/>
      <c r="I2192" s="29"/>
      <c r="J2192" s="29"/>
      <c r="K2192" s="29"/>
      <c r="L2192" s="29"/>
      <c r="M2192" s="29"/>
      <c r="N2192" s="29"/>
      <c r="O2192" s="29"/>
      <c r="P2192" s="29"/>
      <c r="Q2192" s="29"/>
      <c r="R2192" s="29"/>
      <c r="S2192" s="29"/>
      <c r="T2192" s="29"/>
      <c r="U2192" s="29"/>
      <c r="V2192" s="29"/>
      <c r="W2192" s="29"/>
      <c r="X2192" s="29"/>
      <c r="Y2192" s="29"/>
      <c r="Z2192" s="29"/>
      <c r="AA2192" s="29"/>
      <c r="AB2192" s="29"/>
      <c r="AC2192" s="29"/>
      <c r="AD2192" s="29"/>
    </row>
    <row r="2193">
      <c r="A2193" s="115" t="s">
        <v>3331</v>
      </c>
      <c r="B2193" s="22" t="s">
        <v>3332</v>
      </c>
      <c r="C2193" s="18" t="s">
        <v>3342</v>
      </c>
      <c r="D2193" s="19" t="s">
        <v>3339</v>
      </c>
      <c r="E2193" s="9" t="s">
        <v>1506</v>
      </c>
      <c r="G2193" s="29"/>
      <c r="H2193" s="29"/>
      <c r="I2193" s="29"/>
      <c r="J2193" s="29"/>
      <c r="K2193" s="29"/>
      <c r="L2193" s="29"/>
      <c r="M2193" s="29"/>
      <c r="N2193" s="29"/>
      <c r="O2193" s="29"/>
      <c r="P2193" s="29"/>
      <c r="Q2193" s="29"/>
      <c r="R2193" s="29"/>
      <c r="S2193" s="29"/>
      <c r="T2193" s="29"/>
      <c r="U2193" s="29"/>
      <c r="V2193" s="29"/>
      <c r="W2193" s="29"/>
      <c r="X2193" s="29"/>
      <c r="Y2193" s="29"/>
      <c r="Z2193" s="29"/>
      <c r="AA2193" s="29"/>
      <c r="AB2193" s="29"/>
      <c r="AC2193" s="29"/>
      <c r="AD2193" s="29"/>
    </row>
    <row r="2194">
      <c r="A2194" s="115" t="s">
        <v>3331</v>
      </c>
      <c r="B2194" s="22" t="s">
        <v>3332</v>
      </c>
      <c r="C2194" s="18" t="s">
        <v>3343</v>
      </c>
      <c r="D2194" s="19" t="s">
        <v>3344</v>
      </c>
      <c r="E2194" s="9" t="s">
        <v>1506</v>
      </c>
      <c r="G2194" s="29"/>
      <c r="H2194" s="29"/>
      <c r="I2194" s="29"/>
      <c r="J2194" s="29"/>
      <c r="K2194" s="29"/>
      <c r="L2194" s="29"/>
      <c r="M2194" s="29"/>
      <c r="N2194" s="29"/>
      <c r="O2194" s="29"/>
      <c r="P2194" s="29"/>
      <c r="Q2194" s="29"/>
      <c r="R2194" s="29"/>
      <c r="S2194" s="29"/>
      <c r="T2194" s="29"/>
      <c r="U2194" s="29"/>
      <c r="V2194" s="29"/>
      <c r="W2194" s="29"/>
      <c r="X2194" s="29"/>
      <c r="Y2194" s="29"/>
      <c r="Z2194" s="29"/>
      <c r="AA2194" s="29"/>
      <c r="AB2194" s="29"/>
      <c r="AC2194" s="29"/>
      <c r="AD2194" s="29"/>
    </row>
    <row r="2195">
      <c r="A2195" s="115" t="s">
        <v>3331</v>
      </c>
      <c r="B2195" s="22" t="s">
        <v>3332</v>
      </c>
      <c r="C2195" s="18" t="s">
        <v>3345</v>
      </c>
      <c r="D2195" s="19" t="s">
        <v>3339</v>
      </c>
      <c r="E2195" s="9" t="s">
        <v>1506</v>
      </c>
      <c r="G2195" s="29"/>
      <c r="H2195" s="29"/>
      <c r="I2195" s="29"/>
      <c r="J2195" s="29"/>
      <c r="K2195" s="29"/>
      <c r="L2195" s="29"/>
      <c r="M2195" s="29"/>
      <c r="N2195" s="29"/>
      <c r="O2195" s="29"/>
      <c r="P2195" s="29"/>
      <c r="Q2195" s="29"/>
      <c r="R2195" s="29"/>
      <c r="S2195" s="29"/>
      <c r="T2195" s="29"/>
      <c r="U2195" s="29"/>
      <c r="V2195" s="29"/>
      <c r="W2195" s="29"/>
      <c r="X2195" s="29"/>
      <c r="Y2195" s="29"/>
      <c r="Z2195" s="29"/>
      <c r="AA2195" s="29"/>
      <c r="AB2195" s="29"/>
      <c r="AC2195" s="29"/>
      <c r="AD2195" s="29"/>
    </row>
    <row r="2196">
      <c r="A2196" s="115" t="s">
        <v>3331</v>
      </c>
      <c r="B2196" s="22" t="s">
        <v>3332</v>
      </c>
      <c r="C2196" s="18" t="s">
        <v>3346</v>
      </c>
      <c r="D2196" s="19" t="s">
        <v>51</v>
      </c>
      <c r="E2196" s="9" t="s">
        <v>1506</v>
      </c>
      <c r="G2196" s="29"/>
      <c r="H2196" s="29"/>
      <c r="I2196" s="29"/>
      <c r="J2196" s="29"/>
      <c r="K2196" s="29"/>
      <c r="L2196" s="29"/>
      <c r="M2196" s="29"/>
      <c r="N2196" s="29"/>
      <c r="O2196" s="29"/>
      <c r="P2196" s="29"/>
      <c r="Q2196" s="29"/>
      <c r="R2196" s="29"/>
      <c r="S2196" s="29"/>
      <c r="T2196" s="29"/>
      <c r="U2196" s="29"/>
      <c r="V2196" s="29"/>
      <c r="W2196" s="29"/>
      <c r="X2196" s="29"/>
      <c r="Y2196" s="29"/>
      <c r="Z2196" s="29"/>
      <c r="AA2196" s="29"/>
      <c r="AB2196" s="29"/>
      <c r="AC2196" s="29"/>
      <c r="AD2196" s="29"/>
    </row>
    <row r="2197">
      <c r="A2197" s="115" t="s">
        <v>3331</v>
      </c>
      <c r="B2197" s="22" t="s">
        <v>3332</v>
      </c>
      <c r="C2197" s="18" t="s">
        <v>3347</v>
      </c>
      <c r="D2197" s="19" t="s">
        <v>51</v>
      </c>
      <c r="E2197" s="9" t="s">
        <v>1506</v>
      </c>
      <c r="G2197" s="29"/>
      <c r="H2197" s="29"/>
      <c r="I2197" s="29"/>
      <c r="J2197" s="29"/>
      <c r="K2197" s="29"/>
      <c r="L2197" s="29"/>
      <c r="M2197" s="29"/>
      <c r="N2197" s="29"/>
      <c r="O2197" s="29"/>
      <c r="P2197" s="29"/>
      <c r="Q2197" s="29"/>
      <c r="R2197" s="29"/>
      <c r="S2197" s="29"/>
      <c r="T2197" s="29"/>
      <c r="U2197" s="29"/>
      <c r="V2197" s="29"/>
      <c r="W2197" s="29"/>
      <c r="X2197" s="29"/>
      <c r="Y2197" s="29"/>
      <c r="Z2197" s="29"/>
      <c r="AA2197" s="29"/>
      <c r="AB2197" s="29"/>
      <c r="AC2197" s="29"/>
      <c r="AD2197" s="29"/>
    </row>
    <row r="2198">
      <c r="A2198" s="115" t="s">
        <v>3331</v>
      </c>
      <c r="B2198" s="22" t="s">
        <v>3348</v>
      </c>
      <c r="C2198" s="18" t="s">
        <v>3349</v>
      </c>
      <c r="D2198" s="19" t="s">
        <v>3350</v>
      </c>
      <c r="E2198" s="9" t="s">
        <v>3351</v>
      </c>
      <c r="G2198" s="29"/>
      <c r="H2198" s="29"/>
      <c r="I2198" s="29"/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29"/>
      <c r="X2198" s="29"/>
      <c r="Y2198" s="29"/>
      <c r="Z2198" s="29"/>
      <c r="AA2198" s="29"/>
      <c r="AB2198" s="29"/>
      <c r="AC2198" s="29"/>
      <c r="AD2198" s="29"/>
    </row>
    <row r="2199">
      <c r="A2199" s="115" t="s">
        <v>3331</v>
      </c>
      <c r="B2199" s="22" t="s">
        <v>3348</v>
      </c>
      <c r="C2199" s="18" t="s">
        <v>3352</v>
      </c>
      <c r="D2199" s="19" t="s">
        <v>3350</v>
      </c>
      <c r="E2199" s="9" t="s">
        <v>3351</v>
      </c>
      <c r="G2199" s="29"/>
      <c r="H2199" s="29"/>
      <c r="I2199" s="29"/>
      <c r="J2199" s="29"/>
      <c r="K2199" s="29"/>
      <c r="L2199" s="29"/>
      <c r="M2199" s="29"/>
      <c r="N2199" s="29"/>
      <c r="O2199" s="29"/>
      <c r="P2199" s="29"/>
      <c r="Q2199" s="29"/>
      <c r="R2199" s="29"/>
      <c r="S2199" s="29"/>
      <c r="T2199" s="29"/>
      <c r="U2199" s="29"/>
      <c r="V2199" s="29"/>
      <c r="W2199" s="29"/>
      <c r="X2199" s="29"/>
      <c r="Y2199" s="29"/>
      <c r="Z2199" s="29"/>
      <c r="AA2199" s="29"/>
      <c r="AB2199" s="29"/>
      <c r="AC2199" s="29"/>
      <c r="AD2199" s="29"/>
    </row>
    <row r="2200">
      <c r="A2200" s="115" t="s">
        <v>3331</v>
      </c>
      <c r="B2200" s="22" t="s">
        <v>3353</v>
      </c>
      <c r="C2200" s="18" t="s">
        <v>3037</v>
      </c>
      <c r="D2200" s="19" t="s">
        <v>3354</v>
      </c>
      <c r="E2200" s="132" t="s">
        <v>14</v>
      </c>
      <c r="G2200" s="29"/>
      <c r="H2200" s="29"/>
      <c r="I2200" s="29"/>
      <c r="J2200" s="29"/>
      <c r="K2200" s="29"/>
      <c r="L2200" s="29"/>
      <c r="M2200" s="29"/>
      <c r="N2200" s="29"/>
      <c r="O2200" s="29"/>
      <c r="P2200" s="29"/>
      <c r="Q2200" s="29"/>
      <c r="R2200" s="29"/>
      <c r="S2200" s="29"/>
      <c r="T2200" s="29"/>
      <c r="U2200" s="29"/>
      <c r="V2200" s="29"/>
      <c r="W2200" s="29"/>
      <c r="X2200" s="29"/>
      <c r="Y2200" s="29"/>
      <c r="Z2200" s="29"/>
      <c r="AA2200" s="29"/>
      <c r="AB2200" s="29"/>
      <c r="AC2200" s="29"/>
      <c r="AD2200" s="29"/>
    </row>
    <row r="2201">
      <c r="A2201" s="18"/>
      <c r="B2201" s="22"/>
      <c r="C2201" s="18"/>
      <c r="D2201" s="19"/>
      <c r="E2201" s="49"/>
      <c r="G2201" s="29"/>
      <c r="H2201" s="29"/>
      <c r="I2201" s="29"/>
      <c r="J2201" s="29"/>
      <c r="K2201" s="29"/>
      <c r="L2201" s="29"/>
      <c r="M2201" s="29"/>
      <c r="N2201" s="29"/>
      <c r="O2201" s="29"/>
      <c r="P2201" s="29"/>
      <c r="Q2201" s="29"/>
      <c r="R2201" s="29"/>
      <c r="S2201" s="29"/>
      <c r="T2201" s="29"/>
      <c r="U2201" s="29"/>
      <c r="V2201" s="29"/>
      <c r="W2201" s="29"/>
      <c r="X2201" s="29"/>
      <c r="Y2201" s="29"/>
      <c r="Z2201" s="29"/>
      <c r="AA2201" s="29"/>
      <c r="AB2201" s="29"/>
      <c r="AC2201" s="29"/>
      <c r="AD2201" s="29"/>
    </row>
    <row r="2202">
      <c r="A2202" s="18"/>
      <c r="B2202" s="22"/>
      <c r="C2202" s="18"/>
      <c r="D2202" s="19"/>
      <c r="E2202" s="49"/>
      <c r="G2202" s="29"/>
      <c r="H2202" s="29"/>
      <c r="I2202" s="29"/>
      <c r="J2202" s="29"/>
      <c r="K2202" s="29"/>
      <c r="L2202" s="29"/>
      <c r="M2202" s="29"/>
      <c r="N2202" s="29"/>
      <c r="O2202" s="29"/>
      <c r="P2202" s="29"/>
      <c r="Q2202" s="29"/>
      <c r="R2202" s="29"/>
      <c r="S2202" s="29"/>
      <c r="T2202" s="29"/>
      <c r="U2202" s="29"/>
      <c r="V2202" s="29"/>
      <c r="W2202" s="29"/>
      <c r="X2202" s="29"/>
      <c r="Y2202" s="29"/>
      <c r="Z2202" s="29"/>
      <c r="AA2202" s="29"/>
      <c r="AB2202" s="29"/>
      <c r="AC2202" s="29"/>
      <c r="AD2202" s="29"/>
    </row>
    <row r="2203">
      <c r="A2203" s="115" t="s">
        <v>3355</v>
      </c>
      <c r="B2203" s="17" t="s">
        <v>3356</v>
      </c>
      <c r="C2203" s="18" t="s">
        <v>3357</v>
      </c>
      <c r="D2203" s="19" t="s">
        <v>3358</v>
      </c>
      <c r="E2203" s="132" t="s">
        <v>14</v>
      </c>
      <c r="G2203" s="29"/>
      <c r="H2203" s="29"/>
      <c r="I2203" s="29"/>
      <c r="J2203" s="29"/>
      <c r="K2203" s="29"/>
      <c r="L2203" s="29"/>
      <c r="M2203" s="29"/>
      <c r="N2203" s="29"/>
      <c r="O2203" s="29"/>
      <c r="P2203" s="29"/>
      <c r="Q2203" s="29"/>
      <c r="R2203" s="29"/>
      <c r="S2203" s="29"/>
      <c r="T2203" s="29"/>
      <c r="U2203" s="29"/>
      <c r="V2203" s="29"/>
      <c r="W2203" s="29"/>
      <c r="X2203" s="29"/>
      <c r="Y2203" s="29"/>
      <c r="Z2203" s="29"/>
      <c r="AA2203" s="29"/>
      <c r="AB2203" s="29"/>
      <c r="AC2203" s="29"/>
      <c r="AD2203" s="29"/>
    </row>
    <row r="2204">
      <c r="A2204" s="115" t="s">
        <v>3355</v>
      </c>
      <c r="B2204" s="22" t="s">
        <v>3348</v>
      </c>
      <c r="C2204" s="18" t="s">
        <v>3352</v>
      </c>
      <c r="D2204" s="19" t="s">
        <v>3350</v>
      </c>
      <c r="E2204" s="161" t="s">
        <v>3359</v>
      </c>
      <c r="G2204" s="29"/>
      <c r="H2204" s="29"/>
      <c r="I2204" s="29"/>
      <c r="J2204" s="29"/>
      <c r="K2204" s="29"/>
      <c r="L2204" s="29"/>
      <c r="M2204" s="29"/>
      <c r="N2204" s="29"/>
      <c r="O2204" s="29"/>
      <c r="P2204" s="29"/>
      <c r="Q2204" s="29"/>
      <c r="R2204" s="29"/>
      <c r="S2204" s="29"/>
      <c r="T2204" s="29"/>
      <c r="U2204" s="29"/>
      <c r="V2204" s="29"/>
      <c r="W2204" s="29"/>
      <c r="X2204" s="29"/>
      <c r="Y2204" s="29"/>
      <c r="Z2204" s="29"/>
      <c r="AA2204" s="29"/>
      <c r="AB2204" s="29"/>
      <c r="AC2204" s="29"/>
      <c r="AD2204" s="29"/>
    </row>
    <row r="2205">
      <c r="A2205" s="115" t="s">
        <v>3355</v>
      </c>
      <c r="B2205" s="22" t="s">
        <v>3348</v>
      </c>
      <c r="C2205" s="18" t="s">
        <v>3360</v>
      </c>
      <c r="D2205" s="19" t="s">
        <v>3350</v>
      </c>
      <c r="E2205" s="161" t="s">
        <v>3359</v>
      </c>
      <c r="G2205" s="29"/>
      <c r="H2205" s="29"/>
      <c r="I2205" s="29"/>
      <c r="J2205" s="29"/>
      <c r="K2205" s="29"/>
      <c r="L2205" s="29"/>
      <c r="M2205" s="29"/>
      <c r="N2205" s="29"/>
      <c r="O2205" s="29"/>
      <c r="P2205" s="29"/>
      <c r="Q2205" s="29"/>
      <c r="R2205" s="29"/>
      <c r="S2205" s="29"/>
      <c r="T2205" s="29"/>
      <c r="U2205" s="29"/>
      <c r="V2205" s="29"/>
      <c r="W2205" s="29"/>
      <c r="X2205" s="29"/>
      <c r="Y2205" s="29"/>
      <c r="Z2205" s="29"/>
      <c r="AA2205" s="29"/>
      <c r="AB2205" s="29"/>
      <c r="AC2205" s="29"/>
      <c r="AD2205" s="29"/>
    </row>
    <row r="2206">
      <c r="A2206" s="115" t="s">
        <v>3355</v>
      </c>
      <c r="B2206" s="22" t="s">
        <v>3348</v>
      </c>
      <c r="C2206" s="18" t="s">
        <v>3352</v>
      </c>
      <c r="D2206" s="19" t="s">
        <v>3350</v>
      </c>
      <c r="E2206" s="161" t="s">
        <v>3359</v>
      </c>
      <c r="G2206" s="29"/>
      <c r="H2206" s="29"/>
      <c r="I2206" s="29"/>
      <c r="J2206" s="29"/>
      <c r="K2206" s="29"/>
      <c r="L2206" s="29"/>
      <c r="M2206" s="29"/>
      <c r="N2206" s="29"/>
      <c r="O2206" s="29"/>
      <c r="P2206" s="29"/>
      <c r="Q2206" s="29"/>
      <c r="R2206" s="29"/>
      <c r="S2206" s="29"/>
      <c r="T2206" s="29"/>
      <c r="U2206" s="29"/>
      <c r="V2206" s="29"/>
      <c r="W2206" s="29"/>
      <c r="X2206" s="29"/>
      <c r="Y2206" s="29"/>
      <c r="Z2206" s="29"/>
      <c r="AA2206" s="29"/>
      <c r="AB2206" s="29"/>
      <c r="AC2206" s="29"/>
      <c r="AD2206" s="29"/>
    </row>
    <row r="2207">
      <c r="A2207" s="115" t="s">
        <v>3355</v>
      </c>
      <c r="B2207" s="22" t="s">
        <v>3361</v>
      </c>
      <c r="C2207" s="18" t="s">
        <v>3362</v>
      </c>
      <c r="D2207" s="19" t="s">
        <v>3363</v>
      </c>
      <c r="E2207" s="132" t="s">
        <v>1479</v>
      </c>
      <c r="G2207" s="29"/>
      <c r="H2207" s="29"/>
      <c r="I2207" s="29"/>
      <c r="J2207" s="29"/>
      <c r="K2207" s="29"/>
      <c r="L2207" s="29"/>
      <c r="M2207" s="29"/>
      <c r="N2207" s="29"/>
      <c r="O2207" s="29"/>
      <c r="P2207" s="29"/>
      <c r="Q2207" s="29"/>
      <c r="R2207" s="29"/>
      <c r="S2207" s="29"/>
      <c r="T2207" s="29"/>
      <c r="U2207" s="29"/>
      <c r="V2207" s="29"/>
      <c r="W2207" s="29"/>
      <c r="X2207" s="29"/>
      <c r="Y2207" s="29"/>
      <c r="Z2207" s="29"/>
      <c r="AA2207" s="29"/>
      <c r="AB2207" s="29"/>
      <c r="AC2207" s="29"/>
      <c r="AD2207" s="29"/>
    </row>
    <row r="2208">
      <c r="A2208" s="6"/>
      <c r="B2208" s="9"/>
      <c r="C2208" s="9"/>
      <c r="D2208" s="9"/>
      <c r="E2208" s="9"/>
      <c r="G2208" s="29"/>
      <c r="H2208" s="29"/>
      <c r="I2208" s="29"/>
      <c r="J2208" s="29"/>
      <c r="K2208" s="29"/>
      <c r="L2208" s="29"/>
      <c r="M2208" s="29"/>
      <c r="N2208" s="29"/>
      <c r="O2208" s="29"/>
      <c r="P2208" s="29"/>
      <c r="Q2208" s="29"/>
      <c r="R2208" s="29"/>
      <c r="S2208" s="29"/>
      <c r="T2208" s="29"/>
      <c r="U2208" s="29"/>
      <c r="V2208" s="29"/>
      <c r="W2208" s="29"/>
      <c r="X2208" s="29"/>
      <c r="Y2208" s="29"/>
      <c r="Z2208" s="29"/>
      <c r="AA2208" s="29"/>
      <c r="AB2208" s="29"/>
      <c r="AC2208" s="29"/>
      <c r="AD2208" s="29"/>
    </row>
    <row r="2209">
      <c r="A2209" s="6"/>
      <c r="B2209" s="9"/>
      <c r="C2209" s="9"/>
      <c r="D2209" s="9"/>
      <c r="E2209" s="9"/>
      <c r="G2209" s="29"/>
      <c r="H2209" s="29"/>
      <c r="I2209" s="29"/>
      <c r="J2209" s="29"/>
      <c r="K2209" s="29"/>
      <c r="L2209" s="29"/>
      <c r="M2209" s="29"/>
      <c r="N2209" s="29"/>
      <c r="O2209" s="29"/>
      <c r="P2209" s="29"/>
      <c r="Q2209" s="29"/>
      <c r="R2209" s="29"/>
      <c r="S2209" s="29"/>
      <c r="T2209" s="29"/>
      <c r="U2209" s="29"/>
      <c r="V2209" s="29"/>
      <c r="W2209" s="29"/>
      <c r="X2209" s="29"/>
      <c r="Y2209" s="29"/>
      <c r="Z2209" s="29"/>
      <c r="AA2209" s="29"/>
      <c r="AB2209" s="29"/>
      <c r="AC2209" s="29"/>
      <c r="AD2209" s="29"/>
    </row>
    <row r="2210">
      <c r="A2210" s="115" t="s">
        <v>3364</v>
      </c>
      <c r="B2210" s="22" t="s">
        <v>2591</v>
      </c>
      <c r="C2210" s="18" t="s">
        <v>3365</v>
      </c>
      <c r="D2210" s="19" t="s">
        <v>3366</v>
      </c>
      <c r="E2210" s="9" t="s">
        <v>3217</v>
      </c>
      <c r="G2210" s="29"/>
      <c r="H2210" s="29"/>
      <c r="I2210" s="29"/>
      <c r="J2210" s="29"/>
      <c r="K2210" s="29"/>
      <c r="L2210" s="29"/>
      <c r="M2210" s="29"/>
      <c r="N2210" s="29"/>
      <c r="O2210" s="29"/>
      <c r="P2210" s="29"/>
      <c r="Q2210" s="29"/>
      <c r="R2210" s="29"/>
      <c r="S2210" s="29"/>
      <c r="T2210" s="29"/>
      <c r="U2210" s="29"/>
      <c r="V2210" s="29"/>
      <c r="W2210" s="29"/>
      <c r="X2210" s="29"/>
      <c r="Y2210" s="29"/>
      <c r="Z2210" s="29"/>
      <c r="AA2210" s="29"/>
      <c r="AB2210" s="29"/>
      <c r="AC2210" s="29"/>
      <c r="AD2210" s="29"/>
    </row>
    <row r="2211">
      <c r="A2211" s="115" t="s">
        <v>3364</v>
      </c>
      <c r="B2211" s="22" t="s">
        <v>2591</v>
      </c>
      <c r="C2211" s="18" t="s">
        <v>3367</v>
      </c>
      <c r="D2211" s="19" t="s">
        <v>3368</v>
      </c>
      <c r="E2211" s="9" t="s">
        <v>3217</v>
      </c>
      <c r="G2211" s="29"/>
      <c r="H2211" s="29"/>
      <c r="I2211" s="29"/>
      <c r="J2211" s="29"/>
      <c r="K2211" s="29"/>
      <c r="L2211" s="29"/>
      <c r="M2211" s="29"/>
      <c r="N2211" s="29"/>
      <c r="O2211" s="29"/>
      <c r="P2211" s="29"/>
      <c r="Q2211" s="29"/>
      <c r="R2211" s="29"/>
      <c r="S2211" s="29"/>
      <c r="T2211" s="29"/>
      <c r="U2211" s="29"/>
      <c r="V2211" s="29"/>
      <c r="W2211" s="29"/>
      <c r="X2211" s="29"/>
      <c r="Y2211" s="29"/>
      <c r="Z2211" s="29"/>
      <c r="AA2211" s="29"/>
      <c r="AB2211" s="29"/>
      <c r="AC2211" s="29"/>
      <c r="AD2211" s="29"/>
    </row>
    <row r="2212">
      <c r="A2212" s="115" t="s">
        <v>3364</v>
      </c>
      <c r="B2212" s="22" t="s">
        <v>2591</v>
      </c>
      <c r="C2212" s="18" t="s">
        <v>3369</v>
      </c>
      <c r="D2212" s="19" t="s">
        <v>3370</v>
      </c>
      <c r="E2212" s="9" t="s">
        <v>3217</v>
      </c>
      <c r="G2212" s="29"/>
      <c r="H2212" s="29"/>
      <c r="I2212" s="29"/>
      <c r="J2212" s="29"/>
      <c r="K2212" s="29"/>
      <c r="L2212" s="29"/>
      <c r="M2212" s="29"/>
      <c r="N2212" s="29"/>
      <c r="O2212" s="29"/>
      <c r="P2212" s="29"/>
      <c r="Q2212" s="29"/>
      <c r="R2212" s="29"/>
      <c r="S2212" s="29"/>
      <c r="T2212" s="29"/>
      <c r="U2212" s="29"/>
      <c r="V2212" s="29"/>
      <c r="W2212" s="29"/>
      <c r="X2212" s="29"/>
      <c r="Y2212" s="29"/>
      <c r="Z2212" s="29"/>
      <c r="AA2212" s="29"/>
      <c r="AB2212" s="29"/>
      <c r="AC2212" s="29"/>
      <c r="AD2212" s="29"/>
    </row>
    <row r="2213">
      <c r="A2213" s="115" t="s">
        <v>3364</v>
      </c>
      <c r="B2213" s="22" t="s">
        <v>2591</v>
      </c>
      <c r="C2213" s="18" t="s">
        <v>3371</v>
      </c>
      <c r="D2213" s="19" t="s">
        <v>3372</v>
      </c>
      <c r="E2213" s="9" t="s">
        <v>3217</v>
      </c>
      <c r="G2213" s="29"/>
      <c r="H2213" s="29"/>
      <c r="I2213" s="29"/>
      <c r="J2213" s="29"/>
      <c r="K2213" s="29"/>
      <c r="L2213" s="29"/>
      <c r="M2213" s="29"/>
      <c r="N2213" s="29"/>
      <c r="O2213" s="29"/>
      <c r="P2213" s="29"/>
      <c r="Q2213" s="29"/>
      <c r="R2213" s="29"/>
      <c r="S2213" s="29"/>
      <c r="T2213" s="29"/>
      <c r="U2213" s="29"/>
      <c r="V2213" s="29"/>
      <c r="W2213" s="29"/>
      <c r="X2213" s="29"/>
      <c r="Y2213" s="29"/>
      <c r="Z2213" s="29"/>
      <c r="AA2213" s="29"/>
      <c r="AB2213" s="29"/>
      <c r="AC2213" s="29"/>
      <c r="AD2213" s="29"/>
    </row>
    <row r="2214">
      <c r="A2214" s="115" t="s">
        <v>3364</v>
      </c>
      <c r="B2214" s="22" t="s">
        <v>2591</v>
      </c>
      <c r="C2214" s="18" t="s">
        <v>3371</v>
      </c>
      <c r="D2214" s="19" t="s">
        <v>3373</v>
      </c>
      <c r="E2214" s="9" t="s">
        <v>3217</v>
      </c>
      <c r="G2214" s="29"/>
      <c r="H2214" s="29"/>
      <c r="I2214" s="29"/>
      <c r="J2214" s="29"/>
      <c r="K2214" s="29"/>
      <c r="L2214" s="29"/>
      <c r="M2214" s="29"/>
      <c r="N2214" s="29"/>
      <c r="O2214" s="29"/>
      <c r="P2214" s="29"/>
      <c r="Q2214" s="29"/>
      <c r="R2214" s="29"/>
      <c r="S2214" s="29"/>
      <c r="T2214" s="29"/>
      <c r="U2214" s="29"/>
      <c r="V2214" s="29"/>
      <c r="W2214" s="29"/>
      <c r="X2214" s="29"/>
      <c r="Y2214" s="29"/>
      <c r="Z2214" s="29"/>
      <c r="AA2214" s="29"/>
      <c r="AB2214" s="29"/>
      <c r="AC2214" s="29"/>
      <c r="AD2214" s="29"/>
    </row>
    <row r="2215">
      <c r="A2215" s="115" t="s">
        <v>3364</v>
      </c>
      <c r="B2215" s="22" t="s">
        <v>2591</v>
      </c>
      <c r="C2215" s="18" t="s">
        <v>3305</v>
      </c>
      <c r="D2215" s="19" t="s">
        <v>3306</v>
      </c>
      <c r="E2215" s="9" t="s">
        <v>3217</v>
      </c>
      <c r="G2215" s="29"/>
      <c r="H2215" s="29"/>
      <c r="I2215" s="29"/>
      <c r="J2215" s="29"/>
      <c r="K2215" s="29"/>
      <c r="L2215" s="29"/>
      <c r="M2215" s="29"/>
      <c r="N2215" s="29"/>
      <c r="O2215" s="29"/>
      <c r="P2215" s="29"/>
      <c r="Q2215" s="29"/>
      <c r="R2215" s="29"/>
      <c r="S2215" s="29"/>
      <c r="T2215" s="29"/>
      <c r="U2215" s="29"/>
      <c r="V2215" s="29"/>
      <c r="W2215" s="29"/>
      <c r="X2215" s="29"/>
      <c r="Y2215" s="29"/>
      <c r="Z2215" s="29"/>
      <c r="AA2215" s="29"/>
      <c r="AB2215" s="29"/>
      <c r="AC2215" s="29"/>
      <c r="AD2215" s="29"/>
    </row>
    <row r="2216">
      <c r="A2216" s="115" t="s">
        <v>3364</v>
      </c>
      <c r="B2216" s="22" t="s">
        <v>3348</v>
      </c>
      <c r="C2216" s="18" t="s">
        <v>3360</v>
      </c>
      <c r="D2216" s="19" t="s">
        <v>3350</v>
      </c>
      <c r="E2216" s="9" t="s">
        <v>1506</v>
      </c>
      <c r="G2216" s="29"/>
      <c r="H2216" s="29"/>
      <c r="I2216" s="29"/>
      <c r="J2216" s="29"/>
      <c r="K2216" s="29"/>
      <c r="L2216" s="29"/>
      <c r="M2216" s="29"/>
      <c r="N2216" s="29"/>
      <c r="O2216" s="29"/>
      <c r="P2216" s="29"/>
      <c r="Q2216" s="29"/>
      <c r="R2216" s="29"/>
      <c r="S2216" s="29"/>
      <c r="T2216" s="29"/>
      <c r="U2216" s="29"/>
      <c r="V2216" s="29"/>
      <c r="W2216" s="29"/>
      <c r="X2216" s="29"/>
      <c r="Y2216" s="29"/>
      <c r="Z2216" s="29"/>
      <c r="AA2216" s="29"/>
      <c r="AB2216" s="29"/>
      <c r="AC2216" s="29"/>
      <c r="AD2216" s="29"/>
    </row>
    <row r="2217">
      <c r="A2217" s="115" t="s">
        <v>3364</v>
      </c>
      <c r="B2217" s="19" t="s">
        <v>3374</v>
      </c>
      <c r="C2217" s="18" t="s">
        <v>3375</v>
      </c>
      <c r="D2217" s="19" t="s">
        <v>3376</v>
      </c>
      <c r="E2217" s="9" t="s">
        <v>196</v>
      </c>
      <c r="G2217" s="29"/>
      <c r="H2217" s="29"/>
      <c r="I2217" s="29"/>
      <c r="J2217" s="29"/>
      <c r="K2217" s="29"/>
      <c r="L2217" s="29"/>
      <c r="M2217" s="29"/>
      <c r="N2217" s="29"/>
      <c r="O2217" s="29"/>
      <c r="P2217" s="29"/>
      <c r="Q2217" s="29"/>
      <c r="R2217" s="29"/>
      <c r="S2217" s="29"/>
      <c r="T2217" s="29"/>
      <c r="U2217" s="29"/>
      <c r="V2217" s="29"/>
      <c r="W2217" s="29"/>
      <c r="X2217" s="29"/>
      <c r="Y2217" s="29"/>
      <c r="Z2217" s="29"/>
      <c r="AA2217" s="29"/>
      <c r="AB2217" s="29"/>
      <c r="AC2217" s="29"/>
      <c r="AD2217" s="29"/>
    </row>
    <row r="2218">
      <c r="A2218" s="18"/>
      <c r="B2218" s="22"/>
      <c r="C2218" s="18"/>
      <c r="D2218" s="19"/>
      <c r="E2218" s="49"/>
      <c r="G2218" s="29"/>
      <c r="H2218" s="29"/>
      <c r="I2218" s="29"/>
      <c r="J2218" s="29"/>
      <c r="K2218" s="29"/>
      <c r="L2218" s="29"/>
      <c r="M2218" s="29"/>
      <c r="N2218" s="29"/>
      <c r="O2218" s="29"/>
      <c r="P2218" s="29"/>
      <c r="Q2218" s="29"/>
      <c r="R2218" s="29"/>
      <c r="S2218" s="29"/>
      <c r="T2218" s="29"/>
      <c r="U2218" s="29"/>
      <c r="V2218" s="29"/>
      <c r="W2218" s="29"/>
      <c r="X2218" s="29"/>
      <c r="Y2218" s="29"/>
      <c r="Z2218" s="29"/>
      <c r="AA2218" s="29"/>
      <c r="AB2218" s="29"/>
      <c r="AC2218" s="29"/>
      <c r="AD2218" s="29"/>
    </row>
    <row r="2219">
      <c r="A2219" s="18"/>
      <c r="B2219" s="22"/>
      <c r="C2219" s="18"/>
      <c r="D2219" s="19"/>
      <c r="E2219" s="49"/>
      <c r="G2219" s="29"/>
      <c r="H2219" s="29"/>
      <c r="I2219" s="29"/>
      <c r="J2219" s="29"/>
      <c r="K2219" s="29"/>
      <c r="L2219" s="29"/>
      <c r="M2219" s="29"/>
      <c r="N2219" s="29"/>
      <c r="O2219" s="29"/>
      <c r="P2219" s="29"/>
      <c r="Q2219" s="29"/>
      <c r="R2219" s="29"/>
      <c r="S2219" s="29"/>
      <c r="T2219" s="29"/>
      <c r="U2219" s="29"/>
      <c r="V2219" s="29"/>
      <c r="W2219" s="29"/>
      <c r="X2219" s="29"/>
      <c r="Y2219" s="29"/>
      <c r="Z2219" s="29"/>
      <c r="AA2219" s="29"/>
      <c r="AB2219" s="29"/>
      <c r="AC2219" s="29"/>
      <c r="AD2219" s="29"/>
    </row>
    <row r="2220">
      <c r="A2220" s="115" t="s">
        <v>3377</v>
      </c>
      <c r="B2220" s="22" t="s">
        <v>3378</v>
      </c>
      <c r="C2220" s="18" t="s">
        <v>3379</v>
      </c>
      <c r="D2220" s="19" t="s">
        <v>3380</v>
      </c>
      <c r="E2220" s="9" t="s">
        <v>1506</v>
      </c>
      <c r="G2220" s="29"/>
      <c r="H2220" s="29"/>
      <c r="I2220" s="29"/>
      <c r="J2220" s="29"/>
      <c r="K2220" s="29"/>
      <c r="L2220" s="29"/>
      <c r="M2220" s="29"/>
      <c r="N2220" s="29"/>
      <c r="O2220" s="29"/>
      <c r="P2220" s="29"/>
      <c r="Q2220" s="29"/>
      <c r="R2220" s="29"/>
      <c r="S2220" s="29"/>
      <c r="T2220" s="29"/>
      <c r="U2220" s="29"/>
      <c r="V2220" s="29"/>
      <c r="W2220" s="29"/>
      <c r="X2220" s="29"/>
      <c r="Y2220" s="29"/>
      <c r="Z2220" s="29"/>
      <c r="AA2220" s="29"/>
      <c r="AB2220" s="29"/>
      <c r="AC2220" s="29"/>
      <c r="AD2220" s="29"/>
    </row>
    <row r="2221">
      <c r="A2221" s="115" t="s">
        <v>3377</v>
      </c>
      <c r="B2221" s="22" t="s">
        <v>3348</v>
      </c>
      <c r="C2221" s="18" t="s">
        <v>3360</v>
      </c>
      <c r="D2221" s="19" t="s">
        <v>3350</v>
      </c>
      <c r="E2221" s="9" t="s">
        <v>1506</v>
      </c>
      <c r="G2221" s="29"/>
      <c r="H2221" s="29"/>
      <c r="I2221" s="29"/>
      <c r="J2221" s="29"/>
      <c r="K2221" s="29"/>
      <c r="L2221" s="29"/>
      <c r="M2221" s="29"/>
      <c r="N2221" s="29"/>
      <c r="O2221" s="29"/>
      <c r="P2221" s="29"/>
      <c r="Q2221" s="29"/>
      <c r="R2221" s="29"/>
      <c r="S2221" s="29"/>
      <c r="T2221" s="29"/>
      <c r="U2221" s="29"/>
      <c r="V2221" s="29"/>
      <c r="W2221" s="29"/>
      <c r="X2221" s="29"/>
      <c r="Y2221" s="29"/>
      <c r="Z2221" s="29"/>
      <c r="AA2221" s="29"/>
      <c r="AB2221" s="29"/>
      <c r="AC2221" s="29"/>
      <c r="AD2221" s="29"/>
    </row>
    <row r="2222">
      <c r="A2222" s="115" t="s">
        <v>3377</v>
      </c>
      <c r="B2222" s="22" t="s">
        <v>3348</v>
      </c>
      <c r="C2222" s="18" t="s">
        <v>3352</v>
      </c>
      <c r="D2222" s="19" t="s">
        <v>3350</v>
      </c>
      <c r="E2222" s="9" t="s">
        <v>1506</v>
      </c>
      <c r="G2222" s="29"/>
      <c r="H2222" s="29"/>
      <c r="I2222" s="29"/>
      <c r="J2222" s="29"/>
      <c r="K2222" s="29"/>
      <c r="L2222" s="29"/>
      <c r="M2222" s="29"/>
      <c r="N2222" s="29"/>
      <c r="O2222" s="29"/>
      <c r="P2222" s="29"/>
      <c r="Q2222" s="29"/>
      <c r="R2222" s="29"/>
      <c r="S2222" s="29"/>
      <c r="T2222" s="29"/>
      <c r="U2222" s="29"/>
      <c r="V2222" s="29"/>
      <c r="W2222" s="29"/>
      <c r="X2222" s="29"/>
      <c r="Y2222" s="29"/>
      <c r="Z2222" s="29"/>
      <c r="AA2222" s="29"/>
      <c r="AB2222" s="29"/>
      <c r="AC2222" s="29"/>
      <c r="AD2222" s="29"/>
    </row>
    <row r="2223">
      <c r="A2223" s="18"/>
      <c r="B2223" s="22"/>
      <c r="C2223" s="18"/>
      <c r="D2223" s="19"/>
      <c r="E2223" s="49"/>
      <c r="G2223" s="29"/>
      <c r="H2223" s="29"/>
      <c r="I2223" s="29"/>
      <c r="J2223" s="29"/>
      <c r="K2223" s="29"/>
      <c r="L2223" s="29"/>
      <c r="M2223" s="29"/>
      <c r="N2223" s="29"/>
      <c r="O2223" s="29"/>
      <c r="P2223" s="29"/>
      <c r="Q2223" s="29"/>
      <c r="R2223" s="29"/>
      <c r="S2223" s="29"/>
      <c r="T2223" s="29"/>
      <c r="U2223" s="29"/>
      <c r="V2223" s="29"/>
      <c r="W2223" s="29"/>
      <c r="X2223" s="29"/>
      <c r="Y2223" s="29"/>
      <c r="Z2223" s="29"/>
      <c r="AA2223" s="29"/>
      <c r="AB2223" s="29"/>
      <c r="AC2223" s="29"/>
      <c r="AD2223" s="29"/>
    </row>
    <row r="2224">
      <c r="A2224" s="18"/>
      <c r="B2224" s="22"/>
      <c r="C2224" s="18"/>
      <c r="D2224" s="19"/>
      <c r="E2224" s="49"/>
      <c r="G2224" s="29"/>
      <c r="H2224" s="29"/>
      <c r="I2224" s="29"/>
      <c r="J2224" s="29"/>
      <c r="K2224" s="29"/>
      <c r="L2224" s="29"/>
      <c r="M2224" s="29"/>
      <c r="N2224" s="29"/>
      <c r="O2224" s="29"/>
      <c r="P2224" s="29"/>
      <c r="Q2224" s="29"/>
      <c r="R2224" s="29"/>
      <c r="S2224" s="29"/>
      <c r="T2224" s="29"/>
      <c r="U2224" s="29"/>
      <c r="V2224" s="29"/>
      <c r="W2224" s="29"/>
      <c r="X2224" s="29"/>
      <c r="Y2224" s="29"/>
      <c r="Z2224" s="29"/>
      <c r="AA2224" s="29"/>
      <c r="AB2224" s="29"/>
      <c r="AC2224" s="29"/>
      <c r="AD2224" s="29"/>
    </row>
    <row r="2225">
      <c r="A2225" s="115" t="s">
        <v>3381</v>
      </c>
      <c r="B2225" s="22" t="s">
        <v>3382</v>
      </c>
      <c r="C2225" s="18" t="s">
        <v>2155</v>
      </c>
      <c r="D2225" s="19" t="s">
        <v>3383</v>
      </c>
      <c r="E2225" s="9" t="s">
        <v>3217</v>
      </c>
      <c r="G2225" s="29"/>
      <c r="H2225" s="29"/>
      <c r="I2225" s="29"/>
      <c r="J2225" s="29"/>
      <c r="K2225" s="29"/>
      <c r="L2225" s="29"/>
      <c r="M2225" s="29"/>
      <c r="N2225" s="29"/>
      <c r="O2225" s="29"/>
      <c r="P2225" s="29"/>
      <c r="Q2225" s="29"/>
      <c r="R2225" s="29"/>
      <c r="S2225" s="29"/>
      <c r="T2225" s="29"/>
      <c r="U2225" s="29"/>
      <c r="V2225" s="29"/>
      <c r="W2225" s="29"/>
      <c r="X2225" s="29"/>
      <c r="Y2225" s="29"/>
      <c r="Z2225" s="29"/>
      <c r="AA2225" s="29"/>
      <c r="AB2225" s="29"/>
      <c r="AC2225" s="29"/>
      <c r="AD2225" s="29"/>
    </row>
    <row r="2226">
      <c r="A2226" s="115" t="s">
        <v>3381</v>
      </c>
      <c r="B2226" s="22" t="s">
        <v>3382</v>
      </c>
      <c r="C2226" s="18" t="s">
        <v>2155</v>
      </c>
      <c r="D2226" s="19" t="s">
        <v>3384</v>
      </c>
      <c r="E2226" s="9" t="s">
        <v>3217</v>
      </c>
      <c r="G2226" s="29"/>
      <c r="H2226" s="29"/>
      <c r="I2226" s="29"/>
      <c r="J2226" s="29"/>
      <c r="K2226" s="29"/>
      <c r="L2226" s="29"/>
      <c r="M2226" s="29"/>
      <c r="N2226" s="29"/>
      <c r="O2226" s="29"/>
      <c r="P2226" s="29"/>
      <c r="Q2226" s="29"/>
      <c r="R2226" s="29"/>
      <c r="S2226" s="29"/>
      <c r="T2226" s="29"/>
      <c r="U2226" s="29"/>
      <c r="V2226" s="29"/>
      <c r="W2226" s="29"/>
      <c r="X2226" s="29"/>
      <c r="Y2226" s="29"/>
      <c r="Z2226" s="29"/>
      <c r="AA2226" s="29"/>
      <c r="AB2226" s="29"/>
      <c r="AC2226" s="29"/>
      <c r="AD2226" s="29"/>
    </row>
    <row r="2227">
      <c r="A2227" s="115" t="s">
        <v>3381</v>
      </c>
      <c r="B2227" s="22" t="s">
        <v>3382</v>
      </c>
      <c r="C2227" s="18" t="s">
        <v>2155</v>
      </c>
      <c r="D2227" s="19" t="s">
        <v>3385</v>
      </c>
      <c r="E2227" s="9" t="s">
        <v>3217</v>
      </c>
      <c r="G2227" s="29"/>
      <c r="H2227" s="29"/>
      <c r="I2227" s="29"/>
      <c r="J2227" s="29"/>
      <c r="K2227" s="29"/>
      <c r="L2227" s="29"/>
      <c r="M2227" s="29"/>
      <c r="N2227" s="29"/>
      <c r="O2227" s="29"/>
      <c r="P2227" s="29"/>
      <c r="Q2227" s="29"/>
      <c r="R2227" s="29"/>
      <c r="S2227" s="29"/>
      <c r="T2227" s="29"/>
      <c r="U2227" s="29"/>
      <c r="V2227" s="29"/>
      <c r="W2227" s="29"/>
      <c r="X2227" s="29"/>
      <c r="Y2227" s="29"/>
      <c r="Z2227" s="29"/>
      <c r="AA2227" s="29"/>
      <c r="AB2227" s="29"/>
      <c r="AC2227" s="29"/>
      <c r="AD2227" s="29"/>
    </row>
    <row r="2228">
      <c r="A2228" s="115" t="s">
        <v>3381</v>
      </c>
      <c r="B2228" s="22" t="s">
        <v>3382</v>
      </c>
      <c r="C2228" s="18" t="s">
        <v>2155</v>
      </c>
      <c r="D2228" s="19" t="s">
        <v>3386</v>
      </c>
      <c r="E2228" s="9" t="s">
        <v>3217</v>
      </c>
      <c r="G2228" s="29"/>
      <c r="H2228" s="29"/>
      <c r="I2228" s="29"/>
      <c r="J2228" s="29"/>
      <c r="K2228" s="29"/>
      <c r="L2228" s="29"/>
      <c r="M2228" s="29"/>
      <c r="N2228" s="29"/>
      <c r="O2228" s="29"/>
      <c r="P2228" s="29"/>
      <c r="Q2228" s="29"/>
      <c r="R2228" s="29"/>
      <c r="S2228" s="29"/>
      <c r="T2228" s="29"/>
      <c r="U2228" s="29"/>
      <c r="V2228" s="29"/>
      <c r="W2228" s="29"/>
      <c r="X2228" s="29"/>
      <c r="Y2228" s="29"/>
      <c r="Z2228" s="29"/>
      <c r="AA2228" s="29"/>
      <c r="AB2228" s="29"/>
      <c r="AC2228" s="29"/>
      <c r="AD2228" s="29"/>
    </row>
    <row r="2229">
      <c r="A2229" s="115" t="s">
        <v>3381</v>
      </c>
      <c r="B2229" s="22" t="s">
        <v>3387</v>
      </c>
      <c r="C2229" s="18" t="s">
        <v>3388</v>
      </c>
      <c r="D2229" s="19" t="s">
        <v>3389</v>
      </c>
      <c r="E2229" s="132" t="s">
        <v>14</v>
      </c>
      <c r="G2229" s="29"/>
      <c r="H2229" s="29"/>
      <c r="I2229" s="29"/>
      <c r="J2229" s="29"/>
      <c r="K2229" s="29"/>
      <c r="L2229" s="29"/>
      <c r="M2229" s="29"/>
      <c r="N2229" s="29"/>
      <c r="O2229" s="29"/>
      <c r="P2229" s="29"/>
      <c r="Q2229" s="29"/>
      <c r="R2229" s="29"/>
      <c r="S2229" s="29"/>
      <c r="T2229" s="29"/>
      <c r="U2229" s="29"/>
      <c r="V2229" s="29"/>
      <c r="W2229" s="29"/>
      <c r="X2229" s="29"/>
      <c r="Y2229" s="29"/>
      <c r="Z2229" s="29"/>
      <c r="AA2229" s="29"/>
      <c r="AB2229" s="29"/>
      <c r="AC2229" s="29"/>
      <c r="AD2229" s="29"/>
    </row>
    <row r="2230">
      <c r="A2230" s="115" t="s">
        <v>3381</v>
      </c>
      <c r="B2230" s="22" t="s">
        <v>2591</v>
      </c>
      <c r="C2230" s="18" t="s">
        <v>3390</v>
      </c>
      <c r="D2230" s="19" t="s">
        <v>3391</v>
      </c>
      <c r="E2230" s="9" t="s">
        <v>3217</v>
      </c>
      <c r="G2230" s="29"/>
      <c r="H2230" s="29"/>
      <c r="I2230" s="29"/>
      <c r="J2230" s="29"/>
      <c r="K2230" s="29"/>
      <c r="L2230" s="29"/>
      <c r="M2230" s="29"/>
      <c r="N2230" s="29"/>
      <c r="O2230" s="29"/>
      <c r="P2230" s="29"/>
      <c r="Q2230" s="29"/>
      <c r="R2230" s="29"/>
      <c r="S2230" s="29"/>
      <c r="T2230" s="29"/>
      <c r="U2230" s="29"/>
      <c r="V2230" s="29"/>
      <c r="W2230" s="29"/>
      <c r="X2230" s="29"/>
      <c r="Y2230" s="29"/>
      <c r="Z2230" s="29"/>
      <c r="AA2230" s="29"/>
      <c r="AB2230" s="29"/>
      <c r="AC2230" s="29"/>
      <c r="AD2230" s="29"/>
    </row>
    <row r="2231">
      <c r="A2231" s="115" t="s">
        <v>3381</v>
      </c>
      <c r="B2231" s="22" t="s">
        <v>2591</v>
      </c>
      <c r="C2231" s="18" t="s">
        <v>3392</v>
      </c>
      <c r="D2231" s="19" t="s">
        <v>3393</v>
      </c>
      <c r="E2231" s="9" t="s">
        <v>3217</v>
      </c>
      <c r="G2231" s="29"/>
      <c r="H2231" s="29"/>
      <c r="I2231" s="29"/>
      <c r="J2231" s="29"/>
      <c r="K2231" s="29"/>
      <c r="L2231" s="29"/>
      <c r="M2231" s="29"/>
      <c r="N2231" s="29"/>
      <c r="O2231" s="29"/>
      <c r="P2231" s="29"/>
      <c r="Q2231" s="29"/>
      <c r="R2231" s="29"/>
      <c r="S2231" s="29"/>
      <c r="T2231" s="29"/>
      <c r="U2231" s="29"/>
      <c r="V2231" s="29"/>
      <c r="W2231" s="29"/>
      <c r="X2231" s="29"/>
      <c r="Y2231" s="29"/>
      <c r="Z2231" s="29"/>
      <c r="AA2231" s="29"/>
      <c r="AB2231" s="29"/>
      <c r="AC2231" s="29"/>
      <c r="AD2231" s="29"/>
    </row>
    <row r="2232">
      <c r="A2232" s="115" t="s">
        <v>3381</v>
      </c>
      <c r="B2232" s="22" t="s">
        <v>2591</v>
      </c>
      <c r="C2232" s="18" t="s">
        <v>3392</v>
      </c>
      <c r="D2232" s="19" t="s">
        <v>3394</v>
      </c>
      <c r="E2232" s="9" t="s">
        <v>3217</v>
      </c>
      <c r="G2232" s="29"/>
      <c r="H2232" s="29"/>
      <c r="I2232" s="29"/>
      <c r="J2232" s="29"/>
      <c r="K2232" s="29"/>
      <c r="L2232" s="29"/>
      <c r="M2232" s="29"/>
      <c r="N2232" s="29"/>
      <c r="O2232" s="29"/>
      <c r="P2232" s="29"/>
      <c r="Q2232" s="29"/>
      <c r="R2232" s="29"/>
      <c r="S2232" s="29"/>
      <c r="T2232" s="29"/>
      <c r="U2232" s="29"/>
      <c r="V2232" s="29"/>
      <c r="W2232" s="29"/>
      <c r="X2232" s="29"/>
      <c r="Y2232" s="29"/>
      <c r="Z2232" s="29"/>
      <c r="AA2232" s="29"/>
      <c r="AB2232" s="29"/>
      <c r="AC2232" s="29"/>
      <c r="AD2232" s="29"/>
    </row>
    <row r="2233">
      <c r="A2233" s="115" t="s">
        <v>3381</v>
      </c>
      <c r="B2233" s="22" t="s">
        <v>2591</v>
      </c>
      <c r="C2233" s="18" t="s">
        <v>3395</v>
      </c>
      <c r="D2233" s="19" t="s">
        <v>3396</v>
      </c>
      <c r="E2233" s="9" t="s">
        <v>3217</v>
      </c>
      <c r="G2233" s="29"/>
      <c r="H2233" s="29"/>
      <c r="I2233" s="29"/>
      <c r="J2233" s="29"/>
      <c r="K2233" s="29"/>
      <c r="L2233" s="29"/>
      <c r="M2233" s="29"/>
      <c r="N2233" s="29"/>
      <c r="O2233" s="29"/>
      <c r="P2233" s="29"/>
      <c r="Q2233" s="29"/>
      <c r="R2233" s="29"/>
      <c r="S2233" s="29"/>
      <c r="T2233" s="29"/>
      <c r="U2233" s="29"/>
      <c r="V2233" s="29"/>
      <c r="W2233" s="29"/>
      <c r="X2233" s="29"/>
      <c r="Y2233" s="29"/>
      <c r="Z2233" s="29"/>
      <c r="AA2233" s="29"/>
      <c r="AB2233" s="29"/>
      <c r="AC2233" s="29"/>
      <c r="AD2233" s="29"/>
    </row>
    <row r="2234">
      <c r="A2234" s="115" t="s">
        <v>3381</v>
      </c>
      <c r="B2234" s="22" t="s">
        <v>2591</v>
      </c>
      <c r="C2234" s="18" t="s">
        <v>3397</v>
      </c>
      <c r="D2234" s="19" t="s">
        <v>3306</v>
      </c>
      <c r="E2234" s="9" t="s">
        <v>3217</v>
      </c>
      <c r="G2234" s="29"/>
      <c r="H2234" s="29"/>
      <c r="I2234" s="29"/>
      <c r="J2234" s="29"/>
      <c r="K2234" s="29"/>
      <c r="L2234" s="29"/>
      <c r="M2234" s="29"/>
      <c r="N2234" s="29"/>
      <c r="O2234" s="29"/>
      <c r="P2234" s="29"/>
      <c r="Q2234" s="29"/>
      <c r="R2234" s="29"/>
      <c r="S2234" s="29"/>
      <c r="T2234" s="29"/>
      <c r="U2234" s="29"/>
      <c r="V2234" s="29"/>
      <c r="W2234" s="29"/>
      <c r="X2234" s="29"/>
      <c r="Y2234" s="29"/>
      <c r="Z2234" s="29"/>
      <c r="AA2234" s="29"/>
      <c r="AB2234" s="29"/>
      <c r="AC2234" s="29"/>
      <c r="AD2234" s="29"/>
    </row>
    <row r="2235">
      <c r="A2235" s="115" t="s">
        <v>3381</v>
      </c>
      <c r="B2235" s="22" t="s">
        <v>2591</v>
      </c>
      <c r="C2235" s="18" t="s">
        <v>3398</v>
      </c>
      <c r="D2235" s="19" t="s">
        <v>3399</v>
      </c>
      <c r="E2235" s="9" t="s">
        <v>3217</v>
      </c>
      <c r="G2235" s="29"/>
      <c r="H2235" s="29"/>
      <c r="I2235" s="29"/>
      <c r="J2235" s="29"/>
      <c r="K2235" s="29"/>
      <c r="L2235" s="29"/>
      <c r="M2235" s="29"/>
      <c r="N2235" s="29"/>
      <c r="O2235" s="29"/>
      <c r="P2235" s="29"/>
      <c r="Q2235" s="29"/>
      <c r="R2235" s="29"/>
      <c r="S2235" s="29"/>
      <c r="T2235" s="29"/>
      <c r="U2235" s="29"/>
      <c r="V2235" s="29"/>
      <c r="W2235" s="29"/>
      <c r="X2235" s="29"/>
      <c r="Y2235" s="29"/>
      <c r="Z2235" s="29"/>
      <c r="AA2235" s="29"/>
      <c r="AB2235" s="29"/>
      <c r="AC2235" s="29"/>
      <c r="AD2235" s="29"/>
    </row>
    <row r="2236">
      <c r="A2236" s="115" t="s">
        <v>3381</v>
      </c>
      <c r="B2236" s="22" t="s">
        <v>2591</v>
      </c>
      <c r="C2236" s="18" t="s">
        <v>3400</v>
      </c>
      <c r="D2236" s="19" t="s">
        <v>3401</v>
      </c>
      <c r="E2236" s="9" t="s">
        <v>3217</v>
      </c>
      <c r="G2236" s="29"/>
      <c r="H2236" s="29"/>
      <c r="I2236" s="29"/>
      <c r="J2236" s="29"/>
      <c r="K2236" s="29"/>
      <c r="L2236" s="29"/>
      <c r="M2236" s="29"/>
      <c r="N2236" s="29"/>
      <c r="O2236" s="29"/>
      <c r="P2236" s="29"/>
      <c r="Q2236" s="29"/>
      <c r="R2236" s="29"/>
      <c r="S2236" s="29"/>
      <c r="T2236" s="29"/>
      <c r="U2236" s="29"/>
      <c r="V2236" s="29"/>
      <c r="W2236" s="29"/>
      <c r="X2236" s="29"/>
      <c r="Y2236" s="29"/>
      <c r="Z2236" s="29"/>
      <c r="AA2236" s="29"/>
      <c r="AB2236" s="29"/>
      <c r="AC2236" s="29"/>
      <c r="AD2236" s="29"/>
    </row>
    <row r="2237">
      <c r="A2237" s="115" t="s">
        <v>3381</v>
      </c>
      <c r="B2237" s="22" t="s">
        <v>2591</v>
      </c>
      <c r="C2237" s="18" t="s">
        <v>3392</v>
      </c>
      <c r="D2237" s="19" t="s">
        <v>3402</v>
      </c>
      <c r="E2237" s="9" t="s">
        <v>3217</v>
      </c>
      <c r="G2237" s="29"/>
      <c r="H2237" s="29"/>
      <c r="I2237" s="29"/>
      <c r="J2237" s="29"/>
      <c r="K2237" s="29"/>
      <c r="L2237" s="29"/>
      <c r="M2237" s="29"/>
      <c r="N2237" s="29"/>
      <c r="O2237" s="29"/>
      <c r="P2237" s="29"/>
      <c r="Q2237" s="29"/>
      <c r="R2237" s="29"/>
      <c r="S2237" s="29"/>
      <c r="T2237" s="29"/>
      <c r="U2237" s="29"/>
      <c r="V2237" s="29"/>
      <c r="W2237" s="29"/>
      <c r="X2237" s="29"/>
      <c r="Y2237" s="29"/>
      <c r="Z2237" s="29"/>
      <c r="AA2237" s="29"/>
      <c r="AB2237" s="29"/>
      <c r="AC2237" s="29"/>
      <c r="AD2237" s="29"/>
    </row>
    <row r="2238">
      <c r="A2238" s="115" t="s">
        <v>3381</v>
      </c>
      <c r="B2238" s="22" t="s">
        <v>2591</v>
      </c>
      <c r="C2238" s="18" t="s">
        <v>3403</v>
      </c>
      <c r="D2238" s="19" t="s">
        <v>3404</v>
      </c>
      <c r="E2238" s="9" t="s">
        <v>3217</v>
      </c>
      <c r="G2238" s="29"/>
      <c r="H2238" s="29"/>
      <c r="I2238" s="29"/>
      <c r="J2238" s="29"/>
      <c r="K2238" s="29"/>
      <c r="L2238" s="29"/>
      <c r="M2238" s="29"/>
      <c r="N2238" s="29"/>
      <c r="O2238" s="29"/>
      <c r="P2238" s="29"/>
      <c r="Q2238" s="29"/>
      <c r="R2238" s="29"/>
      <c r="S2238" s="29"/>
      <c r="T2238" s="29"/>
      <c r="U2238" s="29"/>
      <c r="V2238" s="29"/>
      <c r="W2238" s="29"/>
      <c r="X2238" s="29"/>
      <c r="Y2238" s="29"/>
      <c r="Z2238" s="29"/>
      <c r="AA2238" s="29"/>
      <c r="AB2238" s="29"/>
      <c r="AC2238" s="29"/>
      <c r="AD2238" s="29"/>
    </row>
    <row r="2239">
      <c r="A2239" s="115" t="s">
        <v>3381</v>
      </c>
      <c r="B2239" s="22" t="s">
        <v>2591</v>
      </c>
      <c r="C2239" s="18" t="s">
        <v>3298</v>
      </c>
      <c r="D2239" s="19" t="s">
        <v>3299</v>
      </c>
      <c r="E2239" s="9" t="s">
        <v>3217</v>
      </c>
      <c r="G2239" s="29"/>
      <c r="H2239" s="29"/>
      <c r="I2239" s="29"/>
      <c r="J2239" s="29"/>
      <c r="K2239" s="29"/>
      <c r="L2239" s="29"/>
      <c r="M2239" s="29"/>
      <c r="N2239" s="29"/>
      <c r="O2239" s="29"/>
      <c r="P2239" s="29"/>
      <c r="Q2239" s="29"/>
      <c r="R2239" s="29"/>
      <c r="S2239" s="29"/>
      <c r="T2239" s="29"/>
      <c r="U2239" s="29"/>
      <c r="V2239" s="29"/>
      <c r="W2239" s="29"/>
      <c r="X2239" s="29"/>
      <c r="Y2239" s="29"/>
      <c r="Z2239" s="29"/>
      <c r="AA2239" s="29"/>
      <c r="AB2239" s="29"/>
      <c r="AC2239" s="29"/>
      <c r="AD2239" s="29"/>
    </row>
    <row r="2240">
      <c r="A2240" s="115" t="s">
        <v>3381</v>
      </c>
      <c r="B2240" s="22" t="s">
        <v>3405</v>
      </c>
      <c r="C2240" s="18" t="s">
        <v>3406</v>
      </c>
      <c r="D2240" s="19" t="s">
        <v>3407</v>
      </c>
      <c r="E2240" s="132" t="s">
        <v>125</v>
      </c>
      <c r="G2240" s="29"/>
      <c r="H2240" s="29"/>
      <c r="I2240" s="29"/>
      <c r="J2240" s="29"/>
      <c r="K2240" s="29"/>
      <c r="L2240" s="29"/>
      <c r="M2240" s="29"/>
      <c r="N2240" s="29"/>
      <c r="O2240" s="29"/>
      <c r="P2240" s="29"/>
      <c r="Q2240" s="29"/>
      <c r="R2240" s="29"/>
      <c r="S2240" s="29"/>
      <c r="T2240" s="29"/>
      <c r="U2240" s="29"/>
      <c r="V2240" s="29"/>
      <c r="W2240" s="29"/>
      <c r="X2240" s="29"/>
      <c r="Y2240" s="29"/>
      <c r="Z2240" s="29"/>
      <c r="AA2240" s="29"/>
      <c r="AB2240" s="29"/>
      <c r="AC2240" s="29"/>
      <c r="AD2240" s="29"/>
    </row>
    <row r="2241">
      <c r="A2241" s="115" t="s">
        <v>3381</v>
      </c>
      <c r="B2241" s="22" t="s">
        <v>3378</v>
      </c>
      <c r="C2241" s="18" t="s">
        <v>1379</v>
      </c>
      <c r="D2241" s="19" t="s">
        <v>3408</v>
      </c>
      <c r="E2241" s="132" t="s">
        <v>14</v>
      </c>
      <c r="G2241" s="29"/>
      <c r="H2241" s="29"/>
      <c r="I2241" s="29"/>
      <c r="J2241" s="29"/>
      <c r="K2241" s="29"/>
      <c r="L2241" s="29"/>
      <c r="M2241" s="29"/>
      <c r="N2241" s="29"/>
      <c r="O2241" s="29"/>
      <c r="P2241" s="29"/>
      <c r="Q2241" s="29"/>
      <c r="R2241" s="29"/>
      <c r="S2241" s="29"/>
      <c r="T2241" s="29"/>
      <c r="U2241" s="29"/>
      <c r="V2241" s="29"/>
      <c r="W2241" s="29"/>
      <c r="X2241" s="29"/>
      <c r="Y2241" s="29"/>
      <c r="Z2241" s="29"/>
      <c r="AA2241" s="29"/>
      <c r="AB2241" s="29"/>
      <c r="AC2241" s="29"/>
      <c r="AD2241" s="29"/>
    </row>
    <row r="2242">
      <c r="A2242" s="115" t="s">
        <v>3381</v>
      </c>
      <c r="B2242" s="22" t="s">
        <v>3409</v>
      </c>
      <c r="C2242" s="18" t="s">
        <v>3410</v>
      </c>
      <c r="D2242" s="19" t="s">
        <v>3411</v>
      </c>
      <c r="E2242" s="9" t="s">
        <v>1506</v>
      </c>
      <c r="G2242" s="29"/>
      <c r="H2242" s="29"/>
      <c r="I2242" s="29"/>
      <c r="J2242" s="29"/>
      <c r="K2242" s="29"/>
      <c r="L2242" s="29"/>
      <c r="M2242" s="29"/>
      <c r="N2242" s="29"/>
      <c r="O2242" s="29"/>
      <c r="P2242" s="29"/>
      <c r="Q2242" s="29"/>
      <c r="R2242" s="29"/>
      <c r="S2242" s="29"/>
      <c r="T2242" s="29"/>
      <c r="U2242" s="29"/>
      <c r="V2242" s="29"/>
      <c r="W2242" s="29"/>
      <c r="X2242" s="29"/>
      <c r="Y2242" s="29"/>
      <c r="Z2242" s="29"/>
      <c r="AA2242" s="29"/>
      <c r="AB2242" s="29"/>
      <c r="AC2242" s="29"/>
      <c r="AD2242" s="29"/>
    </row>
    <row r="2243">
      <c r="A2243" s="18"/>
      <c r="B2243" s="22"/>
      <c r="C2243" s="18"/>
      <c r="D2243" s="19"/>
      <c r="E2243" s="49"/>
      <c r="G2243" s="29"/>
      <c r="H2243" s="29"/>
      <c r="I2243" s="29"/>
      <c r="J2243" s="29"/>
      <c r="K2243" s="29"/>
      <c r="L2243" s="29"/>
      <c r="M2243" s="29"/>
      <c r="N2243" s="29"/>
      <c r="O2243" s="29"/>
      <c r="P2243" s="29"/>
      <c r="Q2243" s="29"/>
      <c r="R2243" s="29"/>
      <c r="S2243" s="29"/>
      <c r="T2243" s="29"/>
      <c r="U2243" s="29"/>
      <c r="V2243" s="29"/>
      <c r="W2243" s="29"/>
      <c r="X2243" s="29"/>
      <c r="Y2243" s="29"/>
      <c r="Z2243" s="29"/>
      <c r="AA2243" s="29"/>
      <c r="AB2243" s="29"/>
      <c r="AC2243" s="29"/>
      <c r="AD2243" s="29"/>
    </row>
    <row r="2244">
      <c r="A2244" s="16" t="s">
        <v>3412</v>
      </c>
      <c r="B2244" s="22" t="s">
        <v>3413</v>
      </c>
      <c r="C2244" s="18" t="s">
        <v>3414</v>
      </c>
      <c r="D2244" s="19" t="s">
        <v>3415</v>
      </c>
      <c r="E2244" s="9" t="s">
        <v>3217</v>
      </c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</row>
    <row r="2245">
      <c r="A2245" s="16" t="s">
        <v>3412</v>
      </c>
      <c r="B2245" s="22" t="s">
        <v>3413</v>
      </c>
      <c r="C2245" s="18" t="s">
        <v>3416</v>
      </c>
      <c r="D2245" s="19" t="s">
        <v>3415</v>
      </c>
      <c r="E2245" s="9" t="s">
        <v>196</v>
      </c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</row>
    <row r="2246">
      <c r="A2246" s="16" t="s">
        <v>3412</v>
      </c>
      <c r="B2246" s="22" t="s">
        <v>3413</v>
      </c>
      <c r="C2246" s="18" t="s">
        <v>3417</v>
      </c>
      <c r="D2246" s="19" t="s">
        <v>3415</v>
      </c>
      <c r="E2246" s="9" t="s">
        <v>196</v>
      </c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</row>
    <row r="2247">
      <c r="A2247" s="16" t="s">
        <v>3412</v>
      </c>
      <c r="B2247" s="22" t="s">
        <v>3413</v>
      </c>
      <c r="C2247" s="18" t="s">
        <v>3418</v>
      </c>
      <c r="D2247" s="19" t="s">
        <v>3415</v>
      </c>
      <c r="E2247" s="9" t="s">
        <v>196</v>
      </c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</row>
    <row r="2248">
      <c r="A2248" s="16" t="s">
        <v>3412</v>
      </c>
      <c r="B2248" s="22" t="s">
        <v>2416</v>
      </c>
      <c r="C2248" s="18" t="s">
        <v>3419</v>
      </c>
      <c r="D2248" s="19" t="s">
        <v>3420</v>
      </c>
      <c r="E2248" s="9" t="s">
        <v>1506</v>
      </c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</row>
    <row r="2249">
      <c r="A2249" s="16" t="s">
        <v>3412</v>
      </c>
      <c r="B2249" s="22" t="s">
        <v>2416</v>
      </c>
      <c r="C2249" s="18" t="s">
        <v>3421</v>
      </c>
      <c r="D2249" s="19" t="s">
        <v>3420</v>
      </c>
      <c r="E2249" s="9" t="s">
        <v>1506</v>
      </c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</row>
    <row r="2250">
      <c r="A2250" s="16" t="s">
        <v>3412</v>
      </c>
      <c r="B2250" s="19" t="s">
        <v>3422</v>
      </c>
      <c r="C2250" s="18" t="s">
        <v>2155</v>
      </c>
      <c r="D2250" s="19" t="s">
        <v>3423</v>
      </c>
      <c r="E2250" s="9" t="s">
        <v>3424</v>
      </c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</row>
    <row r="2251">
      <c r="A2251" s="16" t="s">
        <v>3412</v>
      </c>
      <c r="B2251" s="19" t="s">
        <v>3422</v>
      </c>
      <c r="C2251" s="18" t="s">
        <v>2155</v>
      </c>
      <c r="D2251" s="19" t="s">
        <v>539</v>
      </c>
      <c r="E2251" s="9" t="s">
        <v>3424</v>
      </c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</row>
    <row r="2252">
      <c r="A2252" s="16" t="s">
        <v>3412</v>
      </c>
      <c r="B2252" s="19" t="s">
        <v>3422</v>
      </c>
      <c r="C2252" s="18" t="s">
        <v>2155</v>
      </c>
      <c r="D2252" s="19" t="s">
        <v>3425</v>
      </c>
      <c r="E2252" s="9" t="s">
        <v>3424</v>
      </c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</row>
    <row r="2253">
      <c r="A2253" s="16" t="s">
        <v>3412</v>
      </c>
      <c r="B2253" s="19" t="s">
        <v>3422</v>
      </c>
      <c r="C2253" s="18" t="s">
        <v>2155</v>
      </c>
      <c r="D2253" s="19" t="s">
        <v>3426</v>
      </c>
      <c r="E2253" s="9" t="s">
        <v>3424</v>
      </c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</row>
    <row r="2254">
      <c r="A2254" s="16" t="s">
        <v>3412</v>
      </c>
      <c r="B2254" s="22" t="s">
        <v>3348</v>
      </c>
      <c r="C2254" s="9" t="s">
        <v>3360</v>
      </c>
      <c r="D2254" s="9" t="s">
        <v>3350</v>
      </c>
      <c r="E2254" s="9" t="s">
        <v>1506</v>
      </c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</row>
    <row r="2255">
      <c r="A2255" s="16" t="s">
        <v>3412</v>
      </c>
      <c r="B2255" s="22" t="s">
        <v>3413</v>
      </c>
      <c r="C2255" s="18" t="s">
        <v>3414</v>
      </c>
      <c r="D2255" s="19" t="s">
        <v>3415</v>
      </c>
      <c r="E2255" s="9" t="s">
        <v>3217</v>
      </c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</row>
    <row r="2256">
      <c r="A2256" s="16" t="s">
        <v>3412</v>
      </c>
      <c r="B2256" s="22" t="s">
        <v>3413</v>
      </c>
      <c r="C2256" s="18" t="s">
        <v>3417</v>
      </c>
      <c r="D2256" s="19" t="s">
        <v>3415</v>
      </c>
      <c r="E2256" s="9" t="s">
        <v>3217</v>
      </c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</row>
    <row r="2257">
      <c r="A2257" s="16" t="s">
        <v>3412</v>
      </c>
      <c r="B2257" s="22" t="s">
        <v>3413</v>
      </c>
      <c r="C2257" s="18" t="s">
        <v>3418</v>
      </c>
      <c r="D2257" s="19" t="s">
        <v>3415</v>
      </c>
      <c r="E2257" s="9" t="s">
        <v>3217</v>
      </c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</row>
    <row r="2258">
      <c r="A2258" s="16" t="s">
        <v>3412</v>
      </c>
      <c r="B2258" s="19" t="s">
        <v>3427</v>
      </c>
      <c r="C2258" s="18" t="s">
        <v>3428</v>
      </c>
      <c r="D2258" s="19" t="s">
        <v>3429</v>
      </c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</row>
    <row r="2259">
      <c r="A2259" s="18"/>
      <c r="B2259" s="22"/>
      <c r="C2259" s="18"/>
      <c r="D2259" s="19"/>
      <c r="E2259" s="49"/>
      <c r="G2259" s="29"/>
      <c r="H2259" s="29"/>
      <c r="I2259" s="29"/>
      <c r="J2259" s="29"/>
      <c r="K2259" s="29"/>
      <c r="L2259" s="29"/>
      <c r="M2259" s="29"/>
      <c r="N2259" s="29"/>
      <c r="O2259" s="29"/>
      <c r="P2259" s="29"/>
      <c r="Q2259" s="29"/>
      <c r="R2259" s="29"/>
      <c r="S2259" s="29"/>
      <c r="T2259" s="29"/>
      <c r="U2259" s="29"/>
      <c r="V2259" s="29"/>
      <c r="W2259" s="29"/>
      <c r="X2259" s="29"/>
      <c r="Y2259" s="29"/>
      <c r="Z2259" s="29"/>
      <c r="AA2259" s="29"/>
      <c r="AB2259" s="29"/>
      <c r="AC2259" s="29"/>
      <c r="AD2259" s="29"/>
    </row>
    <row r="2260">
      <c r="A2260" s="18"/>
      <c r="B2260" s="22"/>
      <c r="C2260" s="18"/>
      <c r="D2260" s="19"/>
      <c r="E2260" s="49"/>
      <c r="G2260" s="29"/>
      <c r="H2260" s="29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  <c r="S2260" s="29"/>
      <c r="T2260" s="29"/>
      <c r="U2260" s="29"/>
      <c r="V2260" s="29"/>
      <c r="W2260" s="29"/>
      <c r="X2260" s="29"/>
      <c r="Y2260" s="29"/>
      <c r="Z2260" s="29"/>
      <c r="AA2260" s="29"/>
      <c r="AB2260" s="29"/>
      <c r="AC2260" s="29"/>
      <c r="AD2260" s="29"/>
    </row>
    <row r="2261">
      <c r="A2261" s="16" t="s">
        <v>3430</v>
      </c>
      <c r="B2261" s="19" t="s">
        <v>3431</v>
      </c>
      <c r="C2261" s="18" t="s">
        <v>3432</v>
      </c>
      <c r="D2261" s="19" t="s">
        <v>1811</v>
      </c>
      <c r="E2261" s="161" t="s">
        <v>7</v>
      </c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</row>
    <row r="2262">
      <c r="A2262" s="16" t="s">
        <v>3430</v>
      </c>
      <c r="B2262" s="19" t="s">
        <v>3431</v>
      </c>
      <c r="C2262" s="18" t="s">
        <v>3433</v>
      </c>
      <c r="D2262" s="19" t="s">
        <v>3434</v>
      </c>
      <c r="E2262" s="161" t="s">
        <v>7</v>
      </c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</row>
    <row r="2263">
      <c r="A2263" s="16" t="s">
        <v>3430</v>
      </c>
      <c r="B2263" s="19" t="s">
        <v>3431</v>
      </c>
      <c r="C2263" s="18" t="s">
        <v>3435</v>
      </c>
      <c r="D2263" s="19" t="s">
        <v>3436</v>
      </c>
      <c r="E2263" s="161" t="s">
        <v>7</v>
      </c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</row>
    <row r="2264">
      <c r="A2264" s="16" t="s">
        <v>3430</v>
      </c>
      <c r="B2264" s="19" t="s">
        <v>3431</v>
      </c>
      <c r="C2264" s="18" t="s">
        <v>3437</v>
      </c>
      <c r="D2264" s="19" t="s">
        <v>3438</v>
      </c>
      <c r="E2264" s="161" t="s">
        <v>7</v>
      </c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</row>
    <row r="2265">
      <c r="A2265" s="16" t="s">
        <v>3430</v>
      </c>
      <c r="B2265" s="19" t="s">
        <v>3431</v>
      </c>
      <c r="C2265" s="18" t="s">
        <v>3439</v>
      </c>
      <c r="D2265" s="19" t="s">
        <v>3440</v>
      </c>
      <c r="E2265" s="161" t="s">
        <v>7</v>
      </c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</row>
    <row r="2266">
      <c r="A2266" s="16" t="s">
        <v>3430</v>
      </c>
      <c r="B2266" s="19" t="s">
        <v>3431</v>
      </c>
      <c r="C2266" s="18" t="s">
        <v>3439</v>
      </c>
      <c r="D2266" s="19" t="s">
        <v>3441</v>
      </c>
      <c r="E2266" s="161" t="s">
        <v>7</v>
      </c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</row>
    <row r="2267">
      <c r="A2267" s="16" t="s">
        <v>3430</v>
      </c>
      <c r="B2267" s="22" t="s">
        <v>3442</v>
      </c>
      <c r="C2267" s="18" t="s">
        <v>3443</v>
      </c>
      <c r="D2267" s="19" t="s">
        <v>3444</v>
      </c>
      <c r="E2267" s="161" t="s">
        <v>7</v>
      </c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</row>
    <row r="2268">
      <c r="A2268" s="18"/>
      <c r="B2268" s="22"/>
      <c r="C2268" s="18"/>
      <c r="D2268" s="19"/>
      <c r="E2268" s="49"/>
      <c r="G2268" s="29"/>
      <c r="H2268" s="29"/>
      <c r="I2268" s="29"/>
      <c r="J2268" s="29"/>
      <c r="K2268" s="29"/>
      <c r="L2268" s="29"/>
      <c r="M2268" s="29"/>
      <c r="N2268" s="29"/>
      <c r="O2268" s="29"/>
      <c r="P2268" s="29"/>
      <c r="Q2268" s="29"/>
      <c r="R2268" s="29"/>
      <c r="S2268" s="29"/>
      <c r="T2268" s="29"/>
      <c r="U2268" s="29"/>
      <c r="V2268" s="29"/>
      <c r="W2268" s="29"/>
      <c r="X2268" s="29"/>
      <c r="Y2268" s="29"/>
      <c r="Z2268" s="29"/>
      <c r="AA2268" s="29"/>
      <c r="AB2268" s="29"/>
      <c r="AC2268" s="29"/>
      <c r="AD2268" s="29"/>
    </row>
    <row r="2269">
      <c r="A2269" s="18"/>
      <c r="B2269" s="22"/>
      <c r="C2269" s="18"/>
      <c r="D2269" s="19"/>
      <c r="E2269" s="49"/>
      <c r="G2269" s="29"/>
      <c r="H2269" s="29"/>
      <c r="I2269" s="29"/>
      <c r="J2269" s="29"/>
      <c r="K2269" s="29"/>
      <c r="L2269" s="29"/>
      <c r="M2269" s="29"/>
      <c r="N2269" s="29"/>
      <c r="O2269" s="29"/>
      <c r="P2269" s="29"/>
      <c r="Q2269" s="29"/>
      <c r="R2269" s="29"/>
      <c r="S2269" s="29"/>
      <c r="T2269" s="29"/>
      <c r="U2269" s="29"/>
      <c r="V2269" s="29"/>
      <c r="W2269" s="29"/>
      <c r="X2269" s="29"/>
      <c r="Y2269" s="29"/>
      <c r="Z2269" s="29"/>
      <c r="AA2269" s="29"/>
      <c r="AB2269" s="29"/>
      <c r="AC2269" s="29"/>
      <c r="AD2269" s="29"/>
    </row>
    <row r="2270">
      <c r="A2270" s="115" t="s">
        <v>3445</v>
      </c>
      <c r="B2270" s="22" t="s">
        <v>3446</v>
      </c>
      <c r="C2270" s="18" t="s">
        <v>3447</v>
      </c>
      <c r="D2270" s="19" t="s">
        <v>3448</v>
      </c>
      <c r="E2270" s="9" t="s">
        <v>3217</v>
      </c>
      <c r="G2270" s="29"/>
      <c r="H2270" s="29"/>
      <c r="I2270" s="29"/>
      <c r="J2270" s="29"/>
      <c r="K2270" s="29"/>
      <c r="L2270" s="29"/>
      <c r="M2270" s="29"/>
      <c r="N2270" s="29"/>
      <c r="O2270" s="29"/>
      <c r="P2270" s="29"/>
      <c r="Q2270" s="29"/>
      <c r="R2270" s="29"/>
      <c r="S2270" s="29"/>
      <c r="T2270" s="29"/>
      <c r="U2270" s="29"/>
      <c r="V2270" s="29"/>
      <c r="W2270" s="29"/>
      <c r="X2270" s="29"/>
      <c r="Y2270" s="29"/>
      <c r="Z2270" s="29"/>
      <c r="AA2270" s="29"/>
      <c r="AB2270" s="29"/>
      <c r="AC2270" s="29"/>
      <c r="AD2270" s="29"/>
    </row>
    <row r="2271">
      <c r="A2271" s="115" t="s">
        <v>3445</v>
      </c>
      <c r="B2271" s="22" t="s">
        <v>3446</v>
      </c>
      <c r="C2271" s="18" t="s">
        <v>3449</v>
      </c>
      <c r="D2271" s="19" t="s">
        <v>3450</v>
      </c>
      <c r="E2271" s="9" t="s">
        <v>14</v>
      </c>
      <c r="G2271" s="29"/>
      <c r="H2271" s="29"/>
      <c r="I2271" s="29"/>
      <c r="J2271" s="29"/>
      <c r="K2271" s="29"/>
      <c r="L2271" s="29"/>
      <c r="M2271" s="29"/>
      <c r="N2271" s="29"/>
      <c r="O2271" s="29"/>
      <c r="P2271" s="29"/>
      <c r="Q2271" s="29"/>
      <c r="R2271" s="29"/>
      <c r="S2271" s="29"/>
      <c r="T2271" s="29"/>
      <c r="U2271" s="29"/>
      <c r="V2271" s="29"/>
      <c r="W2271" s="29"/>
      <c r="X2271" s="29"/>
      <c r="Y2271" s="29"/>
      <c r="Z2271" s="29"/>
      <c r="AA2271" s="29"/>
      <c r="AB2271" s="29"/>
      <c r="AC2271" s="29"/>
      <c r="AD2271" s="29"/>
    </row>
    <row r="2272">
      <c r="A2272" s="115" t="s">
        <v>3445</v>
      </c>
      <c r="B2272" s="22" t="s">
        <v>3446</v>
      </c>
      <c r="C2272" s="18" t="s">
        <v>3451</v>
      </c>
      <c r="D2272" s="19" t="s">
        <v>3448</v>
      </c>
      <c r="E2272" s="9" t="s">
        <v>3217</v>
      </c>
      <c r="G2272" s="29"/>
      <c r="H2272" s="29"/>
      <c r="I2272" s="29"/>
      <c r="J2272" s="29"/>
      <c r="K2272" s="29"/>
      <c r="L2272" s="29"/>
      <c r="M2272" s="29"/>
      <c r="N2272" s="29"/>
      <c r="O2272" s="29"/>
      <c r="P2272" s="29"/>
      <c r="Q2272" s="29"/>
      <c r="R2272" s="29"/>
      <c r="S2272" s="29"/>
      <c r="T2272" s="29"/>
      <c r="U2272" s="29"/>
      <c r="V2272" s="29"/>
      <c r="W2272" s="29"/>
      <c r="X2272" s="29"/>
      <c r="Y2272" s="29"/>
      <c r="Z2272" s="29"/>
      <c r="AA2272" s="29"/>
      <c r="AB2272" s="29"/>
      <c r="AC2272" s="29"/>
      <c r="AD2272" s="29"/>
    </row>
    <row r="2273">
      <c r="A2273" s="115" t="s">
        <v>3445</v>
      </c>
      <c r="B2273" s="22" t="s">
        <v>3446</v>
      </c>
      <c r="C2273" s="18" t="s">
        <v>3449</v>
      </c>
      <c r="D2273" s="19" t="s">
        <v>3452</v>
      </c>
      <c r="E2273" s="9" t="s">
        <v>2486</v>
      </c>
      <c r="G2273" s="29"/>
      <c r="H2273" s="29"/>
      <c r="I2273" s="29"/>
      <c r="J2273" s="29"/>
      <c r="K2273" s="29"/>
      <c r="L2273" s="29"/>
      <c r="M2273" s="29"/>
      <c r="N2273" s="29"/>
      <c r="O2273" s="29"/>
      <c r="P2273" s="29"/>
      <c r="Q2273" s="29"/>
      <c r="R2273" s="29"/>
      <c r="S2273" s="29"/>
      <c r="T2273" s="29"/>
      <c r="U2273" s="29"/>
      <c r="V2273" s="29"/>
      <c r="W2273" s="29"/>
      <c r="X2273" s="29"/>
      <c r="Y2273" s="29"/>
      <c r="Z2273" s="29"/>
      <c r="AA2273" s="29"/>
      <c r="AB2273" s="29"/>
      <c r="AC2273" s="29"/>
      <c r="AD2273" s="29"/>
    </row>
    <row r="2274">
      <c r="A2274" s="115" t="s">
        <v>3445</v>
      </c>
      <c r="B2274" s="22" t="s">
        <v>3446</v>
      </c>
      <c r="C2274" s="18" t="s">
        <v>332</v>
      </c>
      <c r="D2274" s="19" t="s">
        <v>3453</v>
      </c>
      <c r="E2274" s="9" t="s">
        <v>3217</v>
      </c>
      <c r="G2274" s="29"/>
      <c r="H2274" s="29"/>
      <c r="I2274" s="29"/>
      <c r="J2274" s="29"/>
      <c r="K2274" s="29"/>
      <c r="L2274" s="29"/>
      <c r="M2274" s="29"/>
      <c r="N2274" s="29"/>
      <c r="O2274" s="29"/>
      <c r="P2274" s="29"/>
      <c r="Q2274" s="29"/>
      <c r="R2274" s="29"/>
      <c r="S2274" s="29"/>
      <c r="T2274" s="29"/>
      <c r="U2274" s="29"/>
      <c r="V2274" s="29"/>
      <c r="W2274" s="29"/>
      <c r="X2274" s="29"/>
      <c r="Y2274" s="29"/>
      <c r="Z2274" s="29"/>
      <c r="AA2274" s="29"/>
      <c r="AB2274" s="29"/>
      <c r="AC2274" s="29"/>
      <c r="AD2274" s="29"/>
    </row>
    <row r="2275">
      <c r="A2275" s="115" t="s">
        <v>3445</v>
      </c>
      <c r="B2275" s="22" t="s">
        <v>3446</v>
      </c>
      <c r="C2275" s="18" t="s">
        <v>1065</v>
      </c>
      <c r="D2275" s="19" t="s">
        <v>3454</v>
      </c>
      <c r="E2275" s="9" t="s">
        <v>3217</v>
      </c>
      <c r="G2275" s="29"/>
      <c r="H2275" s="29"/>
      <c r="I2275" s="29"/>
      <c r="J2275" s="29"/>
      <c r="K2275" s="29"/>
      <c r="L2275" s="29"/>
      <c r="M2275" s="29"/>
      <c r="N2275" s="29"/>
      <c r="O2275" s="29"/>
      <c r="P2275" s="29"/>
      <c r="Q2275" s="29"/>
      <c r="R2275" s="29"/>
      <c r="S2275" s="29"/>
      <c r="T2275" s="29"/>
      <c r="U2275" s="29"/>
      <c r="V2275" s="29"/>
      <c r="W2275" s="29"/>
      <c r="X2275" s="29"/>
      <c r="Y2275" s="29"/>
      <c r="Z2275" s="29"/>
      <c r="AA2275" s="29"/>
      <c r="AB2275" s="29"/>
      <c r="AC2275" s="29"/>
      <c r="AD2275" s="29"/>
    </row>
    <row r="2276">
      <c r="A2276" s="115" t="s">
        <v>3445</v>
      </c>
      <c r="B2276" s="22" t="s">
        <v>3446</v>
      </c>
      <c r="C2276" s="18" t="s">
        <v>3455</v>
      </c>
      <c r="D2276" s="19" t="s">
        <v>3456</v>
      </c>
      <c r="E2276" s="9" t="s">
        <v>14</v>
      </c>
      <c r="G2276" s="29"/>
      <c r="H2276" s="29"/>
      <c r="I2276" s="29"/>
      <c r="J2276" s="29"/>
      <c r="K2276" s="29"/>
      <c r="L2276" s="29"/>
      <c r="M2276" s="29"/>
      <c r="N2276" s="29"/>
      <c r="O2276" s="29"/>
      <c r="P2276" s="29"/>
      <c r="Q2276" s="29"/>
      <c r="R2276" s="29"/>
      <c r="S2276" s="29"/>
      <c r="T2276" s="29"/>
      <c r="U2276" s="29"/>
      <c r="V2276" s="29"/>
      <c r="W2276" s="29"/>
      <c r="X2276" s="29"/>
      <c r="Y2276" s="29"/>
      <c r="Z2276" s="29"/>
      <c r="AA2276" s="29"/>
      <c r="AB2276" s="29"/>
      <c r="AC2276" s="29"/>
      <c r="AD2276" s="29"/>
    </row>
    <row r="2277">
      <c r="A2277" s="115" t="s">
        <v>3445</v>
      </c>
      <c r="B2277" s="22" t="s">
        <v>3457</v>
      </c>
      <c r="C2277" s="18" t="s">
        <v>3458</v>
      </c>
      <c r="D2277" s="19" t="s">
        <v>3459</v>
      </c>
      <c r="E2277" s="132" t="s">
        <v>3460</v>
      </c>
      <c r="G2277" s="29"/>
      <c r="H2277" s="29"/>
      <c r="I2277" s="29"/>
      <c r="J2277" s="29"/>
      <c r="K2277" s="29"/>
      <c r="L2277" s="29"/>
      <c r="M2277" s="29"/>
      <c r="N2277" s="29"/>
      <c r="O2277" s="29"/>
      <c r="P2277" s="29"/>
      <c r="Q2277" s="29"/>
      <c r="R2277" s="29"/>
      <c r="S2277" s="29"/>
      <c r="T2277" s="29"/>
      <c r="U2277" s="29"/>
      <c r="V2277" s="29"/>
      <c r="W2277" s="29"/>
      <c r="X2277" s="29"/>
      <c r="Y2277" s="29"/>
      <c r="Z2277" s="29"/>
      <c r="AA2277" s="29"/>
      <c r="AB2277" s="29"/>
      <c r="AC2277" s="29"/>
      <c r="AD2277" s="29"/>
    </row>
    <row r="2278">
      <c r="A2278" s="115" t="s">
        <v>3445</v>
      </c>
      <c r="B2278" s="22" t="s">
        <v>3348</v>
      </c>
      <c r="C2278" s="18" t="s">
        <v>3352</v>
      </c>
      <c r="D2278" s="19" t="s">
        <v>3461</v>
      </c>
      <c r="E2278" s="161" t="s">
        <v>7</v>
      </c>
      <c r="G2278" s="29"/>
      <c r="H2278" s="29"/>
      <c r="I2278" s="29"/>
      <c r="J2278" s="29"/>
      <c r="K2278" s="29"/>
      <c r="L2278" s="29"/>
      <c r="M2278" s="29"/>
      <c r="N2278" s="29"/>
      <c r="O2278" s="29"/>
      <c r="P2278" s="29"/>
      <c r="Q2278" s="29"/>
      <c r="R2278" s="29"/>
      <c r="S2278" s="29"/>
      <c r="T2278" s="29"/>
      <c r="U2278" s="29"/>
      <c r="V2278" s="29"/>
      <c r="W2278" s="29"/>
      <c r="X2278" s="29"/>
      <c r="Y2278" s="29"/>
      <c r="Z2278" s="29"/>
      <c r="AA2278" s="29"/>
      <c r="AB2278" s="29"/>
      <c r="AC2278" s="29"/>
      <c r="AD2278" s="29"/>
    </row>
    <row r="2279">
      <c r="A2279" s="115" t="s">
        <v>3445</v>
      </c>
      <c r="B2279" s="22" t="s">
        <v>3348</v>
      </c>
      <c r="C2279" s="18" t="s">
        <v>3360</v>
      </c>
      <c r="D2279" s="19" t="s">
        <v>3462</v>
      </c>
      <c r="E2279" s="161" t="s">
        <v>7</v>
      </c>
      <c r="G2279" s="29"/>
      <c r="H2279" s="29"/>
      <c r="I2279" s="29"/>
      <c r="J2279" s="29"/>
      <c r="K2279" s="29"/>
      <c r="L2279" s="29"/>
      <c r="M2279" s="29"/>
      <c r="N2279" s="29"/>
      <c r="O2279" s="29"/>
      <c r="P2279" s="29"/>
      <c r="Q2279" s="29"/>
      <c r="R2279" s="29"/>
      <c r="S2279" s="29"/>
      <c r="T2279" s="29"/>
      <c r="U2279" s="29"/>
      <c r="V2279" s="29"/>
      <c r="W2279" s="29"/>
      <c r="X2279" s="29"/>
      <c r="Y2279" s="29"/>
      <c r="Z2279" s="29"/>
      <c r="AA2279" s="29"/>
      <c r="AB2279" s="29"/>
      <c r="AC2279" s="29"/>
      <c r="AD2279" s="29"/>
    </row>
    <row r="2280">
      <c r="A2280" s="115" t="s">
        <v>3445</v>
      </c>
      <c r="B2280" s="22" t="s">
        <v>3348</v>
      </c>
      <c r="C2280" s="18" t="s">
        <v>3360</v>
      </c>
      <c r="D2280" s="19" t="s">
        <v>3463</v>
      </c>
      <c r="E2280" s="161" t="s">
        <v>7</v>
      </c>
      <c r="G2280" s="29"/>
      <c r="H2280" s="29"/>
      <c r="I2280" s="29"/>
      <c r="J2280" s="29"/>
      <c r="K2280" s="29"/>
      <c r="L2280" s="29"/>
      <c r="M2280" s="29"/>
      <c r="N2280" s="29"/>
      <c r="O2280" s="29"/>
      <c r="P2280" s="29"/>
      <c r="Q2280" s="29"/>
      <c r="R2280" s="29"/>
      <c r="S2280" s="29"/>
      <c r="T2280" s="29"/>
      <c r="U2280" s="29"/>
      <c r="V2280" s="29"/>
      <c r="W2280" s="29"/>
      <c r="X2280" s="29"/>
      <c r="Y2280" s="29"/>
      <c r="Z2280" s="29"/>
      <c r="AA2280" s="29"/>
      <c r="AB2280" s="29"/>
      <c r="AC2280" s="29"/>
      <c r="AD2280" s="29"/>
    </row>
    <row r="2281">
      <c r="A2281" s="115" t="s">
        <v>3445</v>
      </c>
      <c r="B2281" s="22" t="s">
        <v>3348</v>
      </c>
      <c r="C2281" s="18" t="s">
        <v>3464</v>
      </c>
      <c r="D2281" s="19" t="s">
        <v>3465</v>
      </c>
      <c r="E2281" s="161" t="s">
        <v>7</v>
      </c>
      <c r="G2281" s="29"/>
      <c r="H2281" s="29"/>
      <c r="I2281" s="29"/>
      <c r="J2281" s="29"/>
      <c r="K2281" s="29"/>
      <c r="L2281" s="29"/>
      <c r="M2281" s="29"/>
      <c r="N2281" s="29"/>
      <c r="O2281" s="29"/>
      <c r="P2281" s="29"/>
      <c r="Q2281" s="29"/>
      <c r="R2281" s="29"/>
      <c r="S2281" s="29"/>
      <c r="T2281" s="29"/>
      <c r="U2281" s="29"/>
      <c r="V2281" s="29"/>
      <c r="W2281" s="29"/>
      <c r="X2281" s="29"/>
      <c r="Y2281" s="29"/>
      <c r="Z2281" s="29"/>
      <c r="AA2281" s="29"/>
      <c r="AB2281" s="29"/>
      <c r="AC2281" s="29"/>
      <c r="AD2281" s="29"/>
    </row>
    <row r="2282">
      <c r="A2282" s="115" t="s">
        <v>3445</v>
      </c>
      <c r="B2282" s="22" t="s">
        <v>3466</v>
      </c>
      <c r="C2282" s="18" t="s">
        <v>3467</v>
      </c>
      <c r="D2282" s="19" t="s">
        <v>3468</v>
      </c>
      <c r="E2282" s="132" t="s">
        <v>764</v>
      </c>
      <c r="G2282" s="29"/>
      <c r="H2282" s="29"/>
      <c r="I2282" s="29"/>
      <c r="J2282" s="29"/>
      <c r="K2282" s="29"/>
      <c r="L2282" s="29"/>
      <c r="M2282" s="29"/>
      <c r="N2282" s="29"/>
      <c r="O2282" s="29"/>
      <c r="P2282" s="29"/>
      <c r="Q2282" s="29"/>
      <c r="R2282" s="29"/>
      <c r="S2282" s="29"/>
      <c r="T2282" s="29"/>
      <c r="U2282" s="29"/>
      <c r="V2282" s="29"/>
      <c r="W2282" s="29"/>
      <c r="X2282" s="29"/>
      <c r="Y2282" s="29"/>
      <c r="Z2282" s="29"/>
      <c r="AA2282" s="29"/>
      <c r="AB2282" s="29"/>
      <c r="AC2282" s="29"/>
      <c r="AD2282" s="29"/>
    </row>
    <row r="2283">
      <c r="A2283" s="18"/>
      <c r="B2283" s="22"/>
      <c r="C2283" s="18"/>
      <c r="D2283" s="19"/>
      <c r="E2283" s="49"/>
      <c r="G2283" s="29"/>
      <c r="H2283" s="29"/>
      <c r="I2283" s="29"/>
      <c r="J2283" s="29"/>
      <c r="K2283" s="29"/>
      <c r="L2283" s="29"/>
      <c r="M2283" s="29"/>
      <c r="N2283" s="29"/>
      <c r="O2283" s="29"/>
      <c r="P2283" s="29"/>
      <c r="Q2283" s="29"/>
      <c r="R2283" s="29"/>
      <c r="S2283" s="29"/>
      <c r="T2283" s="29"/>
      <c r="U2283" s="29"/>
      <c r="V2283" s="29"/>
      <c r="W2283" s="29"/>
      <c r="X2283" s="29"/>
      <c r="Y2283" s="29"/>
      <c r="Z2283" s="29"/>
      <c r="AA2283" s="29"/>
      <c r="AB2283" s="29"/>
      <c r="AC2283" s="29"/>
      <c r="AD2283" s="29"/>
    </row>
    <row r="2284">
      <c r="A2284" s="18"/>
      <c r="B2284" s="22"/>
      <c r="C2284" s="18"/>
      <c r="D2284" s="19"/>
      <c r="E2284" s="49"/>
      <c r="G2284" s="29"/>
      <c r="H2284" s="29"/>
      <c r="I2284" s="29"/>
      <c r="J2284" s="29"/>
      <c r="K2284" s="29"/>
      <c r="L2284" s="29"/>
      <c r="M2284" s="29"/>
      <c r="N2284" s="29"/>
      <c r="O2284" s="29"/>
      <c r="P2284" s="29"/>
      <c r="Q2284" s="29"/>
      <c r="R2284" s="29"/>
      <c r="S2284" s="29"/>
      <c r="T2284" s="29"/>
      <c r="U2284" s="29"/>
      <c r="V2284" s="29"/>
      <c r="W2284" s="29"/>
      <c r="X2284" s="29"/>
      <c r="Y2284" s="29"/>
      <c r="Z2284" s="29"/>
      <c r="AA2284" s="29"/>
      <c r="AB2284" s="29"/>
      <c r="AC2284" s="29"/>
      <c r="AD2284" s="29"/>
    </row>
    <row r="2285">
      <c r="A2285" s="16" t="s">
        <v>3469</v>
      </c>
      <c r="B2285" s="22" t="s">
        <v>3470</v>
      </c>
      <c r="C2285" s="18" t="s">
        <v>2868</v>
      </c>
      <c r="D2285" s="19" t="s">
        <v>3471</v>
      </c>
      <c r="E2285" s="161" t="s">
        <v>3472</v>
      </c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</row>
    <row r="2286">
      <c r="A2286" s="16" t="s">
        <v>3469</v>
      </c>
      <c r="B2286" s="22" t="s">
        <v>3470</v>
      </c>
      <c r="C2286" s="18" t="s">
        <v>3473</v>
      </c>
      <c r="D2286" s="19" t="s">
        <v>3474</v>
      </c>
      <c r="E2286" s="161" t="s">
        <v>3472</v>
      </c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</row>
    <row r="2287">
      <c r="A2287" s="16" t="s">
        <v>3469</v>
      </c>
      <c r="B2287" s="19" t="s">
        <v>3475</v>
      </c>
      <c r="C2287" s="18" t="s">
        <v>3476</v>
      </c>
      <c r="D2287" s="19" t="s">
        <v>3477</v>
      </c>
      <c r="E2287" s="132" t="s">
        <v>125</v>
      </c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</row>
    <row r="2288">
      <c r="A2288" s="18"/>
      <c r="B2288" s="22"/>
      <c r="C2288" s="18"/>
      <c r="D2288" s="19"/>
      <c r="E2288" s="49"/>
      <c r="G2288" s="29"/>
      <c r="H2288" s="29"/>
      <c r="I2288" s="29"/>
      <c r="J2288" s="29"/>
      <c r="K2288" s="29"/>
      <c r="L2288" s="29"/>
      <c r="M2288" s="29"/>
      <c r="N2288" s="29"/>
      <c r="O2288" s="29"/>
      <c r="P2288" s="29"/>
      <c r="Q2288" s="29"/>
      <c r="R2288" s="29"/>
      <c r="S2288" s="29"/>
      <c r="T2288" s="29"/>
      <c r="U2288" s="29"/>
      <c r="V2288" s="29"/>
      <c r="W2288" s="29"/>
      <c r="X2288" s="29"/>
      <c r="Y2288" s="29"/>
      <c r="Z2288" s="29"/>
      <c r="AA2288" s="29"/>
      <c r="AB2288" s="29"/>
      <c r="AC2288" s="29"/>
      <c r="AD2288" s="29"/>
    </row>
    <row r="2289">
      <c r="A2289" s="18"/>
      <c r="B2289" s="22"/>
      <c r="C2289" s="18"/>
      <c r="D2289" s="19"/>
      <c r="E2289" s="49"/>
      <c r="G2289" s="29"/>
      <c r="H2289" s="29"/>
      <c r="I2289" s="29"/>
      <c r="J2289" s="29"/>
      <c r="K2289" s="29"/>
      <c r="L2289" s="29"/>
      <c r="M2289" s="29"/>
      <c r="N2289" s="29"/>
      <c r="O2289" s="29"/>
      <c r="P2289" s="29"/>
      <c r="Q2289" s="29"/>
      <c r="R2289" s="29"/>
      <c r="S2289" s="29"/>
      <c r="T2289" s="29"/>
      <c r="U2289" s="29"/>
      <c r="V2289" s="29"/>
      <c r="W2289" s="29"/>
      <c r="X2289" s="29"/>
      <c r="Y2289" s="29"/>
      <c r="Z2289" s="29"/>
      <c r="AA2289" s="29"/>
      <c r="AB2289" s="29"/>
      <c r="AC2289" s="29"/>
      <c r="AD2289" s="29"/>
    </row>
    <row r="2290">
      <c r="A2290" s="16" t="s">
        <v>3478</v>
      </c>
      <c r="B2290" s="22" t="s">
        <v>3258</v>
      </c>
      <c r="C2290" s="18" t="s">
        <v>3479</v>
      </c>
      <c r="D2290" s="19" t="s">
        <v>3480</v>
      </c>
      <c r="E2290" s="161" t="s">
        <v>7</v>
      </c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</row>
    <row r="2291">
      <c r="A2291" s="16" t="s">
        <v>3478</v>
      </c>
      <c r="B2291" s="22" t="s">
        <v>3258</v>
      </c>
      <c r="C2291" s="18" t="s">
        <v>3481</v>
      </c>
      <c r="D2291" s="19" t="s">
        <v>3482</v>
      </c>
      <c r="E2291" s="161" t="s">
        <v>7</v>
      </c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</row>
    <row r="2292">
      <c r="A2292" s="18"/>
      <c r="B2292" s="22"/>
      <c r="C2292" s="18"/>
      <c r="D2292" s="19"/>
      <c r="E2292" s="49"/>
      <c r="G2292" s="29"/>
      <c r="H2292" s="29"/>
      <c r="I2292" s="29"/>
      <c r="J2292" s="29"/>
      <c r="K2292" s="29"/>
      <c r="L2292" s="29"/>
      <c r="M2292" s="29"/>
      <c r="N2292" s="29"/>
      <c r="O2292" s="29"/>
      <c r="P2292" s="29"/>
      <c r="Q2292" s="29"/>
      <c r="R2292" s="29"/>
      <c r="S2292" s="29"/>
      <c r="T2292" s="29"/>
      <c r="U2292" s="29"/>
      <c r="V2292" s="29"/>
      <c r="W2292" s="29"/>
      <c r="X2292" s="29"/>
      <c r="Y2292" s="29"/>
      <c r="Z2292" s="29"/>
      <c r="AA2292" s="29"/>
      <c r="AB2292" s="29"/>
      <c r="AC2292" s="29"/>
      <c r="AD2292" s="29"/>
    </row>
    <row r="2293">
      <c r="A2293" s="18"/>
      <c r="B2293" s="22"/>
      <c r="C2293" s="18"/>
      <c r="D2293" s="19"/>
      <c r="E2293" s="49"/>
      <c r="G2293" s="29"/>
      <c r="H2293" s="29"/>
      <c r="I2293" s="29"/>
      <c r="J2293" s="29"/>
      <c r="K2293" s="29"/>
      <c r="L2293" s="29"/>
      <c r="M2293" s="29"/>
      <c r="N2293" s="29"/>
      <c r="O2293" s="29"/>
      <c r="P2293" s="29"/>
      <c r="Q2293" s="29"/>
      <c r="R2293" s="29"/>
      <c r="S2293" s="29"/>
      <c r="T2293" s="29"/>
      <c r="U2293" s="29"/>
      <c r="V2293" s="29"/>
      <c r="W2293" s="29"/>
      <c r="X2293" s="29"/>
      <c r="Y2293" s="29"/>
      <c r="Z2293" s="29"/>
      <c r="AA2293" s="29"/>
      <c r="AB2293" s="29"/>
      <c r="AC2293" s="29"/>
      <c r="AD2293" s="29"/>
    </row>
    <row r="2294">
      <c r="A2294" s="115" t="s">
        <v>3483</v>
      </c>
      <c r="B2294" s="19" t="s">
        <v>3374</v>
      </c>
      <c r="C2294" s="18" t="s">
        <v>3484</v>
      </c>
      <c r="D2294" s="19" t="s">
        <v>3485</v>
      </c>
      <c r="E2294" s="161" t="s">
        <v>7</v>
      </c>
      <c r="G2294" s="29"/>
      <c r="H2294" s="29"/>
      <c r="I2294" s="29"/>
      <c r="J2294" s="29"/>
      <c r="K2294" s="29"/>
      <c r="L2294" s="29"/>
      <c r="M2294" s="29"/>
      <c r="N2294" s="29"/>
      <c r="O2294" s="29"/>
      <c r="P2294" s="29"/>
      <c r="Q2294" s="29"/>
      <c r="R2294" s="29"/>
      <c r="S2294" s="29"/>
      <c r="T2294" s="29"/>
      <c r="U2294" s="29"/>
      <c r="V2294" s="29"/>
      <c r="W2294" s="29"/>
      <c r="X2294" s="29"/>
      <c r="Y2294" s="29"/>
      <c r="Z2294" s="29"/>
      <c r="AA2294" s="29"/>
      <c r="AB2294" s="29"/>
      <c r="AC2294" s="29"/>
      <c r="AD2294" s="29"/>
    </row>
    <row r="2295">
      <c r="A2295" s="115" t="s">
        <v>3483</v>
      </c>
      <c r="B2295" s="19" t="s">
        <v>3374</v>
      </c>
      <c r="C2295" s="18" t="s">
        <v>3486</v>
      </c>
      <c r="D2295" s="19" t="s">
        <v>3487</v>
      </c>
      <c r="E2295" s="161" t="s">
        <v>7</v>
      </c>
      <c r="G2295" s="29"/>
      <c r="H2295" s="29"/>
      <c r="I2295" s="29"/>
      <c r="J2295" s="29"/>
      <c r="K2295" s="29"/>
      <c r="L2295" s="29"/>
      <c r="M2295" s="29"/>
      <c r="N2295" s="29"/>
      <c r="O2295" s="29"/>
      <c r="P2295" s="29"/>
      <c r="Q2295" s="29"/>
      <c r="R2295" s="29"/>
      <c r="S2295" s="29"/>
      <c r="T2295" s="29"/>
      <c r="U2295" s="29"/>
      <c r="V2295" s="29"/>
      <c r="W2295" s="29"/>
      <c r="X2295" s="29"/>
      <c r="Y2295" s="29"/>
      <c r="Z2295" s="29"/>
      <c r="AA2295" s="29"/>
      <c r="AB2295" s="29"/>
      <c r="AC2295" s="29"/>
      <c r="AD2295" s="29"/>
    </row>
    <row r="2296">
      <c r="A2296" s="115" t="s">
        <v>3483</v>
      </c>
      <c r="B2296" s="19" t="s">
        <v>3374</v>
      </c>
      <c r="C2296" s="18" t="s">
        <v>3488</v>
      </c>
      <c r="D2296" s="19" t="s">
        <v>3489</v>
      </c>
      <c r="E2296" s="161" t="s">
        <v>7</v>
      </c>
      <c r="G2296" s="29"/>
      <c r="H2296" s="29"/>
      <c r="I2296" s="29"/>
      <c r="J2296" s="29"/>
      <c r="K2296" s="29"/>
      <c r="L2296" s="29"/>
      <c r="M2296" s="29"/>
      <c r="N2296" s="29"/>
      <c r="O2296" s="29"/>
      <c r="P2296" s="29"/>
      <c r="Q2296" s="29"/>
      <c r="R2296" s="29"/>
      <c r="S2296" s="29"/>
      <c r="T2296" s="29"/>
      <c r="U2296" s="29"/>
      <c r="V2296" s="29"/>
      <c r="W2296" s="29"/>
      <c r="X2296" s="29"/>
      <c r="Y2296" s="29"/>
      <c r="Z2296" s="29"/>
      <c r="AA2296" s="29"/>
      <c r="AB2296" s="29"/>
      <c r="AC2296" s="29"/>
      <c r="AD2296" s="29"/>
    </row>
    <row r="2297">
      <c r="A2297" s="115" t="s">
        <v>3483</v>
      </c>
      <c r="B2297" s="19" t="s">
        <v>3374</v>
      </c>
      <c r="C2297" s="18" t="s">
        <v>3490</v>
      </c>
      <c r="D2297" s="19" t="s">
        <v>1548</v>
      </c>
      <c r="E2297" s="161" t="s">
        <v>7</v>
      </c>
      <c r="G2297" s="29"/>
      <c r="H2297" s="29"/>
      <c r="I2297" s="29"/>
      <c r="J2297" s="29"/>
      <c r="K2297" s="29"/>
      <c r="L2297" s="29"/>
      <c r="M2297" s="29"/>
      <c r="N2297" s="29"/>
      <c r="O2297" s="29"/>
      <c r="P2297" s="29"/>
      <c r="Q2297" s="29"/>
      <c r="R2297" s="29"/>
      <c r="S2297" s="29"/>
      <c r="T2297" s="29"/>
      <c r="U2297" s="29"/>
      <c r="V2297" s="29"/>
      <c r="W2297" s="29"/>
      <c r="X2297" s="29"/>
      <c r="Y2297" s="29"/>
      <c r="Z2297" s="29"/>
      <c r="AA2297" s="29"/>
      <c r="AB2297" s="29"/>
      <c r="AC2297" s="29"/>
      <c r="AD2297" s="29"/>
    </row>
    <row r="2298">
      <c r="A2298" s="115" t="s">
        <v>3483</v>
      </c>
      <c r="B2298" s="19" t="s">
        <v>3374</v>
      </c>
      <c r="C2298" s="18" t="s">
        <v>3080</v>
      </c>
      <c r="D2298" s="19" t="s">
        <v>3491</v>
      </c>
      <c r="E2298" s="161" t="s">
        <v>7</v>
      </c>
      <c r="G2298" s="29"/>
      <c r="H2298" s="29"/>
      <c r="I2298" s="29"/>
      <c r="J2298" s="29"/>
      <c r="K2298" s="29"/>
      <c r="L2298" s="29"/>
      <c r="M2298" s="29"/>
      <c r="N2298" s="29"/>
      <c r="O2298" s="29"/>
      <c r="P2298" s="29"/>
      <c r="Q2298" s="29"/>
      <c r="R2298" s="29"/>
      <c r="S2298" s="29"/>
      <c r="T2298" s="29"/>
      <c r="U2298" s="29"/>
      <c r="V2298" s="29"/>
      <c r="W2298" s="29"/>
      <c r="X2298" s="29"/>
      <c r="Y2298" s="29"/>
      <c r="Z2298" s="29"/>
      <c r="AA2298" s="29"/>
      <c r="AB2298" s="29"/>
      <c r="AC2298" s="29"/>
      <c r="AD2298" s="29"/>
    </row>
    <row r="2299">
      <c r="A2299" s="115" t="s">
        <v>3483</v>
      </c>
      <c r="B2299" s="22" t="s">
        <v>3492</v>
      </c>
      <c r="C2299" s="9" t="s">
        <v>3493</v>
      </c>
      <c r="D2299" s="19" t="s">
        <v>3494</v>
      </c>
      <c r="E2299" s="9" t="s">
        <v>196</v>
      </c>
      <c r="G2299" s="29"/>
      <c r="H2299" s="29"/>
      <c r="I2299" s="29"/>
      <c r="J2299" s="29"/>
      <c r="K2299" s="29"/>
      <c r="L2299" s="29"/>
      <c r="M2299" s="29"/>
      <c r="N2299" s="29"/>
      <c r="O2299" s="29"/>
      <c r="P2299" s="29"/>
      <c r="Q2299" s="29"/>
      <c r="R2299" s="29"/>
      <c r="S2299" s="29"/>
      <c r="T2299" s="29"/>
      <c r="U2299" s="29"/>
      <c r="V2299" s="29"/>
      <c r="W2299" s="29"/>
      <c r="X2299" s="29"/>
      <c r="Y2299" s="29"/>
      <c r="Z2299" s="29"/>
      <c r="AA2299" s="29"/>
      <c r="AB2299" s="29"/>
      <c r="AC2299" s="29"/>
      <c r="AD2299" s="29"/>
    </row>
    <row r="2300">
      <c r="A2300" s="115" t="s">
        <v>3483</v>
      </c>
      <c r="B2300" s="22" t="s">
        <v>3492</v>
      </c>
      <c r="C2300" s="9" t="s">
        <v>3495</v>
      </c>
      <c r="D2300" s="19" t="s">
        <v>3494</v>
      </c>
      <c r="E2300" s="9" t="s">
        <v>196</v>
      </c>
      <c r="G2300" s="29"/>
      <c r="H2300" s="29"/>
      <c r="I2300" s="29"/>
      <c r="J2300" s="29"/>
      <c r="K2300" s="29"/>
      <c r="L2300" s="29"/>
      <c r="M2300" s="29"/>
      <c r="N2300" s="29"/>
      <c r="O2300" s="29"/>
      <c r="P2300" s="29"/>
      <c r="Q2300" s="29"/>
      <c r="R2300" s="29"/>
      <c r="S2300" s="29"/>
      <c r="T2300" s="29"/>
      <c r="U2300" s="29"/>
      <c r="V2300" s="29"/>
      <c r="W2300" s="29"/>
      <c r="X2300" s="29"/>
      <c r="Y2300" s="29"/>
      <c r="Z2300" s="29"/>
      <c r="AA2300" s="29"/>
      <c r="AB2300" s="29"/>
      <c r="AC2300" s="29"/>
      <c r="AD2300" s="29"/>
    </row>
    <row r="2301">
      <c r="A2301" s="115" t="s">
        <v>3483</v>
      </c>
      <c r="B2301" s="22" t="s">
        <v>3195</v>
      </c>
      <c r="C2301" s="18" t="s">
        <v>3496</v>
      </c>
      <c r="D2301" s="19" t="s">
        <v>3497</v>
      </c>
      <c r="E2301" s="132" t="s">
        <v>1506</v>
      </c>
      <c r="G2301" s="29"/>
      <c r="H2301" s="29"/>
      <c r="I2301" s="29"/>
      <c r="J2301" s="29"/>
      <c r="K2301" s="29"/>
      <c r="L2301" s="29"/>
      <c r="M2301" s="29"/>
      <c r="N2301" s="29"/>
      <c r="O2301" s="29"/>
      <c r="P2301" s="29"/>
      <c r="Q2301" s="29"/>
      <c r="R2301" s="29"/>
      <c r="S2301" s="29"/>
      <c r="T2301" s="29"/>
      <c r="U2301" s="29"/>
      <c r="V2301" s="29"/>
      <c r="W2301" s="29"/>
      <c r="X2301" s="29"/>
      <c r="Y2301" s="29"/>
      <c r="Z2301" s="29"/>
      <c r="AA2301" s="29"/>
      <c r="AB2301" s="29"/>
      <c r="AC2301" s="29"/>
      <c r="AD2301" s="29"/>
    </row>
    <row r="2302">
      <c r="A2302" s="115" t="s">
        <v>3483</v>
      </c>
      <c r="B2302" s="22" t="s">
        <v>3446</v>
      </c>
      <c r="C2302" s="18" t="s">
        <v>1741</v>
      </c>
      <c r="D2302" s="19" t="s">
        <v>3498</v>
      </c>
      <c r="E2302" s="132" t="s">
        <v>14</v>
      </c>
      <c r="G2302" s="29"/>
      <c r="H2302" s="29"/>
      <c r="I2302" s="29"/>
      <c r="J2302" s="29"/>
      <c r="K2302" s="29"/>
      <c r="L2302" s="29"/>
      <c r="M2302" s="29"/>
      <c r="N2302" s="29"/>
      <c r="O2302" s="29"/>
      <c r="P2302" s="29"/>
      <c r="Q2302" s="29"/>
      <c r="R2302" s="29"/>
      <c r="S2302" s="29"/>
      <c r="T2302" s="29"/>
      <c r="U2302" s="29"/>
      <c r="V2302" s="29"/>
      <c r="W2302" s="29"/>
      <c r="X2302" s="29"/>
      <c r="Y2302" s="29"/>
      <c r="Z2302" s="29"/>
      <c r="AA2302" s="29"/>
      <c r="AB2302" s="29"/>
      <c r="AC2302" s="29"/>
      <c r="AD2302" s="29"/>
    </row>
    <row r="2303">
      <c r="A2303" s="115" t="s">
        <v>3483</v>
      </c>
      <c r="B2303" s="22" t="s">
        <v>3446</v>
      </c>
      <c r="C2303" s="18" t="s">
        <v>3499</v>
      </c>
      <c r="D2303" s="19" t="s">
        <v>3500</v>
      </c>
      <c r="E2303" s="132" t="s">
        <v>764</v>
      </c>
      <c r="G2303" s="29"/>
      <c r="H2303" s="29"/>
      <c r="I2303" s="29"/>
      <c r="J2303" s="29"/>
      <c r="K2303" s="29"/>
      <c r="L2303" s="29"/>
      <c r="M2303" s="29"/>
      <c r="N2303" s="29"/>
      <c r="O2303" s="29"/>
      <c r="P2303" s="29"/>
      <c r="Q2303" s="29"/>
      <c r="R2303" s="29"/>
      <c r="S2303" s="29"/>
      <c r="T2303" s="29"/>
      <c r="U2303" s="29"/>
      <c r="V2303" s="29"/>
      <c r="W2303" s="29"/>
      <c r="X2303" s="29"/>
      <c r="Y2303" s="29"/>
      <c r="Z2303" s="29"/>
      <c r="AA2303" s="29"/>
      <c r="AB2303" s="29"/>
      <c r="AC2303" s="29"/>
      <c r="AD2303" s="29"/>
    </row>
    <row r="2304">
      <c r="A2304" s="6"/>
      <c r="B2304" s="9"/>
      <c r="C2304" s="9"/>
      <c r="D2304" s="9"/>
      <c r="E2304" s="9"/>
      <c r="G2304" s="29"/>
      <c r="H2304" s="29"/>
      <c r="I2304" s="29"/>
      <c r="J2304" s="29"/>
      <c r="K2304" s="29"/>
      <c r="L2304" s="29"/>
      <c r="M2304" s="29"/>
      <c r="N2304" s="29"/>
      <c r="O2304" s="29"/>
      <c r="P2304" s="29"/>
      <c r="Q2304" s="29"/>
      <c r="R2304" s="29"/>
      <c r="S2304" s="29"/>
      <c r="T2304" s="29"/>
      <c r="U2304" s="29"/>
      <c r="V2304" s="29"/>
      <c r="W2304" s="29"/>
      <c r="X2304" s="29"/>
      <c r="Y2304" s="29"/>
      <c r="Z2304" s="29"/>
      <c r="AA2304" s="29"/>
      <c r="AB2304" s="29"/>
      <c r="AC2304" s="29"/>
      <c r="AD2304" s="29"/>
    </row>
    <row r="2305">
      <c r="A2305" s="6"/>
      <c r="B2305" s="9"/>
      <c r="C2305" s="9"/>
      <c r="D2305" s="9"/>
      <c r="E2305" s="9"/>
      <c r="G2305" s="29"/>
      <c r="H2305" s="29"/>
      <c r="I2305" s="29"/>
      <c r="J2305" s="29"/>
      <c r="K2305" s="29"/>
      <c r="L2305" s="29"/>
      <c r="M2305" s="29"/>
      <c r="N2305" s="29"/>
      <c r="O2305" s="29"/>
      <c r="P2305" s="29"/>
      <c r="Q2305" s="29"/>
      <c r="R2305" s="29"/>
      <c r="S2305" s="29"/>
      <c r="T2305" s="29"/>
      <c r="U2305" s="29"/>
      <c r="V2305" s="29"/>
      <c r="W2305" s="29"/>
      <c r="X2305" s="29"/>
      <c r="Y2305" s="29"/>
      <c r="Z2305" s="29"/>
      <c r="AA2305" s="29"/>
      <c r="AB2305" s="29"/>
      <c r="AC2305" s="29"/>
      <c r="AD2305" s="29"/>
    </row>
    <row r="2306">
      <c r="A2306" s="115" t="s">
        <v>3501</v>
      </c>
      <c r="B2306" s="22" t="s">
        <v>3502</v>
      </c>
      <c r="C2306" s="18" t="s">
        <v>3432</v>
      </c>
      <c r="D2306" s="19" t="s">
        <v>3503</v>
      </c>
      <c r="E2306" s="132" t="s">
        <v>1506</v>
      </c>
      <c r="G2306" s="29"/>
      <c r="H2306" s="29"/>
      <c r="I2306" s="29"/>
      <c r="J2306" s="29"/>
      <c r="K2306" s="29"/>
      <c r="L2306" s="29"/>
      <c r="M2306" s="29"/>
      <c r="N2306" s="29"/>
      <c r="O2306" s="29"/>
      <c r="P2306" s="29"/>
      <c r="Q2306" s="29"/>
      <c r="R2306" s="29"/>
      <c r="S2306" s="29"/>
      <c r="T2306" s="29"/>
      <c r="U2306" s="29"/>
      <c r="V2306" s="29"/>
      <c r="W2306" s="29"/>
      <c r="X2306" s="29"/>
      <c r="Y2306" s="29"/>
      <c r="Z2306" s="29"/>
      <c r="AA2306" s="29"/>
      <c r="AB2306" s="29"/>
      <c r="AC2306" s="29"/>
      <c r="AD2306" s="29"/>
    </row>
    <row r="2307">
      <c r="A2307" s="115" t="s">
        <v>3501</v>
      </c>
      <c r="B2307" s="22" t="s">
        <v>3502</v>
      </c>
      <c r="C2307" s="18" t="s">
        <v>3504</v>
      </c>
      <c r="D2307" s="19" t="s">
        <v>3505</v>
      </c>
      <c r="E2307" s="9" t="s">
        <v>229</v>
      </c>
      <c r="G2307" s="29"/>
      <c r="H2307" s="29"/>
      <c r="I2307" s="29"/>
      <c r="J2307" s="29"/>
      <c r="K2307" s="29"/>
      <c r="L2307" s="29"/>
      <c r="M2307" s="29"/>
      <c r="N2307" s="29"/>
      <c r="O2307" s="29"/>
      <c r="P2307" s="29"/>
      <c r="Q2307" s="29"/>
      <c r="R2307" s="29"/>
      <c r="S2307" s="29"/>
      <c r="T2307" s="29"/>
      <c r="U2307" s="29"/>
      <c r="V2307" s="29"/>
      <c r="W2307" s="29"/>
      <c r="X2307" s="29"/>
      <c r="Y2307" s="29"/>
      <c r="Z2307" s="29"/>
      <c r="AA2307" s="29"/>
      <c r="AB2307" s="29"/>
      <c r="AC2307" s="29"/>
      <c r="AD2307" s="29"/>
    </row>
    <row r="2308">
      <c r="A2308" s="115" t="s">
        <v>3501</v>
      </c>
      <c r="B2308" s="22" t="s">
        <v>3502</v>
      </c>
      <c r="C2308" s="18" t="s">
        <v>3504</v>
      </c>
      <c r="D2308" s="19" t="s">
        <v>3506</v>
      </c>
      <c r="E2308" s="132" t="s">
        <v>1506</v>
      </c>
      <c r="G2308" s="29"/>
      <c r="H2308" s="29"/>
      <c r="I2308" s="29"/>
      <c r="J2308" s="29"/>
      <c r="K2308" s="29"/>
      <c r="L2308" s="29"/>
      <c r="M2308" s="29"/>
      <c r="N2308" s="29"/>
      <c r="O2308" s="29"/>
      <c r="P2308" s="29"/>
      <c r="Q2308" s="29"/>
      <c r="R2308" s="29"/>
      <c r="S2308" s="29"/>
      <c r="T2308" s="29"/>
      <c r="U2308" s="29"/>
      <c r="V2308" s="29"/>
      <c r="W2308" s="29"/>
      <c r="X2308" s="29"/>
      <c r="Y2308" s="29"/>
      <c r="Z2308" s="29"/>
      <c r="AA2308" s="29"/>
      <c r="AB2308" s="29"/>
      <c r="AC2308" s="29"/>
      <c r="AD2308" s="29"/>
    </row>
    <row r="2309">
      <c r="A2309" s="115" t="s">
        <v>3501</v>
      </c>
      <c r="B2309" s="22" t="s">
        <v>3382</v>
      </c>
      <c r="C2309" s="18" t="s">
        <v>3507</v>
      </c>
      <c r="D2309" s="19" t="s">
        <v>3508</v>
      </c>
      <c r="E2309" s="9" t="s">
        <v>1506</v>
      </c>
      <c r="G2309" s="29"/>
      <c r="H2309" s="29"/>
      <c r="I2309" s="29"/>
      <c r="J2309" s="29"/>
      <c r="K2309" s="29"/>
      <c r="L2309" s="29"/>
      <c r="M2309" s="29"/>
      <c r="N2309" s="29"/>
      <c r="O2309" s="29"/>
      <c r="P2309" s="29"/>
      <c r="Q2309" s="29"/>
      <c r="R2309" s="29"/>
      <c r="S2309" s="29"/>
      <c r="T2309" s="29"/>
      <c r="U2309" s="29"/>
      <c r="V2309" s="29"/>
      <c r="W2309" s="29"/>
      <c r="X2309" s="29"/>
      <c r="Y2309" s="29"/>
      <c r="Z2309" s="29"/>
      <c r="AA2309" s="29"/>
      <c r="AB2309" s="29"/>
      <c r="AC2309" s="29"/>
      <c r="AD2309" s="29"/>
    </row>
    <row r="2310">
      <c r="A2310" s="115" t="s">
        <v>3501</v>
      </c>
      <c r="B2310" s="22" t="s">
        <v>3382</v>
      </c>
      <c r="C2310" s="18" t="s">
        <v>3509</v>
      </c>
      <c r="D2310" s="19" t="s">
        <v>3510</v>
      </c>
      <c r="E2310" s="132" t="s">
        <v>125</v>
      </c>
      <c r="G2310" s="29"/>
      <c r="H2310" s="29"/>
      <c r="I2310" s="29"/>
      <c r="J2310" s="29"/>
      <c r="K2310" s="29"/>
      <c r="L2310" s="29"/>
      <c r="M2310" s="29"/>
      <c r="N2310" s="29"/>
      <c r="O2310" s="29"/>
      <c r="P2310" s="29"/>
      <c r="Q2310" s="29"/>
      <c r="R2310" s="29"/>
      <c r="S2310" s="29"/>
      <c r="T2310" s="29"/>
      <c r="U2310" s="29"/>
      <c r="V2310" s="29"/>
      <c r="W2310" s="29"/>
      <c r="X2310" s="29"/>
      <c r="Y2310" s="29"/>
      <c r="Z2310" s="29"/>
      <c r="AA2310" s="29"/>
      <c r="AB2310" s="29"/>
      <c r="AC2310" s="29"/>
      <c r="AD2310" s="29"/>
    </row>
    <row r="2311">
      <c r="A2311" s="6"/>
      <c r="B2311" s="9"/>
      <c r="C2311" s="9"/>
      <c r="D2311" s="9"/>
      <c r="E2311" s="9"/>
      <c r="G2311" s="29"/>
      <c r="H2311" s="29"/>
      <c r="I2311" s="29"/>
      <c r="J2311" s="29"/>
      <c r="K2311" s="29"/>
      <c r="L2311" s="29"/>
      <c r="M2311" s="29"/>
      <c r="N2311" s="29"/>
      <c r="O2311" s="29"/>
      <c r="P2311" s="29"/>
      <c r="Q2311" s="29"/>
      <c r="R2311" s="29"/>
      <c r="S2311" s="29"/>
      <c r="T2311" s="29"/>
      <c r="U2311" s="29"/>
      <c r="V2311" s="29"/>
      <c r="W2311" s="29"/>
      <c r="X2311" s="29"/>
      <c r="Y2311" s="29"/>
      <c r="Z2311" s="29"/>
      <c r="AA2311" s="29"/>
      <c r="AB2311" s="29"/>
      <c r="AC2311" s="29"/>
      <c r="AD2311" s="29"/>
    </row>
    <row r="2312">
      <c r="A2312" s="6"/>
      <c r="B2312" s="9"/>
      <c r="C2312" s="9"/>
      <c r="D2312" s="9"/>
      <c r="E2312" s="9"/>
      <c r="G2312" s="29"/>
      <c r="H2312" s="29"/>
      <c r="I2312" s="29"/>
      <c r="J2312" s="29"/>
      <c r="K2312" s="29"/>
      <c r="L2312" s="29"/>
      <c r="M2312" s="29"/>
      <c r="N2312" s="29"/>
      <c r="O2312" s="29"/>
      <c r="P2312" s="29"/>
      <c r="Q2312" s="29"/>
      <c r="R2312" s="29"/>
      <c r="S2312" s="29"/>
      <c r="T2312" s="29"/>
      <c r="U2312" s="29"/>
      <c r="V2312" s="29"/>
      <c r="W2312" s="29"/>
      <c r="X2312" s="29"/>
      <c r="Y2312" s="29"/>
      <c r="Z2312" s="29"/>
      <c r="AA2312" s="29"/>
      <c r="AB2312" s="29"/>
      <c r="AC2312" s="29"/>
      <c r="AD2312" s="29"/>
    </row>
    <row r="2313">
      <c r="A2313" s="16" t="s">
        <v>3511</v>
      </c>
      <c r="B2313" s="22" t="s">
        <v>3512</v>
      </c>
      <c r="C2313" s="18" t="s">
        <v>3513</v>
      </c>
      <c r="D2313" s="19" t="s">
        <v>3514</v>
      </c>
      <c r="E2313" s="132" t="s">
        <v>3515</v>
      </c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</row>
    <row r="2314">
      <c r="A2314" s="16" t="s">
        <v>3511</v>
      </c>
      <c r="B2314" s="22" t="s">
        <v>3516</v>
      </c>
      <c r="C2314" s="18" t="s">
        <v>3517</v>
      </c>
      <c r="D2314" s="19" t="s">
        <v>3518</v>
      </c>
      <c r="E2314" s="9" t="s">
        <v>3519</v>
      </c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</row>
    <row r="2315">
      <c r="A2315" s="16" t="s">
        <v>3511</v>
      </c>
      <c r="B2315" s="22" t="s">
        <v>3516</v>
      </c>
      <c r="C2315" s="18" t="s">
        <v>1171</v>
      </c>
      <c r="D2315" s="19" t="s">
        <v>3520</v>
      </c>
      <c r="E2315" s="9" t="s">
        <v>3519</v>
      </c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</row>
    <row r="2316">
      <c r="A2316" s="16" t="s">
        <v>3511</v>
      </c>
      <c r="B2316" s="22" t="s">
        <v>3516</v>
      </c>
      <c r="C2316" s="18" t="s">
        <v>1171</v>
      </c>
      <c r="D2316" s="19" t="s">
        <v>3521</v>
      </c>
      <c r="E2316" s="9" t="s">
        <v>3519</v>
      </c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</row>
    <row r="2317">
      <c r="A2317" s="16" t="s">
        <v>3511</v>
      </c>
      <c r="B2317" s="22" t="s">
        <v>3516</v>
      </c>
      <c r="C2317" s="18" t="s">
        <v>3522</v>
      </c>
      <c r="D2317" s="19" t="s">
        <v>3523</v>
      </c>
      <c r="E2317" s="9" t="s">
        <v>3519</v>
      </c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</row>
    <row r="2318">
      <c r="A2318" s="18"/>
      <c r="B2318" s="22"/>
      <c r="C2318" s="18"/>
      <c r="D2318" s="19"/>
      <c r="E2318" s="49"/>
      <c r="G2318" s="29"/>
      <c r="H2318" s="29"/>
      <c r="I2318" s="29"/>
      <c r="J2318" s="29"/>
      <c r="K2318" s="29"/>
      <c r="L2318" s="29"/>
      <c r="M2318" s="29"/>
      <c r="N2318" s="29"/>
      <c r="O2318" s="29"/>
      <c r="P2318" s="29"/>
      <c r="Q2318" s="29"/>
      <c r="R2318" s="29"/>
      <c r="S2318" s="29"/>
      <c r="T2318" s="29"/>
      <c r="U2318" s="29"/>
      <c r="V2318" s="29"/>
      <c r="W2318" s="29"/>
      <c r="X2318" s="29"/>
      <c r="Y2318" s="29"/>
      <c r="Z2318" s="29"/>
      <c r="AA2318" s="29"/>
      <c r="AB2318" s="29"/>
      <c r="AC2318" s="29"/>
      <c r="AD2318" s="29"/>
    </row>
    <row r="2319">
      <c r="A2319" s="18"/>
      <c r="B2319" s="22"/>
      <c r="C2319" s="18"/>
      <c r="D2319" s="19"/>
      <c r="E2319" s="49"/>
      <c r="G2319" s="29"/>
      <c r="H2319" s="29"/>
      <c r="I2319" s="29"/>
      <c r="J2319" s="29"/>
      <c r="K2319" s="29"/>
      <c r="L2319" s="29"/>
      <c r="M2319" s="29"/>
      <c r="N2319" s="29"/>
      <c r="O2319" s="29"/>
      <c r="P2319" s="29"/>
      <c r="Q2319" s="29"/>
      <c r="R2319" s="29"/>
      <c r="S2319" s="29"/>
      <c r="T2319" s="29"/>
      <c r="U2319" s="29"/>
      <c r="V2319" s="29"/>
      <c r="W2319" s="29"/>
      <c r="X2319" s="29"/>
      <c r="Y2319" s="29"/>
      <c r="Z2319" s="29"/>
      <c r="AA2319" s="29"/>
      <c r="AB2319" s="29"/>
      <c r="AC2319" s="29"/>
      <c r="AD2319" s="29"/>
    </row>
    <row r="2320">
      <c r="A2320" s="16" t="s">
        <v>3524</v>
      </c>
      <c r="B2320" s="22" t="s">
        <v>3525</v>
      </c>
      <c r="C2320" s="18" t="s">
        <v>3185</v>
      </c>
      <c r="D2320" s="19" t="s">
        <v>3526</v>
      </c>
      <c r="E2320" s="9" t="s">
        <v>1201</v>
      </c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</row>
    <row r="2321">
      <c r="A2321" s="16" t="s">
        <v>3524</v>
      </c>
      <c r="B2321" s="22" t="s">
        <v>3525</v>
      </c>
      <c r="C2321" s="18" t="s">
        <v>3185</v>
      </c>
      <c r="D2321" s="19" t="s">
        <v>3527</v>
      </c>
      <c r="E2321" s="9" t="s">
        <v>3528</v>
      </c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</row>
    <row r="2322">
      <c r="A2322" s="18"/>
      <c r="B2322" s="22"/>
      <c r="C2322" s="18"/>
      <c r="D2322" s="19"/>
      <c r="E2322" s="49"/>
      <c r="G2322" s="29"/>
      <c r="H2322" s="29"/>
      <c r="I2322" s="29"/>
      <c r="J2322" s="29"/>
      <c r="K2322" s="29"/>
      <c r="L2322" s="29"/>
      <c r="M2322" s="29"/>
      <c r="N2322" s="29"/>
      <c r="O2322" s="29"/>
      <c r="P2322" s="29"/>
      <c r="Q2322" s="29"/>
      <c r="R2322" s="29"/>
      <c r="S2322" s="29"/>
      <c r="T2322" s="29"/>
      <c r="U2322" s="29"/>
      <c r="V2322" s="29"/>
      <c r="W2322" s="29"/>
      <c r="X2322" s="29"/>
      <c r="Y2322" s="29"/>
      <c r="Z2322" s="29"/>
      <c r="AA2322" s="29"/>
      <c r="AB2322" s="29"/>
      <c r="AC2322" s="29"/>
      <c r="AD2322" s="29"/>
    </row>
    <row r="2323">
      <c r="A2323" s="18"/>
      <c r="B2323" s="22"/>
      <c r="C2323" s="18"/>
      <c r="D2323" s="19"/>
      <c r="E2323" s="49"/>
      <c r="G2323" s="29"/>
      <c r="H2323" s="29"/>
      <c r="I2323" s="29"/>
      <c r="J2323" s="29"/>
      <c r="K2323" s="29"/>
      <c r="L2323" s="29"/>
      <c r="M2323" s="29"/>
      <c r="N2323" s="29"/>
      <c r="O2323" s="29"/>
      <c r="P2323" s="29"/>
      <c r="Q2323" s="29"/>
      <c r="R2323" s="29"/>
      <c r="S2323" s="29"/>
      <c r="T2323" s="29"/>
      <c r="U2323" s="29"/>
      <c r="V2323" s="29"/>
      <c r="W2323" s="29"/>
      <c r="X2323" s="29"/>
      <c r="Y2323" s="29"/>
      <c r="Z2323" s="29"/>
      <c r="AA2323" s="29"/>
      <c r="AB2323" s="29"/>
      <c r="AC2323" s="29"/>
      <c r="AD2323" s="29"/>
    </row>
    <row r="2324">
      <c r="A2324" s="115" t="s">
        <v>3529</v>
      </c>
      <c r="B2324" s="22" t="s">
        <v>3530</v>
      </c>
      <c r="C2324" s="18" t="s">
        <v>340</v>
      </c>
      <c r="D2324" s="19" t="s">
        <v>3531</v>
      </c>
      <c r="E2324" s="132" t="s">
        <v>3528</v>
      </c>
      <c r="G2324" s="29"/>
      <c r="H2324" s="29"/>
      <c r="I2324" s="29"/>
      <c r="J2324" s="29"/>
      <c r="K2324" s="29"/>
      <c r="L2324" s="29"/>
      <c r="M2324" s="29"/>
      <c r="N2324" s="29"/>
      <c r="O2324" s="29"/>
      <c r="P2324" s="29"/>
      <c r="Q2324" s="29"/>
      <c r="R2324" s="29"/>
      <c r="S2324" s="29"/>
      <c r="T2324" s="29"/>
      <c r="U2324" s="29"/>
      <c r="V2324" s="29"/>
      <c r="W2324" s="29"/>
      <c r="X2324" s="29"/>
      <c r="Y2324" s="29"/>
      <c r="Z2324" s="29"/>
      <c r="AA2324" s="29"/>
      <c r="AB2324" s="29"/>
      <c r="AC2324" s="29"/>
      <c r="AD2324" s="29"/>
    </row>
    <row r="2325">
      <c r="A2325" s="115" t="s">
        <v>3529</v>
      </c>
      <c r="B2325" s="22" t="s">
        <v>3532</v>
      </c>
      <c r="C2325" s="18" t="s">
        <v>3533</v>
      </c>
      <c r="D2325" s="19" t="s">
        <v>3534</v>
      </c>
      <c r="E2325" s="132" t="s">
        <v>3528</v>
      </c>
      <c r="G2325" s="29"/>
      <c r="H2325" s="29"/>
      <c r="I2325" s="29"/>
      <c r="J2325" s="29"/>
      <c r="K2325" s="29"/>
      <c r="L2325" s="29"/>
      <c r="M2325" s="29"/>
      <c r="N2325" s="29"/>
      <c r="O2325" s="29"/>
      <c r="P2325" s="29"/>
      <c r="Q2325" s="29"/>
      <c r="R2325" s="29"/>
      <c r="S2325" s="29"/>
      <c r="T2325" s="29"/>
      <c r="U2325" s="29"/>
      <c r="V2325" s="29"/>
      <c r="W2325" s="29"/>
      <c r="X2325" s="29"/>
      <c r="Y2325" s="29"/>
      <c r="Z2325" s="29"/>
      <c r="AA2325" s="29"/>
      <c r="AB2325" s="29"/>
      <c r="AC2325" s="29"/>
      <c r="AD2325" s="29"/>
    </row>
    <row r="2326">
      <c r="A2326" s="16" t="s">
        <v>3529</v>
      </c>
      <c r="B2326" s="22" t="s">
        <v>3535</v>
      </c>
      <c r="C2326" s="18" t="s">
        <v>3536</v>
      </c>
      <c r="D2326" s="19" t="s">
        <v>3537</v>
      </c>
      <c r="E2326" s="132" t="s">
        <v>3528</v>
      </c>
      <c r="G2326" s="29"/>
      <c r="H2326" s="29"/>
      <c r="I2326" s="29"/>
      <c r="J2326" s="29"/>
      <c r="K2326" s="29"/>
      <c r="L2326" s="29"/>
      <c r="M2326" s="29"/>
      <c r="N2326" s="29"/>
      <c r="O2326" s="29"/>
      <c r="P2326" s="29"/>
      <c r="Q2326" s="29"/>
      <c r="R2326" s="29"/>
      <c r="S2326" s="29"/>
      <c r="T2326" s="29"/>
      <c r="U2326" s="29"/>
      <c r="V2326" s="29"/>
      <c r="W2326" s="29"/>
      <c r="X2326" s="29"/>
      <c r="Y2326" s="29"/>
      <c r="Z2326" s="29"/>
      <c r="AA2326" s="29"/>
      <c r="AB2326" s="29"/>
      <c r="AC2326" s="29"/>
      <c r="AD2326" s="29"/>
    </row>
    <row r="2327">
      <c r="A2327" s="18"/>
      <c r="B2327" s="22"/>
      <c r="C2327" s="18"/>
      <c r="D2327" s="19"/>
      <c r="E2327" s="49"/>
      <c r="G2327" s="29"/>
      <c r="H2327" s="29"/>
      <c r="I2327" s="29"/>
      <c r="J2327" s="29"/>
      <c r="K2327" s="29"/>
      <c r="L2327" s="29"/>
      <c r="M2327" s="29"/>
      <c r="N2327" s="29"/>
      <c r="O2327" s="29"/>
      <c r="P2327" s="29"/>
      <c r="Q2327" s="29"/>
      <c r="R2327" s="29"/>
      <c r="S2327" s="29"/>
      <c r="T2327" s="29"/>
      <c r="U2327" s="29"/>
      <c r="V2327" s="29"/>
      <c r="W2327" s="29"/>
      <c r="X2327" s="29"/>
      <c r="Y2327" s="29"/>
      <c r="Z2327" s="29"/>
      <c r="AA2327" s="29"/>
      <c r="AB2327" s="29"/>
      <c r="AC2327" s="29"/>
      <c r="AD2327" s="29"/>
    </row>
    <row r="2328">
      <c r="A2328" s="16" t="s">
        <v>3538</v>
      </c>
      <c r="B2328" s="22" t="s">
        <v>3516</v>
      </c>
      <c r="C2328" s="18" t="s">
        <v>3517</v>
      </c>
      <c r="D2328" s="19" t="s">
        <v>3539</v>
      </c>
      <c r="E2328" s="132" t="s">
        <v>3528</v>
      </c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</row>
    <row r="2329">
      <c r="A2329" s="16" t="s">
        <v>3538</v>
      </c>
      <c r="B2329" s="22" t="s">
        <v>3516</v>
      </c>
      <c r="C2329" s="18" t="s">
        <v>3540</v>
      </c>
      <c r="D2329" s="19" t="s">
        <v>3541</v>
      </c>
      <c r="E2329" s="132" t="s">
        <v>3528</v>
      </c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</row>
    <row r="2330">
      <c r="A2330" s="16" t="s">
        <v>3538</v>
      </c>
      <c r="B2330" s="22" t="s">
        <v>3542</v>
      </c>
      <c r="C2330" s="18" t="s">
        <v>3543</v>
      </c>
      <c r="D2330" s="19" t="s">
        <v>3544</v>
      </c>
      <c r="E2330" s="161" t="s">
        <v>7</v>
      </c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</row>
    <row r="2331">
      <c r="A2331" s="16" t="s">
        <v>3538</v>
      </c>
      <c r="B2331" s="22" t="s">
        <v>3542</v>
      </c>
      <c r="C2331" s="18" t="s">
        <v>3545</v>
      </c>
      <c r="D2331" s="19" t="s">
        <v>3544</v>
      </c>
      <c r="E2331" s="161" t="s">
        <v>7</v>
      </c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</row>
    <row r="2332">
      <c r="A2332" s="16" t="s">
        <v>3538</v>
      </c>
      <c r="B2332" s="22" t="s">
        <v>3542</v>
      </c>
      <c r="C2332" s="18" t="s">
        <v>3546</v>
      </c>
      <c r="D2332" s="19" t="s">
        <v>3544</v>
      </c>
      <c r="E2332" s="161" t="s">
        <v>7</v>
      </c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</row>
    <row r="2333">
      <c r="A2333" s="16" t="s">
        <v>3538</v>
      </c>
      <c r="B2333" s="22" t="s">
        <v>3542</v>
      </c>
      <c r="C2333" s="18" t="s">
        <v>1728</v>
      </c>
      <c r="D2333" s="19" t="s">
        <v>3544</v>
      </c>
      <c r="E2333" s="161" t="s">
        <v>7</v>
      </c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</row>
    <row r="2334">
      <c r="A2334" s="18"/>
      <c r="B2334" s="22"/>
      <c r="C2334" s="18"/>
      <c r="D2334" s="19"/>
      <c r="E2334" s="49"/>
      <c r="G2334" s="29"/>
      <c r="H2334" s="29"/>
      <c r="I2334" s="29"/>
      <c r="J2334" s="29"/>
      <c r="K2334" s="29"/>
      <c r="L2334" s="29"/>
      <c r="M2334" s="29"/>
      <c r="N2334" s="29"/>
      <c r="O2334" s="29"/>
      <c r="P2334" s="29"/>
      <c r="Q2334" s="29"/>
      <c r="R2334" s="29"/>
      <c r="S2334" s="29"/>
      <c r="T2334" s="29"/>
      <c r="U2334" s="29"/>
      <c r="V2334" s="29"/>
      <c r="W2334" s="29"/>
      <c r="X2334" s="29"/>
      <c r="Y2334" s="29"/>
      <c r="Z2334" s="29"/>
      <c r="AA2334" s="29"/>
      <c r="AB2334" s="29"/>
      <c r="AC2334" s="29"/>
      <c r="AD2334" s="29"/>
    </row>
    <row r="2335">
      <c r="A2335" s="18"/>
      <c r="B2335" s="22"/>
      <c r="C2335" s="18"/>
      <c r="D2335" s="19"/>
      <c r="E2335" s="49"/>
      <c r="G2335" s="29"/>
      <c r="H2335" s="29"/>
      <c r="I2335" s="29"/>
      <c r="J2335" s="29"/>
      <c r="K2335" s="29"/>
      <c r="L2335" s="29"/>
      <c r="M2335" s="29"/>
      <c r="N2335" s="29"/>
      <c r="O2335" s="29"/>
      <c r="P2335" s="29"/>
      <c r="Q2335" s="29"/>
      <c r="R2335" s="29"/>
      <c r="S2335" s="29"/>
      <c r="T2335" s="29"/>
      <c r="U2335" s="29"/>
      <c r="V2335" s="29"/>
      <c r="W2335" s="29"/>
      <c r="X2335" s="29"/>
      <c r="Y2335" s="29"/>
      <c r="Z2335" s="29"/>
      <c r="AA2335" s="29"/>
      <c r="AB2335" s="29"/>
      <c r="AC2335" s="29"/>
      <c r="AD2335" s="29"/>
    </row>
    <row r="2336">
      <c r="A2336" s="16" t="s">
        <v>3547</v>
      </c>
      <c r="B2336" s="22" t="s">
        <v>3548</v>
      </c>
      <c r="C2336" s="18" t="s">
        <v>3549</v>
      </c>
      <c r="D2336" s="19" t="s">
        <v>3550</v>
      </c>
      <c r="E2336" s="132" t="s">
        <v>3551</v>
      </c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</row>
    <row r="2337">
      <c r="A2337" s="16" t="s">
        <v>3547</v>
      </c>
      <c r="B2337" s="22" t="s">
        <v>3552</v>
      </c>
      <c r="C2337" s="18" t="s">
        <v>3553</v>
      </c>
      <c r="D2337" s="19" t="s">
        <v>3544</v>
      </c>
      <c r="E2337" s="9" t="s">
        <v>3519</v>
      </c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</row>
    <row r="2338">
      <c r="A2338" s="16" t="s">
        <v>3547</v>
      </c>
      <c r="B2338" s="22" t="s">
        <v>3552</v>
      </c>
      <c r="C2338" s="18" t="s">
        <v>2474</v>
      </c>
      <c r="D2338" s="19" t="s">
        <v>3544</v>
      </c>
      <c r="E2338" s="9" t="s">
        <v>3519</v>
      </c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</row>
    <row r="2339">
      <c r="A2339" s="16" t="s">
        <v>3547</v>
      </c>
      <c r="B2339" s="22" t="s">
        <v>3552</v>
      </c>
      <c r="C2339" s="18" t="s">
        <v>3554</v>
      </c>
      <c r="D2339" s="19" t="s">
        <v>3544</v>
      </c>
      <c r="E2339" s="9" t="s">
        <v>3519</v>
      </c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</row>
    <row r="2340">
      <c r="A2340" s="16" t="s">
        <v>3547</v>
      </c>
      <c r="B2340" s="22" t="s">
        <v>3552</v>
      </c>
      <c r="C2340" s="18" t="s">
        <v>449</v>
      </c>
      <c r="D2340" s="19" t="s">
        <v>3544</v>
      </c>
      <c r="E2340" s="9" t="s">
        <v>3519</v>
      </c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</row>
    <row r="2341">
      <c r="A2341" s="16" t="s">
        <v>3547</v>
      </c>
      <c r="B2341" s="22" t="s">
        <v>3552</v>
      </c>
      <c r="C2341" s="18" t="s">
        <v>136</v>
      </c>
      <c r="D2341" s="19" t="s">
        <v>3544</v>
      </c>
      <c r="E2341" s="9" t="s">
        <v>3519</v>
      </c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</row>
    <row r="2342">
      <c r="A2342" s="18"/>
      <c r="B2342" s="22"/>
      <c r="C2342" s="18"/>
      <c r="D2342" s="19"/>
      <c r="E2342" s="49"/>
      <c r="G2342" s="29"/>
      <c r="H2342" s="29"/>
      <c r="I2342" s="29"/>
      <c r="J2342" s="29"/>
      <c r="K2342" s="29"/>
      <c r="L2342" s="29"/>
      <c r="M2342" s="29"/>
      <c r="N2342" s="29"/>
      <c r="O2342" s="29"/>
      <c r="P2342" s="29"/>
      <c r="Q2342" s="29"/>
      <c r="R2342" s="29"/>
      <c r="S2342" s="29"/>
      <c r="T2342" s="29"/>
      <c r="U2342" s="29"/>
      <c r="V2342" s="29"/>
      <c r="W2342" s="29"/>
      <c r="X2342" s="29"/>
      <c r="Y2342" s="29"/>
      <c r="Z2342" s="29"/>
      <c r="AA2342" s="29"/>
      <c r="AB2342" s="29"/>
      <c r="AC2342" s="29"/>
      <c r="AD2342" s="29"/>
    </row>
    <row r="2343">
      <c r="A2343" s="18"/>
      <c r="B2343" s="22"/>
      <c r="C2343" s="18"/>
      <c r="D2343" s="19"/>
      <c r="E2343" s="49"/>
      <c r="G2343" s="29"/>
      <c r="H2343" s="29"/>
      <c r="I2343" s="29"/>
      <c r="J2343" s="29"/>
      <c r="K2343" s="29"/>
      <c r="L2343" s="29"/>
      <c r="M2343" s="29"/>
      <c r="N2343" s="29"/>
      <c r="O2343" s="29"/>
      <c r="P2343" s="29"/>
      <c r="Q2343" s="29"/>
      <c r="R2343" s="29"/>
      <c r="S2343" s="29"/>
      <c r="T2343" s="29"/>
      <c r="U2343" s="29"/>
      <c r="V2343" s="29"/>
      <c r="W2343" s="29"/>
      <c r="X2343" s="29"/>
      <c r="Y2343" s="29"/>
      <c r="Z2343" s="29"/>
      <c r="AA2343" s="29"/>
      <c r="AB2343" s="29"/>
      <c r="AC2343" s="29"/>
      <c r="AD2343" s="29"/>
    </row>
    <row r="2344">
      <c r="A2344" s="16" t="s">
        <v>3555</v>
      </c>
      <c r="B2344" s="22" t="s">
        <v>3556</v>
      </c>
      <c r="C2344" s="18" t="s">
        <v>3557</v>
      </c>
      <c r="D2344" s="19" t="s">
        <v>3558</v>
      </c>
      <c r="E2344" s="9" t="s">
        <v>3559</v>
      </c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</row>
    <row r="2345">
      <c r="A2345" s="16" t="s">
        <v>3555</v>
      </c>
      <c r="B2345" s="22" t="s">
        <v>3556</v>
      </c>
      <c r="C2345" s="18" t="s">
        <v>3560</v>
      </c>
      <c r="D2345" s="19" t="s">
        <v>3558</v>
      </c>
      <c r="E2345" s="9" t="s">
        <v>3559</v>
      </c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</row>
    <row r="2346">
      <c r="A2346" s="16" t="s">
        <v>3555</v>
      </c>
      <c r="B2346" s="22" t="s">
        <v>3556</v>
      </c>
      <c r="C2346" s="18" t="s">
        <v>3561</v>
      </c>
      <c r="D2346" s="19" t="s">
        <v>3558</v>
      </c>
      <c r="E2346" s="9" t="s">
        <v>3559</v>
      </c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</row>
    <row r="2347">
      <c r="A2347" s="16" t="s">
        <v>3555</v>
      </c>
      <c r="B2347" s="22" t="s">
        <v>3556</v>
      </c>
      <c r="C2347" s="18" t="s">
        <v>3562</v>
      </c>
      <c r="D2347" s="19" t="s">
        <v>3563</v>
      </c>
      <c r="E2347" s="9" t="s">
        <v>3559</v>
      </c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</row>
    <row r="2348">
      <c r="A2348" s="16" t="s">
        <v>3555</v>
      </c>
      <c r="B2348" s="22" t="s">
        <v>3556</v>
      </c>
      <c r="C2348" s="18" t="s">
        <v>3564</v>
      </c>
      <c r="D2348" s="19" t="s">
        <v>3563</v>
      </c>
      <c r="E2348" s="9" t="s">
        <v>3559</v>
      </c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</row>
    <row r="2349">
      <c r="A2349" s="16" t="s">
        <v>3555</v>
      </c>
      <c r="B2349" s="22" t="s">
        <v>3556</v>
      </c>
      <c r="C2349" s="18" t="s">
        <v>3565</v>
      </c>
      <c r="D2349" s="19" t="s">
        <v>3566</v>
      </c>
      <c r="E2349" s="9" t="s">
        <v>3559</v>
      </c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</row>
    <row r="2350">
      <c r="A2350" s="16" t="s">
        <v>3555</v>
      </c>
      <c r="B2350" s="22" t="s">
        <v>3556</v>
      </c>
      <c r="C2350" s="18" t="s">
        <v>3567</v>
      </c>
      <c r="D2350" s="19" t="s">
        <v>3563</v>
      </c>
      <c r="E2350" s="9" t="s">
        <v>3559</v>
      </c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</row>
    <row r="2351">
      <c r="A2351" s="16" t="s">
        <v>3555</v>
      </c>
      <c r="B2351" s="22" t="s">
        <v>3556</v>
      </c>
      <c r="C2351" s="18" t="s">
        <v>3560</v>
      </c>
      <c r="D2351" s="19" t="s">
        <v>3568</v>
      </c>
      <c r="E2351" s="9" t="s">
        <v>3559</v>
      </c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</row>
    <row r="2352">
      <c r="A2352" s="16" t="s">
        <v>3555</v>
      </c>
      <c r="B2352" s="22" t="s">
        <v>3556</v>
      </c>
      <c r="C2352" s="18" t="s">
        <v>3561</v>
      </c>
      <c r="D2352" s="19" t="s">
        <v>3568</v>
      </c>
      <c r="E2352" s="9" t="s">
        <v>3559</v>
      </c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</row>
    <row r="2353">
      <c r="A2353" s="16" t="s">
        <v>3555</v>
      </c>
      <c r="B2353" s="22" t="s">
        <v>3556</v>
      </c>
      <c r="C2353" s="18" t="s">
        <v>3564</v>
      </c>
      <c r="D2353" s="19" t="s">
        <v>3569</v>
      </c>
      <c r="E2353" s="9" t="s">
        <v>3559</v>
      </c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</row>
    <row r="2354">
      <c r="A2354" s="16" t="s">
        <v>3555</v>
      </c>
      <c r="B2354" s="22" t="s">
        <v>3570</v>
      </c>
      <c r="C2354" s="18" t="s">
        <v>3571</v>
      </c>
      <c r="D2354" s="19" t="s">
        <v>3572</v>
      </c>
      <c r="E2354" s="9" t="s">
        <v>196</v>
      </c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</row>
    <row r="2355">
      <c r="A2355" s="16" t="s">
        <v>3555</v>
      </c>
      <c r="B2355" s="22" t="s">
        <v>3570</v>
      </c>
      <c r="C2355" s="18" t="s">
        <v>3573</v>
      </c>
      <c r="D2355" s="19" t="s">
        <v>3574</v>
      </c>
      <c r="E2355" s="9" t="s">
        <v>196</v>
      </c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</row>
    <row r="2356">
      <c r="A2356" s="16" t="s">
        <v>3555</v>
      </c>
      <c r="B2356" s="22" t="s">
        <v>3570</v>
      </c>
      <c r="C2356" s="18" t="s">
        <v>3575</v>
      </c>
      <c r="D2356" s="19" t="s">
        <v>3574</v>
      </c>
      <c r="E2356" s="9" t="s">
        <v>196</v>
      </c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</row>
    <row r="2357">
      <c r="A2357" s="18"/>
      <c r="B2357" s="22"/>
      <c r="C2357" s="18"/>
      <c r="D2357" s="19"/>
      <c r="E2357" s="49"/>
      <c r="G2357" s="29"/>
      <c r="H2357" s="29"/>
      <c r="I2357" s="29"/>
      <c r="J2357" s="29"/>
      <c r="K2357" s="29"/>
      <c r="L2357" s="29"/>
      <c r="M2357" s="29"/>
      <c r="N2357" s="29"/>
      <c r="O2357" s="29"/>
      <c r="P2357" s="29"/>
      <c r="Q2357" s="29"/>
      <c r="R2357" s="29"/>
      <c r="S2357" s="29"/>
      <c r="T2357" s="29"/>
      <c r="U2357" s="29"/>
      <c r="V2357" s="29"/>
      <c r="W2357" s="29"/>
      <c r="X2357" s="29"/>
      <c r="Y2357" s="29"/>
      <c r="Z2357" s="29"/>
      <c r="AA2357" s="29"/>
      <c r="AB2357" s="29"/>
      <c r="AC2357" s="29"/>
      <c r="AD2357" s="29"/>
    </row>
    <row r="2358">
      <c r="A2358" s="115" t="s">
        <v>3576</v>
      </c>
      <c r="B2358" s="63" t="s">
        <v>3577</v>
      </c>
      <c r="C2358" s="68" t="s">
        <v>3578</v>
      </c>
      <c r="D2358" s="63" t="s">
        <v>3579</v>
      </c>
      <c r="E2358" s="132" t="s">
        <v>37</v>
      </c>
      <c r="H2358" s="29"/>
      <c r="I2358" s="29"/>
      <c r="J2358" s="29"/>
      <c r="K2358" s="29"/>
      <c r="L2358" s="29"/>
      <c r="M2358" s="29"/>
      <c r="N2358" s="29"/>
      <c r="O2358" s="29"/>
      <c r="P2358" s="29"/>
      <c r="Q2358" s="29"/>
      <c r="R2358" s="29"/>
      <c r="S2358" s="29"/>
      <c r="T2358" s="29"/>
      <c r="U2358" s="29"/>
      <c r="V2358" s="29"/>
      <c r="W2358" s="29"/>
      <c r="X2358" s="29"/>
      <c r="Y2358" s="29"/>
      <c r="Z2358" s="29"/>
      <c r="AA2358" s="29"/>
      <c r="AB2358" s="29"/>
      <c r="AC2358" s="29"/>
      <c r="AD2358" s="29"/>
    </row>
    <row r="2359">
      <c r="A2359" s="168" t="s">
        <v>3576</v>
      </c>
      <c r="B2359" s="27" t="s">
        <v>3580</v>
      </c>
      <c r="C2359" s="169" t="s">
        <v>3581</v>
      </c>
      <c r="D2359" s="27" t="s">
        <v>3582</v>
      </c>
      <c r="E2359" s="13" t="s">
        <v>1201</v>
      </c>
      <c r="H2359" s="29"/>
      <c r="I2359" s="29"/>
      <c r="J2359" s="29"/>
      <c r="K2359" s="29"/>
      <c r="L2359" s="29"/>
      <c r="M2359" s="29"/>
      <c r="N2359" s="29"/>
      <c r="O2359" s="29"/>
      <c r="P2359" s="29"/>
      <c r="Q2359" s="29"/>
      <c r="R2359" s="29"/>
      <c r="S2359" s="29"/>
      <c r="T2359" s="29"/>
      <c r="U2359" s="29"/>
      <c r="V2359" s="29"/>
      <c r="W2359" s="29"/>
      <c r="X2359" s="29"/>
      <c r="Y2359" s="29"/>
      <c r="Z2359" s="29"/>
      <c r="AA2359" s="29"/>
      <c r="AB2359" s="29"/>
      <c r="AC2359" s="29"/>
      <c r="AD2359" s="29"/>
    </row>
    <row r="2360">
      <c r="A2360" s="115"/>
      <c r="B2360" s="22"/>
      <c r="C2360" s="68"/>
      <c r="D2360" s="63"/>
      <c r="E2360" s="9"/>
      <c r="H2360" s="29"/>
      <c r="I2360" s="29"/>
      <c r="J2360" s="29"/>
      <c r="K2360" s="29"/>
      <c r="L2360" s="29"/>
      <c r="M2360" s="29"/>
      <c r="N2360" s="29"/>
      <c r="O2360" s="29"/>
      <c r="P2360" s="29"/>
      <c r="Q2360" s="29"/>
      <c r="R2360" s="29"/>
      <c r="S2360" s="29"/>
      <c r="T2360" s="29"/>
      <c r="U2360" s="29"/>
      <c r="V2360" s="29"/>
      <c r="W2360" s="29"/>
      <c r="X2360" s="29"/>
      <c r="Y2360" s="29"/>
      <c r="Z2360" s="29"/>
      <c r="AA2360" s="29"/>
      <c r="AB2360" s="29"/>
      <c r="AC2360" s="29"/>
      <c r="AD2360" s="29"/>
    </row>
    <row r="2361">
      <c r="A2361" s="115" t="s">
        <v>3583</v>
      </c>
      <c r="B2361" s="63" t="s">
        <v>3374</v>
      </c>
      <c r="C2361" s="72" t="s">
        <v>3080</v>
      </c>
      <c r="D2361" s="63" t="s">
        <v>3584</v>
      </c>
      <c r="E2361" s="9" t="s">
        <v>3559</v>
      </c>
      <c r="F2361" s="29"/>
      <c r="I2361" s="29"/>
      <c r="J2361" s="29"/>
      <c r="K2361" s="29"/>
      <c r="L2361" s="29"/>
      <c r="M2361" s="29"/>
      <c r="N2361" s="29"/>
      <c r="O2361" s="29"/>
      <c r="P2361" s="29"/>
      <c r="Q2361" s="29"/>
      <c r="R2361" s="29"/>
      <c r="S2361" s="29"/>
      <c r="T2361" s="29"/>
      <c r="U2361" s="29"/>
      <c r="V2361" s="29"/>
      <c r="W2361" s="29"/>
      <c r="X2361" s="29"/>
      <c r="Y2361" s="29"/>
      <c r="Z2361" s="29"/>
      <c r="AA2361" s="29"/>
      <c r="AB2361" s="29"/>
      <c r="AC2361" s="29"/>
      <c r="AD2361" s="29"/>
    </row>
    <row r="2362">
      <c r="A2362" s="115" t="s">
        <v>3583</v>
      </c>
      <c r="B2362" s="63" t="s">
        <v>3585</v>
      </c>
      <c r="C2362" s="124" t="s">
        <v>3586</v>
      </c>
      <c r="D2362" s="63" t="s">
        <v>3587</v>
      </c>
      <c r="E2362" s="9" t="s">
        <v>3559</v>
      </c>
      <c r="F2362" s="29"/>
      <c r="I2362" s="29"/>
      <c r="J2362" s="29"/>
      <c r="K2362" s="29"/>
      <c r="L2362" s="29"/>
      <c r="M2362" s="29"/>
      <c r="N2362" s="29"/>
      <c r="O2362" s="29"/>
      <c r="P2362" s="29"/>
      <c r="Q2362" s="29"/>
      <c r="R2362" s="29"/>
      <c r="S2362" s="29"/>
      <c r="T2362" s="29"/>
      <c r="U2362" s="29"/>
      <c r="V2362" s="29"/>
      <c r="W2362" s="29"/>
      <c r="X2362" s="29"/>
      <c r="Y2362" s="29"/>
      <c r="Z2362" s="29"/>
      <c r="AA2362" s="29"/>
      <c r="AB2362" s="29"/>
      <c r="AC2362" s="29"/>
      <c r="AD2362" s="29"/>
    </row>
    <row r="2363">
      <c r="A2363" s="115" t="s">
        <v>3583</v>
      </c>
      <c r="B2363" s="63" t="s">
        <v>3585</v>
      </c>
      <c r="C2363" s="72" t="s">
        <v>3588</v>
      </c>
      <c r="D2363" s="63" t="s">
        <v>3587</v>
      </c>
      <c r="E2363" s="9" t="s">
        <v>3559</v>
      </c>
      <c r="F2363" s="29"/>
      <c r="I2363" s="29"/>
      <c r="J2363" s="29"/>
      <c r="K2363" s="29"/>
      <c r="L2363" s="29"/>
      <c r="M2363" s="29"/>
      <c r="N2363" s="29"/>
      <c r="O2363" s="29"/>
      <c r="P2363" s="29"/>
      <c r="Q2363" s="29"/>
      <c r="R2363" s="29"/>
      <c r="S2363" s="29"/>
      <c r="T2363" s="29"/>
      <c r="U2363" s="29"/>
      <c r="V2363" s="29"/>
      <c r="W2363" s="29"/>
      <c r="X2363" s="29"/>
      <c r="Y2363" s="29"/>
      <c r="Z2363" s="29"/>
      <c r="AA2363" s="29"/>
      <c r="AB2363" s="29"/>
      <c r="AC2363" s="29"/>
      <c r="AD2363" s="29"/>
    </row>
    <row r="2364">
      <c r="A2364" s="115" t="s">
        <v>3583</v>
      </c>
      <c r="B2364" s="63" t="s">
        <v>3589</v>
      </c>
      <c r="C2364" s="72" t="s">
        <v>3590</v>
      </c>
      <c r="D2364" s="63" t="s">
        <v>3591</v>
      </c>
      <c r="E2364" s="9" t="s">
        <v>3559</v>
      </c>
      <c r="F2364" s="29"/>
      <c r="I2364" s="29"/>
      <c r="J2364" s="29"/>
      <c r="K2364" s="29"/>
      <c r="L2364" s="29"/>
      <c r="M2364" s="29"/>
      <c r="N2364" s="29"/>
      <c r="O2364" s="29"/>
      <c r="P2364" s="29"/>
      <c r="Q2364" s="29"/>
      <c r="R2364" s="29"/>
      <c r="S2364" s="29"/>
      <c r="T2364" s="29"/>
      <c r="U2364" s="29"/>
      <c r="V2364" s="29"/>
      <c r="W2364" s="29"/>
      <c r="X2364" s="29"/>
      <c r="Y2364" s="29"/>
      <c r="Z2364" s="29"/>
      <c r="AA2364" s="29"/>
      <c r="AB2364" s="29"/>
      <c r="AC2364" s="29"/>
      <c r="AD2364" s="29"/>
    </row>
    <row r="2365">
      <c r="A2365" s="115" t="s">
        <v>3583</v>
      </c>
      <c r="B2365" s="63" t="s">
        <v>3589</v>
      </c>
      <c r="C2365" s="72" t="s">
        <v>3592</v>
      </c>
      <c r="D2365" s="63" t="s">
        <v>3593</v>
      </c>
      <c r="E2365" s="13" t="s">
        <v>1201</v>
      </c>
      <c r="F2365" s="29"/>
      <c r="I2365" s="29"/>
      <c r="J2365" s="29"/>
      <c r="K2365" s="29"/>
      <c r="L2365" s="29"/>
      <c r="M2365" s="29"/>
      <c r="N2365" s="29"/>
      <c r="O2365" s="29"/>
      <c r="P2365" s="29"/>
      <c r="Q2365" s="29"/>
      <c r="R2365" s="29"/>
      <c r="S2365" s="29"/>
      <c r="T2365" s="29"/>
      <c r="U2365" s="29"/>
      <c r="V2365" s="29"/>
      <c r="W2365" s="29"/>
      <c r="X2365" s="29"/>
      <c r="Y2365" s="29"/>
      <c r="Z2365" s="29"/>
      <c r="AA2365" s="29"/>
      <c r="AB2365" s="29"/>
      <c r="AC2365" s="29"/>
      <c r="AD2365" s="29"/>
    </row>
    <row r="2366">
      <c r="A2366" s="115" t="s">
        <v>3583</v>
      </c>
      <c r="B2366" s="63" t="s">
        <v>3580</v>
      </c>
      <c r="C2366" s="72" t="s">
        <v>3533</v>
      </c>
      <c r="D2366" s="63" t="s">
        <v>3594</v>
      </c>
      <c r="E2366" s="9" t="s">
        <v>3559</v>
      </c>
      <c r="F2366" s="29"/>
      <c r="I2366" s="29"/>
      <c r="J2366" s="29"/>
      <c r="K2366" s="29"/>
      <c r="L2366" s="29"/>
      <c r="M2366" s="29"/>
      <c r="N2366" s="29"/>
      <c r="O2366" s="29"/>
      <c r="P2366" s="29"/>
      <c r="Q2366" s="29"/>
      <c r="R2366" s="29"/>
      <c r="S2366" s="29"/>
      <c r="T2366" s="29"/>
      <c r="U2366" s="29"/>
      <c r="V2366" s="29"/>
      <c r="W2366" s="29"/>
      <c r="X2366" s="29"/>
      <c r="Y2366" s="29"/>
      <c r="Z2366" s="29"/>
      <c r="AA2366" s="29"/>
      <c r="AB2366" s="29"/>
      <c r="AC2366" s="29"/>
      <c r="AD2366" s="29"/>
    </row>
    <row r="2367">
      <c r="A2367" s="115" t="s">
        <v>3583</v>
      </c>
      <c r="B2367" s="63" t="s">
        <v>3595</v>
      </c>
      <c r="C2367" s="72" t="s">
        <v>3596</v>
      </c>
      <c r="D2367" s="63" t="s">
        <v>3597</v>
      </c>
      <c r="E2367" s="9" t="s">
        <v>3559</v>
      </c>
      <c r="F2367" s="29"/>
      <c r="I2367" s="29"/>
      <c r="J2367" s="29"/>
      <c r="K2367" s="29"/>
      <c r="L2367" s="29"/>
      <c r="M2367" s="29"/>
      <c r="N2367" s="29"/>
      <c r="O2367" s="29"/>
      <c r="P2367" s="29"/>
      <c r="Q2367" s="29"/>
      <c r="R2367" s="29"/>
      <c r="S2367" s="29"/>
      <c r="T2367" s="29"/>
      <c r="U2367" s="29"/>
      <c r="V2367" s="29"/>
      <c r="W2367" s="29"/>
      <c r="X2367" s="29"/>
      <c r="Y2367" s="29"/>
      <c r="Z2367" s="29"/>
      <c r="AA2367" s="29"/>
      <c r="AB2367" s="29"/>
      <c r="AC2367" s="29"/>
      <c r="AD2367" s="29"/>
    </row>
    <row r="2368">
      <c r="A2368" s="115"/>
      <c r="B2368" s="22"/>
      <c r="C2368" s="9"/>
      <c r="F2368" s="29"/>
      <c r="I2368" s="29"/>
      <c r="J2368" s="29"/>
      <c r="K2368" s="29"/>
      <c r="L2368" s="29"/>
      <c r="M2368" s="29"/>
      <c r="N2368" s="29"/>
      <c r="O2368" s="29"/>
      <c r="P2368" s="29"/>
      <c r="Q2368" s="29"/>
      <c r="R2368" s="29"/>
      <c r="S2368" s="29"/>
      <c r="T2368" s="29"/>
      <c r="U2368" s="29"/>
      <c r="V2368" s="29"/>
      <c r="W2368" s="29"/>
      <c r="X2368" s="29"/>
      <c r="Y2368" s="29"/>
      <c r="Z2368" s="29"/>
      <c r="AA2368" s="29"/>
      <c r="AB2368" s="29"/>
      <c r="AC2368" s="29"/>
      <c r="AD2368" s="29"/>
    </row>
    <row r="2369">
      <c r="A2369" s="115" t="s">
        <v>3598</v>
      </c>
      <c r="B2369" s="63" t="s">
        <v>3599</v>
      </c>
      <c r="C2369" s="72" t="s">
        <v>3522</v>
      </c>
      <c r="D2369" s="63" t="s">
        <v>3600</v>
      </c>
      <c r="E2369" s="132" t="s">
        <v>3601</v>
      </c>
      <c r="H2369" s="29"/>
      <c r="I2369" s="29"/>
      <c r="J2369" s="29"/>
      <c r="K2369" s="29"/>
      <c r="L2369" s="29"/>
      <c r="M2369" s="29"/>
      <c r="N2369" s="29"/>
      <c r="O2369" s="29"/>
      <c r="P2369" s="29"/>
      <c r="Q2369" s="29"/>
      <c r="R2369" s="29"/>
      <c r="S2369" s="29"/>
      <c r="T2369" s="29"/>
      <c r="U2369" s="29"/>
      <c r="V2369" s="29"/>
      <c r="W2369" s="29"/>
      <c r="X2369" s="29"/>
      <c r="Y2369" s="29"/>
      <c r="Z2369" s="29"/>
      <c r="AA2369" s="29"/>
      <c r="AB2369" s="29"/>
      <c r="AC2369" s="29"/>
      <c r="AD2369" s="29"/>
    </row>
    <row r="2370">
      <c r="A2370" s="115" t="s">
        <v>3598</v>
      </c>
      <c r="B2370" s="63" t="s">
        <v>3599</v>
      </c>
      <c r="C2370" s="72" t="s">
        <v>3522</v>
      </c>
      <c r="D2370" s="63" t="s">
        <v>3602</v>
      </c>
      <c r="E2370" s="132" t="s">
        <v>125</v>
      </c>
      <c r="H2370" s="29"/>
      <c r="I2370" s="29"/>
      <c r="J2370" s="29"/>
      <c r="K2370" s="29"/>
      <c r="L2370" s="29"/>
      <c r="M2370" s="29"/>
      <c r="N2370" s="29"/>
      <c r="O2370" s="29"/>
      <c r="P2370" s="29"/>
      <c r="Q2370" s="29"/>
      <c r="R2370" s="29"/>
      <c r="S2370" s="29"/>
      <c r="T2370" s="29"/>
      <c r="U2370" s="29"/>
      <c r="V2370" s="29"/>
      <c r="W2370" s="29"/>
      <c r="X2370" s="29"/>
      <c r="Y2370" s="29"/>
      <c r="Z2370" s="29"/>
      <c r="AA2370" s="29"/>
      <c r="AB2370" s="29"/>
      <c r="AC2370" s="29"/>
      <c r="AD2370" s="29"/>
    </row>
    <row r="2371">
      <c r="A2371" s="115" t="s">
        <v>3598</v>
      </c>
      <c r="B2371" s="63" t="s">
        <v>3580</v>
      </c>
      <c r="C2371" s="72" t="s">
        <v>3603</v>
      </c>
      <c r="D2371" s="63" t="s">
        <v>3604</v>
      </c>
      <c r="E2371" s="132" t="s">
        <v>125</v>
      </c>
      <c r="H2371" s="29"/>
      <c r="I2371" s="29"/>
      <c r="J2371" s="29"/>
      <c r="K2371" s="29"/>
      <c r="L2371" s="29"/>
      <c r="M2371" s="29"/>
      <c r="N2371" s="29"/>
      <c r="O2371" s="29"/>
      <c r="P2371" s="29"/>
      <c r="Q2371" s="29"/>
      <c r="R2371" s="29"/>
      <c r="S2371" s="29"/>
      <c r="T2371" s="29"/>
      <c r="U2371" s="29"/>
      <c r="V2371" s="29"/>
      <c r="W2371" s="29"/>
      <c r="X2371" s="29"/>
      <c r="Y2371" s="29"/>
      <c r="Z2371" s="29"/>
      <c r="AA2371" s="29"/>
      <c r="AB2371" s="29"/>
      <c r="AC2371" s="29"/>
      <c r="AD2371" s="29"/>
    </row>
    <row r="2372">
      <c r="A2372" s="115"/>
      <c r="B2372" s="22"/>
      <c r="C2372" s="68"/>
      <c r="D2372" s="63"/>
      <c r="E2372" s="9"/>
      <c r="H2372" s="29"/>
      <c r="I2372" s="29"/>
      <c r="J2372" s="29"/>
      <c r="K2372" s="29"/>
      <c r="L2372" s="29"/>
      <c r="M2372" s="29"/>
      <c r="N2372" s="29"/>
      <c r="O2372" s="29"/>
      <c r="P2372" s="29"/>
      <c r="Q2372" s="29"/>
      <c r="R2372" s="29"/>
      <c r="S2372" s="29"/>
      <c r="T2372" s="29"/>
      <c r="U2372" s="29"/>
      <c r="V2372" s="29"/>
      <c r="W2372" s="29"/>
      <c r="X2372" s="29"/>
      <c r="Y2372" s="29"/>
      <c r="Z2372" s="29"/>
      <c r="AA2372" s="29"/>
      <c r="AB2372" s="29"/>
      <c r="AC2372" s="29"/>
      <c r="AD2372" s="29"/>
    </row>
    <row r="2373">
      <c r="A2373" s="16" t="s">
        <v>3605</v>
      </c>
      <c r="B2373" s="63" t="s">
        <v>3599</v>
      </c>
      <c r="C2373" s="72" t="s">
        <v>3522</v>
      </c>
      <c r="D2373" s="63" t="s">
        <v>3606</v>
      </c>
      <c r="E2373" s="132" t="s">
        <v>3607</v>
      </c>
      <c r="H2373" s="29"/>
      <c r="I2373" s="29"/>
      <c r="J2373" s="29"/>
      <c r="K2373" s="29"/>
      <c r="L2373" s="29"/>
      <c r="M2373" s="29"/>
      <c r="N2373" s="29"/>
      <c r="O2373" s="29"/>
      <c r="P2373" s="29"/>
      <c r="Q2373" s="29"/>
      <c r="R2373" s="29"/>
      <c r="S2373" s="29"/>
      <c r="T2373" s="29"/>
      <c r="U2373" s="29"/>
      <c r="V2373" s="29"/>
      <c r="W2373" s="29"/>
      <c r="X2373" s="29"/>
      <c r="Y2373" s="29"/>
      <c r="Z2373" s="29"/>
      <c r="AA2373" s="29"/>
      <c r="AB2373" s="29"/>
      <c r="AC2373" s="29"/>
      <c r="AD2373" s="29"/>
    </row>
    <row r="2374">
      <c r="A2374" s="16" t="s">
        <v>3605</v>
      </c>
      <c r="B2374" s="63" t="s">
        <v>3374</v>
      </c>
      <c r="C2374" s="72" t="s">
        <v>3608</v>
      </c>
      <c r="D2374" s="63" t="s">
        <v>3609</v>
      </c>
      <c r="E2374" s="132" t="s">
        <v>3610</v>
      </c>
      <c r="H2374" s="29"/>
      <c r="I2374" s="29"/>
      <c r="J2374" s="29"/>
      <c r="K2374" s="29"/>
      <c r="L2374" s="29"/>
      <c r="M2374" s="29"/>
      <c r="N2374" s="29"/>
      <c r="O2374" s="29"/>
      <c r="P2374" s="29"/>
      <c r="Q2374" s="29"/>
      <c r="R2374" s="29"/>
      <c r="S2374" s="29"/>
      <c r="T2374" s="29"/>
      <c r="U2374" s="29"/>
      <c r="V2374" s="29"/>
      <c r="W2374" s="29"/>
      <c r="X2374" s="29"/>
      <c r="Y2374" s="29"/>
      <c r="Z2374" s="29"/>
      <c r="AA2374" s="29"/>
      <c r="AB2374" s="29"/>
      <c r="AC2374" s="29"/>
      <c r="AD2374" s="29"/>
    </row>
    <row r="2375">
      <c r="A2375" s="16" t="s">
        <v>3605</v>
      </c>
      <c r="B2375" s="63" t="s">
        <v>3374</v>
      </c>
      <c r="C2375" s="72" t="s">
        <v>3611</v>
      </c>
      <c r="D2375" s="63" t="s">
        <v>3612</v>
      </c>
      <c r="E2375" s="132" t="s">
        <v>3610</v>
      </c>
      <c r="H2375" s="29"/>
      <c r="I2375" s="29"/>
      <c r="J2375" s="29"/>
      <c r="K2375" s="29"/>
      <c r="L2375" s="29"/>
      <c r="M2375" s="29"/>
      <c r="N2375" s="29"/>
      <c r="O2375" s="29"/>
      <c r="P2375" s="29"/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  <c r="AA2375" s="29"/>
      <c r="AB2375" s="29"/>
      <c r="AC2375" s="29"/>
      <c r="AD2375" s="29"/>
    </row>
    <row r="2376">
      <c r="A2376" s="16" t="s">
        <v>3605</v>
      </c>
      <c r="B2376" s="63" t="s">
        <v>3613</v>
      </c>
      <c r="C2376" s="72" t="s">
        <v>3614</v>
      </c>
      <c r="D2376" s="63" t="s">
        <v>3615</v>
      </c>
      <c r="E2376" s="132" t="s">
        <v>37</v>
      </c>
      <c r="H2376" s="29"/>
      <c r="I2376" s="29"/>
      <c r="J2376" s="29"/>
      <c r="K2376" s="29"/>
      <c r="L2376" s="29"/>
      <c r="M2376" s="29"/>
      <c r="N2376" s="29"/>
      <c r="O2376" s="29"/>
      <c r="P2376" s="29"/>
      <c r="Q2376" s="29"/>
      <c r="R2376" s="29"/>
      <c r="S2376" s="29"/>
      <c r="T2376" s="29"/>
      <c r="U2376" s="29"/>
      <c r="V2376" s="29"/>
      <c r="W2376" s="29"/>
      <c r="X2376" s="29"/>
      <c r="Y2376" s="29"/>
      <c r="Z2376" s="29"/>
      <c r="AA2376" s="29"/>
      <c r="AB2376" s="29"/>
      <c r="AC2376" s="29"/>
      <c r="AD2376" s="29"/>
    </row>
    <row r="2377">
      <c r="A2377" s="150"/>
      <c r="B2377" s="9"/>
      <c r="C2377" s="9"/>
      <c r="D2377" s="9"/>
      <c r="E2377" s="9"/>
      <c r="H2377" s="29"/>
      <c r="I2377" s="29"/>
      <c r="J2377" s="29"/>
      <c r="K2377" s="29"/>
      <c r="L2377" s="29"/>
      <c r="M2377" s="29"/>
      <c r="N2377" s="29"/>
      <c r="O2377" s="29"/>
      <c r="P2377" s="29"/>
      <c r="Q2377" s="29"/>
      <c r="R2377" s="29"/>
      <c r="S2377" s="29"/>
      <c r="T2377" s="29"/>
      <c r="U2377" s="29"/>
      <c r="V2377" s="29"/>
      <c r="W2377" s="29"/>
      <c r="X2377" s="29"/>
      <c r="Y2377" s="29"/>
      <c r="Z2377" s="29"/>
      <c r="AA2377" s="29"/>
      <c r="AB2377" s="29"/>
      <c r="AC2377" s="29"/>
      <c r="AD2377" s="29"/>
    </row>
    <row r="2378">
      <c r="A2378" s="16" t="s">
        <v>3616</v>
      </c>
      <c r="B2378" s="63" t="s">
        <v>3599</v>
      </c>
      <c r="C2378" s="72" t="s">
        <v>1171</v>
      </c>
      <c r="D2378" s="63" t="s">
        <v>3617</v>
      </c>
      <c r="E2378" s="132" t="s">
        <v>807</v>
      </c>
      <c r="H2378" s="29"/>
      <c r="I2378" s="29"/>
      <c r="J2378" s="29"/>
      <c r="K2378" s="29"/>
      <c r="L2378" s="29"/>
      <c r="M2378" s="29"/>
      <c r="N2378" s="29"/>
      <c r="O2378" s="29"/>
      <c r="P2378" s="29"/>
      <c r="Q2378" s="29"/>
      <c r="R2378" s="29"/>
      <c r="S2378" s="29"/>
      <c r="T2378" s="29"/>
      <c r="U2378" s="29"/>
      <c r="V2378" s="29"/>
      <c r="W2378" s="29"/>
      <c r="X2378" s="29"/>
      <c r="Y2378" s="29"/>
      <c r="Z2378" s="29"/>
      <c r="AA2378" s="29"/>
      <c r="AB2378" s="29"/>
      <c r="AC2378" s="29"/>
      <c r="AD2378" s="29"/>
    </row>
    <row r="2379">
      <c r="A2379" s="16" t="s">
        <v>3616</v>
      </c>
      <c r="B2379" s="63" t="s">
        <v>3613</v>
      </c>
      <c r="C2379" s="72" t="s">
        <v>3618</v>
      </c>
      <c r="D2379" s="63" t="s">
        <v>3619</v>
      </c>
      <c r="E2379" s="63" t="s">
        <v>3620</v>
      </c>
      <c r="H2379" s="29"/>
      <c r="I2379" s="29"/>
      <c r="J2379" s="29"/>
      <c r="K2379" s="29"/>
      <c r="L2379" s="29"/>
      <c r="M2379" s="29"/>
      <c r="N2379" s="29"/>
      <c r="O2379" s="29"/>
      <c r="P2379" s="29"/>
      <c r="Q2379" s="29"/>
      <c r="R2379" s="29"/>
      <c r="S2379" s="29"/>
      <c r="T2379" s="29"/>
      <c r="U2379" s="29"/>
      <c r="V2379" s="29"/>
      <c r="W2379" s="29"/>
      <c r="X2379" s="29"/>
      <c r="Y2379" s="29"/>
      <c r="Z2379" s="29"/>
      <c r="AA2379" s="29"/>
      <c r="AB2379" s="29"/>
      <c r="AC2379" s="29"/>
      <c r="AD2379" s="29"/>
    </row>
    <row r="2380">
      <c r="A2380" s="16" t="s">
        <v>3616</v>
      </c>
      <c r="B2380" s="63" t="s">
        <v>3613</v>
      </c>
      <c r="C2380" s="72" t="s">
        <v>3618</v>
      </c>
      <c r="D2380" s="63" t="s">
        <v>3621</v>
      </c>
      <c r="E2380" s="132" t="s">
        <v>3622</v>
      </c>
      <c r="H2380" s="29"/>
      <c r="I2380" s="29"/>
      <c r="J2380" s="29"/>
      <c r="K2380" s="29"/>
      <c r="L2380" s="29"/>
      <c r="M2380" s="29"/>
      <c r="N2380" s="29"/>
      <c r="O2380" s="29"/>
      <c r="P2380" s="29"/>
      <c r="Q2380" s="29"/>
      <c r="R2380" s="29"/>
      <c r="S2380" s="29"/>
      <c r="T2380" s="29"/>
      <c r="U2380" s="29"/>
      <c r="V2380" s="29"/>
      <c r="W2380" s="29"/>
      <c r="X2380" s="29"/>
      <c r="Y2380" s="29"/>
      <c r="Z2380" s="29"/>
      <c r="AA2380" s="29"/>
      <c r="AB2380" s="29"/>
      <c r="AC2380" s="29"/>
      <c r="AD2380" s="29"/>
    </row>
    <row r="2381">
      <c r="A2381" s="16" t="s">
        <v>3616</v>
      </c>
      <c r="B2381" s="63" t="s">
        <v>3623</v>
      </c>
      <c r="C2381" s="72" t="s">
        <v>1350</v>
      </c>
      <c r="D2381" s="63" t="s">
        <v>3624</v>
      </c>
      <c r="E2381" s="132" t="s">
        <v>3622</v>
      </c>
      <c r="H2381" s="29"/>
      <c r="I2381" s="29"/>
      <c r="J2381" s="29"/>
      <c r="K2381" s="29"/>
      <c r="L2381" s="29"/>
      <c r="M2381" s="29"/>
      <c r="N2381" s="29"/>
      <c r="O2381" s="29"/>
      <c r="P2381" s="29"/>
      <c r="Q2381" s="29"/>
      <c r="R2381" s="29"/>
      <c r="S2381" s="29"/>
      <c r="T2381" s="29"/>
      <c r="U2381" s="29"/>
      <c r="V2381" s="29"/>
      <c r="W2381" s="29"/>
      <c r="X2381" s="29"/>
      <c r="Y2381" s="29"/>
      <c r="Z2381" s="29"/>
      <c r="AA2381" s="29"/>
      <c r="AB2381" s="29"/>
      <c r="AC2381" s="29"/>
      <c r="AD2381" s="29"/>
    </row>
    <row r="2382">
      <c r="A2382" s="16" t="s">
        <v>3616</v>
      </c>
      <c r="B2382" s="63" t="s">
        <v>3623</v>
      </c>
      <c r="C2382" s="72" t="s">
        <v>3625</v>
      </c>
      <c r="D2382" s="63" t="s">
        <v>3624</v>
      </c>
      <c r="E2382" s="9"/>
      <c r="H2382" s="29"/>
      <c r="I2382" s="29"/>
      <c r="J2382" s="29"/>
      <c r="K2382" s="29"/>
      <c r="L2382" s="29"/>
      <c r="M2382" s="29"/>
      <c r="N2382" s="29"/>
      <c r="O2382" s="29"/>
      <c r="P2382" s="29"/>
      <c r="Q2382" s="29"/>
      <c r="R2382" s="29"/>
      <c r="S2382" s="29"/>
      <c r="T2382" s="29"/>
      <c r="U2382" s="29"/>
      <c r="V2382" s="29"/>
      <c r="W2382" s="29"/>
      <c r="X2382" s="29"/>
      <c r="Y2382" s="29"/>
      <c r="Z2382" s="29"/>
      <c r="AA2382" s="29"/>
      <c r="AB2382" s="29"/>
      <c r="AC2382" s="29"/>
      <c r="AD2382" s="29"/>
    </row>
    <row r="2383">
      <c r="A2383" s="16" t="s">
        <v>3616</v>
      </c>
      <c r="B2383" s="63" t="s">
        <v>3623</v>
      </c>
      <c r="C2383" s="72" t="s">
        <v>3626</v>
      </c>
      <c r="D2383" s="63" t="s">
        <v>3624</v>
      </c>
      <c r="E2383" s="9"/>
      <c r="H2383" s="29"/>
      <c r="I2383" s="29"/>
      <c r="J2383" s="29"/>
      <c r="K2383" s="29"/>
      <c r="L2383" s="29"/>
      <c r="M2383" s="29"/>
      <c r="N2383" s="29"/>
      <c r="O2383" s="29"/>
      <c r="P2383" s="29"/>
      <c r="Q2383" s="29"/>
      <c r="R2383" s="29"/>
      <c r="S2383" s="29"/>
      <c r="T2383" s="29"/>
      <c r="U2383" s="29"/>
      <c r="V2383" s="29"/>
      <c r="W2383" s="29"/>
      <c r="X2383" s="29"/>
      <c r="Y2383" s="29"/>
      <c r="Z2383" s="29"/>
      <c r="AA2383" s="29"/>
      <c r="AB2383" s="29"/>
      <c r="AC2383" s="29"/>
      <c r="AD2383" s="29"/>
    </row>
    <row r="2384">
      <c r="A2384" s="115"/>
      <c r="B2384" s="22"/>
      <c r="C2384" s="68"/>
      <c r="D2384" s="63"/>
      <c r="E2384" s="9"/>
      <c r="H2384" s="29"/>
      <c r="I2384" s="29"/>
      <c r="J2384" s="29"/>
      <c r="K2384" s="29"/>
      <c r="L2384" s="29"/>
      <c r="M2384" s="29"/>
      <c r="N2384" s="29"/>
      <c r="O2384" s="29"/>
      <c r="P2384" s="29"/>
      <c r="Q2384" s="29"/>
      <c r="R2384" s="29"/>
      <c r="S2384" s="29"/>
      <c r="T2384" s="29"/>
      <c r="U2384" s="29"/>
      <c r="V2384" s="29"/>
      <c r="W2384" s="29"/>
      <c r="X2384" s="29"/>
      <c r="Y2384" s="29"/>
      <c r="Z2384" s="29"/>
      <c r="AA2384" s="29"/>
      <c r="AB2384" s="29"/>
      <c r="AC2384" s="29"/>
      <c r="AD2384" s="29"/>
    </row>
    <row r="2385">
      <c r="A2385" s="16" t="s">
        <v>3627</v>
      </c>
      <c r="B2385" s="63" t="s">
        <v>3580</v>
      </c>
      <c r="C2385" s="72" t="s">
        <v>3533</v>
      </c>
      <c r="D2385" s="63" t="s">
        <v>3628</v>
      </c>
      <c r="E2385" s="132" t="s">
        <v>3629</v>
      </c>
      <c r="H2385" s="29"/>
      <c r="I2385" s="29"/>
      <c r="J2385" s="29"/>
      <c r="K2385" s="29"/>
      <c r="L2385" s="29"/>
      <c r="M2385" s="29"/>
      <c r="N2385" s="29"/>
      <c r="O2385" s="29"/>
      <c r="P2385" s="29"/>
      <c r="Q2385" s="29"/>
      <c r="R2385" s="29"/>
      <c r="S2385" s="29"/>
      <c r="T2385" s="29"/>
      <c r="U2385" s="29"/>
      <c r="V2385" s="29"/>
      <c r="W2385" s="29"/>
      <c r="X2385" s="29"/>
      <c r="Y2385" s="29"/>
      <c r="Z2385" s="29"/>
      <c r="AA2385" s="29"/>
      <c r="AB2385" s="29"/>
      <c r="AC2385" s="29"/>
      <c r="AD2385" s="29"/>
    </row>
    <row r="2386">
      <c r="A2386" s="16" t="s">
        <v>3627</v>
      </c>
      <c r="B2386" s="63" t="s">
        <v>3623</v>
      </c>
      <c r="C2386" s="72" t="s">
        <v>3630</v>
      </c>
      <c r="D2386" s="63" t="s">
        <v>3624</v>
      </c>
      <c r="E2386" s="132" t="s">
        <v>3631</v>
      </c>
      <c r="H2386" s="29"/>
      <c r="I2386" s="29"/>
      <c r="J2386" s="29"/>
      <c r="K2386" s="29"/>
      <c r="L2386" s="29"/>
      <c r="M2386" s="29"/>
      <c r="N2386" s="29"/>
      <c r="O2386" s="29"/>
      <c r="P2386" s="29"/>
      <c r="Q2386" s="29"/>
      <c r="R2386" s="29"/>
      <c r="S2386" s="29"/>
      <c r="T2386" s="29"/>
      <c r="U2386" s="29"/>
      <c r="V2386" s="29"/>
      <c r="W2386" s="29"/>
      <c r="X2386" s="29"/>
      <c r="Y2386" s="29"/>
      <c r="Z2386" s="29"/>
      <c r="AA2386" s="29"/>
      <c r="AB2386" s="29"/>
      <c r="AC2386" s="29"/>
      <c r="AD2386" s="29"/>
    </row>
    <row r="2387">
      <c r="A2387" s="16" t="s">
        <v>3627</v>
      </c>
      <c r="B2387" s="63" t="s">
        <v>3623</v>
      </c>
      <c r="C2387" s="72" t="s">
        <v>3632</v>
      </c>
      <c r="D2387" s="63" t="s">
        <v>3624</v>
      </c>
      <c r="E2387" s="132" t="s">
        <v>3631</v>
      </c>
      <c r="H2387" s="29"/>
      <c r="I2387" s="29"/>
      <c r="J2387" s="29"/>
      <c r="K2387" s="29"/>
      <c r="L2387" s="29"/>
      <c r="M2387" s="29"/>
      <c r="N2387" s="29"/>
      <c r="O2387" s="29"/>
      <c r="P2387" s="29"/>
      <c r="Q2387" s="29"/>
      <c r="R2387" s="29"/>
      <c r="S2387" s="29"/>
      <c r="T2387" s="29"/>
      <c r="U2387" s="29"/>
      <c r="V2387" s="29"/>
      <c r="W2387" s="29"/>
      <c r="X2387" s="29"/>
      <c r="Y2387" s="29"/>
      <c r="Z2387" s="29"/>
      <c r="AA2387" s="29"/>
      <c r="AB2387" s="29"/>
      <c r="AC2387" s="29"/>
      <c r="AD2387" s="29"/>
    </row>
    <row r="2388">
      <c r="A2388" s="16" t="s">
        <v>3627</v>
      </c>
      <c r="B2388" s="63" t="s">
        <v>3623</v>
      </c>
      <c r="C2388" s="72" t="s">
        <v>3633</v>
      </c>
      <c r="D2388" s="63" t="s">
        <v>3624</v>
      </c>
      <c r="E2388" s="132" t="s">
        <v>3631</v>
      </c>
      <c r="H2388" s="29"/>
      <c r="I2388" s="29"/>
      <c r="J2388" s="29"/>
      <c r="K2388" s="29"/>
      <c r="L2388" s="29"/>
      <c r="M2388" s="29"/>
      <c r="N2388" s="29"/>
      <c r="O2388" s="29"/>
      <c r="P2388" s="29"/>
      <c r="Q2388" s="29"/>
      <c r="R2388" s="29"/>
      <c r="S2388" s="29"/>
      <c r="T2388" s="29"/>
      <c r="U2388" s="29"/>
      <c r="V2388" s="29"/>
      <c r="W2388" s="29"/>
      <c r="X2388" s="29"/>
      <c r="Y2388" s="29"/>
      <c r="Z2388" s="29"/>
      <c r="AA2388" s="29"/>
      <c r="AB2388" s="29"/>
      <c r="AC2388" s="29"/>
      <c r="AD2388" s="29"/>
    </row>
    <row r="2389">
      <c r="A2389" s="16" t="s">
        <v>3627</v>
      </c>
      <c r="B2389" s="63" t="s">
        <v>3623</v>
      </c>
      <c r="C2389" s="72" t="s">
        <v>3634</v>
      </c>
      <c r="D2389" s="63" t="s">
        <v>3624</v>
      </c>
      <c r="E2389" s="132" t="s">
        <v>3631</v>
      </c>
      <c r="H2389" s="29"/>
      <c r="I2389" s="29"/>
      <c r="J2389" s="29"/>
      <c r="K2389" s="29"/>
      <c r="L2389" s="29"/>
      <c r="M2389" s="29"/>
      <c r="N2389" s="29"/>
      <c r="O2389" s="29"/>
      <c r="P2389" s="29"/>
      <c r="Q2389" s="29"/>
      <c r="R2389" s="29"/>
      <c r="S2389" s="29"/>
      <c r="T2389" s="29"/>
      <c r="U2389" s="29"/>
      <c r="V2389" s="29"/>
      <c r="W2389" s="29"/>
      <c r="X2389" s="29"/>
      <c r="Y2389" s="29"/>
      <c r="Z2389" s="29"/>
      <c r="AA2389" s="29"/>
      <c r="AB2389" s="29"/>
      <c r="AC2389" s="29"/>
      <c r="AD2389" s="29"/>
    </row>
    <row r="2390">
      <c r="A2390" s="16" t="s">
        <v>3627</v>
      </c>
      <c r="B2390" s="63" t="s">
        <v>3623</v>
      </c>
      <c r="C2390" s="72" t="s">
        <v>3635</v>
      </c>
      <c r="D2390" s="63" t="s">
        <v>3624</v>
      </c>
      <c r="E2390" s="132" t="s">
        <v>3631</v>
      </c>
      <c r="H2390" s="29"/>
      <c r="I2390" s="29"/>
      <c r="J2390" s="29"/>
      <c r="K2390" s="29"/>
      <c r="L2390" s="29"/>
      <c r="M2390" s="29"/>
      <c r="N2390" s="29"/>
      <c r="O2390" s="29"/>
      <c r="P2390" s="29"/>
      <c r="Q2390" s="29"/>
      <c r="R2390" s="29"/>
      <c r="S2390" s="29"/>
      <c r="T2390" s="29"/>
      <c r="U2390" s="29"/>
      <c r="V2390" s="29"/>
      <c r="W2390" s="29"/>
      <c r="X2390" s="29"/>
      <c r="Y2390" s="29"/>
      <c r="Z2390" s="29"/>
      <c r="AA2390" s="29"/>
      <c r="AB2390" s="29"/>
      <c r="AC2390" s="29"/>
      <c r="AD2390" s="29"/>
    </row>
    <row r="2391">
      <c r="A2391" s="16" t="s">
        <v>3627</v>
      </c>
      <c r="B2391" s="63" t="s">
        <v>3623</v>
      </c>
      <c r="C2391" s="72" t="s">
        <v>3636</v>
      </c>
      <c r="D2391" s="63" t="s">
        <v>3624</v>
      </c>
      <c r="E2391" s="132" t="s">
        <v>3631</v>
      </c>
      <c r="H2391" s="29"/>
      <c r="I2391" s="29"/>
      <c r="J2391" s="29"/>
      <c r="K2391" s="29"/>
      <c r="L2391" s="29"/>
      <c r="M2391" s="29"/>
      <c r="N2391" s="29"/>
      <c r="O2391" s="29"/>
      <c r="P2391" s="29"/>
      <c r="Q2391" s="29"/>
      <c r="R2391" s="29"/>
      <c r="S2391" s="29"/>
      <c r="T2391" s="29"/>
      <c r="U2391" s="29"/>
      <c r="V2391" s="29"/>
      <c r="W2391" s="29"/>
      <c r="X2391" s="29"/>
      <c r="Y2391" s="29"/>
      <c r="Z2391" s="29"/>
      <c r="AA2391" s="29"/>
      <c r="AB2391" s="29"/>
      <c r="AC2391" s="29"/>
      <c r="AD2391" s="29"/>
    </row>
    <row r="2392">
      <c r="A2392" s="16" t="s">
        <v>3627</v>
      </c>
      <c r="B2392" s="63" t="s">
        <v>3623</v>
      </c>
      <c r="C2392" s="72" t="s">
        <v>3637</v>
      </c>
      <c r="D2392" s="63" t="s">
        <v>3624</v>
      </c>
      <c r="E2392" s="132" t="s">
        <v>3631</v>
      </c>
      <c r="H2392" s="29"/>
      <c r="I2392" s="29"/>
      <c r="J2392" s="29"/>
      <c r="K2392" s="29"/>
      <c r="L2392" s="29"/>
      <c r="M2392" s="29"/>
      <c r="N2392" s="29"/>
      <c r="O2392" s="29"/>
      <c r="P2392" s="29"/>
      <c r="Q2392" s="29"/>
      <c r="R2392" s="29"/>
      <c r="S2392" s="29"/>
      <c r="T2392" s="29"/>
      <c r="U2392" s="29"/>
      <c r="V2392" s="29"/>
      <c r="W2392" s="29"/>
      <c r="X2392" s="29"/>
      <c r="Y2392" s="29"/>
      <c r="Z2392" s="29"/>
      <c r="AA2392" s="29"/>
      <c r="AB2392" s="29"/>
      <c r="AC2392" s="29"/>
      <c r="AD2392" s="29"/>
    </row>
    <row r="2393">
      <c r="A2393" s="16" t="s">
        <v>3627</v>
      </c>
      <c r="B2393" s="63" t="s">
        <v>3623</v>
      </c>
      <c r="C2393" s="72" t="s">
        <v>3638</v>
      </c>
      <c r="D2393" s="63" t="s">
        <v>3624</v>
      </c>
      <c r="E2393" s="132" t="s">
        <v>3631</v>
      </c>
      <c r="H2393" s="29"/>
      <c r="I2393" s="29"/>
      <c r="J2393" s="29"/>
      <c r="K2393" s="29"/>
      <c r="L2393" s="29"/>
      <c r="M2393" s="29"/>
      <c r="N2393" s="29"/>
      <c r="O2393" s="29"/>
      <c r="P2393" s="29"/>
      <c r="Q2393" s="29"/>
      <c r="R2393" s="29"/>
      <c r="S2393" s="29"/>
      <c r="T2393" s="29"/>
      <c r="U2393" s="29"/>
      <c r="V2393" s="29"/>
      <c r="W2393" s="29"/>
      <c r="X2393" s="29"/>
      <c r="Y2393" s="29"/>
      <c r="Z2393" s="29"/>
      <c r="AA2393" s="29"/>
      <c r="AB2393" s="29"/>
      <c r="AC2393" s="29"/>
      <c r="AD2393" s="29"/>
    </row>
    <row r="2394">
      <c r="A2394" s="16" t="s">
        <v>3627</v>
      </c>
      <c r="B2394" s="63" t="s">
        <v>3623</v>
      </c>
      <c r="C2394" s="72" t="s">
        <v>3639</v>
      </c>
      <c r="D2394" s="63" t="s">
        <v>3624</v>
      </c>
      <c r="E2394" s="132" t="s">
        <v>3631</v>
      </c>
      <c r="H2394" s="29"/>
      <c r="I2394" s="29"/>
      <c r="J2394" s="29"/>
      <c r="K2394" s="29"/>
      <c r="L2394" s="29"/>
      <c r="M2394" s="29"/>
      <c r="N2394" s="29"/>
      <c r="O2394" s="29"/>
      <c r="P2394" s="29"/>
      <c r="Q2394" s="29"/>
      <c r="R2394" s="29"/>
      <c r="S2394" s="29"/>
      <c r="T2394" s="29"/>
      <c r="U2394" s="29"/>
      <c r="V2394" s="29"/>
      <c r="W2394" s="29"/>
      <c r="X2394" s="29"/>
      <c r="Y2394" s="29"/>
      <c r="Z2394" s="29"/>
      <c r="AA2394" s="29"/>
      <c r="AB2394" s="29"/>
      <c r="AC2394" s="29"/>
      <c r="AD2394" s="29"/>
    </row>
    <row r="2395">
      <c r="A2395" s="16" t="s">
        <v>3627</v>
      </c>
      <c r="B2395" s="63" t="s">
        <v>3623</v>
      </c>
      <c r="C2395" s="72" t="s">
        <v>3640</v>
      </c>
      <c r="D2395" s="63" t="s">
        <v>3624</v>
      </c>
      <c r="E2395" s="132" t="s">
        <v>3631</v>
      </c>
      <c r="H2395" s="29"/>
      <c r="I2395" s="29"/>
      <c r="J2395" s="29"/>
      <c r="K2395" s="29"/>
      <c r="L2395" s="29"/>
      <c r="M2395" s="29"/>
      <c r="N2395" s="29"/>
      <c r="O2395" s="29"/>
      <c r="P2395" s="29"/>
      <c r="Q2395" s="29"/>
      <c r="R2395" s="29"/>
      <c r="S2395" s="29"/>
      <c r="T2395" s="29"/>
      <c r="U2395" s="29"/>
      <c r="V2395" s="29"/>
      <c r="W2395" s="29"/>
      <c r="X2395" s="29"/>
      <c r="Y2395" s="29"/>
      <c r="Z2395" s="29"/>
      <c r="AA2395" s="29"/>
      <c r="AB2395" s="29"/>
      <c r="AC2395" s="29"/>
      <c r="AD2395" s="29"/>
    </row>
    <row r="2396">
      <c r="A2396" s="16" t="s">
        <v>3627</v>
      </c>
      <c r="B2396" s="63" t="s">
        <v>3623</v>
      </c>
      <c r="C2396" s="72" t="s">
        <v>3641</v>
      </c>
      <c r="D2396" s="63" t="s">
        <v>3624</v>
      </c>
      <c r="E2396" s="132" t="s">
        <v>3631</v>
      </c>
      <c r="H2396" s="29"/>
      <c r="I2396" s="29"/>
      <c r="J2396" s="29"/>
      <c r="K2396" s="29"/>
      <c r="L2396" s="29"/>
      <c r="M2396" s="29"/>
      <c r="N2396" s="29"/>
      <c r="O2396" s="29"/>
      <c r="P2396" s="29"/>
      <c r="Q2396" s="29"/>
      <c r="R2396" s="29"/>
      <c r="S2396" s="29"/>
      <c r="T2396" s="29"/>
      <c r="U2396" s="29"/>
      <c r="V2396" s="29"/>
      <c r="W2396" s="29"/>
      <c r="X2396" s="29"/>
      <c r="Y2396" s="29"/>
      <c r="Z2396" s="29"/>
      <c r="AA2396" s="29"/>
      <c r="AB2396" s="29"/>
      <c r="AC2396" s="29"/>
      <c r="AD2396" s="29"/>
    </row>
    <row r="2397">
      <c r="A2397" s="16" t="s">
        <v>3627</v>
      </c>
      <c r="B2397" s="63" t="s">
        <v>3623</v>
      </c>
      <c r="C2397" s="124" t="s">
        <v>3642</v>
      </c>
      <c r="D2397" s="63" t="s">
        <v>3624</v>
      </c>
      <c r="E2397" s="132" t="s">
        <v>3631</v>
      </c>
      <c r="H2397" s="29"/>
      <c r="I2397" s="29"/>
      <c r="J2397" s="29"/>
      <c r="K2397" s="29"/>
      <c r="L2397" s="29"/>
      <c r="M2397" s="29"/>
      <c r="N2397" s="29"/>
      <c r="O2397" s="29"/>
      <c r="P2397" s="29"/>
      <c r="Q2397" s="29"/>
      <c r="R2397" s="29"/>
      <c r="S2397" s="29"/>
      <c r="T2397" s="29"/>
      <c r="U2397" s="29"/>
      <c r="V2397" s="29"/>
      <c r="W2397" s="29"/>
      <c r="X2397" s="29"/>
      <c r="Y2397" s="29"/>
      <c r="Z2397" s="29"/>
      <c r="AA2397" s="29"/>
      <c r="AB2397" s="29"/>
      <c r="AC2397" s="29"/>
      <c r="AD2397" s="29"/>
    </row>
    <row r="2398">
      <c r="A2398" s="16" t="s">
        <v>3627</v>
      </c>
      <c r="B2398" s="63" t="s">
        <v>3623</v>
      </c>
      <c r="C2398" s="124" t="s">
        <v>3643</v>
      </c>
      <c r="D2398" s="63" t="s">
        <v>3624</v>
      </c>
      <c r="E2398" s="132" t="s">
        <v>3631</v>
      </c>
      <c r="H2398" s="29"/>
      <c r="I2398" s="29"/>
      <c r="J2398" s="29"/>
      <c r="K2398" s="29"/>
      <c r="L2398" s="29"/>
      <c r="M2398" s="29"/>
      <c r="N2398" s="29"/>
      <c r="O2398" s="29"/>
      <c r="P2398" s="29"/>
      <c r="Q2398" s="29"/>
      <c r="R2398" s="29"/>
      <c r="S2398" s="29"/>
      <c r="T2398" s="29"/>
      <c r="U2398" s="29"/>
      <c r="V2398" s="29"/>
      <c r="W2398" s="29"/>
      <c r="X2398" s="29"/>
      <c r="Y2398" s="29"/>
      <c r="Z2398" s="29"/>
      <c r="AA2398" s="29"/>
      <c r="AB2398" s="29"/>
      <c r="AC2398" s="29"/>
      <c r="AD2398" s="29"/>
    </row>
    <row r="2399">
      <c r="A2399" s="16" t="s">
        <v>3627</v>
      </c>
      <c r="B2399" s="63" t="s">
        <v>3623</v>
      </c>
      <c r="C2399" s="124" t="s">
        <v>3644</v>
      </c>
      <c r="D2399" s="63" t="s">
        <v>3624</v>
      </c>
      <c r="E2399" s="132" t="s">
        <v>3631</v>
      </c>
      <c r="H2399" s="29"/>
      <c r="I2399" s="29"/>
      <c r="J2399" s="29"/>
      <c r="K2399" s="29"/>
      <c r="L2399" s="29"/>
      <c r="M2399" s="29"/>
      <c r="N2399" s="29"/>
      <c r="O2399" s="29"/>
      <c r="P2399" s="29"/>
      <c r="Q2399" s="29"/>
      <c r="R2399" s="29"/>
      <c r="S2399" s="29"/>
      <c r="T2399" s="29"/>
      <c r="U2399" s="29"/>
      <c r="V2399" s="29"/>
      <c r="W2399" s="29"/>
      <c r="X2399" s="29"/>
      <c r="Y2399" s="29"/>
      <c r="Z2399" s="29"/>
      <c r="AA2399" s="29"/>
      <c r="AB2399" s="29"/>
      <c r="AC2399" s="29"/>
      <c r="AD2399" s="29"/>
    </row>
    <row r="2400">
      <c r="A2400" s="16" t="s">
        <v>3627</v>
      </c>
      <c r="B2400" s="63" t="s">
        <v>3623</v>
      </c>
      <c r="C2400" s="124" t="s">
        <v>3451</v>
      </c>
      <c r="D2400" s="63" t="s">
        <v>3624</v>
      </c>
      <c r="E2400" s="132" t="s">
        <v>3631</v>
      </c>
      <c r="H2400" s="29"/>
      <c r="I2400" s="29"/>
      <c r="J2400" s="29"/>
      <c r="K2400" s="29"/>
      <c r="L2400" s="29"/>
      <c r="M2400" s="29"/>
      <c r="N2400" s="29"/>
      <c r="O2400" s="29"/>
      <c r="P2400" s="29"/>
      <c r="Q2400" s="29"/>
      <c r="R2400" s="29"/>
      <c r="S2400" s="29"/>
      <c r="T2400" s="29"/>
      <c r="U2400" s="29"/>
      <c r="V2400" s="29"/>
      <c r="W2400" s="29"/>
      <c r="X2400" s="29"/>
      <c r="Y2400" s="29"/>
      <c r="Z2400" s="29"/>
      <c r="AA2400" s="29"/>
      <c r="AB2400" s="29"/>
      <c r="AC2400" s="29"/>
      <c r="AD2400" s="29"/>
    </row>
    <row r="2401">
      <c r="A2401" s="16" t="s">
        <v>3627</v>
      </c>
      <c r="B2401" s="63" t="s">
        <v>3623</v>
      </c>
      <c r="C2401" s="72" t="s">
        <v>3645</v>
      </c>
      <c r="D2401" s="63" t="s">
        <v>3624</v>
      </c>
      <c r="E2401" s="132" t="s">
        <v>3631</v>
      </c>
      <c r="H2401" s="29"/>
      <c r="I2401" s="29"/>
      <c r="J2401" s="29"/>
      <c r="K2401" s="29"/>
      <c r="L2401" s="29"/>
      <c r="M2401" s="29"/>
      <c r="N2401" s="29"/>
      <c r="O2401" s="29"/>
      <c r="P2401" s="29"/>
      <c r="Q2401" s="29"/>
      <c r="R2401" s="29"/>
      <c r="S2401" s="29"/>
      <c r="T2401" s="29"/>
      <c r="U2401" s="29"/>
      <c r="V2401" s="29"/>
      <c r="W2401" s="29"/>
      <c r="X2401" s="29"/>
      <c r="Y2401" s="29"/>
      <c r="Z2401" s="29"/>
      <c r="AA2401" s="29"/>
      <c r="AB2401" s="29"/>
      <c r="AC2401" s="29"/>
      <c r="AD2401" s="29"/>
    </row>
    <row r="2402">
      <c r="A2402" s="16" t="s">
        <v>3627</v>
      </c>
      <c r="B2402" s="63" t="s">
        <v>3646</v>
      </c>
      <c r="C2402" s="72" t="s">
        <v>3647</v>
      </c>
      <c r="D2402" s="63" t="s">
        <v>3648</v>
      </c>
      <c r="E2402" s="132" t="s">
        <v>3629</v>
      </c>
      <c r="H2402" s="29"/>
      <c r="I2402" s="29"/>
      <c r="J2402" s="29"/>
      <c r="K2402" s="29"/>
      <c r="L2402" s="29"/>
      <c r="M2402" s="29"/>
      <c r="N2402" s="29"/>
      <c r="O2402" s="29"/>
      <c r="P2402" s="29"/>
      <c r="Q2402" s="29"/>
      <c r="R2402" s="29"/>
      <c r="S2402" s="29"/>
      <c r="T2402" s="29"/>
      <c r="U2402" s="29"/>
      <c r="V2402" s="29"/>
      <c r="W2402" s="29"/>
      <c r="X2402" s="29"/>
      <c r="Y2402" s="29"/>
      <c r="Z2402" s="29"/>
      <c r="AA2402" s="29"/>
      <c r="AB2402" s="29"/>
      <c r="AC2402" s="29"/>
      <c r="AD2402" s="29"/>
    </row>
    <row r="2403">
      <c r="A2403" s="16" t="s">
        <v>3627</v>
      </c>
      <c r="B2403" s="63" t="s">
        <v>3623</v>
      </c>
      <c r="C2403" s="72" t="s">
        <v>2371</v>
      </c>
      <c r="D2403" s="63" t="s">
        <v>3624</v>
      </c>
      <c r="E2403" s="132" t="s">
        <v>3631</v>
      </c>
      <c r="H2403" s="29"/>
      <c r="I2403" s="29"/>
      <c r="J2403" s="29"/>
      <c r="K2403" s="29"/>
      <c r="L2403" s="29"/>
      <c r="M2403" s="29"/>
      <c r="N2403" s="29"/>
      <c r="O2403" s="29"/>
      <c r="P2403" s="29"/>
      <c r="Q2403" s="29"/>
      <c r="R2403" s="29"/>
      <c r="S2403" s="29"/>
      <c r="T2403" s="29"/>
      <c r="U2403" s="29"/>
      <c r="V2403" s="29"/>
      <c r="W2403" s="29"/>
      <c r="X2403" s="29"/>
      <c r="Y2403" s="29"/>
      <c r="Z2403" s="29"/>
      <c r="AA2403" s="29"/>
      <c r="AB2403" s="29"/>
      <c r="AC2403" s="29"/>
      <c r="AD2403" s="29"/>
    </row>
    <row r="2404">
      <c r="A2404" s="16" t="s">
        <v>3627</v>
      </c>
      <c r="B2404" s="63" t="s">
        <v>3623</v>
      </c>
      <c r="C2404" s="72" t="s">
        <v>3649</v>
      </c>
      <c r="D2404" s="63" t="s">
        <v>3624</v>
      </c>
      <c r="E2404" s="132" t="s">
        <v>3631</v>
      </c>
      <c r="H2404" s="29"/>
      <c r="I2404" s="29"/>
      <c r="J2404" s="29"/>
      <c r="K2404" s="29"/>
      <c r="L2404" s="29"/>
      <c r="M2404" s="29"/>
      <c r="N2404" s="29"/>
      <c r="O2404" s="29"/>
      <c r="P2404" s="29"/>
      <c r="Q2404" s="29"/>
      <c r="R2404" s="29"/>
      <c r="S2404" s="29"/>
      <c r="T2404" s="29"/>
      <c r="U2404" s="29"/>
      <c r="V2404" s="29"/>
      <c r="W2404" s="29"/>
      <c r="X2404" s="29"/>
      <c r="Y2404" s="29"/>
      <c r="Z2404" s="29"/>
      <c r="AA2404" s="29"/>
      <c r="AB2404" s="29"/>
      <c r="AC2404" s="29"/>
      <c r="AD2404" s="29"/>
    </row>
    <row r="2405">
      <c r="A2405" s="16" t="s">
        <v>3627</v>
      </c>
      <c r="B2405" s="63" t="s">
        <v>3623</v>
      </c>
      <c r="C2405" s="72" t="s">
        <v>3650</v>
      </c>
      <c r="D2405" s="63" t="s">
        <v>3624</v>
      </c>
      <c r="E2405" s="132" t="s">
        <v>3631</v>
      </c>
      <c r="H2405" s="29"/>
      <c r="I2405" s="29"/>
      <c r="J2405" s="29"/>
      <c r="K2405" s="29"/>
      <c r="L2405" s="29"/>
      <c r="M2405" s="29"/>
      <c r="N2405" s="29"/>
      <c r="O2405" s="29"/>
      <c r="P2405" s="29"/>
      <c r="Q2405" s="29"/>
      <c r="R2405" s="29"/>
      <c r="S2405" s="29"/>
      <c r="T2405" s="29"/>
      <c r="U2405" s="29"/>
      <c r="V2405" s="29"/>
      <c r="W2405" s="29"/>
      <c r="X2405" s="29"/>
      <c r="Y2405" s="29"/>
      <c r="Z2405" s="29"/>
      <c r="AA2405" s="29"/>
      <c r="AB2405" s="29"/>
      <c r="AC2405" s="29"/>
      <c r="AD2405" s="29"/>
    </row>
    <row r="2406">
      <c r="A2406" s="16" t="s">
        <v>3627</v>
      </c>
      <c r="B2406" s="63" t="s">
        <v>3623</v>
      </c>
      <c r="C2406" s="72" t="s">
        <v>3651</v>
      </c>
      <c r="D2406" s="63" t="s">
        <v>3624</v>
      </c>
      <c r="E2406" s="132" t="s">
        <v>3631</v>
      </c>
      <c r="H2406" s="29"/>
      <c r="I2406" s="29"/>
      <c r="J2406" s="29"/>
      <c r="K2406" s="29"/>
      <c r="L2406" s="29"/>
      <c r="M2406" s="29"/>
      <c r="N2406" s="29"/>
      <c r="O2406" s="29"/>
      <c r="P2406" s="29"/>
      <c r="Q2406" s="29"/>
      <c r="R2406" s="29"/>
      <c r="S2406" s="29"/>
      <c r="T2406" s="29"/>
      <c r="U2406" s="29"/>
      <c r="V2406" s="29"/>
      <c r="W2406" s="29"/>
      <c r="X2406" s="29"/>
      <c r="Y2406" s="29"/>
      <c r="Z2406" s="29"/>
      <c r="AA2406" s="29"/>
      <c r="AB2406" s="29"/>
      <c r="AC2406" s="29"/>
      <c r="AD2406" s="29"/>
    </row>
    <row r="2407">
      <c r="A2407" s="16" t="s">
        <v>3627</v>
      </c>
      <c r="B2407" s="63" t="s">
        <v>3623</v>
      </c>
      <c r="C2407" s="124" t="s">
        <v>3652</v>
      </c>
      <c r="D2407" s="63" t="s">
        <v>3624</v>
      </c>
      <c r="E2407" s="132" t="s">
        <v>3631</v>
      </c>
      <c r="H2407" s="29"/>
      <c r="I2407" s="29"/>
      <c r="J2407" s="29"/>
      <c r="K2407" s="29"/>
      <c r="L2407" s="29"/>
      <c r="M2407" s="29"/>
      <c r="N2407" s="29"/>
      <c r="O2407" s="29"/>
      <c r="P2407" s="29"/>
      <c r="Q2407" s="29"/>
      <c r="R2407" s="29"/>
      <c r="S2407" s="29"/>
      <c r="T2407" s="29"/>
      <c r="U2407" s="29"/>
      <c r="V2407" s="29"/>
      <c r="W2407" s="29"/>
      <c r="X2407" s="29"/>
      <c r="Y2407" s="29"/>
      <c r="Z2407" s="29"/>
      <c r="AA2407" s="29"/>
      <c r="AB2407" s="29"/>
      <c r="AC2407" s="29"/>
      <c r="AD2407" s="29"/>
    </row>
    <row r="2408">
      <c r="A2408" s="16" t="s">
        <v>3627</v>
      </c>
      <c r="B2408" s="63" t="s">
        <v>3585</v>
      </c>
      <c r="C2408" s="124" t="s">
        <v>3653</v>
      </c>
      <c r="D2408" s="63" t="s">
        <v>3654</v>
      </c>
      <c r="E2408" s="132" t="s">
        <v>3629</v>
      </c>
      <c r="H2408" s="29"/>
      <c r="I2408" s="29"/>
      <c r="J2408" s="29"/>
      <c r="K2408" s="29"/>
      <c r="L2408" s="29"/>
      <c r="M2408" s="29"/>
      <c r="N2408" s="29"/>
      <c r="O2408" s="29"/>
      <c r="P2408" s="29"/>
      <c r="Q2408" s="29"/>
      <c r="R2408" s="29"/>
      <c r="S2408" s="29"/>
      <c r="T2408" s="29"/>
      <c r="U2408" s="29"/>
      <c r="V2408" s="29"/>
      <c r="W2408" s="29"/>
      <c r="X2408" s="29"/>
      <c r="Y2408" s="29"/>
      <c r="Z2408" s="29"/>
      <c r="AA2408" s="29"/>
      <c r="AB2408" s="29"/>
      <c r="AC2408" s="29"/>
      <c r="AD2408" s="29"/>
    </row>
    <row r="2409">
      <c r="A2409" s="16" t="s">
        <v>3627</v>
      </c>
      <c r="B2409" s="63" t="s">
        <v>3623</v>
      </c>
      <c r="C2409" s="124" t="s">
        <v>3655</v>
      </c>
      <c r="D2409" s="63" t="s">
        <v>3624</v>
      </c>
      <c r="E2409" s="132" t="s">
        <v>3631</v>
      </c>
      <c r="H2409" s="29"/>
      <c r="I2409" s="29"/>
      <c r="J2409" s="29"/>
      <c r="K2409" s="29"/>
      <c r="L2409" s="29"/>
      <c r="M2409" s="29"/>
      <c r="N2409" s="29"/>
      <c r="O2409" s="29"/>
      <c r="P2409" s="29"/>
      <c r="Q2409" s="29"/>
      <c r="R2409" s="29"/>
      <c r="S2409" s="29"/>
      <c r="T2409" s="29"/>
      <c r="U2409" s="29"/>
      <c r="V2409" s="29"/>
      <c r="W2409" s="29"/>
      <c r="X2409" s="29"/>
      <c r="Y2409" s="29"/>
      <c r="Z2409" s="29"/>
      <c r="AA2409" s="29"/>
      <c r="AB2409" s="29"/>
      <c r="AC2409" s="29"/>
      <c r="AD2409" s="29"/>
    </row>
    <row r="2410">
      <c r="A2410" s="16" t="s">
        <v>3627</v>
      </c>
      <c r="B2410" s="63" t="s">
        <v>3623</v>
      </c>
      <c r="C2410" s="72" t="s">
        <v>3656</v>
      </c>
      <c r="D2410" s="63" t="s">
        <v>3624</v>
      </c>
      <c r="E2410" s="132" t="s">
        <v>3631</v>
      </c>
      <c r="H2410" s="29"/>
      <c r="I2410" s="29"/>
      <c r="J2410" s="29"/>
      <c r="K2410" s="29"/>
      <c r="L2410" s="29"/>
      <c r="M2410" s="29"/>
      <c r="N2410" s="29"/>
      <c r="O2410" s="29"/>
      <c r="P2410" s="29"/>
      <c r="Q2410" s="29"/>
      <c r="R2410" s="29"/>
      <c r="S2410" s="29"/>
      <c r="T2410" s="29"/>
      <c r="U2410" s="29"/>
      <c r="V2410" s="29"/>
      <c r="W2410" s="29"/>
      <c r="X2410" s="29"/>
      <c r="Y2410" s="29"/>
      <c r="Z2410" s="29"/>
      <c r="AA2410" s="29"/>
      <c r="AB2410" s="29"/>
      <c r="AC2410" s="29"/>
      <c r="AD2410" s="29"/>
    </row>
    <row r="2411">
      <c r="A2411" s="16" t="s">
        <v>3627</v>
      </c>
      <c r="B2411" s="63" t="s">
        <v>3623</v>
      </c>
      <c r="C2411" s="72" t="s">
        <v>3657</v>
      </c>
      <c r="D2411" s="63" t="s">
        <v>3624</v>
      </c>
      <c r="E2411" s="132" t="s">
        <v>3631</v>
      </c>
      <c r="H2411" s="29"/>
      <c r="I2411" s="29"/>
      <c r="J2411" s="29"/>
      <c r="K2411" s="29"/>
      <c r="L2411" s="29"/>
      <c r="M2411" s="29"/>
      <c r="N2411" s="29"/>
      <c r="O2411" s="29"/>
      <c r="P2411" s="29"/>
      <c r="Q2411" s="29"/>
      <c r="R2411" s="29"/>
      <c r="S2411" s="29"/>
      <c r="T2411" s="29"/>
      <c r="U2411" s="29"/>
      <c r="V2411" s="29"/>
      <c r="W2411" s="29"/>
      <c r="X2411" s="29"/>
      <c r="Y2411" s="29"/>
      <c r="Z2411" s="29"/>
      <c r="AA2411" s="29"/>
      <c r="AB2411" s="29"/>
      <c r="AC2411" s="29"/>
      <c r="AD2411" s="29"/>
    </row>
    <row r="2412">
      <c r="A2412" s="16" t="s">
        <v>3627</v>
      </c>
      <c r="B2412" s="63" t="s">
        <v>3658</v>
      </c>
      <c r="C2412" s="72" t="s">
        <v>3659</v>
      </c>
      <c r="D2412" s="63" t="s">
        <v>3660</v>
      </c>
      <c r="E2412" s="132" t="s">
        <v>3622</v>
      </c>
      <c r="H2412" s="29"/>
      <c r="I2412" s="29"/>
      <c r="J2412" s="29"/>
      <c r="K2412" s="29"/>
      <c r="L2412" s="29"/>
      <c r="M2412" s="29"/>
      <c r="N2412" s="29"/>
      <c r="O2412" s="29"/>
      <c r="P2412" s="29"/>
      <c r="Q2412" s="29"/>
      <c r="R2412" s="29"/>
      <c r="S2412" s="29"/>
      <c r="T2412" s="29"/>
      <c r="U2412" s="29"/>
      <c r="V2412" s="29"/>
      <c r="W2412" s="29"/>
      <c r="X2412" s="29"/>
      <c r="Y2412" s="29"/>
      <c r="Z2412" s="29"/>
      <c r="AA2412" s="29"/>
      <c r="AB2412" s="29"/>
      <c r="AC2412" s="29"/>
      <c r="AD2412" s="29"/>
    </row>
    <row r="2413">
      <c r="A2413" s="150"/>
      <c r="B2413" s="9"/>
      <c r="C2413" s="9"/>
      <c r="D2413" s="9"/>
      <c r="E2413" s="9"/>
      <c r="H2413" s="29"/>
      <c r="I2413" s="29"/>
      <c r="J2413" s="29"/>
      <c r="K2413" s="29"/>
      <c r="L2413" s="29"/>
      <c r="M2413" s="29"/>
      <c r="N2413" s="29"/>
      <c r="O2413" s="29"/>
      <c r="P2413" s="29"/>
      <c r="Q2413" s="29"/>
      <c r="R2413" s="29"/>
      <c r="S2413" s="29"/>
      <c r="T2413" s="29"/>
      <c r="U2413" s="29"/>
      <c r="V2413" s="29"/>
      <c r="W2413" s="29"/>
      <c r="X2413" s="29"/>
      <c r="Y2413" s="29"/>
      <c r="Z2413" s="29"/>
      <c r="AA2413" s="29"/>
      <c r="AB2413" s="29"/>
      <c r="AC2413" s="29"/>
      <c r="AD2413" s="29"/>
    </row>
    <row r="2414">
      <c r="A2414" s="16" t="s">
        <v>3661</v>
      </c>
      <c r="B2414" s="63" t="s">
        <v>3374</v>
      </c>
      <c r="C2414" s="72" t="s">
        <v>3662</v>
      </c>
      <c r="D2414" s="63" t="s">
        <v>3609</v>
      </c>
      <c r="E2414" s="161" t="s">
        <v>7</v>
      </c>
      <c r="H2414" s="29"/>
      <c r="I2414" s="29"/>
      <c r="J2414" s="29"/>
      <c r="K2414" s="29"/>
      <c r="L2414" s="29"/>
      <c r="M2414" s="29"/>
      <c r="N2414" s="29"/>
      <c r="O2414" s="29"/>
      <c r="P2414" s="29"/>
      <c r="Q2414" s="29"/>
      <c r="R2414" s="29"/>
      <c r="S2414" s="29"/>
      <c r="T2414" s="29"/>
      <c r="U2414" s="29"/>
      <c r="V2414" s="29"/>
      <c r="W2414" s="29"/>
      <c r="X2414" s="29"/>
      <c r="Y2414" s="29"/>
      <c r="Z2414" s="29"/>
      <c r="AA2414" s="29"/>
      <c r="AB2414" s="29"/>
      <c r="AC2414" s="29"/>
      <c r="AD2414" s="29"/>
    </row>
    <row r="2415">
      <c r="A2415" s="16" t="s">
        <v>3661</v>
      </c>
      <c r="B2415" s="63" t="s">
        <v>3374</v>
      </c>
      <c r="C2415" s="72" t="s">
        <v>3663</v>
      </c>
      <c r="D2415" s="63" t="s">
        <v>3612</v>
      </c>
      <c r="E2415" s="161" t="s">
        <v>7</v>
      </c>
      <c r="H2415" s="29"/>
      <c r="I2415" s="29"/>
      <c r="J2415" s="29"/>
      <c r="K2415" s="29"/>
      <c r="L2415" s="29"/>
      <c r="M2415" s="29"/>
      <c r="N2415" s="29"/>
      <c r="O2415" s="29"/>
      <c r="P2415" s="29"/>
      <c r="Q2415" s="29"/>
      <c r="R2415" s="29"/>
      <c r="S2415" s="29"/>
      <c r="T2415" s="29"/>
      <c r="U2415" s="29"/>
      <c r="V2415" s="29"/>
      <c r="W2415" s="29"/>
      <c r="X2415" s="29"/>
      <c r="Y2415" s="29"/>
      <c r="Z2415" s="29"/>
      <c r="AA2415" s="29"/>
      <c r="AB2415" s="29"/>
      <c r="AC2415" s="29"/>
      <c r="AD2415" s="29"/>
    </row>
    <row r="2416">
      <c r="A2416" s="16" t="s">
        <v>3661</v>
      </c>
      <c r="B2416" s="63" t="s">
        <v>3374</v>
      </c>
      <c r="C2416" s="124" t="s">
        <v>3664</v>
      </c>
      <c r="D2416" s="63" t="s">
        <v>3665</v>
      </c>
      <c r="E2416" s="161" t="s">
        <v>7</v>
      </c>
      <c r="H2416" s="29"/>
      <c r="I2416" s="29"/>
      <c r="J2416" s="29"/>
      <c r="K2416" s="29"/>
      <c r="L2416" s="29"/>
      <c r="M2416" s="29"/>
      <c r="N2416" s="29"/>
      <c r="O2416" s="29"/>
      <c r="P2416" s="29"/>
      <c r="Q2416" s="29"/>
      <c r="R2416" s="29"/>
      <c r="S2416" s="29"/>
      <c r="T2416" s="29"/>
      <c r="U2416" s="29"/>
      <c r="V2416" s="29"/>
      <c r="W2416" s="29"/>
      <c r="X2416" s="29"/>
      <c r="Y2416" s="29"/>
      <c r="Z2416" s="29"/>
      <c r="AA2416" s="29"/>
      <c r="AB2416" s="29"/>
      <c r="AC2416" s="29"/>
      <c r="AD2416" s="29"/>
    </row>
    <row r="2417">
      <c r="A2417" s="16" t="s">
        <v>3661</v>
      </c>
      <c r="B2417" s="63" t="s">
        <v>3374</v>
      </c>
      <c r="C2417" s="124" t="s">
        <v>3611</v>
      </c>
      <c r="D2417" s="63" t="s">
        <v>3666</v>
      </c>
      <c r="E2417" s="161" t="s">
        <v>7</v>
      </c>
      <c r="H2417" s="29"/>
      <c r="I2417" s="29"/>
      <c r="J2417" s="29"/>
      <c r="K2417" s="29"/>
      <c r="L2417" s="29"/>
      <c r="M2417" s="29"/>
      <c r="N2417" s="29"/>
      <c r="O2417" s="29"/>
      <c r="P2417" s="29"/>
      <c r="Q2417" s="29"/>
      <c r="R2417" s="29"/>
      <c r="S2417" s="29"/>
      <c r="T2417" s="29"/>
      <c r="U2417" s="29"/>
      <c r="V2417" s="29"/>
      <c r="W2417" s="29"/>
      <c r="X2417" s="29"/>
      <c r="Y2417" s="29"/>
      <c r="Z2417" s="29"/>
      <c r="AA2417" s="29"/>
      <c r="AB2417" s="29"/>
      <c r="AC2417" s="29"/>
      <c r="AD2417" s="29"/>
    </row>
    <row r="2418">
      <c r="A2418" s="16" t="s">
        <v>3661</v>
      </c>
      <c r="B2418" s="63" t="s">
        <v>3667</v>
      </c>
      <c r="C2418" s="124" t="s">
        <v>3668</v>
      </c>
      <c r="D2418" s="63" t="s">
        <v>3526</v>
      </c>
      <c r="E2418" s="72" t="s">
        <v>40</v>
      </c>
      <c r="H2418" s="29"/>
      <c r="I2418" s="29"/>
      <c r="J2418" s="29"/>
      <c r="K2418" s="29"/>
      <c r="L2418" s="29"/>
      <c r="M2418" s="29"/>
      <c r="N2418" s="29"/>
      <c r="O2418" s="29"/>
      <c r="P2418" s="29"/>
      <c r="Q2418" s="29"/>
      <c r="R2418" s="29"/>
      <c r="S2418" s="29"/>
      <c r="T2418" s="29"/>
      <c r="U2418" s="29"/>
      <c r="V2418" s="29"/>
      <c r="W2418" s="29"/>
      <c r="X2418" s="29"/>
      <c r="Y2418" s="29"/>
      <c r="Z2418" s="29"/>
      <c r="AA2418" s="29"/>
      <c r="AB2418" s="29"/>
      <c r="AC2418" s="29"/>
      <c r="AD2418" s="29"/>
    </row>
    <row r="2419">
      <c r="A2419" s="16" t="s">
        <v>3661</v>
      </c>
      <c r="B2419" s="63" t="s">
        <v>3589</v>
      </c>
      <c r="C2419" s="124" t="s">
        <v>3669</v>
      </c>
      <c r="D2419" s="63" t="s">
        <v>3670</v>
      </c>
      <c r="E2419" s="13" t="s">
        <v>1201</v>
      </c>
      <c r="H2419" s="29"/>
      <c r="I2419" s="29"/>
      <c r="J2419" s="29"/>
      <c r="K2419" s="29"/>
      <c r="L2419" s="29"/>
      <c r="M2419" s="29"/>
      <c r="N2419" s="29"/>
      <c r="O2419" s="29"/>
      <c r="P2419" s="29"/>
      <c r="Q2419" s="29"/>
      <c r="R2419" s="29"/>
      <c r="S2419" s="29"/>
      <c r="T2419" s="29"/>
      <c r="U2419" s="29"/>
      <c r="V2419" s="29"/>
      <c r="W2419" s="29"/>
      <c r="X2419" s="29"/>
      <c r="Y2419" s="29"/>
      <c r="Z2419" s="29"/>
      <c r="AA2419" s="29"/>
      <c r="AB2419" s="29"/>
      <c r="AC2419" s="29"/>
      <c r="AD2419" s="29"/>
    </row>
    <row r="2420">
      <c r="A2420" s="16" t="s">
        <v>3661</v>
      </c>
      <c r="B2420" s="63" t="s">
        <v>3623</v>
      </c>
      <c r="C2420" s="124" t="s">
        <v>3671</v>
      </c>
      <c r="D2420" s="63" t="s">
        <v>3624</v>
      </c>
      <c r="E2420" s="132" t="s">
        <v>3631</v>
      </c>
      <c r="H2420" s="29"/>
      <c r="I2420" s="29"/>
      <c r="J2420" s="29"/>
      <c r="K2420" s="29"/>
      <c r="L2420" s="29"/>
      <c r="M2420" s="29"/>
      <c r="N2420" s="29"/>
      <c r="O2420" s="29"/>
      <c r="P2420" s="29"/>
      <c r="Q2420" s="29"/>
      <c r="R2420" s="29"/>
      <c r="S2420" s="29"/>
      <c r="T2420" s="29"/>
      <c r="U2420" s="29"/>
      <c r="V2420" s="29"/>
      <c r="W2420" s="29"/>
      <c r="X2420" s="29"/>
      <c r="Y2420" s="29"/>
      <c r="Z2420" s="29"/>
      <c r="AA2420" s="29"/>
      <c r="AB2420" s="29"/>
      <c r="AC2420" s="29"/>
      <c r="AD2420" s="29"/>
    </row>
    <row r="2421">
      <c r="A2421" s="16" t="s">
        <v>3661</v>
      </c>
      <c r="B2421" s="63" t="s">
        <v>3623</v>
      </c>
      <c r="C2421" s="124" t="s">
        <v>3672</v>
      </c>
      <c r="D2421" s="63" t="s">
        <v>3624</v>
      </c>
      <c r="E2421" s="132" t="s">
        <v>3631</v>
      </c>
      <c r="H2421" s="29"/>
      <c r="I2421" s="29"/>
      <c r="J2421" s="29"/>
      <c r="K2421" s="29"/>
      <c r="L2421" s="29"/>
      <c r="M2421" s="29"/>
      <c r="N2421" s="29"/>
      <c r="O2421" s="29"/>
      <c r="P2421" s="29"/>
      <c r="Q2421" s="29"/>
      <c r="R2421" s="29"/>
      <c r="S2421" s="29"/>
      <c r="T2421" s="29"/>
      <c r="U2421" s="29"/>
      <c r="V2421" s="29"/>
      <c r="W2421" s="29"/>
      <c r="X2421" s="29"/>
      <c r="Y2421" s="29"/>
      <c r="Z2421" s="29"/>
      <c r="AA2421" s="29"/>
      <c r="AB2421" s="29"/>
      <c r="AC2421" s="29"/>
      <c r="AD2421" s="29"/>
    </row>
    <row r="2422">
      <c r="A2422" s="16" t="s">
        <v>3661</v>
      </c>
      <c r="B2422" s="63" t="s">
        <v>3623</v>
      </c>
      <c r="C2422" s="124" t="s">
        <v>3673</v>
      </c>
      <c r="D2422" s="63" t="s">
        <v>3624</v>
      </c>
      <c r="E2422" s="132" t="s">
        <v>3631</v>
      </c>
      <c r="H2422" s="29"/>
      <c r="I2422" s="29"/>
      <c r="J2422" s="29"/>
      <c r="K2422" s="29"/>
      <c r="L2422" s="29"/>
      <c r="M2422" s="29"/>
      <c r="N2422" s="29"/>
      <c r="O2422" s="29"/>
      <c r="P2422" s="29"/>
      <c r="Q2422" s="29"/>
      <c r="R2422" s="29"/>
      <c r="S2422" s="29"/>
      <c r="T2422" s="29"/>
      <c r="U2422" s="29"/>
      <c r="V2422" s="29"/>
      <c r="W2422" s="29"/>
      <c r="X2422" s="29"/>
      <c r="Y2422" s="29"/>
      <c r="Z2422" s="29"/>
      <c r="AA2422" s="29"/>
      <c r="AB2422" s="29"/>
      <c r="AC2422" s="29"/>
      <c r="AD2422" s="29"/>
    </row>
    <row r="2423">
      <c r="A2423" s="16" t="s">
        <v>3661</v>
      </c>
      <c r="B2423" s="63" t="s">
        <v>3623</v>
      </c>
      <c r="C2423" s="72" t="s">
        <v>3674</v>
      </c>
      <c r="D2423" s="63" t="s">
        <v>3624</v>
      </c>
      <c r="E2423" s="132" t="s">
        <v>3631</v>
      </c>
      <c r="H2423" s="29"/>
      <c r="I2423" s="29"/>
      <c r="J2423" s="29"/>
      <c r="K2423" s="29"/>
      <c r="L2423" s="29"/>
      <c r="M2423" s="29"/>
      <c r="N2423" s="29"/>
      <c r="O2423" s="29"/>
      <c r="P2423" s="29"/>
      <c r="Q2423" s="29"/>
      <c r="R2423" s="29"/>
      <c r="S2423" s="29"/>
      <c r="T2423" s="29"/>
      <c r="U2423" s="29"/>
      <c r="V2423" s="29"/>
      <c r="W2423" s="29"/>
      <c r="X2423" s="29"/>
      <c r="Y2423" s="29"/>
      <c r="Z2423" s="29"/>
      <c r="AA2423" s="29"/>
      <c r="AB2423" s="29"/>
      <c r="AC2423" s="29"/>
      <c r="AD2423" s="29"/>
    </row>
    <row r="2424">
      <c r="A2424" s="16" t="s">
        <v>3661</v>
      </c>
      <c r="B2424" s="63" t="s">
        <v>3623</v>
      </c>
      <c r="C2424" s="72" t="s">
        <v>3675</v>
      </c>
      <c r="D2424" s="63" t="s">
        <v>3624</v>
      </c>
      <c r="E2424" s="132" t="s">
        <v>3631</v>
      </c>
      <c r="H2424" s="29"/>
      <c r="I2424" s="29"/>
      <c r="J2424" s="29"/>
      <c r="K2424" s="29"/>
      <c r="L2424" s="29"/>
      <c r="M2424" s="29"/>
      <c r="N2424" s="29"/>
      <c r="O2424" s="29"/>
      <c r="P2424" s="29"/>
      <c r="Q2424" s="29"/>
      <c r="R2424" s="29"/>
      <c r="S2424" s="29"/>
      <c r="T2424" s="29"/>
      <c r="U2424" s="29"/>
      <c r="V2424" s="29"/>
      <c r="W2424" s="29"/>
      <c r="X2424" s="29"/>
      <c r="Y2424" s="29"/>
      <c r="Z2424" s="29"/>
      <c r="AA2424" s="29"/>
      <c r="AB2424" s="29"/>
      <c r="AC2424" s="29"/>
      <c r="AD2424" s="29"/>
    </row>
    <row r="2425">
      <c r="A2425" s="16" t="s">
        <v>3661</v>
      </c>
      <c r="B2425" s="63" t="s">
        <v>3623</v>
      </c>
      <c r="C2425" s="72" t="s">
        <v>3676</v>
      </c>
      <c r="D2425" s="63" t="s">
        <v>3624</v>
      </c>
      <c r="E2425" s="132" t="s">
        <v>3631</v>
      </c>
      <c r="H2425" s="29"/>
      <c r="I2425" s="29"/>
      <c r="J2425" s="29"/>
      <c r="K2425" s="29"/>
      <c r="L2425" s="29"/>
      <c r="M2425" s="29"/>
      <c r="N2425" s="29"/>
      <c r="O2425" s="29"/>
      <c r="P2425" s="29"/>
      <c r="Q2425" s="29"/>
      <c r="R2425" s="29"/>
      <c r="S2425" s="29"/>
      <c r="T2425" s="29"/>
      <c r="U2425" s="29"/>
      <c r="V2425" s="29"/>
      <c r="W2425" s="29"/>
      <c r="X2425" s="29"/>
      <c r="Y2425" s="29"/>
      <c r="Z2425" s="29"/>
      <c r="AA2425" s="29"/>
      <c r="AB2425" s="29"/>
      <c r="AC2425" s="29"/>
      <c r="AD2425" s="29"/>
    </row>
    <row r="2426">
      <c r="A2426" s="16" t="s">
        <v>3661</v>
      </c>
      <c r="B2426" s="63" t="s">
        <v>3623</v>
      </c>
      <c r="C2426" s="124" t="s">
        <v>3677</v>
      </c>
      <c r="D2426" s="63" t="s">
        <v>3624</v>
      </c>
      <c r="E2426" s="132" t="s">
        <v>3631</v>
      </c>
      <c r="H2426" s="29"/>
      <c r="I2426" s="29"/>
      <c r="J2426" s="29"/>
      <c r="K2426" s="29"/>
      <c r="L2426" s="29"/>
      <c r="M2426" s="29"/>
      <c r="N2426" s="29"/>
      <c r="O2426" s="29"/>
      <c r="P2426" s="29"/>
      <c r="Q2426" s="29"/>
      <c r="R2426" s="29"/>
      <c r="S2426" s="29"/>
      <c r="T2426" s="29"/>
      <c r="U2426" s="29"/>
      <c r="V2426" s="29"/>
      <c r="W2426" s="29"/>
      <c r="X2426" s="29"/>
      <c r="Y2426" s="29"/>
      <c r="Z2426" s="29"/>
      <c r="AA2426" s="29"/>
      <c r="AB2426" s="29"/>
      <c r="AC2426" s="29"/>
      <c r="AD2426" s="29"/>
    </row>
    <row r="2427">
      <c r="A2427" s="16" t="s">
        <v>3661</v>
      </c>
      <c r="B2427" s="63" t="s">
        <v>3623</v>
      </c>
      <c r="C2427" s="124" t="s">
        <v>3678</v>
      </c>
      <c r="D2427" s="63" t="s">
        <v>3624</v>
      </c>
      <c r="E2427" s="132" t="s">
        <v>3631</v>
      </c>
      <c r="H2427" s="29"/>
      <c r="I2427" s="29"/>
      <c r="J2427" s="29"/>
      <c r="K2427" s="29"/>
      <c r="L2427" s="29"/>
      <c r="M2427" s="29"/>
      <c r="N2427" s="29"/>
      <c r="O2427" s="29"/>
      <c r="P2427" s="29"/>
      <c r="Q2427" s="29"/>
      <c r="R2427" s="29"/>
      <c r="S2427" s="29"/>
      <c r="T2427" s="29"/>
      <c r="U2427" s="29"/>
      <c r="V2427" s="29"/>
      <c r="W2427" s="29"/>
      <c r="X2427" s="29"/>
      <c r="Y2427" s="29"/>
      <c r="Z2427" s="29"/>
      <c r="AA2427" s="29"/>
      <c r="AB2427" s="29"/>
      <c r="AC2427" s="29"/>
      <c r="AD2427" s="29"/>
    </row>
    <row r="2428">
      <c r="A2428" s="16" t="s">
        <v>3661</v>
      </c>
      <c r="B2428" s="63" t="s">
        <v>3623</v>
      </c>
      <c r="C2428" s="124" t="s">
        <v>2806</v>
      </c>
      <c r="D2428" s="63" t="s">
        <v>3624</v>
      </c>
      <c r="E2428" s="132" t="s">
        <v>3631</v>
      </c>
      <c r="H2428" s="29"/>
      <c r="I2428" s="29"/>
      <c r="J2428" s="29"/>
      <c r="K2428" s="29"/>
      <c r="L2428" s="29"/>
      <c r="M2428" s="29"/>
      <c r="N2428" s="29"/>
      <c r="O2428" s="29"/>
      <c r="P2428" s="29"/>
      <c r="Q2428" s="29"/>
      <c r="R2428" s="29"/>
      <c r="S2428" s="29"/>
      <c r="T2428" s="29"/>
      <c r="U2428" s="29"/>
      <c r="V2428" s="29"/>
      <c r="W2428" s="29"/>
      <c r="X2428" s="29"/>
      <c r="Y2428" s="29"/>
      <c r="Z2428" s="29"/>
      <c r="AA2428" s="29"/>
      <c r="AB2428" s="29"/>
      <c r="AC2428" s="29"/>
      <c r="AD2428" s="29"/>
    </row>
    <row r="2429">
      <c r="A2429" s="16" t="s">
        <v>3661</v>
      </c>
      <c r="B2429" s="63" t="s">
        <v>3623</v>
      </c>
      <c r="C2429" s="124" t="s">
        <v>3679</v>
      </c>
      <c r="D2429" s="63" t="s">
        <v>3624</v>
      </c>
      <c r="E2429" s="132" t="s">
        <v>3631</v>
      </c>
      <c r="H2429" s="29"/>
      <c r="I2429" s="29"/>
      <c r="J2429" s="29"/>
      <c r="K2429" s="29"/>
      <c r="L2429" s="29"/>
      <c r="M2429" s="29"/>
      <c r="N2429" s="29"/>
      <c r="O2429" s="29"/>
      <c r="P2429" s="29"/>
      <c r="Q2429" s="29"/>
      <c r="R2429" s="29"/>
      <c r="S2429" s="29"/>
      <c r="T2429" s="29"/>
      <c r="U2429" s="29"/>
      <c r="V2429" s="29"/>
      <c r="W2429" s="29"/>
      <c r="X2429" s="29"/>
      <c r="Y2429" s="29"/>
      <c r="Z2429" s="29"/>
      <c r="AA2429" s="29"/>
      <c r="AB2429" s="29"/>
      <c r="AC2429" s="29"/>
      <c r="AD2429" s="29"/>
    </row>
    <row r="2430">
      <c r="A2430" s="16" t="s">
        <v>3661</v>
      </c>
      <c r="B2430" s="63" t="s">
        <v>3623</v>
      </c>
      <c r="C2430" s="124" t="s">
        <v>2260</v>
      </c>
      <c r="D2430" s="63" t="s">
        <v>3624</v>
      </c>
      <c r="E2430" s="132" t="s">
        <v>3631</v>
      </c>
      <c r="H2430" s="29"/>
      <c r="I2430" s="29"/>
      <c r="J2430" s="29"/>
      <c r="K2430" s="29"/>
      <c r="L2430" s="29"/>
      <c r="M2430" s="29"/>
      <c r="N2430" s="29"/>
      <c r="O2430" s="29"/>
      <c r="P2430" s="29"/>
      <c r="Q2430" s="29"/>
      <c r="R2430" s="29"/>
      <c r="S2430" s="29"/>
      <c r="T2430" s="29"/>
      <c r="U2430" s="29"/>
      <c r="V2430" s="29"/>
      <c r="W2430" s="29"/>
      <c r="X2430" s="29"/>
      <c r="Y2430" s="29"/>
      <c r="Z2430" s="29"/>
      <c r="AA2430" s="29"/>
      <c r="AB2430" s="29"/>
      <c r="AC2430" s="29"/>
      <c r="AD2430" s="29"/>
    </row>
    <row r="2431">
      <c r="A2431" s="16" t="s">
        <v>3661</v>
      </c>
      <c r="B2431" s="63" t="s">
        <v>3623</v>
      </c>
      <c r="C2431" s="124" t="s">
        <v>3680</v>
      </c>
      <c r="D2431" s="63" t="s">
        <v>3624</v>
      </c>
      <c r="E2431" s="132" t="s">
        <v>3631</v>
      </c>
      <c r="H2431" s="29"/>
      <c r="I2431" s="29"/>
      <c r="J2431" s="29"/>
      <c r="K2431" s="29"/>
      <c r="L2431" s="29"/>
      <c r="M2431" s="29"/>
      <c r="N2431" s="29"/>
      <c r="O2431" s="29"/>
      <c r="P2431" s="29"/>
      <c r="Q2431" s="29"/>
      <c r="R2431" s="29"/>
      <c r="S2431" s="29"/>
      <c r="T2431" s="29"/>
      <c r="U2431" s="29"/>
      <c r="V2431" s="29"/>
      <c r="W2431" s="29"/>
      <c r="X2431" s="29"/>
      <c r="Y2431" s="29"/>
      <c r="Z2431" s="29"/>
      <c r="AA2431" s="29"/>
      <c r="AB2431" s="29"/>
      <c r="AC2431" s="29"/>
      <c r="AD2431" s="29"/>
    </row>
    <row r="2432">
      <c r="A2432" s="16" t="s">
        <v>3661</v>
      </c>
      <c r="B2432" s="63" t="s">
        <v>3623</v>
      </c>
      <c r="C2432" s="124" t="s">
        <v>2258</v>
      </c>
      <c r="D2432" s="63" t="s">
        <v>3624</v>
      </c>
      <c r="E2432" s="132" t="s">
        <v>3631</v>
      </c>
      <c r="H2432" s="29"/>
      <c r="I2432" s="29"/>
      <c r="J2432" s="29"/>
      <c r="K2432" s="29"/>
      <c r="L2432" s="29"/>
      <c r="M2432" s="29"/>
      <c r="N2432" s="29"/>
      <c r="O2432" s="29"/>
      <c r="P2432" s="29"/>
      <c r="Q2432" s="29"/>
      <c r="R2432" s="29"/>
      <c r="S2432" s="29"/>
      <c r="T2432" s="29"/>
      <c r="U2432" s="29"/>
      <c r="V2432" s="29"/>
      <c r="W2432" s="29"/>
      <c r="X2432" s="29"/>
      <c r="Y2432" s="29"/>
      <c r="Z2432" s="29"/>
      <c r="AA2432" s="29"/>
      <c r="AB2432" s="29"/>
      <c r="AC2432" s="29"/>
      <c r="AD2432" s="29"/>
    </row>
    <row r="2433">
      <c r="A2433" s="16" t="s">
        <v>3661</v>
      </c>
      <c r="B2433" s="63" t="s">
        <v>3623</v>
      </c>
      <c r="C2433" s="124" t="s">
        <v>3681</v>
      </c>
      <c r="D2433" s="63" t="s">
        <v>3624</v>
      </c>
      <c r="E2433" s="132" t="s">
        <v>3631</v>
      </c>
      <c r="H2433" s="29"/>
      <c r="I2433" s="29"/>
      <c r="J2433" s="29"/>
      <c r="K2433" s="29"/>
      <c r="L2433" s="29"/>
      <c r="M2433" s="29"/>
      <c r="N2433" s="29"/>
      <c r="O2433" s="29"/>
      <c r="P2433" s="29"/>
      <c r="Q2433" s="29"/>
      <c r="R2433" s="29"/>
      <c r="S2433" s="29"/>
      <c r="T2433" s="29"/>
      <c r="U2433" s="29"/>
      <c r="V2433" s="29"/>
      <c r="W2433" s="29"/>
      <c r="X2433" s="29"/>
      <c r="Y2433" s="29"/>
      <c r="Z2433" s="29"/>
      <c r="AA2433" s="29"/>
      <c r="AB2433" s="29"/>
      <c r="AC2433" s="29"/>
      <c r="AD2433" s="29"/>
    </row>
    <row r="2434">
      <c r="A2434" s="16" t="s">
        <v>3661</v>
      </c>
      <c r="B2434" s="63" t="s">
        <v>3623</v>
      </c>
      <c r="C2434" s="124" t="s">
        <v>3682</v>
      </c>
      <c r="D2434" s="63" t="s">
        <v>3624</v>
      </c>
      <c r="E2434" s="132" t="s">
        <v>3631</v>
      </c>
      <c r="H2434" s="29"/>
      <c r="I2434" s="29"/>
      <c r="J2434" s="29"/>
      <c r="K2434" s="29"/>
      <c r="L2434" s="29"/>
      <c r="M2434" s="29"/>
      <c r="N2434" s="29"/>
      <c r="O2434" s="29"/>
      <c r="P2434" s="29"/>
      <c r="Q2434" s="29"/>
      <c r="R2434" s="29"/>
      <c r="S2434" s="29"/>
      <c r="T2434" s="29"/>
      <c r="U2434" s="29"/>
      <c r="V2434" s="29"/>
      <c r="W2434" s="29"/>
      <c r="X2434" s="29"/>
      <c r="Y2434" s="29"/>
      <c r="Z2434" s="29"/>
      <c r="AA2434" s="29"/>
      <c r="AB2434" s="29"/>
      <c r="AC2434" s="29"/>
      <c r="AD2434" s="29"/>
    </row>
    <row r="2435">
      <c r="A2435" s="16" t="s">
        <v>3661</v>
      </c>
      <c r="B2435" s="63" t="s">
        <v>3623</v>
      </c>
      <c r="C2435" s="72" t="s">
        <v>3680</v>
      </c>
      <c r="D2435" s="63" t="s">
        <v>3624</v>
      </c>
      <c r="E2435" s="132" t="s">
        <v>3631</v>
      </c>
      <c r="H2435" s="29"/>
      <c r="I2435" s="29"/>
      <c r="J2435" s="29"/>
      <c r="K2435" s="29"/>
      <c r="L2435" s="29"/>
      <c r="M2435" s="29"/>
      <c r="N2435" s="29"/>
      <c r="O2435" s="29"/>
      <c r="P2435" s="29"/>
      <c r="Q2435" s="29"/>
      <c r="R2435" s="29"/>
      <c r="S2435" s="29"/>
      <c r="T2435" s="29"/>
      <c r="U2435" s="29"/>
      <c r="V2435" s="29"/>
      <c r="W2435" s="29"/>
      <c r="X2435" s="29"/>
      <c r="Y2435" s="29"/>
      <c r="Z2435" s="29"/>
      <c r="AA2435" s="29"/>
      <c r="AB2435" s="29"/>
      <c r="AC2435" s="29"/>
      <c r="AD2435" s="29"/>
    </row>
    <row r="2436">
      <c r="A2436" s="16" t="s">
        <v>3661</v>
      </c>
      <c r="B2436" s="63" t="s">
        <v>3623</v>
      </c>
      <c r="C2436" s="72" t="s">
        <v>3681</v>
      </c>
      <c r="D2436" s="63" t="s">
        <v>3624</v>
      </c>
      <c r="E2436" s="132" t="s">
        <v>3631</v>
      </c>
      <c r="H2436" s="29"/>
      <c r="I2436" s="29"/>
      <c r="J2436" s="29"/>
      <c r="K2436" s="29"/>
      <c r="L2436" s="29"/>
      <c r="M2436" s="29"/>
      <c r="N2436" s="29"/>
      <c r="O2436" s="29"/>
      <c r="P2436" s="29"/>
      <c r="Q2436" s="29"/>
      <c r="R2436" s="29"/>
      <c r="S2436" s="29"/>
      <c r="T2436" s="29"/>
      <c r="U2436" s="29"/>
      <c r="V2436" s="29"/>
      <c r="W2436" s="29"/>
      <c r="X2436" s="29"/>
      <c r="Y2436" s="29"/>
      <c r="Z2436" s="29"/>
      <c r="AA2436" s="29"/>
      <c r="AB2436" s="29"/>
      <c r="AC2436" s="29"/>
      <c r="AD2436" s="29"/>
    </row>
    <row r="2437">
      <c r="A2437" s="115"/>
      <c r="B2437" s="22"/>
      <c r="C2437" s="68"/>
      <c r="D2437" s="63"/>
      <c r="E2437" s="9"/>
      <c r="H2437" s="29"/>
      <c r="I2437" s="29"/>
      <c r="J2437" s="29"/>
      <c r="K2437" s="29"/>
      <c r="L2437" s="29"/>
      <c r="M2437" s="29"/>
      <c r="N2437" s="29"/>
      <c r="O2437" s="29"/>
      <c r="P2437" s="29"/>
      <c r="Q2437" s="29"/>
      <c r="R2437" s="29"/>
      <c r="S2437" s="29"/>
      <c r="T2437" s="29"/>
      <c r="U2437" s="29"/>
      <c r="V2437" s="29"/>
      <c r="W2437" s="29"/>
      <c r="X2437" s="29"/>
      <c r="Y2437" s="29"/>
      <c r="Z2437" s="29"/>
      <c r="AA2437" s="29"/>
      <c r="AB2437" s="29"/>
      <c r="AC2437" s="29"/>
      <c r="AD2437" s="29"/>
    </row>
    <row r="2438">
      <c r="A2438" s="16" t="s">
        <v>3683</v>
      </c>
      <c r="B2438" s="63" t="s">
        <v>3580</v>
      </c>
      <c r="C2438" s="72" t="s">
        <v>3684</v>
      </c>
      <c r="D2438" s="63" t="s">
        <v>3685</v>
      </c>
      <c r="E2438" s="72" t="s">
        <v>807</v>
      </c>
      <c r="H2438" s="29"/>
      <c r="I2438" s="29"/>
      <c r="J2438" s="29"/>
      <c r="K2438" s="29"/>
      <c r="L2438" s="29"/>
      <c r="M2438" s="29"/>
      <c r="N2438" s="29"/>
      <c r="O2438" s="29"/>
      <c r="P2438" s="29"/>
      <c r="Q2438" s="29"/>
      <c r="R2438" s="29"/>
      <c r="S2438" s="29"/>
      <c r="T2438" s="29"/>
      <c r="U2438" s="29"/>
      <c r="V2438" s="29"/>
      <c r="W2438" s="29"/>
      <c r="X2438" s="29"/>
      <c r="Y2438" s="29"/>
      <c r="Z2438" s="29"/>
      <c r="AA2438" s="29"/>
      <c r="AB2438" s="29"/>
      <c r="AC2438" s="29"/>
      <c r="AD2438" s="29"/>
    </row>
    <row r="2439">
      <c r="A2439" s="16" t="s">
        <v>3683</v>
      </c>
      <c r="B2439" s="63" t="s">
        <v>3580</v>
      </c>
      <c r="C2439" s="72" t="s">
        <v>3686</v>
      </c>
      <c r="D2439" s="63" t="s">
        <v>3687</v>
      </c>
      <c r="E2439" s="72" t="s">
        <v>807</v>
      </c>
      <c r="H2439" s="29"/>
      <c r="I2439" s="29"/>
      <c r="J2439" s="29"/>
      <c r="K2439" s="29"/>
      <c r="L2439" s="29"/>
      <c r="M2439" s="29"/>
      <c r="N2439" s="29"/>
      <c r="O2439" s="29"/>
      <c r="P2439" s="29"/>
      <c r="Q2439" s="29"/>
      <c r="R2439" s="29"/>
      <c r="S2439" s="29"/>
      <c r="T2439" s="29"/>
      <c r="U2439" s="29"/>
      <c r="V2439" s="29"/>
      <c r="W2439" s="29"/>
      <c r="X2439" s="29"/>
      <c r="Y2439" s="29"/>
      <c r="Z2439" s="29"/>
      <c r="AA2439" s="29"/>
      <c r="AB2439" s="29"/>
      <c r="AC2439" s="29"/>
      <c r="AD2439" s="29"/>
    </row>
    <row r="2440">
      <c r="A2440" s="16" t="s">
        <v>3683</v>
      </c>
      <c r="B2440" s="63" t="s">
        <v>3580</v>
      </c>
      <c r="C2440" s="72" t="s">
        <v>3688</v>
      </c>
      <c r="D2440" s="63" t="s">
        <v>3689</v>
      </c>
      <c r="E2440" s="72" t="s">
        <v>807</v>
      </c>
      <c r="H2440" s="29"/>
      <c r="I2440" s="29"/>
      <c r="J2440" s="29"/>
      <c r="K2440" s="29"/>
      <c r="L2440" s="29"/>
      <c r="M2440" s="29"/>
      <c r="N2440" s="29"/>
      <c r="O2440" s="29"/>
      <c r="P2440" s="29"/>
      <c r="Q2440" s="29"/>
      <c r="R2440" s="29"/>
      <c r="S2440" s="29"/>
      <c r="T2440" s="29"/>
      <c r="U2440" s="29"/>
      <c r="V2440" s="29"/>
      <c r="W2440" s="29"/>
      <c r="X2440" s="29"/>
      <c r="Y2440" s="29"/>
      <c r="Z2440" s="29"/>
      <c r="AA2440" s="29"/>
      <c r="AB2440" s="29"/>
      <c r="AC2440" s="29"/>
      <c r="AD2440" s="29"/>
    </row>
    <row r="2441">
      <c r="A2441" s="16" t="s">
        <v>3683</v>
      </c>
      <c r="B2441" s="63" t="s">
        <v>3589</v>
      </c>
      <c r="C2441" s="72" t="s">
        <v>3690</v>
      </c>
      <c r="D2441" s="63" t="s">
        <v>3691</v>
      </c>
      <c r="E2441" s="132" t="s">
        <v>546</v>
      </c>
      <c r="H2441" s="29"/>
      <c r="I2441" s="29"/>
      <c r="J2441" s="29"/>
      <c r="K2441" s="29"/>
      <c r="L2441" s="29"/>
      <c r="M2441" s="29"/>
      <c r="N2441" s="29"/>
      <c r="O2441" s="29"/>
      <c r="P2441" s="29"/>
      <c r="Q2441" s="29"/>
      <c r="R2441" s="29"/>
      <c r="S2441" s="29"/>
      <c r="T2441" s="29"/>
      <c r="U2441" s="29"/>
      <c r="V2441" s="29"/>
      <c r="W2441" s="29"/>
      <c r="X2441" s="29"/>
      <c r="Y2441" s="29"/>
      <c r="Z2441" s="29"/>
      <c r="AA2441" s="29"/>
      <c r="AB2441" s="29"/>
      <c r="AC2441" s="29"/>
      <c r="AD2441" s="29"/>
    </row>
    <row r="2442">
      <c r="A2442" s="16" t="s">
        <v>3683</v>
      </c>
      <c r="B2442" s="63" t="s">
        <v>3692</v>
      </c>
      <c r="C2442" s="72" t="s">
        <v>3136</v>
      </c>
      <c r="D2442" s="63" t="s">
        <v>3693</v>
      </c>
      <c r="E2442" s="132" t="s">
        <v>3629</v>
      </c>
      <c r="H2442" s="29"/>
      <c r="I2442" s="29"/>
      <c r="J2442" s="29"/>
      <c r="K2442" s="29"/>
      <c r="L2442" s="29"/>
      <c r="M2442" s="29"/>
      <c r="N2442" s="29"/>
      <c r="O2442" s="29"/>
      <c r="P2442" s="29"/>
      <c r="Q2442" s="29"/>
      <c r="R2442" s="29"/>
      <c r="S2442" s="29"/>
      <c r="T2442" s="29"/>
      <c r="U2442" s="29"/>
      <c r="V2442" s="29"/>
      <c r="W2442" s="29"/>
      <c r="X2442" s="29"/>
      <c r="Y2442" s="29"/>
      <c r="Z2442" s="29"/>
      <c r="AA2442" s="29"/>
      <c r="AB2442" s="29"/>
      <c r="AC2442" s="29"/>
      <c r="AD2442" s="29"/>
    </row>
    <row r="2443">
      <c r="A2443" s="16" t="s">
        <v>3683</v>
      </c>
      <c r="B2443" s="63" t="s">
        <v>3374</v>
      </c>
      <c r="C2443" s="72" t="s">
        <v>1350</v>
      </c>
      <c r="D2443" s="63" t="s">
        <v>3083</v>
      </c>
      <c r="E2443" s="132" t="s">
        <v>3622</v>
      </c>
      <c r="H2443" s="29"/>
      <c r="I2443" s="29"/>
      <c r="J2443" s="29"/>
      <c r="K2443" s="29"/>
      <c r="L2443" s="29"/>
      <c r="M2443" s="29"/>
      <c r="N2443" s="29"/>
      <c r="O2443" s="29"/>
      <c r="P2443" s="29"/>
      <c r="Q2443" s="29"/>
      <c r="R2443" s="29"/>
      <c r="S2443" s="29"/>
      <c r="T2443" s="29"/>
      <c r="U2443" s="29"/>
      <c r="V2443" s="29"/>
      <c r="W2443" s="29"/>
      <c r="X2443" s="29"/>
      <c r="Y2443" s="29"/>
      <c r="Z2443" s="29"/>
      <c r="AA2443" s="29"/>
      <c r="AB2443" s="29"/>
      <c r="AC2443" s="29"/>
      <c r="AD2443" s="29"/>
    </row>
    <row r="2444">
      <c r="A2444" s="16" t="s">
        <v>3683</v>
      </c>
      <c r="B2444" s="63" t="s">
        <v>3580</v>
      </c>
      <c r="C2444" s="72" t="s">
        <v>3694</v>
      </c>
      <c r="D2444" s="63" t="s">
        <v>3695</v>
      </c>
      <c r="E2444" s="132" t="s">
        <v>546</v>
      </c>
      <c r="H2444" s="29"/>
      <c r="I2444" s="29"/>
      <c r="J2444" s="29"/>
      <c r="K2444" s="29"/>
      <c r="L2444" s="29"/>
      <c r="M2444" s="29"/>
      <c r="N2444" s="29"/>
      <c r="O2444" s="29"/>
      <c r="P2444" s="29"/>
      <c r="Q2444" s="29"/>
      <c r="R2444" s="29"/>
      <c r="S2444" s="29"/>
      <c r="T2444" s="29"/>
      <c r="U2444" s="29"/>
      <c r="V2444" s="29"/>
      <c r="W2444" s="29"/>
      <c r="X2444" s="29"/>
      <c r="Y2444" s="29"/>
      <c r="Z2444" s="29"/>
      <c r="AA2444" s="29"/>
      <c r="AB2444" s="29"/>
      <c r="AC2444" s="29"/>
      <c r="AD2444" s="29"/>
    </row>
    <row r="2445">
      <c r="A2445" s="16" t="s">
        <v>3683</v>
      </c>
      <c r="B2445" s="63" t="s">
        <v>3580</v>
      </c>
      <c r="C2445" s="72" t="s">
        <v>3533</v>
      </c>
      <c r="D2445" s="63" t="s">
        <v>3696</v>
      </c>
      <c r="E2445" s="132" t="s">
        <v>546</v>
      </c>
      <c r="H2445" s="29"/>
      <c r="I2445" s="29"/>
      <c r="J2445" s="29"/>
      <c r="K2445" s="29"/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29"/>
      <c r="AB2445" s="29"/>
      <c r="AC2445" s="29"/>
      <c r="AD2445" s="29"/>
    </row>
    <row r="2446">
      <c r="A2446" s="16" t="s">
        <v>3683</v>
      </c>
      <c r="B2446" s="63" t="s">
        <v>3580</v>
      </c>
      <c r="C2446" s="72" t="s">
        <v>3697</v>
      </c>
      <c r="D2446" s="63" t="s">
        <v>3698</v>
      </c>
      <c r="E2446" s="132" t="s">
        <v>546</v>
      </c>
      <c r="H2446" s="29"/>
      <c r="I2446" s="29"/>
      <c r="J2446" s="29"/>
      <c r="K2446" s="29"/>
      <c r="L2446" s="29"/>
      <c r="M2446" s="29"/>
      <c r="N2446" s="29"/>
      <c r="O2446" s="29"/>
      <c r="P2446" s="29"/>
      <c r="Q2446" s="29"/>
      <c r="R2446" s="29"/>
      <c r="S2446" s="29"/>
      <c r="T2446" s="29"/>
      <c r="U2446" s="29"/>
      <c r="V2446" s="29"/>
      <c r="W2446" s="29"/>
      <c r="X2446" s="29"/>
      <c r="Y2446" s="29"/>
      <c r="Z2446" s="29"/>
      <c r="AA2446" s="29"/>
      <c r="AB2446" s="29"/>
      <c r="AC2446" s="29"/>
      <c r="AD2446" s="29"/>
    </row>
    <row r="2447">
      <c r="A2447" s="16" t="s">
        <v>3683</v>
      </c>
      <c r="B2447" s="63" t="s">
        <v>3580</v>
      </c>
      <c r="C2447" s="72" t="s">
        <v>3697</v>
      </c>
      <c r="D2447" s="63" t="s">
        <v>3699</v>
      </c>
      <c r="E2447" s="132" t="s">
        <v>546</v>
      </c>
      <c r="H2447" s="29"/>
      <c r="I2447" s="29"/>
      <c r="J2447" s="29"/>
      <c r="K2447" s="29"/>
      <c r="L2447" s="29"/>
      <c r="M2447" s="29"/>
      <c r="N2447" s="29"/>
      <c r="O2447" s="29"/>
      <c r="P2447" s="29"/>
      <c r="Q2447" s="29"/>
      <c r="R2447" s="29"/>
      <c r="S2447" s="29"/>
      <c r="T2447" s="29"/>
      <c r="U2447" s="29"/>
      <c r="V2447" s="29"/>
      <c r="W2447" s="29"/>
      <c r="X2447" s="29"/>
      <c r="Y2447" s="29"/>
      <c r="Z2447" s="29"/>
      <c r="AA2447" s="29"/>
      <c r="AB2447" s="29"/>
      <c r="AC2447" s="29"/>
      <c r="AD2447" s="29"/>
    </row>
    <row r="2448">
      <c r="A2448" s="16" t="s">
        <v>3683</v>
      </c>
      <c r="B2448" s="63" t="s">
        <v>3374</v>
      </c>
      <c r="C2448" s="72" t="s">
        <v>3700</v>
      </c>
      <c r="D2448" s="63" t="s">
        <v>3701</v>
      </c>
      <c r="E2448" s="161" t="s">
        <v>7</v>
      </c>
      <c r="H2448" s="29"/>
      <c r="I2448" s="29"/>
      <c r="J2448" s="29"/>
      <c r="K2448" s="29"/>
      <c r="L2448" s="29"/>
      <c r="M2448" s="29"/>
      <c r="N2448" s="29"/>
      <c r="O2448" s="29"/>
      <c r="P2448" s="29"/>
      <c r="Q2448" s="29"/>
      <c r="R2448" s="29"/>
      <c r="S2448" s="29"/>
      <c r="T2448" s="29"/>
      <c r="U2448" s="29"/>
      <c r="V2448" s="29"/>
      <c r="W2448" s="29"/>
      <c r="X2448" s="29"/>
      <c r="Y2448" s="29"/>
      <c r="Z2448" s="29"/>
      <c r="AA2448" s="29"/>
      <c r="AB2448" s="29"/>
      <c r="AC2448" s="29"/>
      <c r="AD2448" s="29"/>
    </row>
    <row r="2449">
      <c r="A2449" s="16" t="s">
        <v>3683</v>
      </c>
      <c r="B2449" s="63" t="s">
        <v>3374</v>
      </c>
      <c r="C2449" s="72" t="s">
        <v>3702</v>
      </c>
      <c r="D2449" s="63" t="s">
        <v>3703</v>
      </c>
      <c r="E2449" s="161" t="s">
        <v>7</v>
      </c>
      <c r="H2449" s="29"/>
      <c r="I2449" s="29"/>
      <c r="J2449" s="29"/>
      <c r="K2449" s="29"/>
      <c r="L2449" s="29"/>
      <c r="M2449" s="29"/>
      <c r="N2449" s="29"/>
      <c r="O2449" s="29"/>
      <c r="P2449" s="29"/>
      <c r="Q2449" s="29"/>
      <c r="R2449" s="29"/>
      <c r="S2449" s="29"/>
      <c r="T2449" s="29"/>
      <c r="U2449" s="29"/>
      <c r="V2449" s="29"/>
      <c r="W2449" s="29"/>
      <c r="X2449" s="29"/>
      <c r="Y2449" s="29"/>
      <c r="Z2449" s="29"/>
      <c r="AA2449" s="29"/>
      <c r="AB2449" s="29"/>
      <c r="AC2449" s="29"/>
      <c r="AD2449" s="29"/>
    </row>
    <row r="2450">
      <c r="A2450" s="115"/>
      <c r="B2450" s="22"/>
      <c r="C2450" s="68"/>
      <c r="D2450" s="63"/>
      <c r="E2450" s="9"/>
      <c r="H2450" s="29"/>
      <c r="I2450" s="29"/>
      <c r="J2450" s="29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29"/>
      <c r="AB2450" s="29"/>
      <c r="AC2450" s="29"/>
      <c r="AD2450" s="29"/>
    </row>
    <row r="2451">
      <c r="A2451" s="16" t="s">
        <v>3704</v>
      </c>
      <c r="B2451" s="63" t="s">
        <v>3692</v>
      </c>
      <c r="C2451" s="72" t="s">
        <v>3136</v>
      </c>
      <c r="D2451" s="63" t="s">
        <v>3705</v>
      </c>
      <c r="E2451" s="161" t="s">
        <v>7</v>
      </c>
      <c r="H2451" s="29"/>
      <c r="I2451" s="29"/>
      <c r="J2451" s="29"/>
      <c r="K2451" s="29"/>
      <c r="L2451" s="29"/>
      <c r="M2451" s="29"/>
      <c r="N2451" s="29"/>
      <c r="O2451" s="29"/>
      <c r="P2451" s="29"/>
      <c r="Q2451" s="29"/>
      <c r="R2451" s="29"/>
      <c r="S2451" s="29"/>
      <c r="T2451" s="29"/>
      <c r="U2451" s="29"/>
      <c r="V2451" s="29"/>
      <c r="W2451" s="29"/>
      <c r="X2451" s="29"/>
      <c r="Y2451" s="29"/>
      <c r="Z2451" s="29"/>
      <c r="AA2451" s="29"/>
      <c r="AB2451" s="29"/>
      <c r="AC2451" s="29"/>
      <c r="AD2451" s="29"/>
    </row>
    <row r="2452">
      <c r="A2452" s="16" t="s">
        <v>3704</v>
      </c>
      <c r="B2452" s="63" t="s">
        <v>3692</v>
      </c>
      <c r="C2452" s="72" t="s">
        <v>3136</v>
      </c>
      <c r="D2452" s="63" t="s">
        <v>3706</v>
      </c>
      <c r="E2452" s="161" t="s">
        <v>7</v>
      </c>
      <c r="H2452" s="29"/>
      <c r="I2452" s="29"/>
      <c r="J2452" s="29"/>
      <c r="K2452" s="29"/>
      <c r="L2452" s="29"/>
      <c r="M2452" s="29"/>
      <c r="N2452" s="29"/>
      <c r="O2452" s="29"/>
      <c r="P2452" s="29"/>
      <c r="Q2452" s="29"/>
      <c r="R2452" s="29"/>
      <c r="S2452" s="29"/>
      <c r="T2452" s="29"/>
      <c r="U2452" s="29"/>
      <c r="V2452" s="29"/>
      <c r="W2452" s="29"/>
      <c r="X2452" s="29"/>
      <c r="Y2452" s="29"/>
      <c r="Z2452" s="29"/>
      <c r="AA2452" s="29"/>
      <c r="AB2452" s="29"/>
      <c r="AC2452" s="29"/>
      <c r="AD2452" s="29"/>
    </row>
    <row r="2453">
      <c r="A2453" s="16" t="s">
        <v>3704</v>
      </c>
      <c r="B2453" s="63" t="s">
        <v>3707</v>
      </c>
      <c r="C2453" s="72" t="s">
        <v>3708</v>
      </c>
      <c r="D2453" s="63" t="s">
        <v>3709</v>
      </c>
      <c r="E2453" s="161" t="s">
        <v>7</v>
      </c>
      <c r="H2453" s="29"/>
      <c r="I2453" s="29"/>
      <c r="J2453" s="29"/>
      <c r="K2453" s="29"/>
      <c r="L2453" s="29"/>
      <c r="M2453" s="29"/>
      <c r="N2453" s="29"/>
      <c r="O2453" s="29"/>
      <c r="P2453" s="29"/>
      <c r="Q2453" s="29"/>
      <c r="R2453" s="29"/>
      <c r="S2453" s="29"/>
      <c r="T2453" s="29"/>
      <c r="U2453" s="29"/>
      <c r="V2453" s="29"/>
      <c r="W2453" s="29"/>
      <c r="X2453" s="29"/>
      <c r="Y2453" s="29"/>
      <c r="Z2453" s="29"/>
      <c r="AA2453" s="29"/>
      <c r="AB2453" s="29"/>
      <c r="AC2453" s="29"/>
      <c r="AD2453" s="29"/>
    </row>
    <row r="2454">
      <c r="A2454" s="16" t="s">
        <v>3704</v>
      </c>
      <c r="B2454" s="63" t="s">
        <v>3707</v>
      </c>
      <c r="C2454" s="72" t="s">
        <v>3710</v>
      </c>
      <c r="D2454" s="63" t="s">
        <v>3711</v>
      </c>
      <c r="E2454" s="132" t="s">
        <v>123</v>
      </c>
      <c r="H2454" s="29"/>
      <c r="I2454" s="29"/>
      <c r="J2454" s="29"/>
      <c r="K2454" s="29"/>
      <c r="L2454" s="29"/>
      <c r="M2454" s="29"/>
      <c r="N2454" s="29"/>
      <c r="O2454" s="29"/>
      <c r="P2454" s="29"/>
      <c r="Q2454" s="29"/>
      <c r="R2454" s="29"/>
      <c r="S2454" s="29"/>
      <c r="T2454" s="29"/>
      <c r="U2454" s="29"/>
      <c r="V2454" s="29"/>
      <c r="W2454" s="29"/>
      <c r="X2454" s="29"/>
      <c r="Y2454" s="29"/>
      <c r="Z2454" s="29"/>
      <c r="AA2454" s="29"/>
      <c r="AB2454" s="29"/>
      <c r="AC2454" s="29"/>
      <c r="AD2454" s="29"/>
    </row>
    <row r="2455">
      <c r="A2455" s="16" t="s">
        <v>3704</v>
      </c>
      <c r="B2455" s="63" t="s">
        <v>3667</v>
      </c>
      <c r="C2455" s="72" t="s">
        <v>3668</v>
      </c>
      <c r="D2455" s="63" t="s">
        <v>3712</v>
      </c>
      <c r="E2455" s="72" t="s">
        <v>3629</v>
      </c>
      <c r="H2455" s="29"/>
      <c r="I2455" s="29"/>
      <c r="J2455" s="29"/>
      <c r="K2455" s="29"/>
      <c r="L2455" s="29"/>
      <c r="M2455" s="29"/>
      <c r="N2455" s="29"/>
      <c r="O2455" s="29"/>
      <c r="P2455" s="29"/>
      <c r="Q2455" s="29"/>
      <c r="R2455" s="29"/>
      <c r="S2455" s="29"/>
      <c r="T2455" s="29"/>
      <c r="U2455" s="29"/>
      <c r="V2455" s="29"/>
      <c r="W2455" s="29"/>
      <c r="X2455" s="29"/>
      <c r="Y2455" s="29"/>
      <c r="Z2455" s="29"/>
      <c r="AA2455" s="29"/>
      <c r="AB2455" s="29"/>
      <c r="AC2455" s="29"/>
      <c r="AD2455" s="29"/>
    </row>
    <row r="2456">
      <c r="A2456" s="16" t="s">
        <v>3704</v>
      </c>
      <c r="B2456" s="63" t="s">
        <v>3667</v>
      </c>
      <c r="C2456" s="72" t="s">
        <v>3185</v>
      </c>
      <c r="D2456" s="63" t="s">
        <v>3713</v>
      </c>
      <c r="E2456" s="72" t="s">
        <v>3629</v>
      </c>
      <c r="H2456" s="29"/>
      <c r="I2456" s="29"/>
      <c r="J2456" s="29"/>
      <c r="K2456" s="29"/>
      <c r="L2456" s="29"/>
      <c r="M2456" s="29"/>
      <c r="N2456" s="29"/>
      <c r="O2456" s="29"/>
      <c r="P2456" s="29"/>
      <c r="Q2456" s="29"/>
      <c r="R2456" s="29"/>
      <c r="S2456" s="29"/>
      <c r="T2456" s="29"/>
      <c r="U2456" s="29"/>
      <c r="V2456" s="29"/>
      <c r="W2456" s="29"/>
      <c r="X2456" s="29"/>
      <c r="Y2456" s="29"/>
      <c r="Z2456" s="29"/>
      <c r="AA2456" s="29"/>
      <c r="AB2456" s="29"/>
      <c r="AC2456" s="29"/>
      <c r="AD2456" s="29"/>
    </row>
    <row r="2457">
      <c r="A2457" s="115"/>
      <c r="B2457" s="22"/>
      <c r="C2457" s="68"/>
      <c r="D2457" s="63"/>
      <c r="E2457" s="9"/>
      <c r="H2457" s="29"/>
      <c r="I2457" s="29"/>
      <c r="J2457" s="29"/>
      <c r="K2457" s="29"/>
      <c r="L2457" s="29"/>
      <c r="M2457" s="29"/>
      <c r="N2457" s="29"/>
      <c r="O2457" s="29"/>
      <c r="P2457" s="29"/>
      <c r="Q2457" s="29"/>
      <c r="R2457" s="29"/>
      <c r="S2457" s="29"/>
      <c r="T2457" s="29"/>
      <c r="U2457" s="29"/>
      <c r="V2457" s="29"/>
      <c r="W2457" s="29"/>
      <c r="X2457" s="29"/>
      <c r="Y2457" s="29"/>
      <c r="Z2457" s="29"/>
      <c r="AA2457" s="29"/>
      <c r="AB2457" s="29"/>
      <c r="AC2457" s="29"/>
      <c r="AD2457" s="29"/>
    </row>
    <row r="2458">
      <c r="A2458" s="16" t="s">
        <v>3714</v>
      </c>
      <c r="B2458" s="63" t="s">
        <v>3580</v>
      </c>
      <c r="C2458" s="72" t="s">
        <v>3715</v>
      </c>
      <c r="D2458" s="63" t="s">
        <v>3685</v>
      </c>
      <c r="E2458" s="132" t="s">
        <v>3716</v>
      </c>
      <c r="H2458" s="29"/>
      <c r="I2458" s="29"/>
      <c r="J2458" s="29"/>
      <c r="K2458" s="29"/>
      <c r="L2458" s="29"/>
      <c r="M2458" s="29"/>
      <c r="N2458" s="29"/>
      <c r="O2458" s="29"/>
      <c r="P2458" s="29"/>
      <c r="Q2458" s="29"/>
      <c r="R2458" s="29"/>
      <c r="S2458" s="29"/>
      <c r="T2458" s="29"/>
      <c r="U2458" s="29"/>
      <c r="V2458" s="29"/>
      <c r="W2458" s="29"/>
      <c r="X2458" s="29"/>
      <c r="Y2458" s="29"/>
      <c r="Z2458" s="29"/>
      <c r="AA2458" s="29"/>
      <c r="AB2458" s="29"/>
      <c r="AC2458" s="29"/>
      <c r="AD2458" s="29"/>
    </row>
    <row r="2459">
      <c r="A2459" s="16" t="s">
        <v>3714</v>
      </c>
      <c r="B2459" s="63" t="s">
        <v>3692</v>
      </c>
      <c r="C2459" s="72" t="s">
        <v>3136</v>
      </c>
      <c r="D2459" s="63" t="s">
        <v>3717</v>
      </c>
      <c r="E2459" s="132" t="s">
        <v>123</v>
      </c>
      <c r="H2459" s="29"/>
      <c r="I2459" s="29"/>
      <c r="J2459" s="29"/>
      <c r="K2459" s="29"/>
      <c r="L2459" s="29"/>
      <c r="M2459" s="29"/>
      <c r="N2459" s="29"/>
      <c r="O2459" s="29"/>
      <c r="P2459" s="29"/>
      <c r="Q2459" s="29"/>
      <c r="R2459" s="29"/>
      <c r="S2459" s="29"/>
      <c r="T2459" s="29"/>
      <c r="U2459" s="29"/>
      <c r="V2459" s="29"/>
      <c r="W2459" s="29"/>
      <c r="X2459" s="29"/>
      <c r="Y2459" s="29"/>
      <c r="Z2459" s="29"/>
      <c r="AA2459" s="29"/>
      <c r="AB2459" s="29"/>
      <c r="AC2459" s="29"/>
      <c r="AD2459" s="29"/>
    </row>
    <row r="2460">
      <c r="A2460" s="16" t="s">
        <v>3714</v>
      </c>
      <c r="B2460" s="63" t="s">
        <v>3667</v>
      </c>
      <c r="C2460" s="72" t="s">
        <v>3185</v>
      </c>
      <c r="D2460" s="63" t="s">
        <v>3718</v>
      </c>
      <c r="E2460" s="132" t="s">
        <v>229</v>
      </c>
      <c r="H2460" s="29"/>
      <c r="I2460" s="29"/>
      <c r="J2460" s="29"/>
      <c r="K2460" s="29"/>
      <c r="L2460" s="29"/>
      <c r="M2460" s="29"/>
      <c r="N2460" s="29"/>
      <c r="O2460" s="29"/>
      <c r="P2460" s="29"/>
      <c r="Q2460" s="29"/>
      <c r="R2460" s="29"/>
      <c r="S2460" s="29"/>
      <c r="T2460" s="29"/>
      <c r="U2460" s="29"/>
      <c r="V2460" s="29"/>
      <c r="W2460" s="29"/>
      <c r="X2460" s="29"/>
      <c r="Y2460" s="29"/>
      <c r="Z2460" s="29"/>
      <c r="AA2460" s="29"/>
      <c r="AB2460" s="29"/>
      <c r="AC2460" s="29"/>
      <c r="AD2460" s="29"/>
    </row>
    <row r="2461">
      <c r="A2461" s="16" t="s">
        <v>3714</v>
      </c>
      <c r="B2461" s="63" t="s">
        <v>3667</v>
      </c>
      <c r="C2461" s="72" t="s">
        <v>3185</v>
      </c>
      <c r="D2461" s="63" t="s">
        <v>3719</v>
      </c>
      <c r="E2461" s="132" t="s">
        <v>229</v>
      </c>
      <c r="H2461" s="29"/>
      <c r="I2461" s="29"/>
      <c r="J2461" s="29"/>
      <c r="K2461" s="29"/>
      <c r="L2461" s="29"/>
      <c r="M2461" s="29"/>
      <c r="N2461" s="29"/>
      <c r="O2461" s="29"/>
      <c r="P2461" s="29"/>
      <c r="Q2461" s="29"/>
      <c r="R2461" s="29"/>
      <c r="S2461" s="29"/>
      <c r="T2461" s="29"/>
      <c r="U2461" s="29"/>
      <c r="V2461" s="29"/>
      <c r="W2461" s="29"/>
      <c r="X2461" s="29"/>
      <c r="Y2461" s="29"/>
      <c r="Z2461" s="29"/>
      <c r="AA2461" s="29"/>
      <c r="AB2461" s="29"/>
      <c r="AC2461" s="29"/>
      <c r="AD2461" s="29"/>
    </row>
    <row r="2462">
      <c r="A2462" s="16" t="s">
        <v>3714</v>
      </c>
      <c r="B2462" s="63" t="s">
        <v>3667</v>
      </c>
      <c r="C2462" s="72" t="s">
        <v>3185</v>
      </c>
      <c r="D2462" s="63" t="s">
        <v>2157</v>
      </c>
      <c r="E2462" s="132" t="s">
        <v>3629</v>
      </c>
      <c r="H2462" s="29"/>
      <c r="I2462" s="29"/>
      <c r="J2462" s="29"/>
      <c r="K2462" s="29"/>
      <c r="L2462" s="29"/>
      <c r="M2462" s="29"/>
      <c r="N2462" s="29"/>
      <c r="O2462" s="29"/>
      <c r="P2462" s="29"/>
      <c r="Q2462" s="29"/>
      <c r="R2462" s="29"/>
      <c r="S2462" s="29"/>
      <c r="T2462" s="29"/>
      <c r="U2462" s="29"/>
      <c r="V2462" s="29"/>
      <c r="W2462" s="29"/>
      <c r="X2462" s="29"/>
      <c r="Y2462" s="29"/>
      <c r="Z2462" s="29"/>
      <c r="AA2462" s="29"/>
      <c r="AB2462" s="29"/>
      <c r="AC2462" s="29"/>
      <c r="AD2462" s="29"/>
    </row>
    <row r="2463">
      <c r="A2463" s="16" t="s">
        <v>3714</v>
      </c>
      <c r="B2463" s="63" t="s">
        <v>3667</v>
      </c>
      <c r="C2463" s="72" t="s">
        <v>3720</v>
      </c>
      <c r="D2463" s="63" t="s">
        <v>3721</v>
      </c>
      <c r="E2463" s="132" t="s">
        <v>229</v>
      </c>
      <c r="H2463" s="29"/>
      <c r="I2463" s="29"/>
      <c r="J2463" s="29"/>
      <c r="K2463" s="29"/>
      <c r="L2463" s="29"/>
      <c r="M2463" s="29"/>
      <c r="N2463" s="29"/>
      <c r="O2463" s="29"/>
      <c r="P2463" s="29"/>
      <c r="Q2463" s="29"/>
      <c r="R2463" s="29"/>
      <c r="S2463" s="29"/>
      <c r="T2463" s="29"/>
      <c r="U2463" s="29"/>
      <c r="V2463" s="29"/>
      <c r="W2463" s="29"/>
      <c r="X2463" s="29"/>
      <c r="Y2463" s="29"/>
      <c r="Z2463" s="29"/>
      <c r="AA2463" s="29"/>
      <c r="AB2463" s="29"/>
      <c r="AC2463" s="29"/>
      <c r="AD2463" s="29"/>
    </row>
    <row r="2464">
      <c r="A2464" s="16" t="s">
        <v>3714</v>
      </c>
      <c r="B2464" s="63" t="s">
        <v>3623</v>
      </c>
      <c r="C2464" s="72" t="s">
        <v>3722</v>
      </c>
      <c r="D2464" s="63" t="s">
        <v>3624</v>
      </c>
      <c r="E2464" s="132" t="s">
        <v>45</v>
      </c>
      <c r="H2464" s="29"/>
      <c r="I2464" s="29"/>
      <c r="J2464" s="29"/>
      <c r="K2464" s="29"/>
      <c r="L2464" s="29"/>
      <c r="M2464" s="29"/>
      <c r="N2464" s="29"/>
      <c r="O2464" s="29"/>
      <c r="P2464" s="29"/>
      <c r="Q2464" s="29"/>
      <c r="R2464" s="29"/>
      <c r="S2464" s="29"/>
      <c r="T2464" s="29"/>
      <c r="U2464" s="29"/>
      <c r="V2464" s="29"/>
      <c r="W2464" s="29"/>
      <c r="X2464" s="29"/>
      <c r="Y2464" s="29"/>
      <c r="Z2464" s="29"/>
      <c r="AA2464" s="29"/>
      <c r="AB2464" s="29"/>
      <c r="AC2464" s="29"/>
      <c r="AD2464" s="29"/>
    </row>
    <row r="2465">
      <c r="A2465" s="16" t="s">
        <v>3714</v>
      </c>
      <c r="B2465" s="63" t="s">
        <v>3623</v>
      </c>
      <c r="C2465" s="72" t="s">
        <v>3723</v>
      </c>
      <c r="D2465" s="63" t="s">
        <v>3624</v>
      </c>
      <c r="E2465" s="132" t="s">
        <v>45</v>
      </c>
      <c r="H2465" s="29"/>
      <c r="I2465" s="29"/>
      <c r="J2465" s="29"/>
      <c r="K2465" s="29"/>
      <c r="L2465" s="29"/>
      <c r="M2465" s="29"/>
      <c r="N2465" s="29"/>
      <c r="O2465" s="29"/>
      <c r="P2465" s="29"/>
      <c r="Q2465" s="29"/>
      <c r="R2465" s="29"/>
      <c r="S2465" s="29"/>
      <c r="T2465" s="29"/>
      <c r="U2465" s="29"/>
      <c r="V2465" s="29"/>
      <c r="W2465" s="29"/>
      <c r="X2465" s="29"/>
      <c r="Y2465" s="29"/>
      <c r="Z2465" s="29"/>
      <c r="AA2465" s="29"/>
      <c r="AB2465" s="29"/>
      <c r="AC2465" s="29"/>
      <c r="AD2465" s="29"/>
    </row>
    <row r="2466">
      <c r="A2466" s="150"/>
      <c r="B2466" s="6"/>
      <c r="C2466" s="47"/>
      <c r="D2466" s="6"/>
      <c r="E2466" s="9"/>
      <c r="H2466" s="29"/>
      <c r="I2466" s="29"/>
      <c r="J2466" s="29"/>
      <c r="K2466" s="29"/>
      <c r="L2466" s="29"/>
      <c r="M2466" s="29"/>
      <c r="N2466" s="29"/>
      <c r="O2466" s="29"/>
      <c r="P2466" s="29"/>
      <c r="Q2466" s="29"/>
      <c r="R2466" s="29"/>
      <c r="S2466" s="29"/>
      <c r="T2466" s="29"/>
      <c r="U2466" s="29"/>
      <c r="V2466" s="29"/>
      <c r="W2466" s="29"/>
      <c r="X2466" s="29"/>
      <c r="Y2466" s="29"/>
      <c r="Z2466" s="29"/>
      <c r="AA2466" s="29"/>
      <c r="AB2466" s="29"/>
      <c r="AC2466" s="29"/>
      <c r="AD2466" s="29"/>
    </row>
    <row r="2467">
      <c r="A2467" s="16" t="s">
        <v>3724</v>
      </c>
      <c r="B2467" s="63" t="s">
        <v>3667</v>
      </c>
      <c r="C2467" s="72" t="s">
        <v>3725</v>
      </c>
      <c r="D2467" s="63" t="s">
        <v>3726</v>
      </c>
      <c r="E2467" s="72" t="s">
        <v>3629</v>
      </c>
      <c r="H2467" s="29"/>
      <c r="I2467" s="29"/>
      <c r="J2467" s="29"/>
      <c r="K2467" s="29"/>
      <c r="L2467" s="29"/>
      <c r="M2467" s="29"/>
      <c r="N2467" s="29"/>
      <c r="O2467" s="29"/>
      <c r="P2467" s="29"/>
      <c r="Q2467" s="29"/>
      <c r="R2467" s="29"/>
      <c r="S2467" s="29"/>
      <c r="T2467" s="29"/>
      <c r="U2467" s="29"/>
      <c r="V2467" s="29"/>
      <c r="W2467" s="29"/>
      <c r="X2467" s="29"/>
      <c r="Y2467" s="29"/>
      <c r="Z2467" s="29"/>
      <c r="AA2467" s="29"/>
      <c r="AB2467" s="29"/>
      <c r="AC2467" s="29"/>
      <c r="AD2467" s="29"/>
    </row>
    <row r="2468">
      <c r="A2468" s="16" t="s">
        <v>3724</v>
      </c>
      <c r="B2468" s="63" t="s">
        <v>3667</v>
      </c>
      <c r="C2468" s="124" t="s">
        <v>3668</v>
      </c>
      <c r="D2468" s="63" t="s">
        <v>611</v>
      </c>
      <c r="E2468" s="72" t="s">
        <v>3727</v>
      </c>
      <c r="H2468" s="29"/>
      <c r="I2468" s="29"/>
      <c r="J2468" s="29"/>
      <c r="K2468" s="29"/>
      <c r="L2468" s="29"/>
      <c r="M2468" s="29"/>
      <c r="N2468" s="29"/>
      <c r="O2468" s="29"/>
      <c r="P2468" s="29"/>
      <c r="Q2468" s="29"/>
      <c r="R2468" s="29"/>
      <c r="S2468" s="29"/>
      <c r="T2468" s="29"/>
      <c r="U2468" s="29"/>
      <c r="V2468" s="29"/>
      <c r="W2468" s="29"/>
      <c r="X2468" s="29"/>
      <c r="Y2468" s="29"/>
      <c r="Z2468" s="29"/>
      <c r="AA2468" s="29"/>
      <c r="AB2468" s="29"/>
      <c r="AC2468" s="29"/>
      <c r="AD2468" s="29"/>
    </row>
    <row r="2469">
      <c r="A2469" s="16" t="s">
        <v>3724</v>
      </c>
      <c r="B2469" s="63" t="s">
        <v>3667</v>
      </c>
      <c r="C2469" s="124" t="s">
        <v>3668</v>
      </c>
      <c r="D2469" s="63" t="s">
        <v>3728</v>
      </c>
      <c r="E2469" s="72" t="s">
        <v>807</v>
      </c>
      <c r="H2469" s="29"/>
      <c r="I2469" s="29"/>
      <c r="J2469" s="29"/>
      <c r="K2469" s="29"/>
      <c r="L2469" s="29"/>
      <c r="M2469" s="29"/>
      <c r="N2469" s="29"/>
      <c r="O2469" s="29"/>
      <c r="P2469" s="29"/>
      <c r="Q2469" s="29"/>
      <c r="R2469" s="29"/>
      <c r="S2469" s="29"/>
      <c r="T2469" s="29"/>
      <c r="U2469" s="29"/>
      <c r="V2469" s="29"/>
      <c r="W2469" s="29"/>
      <c r="X2469" s="29"/>
      <c r="Y2469" s="29"/>
      <c r="Z2469" s="29"/>
      <c r="AA2469" s="29"/>
      <c r="AB2469" s="29"/>
      <c r="AC2469" s="29"/>
      <c r="AD2469" s="29"/>
    </row>
    <row r="2470">
      <c r="A2470" s="16" t="s">
        <v>3724</v>
      </c>
      <c r="B2470" s="63" t="s">
        <v>3667</v>
      </c>
      <c r="C2470" s="124" t="s">
        <v>3668</v>
      </c>
      <c r="D2470" s="63" t="s">
        <v>3712</v>
      </c>
      <c r="E2470" s="72" t="s">
        <v>3727</v>
      </c>
      <c r="H2470" s="29"/>
      <c r="I2470" s="29"/>
      <c r="J2470" s="29"/>
      <c r="K2470" s="29"/>
      <c r="L2470" s="29"/>
      <c r="M2470" s="29"/>
      <c r="N2470" s="29"/>
      <c r="O2470" s="29"/>
      <c r="P2470" s="29"/>
      <c r="Q2470" s="29"/>
      <c r="R2470" s="29"/>
      <c r="S2470" s="29"/>
      <c r="T2470" s="29"/>
      <c r="U2470" s="29"/>
      <c r="V2470" s="29"/>
      <c r="W2470" s="29"/>
      <c r="X2470" s="29"/>
      <c r="Y2470" s="29"/>
      <c r="Z2470" s="29"/>
      <c r="AA2470" s="29"/>
      <c r="AB2470" s="29"/>
      <c r="AC2470" s="29"/>
      <c r="AD2470" s="29"/>
    </row>
    <row r="2471">
      <c r="A2471" s="150"/>
      <c r="B2471" s="9"/>
      <c r="C2471" s="9"/>
      <c r="D2471" s="9"/>
      <c r="E2471" s="9"/>
      <c r="H2471" s="29"/>
      <c r="I2471" s="29"/>
      <c r="J2471" s="29"/>
      <c r="K2471" s="29"/>
      <c r="L2471" s="29"/>
      <c r="M2471" s="29"/>
      <c r="N2471" s="29"/>
      <c r="O2471" s="29"/>
      <c r="P2471" s="29"/>
      <c r="Q2471" s="29"/>
      <c r="R2471" s="29"/>
      <c r="S2471" s="29"/>
      <c r="T2471" s="29"/>
      <c r="U2471" s="29"/>
      <c r="V2471" s="29"/>
      <c r="W2471" s="29"/>
      <c r="X2471" s="29"/>
      <c r="Y2471" s="29"/>
      <c r="Z2471" s="29"/>
      <c r="AA2471" s="29"/>
      <c r="AB2471" s="29"/>
      <c r="AC2471" s="29"/>
      <c r="AD2471" s="29"/>
    </row>
    <row r="2472">
      <c r="A2472" s="150"/>
      <c r="B2472" s="9"/>
      <c r="C2472" s="9"/>
      <c r="D2472" s="9"/>
      <c r="E2472" s="9"/>
      <c r="H2472" s="29"/>
      <c r="I2472" s="29"/>
      <c r="J2472" s="29"/>
      <c r="K2472" s="29"/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29"/>
      <c r="X2472" s="29"/>
      <c r="Y2472" s="29"/>
      <c r="Z2472" s="29"/>
      <c r="AA2472" s="29"/>
      <c r="AB2472" s="29"/>
      <c r="AC2472" s="29"/>
      <c r="AD2472" s="29"/>
    </row>
    <row r="2473">
      <c r="A2473" s="16" t="s">
        <v>3729</v>
      </c>
      <c r="B2473" s="63" t="s">
        <v>3730</v>
      </c>
      <c r="C2473" s="72" t="s">
        <v>3731</v>
      </c>
      <c r="D2473" s="63" t="s">
        <v>3732</v>
      </c>
      <c r="E2473" s="72" t="s">
        <v>1958</v>
      </c>
      <c r="H2473" s="29"/>
      <c r="I2473" s="29"/>
      <c r="J2473" s="29"/>
      <c r="K2473" s="29"/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29"/>
      <c r="X2473" s="29"/>
      <c r="Y2473" s="29"/>
      <c r="Z2473" s="29"/>
      <c r="AA2473" s="29"/>
      <c r="AB2473" s="29"/>
      <c r="AC2473" s="29"/>
      <c r="AD2473" s="29"/>
    </row>
    <row r="2474">
      <c r="A2474" s="115"/>
      <c r="B2474" s="22"/>
      <c r="C2474" s="68"/>
      <c r="D2474" s="63"/>
      <c r="E2474" s="9"/>
      <c r="H2474" s="29"/>
      <c r="I2474" s="29"/>
      <c r="J2474" s="29"/>
      <c r="K2474" s="29"/>
      <c r="L2474" s="29"/>
      <c r="M2474" s="29"/>
      <c r="N2474" s="29"/>
      <c r="O2474" s="29"/>
      <c r="P2474" s="29"/>
      <c r="Q2474" s="29"/>
      <c r="R2474" s="29"/>
      <c r="S2474" s="29"/>
      <c r="T2474" s="29"/>
      <c r="U2474" s="29"/>
      <c r="V2474" s="29"/>
      <c r="W2474" s="29"/>
      <c r="X2474" s="29"/>
      <c r="Y2474" s="29"/>
      <c r="Z2474" s="29"/>
      <c r="AA2474" s="29"/>
      <c r="AB2474" s="29"/>
      <c r="AC2474" s="29"/>
      <c r="AD2474" s="29"/>
    </row>
    <row r="2475">
      <c r="A2475" s="16" t="s">
        <v>3733</v>
      </c>
      <c r="B2475" s="63" t="s">
        <v>3707</v>
      </c>
      <c r="C2475" s="124" t="s">
        <v>3734</v>
      </c>
      <c r="D2475" s="63" t="s">
        <v>3735</v>
      </c>
      <c r="E2475" s="72" t="s">
        <v>3736</v>
      </c>
      <c r="H2475" s="29"/>
      <c r="I2475" s="29"/>
      <c r="J2475" s="29"/>
      <c r="K2475" s="29"/>
      <c r="L2475" s="29"/>
      <c r="M2475" s="29"/>
      <c r="N2475" s="29"/>
      <c r="O2475" s="29"/>
      <c r="P2475" s="29"/>
      <c r="Q2475" s="29"/>
      <c r="R2475" s="29"/>
      <c r="S2475" s="29"/>
      <c r="T2475" s="29"/>
      <c r="U2475" s="29"/>
      <c r="V2475" s="29"/>
      <c r="W2475" s="29"/>
      <c r="X2475" s="29"/>
      <c r="Y2475" s="29"/>
      <c r="Z2475" s="29"/>
      <c r="AA2475" s="29"/>
      <c r="AB2475" s="29"/>
      <c r="AC2475" s="29"/>
      <c r="AD2475" s="29"/>
    </row>
    <row r="2476">
      <c r="A2476" s="16" t="s">
        <v>3733</v>
      </c>
      <c r="B2476" s="63" t="s">
        <v>3707</v>
      </c>
      <c r="C2476" s="124" t="s">
        <v>3737</v>
      </c>
      <c r="D2476" s="63" t="s">
        <v>3738</v>
      </c>
      <c r="E2476" s="161" t="s">
        <v>7</v>
      </c>
      <c r="H2476" s="29"/>
      <c r="I2476" s="29"/>
      <c r="J2476" s="29"/>
      <c r="K2476" s="29"/>
      <c r="L2476" s="29"/>
      <c r="M2476" s="29"/>
      <c r="N2476" s="29"/>
      <c r="O2476" s="29"/>
      <c r="P2476" s="29"/>
      <c r="Q2476" s="29"/>
      <c r="R2476" s="29"/>
      <c r="S2476" s="29"/>
      <c r="T2476" s="29"/>
      <c r="U2476" s="29"/>
      <c r="V2476" s="29"/>
      <c r="W2476" s="29"/>
      <c r="X2476" s="29"/>
      <c r="Y2476" s="29"/>
      <c r="Z2476" s="29"/>
      <c r="AA2476" s="29"/>
      <c r="AB2476" s="29"/>
      <c r="AC2476" s="29"/>
      <c r="AD2476" s="29"/>
    </row>
    <row r="2477">
      <c r="A2477" s="16" t="s">
        <v>3733</v>
      </c>
      <c r="B2477" s="63" t="s">
        <v>3707</v>
      </c>
      <c r="C2477" s="124" t="s">
        <v>3739</v>
      </c>
      <c r="D2477" s="63" t="s">
        <v>3740</v>
      </c>
      <c r="E2477" s="72" t="s">
        <v>3736</v>
      </c>
      <c r="H2477" s="29"/>
      <c r="I2477" s="29"/>
      <c r="J2477" s="29"/>
      <c r="K2477" s="29"/>
      <c r="L2477" s="29"/>
      <c r="M2477" s="29"/>
      <c r="N2477" s="29"/>
      <c r="O2477" s="29"/>
      <c r="P2477" s="29"/>
      <c r="Q2477" s="29"/>
      <c r="R2477" s="29"/>
      <c r="S2477" s="29"/>
      <c r="T2477" s="29"/>
      <c r="U2477" s="29"/>
      <c r="V2477" s="29"/>
      <c r="W2477" s="29"/>
      <c r="X2477" s="29"/>
      <c r="Y2477" s="29"/>
      <c r="Z2477" s="29"/>
      <c r="AA2477" s="29"/>
      <c r="AB2477" s="29"/>
      <c r="AC2477" s="29"/>
      <c r="AD2477" s="29"/>
    </row>
    <row r="2478">
      <c r="A2478" s="16" t="s">
        <v>3733</v>
      </c>
      <c r="B2478" s="63" t="s">
        <v>3707</v>
      </c>
      <c r="C2478" s="124" t="s">
        <v>3741</v>
      </c>
      <c r="D2478" s="63" t="s">
        <v>3735</v>
      </c>
      <c r="E2478" s="72" t="s">
        <v>3736</v>
      </c>
      <c r="H2478" s="29"/>
      <c r="I2478" s="29"/>
      <c r="J2478" s="29"/>
      <c r="K2478" s="29"/>
      <c r="L2478" s="29"/>
      <c r="M2478" s="29"/>
      <c r="N2478" s="29"/>
      <c r="O2478" s="29"/>
      <c r="P2478" s="29"/>
      <c r="Q2478" s="29"/>
      <c r="R2478" s="29"/>
      <c r="S2478" s="29"/>
      <c r="T2478" s="29"/>
      <c r="U2478" s="29"/>
      <c r="V2478" s="29"/>
      <c r="W2478" s="29"/>
      <c r="X2478" s="29"/>
      <c r="Y2478" s="29"/>
      <c r="Z2478" s="29"/>
      <c r="AA2478" s="29"/>
      <c r="AB2478" s="29"/>
      <c r="AC2478" s="29"/>
      <c r="AD2478" s="29"/>
    </row>
    <row r="2479">
      <c r="A2479" s="16" t="s">
        <v>3733</v>
      </c>
      <c r="B2479" s="63" t="s">
        <v>3707</v>
      </c>
      <c r="C2479" s="124" t="s">
        <v>3741</v>
      </c>
      <c r="D2479" s="63" t="s">
        <v>3735</v>
      </c>
      <c r="E2479" s="72" t="s">
        <v>3736</v>
      </c>
      <c r="H2479" s="29"/>
      <c r="I2479" s="29"/>
      <c r="J2479" s="29"/>
      <c r="K2479" s="29"/>
      <c r="L2479" s="29"/>
      <c r="M2479" s="29"/>
      <c r="N2479" s="29"/>
      <c r="O2479" s="29"/>
      <c r="P2479" s="29"/>
      <c r="Q2479" s="29"/>
      <c r="R2479" s="29"/>
      <c r="S2479" s="29"/>
      <c r="T2479" s="29"/>
      <c r="U2479" s="29"/>
      <c r="V2479" s="29"/>
      <c r="W2479" s="29"/>
      <c r="X2479" s="29"/>
      <c r="Y2479" s="29"/>
      <c r="Z2479" s="29"/>
      <c r="AA2479" s="29"/>
      <c r="AB2479" s="29"/>
      <c r="AC2479" s="29"/>
      <c r="AD2479" s="29"/>
    </row>
    <row r="2480">
      <c r="A2480" s="16" t="s">
        <v>3733</v>
      </c>
      <c r="B2480" s="63" t="s">
        <v>3599</v>
      </c>
      <c r="C2480" s="124" t="s">
        <v>3522</v>
      </c>
      <c r="D2480" s="63" t="s">
        <v>3742</v>
      </c>
      <c r="E2480" s="161" t="s">
        <v>7</v>
      </c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</row>
    <row r="2481">
      <c r="A2481" s="16" t="s">
        <v>3733</v>
      </c>
      <c r="B2481" s="63" t="s">
        <v>3743</v>
      </c>
      <c r="C2481" s="124" t="s">
        <v>3744</v>
      </c>
      <c r="D2481" s="63" t="s">
        <v>3745</v>
      </c>
      <c r="E2481" s="132" t="s">
        <v>123</v>
      </c>
      <c r="H2481" s="29"/>
      <c r="I2481" s="29"/>
      <c r="J2481" s="29"/>
      <c r="K2481" s="29"/>
      <c r="L2481" s="29"/>
      <c r="M2481" s="29"/>
      <c r="N2481" s="29"/>
      <c r="O2481" s="29"/>
      <c r="P2481" s="29"/>
      <c r="Q2481" s="29"/>
      <c r="R2481" s="29"/>
      <c r="S2481" s="29"/>
      <c r="T2481" s="29"/>
      <c r="U2481" s="29"/>
      <c r="V2481" s="29"/>
      <c r="W2481" s="29"/>
      <c r="X2481" s="29"/>
      <c r="Y2481" s="29"/>
      <c r="Z2481" s="29"/>
      <c r="AA2481" s="29"/>
      <c r="AB2481" s="29"/>
      <c r="AC2481" s="29"/>
      <c r="AD2481" s="29"/>
    </row>
    <row r="2482">
      <c r="A2482" s="115"/>
      <c r="B2482" s="22"/>
      <c r="C2482" s="68"/>
      <c r="D2482" s="63"/>
      <c r="E2482" s="9"/>
      <c r="H2482" s="29"/>
      <c r="I2482" s="29"/>
      <c r="J2482" s="29"/>
      <c r="K2482" s="29"/>
      <c r="L2482" s="29"/>
      <c r="M2482" s="29"/>
      <c r="N2482" s="29"/>
      <c r="O2482" s="29"/>
      <c r="P2482" s="29"/>
      <c r="Q2482" s="29"/>
      <c r="R2482" s="29"/>
      <c r="S2482" s="29"/>
      <c r="T2482" s="29"/>
      <c r="U2482" s="29"/>
      <c r="V2482" s="29"/>
      <c r="W2482" s="29"/>
      <c r="X2482" s="29"/>
      <c r="Y2482" s="29"/>
      <c r="Z2482" s="29"/>
      <c r="AA2482" s="29"/>
      <c r="AB2482" s="29"/>
      <c r="AC2482" s="29"/>
      <c r="AD2482" s="29"/>
    </row>
    <row r="2483">
      <c r="A2483" s="115"/>
      <c r="B2483" s="22"/>
      <c r="C2483" s="68"/>
      <c r="D2483" s="63"/>
      <c r="E2483" s="9"/>
      <c r="H2483" s="29"/>
      <c r="I2483" s="29"/>
      <c r="J2483" s="29"/>
      <c r="K2483" s="29"/>
      <c r="L2483" s="29"/>
      <c r="M2483" s="29"/>
      <c r="N2483" s="29"/>
      <c r="O2483" s="29"/>
      <c r="P2483" s="29"/>
      <c r="Q2483" s="29"/>
      <c r="R2483" s="29"/>
      <c r="S2483" s="29"/>
      <c r="T2483" s="29"/>
      <c r="U2483" s="29"/>
      <c r="V2483" s="29"/>
      <c r="W2483" s="29"/>
      <c r="X2483" s="29"/>
      <c r="Y2483" s="29"/>
      <c r="Z2483" s="29"/>
      <c r="AA2483" s="29"/>
      <c r="AB2483" s="29"/>
      <c r="AC2483" s="29"/>
      <c r="AD2483" s="29"/>
    </row>
    <row r="2484">
      <c r="A2484" s="115" t="s">
        <v>3746</v>
      </c>
      <c r="B2484" s="22" t="s">
        <v>3516</v>
      </c>
      <c r="C2484" s="18" t="s">
        <v>3747</v>
      </c>
      <c r="D2484" s="19" t="s">
        <v>1948</v>
      </c>
      <c r="E2484" s="161" t="s">
        <v>7</v>
      </c>
      <c r="H2484" s="29"/>
      <c r="I2484" s="29"/>
      <c r="J2484" s="29"/>
      <c r="K2484" s="29"/>
      <c r="L2484" s="29"/>
      <c r="M2484" s="29"/>
      <c r="N2484" s="29"/>
      <c r="O2484" s="29"/>
      <c r="P2484" s="29"/>
      <c r="Q2484" s="29"/>
      <c r="R2484" s="29"/>
      <c r="S2484" s="29"/>
      <c r="T2484" s="29"/>
      <c r="U2484" s="29"/>
      <c r="V2484" s="29"/>
      <c r="W2484" s="29"/>
      <c r="X2484" s="29"/>
      <c r="Y2484" s="29"/>
      <c r="Z2484" s="29"/>
      <c r="AA2484" s="29"/>
      <c r="AB2484" s="29"/>
      <c r="AC2484" s="29"/>
      <c r="AD2484" s="29"/>
    </row>
    <row r="2485">
      <c r="A2485" s="115" t="s">
        <v>3746</v>
      </c>
      <c r="B2485" s="22" t="s">
        <v>3516</v>
      </c>
      <c r="C2485" s="18" t="s">
        <v>3522</v>
      </c>
      <c r="D2485" s="19" t="s">
        <v>3748</v>
      </c>
      <c r="E2485" s="161" t="s">
        <v>7</v>
      </c>
      <c r="H2485" s="29"/>
      <c r="I2485" s="29"/>
      <c r="J2485" s="29"/>
      <c r="K2485" s="29"/>
      <c r="L2485" s="29"/>
      <c r="M2485" s="29"/>
      <c r="N2485" s="29"/>
      <c r="O2485" s="29"/>
      <c r="P2485" s="29"/>
      <c r="Q2485" s="29"/>
      <c r="R2485" s="29"/>
      <c r="S2485" s="29"/>
      <c r="T2485" s="29"/>
      <c r="U2485" s="29"/>
      <c r="V2485" s="29"/>
      <c r="W2485" s="29"/>
      <c r="X2485" s="29"/>
      <c r="Y2485" s="29"/>
      <c r="Z2485" s="29"/>
      <c r="AA2485" s="29"/>
      <c r="AB2485" s="29"/>
      <c r="AC2485" s="29"/>
      <c r="AD2485" s="29"/>
    </row>
    <row r="2486">
      <c r="A2486" s="115" t="s">
        <v>3746</v>
      </c>
      <c r="B2486" s="22" t="s">
        <v>3516</v>
      </c>
      <c r="C2486" s="18" t="s">
        <v>3522</v>
      </c>
      <c r="D2486" s="19" t="s">
        <v>3749</v>
      </c>
      <c r="E2486" s="161" t="s">
        <v>7</v>
      </c>
      <c r="H2486" s="29"/>
      <c r="I2486" s="29"/>
      <c r="J2486" s="29"/>
      <c r="K2486" s="29"/>
      <c r="L2486" s="29"/>
      <c r="M2486" s="29"/>
      <c r="N2486" s="29"/>
      <c r="O2486" s="29"/>
      <c r="P2486" s="29"/>
      <c r="Q2486" s="29"/>
      <c r="R2486" s="29"/>
      <c r="S2486" s="29"/>
      <c r="T2486" s="29"/>
      <c r="U2486" s="29"/>
      <c r="V2486" s="29"/>
      <c r="W2486" s="29"/>
      <c r="X2486" s="29"/>
      <c r="Y2486" s="29"/>
      <c r="Z2486" s="29"/>
      <c r="AA2486" s="29"/>
      <c r="AB2486" s="29"/>
      <c r="AC2486" s="29"/>
      <c r="AD2486" s="29"/>
    </row>
    <row r="2487">
      <c r="A2487" s="115" t="s">
        <v>3746</v>
      </c>
      <c r="B2487" s="22" t="s">
        <v>3516</v>
      </c>
      <c r="C2487" s="18" t="s">
        <v>3522</v>
      </c>
      <c r="D2487" s="19" t="s">
        <v>3750</v>
      </c>
      <c r="E2487" s="161" t="s">
        <v>7</v>
      </c>
      <c r="H2487" s="29"/>
      <c r="I2487" s="29"/>
      <c r="J2487" s="29"/>
      <c r="K2487" s="29"/>
      <c r="L2487" s="29"/>
      <c r="M2487" s="29"/>
      <c r="N2487" s="29"/>
      <c r="O2487" s="29"/>
      <c r="P2487" s="29"/>
      <c r="Q2487" s="29"/>
      <c r="R2487" s="29"/>
      <c r="S2487" s="29"/>
      <c r="T2487" s="29"/>
      <c r="U2487" s="29"/>
      <c r="V2487" s="29"/>
      <c r="W2487" s="29"/>
      <c r="X2487" s="29"/>
      <c r="Y2487" s="29"/>
      <c r="Z2487" s="29"/>
      <c r="AA2487" s="29"/>
      <c r="AB2487" s="29"/>
      <c r="AC2487" s="29"/>
      <c r="AD2487" s="29"/>
    </row>
    <row r="2488">
      <c r="A2488" s="115" t="s">
        <v>3746</v>
      </c>
      <c r="B2488" s="22" t="s">
        <v>3516</v>
      </c>
      <c r="C2488" s="18" t="s">
        <v>3751</v>
      </c>
      <c r="D2488" s="19" t="s">
        <v>3752</v>
      </c>
      <c r="E2488" s="161" t="s">
        <v>7</v>
      </c>
      <c r="H2488" s="29"/>
      <c r="I2488" s="29"/>
      <c r="J2488" s="29"/>
      <c r="K2488" s="29"/>
      <c r="L2488" s="29"/>
      <c r="M2488" s="29"/>
      <c r="N2488" s="29"/>
      <c r="O2488" s="29"/>
      <c r="P2488" s="29"/>
      <c r="Q2488" s="29"/>
      <c r="R2488" s="29"/>
      <c r="S2488" s="29"/>
      <c r="T2488" s="29"/>
      <c r="U2488" s="29"/>
      <c r="V2488" s="29"/>
      <c r="W2488" s="29"/>
      <c r="X2488" s="29"/>
      <c r="Y2488" s="29"/>
      <c r="Z2488" s="29"/>
      <c r="AA2488" s="29"/>
      <c r="AB2488" s="29"/>
      <c r="AC2488" s="29"/>
      <c r="AD2488" s="29"/>
    </row>
    <row r="2489">
      <c r="A2489" s="115"/>
      <c r="B2489" s="22"/>
      <c r="C2489" s="68"/>
      <c r="D2489" s="63"/>
      <c r="E2489" s="9"/>
      <c r="H2489" s="29"/>
      <c r="I2489" s="29"/>
      <c r="J2489" s="29"/>
      <c r="K2489" s="29"/>
      <c r="L2489" s="29"/>
      <c r="M2489" s="29"/>
      <c r="N2489" s="29"/>
      <c r="O2489" s="29"/>
      <c r="P2489" s="29"/>
      <c r="Q2489" s="29"/>
      <c r="R2489" s="29"/>
      <c r="S2489" s="29"/>
      <c r="T2489" s="29"/>
      <c r="U2489" s="29"/>
      <c r="V2489" s="29"/>
      <c r="W2489" s="29"/>
      <c r="X2489" s="29"/>
      <c r="Y2489" s="29"/>
      <c r="Z2489" s="29"/>
      <c r="AA2489" s="29"/>
      <c r="AB2489" s="29"/>
      <c r="AC2489" s="29"/>
      <c r="AD2489" s="29"/>
    </row>
    <row r="2490">
      <c r="A2490" s="115"/>
      <c r="B2490" s="22"/>
      <c r="C2490" s="68"/>
      <c r="D2490" s="63"/>
      <c r="E2490" s="9"/>
      <c r="H2490" s="29"/>
      <c r="I2490" s="29"/>
      <c r="J2490" s="29"/>
      <c r="K2490" s="29"/>
      <c r="L2490" s="29"/>
      <c r="M2490" s="29"/>
      <c r="N2490" s="29"/>
      <c r="O2490" s="29"/>
      <c r="P2490" s="29"/>
      <c r="Q2490" s="29"/>
      <c r="R2490" s="29"/>
      <c r="S2490" s="29"/>
      <c r="T2490" s="29"/>
      <c r="U2490" s="29"/>
      <c r="V2490" s="29"/>
      <c r="W2490" s="29"/>
      <c r="X2490" s="29"/>
      <c r="Y2490" s="29"/>
      <c r="Z2490" s="29"/>
      <c r="AA2490" s="29"/>
      <c r="AB2490" s="29"/>
      <c r="AC2490" s="29"/>
      <c r="AD2490" s="29"/>
    </row>
    <row r="2491">
      <c r="A2491" s="115" t="s">
        <v>3753</v>
      </c>
      <c r="B2491" s="22" t="s">
        <v>3754</v>
      </c>
      <c r="C2491" s="18" t="s">
        <v>3755</v>
      </c>
      <c r="D2491" s="19" t="s">
        <v>3756</v>
      </c>
      <c r="E2491" s="18" t="s">
        <v>196</v>
      </c>
      <c r="H2491" s="29"/>
      <c r="I2491" s="29"/>
      <c r="J2491" s="29"/>
      <c r="K2491" s="29"/>
      <c r="L2491" s="29"/>
      <c r="M2491" s="29"/>
      <c r="N2491" s="29"/>
      <c r="O2491" s="29"/>
      <c r="P2491" s="29"/>
      <c r="Q2491" s="29"/>
      <c r="R2491" s="29"/>
      <c r="S2491" s="29"/>
      <c r="T2491" s="29"/>
      <c r="U2491" s="29"/>
      <c r="V2491" s="29"/>
      <c r="W2491" s="29"/>
      <c r="X2491" s="29"/>
      <c r="Y2491" s="29"/>
      <c r="Z2491" s="29"/>
      <c r="AA2491" s="29"/>
      <c r="AB2491" s="29"/>
      <c r="AC2491" s="29"/>
      <c r="AD2491" s="29"/>
    </row>
    <row r="2492">
      <c r="A2492" s="115" t="s">
        <v>3753</v>
      </c>
      <c r="B2492" s="22" t="s">
        <v>3754</v>
      </c>
      <c r="C2492" s="18" t="s">
        <v>3757</v>
      </c>
      <c r="D2492" s="19" t="s">
        <v>3756</v>
      </c>
      <c r="E2492" s="18" t="s">
        <v>196</v>
      </c>
      <c r="H2492" s="29"/>
      <c r="I2492" s="29"/>
      <c r="J2492" s="29"/>
      <c r="K2492" s="29"/>
      <c r="L2492" s="29"/>
      <c r="M2492" s="29"/>
      <c r="N2492" s="29"/>
      <c r="O2492" s="29"/>
      <c r="P2492" s="29"/>
      <c r="Q2492" s="29"/>
      <c r="R2492" s="29"/>
      <c r="S2492" s="29"/>
      <c r="T2492" s="29"/>
      <c r="U2492" s="29"/>
      <c r="V2492" s="29"/>
      <c r="W2492" s="29"/>
      <c r="X2492" s="29"/>
      <c r="Y2492" s="29"/>
      <c r="Z2492" s="29"/>
      <c r="AA2492" s="29"/>
      <c r="AB2492" s="29"/>
      <c r="AC2492" s="29"/>
      <c r="AD2492" s="29"/>
    </row>
    <row r="2493">
      <c r="A2493" s="115"/>
      <c r="B2493" s="22"/>
      <c r="C2493" s="68"/>
      <c r="D2493" s="63"/>
      <c r="E2493" s="9"/>
      <c r="H2493" s="29"/>
      <c r="I2493" s="29"/>
      <c r="J2493" s="29"/>
      <c r="K2493" s="29"/>
      <c r="L2493" s="29"/>
      <c r="M2493" s="29"/>
      <c r="N2493" s="29"/>
      <c r="O2493" s="29"/>
      <c r="P2493" s="29"/>
      <c r="Q2493" s="29"/>
      <c r="R2493" s="29"/>
      <c r="S2493" s="29"/>
      <c r="T2493" s="29"/>
      <c r="U2493" s="29"/>
      <c r="V2493" s="29"/>
      <c r="W2493" s="29"/>
      <c r="X2493" s="29"/>
      <c r="Y2493" s="29"/>
      <c r="Z2493" s="29"/>
      <c r="AA2493" s="29"/>
      <c r="AB2493" s="29"/>
      <c r="AC2493" s="29"/>
      <c r="AD2493" s="29"/>
    </row>
    <row r="2494">
      <c r="A2494" s="115"/>
      <c r="B2494" s="22"/>
      <c r="C2494" s="68"/>
      <c r="D2494" s="63"/>
      <c r="E2494" s="9"/>
      <c r="H2494" s="29"/>
      <c r="I2494" s="29"/>
      <c r="J2494" s="29"/>
      <c r="K2494" s="29"/>
      <c r="L2494" s="29"/>
      <c r="M2494" s="29"/>
      <c r="N2494" s="29"/>
      <c r="O2494" s="29"/>
      <c r="P2494" s="29"/>
      <c r="Q2494" s="29"/>
      <c r="R2494" s="29"/>
      <c r="S2494" s="29"/>
      <c r="T2494" s="29"/>
      <c r="U2494" s="29"/>
      <c r="V2494" s="29"/>
      <c r="W2494" s="29"/>
      <c r="X2494" s="29"/>
      <c r="Y2494" s="29"/>
      <c r="Z2494" s="29"/>
      <c r="AA2494" s="29"/>
      <c r="AB2494" s="29"/>
      <c r="AC2494" s="29"/>
      <c r="AD2494" s="29"/>
    </row>
    <row r="2495">
      <c r="A2495" s="16" t="s">
        <v>3758</v>
      </c>
      <c r="B2495" s="22" t="s">
        <v>3759</v>
      </c>
      <c r="C2495" s="18" t="s">
        <v>3760</v>
      </c>
      <c r="D2495" s="19" t="s">
        <v>3761</v>
      </c>
      <c r="E2495" s="18" t="s">
        <v>2308</v>
      </c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</row>
    <row r="2496">
      <c r="A2496" s="16" t="s">
        <v>3758</v>
      </c>
      <c r="B2496" s="22" t="s">
        <v>3759</v>
      </c>
      <c r="C2496" s="18" t="s">
        <v>3760</v>
      </c>
      <c r="D2496" s="19" t="s">
        <v>3762</v>
      </c>
      <c r="E2496" s="18" t="s">
        <v>2308</v>
      </c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</row>
    <row r="2497">
      <c r="A2497" s="16" t="s">
        <v>3758</v>
      </c>
      <c r="B2497" s="22" t="s">
        <v>3763</v>
      </c>
      <c r="C2497" s="18" t="s">
        <v>3764</v>
      </c>
      <c r="D2497" s="19" t="s">
        <v>3765</v>
      </c>
      <c r="E2497" s="132" t="s">
        <v>1479</v>
      </c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</row>
    <row r="2498">
      <c r="A2498" s="16" t="s">
        <v>3758</v>
      </c>
      <c r="B2498" s="63" t="s">
        <v>3766</v>
      </c>
      <c r="C2498" s="72" t="s">
        <v>3767</v>
      </c>
      <c r="D2498" s="63" t="s">
        <v>3768</v>
      </c>
      <c r="E2498" s="161" t="s">
        <v>7</v>
      </c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</row>
    <row r="2499">
      <c r="A2499" s="16" t="s">
        <v>3758</v>
      </c>
      <c r="B2499" s="63" t="s">
        <v>3766</v>
      </c>
      <c r="C2499" s="124" t="s">
        <v>3769</v>
      </c>
      <c r="D2499" s="63" t="s">
        <v>3770</v>
      </c>
      <c r="E2499" s="161" t="s">
        <v>7</v>
      </c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</row>
    <row r="2500">
      <c r="A2500" s="16" t="s">
        <v>3758</v>
      </c>
      <c r="B2500" s="63" t="s">
        <v>3766</v>
      </c>
      <c r="C2500" s="124" t="s">
        <v>952</v>
      </c>
      <c r="D2500" s="63" t="s">
        <v>3771</v>
      </c>
      <c r="E2500" s="161" t="s">
        <v>7</v>
      </c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</row>
    <row r="2501">
      <c r="A2501" s="16" t="s">
        <v>3758</v>
      </c>
      <c r="B2501" s="63" t="s">
        <v>3766</v>
      </c>
      <c r="C2501" s="124" t="s">
        <v>952</v>
      </c>
      <c r="D2501" s="63" t="s">
        <v>3772</v>
      </c>
      <c r="E2501" s="132" t="s">
        <v>1479</v>
      </c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</row>
    <row r="2502">
      <c r="A2502" s="16" t="s">
        <v>3758</v>
      </c>
      <c r="B2502" s="22" t="s">
        <v>3754</v>
      </c>
      <c r="C2502" s="18" t="s">
        <v>3773</v>
      </c>
      <c r="D2502" s="19" t="s">
        <v>3774</v>
      </c>
      <c r="E2502" s="161" t="s">
        <v>7</v>
      </c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</row>
    <row r="2503">
      <c r="A2503" s="16" t="s">
        <v>3758</v>
      </c>
      <c r="B2503" s="22" t="s">
        <v>3754</v>
      </c>
      <c r="C2503" s="18" t="s">
        <v>3775</v>
      </c>
      <c r="D2503" s="19" t="s">
        <v>3776</v>
      </c>
      <c r="E2503" s="161" t="s">
        <v>7</v>
      </c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</row>
    <row r="2504">
      <c r="A2504" s="16" t="s">
        <v>3758</v>
      </c>
      <c r="B2504" s="22" t="s">
        <v>3754</v>
      </c>
      <c r="C2504" s="18" t="s">
        <v>2209</v>
      </c>
      <c r="D2504" s="19" t="s">
        <v>3756</v>
      </c>
      <c r="E2504" s="18" t="s">
        <v>196</v>
      </c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</row>
    <row r="2505">
      <c r="A2505" s="16" t="s">
        <v>3758</v>
      </c>
      <c r="B2505" s="22" t="s">
        <v>3754</v>
      </c>
      <c r="C2505" s="18" t="s">
        <v>3777</v>
      </c>
      <c r="D2505" s="19" t="s">
        <v>3756</v>
      </c>
      <c r="E2505" s="18" t="s">
        <v>196</v>
      </c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</row>
    <row r="2506">
      <c r="A2506" s="16" t="s">
        <v>3758</v>
      </c>
      <c r="B2506" s="22" t="s">
        <v>3754</v>
      </c>
      <c r="C2506" s="18" t="s">
        <v>3778</v>
      </c>
      <c r="D2506" s="19" t="s">
        <v>3756</v>
      </c>
      <c r="E2506" s="18" t="s">
        <v>196</v>
      </c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</row>
    <row r="2507">
      <c r="A2507" s="16" t="s">
        <v>3758</v>
      </c>
      <c r="B2507" s="22" t="s">
        <v>3754</v>
      </c>
      <c r="C2507" s="18" t="s">
        <v>3779</v>
      </c>
      <c r="D2507" s="19" t="s">
        <v>3756</v>
      </c>
      <c r="E2507" s="18" t="s">
        <v>196</v>
      </c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</row>
    <row r="2508">
      <c r="A2508" s="16" t="s">
        <v>3758</v>
      </c>
      <c r="B2508" s="22" t="s">
        <v>3754</v>
      </c>
      <c r="C2508" s="18" t="s">
        <v>3780</v>
      </c>
      <c r="D2508" s="19" t="s">
        <v>3756</v>
      </c>
      <c r="E2508" s="18" t="s">
        <v>196</v>
      </c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</row>
    <row r="2509">
      <c r="A2509" s="16" t="s">
        <v>3758</v>
      </c>
      <c r="B2509" s="22" t="s">
        <v>3754</v>
      </c>
      <c r="C2509" s="18" t="s">
        <v>3781</v>
      </c>
      <c r="D2509" s="19" t="s">
        <v>3756</v>
      </c>
      <c r="E2509" s="18" t="s">
        <v>196</v>
      </c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</row>
    <row r="2510">
      <c r="A2510" s="16" t="s">
        <v>3758</v>
      </c>
      <c r="B2510" s="22" t="s">
        <v>3754</v>
      </c>
      <c r="C2510" s="18" t="s">
        <v>3782</v>
      </c>
      <c r="D2510" s="19" t="s">
        <v>3756</v>
      </c>
      <c r="E2510" s="18" t="s">
        <v>196</v>
      </c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</row>
    <row r="2511">
      <c r="A2511" s="16" t="s">
        <v>3758</v>
      </c>
      <c r="B2511" s="22" t="s">
        <v>3754</v>
      </c>
      <c r="C2511" s="18" t="s">
        <v>3783</v>
      </c>
      <c r="D2511" s="19" t="s">
        <v>3756</v>
      </c>
      <c r="E2511" s="18" t="s">
        <v>196</v>
      </c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</row>
    <row r="2512">
      <c r="A2512" s="16" t="s">
        <v>3758</v>
      </c>
      <c r="B2512" s="19" t="s">
        <v>3580</v>
      </c>
      <c r="C2512" s="18" t="s">
        <v>3715</v>
      </c>
      <c r="D2512" s="19" t="s">
        <v>3685</v>
      </c>
      <c r="E2512" s="18" t="s">
        <v>196</v>
      </c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</row>
    <row r="2513">
      <c r="A2513" s="16" t="s">
        <v>3758</v>
      </c>
      <c r="B2513" s="22" t="s">
        <v>3784</v>
      </c>
      <c r="C2513" s="18" t="s">
        <v>729</v>
      </c>
      <c r="D2513" s="18" t="s">
        <v>3785</v>
      </c>
      <c r="E2513" s="7" t="s">
        <v>14</v>
      </c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</row>
    <row r="2514">
      <c r="A2514" s="16" t="s">
        <v>3758</v>
      </c>
      <c r="B2514" s="22" t="s">
        <v>3784</v>
      </c>
      <c r="C2514" s="18" t="s">
        <v>729</v>
      </c>
      <c r="D2514" s="18" t="s">
        <v>3786</v>
      </c>
      <c r="E2514" s="7" t="s">
        <v>14</v>
      </c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</row>
    <row r="2515">
      <c r="A2515" s="16" t="s">
        <v>3758</v>
      </c>
      <c r="B2515" s="22" t="s">
        <v>3784</v>
      </c>
      <c r="C2515" s="18" t="s">
        <v>729</v>
      </c>
      <c r="D2515" s="18" t="s">
        <v>3787</v>
      </c>
      <c r="E2515" s="7" t="s">
        <v>14</v>
      </c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</row>
    <row r="2516">
      <c r="A2516" s="16" t="s">
        <v>3758</v>
      </c>
      <c r="B2516" s="22" t="s">
        <v>3788</v>
      </c>
      <c r="C2516" s="18" t="s">
        <v>3789</v>
      </c>
      <c r="D2516" s="19" t="s">
        <v>3790</v>
      </c>
      <c r="E2516" s="161" t="s">
        <v>7</v>
      </c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</row>
    <row r="2517">
      <c r="A2517" s="16" t="s">
        <v>3758</v>
      </c>
      <c r="B2517" s="22" t="s">
        <v>3788</v>
      </c>
      <c r="C2517" s="18" t="s">
        <v>3791</v>
      </c>
      <c r="D2517" s="19" t="s">
        <v>3792</v>
      </c>
      <c r="E2517" s="161" t="s">
        <v>7</v>
      </c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</row>
    <row r="2518">
      <c r="A2518" s="16" t="s">
        <v>3758</v>
      </c>
      <c r="B2518" s="22" t="s">
        <v>3788</v>
      </c>
      <c r="C2518" s="18" t="s">
        <v>3793</v>
      </c>
      <c r="D2518" s="19" t="s">
        <v>3794</v>
      </c>
      <c r="E2518" s="9" t="s">
        <v>3795</v>
      </c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</row>
    <row r="2519">
      <c r="A2519" s="16" t="s">
        <v>3758</v>
      </c>
      <c r="B2519" s="22" t="s">
        <v>3788</v>
      </c>
      <c r="C2519" s="18" t="s">
        <v>3793</v>
      </c>
      <c r="D2519" s="19" t="s">
        <v>3796</v>
      </c>
      <c r="E2519" s="9" t="s">
        <v>3795</v>
      </c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</row>
    <row r="2520">
      <c r="A2520" s="16" t="s">
        <v>3758</v>
      </c>
      <c r="B2520" s="22" t="s">
        <v>3788</v>
      </c>
      <c r="C2520" s="18" t="s">
        <v>3793</v>
      </c>
      <c r="D2520" s="19" t="s">
        <v>3797</v>
      </c>
      <c r="E2520" s="9" t="s">
        <v>3795</v>
      </c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</row>
    <row r="2521">
      <c r="A2521" s="16" t="s">
        <v>3758</v>
      </c>
      <c r="B2521" s="22" t="s">
        <v>3788</v>
      </c>
      <c r="C2521" s="18" t="s">
        <v>3793</v>
      </c>
      <c r="D2521" s="19" t="s">
        <v>3798</v>
      </c>
      <c r="E2521" s="9" t="s">
        <v>3795</v>
      </c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</row>
    <row r="2522">
      <c r="A2522" s="16" t="s">
        <v>3758</v>
      </c>
      <c r="B2522" s="22" t="s">
        <v>3788</v>
      </c>
      <c r="C2522" s="18" t="s">
        <v>3793</v>
      </c>
      <c r="D2522" s="19" t="s">
        <v>3799</v>
      </c>
      <c r="E2522" s="9" t="s">
        <v>3795</v>
      </c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</row>
    <row r="2523">
      <c r="A2523" s="16" t="s">
        <v>3758</v>
      </c>
      <c r="B2523" s="22" t="s">
        <v>3788</v>
      </c>
      <c r="C2523" s="18" t="s">
        <v>3793</v>
      </c>
      <c r="D2523" s="19" t="s">
        <v>3800</v>
      </c>
      <c r="E2523" s="9" t="s">
        <v>3795</v>
      </c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</row>
    <row r="2524">
      <c r="A2524" s="16" t="s">
        <v>3758</v>
      </c>
      <c r="B2524" s="19" t="s">
        <v>3801</v>
      </c>
      <c r="C2524" s="18" t="s">
        <v>3802</v>
      </c>
      <c r="D2524" s="19" t="s">
        <v>3803</v>
      </c>
      <c r="E2524" s="7" t="s">
        <v>14</v>
      </c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</row>
    <row r="2525">
      <c r="A2525" s="115"/>
      <c r="B2525" s="22"/>
      <c r="C2525" s="68"/>
      <c r="D2525" s="63"/>
      <c r="E2525" s="9"/>
      <c r="H2525" s="29"/>
      <c r="I2525" s="29"/>
      <c r="J2525" s="29"/>
      <c r="K2525" s="29"/>
      <c r="L2525" s="29"/>
      <c r="M2525" s="29"/>
      <c r="N2525" s="29"/>
      <c r="O2525" s="29"/>
      <c r="P2525" s="29"/>
      <c r="Q2525" s="29"/>
      <c r="R2525" s="29"/>
      <c r="S2525" s="29"/>
      <c r="T2525" s="29"/>
      <c r="U2525" s="29"/>
      <c r="V2525" s="29"/>
      <c r="W2525" s="29"/>
      <c r="X2525" s="29"/>
      <c r="Y2525" s="29"/>
      <c r="Z2525" s="29"/>
      <c r="AA2525" s="29"/>
      <c r="AB2525" s="29"/>
      <c r="AC2525" s="29"/>
      <c r="AD2525" s="29"/>
    </row>
    <row r="2526">
      <c r="A2526" s="115"/>
      <c r="B2526" s="22"/>
      <c r="C2526" s="68"/>
      <c r="D2526" s="63"/>
      <c r="E2526" s="9"/>
      <c r="H2526" s="29"/>
      <c r="I2526" s="29"/>
      <c r="J2526" s="29"/>
      <c r="K2526" s="29"/>
      <c r="L2526" s="29"/>
      <c r="M2526" s="29"/>
      <c r="N2526" s="29"/>
      <c r="O2526" s="29"/>
      <c r="P2526" s="29"/>
      <c r="Q2526" s="29"/>
      <c r="R2526" s="29"/>
      <c r="S2526" s="29"/>
      <c r="T2526" s="29"/>
      <c r="U2526" s="29"/>
      <c r="V2526" s="29"/>
      <c r="W2526" s="29"/>
      <c r="X2526" s="29"/>
      <c r="Y2526" s="29"/>
      <c r="Z2526" s="29"/>
      <c r="AA2526" s="29"/>
      <c r="AB2526" s="29"/>
      <c r="AC2526" s="29"/>
      <c r="AD2526" s="29"/>
    </row>
    <row r="2527">
      <c r="A2527" s="16" t="s">
        <v>3804</v>
      </c>
      <c r="B2527" s="22" t="s">
        <v>3754</v>
      </c>
      <c r="C2527" s="18" t="s">
        <v>3805</v>
      </c>
      <c r="D2527" s="19" t="s">
        <v>3806</v>
      </c>
      <c r="E2527" s="161" t="s">
        <v>7</v>
      </c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</row>
    <row r="2528">
      <c r="A2528" s="16" t="s">
        <v>3804</v>
      </c>
      <c r="B2528" s="22" t="s">
        <v>3754</v>
      </c>
      <c r="C2528" s="18" t="s">
        <v>3807</v>
      </c>
      <c r="D2528" s="19" t="s">
        <v>3808</v>
      </c>
      <c r="E2528" s="161" t="s">
        <v>7</v>
      </c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</row>
    <row r="2529">
      <c r="A2529" s="16" t="s">
        <v>3804</v>
      </c>
      <c r="B2529" s="22" t="s">
        <v>3754</v>
      </c>
      <c r="C2529" s="18" t="s">
        <v>3807</v>
      </c>
      <c r="D2529" s="19" t="s">
        <v>3809</v>
      </c>
      <c r="E2529" s="161" t="s">
        <v>7</v>
      </c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</row>
    <row r="2530">
      <c r="A2530" s="16" t="s">
        <v>3804</v>
      </c>
      <c r="B2530" s="22" t="s">
        <v>3754</v>
      </c>
      <c r="C2530" s="18" t="s">
        <v>3810</v>
      </c>
      <c r="D2530" s="19" t="s">
        <v>3811</v>
      </c>
      <c r="E2530" s="161" t="s">
        <v>7</v>
      </c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</row>
    <row r="2531">
      <c r="A2531" s="16" t="s">
        <v>3804</v>
      </c>
      <c r="B2531" s="22" t="s">
        <v>3754</v>
      </c>
      <c r="C2531" s="18" t="s">
        <v>2634</v>
      </c>
      <c r="D2531" s="19" t="s">
        <v>3812</v>
      </c>
      <c r="E2531" s="161" t="s">
        <v>7</v>
      </c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</row>
    <row r="2532">
      <c r="A2532" s="16" t="s">
        <v>3804</v>
      </c>
      <c r="B2532" s="22" t="s">
        <v>3754</v>
      </c>
      <c r="C2532" s="18" t="s">
        <v>3807</v>
      </c>
      <c r="D2532" s="19" t="s">
        <v>3813</v>
      </c>
      <c r="E2532" s="161" t="s">
        <v>7</v>
      </c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</row>
    <row r="2533">
      <c r="A2533" s="16" t="s">
        <v>3804</v>
      </c>
      <c r="B2533" s="22" t="s">
        <v>3754</v>
      </c>
      <c r="C2533" s="18" t="s">
        <v>3775</v>
      </c>
      <c r="D2533" s="19" t="s">
        <v>3814</v>
      </c>
      <c r="E2533" s="161" t="s">
        <v>7</v>
      </c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</row>
    <row r="2534">
      <c r="A2534" s="16" t="s">
        <v>3804</v>
      </c>
      <c r="B2534" s="22" t="s">
        <v>3754</v>
      </c>
      <c r="C2534" s="18" t="s">
        <v>3775</v>
      </c>
      <c r="D2534" s="19" t="s">
        <v>3815</v>
      </c>
      <c r="E2534" s="161" t="s">
        <v>7</v>
      </c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</row>
    <row r="2535">
      <c r="A2535" s="16" t="s">
        <v>3804</v>
      </c>
      <c r="B2535" s="22" t="s">
        <v>3816</v>
      </c>
      <c r="C2535" s="18" t="s">
        <v>3817</v>
      </c>
      <c r="D2535" s="19" t="s">
        <v>3818</v>
      </c>
      <c r="E2535" s="161" t="s">
        <v>7</v>
      </c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</row>
    <row r="2536">
      <c r="A2536" s="16" t="s">
        <v>3804</v>
      </c>
      <c r="B2536" s="22" t="s">
        <v>3819</v>
      </c>
      <c r="C2536" s="18" t="s">
        <v>3379</v>
      </c>
      <c r="D2536" s="19" t="s">
        <v>3820</v>
      </c>
      <c r="E2536" s="9" t="s">
        <v>2456</v>
      </c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</row>
    <row r="2537">
      <c r="A2537" s="16" t="s">
        <v>3804</v>
      </c>
      <c r="B2537" s="22" t="s">
        <v>3819</v>
      </c>
      <c r="C2537" s="18" t="s">
        <v>1379</v>
      </c>
      <c r="D2537" s="19" t="s">
        <v>3821</v>
      </c>
      <c r="E2537" s="9" t="s">
        <v>2456</v>
      </c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</row>
    <row r="2538">
      <c r="A2538" s="16" t="s">
        <v>3804</v>
      </c>
      <c r="B2538" s="22" t="s">
        <v>3763</v>
      </c>
      <c r="C2538" s="18" t="s">
        <v>3822</v>
      </c>
      <c r="D2538" s="19" t="s">
        <v>3823</v>
      </c>
      <c r="E2538" s="9" t="s">
        <v>3824</v>
      </c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</row>
    <row r="2539">
      <c r="A2539" s="16" t="s">
        <v>3804</v>
      </c>
      <c r="B2539" s="22" t="s">
        <v>3763</v>
      </c>
      <c r="C2539" s="18" t="s">
        <v>3825</v>
      </c>
      <c r="D2539" s="19" t="s">
        <v>3826</v>
      </c>
      <c r="E2539" s="9" t="s">
        <v>1479</v>
      </c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</row>
    <row r="2540">
      <c r="A2540" s="16" t="s">
        <v>3804</v>
      </c>
      <c r="B2540" s="22" t="s">
        <v>3763</v>
      </c>
      <c r="C2540" s="18" t="s">
        <v>3764</v>
      </c>
      <c r="D2540" s="19" t="s">
        <v>3827</v>
      </c>
      <c r="E2540" s="9" t="s">
        <v>1479</v>
      </c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</row>
    <row r="2541">
      <c r="A2541" s="115"/>
      <c r="B2541" s="22"/>
      <c r="C2541" s="68"/>
      <c r="D2541" s="63"/>
      <c r="E2541" s="9"/>
      <c r="H2541" s="29"/>
      <c r="I2541" s="29"/>
      <c r="J2541" s="29"/>
      <c r="K2541" s="29"/>
      <c r="L2541" s="29"/>
      <c r="M2541" s="29"/>
      <c r="N2541" s="29"/>
      <c r="O2541" s="29"/>
      <c r="P2541" s="29"/>
      <c r="Q2541" s="29"/>
      <c r="R2541" s="29"/>
      <c r="S2541" s="29"/>
      <c r="T2541" s="29"/>
      <c r="U2541" s="29"/>
      <c r="V2541" s="29"/>
      <c r="W2541" s="29"/>
      <c r="X2541" s="29"/>
      <c r="Y2541" s="29"/>
      <c r="Z2541" s="29"/>
      <c r="AA2541" s="29"/>
      <c r="AB2541" s="29"/>
      <c r="AC2541" s="29"/>
      <c r="AD2541" s="29"/>
    </row>
    <row r="2542">
      <c r="A2542" s="115"/>
      <c r="B2542" s="22"/>
      <c r="C2542" s="68"/>
      <c r="D2542" s="63"/>
      <c r="E2542" s="9"/>
      <c r="H2542" s="29"/>
      <c r="I2542" s="29"/>
      <c r="J2542" s="29"/>
      <c r="K2542" s="29"/>
      <c r="L2542" s="29"/>
      <c r="M2542" s="29"/>
      <c r="N2542" s="29"/>
      <c r="O2542" s="29"/>
      <c r="P2542" s="29"/>
      <c r="Q2542" s="29"/>
      <c r="R2542" s="29"/>
      <c r="S2542" s="29"/>
      <c r="T2542" s="29"/>
      <c r="U2542" s="29"/>
      <c r="V2542" s="29"/>
      <c r="W2542" s="29"/>
      <c r="X2542" s="29"/>
      <c r="Y2542" s="29"/>
      <c r="Z2542" s="29"/>
      <c r="AA2542" s="29"/>
      <c r="AB2542" s="29"/>
      <c r="AC2542" s="29"/>
      <c r="AD2542" s="29"/>
    </row>
    <row r="2543">
      <c r="A2543" s="115" t="s">
        <v>3828</v>
      </c>
      <c r="B2543" s="22" t="s">
        <v>3763</v>
      </c>
      <c r="C2543" s="18" t="s">
        <v>3829</v>
      </c>
      <c r="D2543" s="19" t="s">
        <v>3830</v>
      </c>
      <c r="E2543" s="18" t="s">
        <v>196</v>
      </c>
      <c r="H2543" s="29"/>
      <c r="I2543" s="29"/>
      <c r="J2543" s="29"/>
      <c r="K2543" s="29"/>
      <c r="L2543" s="29"/>
      <c r="M2543" s="29"/>
      <c r="N2543" s="29"/>
      <c r="O2543" s="29"/>
      <c r="P2543" s="29"/>
      <c r="Q2543" s="29"/>
      <c r="R2543" s="29"/>
      <c r="S2543" s="29"/>
      <c r="T2543" s="29"/>
      <c r="U2543" s="29"/>
      <c r="V2543" s="29"/>
      <c r="W2543" s="29"/>
      <c r="X2543" s="29"/>
      <c r="Y2543" s="29"/>
      <c r="Z2543" s="29"/>
      <c r="AA2543" s="29"/>
      <c r="AB2543" s="29"/>
      <c r="AC2543" s="29"/>
      <c r="AD2543" s="29"/>
    </row>
    <row r="2544">
      <c r="A2544" s="115" t="s">
        <v>3828</v>
      </c>
      <c r="B2544" s="22" t="s">
        <v>3763</v>
      </c>
      <c r="C2544" s="18" t="s">
        <v>3829</v>
      </c>
      <c r="D2544" s="19" t="s">
        <v>3830</v>
      </c>
      <c r="E2544" s="18" t="s">
        <v>196</v>
      </c>
      <c r="H2544" s="29"/>
      <c r="I2544" s="29"/>
      <c r="J2544" s="29"/>
      <c r="K2544" s="29"/>
      <c r="L2544" s="29"/>
      <c r="M2544" s="29"/>
      <c r="N2544" s="29"/>
      <c r="O2544" s="29"/>
      <c r="P2544" s="29"/>
      <c r="Q2544" s="29"/>
      <c r="R2544" s="29"/>
      <c r="S2544" s="29"/>
      <c r="T2544" s="29"/>
      <c r="U2544" s="29"/>
      <c r="V2544" s="29"/>
      <c r="W2544" s="29"/>
      <c r="X2544" s="29"/>
      <c r="Y2544" s="29"/>
      <c r="Z2544" s="29"/>
      <c r="AA2544" s="29"/>
      <c r="AB2544" s="29"/>
      <c r="AC2544" s="29"/>
      <c r="AD2544" s="29"/>
    </row>
    <row r="2545">
      <c r="A2545" s="115" t="s">
        <v>3828</v>
      </c>
      <c r="B2545" s="22" t="s">
        <v>3763</v>
      </c>
      <c r="C2545" s="18" t="s">
        <v>3829</v>
      </c>
      <c r="D2545" s="19" t="s">
        <v>3830</v>
      </c>
      <c r="E2545" s="18" t="s">
        <v>196</v>
      </c>
      <c r="H2545" s="29"/>
      <c r="I2545" s="29"/>
      <c r="J2545" s="29"/>
      <c r="K2545" s="29"/>
      <c r="L2545" s="29"/>
      <c r="M2545" s="29"/>
      <c r="N2545" s="29"/>
      <c r="O2545" s="29"/>
      <c r="P2545" s="29"/>
      <c r="Q2545" s="29"/>
      <c r="R2545" s="29"/>
      <c r="S2545" s="29"/>
      <c r="T2545" s="29"/>
      <c r="U2545" s="29"/>
      <c r="V2545" s="29"/>
      <c r="W2545" s="29"/>
      <c r="X2545" s="29"/>
      <c r="Y2545" s="29"/>
      <c r="Z2545" s="29"/>
      <c r="AA2545" s="29"/>
      <c r="AB2545" s="29"/>
      <c r="AC2545" s="29"/>
      <c r="AD2545" s="29"/>
    </row>
    <row r="2546">
      <c r="A2546" s="115" t="s">
        <v>3828</v>
      </c>
      <c r="B2546" s="22" t="s">
        <v>3831</v>
      </c>
      <c r="C2546" s="18" t="s">
        <v>3522</v>
      </c>
      <c r="D2546" s="19" t="s">
        <v>3832</v>
      </c>
      <c r="E2546" s="161" t="s">
        <v>7</v>
      </c>
      <c r="H2546" s="29"/>
      <c r="I2546" s="29"/>
      <c r="J2546" s="29"/>
      <c r="K2546" s="29"/>
      <c r="L2546" s="29"/>
      <c r="M2546" s="29"/>
      <c r="N2546" s="29"/>
      <c r="O2546" s="29"/>
      <c r="P2546" s="29"/>
      <c r="Q2546" s="29"/>
      <c r="R2546" s="29"/>
      <c r="S2546" s="29"/>
      <c r="T2546" s="29"/>
      <c r="U2546" s="29"/>
      <c r="V2546" s="29"/>
      <c r="W2546" s="29"/>
      <c r="X2546" s="29"/>
      <c r="Y2546" s="29"/>
      <c r="Z2546" s="29"/>
      <c r="AA2546" s="29"/>
      <c r="AB2546" s="29"/>
      <c r="AC2546" s="29"/>
      <c r="AD2546" s="29"/>
    </row>
    <row r="2547">
      <c r="A2547" s="115" t="s">
        <v>3828</v>
      </c>
      <c r="B2547" s="22" t="s">
        <v>3831</v>
      </c>
      <c r="C2547" s="18" t="s">
        <v>3522</v>
      </c>
      <c r="D2547" s="19" t="s">
        <v>3749</v>
      </c>
      <c r="E2547" s="161" t="s">
        <v>7</v>
      </c>
      <c r="H2547" s="29"/>
      <c r="I2547" s="29"/>
      <c r="J2547" s="29"/>
      <c r="K2547" s="29"/>
      <c r="L2547" s="29"/>
      <c r="M2547" s="29"/>
      <c r="N2547" s="29"/>
      <c r="O2547" s="29"/>
      <c r="P2547" s="29"/>
      <c r="Q2547" s="29"/>
      <c r="R2547" s="29"/>
      <c r="S2547" s="29"/>
      <c r="T2547" s="29"/>
      <c r="U2547" s="29"/>
      <c r="V2547" s="29"/>
      <c r="W2547" s="29"/>
      <c r="X2547" s="29"/>
      <c r="Y2547" s="29"/>
      <c r="Z2547" s="29"/>
      <c r="AA2547" s="29"/>
      <c r="AB2547" s="29"/>
      <c r="AC2547" s="29"/>
      <c r="AD2547" s="29"/>
    </row>
    <row r="2548">
      <c r="A2548" s="115" t="s">
        <v>3828</v>
      </c>
      <c r="B2548" s="22" t="s">
        <v>3831</v>
      </c>
      <c r="C2548" s="18" t="s">
        <v>3522</v>
      </c>
      <c r="D2548" s="19" t="s">
        <v>3742</v>
      </c>
      <c r="E2548" s="161" t="s">
        <v>7</v>
      </c>
      <c r="H2548" s="29"/>
      <c r="I2548" s="29"/>
      <c r="J2548" s="29"/>
      <c r="K2548" s="29"/>
      <c r="L2548" s="29"/>
      <c r="M2548" s="29"/>
      <c r="N2548" s="29"/>
      <c r="O2548" s="29"/>
      <c r="P2548" s="29"/>
      <c r="Q2548" s="29"/>
      <c r="R2548" s="29"/>
      <c r="S2548" s="29"/>
      <c r="T2548" s="29"/>
      <c r="U2548" s="29"/>
      <c r="V2548" s="29"/>
      <c r="W2548" s="29"/>
      <c r="X2548" s="29"/>
      <c r="Y2548" s="29"/>
      <c r="Z2548" s="29"/>
      <c r="AA2548" s="29"/>
      <c r="AB2548" s="29"/>
      <c r="AC2548" s="29"/>
      <c r="AD2548" s="29"/>
    </row>
    <row r="2549">
      <c r="A2549" s="115" t="s">
        <v>3828</v>
      </c>
      <c r="B2549" s="22" t="s">
        <v>3831</v>
      </c>
      <c r="C2549" s="18" t="s">
        <v>3522</v>
      </c>
      <c r="D2549" s="19" t="s">
        <v>3833</v>
      </c>
      <c r="E2549" s="161" t="s">
        <v>7</v>
      </c>
      <c r="H2549" s="29"/>
      <c r="I2549" s="29"/>
      <c r="J2549" s="29"/>
      <c r="K2549" s="29"/>
      <c r="L2549" s="29"/>
      <c r="M2549" s="29"/>
      <c r="N2549" s="29"/>
      <c r="O2549" s="29"/>
      <c r="P2549" s="29"/>
      <c r="Q2549" s="29"/>
      <c r="R2549" s="29"/>
      <c r="S2549" s="29"/>
      <c r="T2549" s="29"/>
      <c r="U2549" s="29"/>
      <c r="V2549" s="29"/>
      <c r="W2549" s="29"/>
      <c r="X2549" s="29"/>
      <c r="Y2549" s="29"/>
      <c r="Z2549" s="29"/>
      <c r="AA2549" s="29"/>
      <c r="AB2549" s="29"/>
      <c r="AC2549" s="29"/>
      <c r="AD2549" s="29"/>
    </row>
    <row r="2550">
      <c r="A2550" s="115" t="s">
        <v>3828</v>
      </c>
      <c r="B2550" s="22" t="s">
        <v>3834</v>
      </c>
      <c r="C2550" s="18" t="s">
        <v>3835</v>
      </c>
      <c r="D2550" s="19" t="s">
        <v>3836</v>
      </c>
      <c r="E2550" s="9" t="s">
        <v>3837</v>
      </c>
      <c r="H2550" s="29"/>
      <c r="I2550" s="29"/>
      <c r="J2550" s="29"/>
      <c r="K2550" s="29"/>
      <c r="L2550" s="29"/>
      <c r="M2550" s="29"/>
      <c r="N2550" s="29"/>
      <c r="O2550" s="29"/>
      <c r="P2550" s="29"/>
      <c r="Q2550" s="29"/>
      <c r="R2550" s="29"/>
      <c r="S2550" s="29"/>
      <c r="T2550" s="29"/>
      <c r="U2550" s="29"/>
      <c r="V2550" s="29"/>
      <c r="W2550" s="29"/>
      <c r="X2550" s="29"/>
      <c r="Y2550" s="29"/>
      <c r="Z2550" s="29"/>
      <c r="AA2550" s="29"/>
      <c r="AB2550" s="29"/>
      <c r="AC2550" s="29"/>
      <c r="AD2550" s="29"/>
    </row>
    <row r="2551">
      <c r="A2551" s="115" t="s">
        <v>3828</v>
      </c>
      <c r="B2551" s="22" t="s">
        <v>3838</v>
      </c>
      <c r="C2551" s="18" t="s">
        <v>3839</v>
      </c>
      <c r="D2551" s="19" t="s">
        <v>3840</v>
      </c>
      <c r="E2551" s="9" t="s">
        <v>3837</v>
      </c>
      <c r="H2551" s="29"/>
      <c r="I2551" s="29"/>
      <c r="J2551" s="29"/>
      <c r="K2551" s="29"/>
      <c r="L2551" s="29"/>
      <c r="M2551" s="29"/>
      <c r="N2551" s="29"/>
      <c r="O2551" s="29"/>
      <c r="P2551" s="29"/>
      <c r="Q2551" s="29"/>
      <c r="R2551" s="29"/>
      <c r="S2551" s="29"/>
      <c r="T2551" s="29"/>
      <c r="U2551" s="29"/>
      <c r="V2551" s="29"/>
      <c r="W2551" s="29"/>
      <c r="X2551" s="29"/>
      <c r="Y2551" s="29"/>
      <c r="Z2551" s="29"/>
      <c r="AA2551" s="29"/>
      <c r="AB2551" s="29"/>
      <c r="AC2551" s="29"/>
      <c r="AD2551" s="29"/>
    </row>
    <row r="2552">
      <c r="A2552" s="115" t="s">
        <v>3828</v>
      </c>
      <c r="B2552" s="22" t="s">
        <v>3841</v>
      </c>
      <c r="C2552" s="18" t="s">
        <v>3842</v>
      </c>
      <c r="D2552" s="19" t="s">
        <v>3843</v>
      </c>
      <c r="E2552" s="9" t="s">
        <v>14</v>
      </c>
      <c r="H2552" s="29"/>
      <c r="I2552" s="29"/>
      <c r="J2552" s="29"/>
      <c r="K2552" s="29"/>
      <c r="L2552" s="29"/>
      <c r="M2552" s="29"/>
      <c r="N2552" s="29"/>
      <c r="O2552" s="29"/>
      <c r="P2552" s="29"/>
      <c r="Q2552" s="29"/>
      <c r="R2552" s="29"/>
      <c r="S2552" s="29"/>
      <c r="T2552" s="29"/>
      <c r="U2552" s="29"/>
      <c r="V2552" s="29"/>
      <c r="W2552" s="29"/>
      <c r="X2552" s="29"/>
      <c r="Y2552" s="29"/>
      <c r="Z2552" s="29"/>
      <c r="AA2552" s="29"/>
      <c r="AB2552" s="29"/>
      <c r="AC2552" s="29"/>
      <c r="AD2552" s="29"/>
    </row>
    <row r="2553">
      <c r="A2553" s="115" t="s">
        <v>3828</v>
      </c>
      <c r="B2553" s="22" t="s">
        <v>3841</v>
      </c>
      <c r="C2553" s="18" t="s">
        <v>3844</v>
      </c>
      <c r="D2553" s="19" t="s">
        <v>3845</v>
      </c>
      <c r="E2553" s="9" t="s">
        <v>14</v>
      </c>
      <c r="H2553" s="29"/>
      <c r="I2553" s="29"/>
      <c r="J2553" s="29"/>
      <c r="K2553" s="29"/>
      <c r="L2553" s="29"/>
      <c r="M2553" s="29"/>
      <c r="N2553" s="29"/>
      <c r="O2553" s="29"/>
      <c r="P2553" s="29"/>
      <c r="Q2553" s="29"/>
      <c r="R2553" s="29"/>
      <c r="S2553" s="29"/>
      <c r="T2553" s="29"/>
      <c r="U2553" s="29"/>
      <c r="V2553" s="29"/>
      <c r="W2553" s="29"/>
      <c r="X2553" s="29"/>
      <c r="Y2553" s="29"/>
      <c r="Z2553" s="29"/>
      <c r="AA2553" s="29"/>
      <c r="AB2553" s="29"/>
      <c r="AC2553" s="29"/>
      <c r="AD2553" s="29"/>
    </row>
    <row r="2554">
      <c r="A2554" s="6"/>
      <c r="B2554" s="9"/>
      <c r="C2554" s="9"/>
      <c r="D2554" s="9"/>
      <c r="E2554" s="9"/>
      <c r="H2554" s="29"/>
      <c r="I2554" s="29"/>
      <c r="J2554" s="29"/>
      <c r="K2554" s="29"/>
      <c r="L2554" s="29"/>
      <c r="M2554" s="29"/>
      <c r="N2554" s="29"/>
      <c r="O2554" s="29"/>
      <c r="P2554" s="29"/>
      <c r="Q2554" s="29"/>
      <c r="R2554" s="29"/>
      <c r="S2554" s="29"/>
      <c r="T2554" s="29"/>
      <c r="U2554" s="29"/>
      <c r="V2554" s="29"/>
      <c r="W2554" s="29"/>
      <c r="X2554" s="29"/>
      <c r="Y2554" s="29"/>
      <c r="Z2554" s="29"/>
      <c r="AA2554" s="29"/>
      <c r="AB2554" s="29"/>
      <c r="AC2554" s="29"/>
      <c r="AD2554" s="29"/>
    </row>
    <row r="2555">
      <c r="A2555" s="6"/>
      <c r="B2555" s="9"/>
      <c r="C2555" s="9"/>
      <c r="D2555" s="9"/>
      <c r="E2555" s="9"/>
      <c r="H2555" s="29"/>
      <c r="I2555" s="29"/>
      <c r="J2555" s="29"/>
      <c r="K2555" s="29"/>
      <c r="L2555" s="29"/>
      <c r="M2555" s="29"/>
      <c r="N2555" s="29"/>
      <c r="O2555" s="29"/>
      <c r="P2555" s="29"/>
      <c r="Q2555" s="29"/>
      <c r="R2555" s="29"/>
      <c r="S2555" s="29"/>
      <c r="T2555" s="29"/>
      <c r="U2555" s="29"/>
      <c r="V2555" s="29"/>
      <c r="W2555" s="29"/>
      <c r="X2555" s="29"/>
      <c r="Y2555" s="29"/>
      <c r="Z2555" s="29"/>
      <c r="AA2555" s="29"/>
      <c r="AB2555" s="29"/>
      <c r="AC2555" s="29"/>
      <c r="AD2555" s="29"/>
    </row>
    <row r="2556">
      <c r="A2556" s="115" t="s">
        <v>3846</v>
      </c>
      <c r="B2556" s="22" t="s">
        <v>3847</v>
      </c>
      <c r="C2556" s="18" t="s">
        <v>3848</v>
      </c>
      <c r="D2556" s="19" t="s">
        <v>3830</v>
      </c>
      <c r="E2556" s="161" t="s">
        <v>3849</v>
      </c>
      <c r="H2556" s="29"/>
      <c r="I2556" s="29"/>
      <c r="J2556" s="29"/>
      <c r="K2556" s="29"/>
      <c r="L2556" s="29"/>
      <c r="M2556" s="29"/>
      <c r="N2556" s="29"/>
      <c r="O2556" s="29"/>
      <c r="P2556" s="29"/>
      <c r="Q2556" s="29"/>
      <c r="R2556" s="29"/>
      <c r="S2556" s="29"/>
      <c r="T2556" s="29"/>
      <c r="U2556" s="29"/>
      <c r="V2556" s="29"/>
      <c r="W2556" s="29"/>
      <c r="X2556" s="29"/>
      <c r="Y2556" s="29"/>
      <c r="Z2556" s="29"/>
      <c r="AA2556" s="29"/>
      <c r="AB2556" s="29"/>
      <c r="AC2556" s="29"/>
      <c r="AD2556" s="29"/>
    </row>
    <row r="2557">
      <c r="A2557" s="115" t="s">
        <v>3846</v>
      </c>
      <c r="B2557" s="22" t="s">
        <v>3847</v>
      </c>
      <c r="C2557" s="18" t="s">
        <v>3764</v>
      </c>
      <c r="D2557" s="19" t="s">
        <v>3827</v>
      </c>
      <c r="E2557" s="161" t="s">
        <v>3849</v>
      </c>
      <c r="H2557" s="29"/>
      <c r="I2557" s="29"/>
      <c r="J2557" s="29"/>
      <c r="K2557" s="29"/>
      <c r="L2557" s="29"/>
      <c r="M2557" s="29"/>
      <c r="N2557" s="29"/>
      <c r="O2557" s="29"/>
      <c r="P2557" s="29"/>
      <c r="Q2557" s="29"/>
      <c r="R2557" s="29"/>
      <c r="S2557" s="29"/>
      <c r="T2557" s="29"/>
      <c r="U2557" s="29"/>
      <c r="V2557" s="29"/>
      <c r="W2557" s="29"/>
      <c r="X2557" s="29"/>
      <c r="Y2557" s="29"/>
      <c r="Z2557" s="29"/>
      <c r="AA2557" s="29"/>
      <c r="AB2557" s="29"/>
      <c r="AC2557" s="29"/>
      <c r="AD2557" s="29"/>
    </row>
    <row r="2558">
      <c r="A2558" s="115" t="s">
        <v>3846</v>
      </c>
      <c r="B2558" s="22" t="s">
        <v>3847</v>
      </c>
      <c r="C2558" s="18" t="s">
        <v>3850</v>
      </c>
      <c r="D2558" s="19" t="s">
        <v>3830</v>
      </c>
      <c r="E2558" s="18" t="s">
        <v>196</v>
      </c>
      <c r="H2558" s="29"/>
      <c r="I2558" s="29"/>
      <c r="J2558" s="29"/>
      <c r="K2558" s="29"/>
      <c r="L2558" s="29"/>
      <c r="M2558" s="29"/>
      <c r="N2558" s="29"/>
      <c r="O2558" s="29"/>
      <c r="P2558" s="29"/>
      <c r="Q2558" s="29"/>
      <c r="R2558" s="29"/>
      <c r="S2558" s="29"/>
      <c r="T2558" s="29"/>
      <c r="U2558" s="29"/>
      <c r="V2558" s="29"/>
      <c r="W2558" s="29"/>
      <c r="X2558" s="29"/>
      <c r="Y2558" s="29"/>
      <c r="Z2558" s="29"/>
      <c r="AA2558" s="29"/>
      <c r="AB2558" s="29"/>
      <c r="AC2558" s="29"/>
      <c r="AD2558" s="29"/>
    </row>
    <row r="2559">
      <c r="A2559" s="115" t="s">
        <v>3846</v>
      </c>
      <c r="B2559" s="22" t="s">
        <v>3847</v>
      </c>
      <c r="C2559" s="18" t="s">
        <v>3829</v>
      </c>
      <c r="D2559" s="19" t="s">
        <v>3830</v>
      </c>
      <c r="E2559" s="18" t="s">
        <v>196</v>
      </c>
      <c r="H2559" s="29"/>
      <c r="I2559" s="29"/>
      <c r="J2559" s="29"/>
      <c r="K2559" s="29"/>
      <c r="L2559" s="29"/>
      <c r="M2559" s="29"/>
      <c r="N2559" s="29"/>
      <c r="O2559" s="29"/>
      <c r="P2559" s="29"/>
      <c r="Q2559" s="29"/>
      <c r="R2559" s="29"/>
      <c r="S2559" s="29"/>
      <c r="T2559" s="29"/>
      <c r="U2559" s="29"/>
      <c r="V2559" s="29"/>
      <c r="W2559" s="29"/>
      <c r="X2559" s="29"/>
      <c r="Y2559" s="29"/>
      <c r="Z2559" s="29"/>
      <c r="AA2559" s="29"/>
      <c r="AB2559" s="29"/>
      <c r="AC2559" s="29"/>
      <c r="AD2559" s="29"/>
    </row>
    <row r="2560">
      <c r="A2560" s="115"/>
      <c r="B2560" s="22"/>
      <c r="C2560" s="68"/>
      <c r="D2560" s="63"/>
      <c r="E2560" s="9"/>
      <c r="H2560" s="29"/>
      <c r="I2560" s="29"/>
      <c r="J2560" s="29"/>
      <c r="K2560" s="29"/>
      <c r="L2560" s="29"/>
      <c r="M2560" s="29"/>
      <c r="N2560" s="29"/>
      <c r="O2560" s="29"/>
      <c r="P2560" s="29"/>
      <c r="Q2560" s="29"/>
      <c r="R2560" s="29"/>
      <c r="S2560" s="29"/>
      <c r="T2560" s="29"/>
      <c r="U2560" s="29"/>
      <c r="V2560" s="29"/>
      <c r="W2560" s="29"/>
      <c r="X2560" s="29"/>
      <c r="Y2560" s="29"/>
      <c r="Z2560" s="29"/>
      <c r="AA2560" s="29"/>
      <c r="AB2560" s="29"/>
      <c r="AC2560" s="29"/>
      <c r="AD2560" s="29"/>
    </row>
    <row r="2561">
      <c r="A2561" s="115"/>
      <c r="B2561" s="22"/>
      <c r="C2561" s="68"/>
      <c r="D2561" s="63"/>
      <c r="E2561" s="9"/>
      <c r="H2561" s="29"/>
      <c r="I2561" s="29"/>
      <c r="J2561" s="29"/>
      <c r="K2561" s="29"/>
      <c r="L2561" s="29"/>
      <c r="M2561" s="29"/>
      <c r="N2561" s="29"/>
      <c r="O2561" s="29"/>
      <c r="P2561" s="29"/>
      <c r="Q2561" s="29"/>
      <c r="R2561" s="29"/>
      <c r="S2561" s="29"/>
      <c r="T2561" s="29"/>
      <c r="U2561" s="29"/>
      <c r="V2561" s="29"/>
      <c r="W2561" s="29"/>
      <c r="X2561" s="29"/>
      <c r="Y2561" s="29"/>
      <c r="Z2561" s="29"/>
      <c r="AA2561" s="29"/>
      <c r="AB2561" s="29"/>
      <c r="AC2561" s="29"/>
      <c r="AD2561" s="29"/>
    </row>
    <row r="2562">
      <c r="A2562" s="16" t="s">
        <v>3851</v>
      </c>
      <c r="B2562" s="22" t="s">
        <v>3852</v>
      </c>
      <c r="C2562" s="132" t="s">
        <v>3853</v>
      </c>
      <c r="D2562" s="9" t="s">
        <v>922</v>
      </c>
      <c r="E2562" s="9" t="s">
        <v>3854</v>
      </c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</row>
    <row r="2563">
      <c r="A2563" s="16" t="s">
        <v>3851</v>
      </c>
      <c r="B2563" s="22" t="s">
        <v>3852</v>
      </c>
      <c r="C2563" s="132" t="s">
        <v>3853</v>
      </c>
      <c r="D2563" s="9" t="s">
        <v>3855</v>
      </c>
      <c r="E2563" s="9" t="s">
        <v>3854</v>
      </c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</row>
    <row r="2564">
      <c r="A2564" s="16" t="s">
        <v>3851</v>
      </c>
      <c r="B2564" s="22" t="s">
        <v>3852</v>
      </c>
      <c r="C2564" s="132" t="s">
        <v>3853</v>
      </c>
      <c r="D2564" s="9" t="s">
        <v>3856</v>
      </c>
      <c r="E2564" s="9" t="s">
        <v>3854</v>
      </c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</row>
    <row r="2565">
      <c r="A2565" s="16" t="s">
        <v>3851</v>
      </c>
      <c r="B2565" s="22" t="s">
        <v>3754</v>
      </c>
      <c r="C2565" s="132" t="s">
        <v>3857</v>
      </c>
      <c r="D2565" s="9" t="s">
        <v>3858</v>
      </c>
      <c r="E2565" s="9" t="s">
        <v>3854</v>
      </c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</row>
    <row r="2566">
      <c r="A2566" s="16" t="s">
        <v>3851</v>
      </c>
      <c r="B2566" s="22" t="s">
        <v>3754</v>
      </c>
      <c r="C2566" s="132" t="s">
        <v>3857</v>
      </c>
      <c r="D2566" s="9" t="s">
        <v>3859</v>
      </c>
      <c r="E2566" s="9" t="s">
        <v>3854</v>
      </c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</row>
    <row r="2567">
      <c r="A2567" s="16" t="s">
        <v>3851</v>
      </c>
      <c r="B2567" s="22" t="s">
        <v>3754</v>
      </c>
      <c r="C2567" s="132" t="s">
        <v>3857</v>
      </c>
      <c r="D2567" s="9" t="s">
        <v>3860</v>
      </c>
      <c r="E2567" s="9" t="s">
        <v>3854</v>
      </c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</row>
    <row r="2568">
      <c r="A2568" s="16" t="s">
        <v>3851</v>
      </c>
      <c r="B2568" s="22" t="s">
        <v>3754</v>
      </c>
      <c r="C2568" s="132" t="s">
        <v>3857</v>
      </c>
      <c r="D2568" s="9" t="s">
        <v>3861</v>
      </c>
      <c r="E2568" s="9" t="s">
        <v>3854</v>
      </c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</row>
    <row r="2569">
      <c r="A2569" s="16" t="s">
        <v>3851</v>
      </c>
      <c r="B2569" s="19" t="s">
        <v>3862</v>
      </c>
      <c r="C2569" s="132" t="s">
        <v>2020</v>
      </c>
      <c r="D2569" s="9" t="s">
        <v>3863</v>
      </c>
      <c r="E2569" s="9" t="s">
        <v>14</v>
      </c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</row>
    <row r="2570">
      <c r="A2570" s="115"/>
      <c r="B2570" s="22"/>
      <c r="C2570" s="68"/>
      <c r="D2570" s="63"/>
      <c r="E2570" s="9"/>
      <c r="H2570" s="29"/>
      <c r="I2570" s="29"/>
      <c r="J2570" s="29"/>
      <c r="K2570" s="29"/>
      <c r="L2570" s="29"/>
      <c r="M2570" s="29"/>
      <c r="N2570" s="29"/>
      <c r="O2570" s="29"/>
      <c r="P2570" s="29"/>
      <c r="Q2570" s="29"/>
      <c r="R2570" s="29"/>
      <c r="S2570" s="29"/>
      <c r="T2570" s="29"/>
      <c r="U2570" s="29"/>
      <c r="V2570" s="29"/>
      <c r="W2570" s="29"/>
      <c r="X2570" s="29"/>
      <c r="Y2570" s="29"/>
      <c r="Z2570" s="29"/>
      <c r="AA2570" s="29"/>
      <c r="AB2570" s="29"/>
      <c r="AC2570" s="29"/>
      <c r="AD2570" s="29"/>
    </row>
    <row r="2571">
      <c r="A2571" s="115"/>
      <c r="B2571" s="22"/>
      <c r="C2571" s="68"/>
      <c r="D2571" s="63"/>
      <c r="E2571" s="9"/>
      <c r="H2571" s="29"/>
      <c r="I2571" s="29"/>
      <c r="J2571" s="29"/>
      <c r="K2571" s="29"/>
      <c r="L2571" s="29"/>
      <c r="M2571" s="29"/>
      <c r="N2571" s="29"/>
      <c r="O2571" s="29"/>
      <c r="P2571" s="29"/>
      <c r="Q2571" s="29"/>
      <c r="R2571" s="29"/>
      <c r="S2571" s="29"/>
      <c r="T2571" s="29"/>
      <c r="U2571" s="29"/>
      <c r="V2571" s="29"/>
      <c r="W2571" s="29"/>
      <c r="X2571" s="29"/>
      <c r="Y2571" s="29"/>
      <c r="Z2571" s="29"/>
      <c r="AA2571" s="29"/>
      <c r="AB2571" s="29"/>
      <c r="AC2571" s="29"/>
      <c r="AD2571" s="29"/>
    </row>
    <row r="2572">
      <c r="A2572" s="16" t="s">
        <v>3864</v>
      </c>
      <c r="B2572" s="22" t="s">
        <v>3431</v>
      </c>
      <c r="C2572" s="18" t="s">
        <v>3865</v>
      </c>
      <c r="D2572" s="19" t="s">
        <v>3866</v>
      </c>
      <c r="E2572" s="161" t="s">
        <v>7</v>
      </c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</row>
    <row r="2573">
      <c r="A2573" s="16" t="s">
        <v>3864</v>
      </c>
      <c r="B2573" s="22" t="s">
        <v>3431</v>
      </c>
      <c r="C2573" s="18" t="s">
        <v>3867</v>
      </c>
      <c r="D2573" s="19" t="s">
        <v>3866</v>
      </c>
      <c r="E2573" s="161" t="s">
        <v>7</v>
      </c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</row>
    <row r="2574">
      <c r="A2574" s="16" t="s">
        <v>3864</v>
      </c>
      <c r="B2574" s="22" t="s">
        <v>3847</v>
      </c>
      <c r="C2574" s="18" t="s">
        <v>449</v>
      </c>
      <c r="D2574" s="19" t="s">
        <v>3868</v>
      </c>
      <c r="E2574" s="9" t="s">
        <v>3837</v>
      </c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</row>
    <row r="2575">
      <c r="A2575" s="16" t="s">
        <v>3864</v>
      </c>
      <c r="B2575" s="22" t="s">
        <v>3847</v>
      </c>
      <c r="C2575" s="18" t="s">
        <v>3829</v>
      </c>
      <c r="D2575" s="19" t="s">
        <v>3869</v>
      </c>
      <c r="E2575" s="9" t="s">
        <v>3870</v>
      </c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</row>
    <row r="2576">
      <c r="A2576" s="16" t="s">
        <v>3864</v>
      </c>
      <c r="B2576" s="22" t="s">
        <v>3847</v>
      </c>
      <c r="C2576" s="18" t="s">
        <v>3829</v>
      </c>
      <c r="D2576" s="19" t="s">
        <v>3871</v>
      </c>
      <c r="E2576" s="9" t="s">
        <v>3870</v>
      </c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</row>
    <row r="2577">
      <c r="A2577" s="16" t="s">
        <v>3864</v>
      </c>
      <c r="B2577" s="22" t="s">
        <v>3872</v>
      </c>
      <c r="C2577" s="18" t="s">
        <v>3829</v>
      </c>
      <c r="D2577" s="19" t="s">
        <v>3873</v>
      </c>
      <c r="E2577" s="9" t="s">
        <v>3870</v>
      </c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</row>
    <row r="2578">
      <c r="A2578" s="115"/>
      <c r="B2578" s="22"/>
      <c r="C2578" s="68"/>
      <c r="D2578" s="63"/>
      <c r="E2578" s="9"/>
      <c r="H2578" s="29"/>
      <c r="I2578" s="29"/>
      <c r="J2578" s="29"/>
      <c r="K2578" s="29"/>
      <c r="L2578" s="29"/>
      <c r="M2578" s="29"/>
      <c r="N2578" s="29"/>
      <c r="O2578" s="29"/>
      <c r="P2578" s="29"/>
      <c r="Q2578" s="29"/>
      <c r="R2578" s="29"/>
      <c r="S2578" s="29"/>
      <c r="T2578" s="29"/>
      <c r="U2578" s="29"/>
      <c r="V2578" s="29"/>
      <c r="W2578" s="29"/>
      <c r="X2578" s="29"/>
      <c r="Y2578" s="29"/>
      <c r="Z2578" s="29"/>
      <c r="AA2578" s="29"/>
      <c r="AB2578" s="29"/>
      <c r="AC2578" s="29"/>
      <c r="AD2578" s="29"/>
    </row>
    <row r="2579">
      <c r="A2579" s="115"/>
      <c r="B2579" s="22"/>
      <c r="C2579" s="68"/>
      <c r="D2579" s="63"/>
      <c r="E2579" s="9"/>
      <c r="H2579" s="29"/>
      <c r="I2579" s="29"/>
      <c r="J2579" s="29"/>
      <c r="K2579" s="29"/>
      <c r="L2579" s="29"/>
      <c r="M2579" s="29"/>
      <c r="N2579" s="29"/>
      <c r="O2579" s="29"/>
      <c r="P2579" s="29"/>
      <c r="Q2579" s="29"/>
      <c r="R2579" s="29"/>
      <c r="S2579" s="29"/>
      <c r="T2579" s="29"/>
      <c r="U2579" s="29"/>
      <c r="V2579" s="29"/>
      <c r="W2579" s="29"/>
      <c r="X2579" s="29"/>
      <c r="Y2579" s="29"/>
      <c r="Z2579" s="29"/>
      <c r="AA2579" s="29"/>
      <c r="AB2579" s="29"/>
      <c r="AC2579" s="29"/>
      <c r="AD2579" s="29"/>
    </row>
    <row r="2580">
      <c r="A2580" s="16" t="s">
        <v>3874</v>
      </c>
      <c r="B2580" s="22" t="s">
        <v>3819</v>
      </c>
      <c r="C2580" s="18" t="s">
        <v>3379</v>
      </c>
      <c r="D2580" s="18" t="s">
        <v>3875</v>
      </c>
      <c r="E2580" s="161" t="s">
        <v>7</v>
      </c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</row>
    <row r="2581">
      <c r="A2581" s="16" t="s">
        <v>3874</v>
      </c>
      <c r="B2581" s="22" t="s">
        <v>3819</v>
      </c>
      <c r="C2581" s="18" t="s">
        <v>1379</v>
      </c>
      <c r="D2581" s="18" t="s">
        <v>3876</v>
      </c>
      <c r="E2581" s="161" t="s">
        <v>7</v>
      </c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</row>
    <row r="2582">
      <c r="A2582" s="16" t="s">
        <v>3874</v>
      </c>
      <c r="B2582" s="22" t="s">
        <v>3877</v>
      </c>
      <c r="C2582" s="18" t="s">
        <v>3878</v>
      </c>
      <c r="D2582" s="19" t="s">
        <v>3879</v>
      </c>
      <c r="E2582" s="9" t="s">
        <v>3880</v>
      </c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</row>
    <row r="2583">
      <c r="A2583" s="16" t="s">
        <v>3874</v>
      </c>
      <c r="B2583" s="22" t="s">
        <v>3877</v>
      </c>
      <c r="C2583" s="18" t="s">
        <v>2539</v>
      </c>
      <c r="D2583" s="19" t="s">
        <v>3881</v>
      </c>
      <c r="E2583" s="9" t="s">
        <v>3880</v>
      </c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</row>
    <row r="2584">
      <c r="A2584" s="16" t="s">
        <v>3874</v>
      </c>
      <c r="B2584" s="22" t="s">
        <v>3877</v>
      </c>
      <c r="C2584" s="18" t="s">
        <v>2539</v>
      </c>
      <c r="D2584" s="19" t="s">
        <v>3882</v>
      </c>
      <c r="E2584" s="9" t="s">
        <v>3880</v>
      </c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</row>
    <row r="2585">
      <c r="A2585" s="16" t="s">
        <v>3874</v>
      </c>
      <c r="B2585" s="22" t="s">
        <v>3877</v>
      </c>
      <c r="C2585" s="18" t="s">
        <v>2539</v>
      </c>
      <c r="D2585" s="19" t="s">
        <v>3883</v>
      </c>
      <c r="E2585" s="9" t="s">
        <v>3880</v>
      </c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</row>
    <row r="2586">
      <c r="A2586" s="16" t="s">
        <v>3874</v>
      </c>
      <c r="B2586" s="19" t="s">
        <v>3884</v>
      </c>
      <c r="C2586" s="18" t="s">
        <v>3885</v>
      </c>
      <c r="D2586" s="19" t="s">
        <v>3886</v>
      </c>
      <c r="E2586" s="18" t="s">
        <v>196</v>
      </c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</row>
    <row r="2587">
      <c r="A2587" s="115"/>
      <c r="B2587" s="22"/>
      <c r="C2587" s="68"/>
      <c r="D2587" s="63"/>
      <c r="E2587" s="9"/>
      <c r="H2587" s="29"/>
      <c r="I2587" s="29"/>
      <c r="J2587" s="29"/>
      <c r="K2587" s="29"/>
      <c r="L2587" s="29"/>
      <c r="M2587" s="29"/>
      <c r="N2587" s="29"/>
      <c r="O2587" s="29"/>
      <c r="P2587" s="29"/>
      <c r="Q2587" s="29"/>
      <c r="R2587" s="29"/>
      <c r="S2587" s="29"/>
      <c r="T2587" s="29"/>
      <c r="U2587" s="29"/>
      <c r="V2587" s="29"/>
      <c r="W2587" s="29"/>
      <c r="X2587" s="29"/>
      <c r="Y2587" s="29"/>
      <c r="Z2587" s="29"/>
      <c r="AA2587" s="29"/>
      <c r="AB2587" s="29"/>
      <c r="AC2587" s="29"/>
      <c r="AD2587" s="29"/>
    </row>
    <row r="2588">
      <c r="A2588" s="115"/>
      <c r="B2588" s="22"/>
      <c r="C2588" s="68"/>
      <c r="D2588" s="63"/>
      <c r="E2588" s="9"/>
      <c r="H2588" s="29"/>
      <c r="I2588" s="29"/>
      <c r="J2588" s="29"/>
      <c r="K2588" s="29"/>
      <c r="L2588" s="29"/>
      <c r="M2588" s="29"/>
      <c r="N2588" s="29"/>
      <c r="O2588" s="29"/>
      <c r="P2588" s="29"/>
      <c r="Q2588" s="29"/>
      <c r="R2588" s="29"/>
      <c r="S2588" s="29"/>
      <c r="T2588" s="29"/>
      <c r="U2588" s="29"/>
      <c r="V2588" s="29"/>
      <c r="W2588" s="29"/>
      <c r="X2588" s="29"/>
      <c r="Y2588" s="29"/>
      <c r="Z2588" s="29"/>
      <c r="AA2588" s="29"/>
      <c r="AB2588" s="29"/>
      <c r="AC2588" s="29"/>
      <c r="AD2588" s="29"/>
    </row>
    <row r="2589">
      <c r="A2589" s="16" t="s">
        <v>3887</v>
      </c>
      <c r="B2589" s="19" t="s">
        <v>3884</v>
      </c>
      <c r="C2589" s="18" t="s">
        <v>3888</v>
      </c>
      <c r="D2589" s="19" t="s">
        <v>3886</v>
      </c>
      <c r="E2589" s="18" t="s">
        <v>196</v>
      </c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</row>
    <row r="2590">
      <c r="A2590" s="16" t="s">
        <v>3887</v>
      </c>
      <c r="B2590" s="22" t="s">
        <v>3763</v>
      </c>
      <c r="C2590" s="18" t="s">
        <v>3889</v>
      </c>
      <c r="D2590" s="19" t="s">
        <v>3890</v>
      </c>
      <c r="E2590" s="132" t="s">
        <v>14</v>
      </c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</row>
    <row r="2591">
      <c r="A2591" s="16" t="s">
        <v>3887</v>
      </c>
      <c r="B2591" s="22" t="s">
        <v>3195</v>
      </c>
      <c r="C2591" s="18" t="s">
        <v>3496</v>
      </c>
      <c r="D2591" s="19" t="s">
        <v>3891</v>
      </c>
      <c r="E2591" s="9" t="s">
        <v>3837</v>
      </c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</row>
    <row r="2592">
      <c r="A2592" s="115"/>
      <c r="B2592" s="22"/>
      <c r="C2592" s="68"/>
      <c r="D2592" s="63"/>
      <c r="E2592" s="9"/>
      <c r="H2592" s="29"/>
      <c r="I2592" s="29"/>
      <c r="J2592" s="29"/>
      <c r="K2592" s="29"/>
      <c r="L2592" s="29"/>
      <c r="M2592" s="29"/>
      <c r="N2592" s="29"/>
      <c r="O2592" s="29"/>
      <c r="P2592" s="29"/>
      <c r="Q2592" s="29"/>
      <c r="R2592" s="29"/>
      <c r="S2592" s="29"/>
      <c r="T2592" s="29"/>
      <c r="U2592" s="29"/>
      <c r="V2592" s="29"/>
      <c r="W2592" s="29"/>
      <c r="X2592" s="29"/>
      <c r="Y2592" s="29"/>
      <c r="Z2592" s="29"/>
      <c r="AA2592" s="29"/>
      <c r="AB2592" s="29"/>
      <c r="AC2592" s="29"/>
      <c r="AD2592" s="29"/>
    </row>
    <row r="2593">
      <c r="A2593" s="115"/>
      <c r="B2593" s="22"/>
      <c r="C2593" s="68"/>
      <c r="D2593" s="63"/>
      <c r="E2593" s="9"/>
      <c r="H2593" s="29"/>
      <c r="I2593" s="29"/>
      <c r="J2593" s="29"/>
      <c r="K2593" s="29"/>
      <c r="L2593" s="29"/>
      <c r="M2593" s="29"/>
      <c r="N2593" s="29"/>
      <c r="O2593" s="29"/>
      <c r="P2593" s="29"/>
      <c r="Q2593" s="29"/>
      <c r="R2593" s="29"/>
      <c r="S2593" s="29"/>
      <c r="T2593" s="29"/>
      <c r="U2593" s="29"/>
      <c r="V2593" s="29"/>
      <c r="W2593" s="29"/>
      <c r="X2593" s="29"/>
      <c r="Y2593" s="29"/>
      <c r="Z2593" s="29"/>
      <c r="AA2593" s="29"/>
      <c r="AB2593" s="29"/>
      <c r="AC2593" s="29"/>
      <c r="AD2593" s="29"/>
    </row>
    <row r="2594">
      <c r="A2594" s="160" t="s">
        <v>3892</v>
      </c>
      <c r="B2594" s="22" t="s">
        <v>3893</v>
      </c>
      <c r="C2594" s="18" t="s">
        <v>3894</v>
      </c>
      <c r="D2594" s="19" t="s">
        <v>3895</v>
      </c>
      <c r="E2594" s="161" t="s">
        <v>7</v>
      </c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</row>
    <row r="2595">
      <c r="A2595" s="160" t="s">
        <v>3896</v>
      </c>
      <c r="B2595" s="22" t="s">
        <v>3893</v>
      </c>
      <c r="C2595" s="18" t="s">
        <v>3522</v>
      </c>
      <c r="D2595" s="19" t="s">
        <v>3742</v>
      </c>
      <c r="E2595" s="161" t="s">
        <v>7</v>
      </c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</row>
    <row r="2596">
      <c r="A2596" s="160" t="s">
        <v>3896</v>
      </c>
      <c r="B2596" s="22" t="s">
        <v>3258</v>
      </c>
      <c r="C2596" s="18" t="s">
        <v>3897</v>
      </c>
      <c r="D2596" s="19" t="s">
        <v>3898</v>
      </c>
      <c r="E2596" s="161" t="s">
        <v>7</v>
      </c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</row>
    <row r="2597">
      <c r="A2597" s="160" t="s">
        <v>3896</v>
      </c>
      <c r="B2597" s="22" t="s">
        <v>3258</v>
      </c>
      <c r="C2597" s="18" t="s">
        <v>3897</v>
      </c>
      <c r="D2597" s="19" t="s">
        <v>3899</v>
      </c>
      <c r="E2597" s="161" t="s">
        <v>7</v>
      </c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</row>
    <row r="2598">
      <c r="A2598" s="160" t="s">
        <v>3896</v>
      </c>
      <c r="B2598" s="22" t="s">
        <v>3258</v>
      </c>
      <c r="C2598" s="18" t="s">
        <v>3900</v>
      </c>
      <c r="D2598" s="19" t="s">
        <v>3901</v>
      </c>
      <c r="E2598" s="161" t="s">
        <v>7</v>
      </c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</row>
    <row r="2599">
      <c r="A2599" s="160" t="s">
        <v>3896</v>
      </c>
      <c r="B2599" s="22" t="s">
        <v>3258</v>
      </c>
      <c r="C2599" s="18" t="s">
        <v>3900</v>
      </c>
      <c r="D2599" s="19" t="s">
        <v>3902</v>
      </c>
      <c r="E2599" s="161" t="s">
        <v>7</v>
      </c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</row>
    <row r="2600">
      <c r="A2600" s="160" t="s">
        <v>3896</v>
      </c>
      <c r="B2600" s="22" t="s">
        <v>3258</v>
      </c>
      <c r="C2600" s="18" t="s">
        <v>3897</v>
      </c>
      <c r="D2600" s="19" t="s">
        <v>3903</v>
      </c>
      <c r="E2600" s="161" t="s">
        <v>7</v>
      </c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</row>
    <row r="2601">
      <c r="A2601" s="160" t="s">
        <v>3896</v>
      </c>
      <c r="B2601" s="22" t="s">
        <v>3763</v>
      </c>
      <c r="C2601" s="18" t="s">
        <v>3829</v>
      </c>
      <c r="D2601" s="19" t="s">
        <v>3904</v>
      </c>
      <c r="E2601" s="9" t="s">
        <v>2108</v>
      </c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</row>
    <row r="2602">
      <c r="A2602" s="160" t="s">
        <v>3896</v>
      </c>
      <c r="B2602" s="22" t="s">
        <v>3763</v>
      </c>
      <c r="C2602" s="18" t="s">
        <v>3829</v>
      </c>
      <c r="D2602" s="19" t="s">
        <v>3904</v>
      </c>
      <c r="E2602" s="9" t="s">
        <v>2108</v>
      </c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</row>
    <row r="2603">
      <c r="A2603" s="160" t="s">
        <v>3896</v>
      </c>
      <c r="B2603" s="22" t="s">
        <v>3763</v>
      </c>
      <c r="C2603" s="18" t="s">
        <v>3905</v>
      </c>
      <c r="D2603" s="19" t="s">
        <v>3869</v>
      </c>
      <c r="E2603" s="9" t="s">
        <v>2108</v>
      </c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</row>
    <row r="2604">
      <c r="A2604" s="160" t="s">
        <v>3896</v>
      </c>
      <c r="B2604" s="22" t="s">
        <v>3763</v>
      </c>
      <c r="C2604" s="18" t="s">
        <v>3906</v>
      </c>
      <c r="D2604" s="19" t="s">
        <v>3907</v>
      </c>
      <c r="E2604" s="9" t="s">
        <v>2108</v>
      </c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</row>
    <row r="2605">
      <c r="A2605" s="160" t="s">
        <v>3896</v>
      </c>
      <c r="B2605" s="22" t="s">
        <v>3763</v>
      </c>
      <c r="C2605" s="18" t="s">
        <v>3908</v>
      </c>
      <c r="D2605" s="19" t="s">
        <v>3909</v>
      </c>
      <c r="E2605" s="9" t="s">
        <v>2108</v>
      </c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</row>
    <row r="2606">
      <c r="A2606" s="160" t="s">
        <v>3896</v>
      </c>
      <c r="B2606" s="22" t="s">
        <v>3763</v>
      </c>
      <c r="C2606" s="18" t="s">
        <v>3848</v>
      </c>
      <c r="D2606" s="19" t="s">
        <v>3910</v>
      </c>
      <c r="E2606" s="9" t="s">
        <v>2108</v>
      </c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</row>
    <row r="2607">
      <c r="A2607" s="160" t="s">
        <v>3896</v>
      </c>
      <c r="B2607" s="22" t="s">
        <v>3763</v>
      </c>
      <c r="C2607" s="18" t="s">
        <v>3829</v>
      </c>
      <c r="D2607" s="19" t="s">
        <v>3911</v>
      </c>
      <c r="E2607" s="9" t="s">
        <v>2108</v>
      </c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</row>
    <row r="2608">
      <c r="A2608" s="160" t="s">
        <v>3896</v>
      </c>
      <c r="B2608" s="22" t="s">
        <v>3763</v>
      </c>
      <c r="C2608" s="18" t="s">
        <v>3912</v>
      </c>
      <c r="D2608" s="19" t="s">
        <v>3913</v>
      </c>
      <c r="E2608" s="9" t="s">
        <v>2108</v>
      </c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</row>
    <row r="2609">
      <c r="A2609" s="160" t="s">
        <v>3896</v>
      </c>
      <c r="B2609" s="22" t="s">
        <v>3763</v>
      </c>
      <c r="C2609" s="18" t="s">
        <v>3829</v>
      </c>
      <c r="D2609" s="19" t="s">
        <v>3914</v>
      </c>
      <c r="E2609" s="9" t="s">
        <v>2108</v>
      </c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</row>
    <row r="2610">
      <c r="A2610" s="160" t="s">
        <v>3896</v>
      </c>
      <c r="B2610" s="22" t="s">
        <v>3763</v>
      </c>
      <c r="C2610" s="18" t="s">
        <v>3829</v>
      </c>
      <c r="D2610" s="19" t="s">
        <v>3911</v>
      </c>
      <c r="E2610" s="9" t="s">
        <v>2108</v>
      </c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</row>
    <row r="2611">
      <c r="A2611" s="160" t="s">
        <v>3896</v>
      </c>
      <c r="B2611" s="22" t="s">
        <v>3763</v>
      </c>
      <c r="C2611" s="18" t="s">
        <v>3829</v>
      </c>
      <c r="D2611" s="19" t="s">
        <v>3915</v>
      </c>
      <c r="E2611" s="9" t="s">
        <v>2108</v>
      </c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</row>
    <row r="2612">
      <c r="A2612" s="160" t="s">
        <v>3896</v>
      </c>
      <c r="B2612" s="22" t="s">
        <v>3916</v>
      </c>
      <c r="C2612" s="18" t="s">
        <v>1741</v>
      </c>
      <c r="D2612" s="19" t="s">
        <v>3917</v>
      </c>
      <c r="E2612" s="161" t="s">
        <v>7</v>
      </c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</row>
    <row r="2613">
      <c r="A2613" s="160" t="s">
        <v>3896</v>
      </c>
      <c r="B2613" s="22" t="s">
        <v>3916</v>
      </c>
      <c r="C2613" s="18" t="s">
        <v>1065</v>
      </c>
      <c r="D2613" s="19" t="s">
        <v>3917</v>
      </c>
      <c r="E2613" s="161" t="s">
        <v>7</v>
      </c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</row>
    <row r="2614">
      <c r="A2614" s="160" t="s">
        <v>3896</v>
      </c>
      <c r="B2614" s="22" t="s">
        <v>3916</v>
      </c>
      <c r="C2614" s="18" t="s">
        <v>2311</v>
      </c>
      <c r="D2614" s="19" t="s">
        <v>3917</v>
      </c>
      <c r="E2614" s="161" t="s">
        <v>7</v>
      </c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</row>
    <row r="2615">
      <c r="A2615" s="160" t="s">
        <v>3896</v>
      </c>
      <c r="B2615" s="22" t="s">
        <v>3918</v>
      </c>
      <c r="C2615" s="18" t="s">
        <v>3919</v>
      </c>
      <c r="D2615" s="19" t="s">
        <v>3920</v>
      </c>
      <c r="E2615" s="161" t="s">
        <v>7</v>
      </c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</row>
    <row r="2616">
      <c r="A2616" s="160" t="s">
        <v>3896</v>
      </c>
      <c r="B2616" s="22" t="s">
        <v>3918</v>
      </c>
      <c r="C2616" s="18" t="s">
        <v>3921</v>
      </c>
      <c r="D2616" s="19" t="s">
        <v>3922</v>
      </c>
      <c r="E2616" s="161" t="s">
        <v>7</v>
      </c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</row>
    <row r="2617">
      <c r="A2617" s="160" t="s">
        <v>3896</v>
      </c>
      <c r="B2617" s="22" t="s">
        <v>3918</v>
      </c>
      <c r="C2617" s="18" t="s">
        <v>3923</v>
      </c>
      <c r="D2617" s="19" t="s">
        <v>3924</v>
      </c>
      <c r="E2617" s="161" t="s">
        <v>7</v>
      </c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</row>
    <row r="2618">
      <c r="A2618" s="160" t="s">
        <v>3896</v>
      </c>
      <c r="B2618" s="22" t="s">
        <v>3925</v>
      </c>
      <c r="C2618" s="18" t="s">
        <v>3926</v>
      </c>
      <c r="D2618" s="19" t="s">
        <v>3927</v>
      </c>
      <c r="E2618" s="9" t="s">
        <v>2108</v>
      </c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</row>
    <row r="2619">
      <c r="A2619" s="160" t="s">
        <v>3896</v>
      </c>
      <c r="B2619" s="22" t="s">
        <v>3925</v>
      </c>
      <c r="C2619" s="18" t="s">
        <v>3926</v>
      </c>
      <c r="D2619" s="19" t="s">
        <v>3927</v>
      </c>
      <c r="E2619" s="9" t="s">
        <v>2108</v>
      </c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</row>
    <row r="2620">
      <c r="A2620" s="160" t="s">
        <v>3896</v>
      </c>
      <c r="B2620" s="22" t="s">
        <v>3925</v>
      </c>
      <c r="C2620" s="18" t="s">
        <v>3928</v>
      </c>
      <c r="D2620" s="19" t="s">
        <v>3929</v>
      </c>
      <c r="E2620" s="9" t="s">
        <v>2108</v>
      </c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</row>
    <row r="2621">
      <c r="A2621" s="160" t="s">
        <v>3896</v>
      </c>
      <c r="B2621" s="22" t="s">
        <v>3925</v>
      </c>
      <c r="C2621" s="18" t="s">
        <v>3930</v>
      </c>
      <c r="D2621" s="19" t="s">
        <v>3241</v>
      </c>
      <c r="E2621" s="9" t="s">
        <v>2108</v>
      </c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</row>
    <row r="2622">
      <c r="A2622" s="160" t="s">
        <v>3896</v>
      </c>
      <c r="B2622" s="19" t="s">
        <v>3931</v>
      </c>
      <c r="C2622" s="18" t="s">
        <v>3932</v>
      </c>
      <c r="D2622" s="19" t="s">
        <v>3933</v>
      </c>
      <c r="E2622" s="132" t="s">
        <v>3934</v>
      </c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</row>
    <row r="2623">
      <c r="A2623" s="160" t="s">
        <v>3896</v>
      </c>
      <c r="B2623" s="22" t="s">
        <v>3935</v>
      </c>
      <c r="C2623" s="18" t="s">
        <v>3936</v>
      </c>
      <c r="D2623" s="19" t="s">
        <v>3937</v>
      </c>
      <c r="E2623" s="9" t="s">
        <v>2108</v>
      </c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</row>
    <row r="2624">
      <c r="A2624" s="160" t="s">
        <v>3896</v>
      </c>
      <c r="B2624" s="22" t="s">
        <v>3935</v>
      </c>
      <c r="C2624" s="18" t="s">
        <v>3938</v>
      </c>
      <c r="D2624" s="19" t="s">
        <v>3939</v>
      </c>
      <c r="E2624" s="9" t="s">
        <v>2108</v>
      </c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</row>
    <row r="2625">
      <c r="A2625" s="160" t="s">
        <v>3896</v>
      </c>
      <c r="B2625" s="22" t="s">
        <v>3935</v>
      </c>
      <c r="C2625" s="18" t="s">
        <v>3940</v>
      </c>
      <c r="D2625" s="19" t="s">
        <v>3941</v>
      </c>
      <c r="E2625" s="9" t="s">
        <v>2108</v>
      </c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</row>
    <row r="2626">
      <c r="A2626" s="160" t="s">
        <v>3896</v>
      </c>
      <c r="B2626" s="22" t="s">
        <v>3935</v>
      </c>
      <c r="C2626" s="18" t="s">
        <v>3940</v>
      </c>
      <c r="D2626" s="19" t="s">
        <v>3942</v>
      </c>
      <c r="E2626" s="9" t="s">
        <v>2108</v>
      </c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</row>
    <row r="2627">
      <c r="A2627" s="160" t="s">
        <v>3896</v>
      </c>
      <c r="B2627" s="22" t="s">
        <v>3943</v>
      </c>
      <c r="C2627" s="18" t="s">
        <v>3944</v>
      </c>
      <c r="D2627" s="19" t="s">
        <v>3945</v>
      </c>
      <c r="E2627" s="9" t="s">
        <v>2108</v>
      </c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</row>
    <row r="2628">
      <c r="A2628" s="160" t="s">
        <v>3896</v>
      </c>
      <c r="B2628" s="22" t="s">
        <v>3943</v>
      </c>
      <c r="C2628" s="18" t="s">
        <v>3946</v>
      </c>
      <c r="D2628" s="19" t="s">
        <v>3947</v>
      </c>
      <c r="E2628" s="9" t="s">
        <v>2108</v>
      </c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</row>
    <row r="2629">
      <c r="A2629" s="160" t="s">
        <v>3896</v>
      </c>
      <c r="B2629" s="22" t="s">
        <v>3943</v>
      </c>
      <c r="C2629" s="18" t="s">
        <v>3948</v>
      </c>
      <c r="D2629" s="19" t="s">
        <v>3949</v>
      </c>
      <c r="E2629" s="9" t="s">
        <v>2108</v>
      </c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</row>
    <row r="2630">
      <c r="A2630" s="160" t="s">
        <v>3896</v>
      </c>
      <c r="B2630" s="22" t="s">
        <v>3943</v>
      </c>
      <c r="C2630" s="18" t="s">
        <v>3950</v>
      </c>
      <c r="D2630" s="19" t="s">
        <v>3951</v>
      </c>
      <c r="E2630" s="9" t="s">
        <v>2108</v>
      </c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</row>
    <row r="2631">
      <c r="A2631" s="160" t="s">
        <v>3896</v>
      </c>
      <c r="B2631" s="22" t="s">
        <v>3943</v>
      </c>
      <c r="C2631" s="18" t="s">
        <v>3952</v>
      </c>
      <c r="D2631" s="19" t="s">
        <v>3953</v>
      </c>
      <c r="E2631" s="9" t="s">
        <v>2108</v>
      </c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</row>
    <row r="2632">
      <c r="A2632" s="160" t="s">
        <v>3896</v>
      </c>
      <c r="B2632" s="22" t="s">
        <v>3943</v>
      </c>
      <c r="C2632" s="18" t="s">
        <v>3952</v>
      </c>
      <c r="D2632" s="19" t="s">
        <v>3954</v>
      </c>
      <c r="E2632" s="9" t="s">
        <v>2108</v>
      </c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</row>
    <row r="2633">
      <c r="A2633" s="160" t="s">
        <v>3896</v>
      </c>
      <c r="B2633" s="19" t="s">
        <v>3955</v>
      </c>
      <c r="C2633" s="18" t="s">
        <v>3956</v>
      </c>
      <c r="D2633" s="19" t="s">
        <v>3957</v>
      </c>
      <c r="E2633" s="161" t="s">
        <v>7</v>
      </c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</row>
    <row r="2634">
      <c r="A2634" s="160" t="s">
        <v>3896</v>
      </c>
      <c r="B2634" s="19" t="s">
        <v>3958</v>
      </c>
      <c r="C2634" s="18" t="s">
        <v>3959</v>
      </c>
      <c r="D2634" s="18" t="s">
        <v>3960</v>
      </c>
      <c r="E2634" s="161" t="s">
        <v>7</v>
      </c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</row>
    <row r="2635">
      <c r="A2635" s="115"/>
      <c r="B2635" s="22"/>
      <c r="C2635" s="68"/>
      <c r="D2635" s="63"/>
      <c r="E2635" s="9"/>
      <c r="H2635" s="29"/>
      <c r="I2635" s="29"/>
      <c r="J2635" s="29"/>
      <c r="K2635" s="29"/>
      <c r="L2635" s="29"/>
      <c r="M2635" s="29"/>
      <c r="N2635" s="29"/>
      <c r="O2635" s="29"/>
      <c r="P2635" s="29"/>
      <c r="Q2635" s="29"/>
      <c r="R2635" s="29"/>
      <c r="S2635" s="29"/>
      <c r="T2635" s="29"/>
      <c r="U2635" s="29"/>
      <c r="V2635" s="29"/>
      <c r="W2635" s="29"/>
      <c r="X2635" s="29"/>
      <c r="Y2635" s="29"/>
      <c r="Z2635" s="29"/>
      <c r="AA2635" s="29"/>
      <c r="AB2635" s="29"/>
      <c r="AC2635" s="29"/>
      <c r="AD2635" s="29"/>
    </row>
    <row r="2636">
      <c r="A2636" s="115"/>
      <c r="B2636" s="22"/>
      <c r="C2636" s="68"/>
      <c r="D2636" s="63"/>
      <c r="E2636" s="9"/>
      <c r="H2636" s="29"/>
      <c r="I2636" s="29"/>
      <c r="J2636" s="29"/>
      <c r="K2636" s="29"/>
      <c r="L2636" s="29"/>
      <c r="M2636" s="29"/>
      <c r="N2636" s="29"/>
      <c r="O2636" s="29"/>
      <c r="P2636" s="29"/>
      <c r="Q2636" s="29"/>
      <c r="R2636" s="29"/>
      <c r="S2636" s="29"/>
      <c r="T2636" s="29"/>
      <c r="U2636" s="29"/>
      <c r="V2636" s="29"/>
      <c r="W2636" s="29"/>
      <c r="X2636" s="29"/>
      <c r="Y2636" s="29"/>
      <c r="Z2636" s="29"/>
      <c r="AA2636" s="29"/>
      <c r="AB2636" s="29"/>
      <c r="AC2636" s="29"/>
      <c r="AD2636" s="29"/>
    </row>
    <row r="2637">
      <c r="A2637" s="115" t="s">
        <v>3961</v>
      </c>
      <c r="B2637" s="22" t="s">
        <v>3962</v>
      </c>
      <c r="C2637" s="18" t="s">
        <v>3963</v>
      </c>
      <c r="D2637" s="19" t="s">
        <v>55</v>
      </c>
      <c r="E2637" s="132" t="s">
        <v>14</v>
      </c>
      <c r="H2637" s="29"/>
      <c r="I2637" s="29"/>
      <c r="J2637" s="29"/>
      <c r="K2637" s="29"/>
      <c r="L2637" s="29"/>
      <c r="M2637" s="29"/>
      <c r="N2637" s="29"/>
      <c r="O2637" s="29"/>
      <c r="P2637" s="29"/>
      <c r="Q2637" s="29"/>
      <c r="R2637" s="29"/>
      <c r="S2637" s="29"/>
      <c r="T2637" s="29"/>
      <c r="U2637" s="29"/>
      <c r="V2637" s="29"/>
      <c r="W2637" s="29"/>
      <c r="X2637" s="29"/>
      <c r="Y2637" s="29"/>
      <c r="Z2637" s="29"/>
      <c r="AA2637" s="29"/>
      <c r="AB2637" s="29"/>
      <c r="AC2637" s="29"/>
      <c r="AD2637" s="29"/>
    </row>
    <row r="2638">
      <c r="A2638" s="115" t="s">
        <v>3961</v>
      </c>
      <c r="B2638" s="22" t="s">
        <v>3847</v>
      </c>
      <c r="C2638" s="18" t="s">
        <v>3905</v>
      </c>
      <c r="D2638" s="19" t="s">
        <v>3765</v>
      </c>
      <c r="E2638" s="18" t="s">
        <v>196</v>
      </c>
      <c r="H2638" s="29"/>
      <c r="I2638" s="29"/>
      <c r="J2638" s="29"/>
      <c r="K2638" s="29"/>
      <c r="L2638" s="29"/>
      <c r="M2638" s="29"/>
      <c r="N2638" s="29"/>
      <c r="O2638" s="29"/>
      <c r="P2638" s="29"/>
      <c r="Q2638" s="29"/>
      <c r="R2638" s="29"/>
      <c r="S2638" s="29"/>
      <c r="T2638" s="29"/>
      <c r="U2638" s="29"/>
      <c r="V2638" s="29"/>
      <c r="W2638" s="29"/>
      <c r="X2638" s="29"/>
      <c r="Y2638" s="29"/>
      <c r="Z2638" s="29"/>
      <c r="AA2638" s="29"/>
      <c r="AB2638" s="29"/>
      <c r="AC2638" s="29"/>
      <c r="AD2638" s="29"/>
    </row>
    <row r="2639">
      <c r="A2639" s="115" t="s">
        <v>3961</v>
      </c>
      <c r="B2639" s="22" t="s">
        <v>3964</v>
      </c>
      <c r="C2639" s="18" t="s">
        <v>3930</v>
      </c>
      <c r="D2639" s="19" t="s">
        <v>3241</v>
      </c>
      <c r="E2639" s="18" t="s">
        <v>196</v>
      </c>
      <c r="H2639" s="29"/>
      <c r="I2639" s="29"/>
      <c r="J2639" s="29"/>
      <c r="K2639" s="29"/>
      <c r="L2639" s="29"/>
      <c r="M2639" s="29"/>
      <c r="N2639" s="29"/>
      <c r="O2639" s="29"/>
      <c r="P2639" s="29"/>
      <c r="Q2639" s="29"/>
      <c r="R2639" s="29"/>
      <c r="S2639" s="29"/>
      <c r="T2639" s="29"/>
      <c r="U2639" s="29"/>
      <c r="V2639" s="29"/>
      <c r="W2639" s="29"/>
      <c r="X2639" s="29"/>
      <c r="Y2639" s="29"/>
      <c r="Z2639" s="29"/>
      <c r="AA2639" s="29"/>
      <c r="AB2639" s="29"/>
      <c r="AC2639" s="29"/>
      <c r="AD2639" s="29"/>
    </row>
    <row r="2640">
      <c r="A2640" s="115" t="s">
        <v>3961</v>
      </c>
      <c r="B2640" s="22" t="s">
        <v>3847</v>
      </c>
      <c r="C2640" s="18" t="s">
        <v>3912</v>
      </c>
      <c r="D2640" s="19" t="s">
        <v>3965</v>
      </c>
      <c r="E2640" s="9" t="s">
        <v>3966</v>
      </c>
      <c r="H2640" s="29"/>
      <c r="I2640" s="29"/>
      <c r="J2640" s="29"/>
      <c r="K2640" s="29"/>
      <c r="L2640" s="29"/>
      <c r="M2640" s="29"/>
      <c r="N2640" s="29"/>
      <c r="O2640" s="29"/>
      <c r="P2640" s="29"/>
      <c r="Q2640" s="29"/>
      <c r="R2640" s="29"/>
      <c r="S2640" s="29"/>
      <c r="T2640" s="29"/>
      <c r="U2640" s="29"/>
      <c r="V2640" s="29"/>
      <c r="W2640" s="29"/>
      <c r="X2640" s="29"/>
      <c r="Y2640" s="29"/>
      <c r="Z2640" s="29"/>
      <c r="AA2640" s="29"/>
      <c r="AB2640" s="29"/>
      <c r="AC2640" s="29"/>
      <c r="AD2640" s="29"/>
    </row>
    <row r="2641">
      <c r="A2641" s="115" t="s">
        <v>3961</v>
      </c>
      <c r="B2641" s="22" t="s">
        <v>3847</v>
      </c>
      <c r="C2641" s="18" t="s">
        <v>3829</v>
      </c>
      <c r="D2641" s="19" t="s">
        <v>3873</v>
      </c>
      <c r="E2641" s="9" t="s">
        <v>3966</v>
      </c>
      <c r="H2641" s="29"/>
      <c r="I2641" s="29"/>
      <c r="J2641" s="29"/>
      <c r="K2641" s="29"/>
      <c r="L2641" s="29"/>
      <c r="M2641" s="29"/>
      <c r="N2641" s="29"/>
      <c r="O2641" s="29"/>
      <c r="P2641" s="29"/>
      <c r="Q2641" s="29"/>
      <c r="R2641" s="29"/>
      <c r="S2641" s="29"/>
      <c r="T2641" s="29"/>
      <c r="U2641" s="29"/>
      <c r="V2641" s="29"/>
      <c r="W2641" s="29"/>
      <c r="X2641" s="29"/>
      <c r="Y2641" s="29"/>
      <c r="Z2641" s="29"/>
      <c r="AA2641" s="29"/>
      <c r="AB2641" s="29"/>
      <c r="AC2641" s="29"/>
      <c r="AD2641" s="29"/>
    </row>
    <row r="2642">
      <c r="A2642" s="115" t="s">
        <v>3961</v>
      </c>
      <c r="B2642" s="22" t="s">
        <v>3847</v>
      </c>
      <c r="C2642" s="18" t="s">
        <v>3967</v>
      </c>
      <c r="D2642" s="19" t="s">
        <v>3968</v>
      </c>
      <c r="E2642" s="9" t="s">
        <v>3966</v>
      </c>
      <c r="H2642" s="29"/>
      <c r="I2642" s="29"/>
      <c r="J2642" s="29"/>
      <c r="K2642" s="29"/>
      <c r="L2642" s="29"/>
      <c r="M2642" s="29"/>
      <c r="N2642" s="29"/>
      <c r="O2642" s="29"/>
      <c r="P2642" s="29"/>
      <c r="Q2642" s="29"/>
      <c r="R2642" s="29"/>
      <c r="S2642" s="29"/>
      <c r="T2642" s="29"/>
      <c r="U2642" s="29"/>
      <c r="V2642" s="29"/>
      <c r="W2642" s="29"/>
      <c r="X2642" s="29"/>
      <c r="Y2642" s="29"/>
      <c r="Z2642" s="29"/>
      <c r="AA2642" s="29"/>
      <c r="AB2642" s="29"/>
      <c r="AC2642" s="29"/>
      <c r="AD2642" s="29"/>
    </row>
    <row r="2643">
      <c r="A2643" s="6"/>
      <c r="B2643" s="9"/>
      <c r="C2643" s="9"/>
      <c r="D2643" s="9"/>
      <c r="E2643" s="9"/>
      <c r="H2643" s="29"/>
      <c r="I2643" s="29"/>
      <c r="J2643" s="29"/>
      <c r="K2643" s="29"/>
      <c r="L2643" s="29"/>
      <c r="M2643" s="29"/>
      <c r="N2643" s="29"/>
      <c r="O2643" s="29"/>
      <c r="P2643" s="29"/>
      <c r="Q2643" s="29"/>
      <c r="R2643" s="29"/>
      <c r="S2643" s="29"/>
      <c r="T2643" s="29"/>
      <c r="U2643" s="29"/>
      <c r="V2643" s="29"/>
      <c r="W2643" s="29"/>
      <c r="X2643" s="29"/>
      <c r="Y2643" s="29"/>
      <c r="Z2643" s="29"/>
      <c r="AA2643" s="29"/>
      <c r="AB2643" s="29"/>
      <c r="AC2643" s="29"/>
      <c r="AD2643" s="29"/>
    </row>
    <row r="2644">
      <c r="A2644" s="6"/>
      <c r="B2644" s="9"/>
      <c r="C2644" s="9"/>
      <c r="D2644" s="9"/>
      <c r="E2644" s="9"/>
      <c r="H2644" s="29"/>
      <c r="I2644" s="29"/>
      <c r="J2644" s="29"/>
      <c r="K2644" s="29"/>
      <c r="L2644" s="29"/>
      <c r="M2644" s="29"/>
      <c r="N2644" s="29"/>
      <c r="O2644" s="29"/>
      <c r="P2644" s="29"/>
      <c r="Q2644" s="29"/>
      <c r="R2644" s="29"/>
      <c r="S2644" s="29"/>
      <c r="T2644" s="29"/>
      <c r="U2644" s="29"/>
      <c r="V2644" s="29"/>
      <c r="W2644" s="29"/>
      <c r="X2644" s="29"/>
      <c r="Y2644" s="29"/>
      <c r="Z2644" s="29"/>
      <c r="AA2644" s="29"/>
      <c r="AB2644" s="29"/>
      <c r="AC2644" s="29"/>
      <c r="AD2644" s="29"/>
    </row>
    <row r="2645">
      <c r="A2645" s="115" t="s">
        <v>3969</v>
      </c>
      <c r="B2645" s="22" t="s">
        <v>3970</v>
      </c>
      <c r="C2645" s="18" t="s">
        <v>3971</v>
      </c>
      <c r="D2645" s="19" t="s">
        <v>3972</v>
      </c>
      <c r="E2645" s="9" t="s">
        <v>2108</v>
      </c>
      <c r="H2645" s="29"/>
      <c r="I2645" s="29"/>
      <c r="J2645" s="29"/>
      <c r="K2645" s="29"/>
      <c r="L2645" s="29"/>
      <c r="M2645" s="29"/>
      <c r="N2645" s="29"/>
      <c r="O2645" s="29"/>
      <c r="P2645" s="29"/>
      <c r="Q2645" s="29"/>
      <c r="R2645" s="29"/>
      <c r="S2645" s="29"/>
      <c r="T2645" s="29"/>
      <c r="U2645" s="29"/>
      <c r="V2645" s="29"/>
      <c r="W2645" s="29"/>
      <c r="X2645" s="29"/>
      <c r="Y2645" s="29"/>
      <c r="Z2645" s="29"/>
      <c r="AA2645" s="29"/>
      <c r="AB2645" s="29"/>
      <c r="AC2645" s="29"/>
      <c r="AD2645" s="29"/>
    </row>
    <row r="2646">
      <c r="A2646" s="115" t="s">
        <v>3969</v>
      </c>
      <c r="B2646" s="22" t="s">
        <v>3970</v>
      </c>
      <c r="C2646" s="18" t="s">
        <v>3971</v>
      </c>
      <c r="D2646" s="19" t="s">
        <v>3972</v>
      </c>
      <c r="E2646" s="9" t="s">
        <v>2108</v>
      </c>
      <c r="H2646" s="29"/>
      <c r="I2646" s="29"/>
      <c r="J2646" s="29"/>
      <c r="K2646" s="29"/>
      <c r="L2646" s="29"/>
      <c r="M2646" s="29"/>
      <c r="N2646" s="29"/>
      <c r="O2646" s="29"/>
      <c r="P2646" s="29"/>
      <c r="Q2646" s="29"/>
      <c r="R2646" s="29"/>
      <c r="S2646" s="29"/>
      <c r="T2646" s="29"/>
      <c r="U2646" s="29"/>
      <c r="V2646" s="29"/>
      <c r="W2646" s="29"/>
      <c r="X2646" s="29"/>
      <c r="Y2646" s="29"/>
      <c r="Z2646" s="29"/>
      <c r="AA2646" s="29"/>
      <c r="AB2646" s="29"/>
      <c r="AC2646" s="29"/>
      <c r="AD2646" s="29"/>
    </row>
    <row r="2647">
      <c r="A2647" s="115" t="s">
        <v>3969</v>
      </c>
      <c r="B2647" s="22" t="s">
        <v>3970</v>
      </c>
      <c r="C2647" s="18" t="s">
        <v>3971</v>
      </c>
      <c r="D2647" s="19" t="s">
        <v>3973</v>
      </c>
      <c r="E2647" s="18" t="s">
        <v>196</v>
      </c>
      <c r="H2647" s="29"/>
      <c r="I2647" s="29"/>
      <c r="J2647" s="29"/>
      <c r="K2647" s="29"/>
      <c r="L2647" s="29"/>
      <c r="M2647" s="29"/>
      <c r="N2647" s="29"/>
      <c r="O2647" s="29"/>
      <c r="P2647" s="29"/>
      <c r="Q2647" s="29"/>
      <c r="R2647" s="29"/>
      <c r="S2647" s="29"/>
      <c r="T2647" s="29"/>
      <c r="U2647" s="29"/>
      <c r="V2647" s="29"/>
      <c r="W2647" s="29"/>
      <c r="X2647" s="29"/>
      <c r="Y2647" s="29"/>
      <c r="Z2647" s="29"/>
      <c r="AA2647" s="29"/>
      <c r="AB2647" s="29"/>
      <c r="AC2647" s="29"/>
      <c r="AD2647" s="29"/>
    </row>
    <row r="2648">
      <c r="A2648" s="115" t="s">
        <v>3969</v>
      </c>
      <c r="B2648" s="22" t="s">
        <v>3970</v>
      </c>
      <c r="C2648" s="18" t="s">
        <v>3974</v>
      </c>
      <c r="D2648" s="19" t="s">
        <v>3973</v>
      </c>
      <c r="E2648" s="18" t="s">
        <v>196</v>
      </c>
      <c r="H2648" s="29"/>
      <c r="I2648" s="29"/>
      <c r="J2648" s="29"/>
      <c r="K2648" s="29"/>
      <c r="L2648" s="29"/>
      <c r="M2648" s="29"/>
      <c r="N2648" s="29"/>
      <c r="O2648" s="29"/>
      <c r="P2648" s="29"/>
      <c r="Q2648" s="29"/>
      <c r="R2648" s="29"/>
      <c r="S2648" s="29"/>
      <c r="T2648" s="29"/>
      <c r="U2648" s="29"/>
      <c r="V2648" s="29"/>
      <c r="W2648" s="29"/>
      <c r="X2648" s="29"/>
      <c r="Y2648" s="29"/>
      <c r="Z2648" s="29"/>
      <c r="AA2648" s="29"/>
      <c r="AB2648" s="29"/>
      <c r="AC2648" s="29"/>
      <c r="AD2648" s="29"/>
    </row>
    <row r="2649">
      <c r="A2649" s="115"/>
      <c r="B2649" s="22"/>
      <c r="C2649" s="68"/>
      <c r="D2649" s="63"/>
      <c r="E2649" s="9"/>
      <c r="H2649" s="29"/>
      <c r="I2649" s="29"/>
      <c r="J2649" s="29"/>
      <c r="K2649" s="29"/>
      <c r="L2649" s="29"/>
      <c r="M2649" s="29"/>
      <c r="N2649" s="29"/>
      <c r="O2649" s="29"/>
      <c r="P2649" s="29"/>
      <c r="Q2649" s="29"/>
      <c r="R2649" s="29"/>
      <c r="S2649" s="29"/>
      <c r="T2649" s="29"/>
      <c r="U2649" s="29"/>
      <c r="V2649" s="29"/>
      <c r="W2649" s="29"/>
      <c r="X2649" s="29"/>
      <c r="Y2649" s="29"/>
      <c r="Z2649" s="29"/>
      <c r="AA2649" s="29"/>
      <c r="AB2649" s="29"/>
      <c r="AC2649" s="29"/>
      <c r="AD2649" s="29"/>
    </row>
    <row r="2650">
      <c r="A2650" s="115"/>
      <c r="B2650" s="22"/>
      <c r="C2650" s="68"/>
      <c r="D2650" s="63"/>
      <c r="E2650" s="9"/>
      <c r="H2650" s="29"/>
      <c r="I2650" s="29"/>
      <c r="J2650" s="29"/>
      <c r="K2650" s="29"/>
      <c r="L2650" s="29"/>
      <c r="M2650" s="29"/>
      <c r="N2650" s="29"/>
      <c r="O2650" s="29"/>
      <c r="P2650" s="29"/>
      <c r="Q2650" s="29"/>
      <c r="R2650" s="29"/>
      <c r="S2650" s="29"/>
      <c r="T2650" s="29"/>
      <c r="U2650" s="29"/>
      <c r="V2650" s="29"/>
      <c r="W2650" s="29"/>
      <c r="X2650" s="29"/>
      <c r="Y2650" s="29"/>
      <c r="Z2650" s="29"/>
      <c r="AA2650" s="29"/>
      <c r="AB2650" s="29"/>
      <c r="AC2650" s="29"/>
      <c r="AD2650" s="29"/>
    </row>
    <row r="2651">
      <c r="A2651" s="16" t="s">
        <v>3975</v>
      </c>
      <c r="B2651" s="22" t="s">
        <v>3847</v>
      </c>
      <c r="C2651" s="18" t="s">
        <v>3829</v>
      </c>
      <c r="D2651" s="19" t="s">
        <v>3976</v>
      </c>
      <c r="E2651" s="9" t="s">
        <v>3966</v>
      </c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</row>
    <row r="2652">
      <c r="A2652" s="16" t="s">
        <v>3975</v>
      </c>
      <c r="B2652" s="22" t="s">
        <v>3847</v>
      </c>
      <c r="C2652" s="18" t="s">
        <v>3908</v>
      </c>
      <c r="D2652" s="19" t="s">
        <v>3909</v>
      </c>
      <c r="E2652" s="9" t="s">
        <v>3966</v>
      </c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</row>
    <row r="2653">
      <c r="A2653" s="16" t="s">
        <v>3975</v>
      </c>
      <c r="B2653" s="22" t="s">
        <v>3847</v>
      </c>
      <c r="C2653" s="18" t="s">
        <v>3829</v>
      </c>
      <c r="D2653" s="19" t="s">
        <v>3976</v>
      </c>
      <c r="E2653" s="9" t="s">
        <v>3966</v>
      </c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</row>
    <row r="2654">
      <c r="A2654" s="16" t="s">
        <v>3975</v>
      </c>
      <c r="B2654" s="22" t="s">
        <v>3847</v>
      </c>
      <c r="C2654" s="18" t="s">
        <v>3829</v>
      </c>
      <c r="D2654" s="19" t="s">
        <v>3977</v>
      </c>
      <c r="E2654" s="9" t="s">
        <v>3966</v>
      </c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</row>
    <row r="2655">
      <c r="A2655" s="16" t="s">
        <v>3975</v>
      </c>
      <c r="B2655" s="22" t="s">
        <v>3847</v>
      </c>
      <c r="C2655" s="18" t="s">
        <v>3829</v>
      </c>
      <c r="D2655" s="19" t="s">
        <v>3978</v>
      </c>
      <c r="E2655" s="9" t="s">
        <v>3966</v>
      </c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</row>
    <row r="2656">
      <c r="A2656" s="16" t="s">
        <v>3975</v>
      </c>
      <c r="B2656" s="22" t="s">
        <v>3979</v>
      </c>
      <c r="C2656" s="18" t="s">
        <v>3779</v>
      </c>
      <c r="D2656" s="19" t="s">
        <v>3980</v>
      </c>
      <c r="E2656" s="132" t="s">
        <v>14</v>
      </c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</row>
    <row r="2657">
      <c r="A2657" s="16" t="s">
        <v>3975</v>
      </c>
      <c r="B2657" s="22" t="s">
        <v>3979</v>
      </c>
      <c r="C2657" s="18" t="s">
        <v>3981</v>
      </c>
      <c r="D2657" s="19" t="s">
        <v>3982</v>
      </c>
      <c r="E2657" s="132" t="s">
        <v>14</v>
      </c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</row>
    <row r="2658">
      <c r="A2658" s="16" t="s">
        <v>3975</v>
      </c>
      <c r="B2658" s="22" t="s">
        <v>3979</v>
      </c>
      <c r="C2658" s="18" t="s">
        <v>3755</v>
      </c>
      <c r="D2658" s="19" t="s">
        <v>3983</v>
      </c>
      <c r="E2658" s="132" t="s">
        <v>3984</v>
      </c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</row>
    <row r="2659">
      <c r="A2659" s="16" t="s">
        <v>3975</v>
      </c>
      <c r="B2659" s="22" t="s">
        <v>3985</v>
      </c>
      <c r="C2659" s="18" t="s">
        <v>3940</v>
      </c>
      <c r="D2659" s="19" t="s">
        <v>3986</v>
      </c>
      <c r="E2659" s="132" t="s">
        <v>14</v>
      </c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</row>
    <row r="2660">
      <c r="A2660" s="16" t="s">
        <v>3975</v>
      </c>
      <c r="B2660" s="22" t="s">
        <v>3987</v>
      </c>
      <c r="C2660" s="18" t="s">
        <v>3988</v>
      </c>
      <c r="D2660" s="19" t="s">
        <v>3989</v>
      </c>
      <c r="E2660" s="132" t="s">
        <v>3984</v>
      </c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</row>
    <row r="2661">
      <c r="A2661" s="16" t="s">
        <v>3975</v>
      </c>
      <c r="B2661" s="22" t="s">
        <v>3990</v>
      </c>
      <c r="C2661" s="18" t="s">
        <v>3991</v>
      </c>
      <c r="D2661" s="19" t="s">
        <v>3992</v>
      </c>
      <c r="E2661" s="132" t="s">
        <v>3993</v>
      </c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</row>
    <row r="2662">
      <c r="A2662" s="16" t="s">
        <v>3975</v>
      </c>
      <c r="B2662" s="22" t="s">
        <v>3994</v>
      </c>
      <c r="C2662" s="18" t="s">
        <v>3995</v>
      </c>
      <c r="D2662" s="19" t="s">
        <v>3996</v>
      </c>
      <c r="E2662" s="132" t="s">
        <v>3984</v>
      </c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</row>
    <row r="2663">
      <c r="A2663" s="16" t="s">
        <v>3975</v>
      </c>
      <c r="B2663" s="22" t="s">
        <v>3994</v>
      </c>
      <c r="C2663" s="18" t="s">
        <v>3458</v>
      </c>
      <c r="D2663" s="19" t="s">
        <v>3997</v>
      </c>
      <c r="E2663" s="18" t="s">
        <v>196</v>
      </c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</row>
    <row r="2664">
      <c r="A2664" s="16" t="s">
        <v>3975</v>
      </c>
      <c r="B2664" s="22" t="s">
        <v>3998</v>
      </c>
      <c r="C2664" s="18" t="s">
        <v>3926</v>
      </c>
      <c r="D2664" s="19" t="s">
        <v>3927</v>
      </c>
      <c r="E2664" s="18" t="s">
        <v>196</v>
      </c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</row>
    <row r="2665">
      <c r="A2665" s="16" t="s">
        <v>3975</v>
      </c>
      <c r="B2665" s="22" t="s">
        <v>3998</v>
      </c>
      <c r="C2665" s="18" t="s">
        <v>3926</v>
      </c>
      <c r="D2665" s="19" t="s">
        <v>3927</v>
      </c>
      <c r="E2665" s="18" t="s">
        <v>196</v>
      </c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</row>
    <row r="2666">
      <c r="A2666" s="16" t="s">
        <v>3975</v>
      </c>
      <c r="B2666" s="19" t="s">
        <v>3999</v>
      </c>
      <c r="C2666" s="18" t="s">
        <v>4000</v>
      </c>
      <c r="D2666" s="19" t="s">
        <v>4001</v>
      </c>
      <c r="E2666" s="132" t="s">
        <v>764</v>
      </c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</row>
    <row r="2667">
      <c r="A2667" s="16" t="s">
        <v>3975</v>
      </c>
      <c r="B2667" s="22" t="s">
        <v>4002</v>
      </c>
      <c r="C2667" s="18" t="s">
        <v>4003</v>
      </c>
      <c r="D2667" s="19" t="s">
        <v>4004</v>
      </c>
      <c r="E2667" s="132" t="s">
        <v>3984</v>
      </c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</row>
    <row r="2668">
      <c r="A2668" s="16" t="s">
        <v>3975</v>
      </c>
      <c r="B2668" s="22" t="s">
        <v>4002</v>
      </c>
      <c r="C2668" s="18" t="s">
        <v>4003</v>
      </c>
      <c r="D2668" s="19" t="s">
        <v>4004</v>
      </c>
      <c r="E2668" s="132" t="s">
        <v>3984</v>
      </c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</row>
    <row r="2669">
      <c r="A2669" s="16" t="s">
        <v>3975</v>
      </c>
      <c r="B2669" s="22" t="s">
        <v>4002</v>
      </c>
      <c r="C2669" s="18" t="s">
        <v>4003</v>
      </c>
      <c r="D2669" s="19" t="s">
        <v>4004</v>
      </c>
      <c r="E2669" s="132" t="s">
        <v>3984</v>
      </c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</row>
    <row r="2670">
      <c r="A2670" s="16" t="s">
        <v>3975</v>
      </c>
      <c r="B2670" s="22" t="s">
        <v>4002</v>
      </c>
      <c r="C2670" s="18" t="s">
        <v>4003</v>
      </c>
      <c r="D2670" s="19" t="s">
        <v>4004</v>
      </c>
      <c r="E2670" s="132" t="s">
        <v>3984</v>
      </c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</row>
    <row r="2671">
      <c r="A2671" s="16" t="s">
        <v>3975</v>
      </c>
      <c r="B2671" s="22" t="s">
        <v>4002</v>
      </c>
      <c r="C2671" s="18" t="s">
        <v>4003</v>
      </c>
      <c r="D2671" s="19" t="s">
        <v>4004</v>
      </c>
      <c r="E2671" s="132" t="s">
        <v>3984</v>
      </c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</row>
    <row r="2672">
      <c r="A2672" s="16" t="s">
        <v>3975</v>
      </c>
      <c r="B2672" s="22" t="s">
        <v>3893</v>
      </c>
      <c r="C2672" s="18" t="s">
        <v>4005</v>
      </c>
      <c r="D2672" s="19" t="s">
        <v>4006</v>
      </c>
      <c r="E2672" s="132" t="s">
        <v>3984</v>
      </c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</row>
    <row r="2673">
      <c r="A2673" s="115"/>
      <c r="B2673" s="22"/>
      <c r="C2673" s="68"/>
      <c r="D2673" s="63"/>
      <c r="E2673" s="9"/>
      <c r="H2673" s="29"/>
      <c r="I2673" s="29"/>
      <c r="J2673" s="29"/>
      <c r="K2673" s="29"/>
      <c r="L2673" s="29"/>
      <c r="M2673" s="29"/>
      <c r="N2673" s="29"/>
      <c r="O2673" s="29"/>
      <c r="P2673" s="29"/>
      <c r="Q2673" s="29"/>
      <c r="R2673" s="29"/>
      <c r="S2673" s="29"/>
      <c r="T2673" s="29"/>
      <c r="U2673" s="29"/>
      <c r="V2673" s="29"/>
      <c r="W2673" s="29"/>
      <c r="X2673" s="29"/>
      <c r="Y2673" s="29"/>
      <c r="Z2673" s="29"/>
      <c r="AA2673" s="29"/>
      <c r="AB2673" s="29"/>
      <c r="AC2673" s="29"/>
      <c r="AD2673" s="29"/>
    </row>
    <row r="2674">
      <c r="A2674" s="115"/>
      <c r="B2674" s="22"/>
      <c r="C2674" s="68"/>
      <c r="D2674" s="63"/>
      <c r="E2674" s="9"/>
      <c r="H2674" s="29"/>
      <c r="I2674" s="29"/>
      <c r="J2674" s="29"/>
      <c r="K2674" s="29"/>
      <c r="L2674" s="29"/>
      <c r="M2674" s="29"/>
      <c r="N2674" s="29"/>
      <c r="O2674" s="29"/>
      <c r="P2674" s="29"/>
      <c r="Q2674" s="29"/>
      <c r="R2674" s="29"/>
      <c r="S2674" s="29"/>
      <c r="T2674" s="29"/>
      <c r="U2674" s="29"/>
      <c r="V2674" s="29"/>
      <c r="W2674" s="29"/>
      <c r="X2674" s="29"/>
      <c r="Y2674" s="29"/>
      <c r="Z2674" s="29"/>
      <c r="AA2674" s="29"/>
      <c r="AB2674" s="29"/>
      <c r="AC2674" s="29"/>
      <c r="AD2674" s="29"/>
    </row>
    <row r="2675">
      <c r="A2675" s="16" t="s">
        <v>4007</v>
      </c>
      <c r="B2675" s="22" t="s">
        <v>4008</v>
      </c>
      <c r="C2675" s="18" t="s">
        <v>4009</v>
      </c>
      <c r="D2675" s="19" t="s">
        <v>4010</v>
      </c>
      <c r="E2675" s="161" t="s">
        <v>7</v>
      </c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</row>
    <row r="2676">
      <c r="A2676" s="16" t="s">
        <v>4007</v>
      </c>
      <c r="B2676" s="22" t="s">
        <v>4008</v>
      </c>
      <c r="C2676" s="18" t="s">
        <v>4011</v>
      </c>
      <c r="D2676" s="19" t="s">
        <v>4012</v>
      </c>
      <c r="E2676" s="161" t="s">
        <v>7</v>
      </c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</row>
    <row r="2677">
      <c r="A2677" s="16" t="s">
        <v>4007</v>
      </c>
      <c r="B2677" s="22" t="s">
        <v>4008</v>
      </c>
      <c r="C2677" s="18" t="s">
        <v>4013</v>
      </c>
      <c r="D2677" s="19" t="s">
        <v>4012</v>
      </c>
      <c r="E2677" s="161" t="s">
        <v>7</v>
      </c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</row>
    <row r="2678">
      <c r="A2678" s="16" t="s">
        <v>4007</v>
      </c>
      <c r="B2678" s="22" t="s">
        <v>4008</v>
      </c>
      <c r="C2678" s="18" t="s">
        <v>4014</v>
      </c>
      <c r="D2678" s="19" t="s">
        <v>4015</v>
      </c>
      <c r="E2678" s="161" t="s">
        <v>7</v>
      </c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</row>
    <row r="2679">
      <c r="A2679" s="16" t="s">
        <v>4007</v>
      </c>
      <c r="B2679" s="22" t="s">
        <v>4008</v>
      </c>
      <c r="C2679" s="18" t="s">
        <v>4016</v>
      </c>
      <c r="D2679" s="19" t="s">
        <v>4017</v>
      </c>
      <c r="E2679" s="161" t="s">
        <v>7</v>
      </c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</row>
    <row r="2680">
      <c r="A2680" s="16" t="s">
        <v>4007</v>
      </c>
      <c r="B2680" s="22" t="s">
        <v>4008</v>
      </c>
      <c r="C2680" s="18" t="s">
        <v>4018</v>
      </c>
      <c r="D2680" s="19" t="s">
        <v>4017</v>
      </c>
      <c r="E2680" s="161" t="s">
        <v>7</v>
      </c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</row>
    <row r="2681">
      <c r="A2681" s="16" t="s">
        <v>4007</v>
      </c>
      <c r="B2681" s="22" t="s">
        <v>3556</v>
      </c>
      <c r="C2681" s="18" t="s">
        <v>3564</v>
      </c>
      <c r="D2681" s="19" t="s">
        <v>4019</v>
      </c>
      <c r="E2681" s="161" t="s">
        <v>7</v>
      </c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</row>
    <row r="2682">
      <c r="A2682" s="16" t="s">
        <v>4007</v>
      </c>
      <c r="B2682" s="22" t="s">
        <v>3556</v>
      </c>
      <c r="C2682" s="18" t="s">
        <v>3564</v>
      </c>
      <c r="D2682" s="19" t="s">
        <v>4019</v>
      </c>
      <c r="E2682" s="161" t="s">
        <v>7</v>
      </c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</row>
    <row r="2683">
      <c r="A2683" s="16" t="s">
        <v>4007</v>
      </c>
      <c r="B2683" s="22" t="s">
        <v>3556</v>
      </c>
      <c r="C2683" s="18" t="s">
        <v>3567</v>
      </c>
      <c r="D2683" s="19" t="s">
        <v>4019</v>
      </c>
      <c r="E2683" s="161" t="s">
        <v>7</v>
      </c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</row>
    <row r="2684">
      <c r="A2684" s="16" t="s">
        <v>4007</v>
      </c>
      <c r="B2684" s="22" t="s">
        <v>3763</v>
      </c>
      <c r="C2684" s="18" t="s">
        <v>3829</v>
      </c>
      <c r="D2684" s="19" t="s">
        <v>4020</v>
      </c>
      <c r="E2684" s="161" t="s">
        <v>7</v>
      </c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</row>
    <row r="2685">
      <c r="A2685" s="16" t="s">
        <v>4007</v>
      </c>
      <c r="B2685" s="22" t="s">
        <v>3763</v>
      </c>
      <c r="C2685" s="18" t="s">
        <v>3829</v>
      </c>
      <c r="D2685" s="19" t="s">
        <v>3915</v>
      </c>
      <c r="E2685" s="161" t="s">
        <v>7</v>
      </c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</row>
    <row r="2686">
      <c r="A2686" s="16" t="s">
        <v>4007</v>
      </c>
      <c r="B2686" s="22" t="s">
        <v>3763</v>
      </c>
      <c r="C2686" s="18" t="s">
        <v>3829</v>
      </c>
      <c r="D2686" s="19" t="s">
        <v>3915</v>
      </c>
      <c r="E2686" s="161" t="s">
        <v>7</v>
      </c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</row>
    <row r="2687">
      <c r="A2687" s="16" t="s">
        <v>4007</v>
      </c>
      <c r="B2687" s="22" t="s">
        <v>4021</v>
      </c>
      <c r="C2687" s="18" t="s">
        <v>4022</v>
      </c>
      <c r="D2687" s="19" t="s">
        <v>4023</v>
      </c>
      <c r="E2687" s="161" t="s">
        <v>7</v>
      </c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</row>
    <row r="2688">
      <c r="A2688" s="16" t="s">
        <v>4007</v>
      </c>
      <c r="B2688" s="22" t="s">
        <v>4021</v>
      </c>
      <c r="C2688" s="18" t="s">
        <v>4024</v>
      </c>
      <c r="D2688" s="19" t="s">
        <v>4025</v>
      </c>
      <c r="E2688" s="161" t="s">
        <v>7</v>
      </c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</row>
    <row r="2689">
      <c r="A2689" s="16" t="s">
        <v>4007</v>
      </c>
      <c r="B2689" s="22" t="s">
        <v>4021</v>
      </c>
      <c r="C2689" s="18" t="s">
        <v>4022</v>
      </c>
      <c r="D2689" s="19" t="s">
        <v>4026</v>
      </c>
      <c r="E2689" s="161" t="s">
        <v>7</v>
      </c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</row>
    <row r="2690">
      <c r="A2690" s="16" t="s">
        <v>4007</v>
      </c>
      <c r="B2690" s="22" t="s">
        <v>3994</v>
      </c>
      <c r="C2690" s="18" t="s">
        <v>3995</v>
      </c>
      <c r="D2690" s="19" t="s">
        <v>4027</v>
      </c>
      <c r="E2690" s="161" t="s">
        <v>7</v>
      </c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</row>
    <row r="2691">
      <c r="A2691" s="16" t="s">
        <v>4007</v>
      </c>
      <c r="B2691" s="22" t="s">
        <v>3994</v>
      </c>
      <c r="C2691" s="18" t="s">
        <v>3995</v>
      </c>
      <c r="D2691" s="19" t="s">
        <v>4028</v>
      </c>
      <c r="E2691" s="161" t="s">
        <v>7</v>
      </c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</row>
    <row r="2692">
      <c r="A2692" s="16" t="s">
        <v>4007</v>
      </c>
      <c r="B2692" s="22" t="s">
        <v>3994</v>
      </c>
      <c r="C2692" s="18" t="s">
        <v>3995</v>
      </c>
      <c r="D2692" s="19" t="s">
        <v>4029</v>
      </c>
      <c r="E2692" s="161" t="s">
        <v>7</v>
      </c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</row>
    <row r="2693">
      <c r="A2693" s="16" t="s">
        <v>4007</v>
      </c>
      <c r="B2693" s="22" t="s">
        <v>4030</v>
      </c>
      <c r="C2693" s="18" t="s">
        <v>4031</v>
      </c>
      <c r="D2693" s="19" t="s">
        <v>4032</v>
      </c>
      <c r="E2693" s="18" t="s">
        <v>196</v>
      </c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</row>
    <row r="2694">
      <c r="A2694" s="16" t="s">
        <v>4007</v>
      </c>
      <c r="B2694" s="22" t="s">
        <v>4030</v>
      </c>
      <c r="C2694" s="18" t="s">
        <v>4033</v>
      </c>
      <c r="D2694" s="19" t="s">
        <v>4032</v>
      </c>
      <c r="E2694" s="18" t="s">
        <v>196</v>
      </c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</row>
    <row r="2695">
      <c r="A2695" s="16" t="s">
        <v>4007</v>
      </c>
      <c r="B2695" s="22" t="s">
        <v>4034</v>
      </c>
      <c r="C2695" s="18" t="s">
        <v>4035</v>
      </c>
      <c r="D2695" s="19" t="s">
        <v>4032</v>
      </c>
      <c r="E2695" s="161" t="s">
        <v>7</v>
      </c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</row>
    <row r="2696">
      <c r="A2696" s="115"/>
      <c r="B2696" s="22"/>
      <c r="C2696" s="68"/>
      <c r="D2696" s="63"/>
      <c r="E2696" s="9"/>
      <c r="H2696" s="29"/>
      <c r="I2696" s="29"/>
      <c r="J2696" s="29"/>
      <c r="K2696" s="29"/>
      <c r="L2696" s="29"/>
      <c r="M2696" s="29"/>
      <c r="N2696" s="29"/>
      <c r="O2696" s="29"/>
      <c r="P2696" s="29"/>
      <c r="Q2696" s="29"/>
      <c r="R2696" s="29"/>
      <c r="S2696" s="29"/>
      <c r="T2696" s="29"/>
      <c r="U2696" s="29"/>
      <c r="V2696" s="29"/>
      <c r="W2696" s="29"/>
      <c r="X2696" s="29"/>
      <c r="Y2696" s="29"/>
      <c r="Z2696" s="29"/>
      <c r="AA2696" s="29"/>
      <c r="AB2696" s="29"/>
      <c r="AC2696" s="29"/>
      <c r="AD2696" s="29"/>
    </row>
    <row r="2697">
      <c r="A2697" s="115"/>
      <c r="B2697" s="22"/>
      <c r="C2697" s="68"/>
      <c r="D2697" s="63"/>
      <c r="E2697" s="9"/>
      <c r="H2697" s="29"/>
      <c r="I2697" s="29"/>
      <c r="J2697" s="29"/>
      <c r="K2697" s="29"/>
      <c r="L2697" s="29"/>
      <c r="M2697" s="29"/>
      <c r="N2697" s="29"/>
      <c r="O2697" s="29"/>
      <c r="P2697" s="29"/>
      <c r="Q2697" s="29"/>
      <c r="R2697" s="29"/>
      <c r="S2697" s="29"/>
      <c r="T2697" s="29"/>
      <c r="U2697" s="29"/>
      <c r="V2697" s="29"/>
      <c r="W2697" s="29"/>
      <c r="X2697" s="29"/>
      <c r="Y2697" s="29"/>
      <c r="Z2697" s="29"/>
      <c r="AA2697" s="29"/>
      <c r="AB2697" s="29"/>
      <c r="AC2697" s="29"/>
      <c r="AD2697" s="29"/>
    </row>
    <row r="2698">
      <c r="A2698" s="16" t="s">
        <v>4036</v>
      </c>
      <c r="B2698" s="22" t="s">
        <v>3556</v>
      </c>
      <c r="C2698" s="18" t="s">
        <v>4037</v>
      </c>
      <c r="D2698" s="19" t="s">
        <v>4038</v>
      </c>
      <c r="E2698" s="9" t="s">
        <v>2108</v>
      </c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</row>
    <row r="2699">
      <c r="A2699" s="16" t="s">
        <v>4036</v>
      </c>
      <c r="B2699" s="22" t="s">
        <v>3556</v>
      </c>
      <c r="C2699" s="18" t="s">
        <v>4039</v>
      </c>
      <c r="D2699" s="19" t="s">
        <v>4038</v>
      </c>
      <c r="E2699" s="9" t="s">
        <v>2108</v>
      </c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</row>
    <row r="2700">
      <c r="A2700" s="16" t="s">
        <v>4036</v>
      </c>
      <c r="B2700" s="22" t="s">
        <v>3556</v>
      </c>
      <c r="C2700" s="18" t="s">
        <v>4040</v>
      </c>
      <c r="D2700" s="19" t="s">
        <v>4041</v>
      </c>
      <c r="E2700" s="9" t="s">
        <v>2108</v>
      </c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</row>
    <row r="2701">
      <c r="A2701" s="16" t="s">
        <v>4036</v>
      </c>
      <c r="B2701" s="22" t="s">
        <v>3556</v>
      </c>
      <c r="C2701" s="18" t="s">
        <v>4039</v>
      </c>
      <c r="D2701" s="19" t="s">
        <v>4041</v>
      </c>
      <c r="E2701" s="9" t="s">
        <v>2108</v>
      </c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</row>
    <row r="2702">
      <c r="A2702" s="16" t="s">
        <v>4036</v>
      </c>
      <c r="B2702" s="22" t="s">
        <v>3556</v>
      </c>
      <c r="C2702" s="18" t="s">
        <v>4042</v>
      </c>
      <c r="D2702" s="19" t="s">
        <v>4043</v>
      </c>
      <c r="E2702" s="9" t="s">
        <v>2108</v>
      </c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</row>
    <row r="2703">
      <c r="A2703" s="16" t="s">
        <v>4036</v>
      </c>
      <c r="B2703" s="22" t="s">
        <v>3556</v>
      </c>
      <c r="C2703" s="18" t="s">
        <v>4039</v>
      </c>
      <c r="D2703" s="19" t="s">
        <v>4043</v>
      </c>
      <c r="E2703" s="9" t="s">
        <v>2108</v>
      </c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</row>
    <row r="2704">
      <c r="A2704" s="16" t="s">
        <v>4036</v>
      </c>
      <c r="B2704" s="22" t="s">
        <v>3556</v>
      </c>
      <c r="C2704" s="18" t="s">
        <v>4040</v>
      </c>
      <c r="D2704" s="19" t="s">
        <v>4044</v>
      </c>
      <c r="E2704" s="9" t="s">
        <v>2108</v>
      </c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</row>
    <row r="2705">
      <c r="A2705" s="16" t="s">
        <v>4036</v>
      </c>
      <c r="B2705" s="22" t="s">
        <v>3556</v>
      </c>
      <c r="C2705" s="18" t="s">
        <v>4045</v>
      </c>
      <c r="D2705" s="19" t="s">
        <v>4044</v>
      </c>
      <c r="E2705" s="9" t="s">
        <v>2108</v>
      </c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</row>
    <row r="2706">
      <c r="A2706" s="16" t="s">
        <v>4036</v>
      </c>
      <c r="B2706" s="22" t="s">
        <v>3556</v>
      </c>
      <c r="C2706" s="18" t="s">
        <v>4046</v>
      </c>
      <c r="D2706" s="19" t="s">
        <v>4047</v>
      </c>
      <c r="E2706" s="9" t="s">
        <v>2108</v>
      </c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</row>
    <row r="2707">
      <c r="A2707" s="16" t="s">
        <v>4036</v>
      </c>
      <c r="B2707" s="22" t="s">
        <v>3556</v>
      </c>
      <c r="C2707" s="18" t="s">
        <v>3561</v>
      </c>
      <c r="D2707" s="19" t="s">
        <v>4047</v>
      </c>
      <c r="E2707" s="9" t="s">
        <v>2108</v>
      </c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</row>
    <row r="2708">
      <c r="A2708" s="16" t="s">
        <v>4036</v>
      </c>
      <c r="B2708" s="22" t="s">
        <v>3754</v>
      </c>
      <c r="C2708" s="18" t="s">
        <v>3782</v>
      </c>
      <c r="D2708" s="19" t="s">
        <v>4048</v>
      </c>
      <c r="E2708" s="161" t="s">
        <v>7</v>
      </c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</row>
    <row r="2709">
      <c r="A2709" s="16" t="s">
        <v>4036</v>
      </c>
      <c r="B2709" s="22" t="s">
        <v>3754</v>
      </c>
      <c r="C2709" s="18" t="s">
        <v>4049</v>
      </c>
      <c r="D2709" s="19" t="s">
        <v>4050</v>
      </c>
      <c r="E2709" s="161" t="s">
        <v>7</v>
      </c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</row>
    <row r="2710">
      <c r="A2710" s="16" t="s">
        <v>4036</v>
      </c>
      <c r="B2710" s="22" t="s">
        <v>3754</v>
      </c>
      <c r="C2710" s="18" t="s">
        <v>3755</v>
      </c>
      <c r="D2710" s="19" t="s">
        <v>4051</v>
      </c>
      <c r="E2710" s="161" t="s">
        <v>7</v>
      </c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</row>
    <row r="2711">
      <c r="A2711" s="16" t="s">
        <v>4036</v>
      </c>
      <c r="B2711" s="22" t="s">
        <v>3754</v>
      </c>
      <c r="C2711" s="18" t="s">
        <v>4052</v>
      </c>
      <c r="D2711" s="19" t="s">
        <v>4053</v>
      </c>
      <c r="E2711" s="161" t="s">
        <v>7</v>
      </c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</row>
    <row r="2712">
      <c r="A2712" s="16" t="s">
        <v>4036</v>
      </c>
      <c r="B2712" s="22" t="s">
        <v>3754</v>
      </c>
      <c r="C2712" s="18" t="s">
        <v>4054</v>
      </c>
      <c r="D2712" s="19" t="s">
        <v>4055</v>
      </c>
      <c r="E2712" s="161" t="s">
        <v>7</v>
      </c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</row>
    <row r="2713">
      <c r="A2713" s="16" t="s">
        <v>4036</v>
      </c>
      <c r="B2713" s="22" t="s">
        <v>4056</v>
      </c>
      <c r="C2713" s="18" t="s">
        <v>4057</v>
      </c>
      <c r="D2713" s="19" t="s">
        <v>4058</v>
      </c>
      <c r="E2713" s="18" t="s">
        <v>196</v>
      </c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</row>
    <row r="2714">
      <c r="A2714" s="16" t="s">
        <v>4036</v>
      </c>
      <c r="B2714" s="22" t="s">
        <v>4056</v>
      </c>
      <c r="C2714" s="18" t="s">
        <v>4059</v>
      </c>
      <c r="D2714" s="19" t="s">
        <v>4058</v>
      </c>
      <c r="E2714" s="18" t="s">
        <v>196</v>
      </c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</row>
    <row r="2715">
      <c r="A2715" s="16" t="s">
        <v>4036</v>
      </c>
      <c r="B2715" s="22" t="s">
        <v>4060</v>
      </c>
      <c r="C2715" s="18" t="s">
        <v>4061</v>
      </c>
      <c r="D2715" s="19" t="s">
        <v>4062</v>
      </c>
      <c r="E2715" s="132" t="s">
        <v>1074</v>
      </c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</row>
    <row r="2716">
      <c r="A2716" s="115"/>
      <c r="B2716" s="22"/>
      <c r="C2716" s="68"/>
      <c r="D2716" s="63"/>
      <c r="E2716" s="9"/>
      <c r="H2716" s="29"/>
      <c r="I2716" s="29"/>
      <c r="J2716" s="29"/>
      <c r="K2716" s="29"/>
      <c r="L2716" s="29"/>
      <c r="M2716" s="29"/>
      <c r="N2716" s="29"/>
      <c r="O2716" s="29"/>
      <c r="P2716" s="29"/>
      <c r="Q2716" s="29"/>
      <c r="R2716" s="29"/>
      <c r="S2716" s="29"/>
      <c r="T2716" s="29"/>
      <c r="U2716" s="29"/>
      <c r="V2716" s="29"/>
      <c r="W2716" s="29"/>
      <c r="X2716" s="29"/>
      <c r="Y2716" s="29"/>
      <c r="Z2716" s="29"/>
      <c r="AA2716" s="29"/>
      <c r="AB2716" s="29"/>
      <c r="AC2716" s="29"/>
      <c r="AD2716" s="29"/>
    </row>
    <row r="2717">
      <c r="A2717" s="115"/>
      <c r="B2717" s="22"/>
      <c r="C2717" s="68"/>
      <c r="D2717" s="63"/>
      <c r="E2717" s="9"/>
      <c r="H2717" s="29"/>
      <c r="I2717" s="29"/>
      <c r="J2717" s="29"/>
      <c r="K2717" s="29"/>
      <c r="L2717" s="29"/>
      <c r="M2717" s="29"/>
      <c r="N2717" s="29"/>
      <c r="O2717" s="29"/>
      <c r="P2717" s="29"/>
      <c r="Q2717" s="29"/>
      <c r="R2717" s="29"/>
      <c r="S2717" s="29"/>
      <c r="T2717" s="29"/>
      <c r="U2717" s="29"/>
      <c r="V2717" s="29"/>
      <c r="W2717" s="29"/>
      <c r="X2717" s="29"/>
      <c r="Y2717" s="29"/>
      <c r="Z2717" s="29"/>
      <c r="AA2717" s="29"/>
      <c r="AB2717" s="29"/>
      <c r="AC2717" s="29"/>
      <c r="AD2717" s="29"/>
    </row>
    <row r="2718">
      <c r="A2718" s="16" t="s">
        <v>4063</v>
      </c>
      <c r="B2718" s="22" t="s">
        <v>3819</v>
      </c>
      <c r="C2718" s="18" t="s">
        <v>4064</v>
      </c>
      <c r="D2718" s="19" t="s">
        <v>4065</v>
      </c>
      <c r="E2718" s="161" t="s">
        <v>7</v>
      </c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</row>
    <row r="2719">
      <c r="A2719" s="16" t="s">
        <v>4063</v>
      </c>
      <c r="B2719" s="22" t="s">
        <v>3819</v>
      </c>
      <c r="C2719" s="18" t="s">
        <v>4066</v>
      </c>
      <c r="D2719" s="19" t="s">
        <v>4067</v>
      </c>
      <c r="E2719" s="161" t="s">
        <v>7</v>
      </c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</row>
    <row r="2720">
      <c r="A2720" s="16" t="s">
        <v>4063</v>
      </c>
      <c r="B2720" s="22" t="s">
        <v>3819</v>
      </c>
      <c r="C2720" s="18" t="s">
        <v>3379</v>
      </c>
      <c r="D2720" s="19" t="s">
        <v>4068</v>
      </c>
      <c r="E2720" s="161" t="s">
        <v>7</v>
      </c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</row>
    <row r="2721">
      <c r="A2721" s="16" t="s">
        <v>4063</v>
      </c>
      <c r="B2721" s="22" t="s">
        <v>3994</v>
      </c>
      <c r="C2721" s="18" t="s">
        <v>456</v>
      </c>
      <c r="D2721" s="19" t="s">
        <v>4069</v>
      </c>
      <c r="E2721" s="9" t="s">
        <v>2108</v>
      </c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</row>
    <row r="2722">
      <c r="A2722" s="16" t="s">
        <v>4063</v>
      </c>
      <c r="B2722" s="22" t="s">
        <v>3994</v>
      </c>
      <c r="C2722" s="18" t="s">
        <v>4070</v>
      </c>
      <c r="D2722" s="19" t="s">
        <v>4071</v>
      </c>
      <c r="E2722" s="9" t="s">
        <v>2108</v>
      </c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</row>
    <row r="2723">
      <c r="A2723" s="16" t="s">
        <v>4063</v>
      </c>
      <c r="B2723" s="22" t="s">
        <v>3994</v>
      </c>
      <c r="C2723" s="18" t="s">
        <v>201</v>
      </c>
      <c r="D2723" s="19" t="s">
        <v>4072</v>
      </c>
      <c r="E2723" s="9" t="s">
        <v>2108</v>
      </c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</row>
    <row r="2724">
      <c r="A2724" s="16" t="s">
        <v>4063</v>
      </c>
      <c r="B2724" s="22" t="s">
        <v>3994</v>
      </c>
      <c r="C2724" s="18" t="s">
        <v>4073</v>
      </c>
      <c r="D2724" s="19" t="s">
        <v>4074</v>
      </c>
      <c r="E2724" s="9" t="s">
        <v>2108</v>
      </c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</row>
    <row r="2725">
      <c r="A2725" s="16" t="s">
        <v>4063</v>
      </c>
      <c r="B2725" s="22" t="s">
        <v>3994</v>
      </c>
      <c r="C2725" s="18" t="s">
        <v>3995</v>
      </c>
      <c r="D2725" s="19" t="s">
        <v>4075</v>
      </c>
      <c r="E2725" s="9" t="s">
        <v>2108</v>
      </c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</row>
    <row r="2726">
      <c r="A2726" s="16" t="s">
        <v>4063</v>
      </c>
      <c r="B2726" s="22" t="s">
        <v>3994</v>
      </c>
      <c r="C2726" s="18" t="s">
        <v>3995</v>
      </c>
      <c r="D2726" s="19" t="s">
        <v>4076</v>
      </c>
      <c r="E2726" s="9" t="s">
        <v>2108</v>
      </c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</row>
    <row r="2727">
      <c r="A2727" s="16" t="s">
        <v>4063</v>
      </c>
      <c r="B2727" s="22" t="s">
        <v>3994</v>
      </c>
      <c r="C2727" s="18" t="s">
        <v>4077</v>
      </c>
      <c r="D2727" s="19" t="s">
        <v>4078</v>
      </c>
      <c r="E2727" s="9" t="s">
        <v>2108</v>
      </c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</row>
    <row r="2728">
      <c r="A2728" s="16" t="s">
        <v>4063</v>
      </c>
      <c r="B2728" s="22" t="s">
        <v>3990</v>
      </c>
      <c r="C2728" s="18" t="s">
        <v>1825</v>
      </c>
      <c r="D2728" s="19" t="s">
        <v>4079</v>
      </c>
      <c r="E2728" s="132" t="s">
        <v>1506</v>
      </c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</row>
    <row r="2729">
      <c r="A2729" s="16" t="s">
        <v>4063</v>
      </c>
      <c r="B2729" s="22" t="s">
        <v>3990</v>
      </c>
      <c r="C2729" s="18" t="s">
        <v>4080</v>
      </c>
      <c r="D2729" s="19" t="s">
        <v>4081</v>
      </c>
      <c r="E2729" s="132" t="s">
        <v>764</v>
      </c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</row>
    <row r="2730">
      <c r="A2730" s="115"/>
      <c r="B2730" s="22"/>
      <c r="C2730" s="68"/>
      <c r="D2730" s="63"/>
      <c r="E2730" s="9"/>
      <c r="H2730" s="29"/>
      <c r="I2730" s="29"/>
      <c r="J2730" s="29"/>
      <c r="K2730" s="29"/>
      <c r="L2730" s="29"/>
      <c r="M2730" s="29"/>
      <c r="N2730" s="29"/>
      <c r="O2730" s="29"/>
      <c r="P2730" s="29"/>
      <c r="Q2730" s="29"/>
      <c r="R2730" s="29"/>
      <c r="S2730" s="29"/>
      <c r="T2730" s="29"/>
      <c r="U2730" s="29"/>
      <c r="V2730" s="29"/>
      <c r="W2730" s="29"/>
      <c r="X2730" s="29"/>
      <c r="Y2730" s="29"/>
      <c r="Z2730" s="29"/>
      <c r="AA2730" s="29"/>
      <c r="AB2730" s="29"/>
      <c r="AC2730" s="29"/>
      <c r="AD2730" s="29"/>
    </row>
    <row r="2731">
      <c r="A2731" s="115"/>
      <c r="B2731" s="22"/>
      <c r="C2731" s="68"/>
      <c r="D2731" s="63"/>
      <c r="E2731" s="9"/>
      <c r="H2731" s="29"/>
      <c r="I2731" s="29"/>
      <c r="J2731" s="29"/>
      <c r="K2731" s="29"/>
      <c r="L2731" s="29"/>
      <c r="M2731" s="29"/>
      <c r="N2731" s="29"/>
      <c r="O2731" s="29"/>
      <c r="P2731" s="29"/>
      <c r="Q2731" s="29"/>
      <c r="R2731" s="29"/>
      <c r="S2731" s="29"/>
      <c r="T2731" s="29"/>
      <c r="U2731" s="29"/>
      <c r="V2731" s="29"/>
      <c r="W2731" s="29"/>
      <c r="X2731" s="29"/>
      <c r="Y2731" s="29"/>
      <c r="Z2731" s="29"/>
      <c r="AA2731" s="29"/>
      <c r="AB2731" s="29"/>
      <c r="AC2731" s="29"/>
      <c r="AD2731" s="29"/>
    </row>
    <row r="2732">
      <c r="A2732" s="16" t="s">
        <v>4082</v>
      </c>
      <c r="B2732" s="22" t="s">
        <v>3431</v>
      </c>
      <c r="C2732" s="18" t="s">
        <v>4083</v>
      </c>
      <c r="D2732" s="19" t="s">
        <v>4084</v>
      </c>
      <c r="E2732" s="161" t="s">
        <v>7</v>
      </c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</row>
    <row r="2733">
      <c r="A2733" s="16" t="s">
        <v>4082</v>
      </c>
      <c r="B2733" s="22" t="s">
        <v>3431</v>
      </c>
      <c r="C2733" s="18" t="s">
        <v>4085</v>
      </c>
      <c r="D2733" s="19" t="s">
        <v>4084</v>
      </c>
      <c r="E2733" s="161" t="s">
        <v>7</v>
      </c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</row>
    <row r="2734">
      <c r="A2734" s="16" t="s">
        <v>4082</v>
      </c>
      <c r="B2734" s="22" t="s">
        <v>3431</v>
      </c>
      <c r="C2734" s="18" t="s">
        <v>4086</v>
      </c>
      <c r="D2734" s="19" t="s">
        <v>4084</v>
      </c>
      <c r="E2734" s="161" t="s">
        <v>7</v>
      </c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</row>
    <row r="2735">
      <c r="A2735" s="16" t="s">
        <v>4082</v>
      </c>
      <c r="B2735" s="22" t="s">
        <v>3431</v>
      </c>
      <c r="C2735" s="18" t="s">
        <v>4087</v>
      </c>
      <c r="D2735" s="19" t="s">
        <v>4088</v>
      </c>
      <c r="E2735" s="161" t="s">
        <v>7</v>
      </c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</row>
    <row r="2736">
      <c r="A2736" s="16" t="s">
        <v>4082</v>
      </c>
      <c r="B2736" s="22" t="s">
        <v>3431</v>
      </c>
      <c r="C2736" s="18" t="s">
        <v>4089</v>
      </c>
      <c r="D2736" s="19" t="s">
        <v>4088</v>
      </c>
      <c r="E2736" s="161" t="s">
        <v>7</v>
      </c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</row>
    <row r="2737">
      <c r="A2737" s="16" t="s">
        <v>4082</v>
      </c>
      <c r="B2737" s="22" t="s">
        <v>3431</v>
      </c>
      <c r="C2737" s="18" t="s">
        <v>4090</v>
      </c>
      <c r="D2737" s="19" t="s">
        <v>4088</v>
      </c>
      <c r="E2737" s="161" t="s">
        <v>7</v>
      </c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</row>
    <row r="2738">
      <c r="A2738" s="16" t="s">
        <v>4082</v>
      </c>
      <c r="B2738" s="22" t="s">
        <v>4091</v>
      </c>
      <c r="C2738" s="18" t="s">
        <v>4092</v>
      </c>
      <c r="D2738" s="19" t="s">
        <v>4093</v>
      </c>
      <c r="E2738" s="161" t="s">
        <v>7</v>
      </c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</row>
    <row r="2739">
      <c r="A2739" s="16" t="s">
        <v>4082</v>
      </c>
      <c r="B2739" s="22" t="s">
        <v>4091</v>
      </c>
      <c r="C2739" s="18" t="s">
        <v>4094</v>
      </c>
      <c r="D2739" s="19" t="s">
        <v>4093</v>
      </c>
      <c r="E2739" s="161" t="s">
        <v>7</v>
      </c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</row>
    <row r="2740">
      <c r="A2740" s="16" t="s">
        <v>4082</v>
      </c>
      <c r="B2740" s="22" t="s">
        <v>4091</v>
      </c>
      <c r="C2740" s="18" t="s">
        <v>4095</v>
      </c>
      <c r="D2740" s="19" t="s">
        <v>4093</v>
      </c>
      <c r="E2740" s="161" t="s">
        <v>7</v>
      </c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</row>
    <row r="2741">
      <c r="A2741" s="16" t="s">
        <v>4082</v>
      </c>
      <c r="B2741" s="22" t="s">
        <v>4091</v>
      </c>
      <c r="C2741" s="18" t="s">
        <v>4096</v>
      </c>
      <c r="D2741" s="19" t="s">
        <v>4093</v>
      </c>
      <c r="E2741" s="161" t="s">
        <v>7</v>
      </c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</row>
    <row r="2742">
      <c r="A2742" s="16" t="s">
        <v>4082</v>
      </c>
      <c r="B2742" s="22" t="s">
        <v>4097</v>
      </c>
      <c r="C2742" s="18" t="s">
        <v>4098</v>
      </c>
      <c r="D2742" s="19" t="s">
        <v>4099</v>
      </c>
      <c r="E2742" s="161" t="s">
        <v>7</v>
      </c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</row>
    <row r="2743">
      <c r="A2743" s="16" t="s">
        <v>4082</v>
      </c>
      <c r="B2743" s="22" t="s">
        <v>4097</v>
      </c>
      <c r="C2743" s="18" t="s">
        <v>4100</v>
      </c>
      <c r="D2743" s="19" t="s">
        <v>4101</v>
      </c>
      <c r="E2743" s="161" t="s">
        <v>7</v>
      </c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</row>
    <row r="2744">
      <c r="A2744" s="16" t="s">
        <v>4082</v>
      </c>
      <c r="B2744" s="22" t="s">
        <v>4102</v>
      </c>
      <c r="C2744" s="18" t="s">
        <v>4103</v>
      </c>
      <c r="D2744" s="19" t="s">
        <v>4104</v>
      </c>
      <c r="E2744" s="161" t="s">
        <v>7</v>
      </c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</row>
    <row r="2745">
      <c r="A2745" s="115"/>
      <c r="B2745" s="22"/>
      <c r="C2745" s="68"/>
      <c r="D2745" s="63"/>
      <c r="E2745" s="9"/>
      <c r="H2745" s="29"/>
      <c r="I2745" s="29"/>
      <c r="J2745" s="29"/>
      <c r="K2745" s="29"/>
      <c r="L2745" s="29"/>
      <c r="M2745" s="29"/>
      <c r="N2745" s="29"/>
      <c r="O2745" s="29"/>
      <c r="P2745" s="29"/>
      <c r="Q2745" s="29"/>
      <c r="R2745" s="29"/>
      <c r="S2745" s="29"/>
      <c r="T2745" s="29"/>
      <c r="U2745" s="29"/>
      <c r="V2745" s="29"/>
      <c r="W2745" s="29"/>
      <c r="X2745" s="29"/>
      <c r="Y2745" s="29"/>
      <c r="Z2745" s="29"/>
      <c r="AA2745" s="29"/>
      <c r="AB2745" s="29"/>
      <c r="AC2745" s="29"/>
      <c r="AD2745" s="29"/>
    </row>
    <row r="2746">
      <c r="A2746" s="115"/>
      <c r="B2746" s="22"/>
      <c r="C2746" s="68"/>
      <c r="D2746" s="63"/>
      <c r="E2746" s="9"/>
      <c r="H2746" s="29"/>
      <c r="I2746" s="29"/>
      <c r="J2746" s="29"/>
      <c r="K2746" s="29"/>
      <c r="L2746" s="29"/>
      <c r="M2746" s="29"/>
      <c r="N2746" s="29"/>
      <c r="O2746" s="29"/>
      <c r="P2746" s="29"/>
      <c r="Q2746" s="29"/>
      <c r="R2746" s="29"/>
      <c r="S2746" s="29"/>
      <c r="T2746" s="29"/>
      <c r="U2746" s="29"/>
      <c r="V2746" s="29"/>
      <c r="W2746" s="29"/>
      <c r="X2746" s="29"/>
      <c r="Y2746" s="29"/>
      <c r="Z2746" s="29"/>
      <c r="AA2746" s="29"/>
      <c r="AB2746" s="29"/>
      <c r="AC2746" s="29"/>
      <c r="AD2746" s="29"/>
    </row>
    <row r="2747">
      <c r="A2747" s="115" t="s">
        <v>4105</v>
      </c>
      <c r="B2747" s="22" t="s">
        <v>4106</v>
      </c>
      <c r="C2747" s="18" t="s">
        <v>3379</v>
      </c>
      <c r="D2747" s="19" t="s">
        <v>4107</v>
      </c>
      <c r="E2747" s="18" t="s">
        <v>196</v>
      </c>
      <c r="H2747" s="29"/>
      <c r="I2747" s="29"/>
      <c r="J2747" s="29"/>
      <c r="K2747" s="29"/>
      <c r="L2747" s="29"/>
      <c r="M2747" s="29"/>
      <c r="N2747" s="29"/>
      <c r="O2747" s="29"/>
      <c r="P2747" s="29"/>
      <c r="Q2747" s="29"/>
      <c r="R2747" s="29"/>
      <c r="S2747" s="29"/>
      <c r="T2747" s="29"/>
      <c r="U2747" s="29"/>
      <c r="V2747" s="29"/>
      <c r="W2747" s="29"/>
      <c r="X2747" s="29"/>
      <c r="Y2747" s="29"/>
      <c r="Z2747" s="29"/>
      <c r="AA2747" s="29"/>
      <c r="AB2747" s="29"/>
      <c r="AC2747" s="29"/>
      <c r="AD2747" s="29"/>
    </row>
    <row r="2748">
      <c r="A2748" s="115" t="s">
        <v>4105</v>
      </c>
      <c r="B2748" s="22" t="s">
        <v>4106</v>
      </c>
      <c r="C2748" s="18" t="s">
        <v>4108</v>
      </c>
      <c r="D2748" s="19" t="s">
        <v>4109</v>
      </c>
      <c r="E2748" s="9" t="s">
        <v>14</v>
      </c>
      <c r="H2748" s="29"/>
      <c r="I2748" s="29"/>
      <c r="J2748" s="29"/>
      <c r="K2748" s="29"/>
      <c r="L2748" s="29"/>
      <c r="M2748" s="29"/>
      <c r="N2748" s="29"/>
      <c r="O2748" s="29"/>
      <c r="P2748" s="29"/>
      <c r="Q2748" s="29"/>
      <c r="R2748" s="29"/>
      <c r="S2748" s="29"/>
      <c r="T2748" s="29"/>
      <c r="U2748" s="29"/>
      <c r="V2748" s="29"/>
      <c r="W2748" s="29"/>
      <c r="X2748" s="29"/>
      <c r="Y2748" s="29"/>
      <c r="Z2748" s="29"/>
      <c r="AA2748" s="29"/>
      <c r="AB2748" s="29"/>
      <c r="AC2748" s="29"/>
      <c r="AD2748" s="29"/>
    </row>
    <row r="2749">
      <c r="A2749" s="115" t="s">
        <v>4105</v>
      </c>
      <c r="B2749" s="22" t="s">
        <v>4106</v>
      </c>
      <c r="C2749" s="18" t="s">
        <v>4110</v>
      </c>
      <c r="D2749" s="19" t="s">
        <v>4111</v>
      </c>
      <c r="E2749" s="9" t="s">
        <v>14</v>
      </c>
      <c r="H2749" s="29"/>
      <c r="I2749" s="29"/>
      <c r="J2749" s="29"/>
      <c r="K2749" s="29"/>
      <c r="L2749" s="29"/>
      <c r="M2749" s="29"/>
      <c r="N2749" s="29"/>
      <c r="O2749" s="29"/>
      <c r="P2749" s="29"/>
      <c r="Q2749" s="29"/>
      <c r="R2749" s="29"/>
      <c r="S2749" s="29"/>
      <c r="T2749" s="29"/>
      <c r="U2749" s="29"/>
      <c r="V2749" s="29"/>
      <c r="W2749" s="29"/>
      <c r="X2749" s="29"/>
      <c r="Y2749" s="29"/>
      <c r="Z2749" s="29"/>
      <c r="AA2749" s="29"/>
      <c r="AB2749" s="29"/>
      <c r="AC2749" s="29"/>
      <c r="AD2749" s="29"/>
    </row>
    <row r="2750">
      <c r="A2750" s="115" t="s">
        <v>4105</v>
      </c>
      <c r="B2750" s="22" t="s">
        <v>4112</v>
      </c>
      <c r="C2750" s="18" t="s">
        <v>4113</v>
      </c>
      <c r="D2750" s="19" t="s">
        <v>4114</v>
      </c>
      <c r="E2750" s="9" t="s">
        <v>14</v>
      </c>
      <c r="H2750" s="29"/>
      <c r="I2750" s="29"/>
      <c r="J2750" s="29"/>
      <c r="K2750" s="29"/>
      <c r="L2750" s="29"/>
      <c r="M2750" s="29"/>
      <c r="N2750" s="29"/>
      <c r="O2750" s="29"/>
      <c r="P2750" s="29"/>
      <c r="Q2750" s="29"/>
      <c r="R2750" s="29"/>
      <c r="S2750" s="29"/>
      <c r="T2750" s="29"/>
      <c r="U2750" s="29"/>
      <c r="V2750" s="29"/>
      <c r="W2750" s="29"/>
      <c r="X2750" s="29"/>
      <c r="Y2750" s="29"/>
      <c r="Z2750" s="29"/>
      <c r="AA2750" s="29"/>
      <c r="AB2750" s="29"/>
      <c r="AC2750" s="29"/>
      <c r="AD2750" s="29"/>
    </row>
    <row r="2751">
      <c r="A2751" s="115" t="s">
        <v>4105</v>
      </c>
      <c r="B2751" s="19" t="s">
        <v>4091</v>
      </c>
      <c r="C2751" s="18" t="s">
        <v>4115</v>
      </c>
      <c r="D2751" s="19" t="s">
        <v>4116</v>
      </c>
      <c r="E2751" s="161" t="s">
        <v>4117</v>
      </c>
      <c r="H2751" s="29"/>
      <c r="I2751" s="29"/>
      <c r="J2751" s="29"/>
      <c r="K2751" s="29"/>
      <c r="L2751" s="29"/>
      <c r="M2751" s="29"/>
      <c r="N2751" s="29"/>
      <c r="O2751" s="29"/>
      <c r="P2751" s="29"/>
      <c r="Q2751" s="29"/>
      <c r="R2751" s="29"/>
      <c r="S2751" s="29"/>
      <c r="T2751" s="29"/>
      <c r="U2751" s="29"/>
      <c r="V2751" s="29"/>
      <c r="W2751" s="29"/>
      <c r="X2751" s="29"/>
      <c r="Y2751" s="29"/>
      <c r="Z2751" s="29"/>
      <c r="AA2751" s="29"/>
      <c r="AB2751" s="29"/>
      <c r="AC2751" s="29"/>
      <c r="AD2751" s="29"/>
    </row>
    <row r="2752">
      <c r="A2752" s="115" t="s">
        <v>4105</v>
      </c>
      <c r="B2752" s="19" t="s">
        <v>4091</v>
      </c>
      <c r="C2752" s="18" t="s">
        <v>4118</v>
      </c>
      <c r="D2752" s="19" t="s">
        <v>4116</v>
      </c>
      <c r="E2752" s="161" t="s">
        <v>4117</v>
      </c>
      <c r="H2752" s="29"/>
      <c r="I2752" s="29"/>
      <c r="J2752" s="29"/>
      <c r="K2752" s="29"/>
      <c r="L2752" s="29"/>
      <c r="M2752" s="29"/>
      <c r="N2752" s="29"/>
      <c r="O2752" s="29"/>
      <c r="P2752" s="29"/>
      <c r="Q2752" s="29"/>
      <c r="R2752" s="29"/>
      <c r="S2752" s="29"/>
      <c r="T2752" s="29"/>
      <c r="U2752" s="29"/>
      <c r="V2752" s="29"/>
      <c r="W2752" s="29"/>
      <c r="X2752" s="29"/>
      <c r="Y2752" s="29"/>
      <c r="Z2752" s="29"/>
      <c r="AA2752" s="29"/>
      <c r="AB2752" s="29"/>
      <c r="AC2752" s="29"/>
      <c r="AD2752" s="29"/>
    </row>
    <row r="2753">
      <c r="A2753" s="115" t="s">
        <v>4105</v>
      </c>
      <c r="B2753" s="19" t="s">
        <v>4091</v>
      </c>
      <c r="C2753" s="18" t="s">
        <v>4119</v>
      </c>
      <c r="D2753" s="19" t="s">
        <v>4120</v>
      </c>
      <c r="E2753" s="161" t="s">
        <v>4117</v>
      </c>
      <c r="H2753" s="29"/>
      <c r="I2753" s="29"/>
      <c r="J2753" s="29"/>
      <c r="K2753" s="29"/>
      <c r="L2753" s="29"/>
      <c r="M2753" s="29"/>
      <c r="N2753" s="29"/>
      <c r="O2753" s="29"/>
      <c r="P2753" s="29"/>
      <c r="Q2753" s="29"/>
      <c r="R2753" s="29"/>
      <c r="S2753" s="29"/>
      <c r="T2753" s="29"/>
      <c r="U2753" s="29"/>
      <c r="V2753" s="29"/>
      <c r="W2753" s="29"/>
      <c r="X2753" s="29"/>
      <c r="Y2753" s="29"/>
      <c r="Z2753" s="29"/>
      <c r="AA2753" s="29"/>
      <c r="AB2753" s="29"/>
      <c r="AC2753" s="29"/>
      <c r="AD2753" s="29"/>
    </row>
    <row r="2754">
      <c r="A2754" s="115" t="s">
        <v>4105</v>
      </c>
      <c r="B2754" s="19" t="s">
        <v>4091</v>
      </c>
      <c r="C2754" s="18" t="s">
        <v>4121</v>
      </c>
      <c r="D2754" s="19" t="s">
        <v>4120</v>
      </c>
      <c r="E2754" s="161" t="s">
        <v>4117</v>
      </c>
      <c r="H2754" s="29"/>
      <c r="I2754" s="29"/>
      <c r="J2754" s="29"/>
      <c r="K2754" s="29"/>
      <c r="L2754" s="29"/>
      <c r="M2754" s="29"/>
      <c r="N2754" s="29"/>
      <c r="O2754" s="29"/>
      <c r="P2754" s="29"/>
      <c r="Q2754" s="29"/>
      <c r="R2754" s="29"/>
      <c r="S2754" s="29"/>
      <c r="T2754" s="29"/>
      <c r="U2754" s="29"/>
      <c r="V2754" s="29"/>
      <c r="W2754" s="29"/>
      <c r="X2754" s="29"/>
      <c r="Y2754" s="29"/>
      <c r="Z2754" s="29"/>
      <c r="AA2754" s="29"/>
      <c r="AB2754" s="29"/>
      <c r="AC2754" s="29"/>
      <c r="AD2754" s="29"/>
    </row>
    <row r="2755">
      <c r="A2755" s="115" t="s">
        <v>4105</v>
      </c>
      <c r="B2755" s="19" t="s">
        <v>4091</v>
      </c>
      <c r="C2755" s="18" t="s">
        <v>4122</v>
      </c>
      <c r="D2755" s="19" t="s">
        <v>4123</v>
      </c>
      <c r="E2755" s="161" t="s">
        <v>4117</v>
      </c>
      <c r="H2755" s="29"/>
      <c r="I2755" s="29"/>
      <c r="J2755" s="29"/>
      <c r="K2755" s="29"/>
      <c r="L2755" s="29"/>
      <c r="M2755" s="29"/>
      <c r="N2755" s="29"/>
      <c r="O2755" s="29"/>
      <c r="P2755" s="29"/>
      <c r="Q2755" s="29"/>
      <c r="R2755" s="29"/>
      <c r="S2755" s="29"/>
      <c r="T2755" s="29"/>
      <c r="U2755" s="29"/>
      <c r="V2755" s="29"/>
      <c r="W2755" s="29"/>
      <c r="X2755" s="29"/>
      <c r="Y2755" s="29"/>
      <c r="Z2755" s="29"/>
      <c r="AA2755" s="29"/>
      <c r="AB2755" s="29"/>
      <c r="AC2755" s="29"/>
      <c r="AD2755" s="29"/>
    </row>
    <row r="2756">
      <c r="A2756" s="115" t="s">
        <v>4105</v>
      </c>
      <c r="B2756" s="19" t="s">
        <v>4091</v>
      </c>
      <c r="C2756" s="18" t="s">
        <v>4124</v>
      </c>
      <c r="D2756" s="19" t="s">
        <v>4123</v>
      </c>
      <c r="E2756" s="161" t="s">
        <v>4117</v>
      </c>
      <c r="H2756" s="29"/>
      <c r="I2756" s="29"/>
      <c r="J2756" s="29"/>
      <c r="K2756" s="29"/>
      <c r="L2756" s="29"/>
      <c r="M2756" s="29"/>
      <c r="N2756" s="29"/>
      <c r="O2756" s="29"/>
      <c r="P2756" s="29"/>
      <c r="Q2756" s="29"/>
      <c r="R2756" s="29"/>
      <c r="S2756" s="29"/>
      <c r="T2756" s="29"/>
      <c r="U2756" s="29"/>
      <c r="V2756" s="29"/>
      <c r="W2756" s="29"/>
      <c r="X2756" s="29"/>
      <c r="Y2756" s="29"/>
      <c r="Z2756" s="29"/>
      <c r="AA2756" s="29"/>
      <c r="AB2756" s="29"/>
      <c r="AC2756" s="29"/>
      <c r="AD2756" s="29"/>
    </row>
    <row r="2757">
      <c r="A2757" s="115" t="s">
        <v>4105</v>
      </c>
      <c r="B2757" s="19" t="s">
        <v>4091</v>
      </c>
      <c r="C2757" s="18" t="s">
        <v>4096</v>
      </c>
      <c r="D2757" s="19" t="s">
        <v>4125</v>
      </c>
      <c r="E2757" s="161" t="s">
        <v>4117</v>
      </c>
      <c r="H2757" s="29"/>
      <c r="I2757" s="29"/>
      <c r="J2757" s="29"/>
      <c r="K2757" s="29"/>
      <c r="L2757" s="29"/>
      <c r="M2757" s="29"/>
      <c r="N2757" s="29"/>
      <c r="O2757" s="29"/>
      <c r="P2757" s="29"/>
      <c r="Q2757" s="29"/>
      <c r="R2757" s="29"/>
      <c r="S2757" s="29"/>
      <c r="T2757" s="29"/>
      <c r="U2757" s="29"/>
      <c r="V2757" s="29"/>
      <c r="W2757" s="29"/>
      <c r="X2757" s="29"/>
      <c r="Y2757" s="29"/>
      <c r="Z2757" s="29"/>
      <c r="AA2757" s="29"/>
      <c r="AB2757" s="29"/>
      <c r="AC2757" s="29"/>
      <c r="AD2757" s="29"/>
    </row>
    <row r="2758">
      <c r="A2758" s="115" t="s">
        <v>4105</v>
      </c>
      <c r="B2758" s="19" t="s">
        <v>4091</v>
      </c>
      <c r="C2758" s="18" t="s">
        <v>4115</v>
      </c>
      <c r="D2758" s="19" t="s">
        <v>4125</v>
      </c>
      <c r="E2758" s="161" t="s">
        <v>4117</v>
      </c>
      <c r="H2758" s="29"/>
      <c r="I2758" s="29"/>
      <c r="J2758" s="29"/>
      <c r="K2758" s="29"/>
      <c r="L2758" s="29"/>
      <c r="M2758" s="29"/>
      <c r="N2758" s="29"/>
      <c r="O2758" s="29"/>
      <c r="P2758" s="29"/>
      <c r="Q2758" s="29"/>
      <c r="R2758" s="29"/>
      <c r="S2758" s="29"/>
      <c r="T2758" s="29"/>
      <c r="U2758" s="29"/>
      <c r="V2758" s="29"/>
      <c r="W2758" s="29"/>
      <c r="X2758" s="29"/>
      <c r="Y2758" s="29"/>
      <c r="Z2758" s="29"/>
      <c r="AA2758" s="29"/>
      <c r="AB2758" s="29"/>
      <c r="AC2758" s="29"/>
      <c r="AD2758" s="29"/>
    </row>
    <row r="2759">
      <c r="A2759" s="115" t="s">
        <v>4105</v>
      </c>
      <c r="B2759" s="19" t="s">
        <v>4091</v>
      </c>
      <c r="C2759" s="18" t="s">
        <v>4096</v>
      </c>
      <c r="D2759" s="19" t="s">
        <v>4126</v>
      </c>
      <c r="E2759" s="161" t="s">
        <v>4117</v>
      </c>
      <c r="H2759" s="29"/>
      <c r="I2759" s="29"/>
      <c r="J2759" s="29"/>
      <c r="K2759" s="29"/>
      <c r="L2759" s="29"/>
      <c r="M2759" s="29"/>
      <c r="N2759" s="29"/>
      <c r="O2759" s="29"/>
      <c r="P2759" s="29"/>
      <c r="Q2759" s="29"/>
      <c r="R2759" s="29"/>
      <c r="S2759" s="29"/>
      <c r="T2759" s="29"/>
      <c r="U2759" s="29"/>
      <c r="V2759" s="29"/>
      <c r="W2759" s="29"/>
      <c r="X2759" s="29"/>
      <c r="Y2759" s="29"/>
      <c r="Z2759" s="29"/>
      <c r="AA2759" s="29"/>
      <c r="AB2759" s="29"/>
      <c r="AC2759" s="29"/>
      <c r="AD2759" s="29"/>
    </row>
    <row r="2760">
      <c r="A2760" s="115" t="s">
        <v>4105</v>
      </c>
      <c r="B2760" s="19" t="s">
        <v>4091</v>
      </c>
      <c r="C2760" s="18" t="s">
        <v>4127</v>
      </c>
      <c r="D2760" s="19" t="s">
        <v>4126</v>
      </c>
      <c r="E2760" s="161" t="s">
        <v>4117</v>
      </c>
      <c r="H2760" s="29"/>
      <c r="I2760" s="29"/>
      <c r="J2760" s="29"/>
      <c r="K2760" s="29"/>
      <c r="L2760" s="29"/>
      <c r="M2760" s="29"/>
      <c r="N2760" s="29"/>
      <c r="O2760" s="29"/>
      <c r="P2760" s="29"/>
      <c r="Q2760" s="29"/>
      <c r="R2760" s="29"/>
      <c r="S2760" s="29"/>
      <c r="T2760" s="29"/>
      <c r="U2760" s="29"/>
      <c r="V2760" s="29"/>
      <c r="W2760" s="29"/>
      <c r="X2760" s="29"/>
      <c r="Y2760" s="29"/>
      <c r="Z2760" s="29"/>
      <c r="AA2760" s="29"/>
      <c r="AB2760" s="29"/>
      <c r="AC2760" s="29"/>
      <c r="AD2760" s="29"/>
    </row>
    <row r="2761">
      <c r="A2761" s="115" t="s">
        <v>4105</v>
      </c>
      <c r="B2761" s="19" t="s">
        <v>4091</v>
      </c>
      <c r="C2761" s="18" t="s">
        <v>4096</v>
      </c>
      <c r="D2761" s="19" t="s">
        <v>4128</v>
      </c>
      <c r="E2761" s="161" t="s">
        <v>4117</v>
      </c>
      <c r="H2761" s="29"/>
      <c r="I2761" s="29"/>
      <c r="J2761" s="29"/>
      <c r="K2761" s="29"/>
      <c r="L2761" s="29"/>
      <c r="M2761" s="29"/>
      <c r="N2761" s="29"/>
      <c r="O2761" s="29"/>
      <c r="P2761" s="29"/>
      <c r="Q2761" s="29"/>
      <c r="R2761" s="29"/>
      <c r="S2761" s="29"/>
      <c r="T2761" s="29"/>
      <c r="U2761" s="29"/>
      <c r="V2761" s="29"/>
      <c r="W2761" s="29"/>
      <c r="X2761" s="29"/>
      <c r="Y2761" s="29"/>
      <c r="Z2761" s="29"/>
      <c r="AA2761" s="29"/>
      <c r="AB2761" s="29"/>
      <c r="AC2761" s="29"/>
      <c r="AD2761" s="29"/>
    </row>
    <row r="2762">
      <c r="A2762" s="115" t="s">
        <v>4105</v>
      </c>
      <c r="B2762" s="22" t="s">
        <v>4129</v>
      </c>
      <c r="C2762" s="18" t="s">
        <v>1350</v>
      </c>
      <c r="D2762" s="19" t="s">
        <v>4130</v>
      </c>
      <c r="E2762" s="132" t="s">
        <v>14</v>
      </c>
      <c r="H2762" s="29"/>
      <c r="I2762" s="29"/>
      <c r="J2762" s="29"/>
      <c r="K2762" s="29"/>
      <c r="L2762" s="29"/>
      <c r="M2762" s="29"/>
      <c r="N2762" s="29"/>
      <c r="O2762" s="29"/>
      <c r="P2762" s="29"/>
      <c r="Q2762" s="29"/>
      <c r="R2762" s="29"/>
      <c r="S2762" s="29"/>
      <c r="T2762" s="29"/>
      <c r="U2762" s="29"/>
      <c r="V2762" s="29"/>
      <c r="W2762" s="29"/>
      <c r="X2762" s="29"/>
      <c r="Y2762" s="29"/>
      <c r="Z2762" s="29"/>
      <c r="AA2762" s="29"/>
      <c r="AB2762" s="29"/>
      <c r="AC2762" s="29"/>
      <c r="AD2762" s="29"/>
    </row>
    <row r="2763">
      <c r="A2763" s="115" t="s">
        <v>4105</v>
      </c>
      <c r="B2763" s="22" t="s">
        <v>3994</v>
      </c>
      <c r="C2763" s="18" t="s">
        <v>4131</v>
      </c>
      <c r="D2763" s="19" t="s">
        <v>4132</v>
      </c>
      <c r="E2763" s="9" t="s">
        <v>2108</v>
      </c>
      <c r="H2763" s="29"/>
      <c r="I2763" s="29"/>
      <c r="J2763" s="29"/>
      <c r="K2763" s="29"/>
      <c r="L2763" s="29"/>
      <c r="M2763" s="29"/>
      <c r="N2763" s="29"/>
      <c r="O2763" s="29"/>
      <c r="P2763" s="29"/>
      <c r="Q2763" s="29"/>
      <c r="R2763" s="29"/>
      <c r="S2763" s="29"/>
      <c r="T2763" s="29"/>
      <c r="U2763" s="29"/>
      <c r="V2763" s="29"/>
      <c r="W2763" s="29"/>
      <c r="X2763" s="29"/>
      <c r="Y2763" s="29"/>
      <c r="Z2763" s="29"/>
      <c r="AA2763" s="29"/>
      <c r="AB2763" s="29"/>
      <c r="AC2763" s="29"/>
      <c r="AD2763" s="29"/>
    </row>
    <row r="2764">
      <c r="A2764" s="115" t="s">
        <v>4105</v>
      </c>
      <c r="B2764" s="22" t="s">
        <v>3994</v>
      </c>
      <c r="C2764" s="18" t="s">
        <v>4133</v>
      </c>
      <c r="D2764" s="19" t="s">
        <v>4134</v>
      </c>
      <c r="E2764" s="9" t="s">
        <v>2108</v>
      </c>
      <c r="H2764" s="29"/>
      <c r="I2764" s="29"/>
      <c r="J2764" s="29"/>
      <c r="K2764" s="29"/>
      <c r="L2764" s="29"/>
      <c r="M2764" s="29"/>
      <c r="N2764" s="29"/>
      <c r="O2764" s="29"/>
      <c r="P2764" s="29"/>
      <c r="Q2764" s="29"/>
      <c r="R2764" s="29"/>
      <c r="S2764" s="29"/>
      <c r="T2764" s="29"/>
      <c r="U2764" s="29"/>
      <c r="V2764" s="29"/>
      <c r="W2764" s="29"/>
      <c r="X2764" s="29"/>
      <c r="Y2764" s="29"/>
      <c r="Z2764" s="29"/>
      <c r="AA2764" s="29"/>
      <c r="AB2764" s="29"/>
      <c r="AC2764" s="29"/>
      <c r="AD2764" s="29"/>
    </row>
    <row r="2765">
      <c r="A2765" s="115" t="s">
        <v>4105</v>
      </c>
      <c r="B2765" s="22" t="s">
        <v>3994</v>
      </c>
      <c r="C2765" s="18" t="s">
        <v>3995</v>
      </c>
      <c r="D2765" s="19" t="s">
        <v>4135</v>
      </c>
      <c r="E2765" s="9" t="s">
        <v>2108</v>
      </c>
      <c r="H2765" s="29"/>
      <c r="I2765" s="29"/>
      <c r="J2765" s="29"/>
      <c r="K2765" s="29"/>
      <c r="L2765" s="29"/>
      <c r="M2765" s="29"/>
      <c r="N2765" s="29"/>
      <c r="O2765" s="29"/>
      <c r="P2765" s="29"/>
      <c r="Q2765" s="29"/>
      <c r="R2765" s="29"/>
      <c r="S2765" s="29"/>
      <c r="T2765" s="29"/>
      <c r="U2765" s="29"/>
      <c r="V2765" s="29"/>
      <c r="W2765" s="29"/>
      <c r="X2765" s="29"/>
      <c r="Y2765" s="29"/>
      <c r="Z2765" s="29"/>
      <c r="AA2765" s="29"/>
      <c r="AB2765" s="29"/>
      <c r="AC2765" s="29"/>
      <c r="AD2765" s="29"/>
    </row>
    <row r="2766">
      <c r="A2766" s="115" t="s">
        <v>4105</v>
      </c>
      <c r="B2766" s="22" t="s">
        <v>3994</v>
      </c>
      <c r="C2766" s="18" t="s">
        <v>4136</v>
      </c>
      <c r="D2766" s="19" t="s">
        <v>4137</v>
      </c>
      <c r="E2766" s="9" t="s">
        <v>2108</v>
      </c>
      <c r="H2766" s="29"/>
      <c r="I2766" s="29"/>
      <c r="J2766" s="29"/>
      <c r="K2766" s="29"/>
      <c r="L2766" s="29"/>
      <c r="M2766" s="29"/>
      <c r="N2766" s="29"/>
      <c r="O2766" s="29"/>
      <c r="P2766" s="29"/>
      <c r="Q2766" s="29"/>
      <c r="R2766" s="29"/>
      <c r="S2766" s="29"/>
      <c r="T2766" s="29"/>
      <c r="U2766" s="29"/>
      <c r="V2766" s="29"/>
      <c r="W2766" s="29"/>
      <c r="X2766" s="29"/>
      <c r="Y2766" s="29"/>
      <c r="Z2766" s="29"/>
      <c r="AA2766" s="29"/>
      <c r="AB2766" s="29"/>
      <c r="AC2766" s="29"/>
      <c r="AD2766" s="29"/>
    </row>
    <row r="2767">
      <c r="A2767" s="6"/>
      <c r="B2767" s="9"/>
      <c r="C2767" s="9"/>
      <c r="D2767" s="9"/>
      <c r="E2767" s="9"/>
      <c r="H2767" s="29"/>
      <c r="I2767" s="29"/>
      <c r="J2767" s="29"/>
      <c r="K2767" s="29"/>
      <c r="L2767" s="29"/>
      <c r="M2767" s="29"/>
      <c r="N2767" s="29"/>
      <c r="O2767" s="29"/>
      <c r="P2767" s="29"/>
      <c r="Q2767" s="29"/>
      <c r="R2767" s="29"/>
      <c r="S2767" s="29"/>
      <c r="T2767" s="29"/>
      <c r="U2767" s="29"/>
      <c r="V2767" s="29"/>
      <c r="W2767" s="29"/>
      <c r="X2767" s="29"/>
      <c r="Y2767" s="29"/>
      <c r="Z2767" s="29"/>
      <c r="AA2767" s="29"/>
      <c r="AB2767" s="29"/>
      <c r="AC2767" s="29"/>
      <c r="AD2767" s="29"/>
    </row>
    <row r="2768">
      <c r="A2768" s="6"/>
      <c r="B2768" s="9"/>
      <c r="C2768" s="9"/>
      <c r="D2768" s="9"/>
      <c r="E2768" s="9"/>
      <c r="H2768" s="29"/>
      <c r="I2768" s="29"/>
      <c r="J2768" s="29"/>
      <c r="K2768" s="29"/>
      <c r="L2768" s="29"/>
      <c r="M2768" s="29"/>
      <c r="N2768" s="29"/>
      <c r="O2768" s="29"/>
      <c r="P2768" s="29"/>
      <c r="Q2768" s="29"/>
      <c r="R2768" s="29"/>
      <c r="S2768" s="29"/>
      <c r="T2768" s="29"/>
      <c r="U2768" s="29"/>
      <c r="V2768" s="29"/>
      <c r="W2768" s="29"/>
      <c r="X2768" s="29"/>
      <c r="Y2768" s="29"/>
      <c r="Z2768" s="29"/>
      <c r="AA2768" s="29"/>
      <c r="AB2768" s="29"/>
      <c r="AC2768" s="29"/>
      <c r="AD2768" s="29"/>
    </row>
    <row r="2769">
      <c r="A2769" s="115" t="s">
        <v>4138</v>
      </c>
      <c r="B2769" s="22" t="s">
        <v>4139</v>
      </c>
      <c r="C2769" s="18" t="s">
        <v>1353</v>
      </c>
      <c r="D2769" s="19" t="s">
        <v>4140</v>
      </c>
      <c r="E2769" s="18" t="s">
        <v>196</v>
      </c>
      <c r="H2769" s="29"/>
      <c r="I2769" s="29"/>
      <c r="J2769" s="29"/>
      <c r="K2769" s="29"/>
      <c r="L2769" s="29"/>
      <c r="M2769" s="29"/>
      <c r="N2769" s="29"/>
      <c r="O2769" s="29"/>
      <c r="P2769" s="29"/>
      <c r="Q2769" s="29"/>
      <c r="R2769" s="29"/>
      <c r="S2769" s="29"/>
      <c r="T2769" s="29"/>
      <c r="U2769" s="29"/>
      <c r="V2769" s="29"/>
      <c r="W2769" s="29"/>
      <c r="X2769" s="29"/>
      <c r="Y2769" s="29"/>
      <c r="Z2769" s="29"/>
      <c r="AA2769" s="29"/>
      <c r="AB2769" s="29"/>
      <c r="AC2769" s="29"/>
      <c r="AD2769" s="29"/>
    </row>
    <row r="2770">
      <c r="A2770" s="115" t="s">
        <v>4138</v>
      </c>
      <c r="B2770" s="22" t="s">
        <v>3431</v>
      </c>
      <c r="C2770" s="18" t="s">
        <v>4141</v>
      </c>
      <c r="D2770" s="19" t="s">
        <v>4142</v>
      </c>
      <c r="E2770" s="161" t="s">
        <v>7</v>
      </c>
      <c r="H2770" s="29"/>
      <c r="I2770" s="29"/>
      <c r="J2770" s="29"/>
      <c r="K2770" s="29"/>
      <c r="L2770" s="29"/>
      <c r="M2770" s="29"/>
      <c r="N2770" s="29"/>
      <c r="O2770" s="29"/>
      <c r="P2770" s="29"/>
      <c r="Q2770" s="29"/>
      <c r="R2770" s="29"/>
      <c r="S2770" s="29"/>
      <c r="T2770" s="29"/>
      <c r="U2770" s="29"/>
      <c r="V2770" s="29"/>
      <c r="W2770" s="29"/>
      <c r="X2770" s="29"/>
      <c r="Y2770" s="29"/>
      <c r="Z2770" s="29"/>
      <c r="AA2770" s="29"/>
      <c r="AB2770" s="29"/>
      <c r="AC2770" s="29"/>
      <c r="AD2770" s="29"/>
    </row>
    <row r="2771">
      <c r="A2771" s="115" t="s">
        <v>4138</v>
      </c>
      <c r="B2771" s="22" t="s">
        <v>4143</v>
      </c>
      <c r="C2771" s="18" t="s">
        <v>4144</v>
      </c>
      <c r="D2771" s="19" t="s">
        <v>4145</v>
      </c>
      <c r="E2771" s="9" t="s">
        <v>2332</v>
      </c>
      <c r="H2771" s="29"/>
      <c r="I2771" s="29"/>
      <c r="J2771" s="29"/>
      <c r="K2771" s="29"/>
      <c r="L2771" s="29"/>
      <c r="M2771" s="29"/>
      <c r="N2771" s="29"/>
      <c r="O2771" s="29"/>
      <c r="P2771" s="29"/>
      <c r="Q2771" s="29"/>
      <c r="R2771" s="29"/>
      <c r="S2771" s="29"/>
      <c r="T2771" s="29"/>
      <c r="U2771" s="29"/>
      <c r="V2771" s="29"/>
      <c r="W2771" s="29"/>
      <c r="X2771" s="29"/>
      <c r="Y2771" s="29"/>
      <c r="Z2771" s="29"/>
      <c r="AA2771" s="29"/>
      <c r="AB2771" s="29"/>
      <c r="AC2771" s="29"/>
      <c r="AD2771" s="29"/>
    </row>
    <row r="2772">
      <c r="A2772" s="115" t="s">
        <v>4138</v>
      </c>
      <c r="B2772" s="22" t="s">
        <v>4143</v>
      </c>
      <c r="C2772" s="18" t="s">
        <v>4144</v>
      </c>
      <c r="D2772" s="19" t="s">
        <v>4145</v>
      </c>
      <c r="E2772" s="9" t="s">
        <v>2332</v>
      </c>
      <c r="H2772" s="29"/>
      <c r="I2772" s="29"/>
      <c r="J2772" s="29"/>
      <c r="K2772" s="29"/>
      <c r="L2772" s="29"/>
      <c r="M2772" s="29"/>
      <c r="N2772" s="29"/>
      <c r="O2772" s="29"/>
      <c r="P2772" s="29"/>
      <c r="Q2772" s="29"/>
      <c r="R2772" s="29"/>
      <c r="S2772" s="29"/>
      <c r="T2772" s="29"/>
      <c r="U2772" s="29"/>
      <c r="V2772" s="29"/>
      <c r="W2772" s="29"/>
      <c r="X2772" s="29"/>
      <c r="Y2772" s="29"/>
      <c r="Z2772" s="29"/>
      <c r="AA2772" s="29"/>
      <c r="AB2772" s="29"/>
      <c r="AC2772" s="29"/>
      <c r="AD2772" s="29"/>
    </row>
    <row r="2773">
      <c r="A2773" s="115"/>
      <c r="B2773" s="22"/>
      <c r="C2773" s="68"/>
      <c r="D2773" s="63"/>
      <c r="E2773" s="9"/>
      <c r="H2773" s="29"/>
      <c r="I2773" s="29"/>
      <c r="J2773" s="29"/>
      <c r="K2773" s="29"/>
      <c r="L2773" s="29"/>
      <c r="M2773" s="29"/>
      <c r="N2773" s="29"/>
      <c r="O2773" s="29"/>
      <c r="P2773" s="29"/>
      <c r="Q2773" s="29"/>
      <c r="R2773" s="29"/>
      <c r="S2773" s="29"/>
      <c r="T2773" s="29"/>
      <c r="U2773" s="29"/>
      <c r="V2773" s="29"/>
      <c r="W2773" s="29"/>
      <c r="X2773" s="29"/>
      <c r="Y2773" s="29"/>
      <c r="Z2773" s="29"/>
      <c r="AA2773" s="29"/>
      <c r="AB2773" s="29"/>
      <c r="AC2773" s="29"/>
      <c r="AD2773" s="29"/>
    </row>
    <row r="2774">
      <c r="A2774" s="115"/>
      <c r="B2774" s="22"/>
      <c r="C2774" s="68"/>
      <c r="D2774" s="63"/>
      <c r="E2774" s="9"/>
      <c r="H2774" s="29"/>
      <c r="I2774" s="29"/>
      <c r="J2774" s="29"/>
      <c r="K2774" s="29"/>
      <c r="L2774" s="29"/>
      <c r="M2774" s="29"/>
      <c r="N2774" s="29"/>
      <c r="O2774" s="29"/>
      <c r="P2774" s="29"/>
      <c r="Q2774" s="29"/>
      <c r="R2774" s="29"/>
      <c r="S2774" s="29"/>
      <c r="T2774" s="29"/>
      <c r="U2774" s="29"/>
      <c r="V2774" s="29"/>
      <c r="W2774" s="29"/>
      <c r="X2774" s="29"/>
      <c r="Y2774" s="29"/>
      <c r="Z2774" s="29"/>
      <c r="AA2774" s="29"/>
      <c r="AB2774" s="29"/>
      <c r="AC2774" s="29"/>
      <c r="AD2774" s="29"/>
    </row>
    <row r="2775">
      <c r="A2775" s="16" t="s">
        <v>4146</v>
      </c>
      <c r="B2775" s="63" t="s">
        <v>3599</v>
      </c>
      <c r="C2775" s="72" t="s">
        <v>3522</v>
      </c>
      <c r="D2775" s="63" t="s">
        <v>4147</v>
      </c>
      <c r="E2775" s="132" t="s">
        <v>4148</v>
      </c>
      <c r="H2775" s="29"/>
      <c r="I2775" s="29"/>
      <c r="J2775" s="29"/>
      <c r="K2775" s="29"/>
      <c r="L2775" s="29"/>
      <c r="M2775" s="29"/>
      <c r="N2775" s="29"/>
      <c r="O2775" s="29"/>
      <c r="P2775" s="29"/>
      <c r="Q2775" s="29"/>
      <c r="R2775" s="29"/>
      <c r="S2775" s="29"/>
      <c r="T2775" s="29"/>
      <c r="U2775" s="29"/>
      <c r="V2775" s="29"/>
      <c r="W2775" s="29"/>
      <c r="X2775" s="29"/>
      <c r="Y2775" s="29"/>
      <c r="Z2775" s="29"/>
      <c r="AA2775" s="29"/>
      <c r="AB2775" s="29"/>
      <c r="AC2775" s="29"/>
      <c r="AD2775" s="29"/>
    </row>
    <row r="2776">
      <c r="A2776" s="16" t="s">
        <v>4146</v>
      </c>
      <c r="B2776" s="63" t="s">
        <v>4149</v>
      </c>
      <c r="C2776" s="72" t="s">
        <v>4150</v>
      </c>
      <c r="D2776" s="63" t="s">
        <v>4151</v>
      </c>
      <c r="E2776" s="161" t="s">
        <v>7</v>
      </c>
      <c r="H2776" s="29"/>
      <c r="I2776" s="29"/>
      <c r="J2776" s="29"/>
      <c r="K2776" s="29"/>
      <c r="L2776" s="29"/>
      <c r="M2776" s="29"/>
      <c r="N2776" s="29"/>
      <c r="O2776" s="29"/>
      <c r="P2776" s="29"/>
      <c r="Q2776" s="29"/>
      <c r="R2776" s="29"/>
      <c r="S2776" s="29"/>
      <c r="T2776" s="29"/>
      <c r="U2776" s="29"/>
      <c r="V2776" s="29"/>
      <c r="W2776" s="29"/>
      <c r="X2776" s="29"/>
      <c r="Y2776" s="29"/>
      <c r="Z2776" s="29"/>
      <c r="AA2776" s="29"/>
      <c r="AB2776" s="29"/>
      <c r="AC2776" s="29"/>
      <c r="AD2776" s="29"/>
    </row>
    <row r="2777">
      <c r="A2777" s="16" t="s">
        <v>4146</v>
      </c>
      <c r="B2777" s="63" t="s">
        <v>4152</v>
      </c>
      <c r="C2777" s="72" t="s">
        <v>4153</v>
      </c>
      <c r="D2777" s="63" t="s">
        <v>4154</v>
      </c>
      <c r="E2777" s="132" t="s">
        <v>4155</v>
      </c>
      <c r="H2777" s="29"/>
      <c r="I2777" s="29"/>
      <c r="J2777" s="29"/>
      <c r="K2777" s="29"/>
      <c r="L2777" s="29"/>
      <c r="M2777" s="29"/>
      <c r="N2777" s="29"/>
      <c r="O2777" s="29"/>
      <c r="P2777" s="29"/>
      <c r="Q2777" s="29"/>
      <c r="R2777" s="29"/>
      <c r="S2777" s="29"/>
      <c r="T2777" s="29"/>
      <c r="U2777" s="29"/>
      <c r="V2777" s="29"/>
      <c r="W2777" s="29"/>
      <c r="X2777" s="29"/>
      <c r="Y2777" s="29"/>
      <c r="Z2777" s="29"/>
      <c r="AA2777" s="29"/>
      <c r="AB2777" s="29"/>
      <c r="AC2777" s="29"/>
      <c r="AD2777" s="29"/>
    </row>
    <row r="2778">
      <c r="A2778" s="16" t="s">
        <v>4146</v>
      </c>
      <c r="B2778" s="63" t="s">
        <v>4152</v>
      </c>
      <c r="C2778" s="72" t="s">
        <v>4037</v>
      </c>
      <c r="D2778" s="63" t="s">
        <v>4154</v>
      </c>
      <c r="E2778" s="132" t="s">
        <v>4155</v>
      </c>
      <c r="H2778" s="29"/>
      <c r="I2778" s="29"/>
      <c r="J2778" s="29"/>
      <c r="K2778" s="29"/>
      <c r="L2778" s="29"/>
      <c r="M2778" s="29"/>
      <c r="N2778" s="29"/>
      <c r="O2778" s="29"/>
      <c r="P2778" s="29"/>
      <c r="Q2778" s="29"/>
      <c r="R2778" s="29"/>
      <c r="S2778" s="29"/>
      <c r="T2778" s="29"/>
      <c r="U2778" s="29"/>
      <c r="V2778" s="29"/>
      <c r="W2778" s="29"/>
      <c r="X2778" s="29"/>
      <c r="Y2778" s="29"/>
      <c r="Z2778" s="29"/>
      <c r="AA2778" s="29"/>
      <c r="AB2778" s="29"/>
      <c r="AC2778" s="29"/>
      <c r="AD2778" s="29"/>
    </row>
    <row r="2779">
      <c r="A2779" s="16" t="s">
        <v>4146</v>
      </c>
      <c r="B2779" s="63" t="s">
        <v>4152</v>
      </c>
      <c r="C2779" s="72" t="s">
        <v>4156</v>
      </c>
      <c r="D2779" s="63" t="s">
        <v>4154</v>
      </c>
      <c r="E2779" s="132" t="s">
        <v>4155</v>
      </c>
      <c r="H2779" s="29"/>
      <c r="I2779" s="29"/>
      <c r="J2779" s="29"/>
      <c r="K2779" s="29"/>
      <c r="L2779" s="29"/>
      <c r="M2779" s="29"/>
      <c r="N2779" s="29"/>
      <c r="O2779" s="29"/>
      <c r="P2779" s="29"/>
      <c r="Q2779" s="29"/>
      <c r="R2779" s="29"/>
      <c r="S2779" s="29"/>
      <c r="T2779" s="29"/>
      <c r="U2779" s="29"/>
      <c r="V2779" s="29"/>
      <c r="W2779" s="29"/>
      <c r="X2779" s="29"/>
      <c r="Y2779" s="29"/>
      <c r="Z2779" s="29"/>
      <c r="AA2779" s="29"/>
      <c r="AB2779" s="29"/>
      <c r="AC2779" s="29"/>
      <c r="AD2779" s="29"/>
    </row>
    <row r="2780">
      <c r="A2780" s="16" t="s">
        <v>4146</v>
      </c>
      <c r="B2780" s="63" t="s">
        <v>4149</v>
      </c>
      <c r="C2780" s="72" t="s">
        <v>4157</v>
      </c>
      <c r="D2780" s="63" t="s">
        <v>4151</v>
      </c>
      <c r="E2780" s="161" t="s">
        <v>7</v>
      </c>
      <c r="H2780" s="29"/>
      <c r="I2780" s="29"/>
      <c r="J2780" s="29"/>
      <c r="K2780" s="29"/>
      <c r="L2780" s="29"/>
      <c r="M2780" s="29"/>
      <c r="N2780" s="29"/>
      <c r="O2780" s="29"/>
      <c r="P2780" s="29"/>
      <c r="Q2780" s="29"/>
      <c r="R2780" s="29"/>
      <c r="S2780" s="29"/>
      <c r="T2780" s="29"/>
      <c r="U2780" s="29"/>
      <c r="V2780" s="29"/>
      <c r="W2780" s="29"/>
      <c r="X2780" s="29"/>
      <c r="Y2780" s="29"/>
      <c r="Z2780" s="29"/>
      <c r="AA2780" s="29"/>
      <c r="AB2780" s="29"/>
      <c r="AC2780" s="29"/>
      <c r="AD2780" s="29"/>
    </row>
    <row r="2781">
      <c r="A2781" s="16" t="s">
        <v>4146</v>
      </c>
      <c r="B2781" s="63" t="s">
        <v>4158</v>
      </c>
      <c r="C2781" s="72" t="s">
        <v>4159</v>
      </c>
      <c r="D2781" s="63" t="s">
        <v>4160</v>
      </c>
      <c r="E2781" s="132" t="s">
        <v>123</v>
      </c>
      <c r="H2781" s="29"/>
      <c r="I2781" s="29"/>
      <c r="J2781" s="29"/>
      <c r="K2781" s="29"/>
      <c r="L2781" s="29"/>
      <c r="M2781" s="29"/>
      <c r="N2781" s="29"/>
      <c r="O2781" s="29"/>
      <c r="P2781" s="29"/>
      <c r="Q2781" s="29"/>
      <c r="R2781" s="29"/>
      <c r="S2781" s="29"/>
      <c r="T2781" s="29"/>
      <c r="U2781" s="29"/>
      <c r="V2781" s="29"/>
      <c r="W2781" s="29"/>
      <c r="X2781" s="29"/>
      <c r="Y2781" s="29"/>
      <c r="Z2781" s="29"/>
      <c r="AA2781" s="29"/>
      <c r="AB2781" s="29"/>
      <c r="AC2781" s="29"/>
      <c r="AD2781" s="29"/>
    </row>
    <row r="2782">
      <c r="A2782" s="16" t="s">
        <v>4146</v>
      </c>
      <c r="B2782" s="63" t="s">
        <v>4158</v>
      </c>
      <c r="C2782" s="72" t="s">
        <v>4161</v>
      </c>
      <c r="D2782" s="63" t="s">
        <v>4151</v>
      </c>
      <c r="E2782" s="132" t="s">
        <v>37</v>
      </c>
      <c r="H2782" s="29"/>
      <c r="I2782" s="29"/>
      <c r="J2782" s="29"/>
      <c r="K2782" s="29"/>
      <c r="L2782" s="29"/>
      <c r="M2782" s="29"/>
      <c r="N2782" s="29"/>
      <c r="O2782" s="29"/>
      <c r="P2782" s="29"/>
      <c r="Q2782" s="29"/>
      <c r="R2782" s="29"/>
      <c r="S2782" s="29"/>
      <c r="T2782" s="29"/>
      <c r="U2782" s="29"/>
      <c r="V2782" s="29"/>
      <c r="W2782" s="29"/>
      <c r="X2782" s="29"/>
      <c r="Y2782" s="29"/>
      <c r="Z2782" s="29"/>
      <c r="AA2782" s="29"/>
      <c r="AB2782" s="29"/>
      <c r="AC2782" s="29"/>
      <c r="AD2782" s="29"/>
    </row>
    <row r="2783">
      <c r="A2783" s="16" t="s">
        <v>4146</v>
      </c>
      <c r="B2783" s="63" t="s">
        <v>4149</v>
      </c>
      <c r="C2783" s="72" t="s">
        <v>4162</v>
      </c>
      <c r="D2783" s="63" t="s">
        <v>4163</v>
      </c>
      <c r="E2783" s="132" t="s">
        <v>123</v>
      </c>
      <c r="H2783" s="29"/>
      <c r="I2783" s="29"/>
      <c r="J2783" s="29"/>
      <c r="K2783" s="29"/>
      <c r="L2783" s="29"/>
      <c r="M2783" s="29"/>
      <c r="N2783" s="29"/>
      <c r="O2783" s="29"/>
      <c r="P2783" s="29"/>
      <c r="Q2783" s="29"/>
      <c r="R2783" s="29"/>
      <c r="S2783" s="29"/>
      <c r="T2783" s="29"/>
      <c r="U2783" s="29"/>
      <c r="V2783" s="29"/>
      <c r="W2783" s="29"/>
      <c r="X2783" s="29"/>
      <c r="Y2783" s="29"/>
      <c r="Z2783" s="29"/>
      <c r="AA2783" s="29"/>
      <c r="AB2783" s="29"/>
      <c r="AC2783" s="29"/>
      <c r="AD2783" s="29"/>
    </row>
    <row r="2784">
      <c r="A2784" s="16" t="s">
        <v>4146</v>
      </c>
      <c r="B2784" s="63" t="s">
        <v>4152</v>
      </c>
      <c r="C2784" s="72" t="s">
        <v>4153</v>
      </c>
      <c r="D2784" s="63" t="s">
        <v>4164</v>
      </c>
      <c r="E2784" s="72" t="s">
        <v>4165</v>
      </c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</row>
    <row r="2785">
      <c r="A2785" s="16" t="s">
        <v>4146</v>
      </c>
      <c r="B2785" s="63" t="s">
        <v>4152</v>
      </c>
      <c r="C2785" s="72" t="s">
        <v>4037</v>
      </c>
      <c r="D2785" s="63" t="s">
        <v>4164</v>
      </c>
      <c r="E2785" s="72" t="s">
        <v>4165</v>
      </c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</row>
    <row r="2786">
      <c r="A2786" s="16" t="s">
        <v>4146</v>
      </c>
      <c r="B2786" s="63" t="s">
        <v>4166</v>
      </c>
      <c r="C2786" s="72" t="s">
        <v>4066</v>
      </c>
      <c r="D2786" s="63" t="s">
        <v>4167</v>
      </c>
      <c r="E2786" s="9" t="s">
        <v>2108</v>
      </c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</row>
    <row r="2787">
      <c r="A2787" s="16" t="s">
        <v>4146</v>
      </c>
      <c r="B2787" s="63" t="s">
        <v>4166</v>
      </c>
      <c r="C2787" s="72" t="s">
        <v>4066</v>
      </c>
      <c r="D2787" s="63" t="s">
        <v>4168</v>
      </c>
      <c r="E2787" s="9" t="s">
        <v>2108</v>
      </c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</row>
    <row r="2788">
      <c r="A2788" s="16" t="s">
        <v>4146</v>
      </c>
      <c r="B2788" s="63" t="s">
        <v>4169</v>
      </c>
      <c r="C2788" s="72" t="s">
        <v>4170</v>
      </c>
      <c r="D2788" s="63" t="s">
        <v>4140</v>
      </c>
      <c r="E2788" s="119" t="s">
        <v>807</v>
      </c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</row>
    <row r="2789">
      <c r="A2789" s="16" t="s">
        <v>4146</v>
      </c>
      <c r="B2789" s="63" t="s">
        <v>4171</v>
      </c>
      <c r="C2789" s="72" t="s">
        <v>4172</v>
      </c>
      <c r="D2789" s="63" t="s">
        <v>4173</v>
      </c>
      <c r="E2789" s="132" t="s">
        <v>123</v>
      </c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</row>
    <row r="2790">
      <c r="A2790" s="115"/>
      <c r="B2790" s="22"/>
      <c r="C2790" s="68"/>
      <c r="D2790" s="63"/>
      <c r="E2790" s="9"/>
      <c r="H2790" s="29"/>
      <c r="I2790" s="29"/>
      <c r="J2790" s="29"/>
      <c r="K2790" s="29"/>
      <c r="L2790" s="29"/>
      <c r="M2790" s="29"/>
      <c r="N2790" s="29"/>
      <c r="O2790" s="29"/>
      <c r="P2790" s="29"/>
      <c r="Q2790" s="29"/>
      <c r="R2790" s="29"/>
      <c r="S2790" s="29"/>
      <c r="T2790" s="29"/>
      <c r="U2790" s="29"/>
      <c r="V2790" s="29"/>
      <c r="W2790" s="29"/>
      <c r="X2790" s="29"/>
      <c r="Y2790" s="29"/>
      <c r="Z2790" s="29"/>
      <c r="AA2790" s="29"/>
      <c r="AB2790" s="29"/>
      <c r="AC2790" s="29"/>
      <c r="AD2790" s="29"/>
    </row>
    <row r="2791">
      <c r="A2791" s="115"/>
      <c r="B2791" s="22"/>
      <c r="C2791" s="68"/>
      <c r="D2791" s="63"/>
      <c r="E2791" s="9"/>
      <c r="H2791" s="29"/>
      <c r="I2791" s="29"/>
      <c r="J2791" s="29"/>
      <c r="K2791" s="29"/>
      <c r="L2791" s="29"/>
      <c r="M2791" s="29"/>
      <c r="N2791" s="29"/>
      <c r="O2791" s="29"/>
      <c r="P2791" s="29"/>
      <c r="Q2791" s="29"/>
      <c r="R2791" s="29"/>
      <c r="S2791" s="29"/>
      <c r="T2791" s="29"/>
      <c r="U2791" s="29"/>
      <c r="V2791" s="29"/>
      <c r="W2791" s="29"/>
      <c r="X2791" s="29"/>
      <c r="Y2791" s="29"/>
      <c r="Z2791" s="29"/>
      <c r="AA2791" s="29"/>
      <c r="AB2791" s="29"/>
      <c r="AC2791" s="29"/>
      <c r="AD2791" s="29"/>
    </row>
    <row r="2792">
      <c r="A2792" s="115" t="s">
        <v>4174</v>
      </c>
      <c r="B2792" s="22" t="s">
        <v>3556</v>
      </c>
      <c r="C2792" s="18" t="s">
        <v>3567</v>
      </c>
      <c r="D2792" s="19" t="s">
        <v>4175</v>
      </c>
      <c r="E2792" s="161" t="s">
        <v>7</v>
      </c>
      <c r="H2792" s="29"/>
      <c r="I2792" s="29"/>
      <c r="J2792" s="29"/>
      <c r="K2792" s="29"/>
      <c r="L2792" s="29"/>
      <c r="M2792" s="29"/>
      <c r="N2792" s="29"/>
      <c r="O2792" s="29"/>
      <c r="P2792" s="29"/>
      <c r="Q2792" s="29"/>
      <c r="R2792" s="29"/>
      <c r="S2792" s="29"/>
      <c r="T2792" s="29"/>
      <c r="U2792" s="29"/>
      <c r="V2792" s="29"/>
      <c r="W2792" s="29"/>
      <c r="X2792" s="29"/>
      <c r="Y2792" s="29"/>
      <c r="Z2792" s="29"/>
      <c r="AA2792" s="29"/>
      <c r="AB2792" s="29"/>
      <c r="AC2792" s="29"/>
      <c r="AD2792" s="29"/>
    </row>
    <row r="2793">
      <c r="A2793" s="115" t="s">
        <v>4174</v>
      </c>
      <c r="B2793" s="22" t="s">
        <v>3556</v>
      </c>
      <c r="C2793" s="18" t="s">
        <v>4176</v>
      </c>
      <c r="D2793" s="19" t="s">
        <v>330</v>
      </c>
      <c r="E2793" s="161" t="s">
        <v>7</v>
      </c>
      <c r="H2793" s="29"/>
      <c r="I2793" s="29"/>
      <c r="J2793" s="29"/>
      <c r="K2793" s="29"/>
      <c r="L2793" s="29"/>
      <c r="M2793" s="29"/>
      <c r="N2793" s="29"/>
      <c r="O2793" s="29"/>
      <c r="P2793" s="29"/>
      <c r="Q2793" s="29"/>
      <c r="R2793" s="29"/>
      <c r="S2793" s="29"/>
      <c r="T2793" s="29"/>
      <c r="U2793" s="29"/>
      <c r="V2793" s="29"/>
      <c r="W2793" s="29"/>
      <c r="X2793" s="29"/>
      <c r="Y2793" s="29"/>
      <c r="Z2793" s="29"/>
      <c r="AA2793" s="29"/>
      <c r="AB2793" s="29"/>
      <c r="AC2793" s="29"/>
      <c r="AD2793" s="29"/>
    </row>
    <row r="2794">
      <c r="A2794" s="115" t="s">
        <v>4174</v>
      </c>
      <c r="B2794" s="22" t="s">
        <v>3556</v>
      </c>
      <c r="C2794" s="18" t="s">
        <v>3564</v>
      </c>
      <c r="D2794" s="19" t="s">
        <v>330</v>
      </c>
      <c r="E2794" s="161" t="s">
        <v>7</v>
      </c>
      <c r="H2794" s="29"/>
      <c r="I2794" s="29"/>
      <c r="J2794" s="29"/>
      <c r="K2794" s="29"/>
      <c r="L2794" s="29"/>
      <c r="M2794" s="29"/>
      <c r="N2794" s="29"/>
      <c r="O2794" s="29"/>
      <c r="P2794" s="29"/>
      <c r="Q2794" s="29"/>
      <c r="R2794" s="29"/>
      <c r="S2794" s="29"/>
      <c r="T2794" s="29"/>
      <c r="U2794" s="29"/>
      <c r="V2794" s="29"/>
      <c r="W2794" s="29"/>
      <c r="X2794" s="29"/>
      <c r="Y2794" s="29"/>
      <c r="Z2794" s="29"/>
      <c r="AA2794" s="29"/>
      <c r="AB2794" s="29"/>
      <c r="AC2794" s="29"/>
      <c r="AD2794" s="29"/>
    </row>
    <row r="2795">
      <c r="A2795" s="115" t="s">
        <v>4174</v>
      </c>
      <c r="B2795" s="22" t="s">
        <v>3556</v>
      </c>
      <c r="C2795" s="18" t="s">
        <v>3567</v>
      </c>
      <c r="D2795" s="19" t="s">
        <v>330</v>
      </c>
      <c r="E2795" s="161" t="s">
        <v>7</v>
      </c>
      <c r="H2795" s="29"/>
      <c r="I2795" s="29"/>
      <c r="J2795" s="29"/>
      <c r="K2795" s="29"/>
      <c r="L2795" s="29"/>
      <c r="M2795" s="29"/>
      <c r="N2795" s="29"/>
      <c r="O2795" s="29"/>
      <c r="P2795" s="29"/>
      <c r="Q2795" s="29"/>
      <c r="R2795" s="29"/>
      <c r="S2795" s="29"/>
      <c r="T2795" s="29"/>
      <c r="U2795" s="29"/>
      <c r="V2795" s="29"/>
      <c r="W2795" s="29"/>
      <c r="X2795" s="29"/>
      <c r="Y2795" s="29"/>
      <c r="Z2795" s="29"/>
      <c r="AA2795" s="29"/>
      <c r="AB2795" s="29"/>
      <c r="AC2795" s="29"/>
      <c r="AD2795" s="29"/>
    </row>
    <row r="2796">
      <c r="A2796" s="115" t="s">
        <v>4174</v>
      </c>
      <c r="B2796" s="22" t="s">
        <v>3556</v>
      </c>
      <c r="C2796" s="18" t="s">
        <v>4176</v>
      </c>
      <c r="D2796" s="19" t="s">
        <v>4177</v>
      </c>
      <c r="E2796" s="161" t="s">
        <v>7</v>
      </c>
      <c r="H2796" s="29"/>
      <c r="I2796" s="29"/>
      <c r="J2796" s="29"/>
      <c r="K2796" s="29"/>
      <c r="L2796" s="29"/>
      <c r="M2796" s="29"/>
      <c r="N2796" s="29"/>
      <c r="O2796" s="29"/>
      <c r="P2796" s="29"/>
      <c r="Q2796" s="29"/>
      <c r="R2796" s="29"/>
      <c r="S2796" s="29"/>
      <c r="T2796" s="29"/>
      <c r="U2796" s="29"/>
      <c r="V2796" s="29"/>
      <c r="W2796" s="29"/>
      <c r="X2796" s="29"/>
      <c r="Y2796" s="29"/>
      <c r="Z2796" s="29"/>
      <c r="AA2796" s="29"/>
      <c r="AB2796" s="29"/>
      <c r="AC2796" s="29"/>
      <c r="AD2796" s="29"/>
    </row>
    <row r="2797">
      <c r="A2797" s="115" t="s">
        <v>4174</v>
      </c>
      <c r="B2797" s="22" t="s">
        <v>3556</v>
      </c>
      <c r="C2797" s="18" t="s">
        <v>3564</v>
      </c>
      <c r="D2797" s="19" t="s">
        <v>4177</v>
      </c>
      <c r="E2797" s="161" t="s">
        <v>7</v>
      </c>
      <c r="H2797" s="29"/>
      <c r="I2797" s="29"/>
      <c r="J2797" s="29"/>
      <c r="K2797" s="29"/>
      <c r="L2797" s="29"/>
      <c r="M2797" s="29"/>
      <c r="N2797" s="29"/>
      <c r="O2797" s="29"/>
      <c r="P2797" s="29"/>
      <c r="Q2797" s="29"/>
      <c r="R2797" s="29"/>
      <c r="S2797" s="29"/>
      <c r="T2797" s="29"/>
      <c r="U2797" s="29"/>
      <c r="V2797" s="29"/>
      <c r="W2797" s="29"/>
      <c r="X2797" s="29"/>
      <c r="Y2797" s="29"/>
      <c r="Z2797" s="29"/>
      <c r="AA2797" s="29"/>
      <c r="AB2797" s="29"/>
      <c r="AC2797" s="29"/>
      <c r="AD2797" s="29"/>
    </row>
    <row r="2798">
      <c r="A2798" s="115" t="s">
        <v>4174</v>
      </c>
      <c r="B2798" s="22" t="s">
        <v>3556</v>
      </c>
      <c r="C2798" s="18" t="s">
        <v>3567</v>
      </c>
      <c r="D2798" s="19" t="s">
        <v>4177</v>
      </c>
      <c r="E2798" s="161" t="s">
        <v>7</v>
      </c>
      <c r="H2798" s="29"/>
      <c r="I2798" s="29"/>
      <c r="J2798" s="29"/>
      <c r="K2798" s="29"/>
      <c r="L2798" s="29"/>
      <c r="M2798" s="29"/>
      <c r="N2798" s="29"/>
      <c r="O2798" s="29"/>
      <c r="P2798" s="29"/>
      <c r="Q2798" s="29"/>
      <c r="R2798" s="29"/>
      <c r="S2798" s="29"/>
      <c r="T2798" s="29"/>
      <c r="U2798" s="29"/>
      <c r="V2798" s="29"/>
      <c r="W2798" s="29"/>
      <c r="X2798" s="29"/>
      <c r="Y2798" s="29"/>
      <c r="Z2798" s="29"/>
      <c r="AA2798" s="29"/>
      <c r="AB2798" s="29"/>
      <c r="AC2798" s="29"/>
      <c r="AD2798" s="29"/>
    </row>
    <row r="2799">
      <c r="A2799" s="115" t="s">
        <v>4174</v>
      </c>
      <c r="B2799" s="22" t="s">
        <v>3556</v>
      </c>
      <c r="C2799" s="18" t="s">
        <v>4037</v>
      </c>
      <c r="D2799" s="19" t="s">
        <v>4178</v>
      </c>
      <c r="E2799" s="161" t="s">
        <v>7</v>
      </c>
      <c r="H2799" s="29"/>
      <c r="I2799" s="29"/>
      <c r="J2799" s="29"/>
      <c r="K2799" s="29"/>
      <c r="L2799" s="29"/>
      <c r="M2799" s="29"/>
      <c r="N2799" s="29"/>
      <c r="O2799" s="29"/>
      <c r="P2799" s="29"/>
      <c r="Q2799" s="29"/>
      <c r="R2799" s="29"/>
      <c r="S2799" s="29"/>
      <c r="T2799" s="29"/>
      <c r="U2799" s="29"/>
      <c r="V2799" s="29"/>
      <c r="W2799" s="29"/>
      <c r="X2799" s="29"/>
      <c r="Y2799" s="29"/>
      <c r="Z2799" s="29"/>
      <c r="AA2799" s="29"/>
      <c r="AB2799" s="29"/>
      <c r="AC2799" s="29"/>
      <c r="AD2799" s="29"/>
    </row>
    <row r="2800">
      <c r="A2800" s="115" t="s">
        <v>4174</v>
      </c>
      <c r="B2800" s="22" t="s">
        <v>3556</v>
      </c>
      <c r="C2800" s="18" t="s">
        <v>4156</v>
      </c>
      <c r="D2800" s="19" t="s">
        <v>4178</v>
      </c>
      <c r="E2800" s="161" t="s">
        <v>7</v>
      </c>
      <c r="H2800" s="29"/>
      <c r="I2800" s="29"/>
      <c r="J2800" s="29"/>
      <c r="K2800" s="29"/>
      <c r="L2800" s="29"/>
      <c r="M2800" s="29"/>
      <c r="N2800" s="29"/>
      <c r="O2800" s="29"/>
      <c r="P2800" s="29"/>
      <c r="Q2800" s="29"/>
      <c r="R2800" s="29"/>
      <c r="S2800" s="29"/>
      <c r="T2800" s="29"/>
      <c r="U2800" s="29"/>
      <c r="V2800" s="29"/>
      <c r="W2800" s="29"/>
      <c r="X2800" s="29"/>
      <c r="Y2800" s="29"/>
      <c r="Z2800" s="29"/>
      <c r="AA2800" s="29"/>
      <c r="AB2800" s="29"/>
      <c r="AC2800" s="29"/>
      <c r="AD2800" s="29"/>
    </row>
    <row r="2801">
      <c r="A2801" s="115" t="s">
        <v>4174</v>
      </c>
      <c r="B2801" s="22" t="s">
        <v>3556</v>
      </c>
      <c r="C2801" s="18" t="s">
        <v>4176</v>
      </c>
      <c r="D2801" s="19" t="s">
        <v>4179</v>
      </c>
      <c r="E2801" s="161" t="s">
        <v>7</v>
      </c>
      <c r="H2801" s="29"/>
      <c r="I2801" s="29"/>
      <c r="J2801" s="29"/>
      <c r="K2801" s="29"/>
      <c r="L2801" s="29"/>
      <c r="M2801" s="29"/>
      <c r="N2801" s="29"/>
      <c r="O2801" s="29"/>
      <c r="P2801" s="29"/>
      <c r="Q2801" s="29"/>
      <c r="R2801" s="29"/>
      <c r="S2801" s="29"/>
      <c r="T2801" s="29"/>
      <c r="U2801" s="29"/>
      <c r="V2801" s="29"/>
      <c r="W2801" s="29"/>
      <c r="X2801" s="29"/>
      <c r="Y2801" s="29"/>
      <c r="Z2801" s="29"/>
      <c r="AA2801" s="29"/>
      <c r="AB2801" s="29"/>
      <c r="AC2801" s="29"/>
      <c r="AD2801" s="29"/>
    </row>
    <row r="2802">
      <c r="A2802" s="115" t="s">
        <v>4174</v>
      </c>
      <c r="B2802" s="22" t="s">
        <v>3556</v>
      </c>
      <c r="C2802" s="18" t="s">
        <v>3564</v>
      </c>
      <c r="D2802" s="19" t="s">
        <v>4179</v>
      </c>
      <c r="E2802" s="161" t="s">
        <v>7</v>
      </c>
      <c r="H2802" s="29"/>
      <c r="I2802" s="29"/>
      <c r="J2802" s="29"/>
      <c r="K2802" s="29"/>
      <c r="L2802" s="29"/>
      <c r="M2802" s="29"/>
      <c r="N2802" s="29"/>
      <c r="O2802" s="29"/>
      <c r="P2802" s="29"/>
      <c r="Q2802" s="29"/>
      <c r="R2802" s="29"/>
      <c r="S2802" s="29"/>
      <c r="T2802" s="29"/>
      <c r="U2802" s="29"/>
      <c r="V2802" s="29"/>
      <c r="W2802" s="29"/>
      <c r="X2802" s="29"/>
      <c r="Y2802" s="29"/>
      <c r="Z2802" s="29"/>
      <c r="AA2802" s="29"/>
      <c r="AB2802" s="29"/>
      <c r="AC2802" s="29"/>
      <c r="AD2802" s="29"/>
    </row>
    <row r="2803">
      <c r="A2803" s="115" t="s">
        <v>4174</v>
      </c>
      <c r="B2803" s="22" t="s">
        <v>3556</v>
      </c>
      <c r="C2803" s="18" t="s">
        <v>3567</v>
      </c>
      <c r="D2803" s="19" t="s">
        <v>4179</v>
      </c>
      <c r="E2803" s="161" t="s">
        <v>7</v>
      </c>
      <c r="H2803" s="29"/>
      <c r="I2803" s="29"/>
      <c r="J2803" s="29"/>
      <c r="K2803" s="29"/>
      <c r="L2803" s="29"/>
      <c r="M2803" s="29"/>
      <c r="N2803" s="29"/>
      <c r="O2803" s="29"/>
      <c r="P2803" s="29"/>
      <c r="Q2803" s="29"/>
      <c r="R2803" s="29"/>
      <c r="S2803" s="29"/>
      <c r="T2803" s="29"/>
      <c r="U2803" s="29"/>
      <c r="V2803" s="29"/>
      <c r="W2803" s="29"/>
      <c r="X2803" s="29"/>
      <c r="Y2803" s="29"/>
      <c r="Z2803" s="29"/>
      <c r="AA2803" s="29"/>
      <c r="AB2803" s="29"/>
      <c r="AC2803" s="29"/>
      <c r="AD2803" s="29"/>
    </row>
    <row r="2804">
      <c r="A2804" s="115" t="s">
        <v>4174</v>
      </c>
      <c r="B2804" s="22" t="s">
        <v>4180</v>
      </c>
      <c r="C2804" s="18" t="s">
        <v>4181</v>
      </c>
      <c r="D2804" s="19" t="s">
        <v>4182</v>
      </c>
      <c r="E2804" s="161" t="s">
        <v>7</v>
      </c>
      <c r="H2804" s="29"/>
      <c r="I2804" s="29"/>
      <c r="J2804" s="29"/>
      <c r="K2804" s="29"/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29"/>
      <c r="W2804" s="29"/>
      <c r="X2804" s="29"/>
      <c r="Y2804" s="29"/>
      <c r="Z2804" s="29"/>
      <c r="AA2804" s="29"/>
      <c r="AB2804" s="29"/>
      <c r="AC2804" s="29"/>
      <c r="AD2804" s="29"/>
    </row>
    <row r="2805">
      <c r="A2805" s="115" t="s">
        <v>4174</v>
      </c>
      <c r="B2805" s="22" t="s">
        <v>4180</v>
      </c>
      <c r="C2805" s="18" t="s">
        <v>4157</v>
      </c>
      <c r="D2805" s="19" t="s">
        <v>4183</v>
      </c>
      <c r="E2805" s="161" t="s">
        <v>7</v>
      </c>
      <c r="H2805" s="29"/>
      <c r="I2805" s="29"/>
      <c r="J2805" s="29"/>
      <c r="K2805" s="29"/>
      <c r="L2805" s="29"/>
      <c r="M2805" s="29"/>
      <c r="N2805" s="29"/>
      <c r="O2805" s="29"/>
      <c r="P2805" s="29"/>
      <c r="Q2805" s="29"/>
      <c r="R2805" s="29"/>
      <c r="S2805" s="29"/>
      <c r="T2805" s="29"/>
      <c r="U2805" s="29"/>
      <c r="V2805" s="29"/>
      <c r="W2805" s="29"/>
      <c r="X2805" s="29"/>
      <c r="Y2805" s="29"/>
      <c r="Z2805" s="29"/>
      <c r="AA2805" s="29"/>
      <c r="AB2805" s="29"/>
      <c r="AC2805" s="29"/>
      <c r="AD2805" s="29"/>
    </row>
    <row r="2806">
      <c r="A2806" s="115" t="s">
        <v>4174</v>
      </c>
      <c r="B2806" s="22" t="s">
        <v>4180</v>
      </c>
      <c r="C2806" s="18" t="s">
        <v>4184</v>
      </c>
      <c r="D2806" s="19" t="s">
        <v>4185</v>
      </c>
      <c r="E2806" s="161" t="s">
        <v>7</v>
      </c>
      <c r="H2806" s="29"/>
      <c r="I2806" s="29"/>
      <c r="J2806" s="29"/>
      <c r="K2806" s="29"/>
      <c r="L2806" s="29"/>
      <c r="M2806" s="29"/>
      <c r="N2806" s="29"/>
      <c r="O2806" s="29"/>
      <c r="P2806" s="29"/>
      <c r="Q2806" s="29"/>
      <c r="R2806" s="29"/>
      <c r="S2806" s="29"/>
      <c r="T2806" s="29"/>
      <c r="U2806" s="29"/>
      <c r="V2806" s="29"/>
      <c r="W2806" s="29"/>
      <c r="X2806" s="29"/>
      <c r="Y2806" s="29"/>
      <c r="Z2806" s="29"/>
      <c r="AA2806" s="29"/>
      <c r="AB2806" s="29"/>
      <c r="AC2806" s="29"/>
      <c r="AD2806" s="29"/>
    </row>
    <row r="2807">
      <c r="A2807" s="115" t="s">
        <v>4174</v>
      </c>
      <c r="B2807" s="22" t="s">
        <v>4186</v>
      </c>
      <c r="C2807" s="18" t="s">
        <v>4187</v>
      </c>
      <c r="D2807" s="19" t="s">
        <v>4188</v>
      </c>
      <c r="E2807" s="161" t="s">
        <v>7</v>
      </c>
      <c r="H2807" s="29"/>
      <c r="I2807" s="29"/>
      <c r="J2807" s="29"/>
      <c r="K2807" s="29"/>
      <c r="L2807" s="29"/>
      <c r="M2807" s="29"/>
      <c r="N2807" s="29"/>
      <c r="O2807" s="29"/>
      <c r="P2807" s="29"/>
      <c r="Q2807" s="29"/>
      <c r="R2807" s="29"/>
      <c r="S2807" s="29"/>
      <c r="T2807" s="29"/>
      <c r="U2807" s="29"/>
      <c r="V2807" s="29"/>
      <c r="W2807" s="29"/>
      <c r="X2807" s="29"/>
      <c r="Y2807" s="29"/>
      <c r="Z2807" s="29"/>
      <c r="AA2807" s="29"/>
      <c r="AB2807" s="29"/>
      <c r="AC2807" s="29"/>
      <c r="AD2807" s="29"/>
    </row>
    <row r="2808">
      <c r="A2808" s="115" t="s">
        <v>4174</v>
      </c>
      <c r="B2808" s="22" t="s">
        <v>4186</v>
      </c>
      <c r="C2808" s="18" t="s">
        <v>4189</v>
      </c>
      <c r="D2808" s="19" t="s">
        <v>4188</v>
      </c>
      <c r="E2808" s="161" t="s">
        <v>7</v>
      </c>
      <c r="H2808" s="29"/>
      <c r="I2808" s="29"/>
      <c r="J2808" s="29"/>
      <c r="K2808" s="29"/>
      <c r="L2808" s="29"/>
      <c r="M2808" s="29"/>
      <c r="N2808" s="29"/>
      <c r="O2808" s="29"/>
      <c r="P2808" s="29"/>
      <c r="Q2808" s="29"/>
      <c r="R2808" s="29"/>
      <c r="S2808" s="29"/>
      <c r="T2808" s="29"/>
      <c r="U2808" s="29"/>
      <c r="V2808" s="29"/>
      <c r="W2808" s="29"/>
      <c r="X2808" s="29"/>
      <c r="Y2808" s="29"/>
      <c r="Z2808" s="29"/>
      <c r="AA2808" s="29"/>
      <c r="AB2808" s="29"/>
      <c r="AC2808" s="29"/>
      <c r="AD2808" s="29"/>
    </row>
    <row r="2809">
      <c r="A2809" s="115" t="s">
        <v>4174</v>
      </c>
      <c r="B2809" s="22" t="s">
        <v>3893</v>
      </c>
      <c r="C2809" s="18" t="s">
        <v>3894</v>
      </c>
      <c r="D2809" s="19" t="s">
        <v>4190</v>
      </c>
      <c r="E2809" s="161" t="s">
        <v>7</v>
      </c>
      <c r="H2809" s="29"/>
      <c r="I2809" s="29"/>
      <c r="J2809" s="29"/>
      <c r="K2809" s="29"/>
      <c r="L2809" s="29"/>
      <c r="M2809" s="29"/>
      <c r="N2809" s="29"/>
      <c r="O2809" s="29"/>
      <c r="P2809" s="29"/>
      <c r="Q2809" s="29"/>
      <c r="R2809" s="29"/>
      <c r="S2809" s="29"/>
      <c r="T2809" s="29"/>
      <c r="U2809" s="29"/>
      <c r="V2809" s="29"/>
      <c r="W2809" s="29"/>
      <c r="X2809" s="29"/>
      <c r="Y2809" s="29"/>
      <c r="Z2809" s="29"/>
      <c r="AA2809" s="29"/>
      <c r="AB2809" s="29"/>
      <c r="AC2809" s="29"/>
      <c r="AD2809" s="29"/>
    </row>
    <row r="2810">
      <c r="A2810" s="115" t="s">
        <v>4174</v>
      </c>
      <c r="B2810" s="22" t="s">
        <v>3893</v>
      </c>
      <c r="C2810" s="18" t="s">
        <v>3522</v>
      </c>
      <c r="D2810" s="19" t="s">
        <v>4191</v>
      </c>
      <c r="E2810" s="161" t="s">
        <v>7</v>
      </c>
      <c r="H2810" s="29"/>
      <c r="I2810" s="29"/>
      <c r="J2810" s="29"/>
      <c r="K2810" s="29"/>
      <c r="L2810" s="29"/>
      <c r="M2810" s="29"/>
      <c r="N2810" s="29"/>
      <c r="O2810" s="29"/>
      <c r="P2810" s="29"/>
      <c r="Q2810" s="29"/>
      <c r="R2810" s="29"/>
      <c r="S2810" s="29"/>
      <c r="T2810" s="29"/>
      <c r="U2810" s="29"/>
      <c r="V2810" s="29"/>
      <c r="W2810" s="29"/>
      <c r="X2810" s="29"/>
      <c r="Y2810" s="29"/>
      <c r="Z2810" s="29"/>
      <c r="AA2810" s="29"/>
      <c r="AB2810" s="29"/>
      <c r="AC2810" s="29"/>
      <c r="AD2810" s="29"/>
    </row>
    <row r="2811">
      <c r="A2811" s="115" t="s">
        <v>4174</v>
      </c>
      <c r="B2811" s="22" t="s">
        <v>3893</v>
      </c>
      <c r="C2811" s="18" t="s">
        <v>3894</v>
      </c>
      <c r="D2811" s="19" t="s">
        <v>4192</v>
      </c>
      <c r="E2811" s="161" t="s">
        <v>7</v>
      </c>
      <c r="H2811" s="29"/>
      <c r="I2811" s="29"/>
      <c r="J2811" s="29"/>
      <c r="K2811" s="29"/>
      <c r="L2811" s="29"/>
      <c r="M2811" s="29"/>
      <c r="N2811" s="29"/>
      <c r="O2811" s="29"/>
      <c r="P2811" s="29"/>
      <c r="Q2811" s="29"/>
      <c r="R2811" s="29"/>
      <c r="S2811" s="29"/>
      <c r="T2811" s="29"/>
      <c r="U2811" s="29"/>
      <c r="V2811" s="29"/>
      <c r="W2811" s="29"/>
      <c r="X2811" s="29"/>
      <c r="Y2811" s="29"/>
      <c r="Z2811" s="29"/>
      <c r="AA2811" s="29"/>
      <c r="AB2811" s="29"/>
      <c r="AC2811" s="29"/>
      <c r="AD2811" s="29"/>
    </row>
    <row r="2812">
      <c r="A2812" s="115" t="s">
        <v>4174</v>
      </c>
      <c r="B2812" s="22" t="s">
        <v>3893</v>
      </c>
      <c r="C2812" s="18" t="s">
        <v>3894</v>
      </c>
      <c r="D2812" s="19" t="s">
        <v>4193</v>
      </c>
      <c r="E2812" s="161" t="s">
        <v>7</v>
      </c>
      <c r="H2812" s="29"/>
      <c r="I2812" s="29"/>
      <c r="J2812" s="29"/>
      <c r="K2812" s="29"/>
      <c r="L2812" s="29"/>
      <c r="M2812" s="29"/>
      <c r="N2812" s="29"/>
      <c r="O2812" s="29"/>
      <c r="P2812" s="29"/>
      <c r="Q2812" s="29"/>
      <c r="R2812" s="29"/>
      <c r="S2812" s="29"/>
      <c r="T2812" s="29"/>
      <c r="U2812" s="29"/>
      <c r="V2812" s="29"/>
      <c r="W2812" s="29"/>
      <c r="X2812" s="29"/>
      <c r="Y2812" s="29"/>
      <c r="Z2812" s="29"/>
      <c r="AA2812" s="29"/>
      <c r="AB2812" s="29"/>
      <c r="AC2812" s="29"/>
      <c r="AD2812" s="29"/>
    </row>
    <row r="2813">
      <c r="A2813" s="115"/>
      <c r="B2813" s="22"/>
      <c r="C2813" s="68"/>
      <c r="D2813" s="63"/>
      <c r="E2813" s="9"/>
      <c r="H2813" s="29"/>
      <c r="I2813" s="29"/>
      <c r="J2813" s="29"/>
      <c r="K2813" s="29"/>
      <c r="L2813" s="29"/>
      <c r="M2813" s="29"/>
      <c r="N2813" s="29"/>
      <c r="O2813" s="29"/>
      <c r="P2813" s="29"/>
      <c r="Q2813" s="29"/>
      <c r="R2813" s="29"/>
      <c r="S2813" s="29"/>
      <c r="T2813" s="29"/>
      <c r="U2813" s="29"/>
      <c r="V2813" s="29"/>
      <c r="W2813" s="29"/>
      <c r="X2813" s="29"/>
      <c r="Y2813" s="29"/>
      <c r="Z2813" s="29"/>
      <c r="AA2813" s="29"/>
      <c r="AB2813" s="29"/>
      <c r="AC2813" s="29"/>
      <c r="AD2813" s="29"/>
    </row>
    <row r="2814">
      <c r="A2814" s="115"/>
      <c r="B2814" s="22"/>
      <c r="C2814" s="68"/>
      <c r="D2814" s="63"/>
      <c r="E2814" s="9"/>
      <c r="H2814" s="29"/>
      <c r="I2814" s="29"/>
      <c r="J2814" s="29"/>
      <c r="K2814" s="29"/>
      <c r="L2814" s="29"/>
      <c r="M2814" s="29"/>
      <c r="N2814" s="29"/>
      <c r="O2814" s="29"/>
      <c r="P2814" s="29"/>
      <c r="Q2814" s="29"/>
      <c r="R2814" s="29"/>
      <c r="S2814" s="29"/>
      <c r="T2814" s="29"/>
      <c r="U2814" s="29"/>
      <c r="V2814" s="29"/>
      <c r="W2814" s="29"/>
      <c r="X2814" s="29"/>
      <c r="Y2814" s="29"/>
      <c r="Z2814" s="29"/>
      <c r="AA2814" s="29"/>
      <c r="AB2814" s="29"/>
      <c r="AC2814" s="29"/>
      <c r="AD2814" s="29"/>
    </row>
    <row r="2815">
      <c r="A2815" s="16" t="s">
        <v>4194</v>
      </c>
      <c r="B2815" s="22" t="s">
        <v>4195</v>
      </c>
      <c r="C2815" s="18" t="s">
        <v>731</v>
      </c>
      <c r="D2815" s="19" t="s">
        <v>4196</v>
      </c>
      <c r="E2815" s="9" t="s">
        <v>2108</v>
      </c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</row>
    <row r="2816">
      <c r="A2816" s="16" t="s">
        <v>4194</v>
      </c>
      <c r="B2816" s="22" t="s">
        <v>4195</v>
      </c>
      <c r="C2816" s="18" t="s">
        <v>4197</v>
      </c>
      <c r="D2816" s="19" t="s">
        <v>4198</v>
      </c>
      <c r="E2816" s="9" t="s">
        <v>2108</v>
      </c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</row>
    <row r="2817">
      <c r="A2817" s="16" t="s">
        <v>4194</v>
      </c>
      <c r="B2817" s="22" t="s">
        <v>4195</v>
      </c>
      <c r="C2817" s="18" t="s">
        <v>4197</v>
      </c>
      <c r="D2817" s="19" t="s">
        <v>4199</v>
      </c>
      <c r="E2817" s="9" t="s">
        <v>2108</v>
      </c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</row>
    <row r="2818">
      <c r="A2818" s="16" t="s">
        <v>4194</v>
      </c>
      <c r="B2818" s="22" t="s">
        <v>4195</v>
      </c>
      <c r="C2818" s="18" t="s">
        <v>4197</v>
      </c>
      <c r="D2818" s="19" t="s">
        <v>4200</v>
      </c>
      <c r="E2818" s="9" t="s">
        <v>2108</v>
      </c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</row>
    <row r="2819">
      <c r="A2819" s="16" t="s">
        <v>4194</v>
      </c>
      <c r="B2819" s="22" t="s">
        <v>4195</v>
      </c>
      <c r="C2819" s="18" t="s">
        <v>4201</v>
      </c>
      <c r="D2819" s="19" t="s">
        <v>4202</v>
      </c>
      <c r="E2819" s="9" t="s">
        <v>2108</v>
      </c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</row>
    <row r="2820">
      <c r="A2820" s="16" t="s">
        <v>4194</v>
      </c>
      <c r="B2820" s="22" t="s">
        <v>4195</v>
      </c>
      <c r="C2820" s="18" t="s">
        <v>4203</v>
      </c>
      <c r="D2820" s="19" t="s">
        <v>4204</v>
      </c>
      <c r="E2820" s="9" t="s">
        <v>2108</v>
      </c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</row>
    <row r="2821">
      <c r="A2821" s="16" t="s">
        <v>4194</v>
      </c>
      <c r="B2821" s="22" t="s">
        <v>3431</v>
      </c>
      <c r="C2821" s="18" t="s">
        <v>4089</v>
      </c>
      <c r="D2821" s="19" t="s">
        <v>4088</v>
      </c>
      <c r="E2821" s="161" t="s">
        <v>7</v>
      </c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</row>
    <row r="2822">
      <c r="A2822" s="16" t="s">
        <v>4194</v>
      </c>
      <c r="B2822" s="22" t="s">
        <v>3431</v>
      </c>
      <c r="C2822" s="18" t="s">
        <v>4205</v>
      </c>
      <c r="D2822" s="19" t="s">
        <v>4088</v>
      </c>
      <c r="E2822" s="161" t="s">
        <v>7</v>
      </c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</row>
    <row r="2823">
      <c r="A2823" s="16" t="s">
        <v>4194</v>
      </c>
      <c r="B2823" s="22" t="s">
        <v>3431</v>
      </c>
      <c r="C2823" s="18" t="s">
        <v>4206</v>
      </c>
      <c r="D2823" s="19" t="s">
        <v>4207</v>
      </c>
      <c r="E2823" s="161" t="s">
        <v>7</v>
      </c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</row>
    <row r="2824">
      <c r="A2824" s="16" t="s">
        <v>4194</v>
      </c>
      <c r="B2824" s="22" t="s">
        <v>4208</v>
      </c>
      <c r="C2824" s="18" t="s">
        <v>4209</v>
      </c>
      <c r="D2824" s="19" t="s">
        <v>4210</v>
      </c>
      <c r="E2824" s="132" t="s">
        <v>3528</v>
      </c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</row>
    <row r="2825">
      <c r="A2825" s="115"/>
      <c r="B2825" s="22"/>
      <c r="C2825" s="68"/>
      <c r="D2825" s="63"/>
      <c r="E2825" s="9"/>
      <c r="H2825" s="29"/>
      <c r="I2825" s="29"/>
      <c r="J2825" s="29"/>
      <c r="K2825" s="29"/>
      <c r="L2825" s="29"/>
      <c r="M2825" s="29"/>
      <c r="N2825" s="29"/>
      <c r="O2825" s="29"/>
      <c r="P2825" s="29"/>
      <c r="Q2825" s="29"/>
      <c r="R2825" s="29"/>
      <c r="S2825" s="29"/>
      <c r="T2825" s="29"/>
      <c r="U2825" s="29"/>
      <c r="V2825" s="29"/>
      <c r="W2825" s="29"/>
      <c r="X2825" s="29"/>
      <c r="Y2825" s="29"/>
      <c r="Z2825" s="29"/>
      <c r="AA2825" s="29"/>
      <c r="AB2825" s="29"/>
      <c r="AC2825" s="29"/>
      <c r="AD2825" s="29"/>
    </row>
    <row r="2826">
      <c r="A2826" s="115"/>
      <c r="B2826" s="22"/>
      <c r="C2826" s="68"/>
      <c r="D2826" s="63"/>
      <c r="E2826" s="9"/>
      <c r="H2826" s="29"/>
      <c r="I2826" s="29"/>
      <c r="J2826" s="29"/>
      <c r="K2826" s="29"/>
      <c r="L2826" s="29"/>
      <c r="M2826" s="29"/>
      <c r="N2826" s="29"/>
      <c r="O2826" s="29"/>
      <c r="P2826" s="29"/>
      <c r="Q2826" s="29"/>
      <c r="R2826" s="29"/>
      <c r="S2826" s="29"/>
      <c r="T2826" s="29"/>
      <c r="U2826" s="29"/>
      <c r="V2826" s="29"/>
      <c r="W2826" s="29"/>
      <c r="X2826" s="29"/>
      <c r="Y2826" s="29"/>
      <c r="Z2826" s="29"/>
      <c r="AA2826" s="29"/>
      <c r="AB2826" s="29"/>
      <c r="AC2826" s="29"/>
      <c r="AD2826" s="29"/>
    </row>
    <row r="2827">
      <c r="A2827" s="16" t="s">
        <v>4211</v>
      </c>
      <c r="B2827" s="22" t="s">
        <v>4212</v>
      </c>
      <c r="C2827" s="18" t="s">
        <v>4213</v>
      </c>
      <c r="D2827" s="19" t="s">
        <v>4214</v>
      </c>
      <c r="E2827" s="9" t="s">
        <v>125</v>
      </c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</row>
    <row r="2828">
      <c r="A2828" s="16" t="s">
        <v>4211</v>
      </c>
      <c r="B2828" s="22" t="s">
        <v>4215</v>
      </c>
      <c r="C2828" s="18" t="s">
        <v>4216</v>
      </c>
      <c r="D2828" s="19" t="s">
        <v>4217</v>
      </c>
      <c r="E2828" s="9" t="s">
        <v>2494</v>
      </c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</row>
    <row r="2829">
      <c r="A2829" s="16" t="s">
        <v>4211</v>
      </c>
      <c r="B2829" s="22" t="s">
        <v>4218</v>
      </c>
      <c r="C2829" s="18" t="s">
        <v>4219</v>
      </c>
      <c r="D2829" s="19" t="s">
        <v>4220</v>
      </c>
      <c r="E2829" s="132" t="s">
        <v>4221</v>
      </c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</row>
    <row r="2830">
      <c r="A2830" s="16" t="s">
        <v>4211</v>
      </c>
      <c r="B2830" s="22" t="s">
        <v>4222</v>
      </c>
      <c r="C2830" s="18" t="s">
        <v>4223</v>
      </c>
      <c r="D2830" s="19" t="s">
        <v>4224</v>
      </c>
      <c r="E2830" s="9" t="s">
        <v>2108</v>
      </c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</row>
    <row r="2831">
      <c r="A2831" s="16" t="s">
        <v>4211</v>
      </c>
      <c r="B2831" s="22" t="s">
        <v>4222</v>
      </c>
      <c r="C2831" s="18" t="s">
        <v>4225</v>
      </c>
      <c r="D2831" s="19" t="s">
        <v>4224</v>
      </c>
      <c r="E2831" s="9" t="s">
        <v>2108</v>
      </c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</row>
    <row r="2832">
      <c r="A2832" s="16" t="s">
        <v>4211</v>
      </c>
      <c r="B2832" s="22" t="s">
        <v>4222</v>
      </c>
      <c r="C2832" s="18" t="s">
        <v>4226</v>
      </c>
      <c r="D2832" s="19" t="s">
        <v>4227</v>
      </c>
      <c r="E2832" s="9" t="s">
        <v>2108</v>
      </c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</row>
    <row r="2833">
      <c r="A2833" s="115"/>
      <c r="B2833" s="22"/>
      <c r="C2833" s="68"/>
      <c r="D2833" s="63"/>
      <c r="E2833" s="9"/>
      <c r="H2833" s="29"/>
      <c r="I2833" s="29"/>
      <c r="J2833" s="29"/>
      <c r="K2833" s="29"/>
      <c r="L2833" s="29"/>
      <c r="M2833" s="29"/>
      <c r="N2833" s="29"/>
      <c r="O2833" s="29"/>
      <c r="P2833" s="29"/>
      <c r="Q2833" s="29"/>
      <c r="R2833" s="29"/>
      <c r="S2833" s="29"/>
      <c r="T2833" s="29"/>
      <c r="U2833" s="29"/>
      <c r="V2833" s="29"/>
      <c r="W2833" s="29"/>
      <c r="X2833" s="29"/>
      <c r="Y2833" s="29"/>
      <c r="Z2833" s="29"/>
      <c r="AA2833" s="29"/>
      <c r="AB2833" s="29"/>
      <c r="AC2833" s="29"/>
      <c r="AD2833" s="29"/>
    </row>
    <row r="2834">
      <c r="A2834" s="115"/>
      <c r="B2834" s="22"/>
      <c r="C2834" s="68"/>
      <c r="D2834" s="63"/>
      <c r="E2834" s="9"/>
      <c r="H2834" s="29"/>
      <c r="I2834" s="29"/>
      <c r="J2834" s="29"/>
      <c r="K2834" s="29"/>
      <c r="L2834" s="29"/>
      <c r="M2834" s="29"/>
      <c r="N2834" s="29"/>
      <c r="O2834" s="29"/>
      <c r="P2834" s="29"/>
      <c r="Q2834" s="29"/>
      <c r="R2834" s="29"/>
      <c r="S2834" s="29"/>
      <c r="T2834" s="29"/>
      <c r="U2834" s="29"/>
      <c r="V2834" s="29"/>
      <c r="W2834" s="29"/>
      <c r="X2834" s="29"/>
      <c r="Y2834" s="29"/>
      <c r="Z2834" s="29"/>
      <c r="AA2834" s="29"/>
      <c r="AB2834" s="29"/>
      <c r="AC2834" s="29"/>
      <c r="AD2834" s="29"/>
    </row>
    <row r="2835">
      <c r="A2835" s="16" t="s">
        <v>4228</v>
      </c>
      <c r="B2835" s="22" t="s">
        <v>4229</v>
      </c>
      <c r="C2835" s="18" t="s">
        <v>4230</v>
      </c>
      <c r="D2835" s="19" t="s">
        <v>4231</v>
      </c>
      <c r="E2835" s="161" t="s">
        <v>7</v>
      </c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</row>
    <row r="2836">
      <c r="A2836" s="16" t="s">
        <v>4228</v>
      </c>
      <c r="B2836" s="22" t="s">
        <v>4232</v>
      </c>
      <c r="C2836" s="18" t="s">
        <v>4209</v>
      </c>
      <c r="D2836" s="19" t="s">
        <v>4210</v>
      </c>
      <c r="E2836" s="9" t="s">
        <v>3528</v>
      </c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</row>
    <row r="2837">
      <c r="A2837" s="16" t="s">
        <v>4228</v>
      </c>
      <c r="B2837" s="22" t="s">
        <v>4232</v>
      </c>
      <c r="C2837" s="18" t="s">
        <v>4209</v>
      </c>
      <c r="D2837" s="19" t="s">
        <v>4233</v>
      </c>
      <c r="E2837" s="9" t="s">
        <v>3528</v>
      </c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</row>
    <row r="2838">
      <c r="A2838" s="16" t="s">
        <v>4228</v>
      </c>
      <c r="B2838" s="22" t="s">
        <v>4234</v>
      </c>
      <c r="C2838" s="18" t="s">
        <v>4235</v>
      </c>
      <c r="D2838" s="19" t="s">
        <v>4236</v>
      </c>
      <c r="E2838" s="9" t="s">
        <v>3528</v>
      </c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</row>
    <row r="2839">
      <c r="A2839" s="16" t="s">
        <v>4228</v>
      </c>
      <c r="B2839" s="22" t="s">
        <v>4234</v>
      </c>
      <c r="C2839" s="18" t="s">
        <v>4225</v>
      </c>
      <c r="D2839" s="19" t="s">
        <v>4224</v>
      </c>
      <c r="E2839" s="9" t="s">
        <v>3528</v>
      </c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</row>
    <row r="2840">
      <c r="A2840" s="16" t="s">
        <v>4228</v>
      </c>
      <c r="B2840" s="19" t="s">
        <v>4143</v>
      </c>
      <c r="C2840" s="18" t="s">
        <v>4159</v>
      </c>
      <c r="D2840" s="19" t="s">
        <v>4237</v>
      </c>
      <c r="E2840" s="9" t="s">
        <v>2108</v>
      </c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</row>
    <row r="2841">
      <c r="A2841" s="16" t="s">
        <v>4228</v>
      </c>
      <c r="B2841" s="19" t="s">
        <v>4238</v>
      </c>
      <c r="C2841" s="18" t="s">
        <v>4239</v>
      </c>
      <c r="D2841" s="19" t="s">
        <v>4240</v>
      </c>
      <c r="E2841" s="9" t="s">
        <v>2108</v>
      </c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</row>
    <row r="2842">
      <c r="A2842" s="16" t="s">
        <v>4228</v>
      </c>
      <c r="B2842" s="19" t="s">
        <v>4241</v>
      </c>
      <c r="C2842" s="18" t="s">
        <v>4239</v>
      </c>
      <c r="D2842" s="19" t="s">
        <v>4242</v>
      </c>
      <c r="E2842" s="9" t="s">
        <v>2108</v>
      </c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</row>
    <row r="2843">
      <c r="A2843" s="16" t="s">
        <v>4228</v>
      </c>
      <c r="B2843" s="22" t="s">
        <v>3431</v>
      </c>
      <c r="C2843" s="18" t="s">
        <v>4243</v>
      </c>
      <c r="D2843" s="19" t="s">
        <v>4244</v>
      </c>
      <c r="E2843" s="161" t="s">
        <v>7</v>
      </c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</row>
    <row r="2844">
      <c r="A2844" s="16" t="s">
        <v>4228</v>
      </c>
      <c r="B2844" s="22" t="s">
        <v>3431</v>
      </c>
      <c r="C2844" s="18" t="s">
        <v>4245</v>
      </c>
      <c r="D2844" s="19" t="s">
        <v>4244</v>
      </c>
      <c r="E2844" s="161" t="s">
        <v>7</v>
      </c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</row>
    <row r="2845">
      <c r="A2845" s="16" t="s">
        <v>4228</v>
      </c>
      <c r="B2845" s="22" t="s">
        <v>3431</v>
      </c>
      <c r="C2845" s="18" t="s">
        <v>4246</v>
      </c>
      <c r="D2845" s="19" t="s">
        <v>4244</v>
      </c>
      <c r="E2845" s="161" t="s">
        <v>7</v>
      </c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</row>
    <row r="2846">
      <c r="A2846" s="16" t="s">
        <v>4228</v>
      </c>
      <c r="B2846" s="22" t="s">
        <v>3431</v>
      </c>
      <c r="C2846" s="18" t="s">
        <v>4247</v>
      </c>
      <c r="D2846" s="19" t="s">
        <v>4248</v>
      </c>
      <c r="E2846" s="161" t="s">
        <v>7</v>
      </c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</row>
    <row r="2847">
      <c r="A2847" s="16" t="s">
        <v>4228</v>
      </c>
      <c r="B2847" s="22" t="s">
        <v>3431</v>
      </c>
      <c r="C2847" s="18" t="s">
        <v>4249</v>
      </c>
      <c r="D2847" s="19" t="s">
        <v>4248</v>
      </c>
      <c r="E2847" s="161" t="s">
        <v>7</v>
      </c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</row>
    <row r="2848">
      <c r="A2848" s="16" t="s">
        <v>4228</v>
      </c>
      <c r="B2848" s="22" t="s">
        <v>3431</v>
      </c>
      <c r="C2848" s="18" t="s">
        <v>4250</v>
      </c>
      <c r="D2848" s="19" t="s">
        <v>4248</v>
      </c>
      <c r="E2848" s="161" t="s">
        <v>7</v>
      </c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</row>
    <row r="2849">
      <c r="A2849" s="16" t="s">
        <v>4228</v>
      </c>
      <c r="B2849" s="22" t="s">
        <v>3431</v>
      </c>
      <c r="C2849" s="18" t="s">
        <v>2732</v>
      </c>
      <c r="D2849" s="19" t="s">
        <v>4251</v>
      </c>
      <c r="E2849" s="161" t="s">
        <v>7</v>
      </c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</row>
    <row r="2850">
      <c r="A2850" s="16" t="s">
        <v>4228</v>
      </c>
      <c r="B2850" s="22" t="s">
        <v>3431</v>
      </c>
      <c r="C2850" s="18" t="s">
        <v>4252</v>
      </c>
      <c r="D2850" s="19" t="s">
        <v>4251</v>
      </c>
      <c r="E2850" s="161" t="s">
        <v>7</v>
      </c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</row>
    <row r="2851">
      <c r="A2851" s="16" t="s">
        <v>4228</v>
      </c>
      <c r="B2851" s="22" t="s">
        <v>3431</v>
      </c>
      <c r="C2851" s="18" t="s">
        <v>4253</v>
      </c>
      <c r="D2851" s="19" t="s">
        <v>4251</v>
      </c>
      <c r="E2851" s="161" t="s">
        <v>7</v>
      </c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</row>
    <row r="2852">
      <c r="A2852" s="115"/>
      <c r="B2852" s="22"/>
      <c r="C2852" s="68"/>
      <c r="D2852" s="63"/>
      <c r="E2852" s="9"/>
      <c r="H2852" s="29"/>
      <c r="I2852" s="29"/>
      <c r="J2852" s="29"/>
      <c r="K2852" s="29"/>
      <c r="L2852" s="29"/>
      <c r="M2852" s="29"/>
      <c r="N2852" s="29"/>
      <c r="O2852" s="29"/>
      <c r="P2852" s="29"/>
      <c r="Q2852" s="29"/>
      <c r="R2852" s="29"/>
      <c r="S2852" s="29"/>
      <c r="T2852" s="29"/>
      <c r="U2852" s="29"/>
      <c r="V2852" s="29"/>
      <c r="W2852" s="29"/>
      <c r="X2852" s="29"/>
      <c r="Y2852" s="29"/>
      <c r="Z2852" s="29"/>
      <c r="AA2852" s="29"/>
      <c r="AB2852" s="29"/>
      <c r="AC2852" s="29"/>
      <c r="AD2852" s="29"/>
    </row>
    <row r="2853">
      <c r="A2853" s="115"/>
      <c r="B2853" s="22"/>
      <c r="C2853" s="68"/>
      <c r="D2853" s="63"/>
      <c r="E2853" s="9"/>
      <c r="H2853" s="29"/>
      <c r="I2853" s="29"/>
      <c r="J2853" s="29"/>
      <c r="K2853" s="29"/>
      <c r="L2853" s="29"/>
      <c r="M2853" s="29"/>
      <c r="N2853" s="29"/>
      <c r="O2853" s="29"/>
      <c r="P2853" s="29"/>
      <c r="Q2853" s="29"/>
      <c r="R2853" s="29"/>
      <c r="S2853" s="29"/>
      <c r="T2853" s="29"/>
      <c r="U2853" s="29"/>
      <c r="V2853" s="29"/>
      <c r="W2853" s="29"/>
      <c r="X2853" s="29"/>
      <c r="Y2853" s="29"/>
      <c r="Z2853" s="29"/>
      <c r="AA2853" s="29"/>
      <c r="AB2853" s="29"/>
      <c r="AC2853" s="29"/>
      <c r="AD2853" s="29"/>
    </row>
    <row r="2854">
      <c r="A2854" s="16" t="s">
        <v>4254</v>
      </c>
      <c r="B2854" s="22" t="s">
        <v>4255</v>
      </c>
      <c r="C2854" s="18" t="s">
        <v>4256</v>
      </c>
      <c r="D2854" s="19" t="s">
        <v>4257</v>
      </c>
      <c r="E2854" s="132" t="s">
        <v>2625</v>
      </c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</row>
    <row r="2855">
      <c r="A2855" s="16" t="s">
        <v>4258</v>
      </c>
      <c r="B2855" s="22" t="s">
        <v>4129</v>
      </c>
      <c r="C2855" s="18" t="s">
        <v>4259</v>
      </c>
      <c r="D2855" s="19" t="s">
        <v>4260</v>
      </c>
      <c r="E2855" s="9" t="s">
        <v>4261</v>
      </c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</row>
    <row r="2856">
      <c r="A2856" s="16" t="s">
        <v>4258</v>
      </c>
      <c r="B2856" s="22" t="s">
        <v>4129</v>
      </c>
      <c r="C2856" s="18" t="s">
        <v>4262</v>
      </c>
      <c r="D2856" s="19" t="s">
        <v>4236</v>
      </c>
      <c r="E2856" s="9" t="s">
        <v>4261</v>
      </c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</row>
    <row r="2857">
      <c r="A2857" s="115"/>
      <c r="B2857" s="22"/>
      <c r="C2857" s="68"/>
      <c r="D2857" s="63"/>
      <c r="E2857" s="9"/>
      <c r="H2857" s="29"/>
      <c r="I2857" s="29"/>
      <c r="J2857" s="29"/>
      <c r="K2857" s="29"/>
      <c r="L2857" s="29"/>
      <c r="M2857" s="29"/>
      <c r="N2857" s="29"/>
      <c r="O2857" s="29"/>
      <c r="P2857" s="29"/>
      <c r="Q2857" s="29"/>
      <c r="R2857" s="29"/>
      <c r="S2857" s="29"/>
      <c r="T2857" s="29"/>
      <c r="U2857" s="29"/>
      <c r="V2857" s="29"/>
      <c r="W2857" s="29"/>
      <c r="X2857" s="29"/>
      <c r="Y2857" s="29"/>
      <c r="Z2857" s="29"/>
      <c r="AA2857" s="29"/>
      <c r="AB2857" s="29"/>
      <c r="AC2857" s="29"/>
      <c r="AD2857" s="29"/>
    </row>
    <row r="2858">
      <c r="A2858" s="115"/>
      <c r="B2858" s="22"/>
      <c r="C2858" s="68"/>
      <c r="D2858" s="63"/>
      <c r="E2858" s="9"/>
      <c r="H2858" s="29"/>
      <c r="I2858" s="29"/>
      <c r="J2858" s="29"/>
      <c r="K2858" s="29"/>
      <c r="L2858" s="29"/>
      <c r="M2858" s="29"/>
      <c r="N2858" s="29"/>
      <c r="O2858" s="29"/>
      <c r="P2858" s="29"/>
      <c r="Q2858" s="29"/>
      <c r="R2858" s="29"/>
      <c r="S2858" s="29"/>
      <c r="T2858" s="29"/>
      <c r="U2858" s="29"/>
      <c r="V2858" s="29"/>
      <c r="W2858" s="29"/>
      <c r="X2858" s="29"/>
      <c r="Y2858" s="29"/>
      <c r="Z2858" s="29"/>
      <c r="AA2858" s="29"/>
      <c r="AB2858" s="29"/>
      <c r="AC2858" s="29"/>
      <c r="AD2858" s="29"/>
    </row>
    <row r="2859">
      <c r="A2859" s="160" t="s">
        <v>4263</v>
      </c>
      <c r="B2859" s="22" t="s">
        <v>4264</v>
      </c>
      <c r="C2859" s="18" t="s">
        <v>4265</v>
      </c>
      <c r="D2859" s="19" t="s">
        <v>4266</v>
      </c>
      <c r="E2859" s="9" t="s">
        <v>764</v>
      </c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</row>
    <row r="2860">
      <c r="A2860" s="160" t="s">
        <v>4263</v>
      </c>
      <c r="B2860" s="22" t="s">
        <v>4264</v>
      </c>
      <c r="C2860" s="18" t="s">
        <v>4267</v>
      </c>
      <c r="D2860" s="19" t="s">
        <v>4268</v>
      </c>
      <c r="E2860" s="9" t="s">
        <v>764</v>
      </c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</row>
    <row r="2861">
      <c r="A2861" s="115"/>
      <c r="B2861" s="22"/>
      <c r="C2861" s="68"/>
      <c r="D2861" s="63"/>
      <c r="E2861" s="9"/>
      <c r="H2861" s="29"/>
      <c r="I2861" s="29"/>
      <c r="J2861" s="29"/>
      <c r="K2861" s="29"/>
      <c r="L2861" s="29"/>
      <c r="M2861" s="29"/>
      <c r="N2861" s="29"/>
      <c r="O2861" s="29"/>
      <c r="P2861" s="29"/>
      <c r="Q2861" s="29"/>
      <c r="R2861" s="29"/>
      <c r="S2861" s="29"/>
      <c r="T2861" s="29"/>
      <c r="U2861" s="29"/>
      <c r="V2861" s="29"/>
      <c r="W2861" s="29"/>
      <c r="X2861" s="29"/>
      <c r="Y2861" s="29"/>
      <c r="Z2861" s="29"/>
      <c r="AA2861" s="29"/>
      <c r="AB2861" s="29"/>
      <c r="AC2861" s="29"/>
      <c r="AD2861" s="29"/>
    </row>
    <row r="2862">
      <c r="A2862" s="115"/>
      <c r="B2862" s="22"/>
      <c r="C2862" s="68"/>
      <c r="D2862" s="63"/>
      <c r="E2862" s="9"/>
      <c r="H2862" s="29"/>
      <c r="I2862" s="29"/>
      <c r="J2862" s="29"/>
      <c r="K2862" s="29"/>
      <c r="L2862" s="29"/>
      <c r="M2862" s="29"/>
      <c r="N2862" s="29"/>
      <c r="O2862" s="29"/>
      <c r="P2862" s="29"/>
      <c r="Q2862" s="29"/>
      <c r="R2862" s="29"/>
      <c r="S2862" s="29"/>
      <c r="T2862" s="29"/>
      <c r="U2862" s="29"/>
      <c r="V2862" s="29"/>
      <c r="W2862" s="29"/>
      <c r="X2862" s="29"/>
      <c r="Y2862" s="29"/>
      <c r="Z2862" s="29"/>
      <c r="AA2862" s="29"/>
      <c r="AB2862" s="29"/>
      <c r="AC2862" s="29"/>
      <c r="AD2862" s="29"/>
    </row>
    <row r="2863">
      <c r="A2863" s="160" t="s">
        <v>4269</v>
      </c>
      <c r="B2863" s="22" t="s">
        <v>4270</v>
      </c>
      <c r="C2863" s="18" t="s">
        <v>3700</v>
      </c>
      <c r="D2863" s="136" t="s">
        <v>4271</v>
      </c>
      <c r="E2863" s="161" t="s">
        <v>7</v>
      </c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</row>
    <row r="2864">
      <c r="A2864" s="160" t="s">
        <v>4269</v>
      </c>
      <c r="B2864" s="22" t="s">
        <v>4270</v>
      </c>
      <c r="C2864" s="18" t="s">
        <v>4272</v>
      </c>
      <c r="D2864" s="136" t="s">
        <v>4271</v>
      </c>
      <c r="E2864" s="161" t="s">
        <v>7</v>
      </c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</row>
    <row r="2865">
      <c r="A2865" s="160" t="s">
        <v>4269</v>
      </c>
      <c r="B2865" s="22" t="s">
        <v>4270</v>
      </c>
      <c r="C2865" s="18" t="s">
        <v>4273</v>
      </c>
      <c r="D2865" s="136" t="s">
        <v>4274</v>
      </c>
      <c r="E2865" s="132" t="s">
        <v>229</v>
      </c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</row>
    <row r="2866">
      <c r="A2866" s="160" t="s">
        <v>4269</v>
      </c>
      <c r="B2866" s="22" t="s">
        <v>4275</v>
      </c>
      <c r="C2866" s="18" t="s">
        <v>4276</v>
      </c>
      <c r="D2866" s="23" t="s">
        <v>4277</v>
      </c>
      <c r="E2866" s="132" t="s">
        <v>4261</v>
      </c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</row>
    <row r="2867">
      <c r="A2867" s="160" t="s">
        <v>4269</v>
      </c>
      <c r="B2867" s="22" t="s">
        <v>4275</v>
      </c>
      <c r="C2867" s="18" t="s">
        <v>4278</v>
      </c>
      <c r="D2867" s="19" t="s">
        <v>4279</v>
      </c>
      <c r="E2867" s="132" t="s">
        <v>229</v>
      </c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</row>
    <row r="2868">
      <c r="A2868" s="160" t="s">
        <v>4269</v>
      </c>
      <c r="B2868" s="22" t="s">
        <v>4143</v>
      </c>
      <c r="C2868" s="18" t="s">
        <v>4144</v>
      </c>
      <c r="D2868" s="19" t="s">
        <v>4237</v>
      </c>
      <c r="E2868" s="161" t="s">
        <v>7</v>
      </c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</row>
    <row r="2869">
      <c r="A2869" s="160" t="s">
        <v>4269</v>
      </c>
      <c r="B2869" s="22" t="s">
        <v>4143</v>
      </c>
      <c r="C2869" s="18" t="s">
        <v>4144</v>
      </c>
      <c r="D2869" s="19" t="s">
        <v>4237</v>
      </c>
      <c r="E2869" s="161" t="s">
        <v>7</v>
      </c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</row>
    <row r="2870">
      <c r="A2870" s="160" t="s">
        <v>4269</v>
      </c>
      <c r="B2870" s="22" t="s">
        <v>4280</v>
      </c>
      <c r="C2870" s="18" t="s">
        <v>4209</v>
      </c>
      <c r="D2870" s="19" t="s">
        <v>4210</v>
      </c>
      <c r="E2870" s="132" t="s">
        <v>4281</v>
      </c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</row>
    <row r="2871">
      <c r="A2871" s="160" t="s">
        <v>4269</v>
      </c>
      <c r="B2871" s="22" t="s">
        <v>4282</v>
      </c>
      <c r="C2871" s="18" t="s">
        <v>4283</v>
      </c>
      <c r="D2871" s="19" t="s">
        <v>4284</v>
      </c>
      <c r="E2871" s="161" t="s">
        <v>4261</v>
      </c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</row>
    <row r="2872">
      <c r="A2872" s="160" t="s">
        <v>4269</v>
      </c>
      <c r="B2872" s="22" t="s">
        <v>4285</v>
      </c>
      <c r="C2872" s="18" t="s">
        <v>4286</v>
      </c>
      <c r="D2872" s="19" t="s">
        <v>4287</v>
      </c>
      <c r="E2872" s="161" t="s">
        <v>4261</v>
      </c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</row>
    <row r="2873">
      <c r="A2873" s="160" t="s">
        <v>4269</v>
      </c>
      <c r="B2873" s="22" t="s">
        <v>4288</v>
      </c>
      <c r="C2873" s="18" t="s">
        <v>4289</v>
      </c>
      <c r="D2873" s="19" t="s">
        <v>4290</v>
      </c>
      <c r="E2873" s="9" t="s">
        <v>2108</v>
      </c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</row>
    <row r="2874">
      <c r="A2874" s="160" t="s">
        <v>4269</v>
      </c>
      <c r="B2874" s="22" t="s">
        <v>4288</v>
      </c>
      <c r="C2874" s="18" t="s">
        <v>4291</v>
      </c>
      <c r="D2874" s="19" t="s">
        <v>4292</v>
      </c>
      <c r="E2874" s="9" t="s">
        <v>2108</v>
      </c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</row>
    <row r="2875">
      <c r="A2875" s="115"/>
      <c r="B2875" s="22"/>
      <c r="C2875" s="68"/>
      <c r="D2875" s="63"/>
      <c r="E2875" s="9"/>
      <c r="H2875" s="29"/>
      <c r="I2875" s="29"/>
      <c r="J2875" s="29"/>
      <c r="K2875" s="29"/>
      <c r="L2875" s="29"/>
      <c r="M2875" s="29"/>
      <c r="N2875" s="29"/>
      <c r="O2875" s="29"/>
      <c r="P2875" s="29"/>
      <c r="Q2875" s="29"/>
      <c r="R2875" s="29"/>
      <c r="S2875" s="29"/>
      <c r="T2875" s="29"/>
      <c r="U2875" s="29"/>
      <c r="V2875" s="29"/>
      <c r="W2875" s="29"/>
      <c r="X2875" s="29"/>
      <c r="Y2875" s="29"/>
      <c r="Z2875" s="29"/>
      <c r="AA2875" s="29"/>
      <c r="AB2875" s="29"/>
      <c r="AC2875" s="29"/>
      <c r="AD2875" s="29"/>
    </row>
    <row r="2876">
      <c r="A2876" s="16" t="s">
        <v>4293</v>
      </c>
      <c r="B2876" s="22" t="s">
        <v>3516</v>
      </c>
      <c r="C2876" s="18" t="s">
        <v>3522</v>
      </c>
      <c r="D2876" s="19" t="s">
        <v>4294</v>
      </c>
      <c r="E2876" s="9" t="s">
        <v>2108</v>
      </c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</row>
    <row r="2877">
      <c r="A2877" s="16" t="s">
        <v>4293</v>
      </c>
      <c r="B2877" s="22" t="s">
        <v>3516</v>
      </c>
      <c r="C2877" s="18" t="s">
        <v>3522</v>
      </c>
      <c r="D2877" s="19" t="s">
        <v>4295</v>
      </c>
      <c r="E2877" s="9" t="s">
        <v>2108</v>
      </c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</row>
    <row r="2878">
      <c r="A2878" s="16" t="s">
        <v>4293</v>
      </c>
      <c r="B2878" s="22" t="s">
        <v>3516</v>
      </c>
      <c r="C2878" s="18" t="s">
        <v>3522</v>
      </c>
      <c r="D2878" s="19" t="s">
        <v>4296</v>
      </c>
      <c r="E2878" s="9" t="s">
        <v>2108</v>
      </c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</row>
    <row r="2879">
      <c r="A2879" s="16" t="s">
        <v>4293</v>
      </c>
      <c r="B2879" s="22" t="s">
        <v>4297</v>
      </c>
      <c r="C2879" s="18" t="s">
        <v>4298</v>
      </c>
      <c r="D2879" s="19" t="s">
        <v>4299</v>
      </c>
      <c r="E2879" s="18" t="s">
        <v>196</v>
      </c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</row>
    <row r="2880">
      <c r="A2880" s="16" t="s">
        <v>4293</v>
      </c>
      <c r="B2880" s="22" t="s">
        <v>4297</v>
      </c>
      <c r="C2880" s="18" t="s">
        <v>4286</v>
      </c>
      <c r="D2880" s="19" t="s">
        <v>4299</v>
      </c>
      <c r="E2880" s="161" t="s">
        <v>1506</v>
      </c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</row>
    <row r="2881">
      <c r="A2881" s="16" t="s">
        <v>4293</v>
      </c>
      <c r="B2881" s="22" t="s">
        <v>4300</v>
      </c>
      <c r="C2881" s="18" t="s">
        <v>4301</v>
      </c>
      <c r="D2881" s="19" t="s">
        <v>4302</v>
      </c>
      <c r="E2881" s="161" t="s">
        <v>7</v>
      </c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</row>
    <row r="2882">
      <c r="A2882" s="16" t="s">
        <v>4293</v>
      </c>
      <c r="B2882" s="22" t="s">
        <v>4300</v>
      </c>
      <c r="C2882" s="18" t="s">
        <v>4303</v>
      </c>
      <c r="D2882" s="19" t="s">
        <v>4304</v>
      </c>
      <c r="E2882" s="161" t="s">
        <v>7</v>
      </c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</row>
    <row r="2883">
      <c r="A2883" s="16" t="s">
        <v>4293</v>
      </c>
      <c r="B2883" s="22" t="s">
        <v>4300</v>
      </c>
      <c r="C2883" s="18" t="s">
        <v>4305</v>
      </c>
      <c r="D2883" s="19" t="s">
        <v>4306</v>
      </c>
      <c r="E2883" s="161" t="s">
        <v>7</v>
      </c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</row>
    <row r="2884">
      <c r="A2884" s="16" t="s">
        <v>4293</v>
      </c>
      <c r="B2884" s="22" t="s">
        <v>4275</v>
      </c>
      <c r="C2884" s="18" t="s">
        <v>4278</v>
      </c>
      <c r="D2884" s="19" t="s">
        <v>4307</v>
      </c>
      <c r="E2884" s="9" t="s">
        <v>2494</v>
      </c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</row>
    <row r="2885">
      <c r="A2885" s="16"/>
      <c r="B2885" s="22"/>
      <c r="C2885" s="18"/>
      <c r="D2885" s="1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</row>
    <row r="2886">
      <c r="A2886" s="16"/>
      <c r="B2886" s="22"/>
      <c r="C2886" s="18"/>
      <c r="D2886" s="1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</row>
    <row r="2887">
      <c r="A2887" s="16" t="s">
        <v>4308</v>
      </c>
      <c r="B2887" s="22" t="s">
        <v>4309</v>
      </c>
      <c r="C2887" s="18" t="s">
        <v>4310</v>
      </c>
      <c r="D2887" s="19" t="s">
        <v>1341</v>
      </c>
      <c r="E2887" s="9" t="s">
        <v>4261</v>
      </c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</row>
    <row r="2888">
      <c r="A2888" s="16" t="s">
        <v>4308</v>
      </c>
      <c r="B2888" s="22" t="s">
        <v>4311</v>
      </c>
      <c r="C2888" s="18" t="s">
        <v>4312</v>
      </c>
      <c r="D2888" s="19" t="s">
        <v>4313</v>
      </c>
      <c r="E2888" s="9" t="s">
        <v>2108</v>
      </c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</row>
    <row r="2889">
      <c r="A2889" s="16" t="s">
        <v>4308</v>
      </c>
      <c r="B2889" s="22" t="s">
        <v>4311</v>
      </c>
      <c r="C2889" s="18" t="s">
        <v>3940</v>
      </c>
      <c r="D2889" s="19" t="s">
        <v>4314</v>
      </c>
      <c r="E2889" s="9" t="s">
        <v>2108</v>
      </c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</row>
    <row r="2890">
      <c r="A2890" s="16" t="s">
        <v>4308</v>
      </c>
      <c r="B2890" s="22" t="s">
        <v>4311</v>
      </c>
      <c r="C2890" s="18" t="s">
        <v>4315</v>
      </c>
      <c r="D2890" s="19" t="s">
        <v>4316</v>
      </c>
      <c r="E2890" s="9" t="s">
        <v>2108</v>
      </c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</row>
    <row r="2891">
      <c r="A2891" s="16" t="s">
        <v>4308</v>
      </c>
      <c r="B2891" s="22" t="s">
        <v>4311</v>
      </c>
      <c r="C2891" s="18" t="s">
        <v>4317</v>
      </c>
      <c r="D2891" s="19" t="s">
        <v>4318</v>
      </c>
      <c r="E2891" s="9" t="s">
        <v>2108</v>
      </c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</row>
    <row r="2892">
      <c r="A2892" s="16" t="s">
        <v>4308</v>
      </c>
      <c r="B2892" s="22" t="s">
        <v>4300</v>
      </c>
      <c r="C2892" s="18" t="s">
        <v>4319</v>
      </c>
      <c r="D2892" s="19" t="s">
        <v>4320</v>
      </c>
      <c r="E2892" s="161" t="s">
        <v>7</v>
      </c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</row>
    <row r="2893">
      <c r="A2893" s="16" t="s">
        <v>4308</v>
      </c>
      <c r="B2893" s="22" t="s">
        <v>4300</v>
      </c>
      <c r="C2893" s="18" t="s">
        <v>2277</v>
      </c>
      <c r="D2893" s="19" t="s">
        <v>4321</v>
      </c>
      <c r="E2893" s="161" t="s">
        <v>7</v>
      </c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</row>
    <row r="2894">
      <c r="A2894" s="16" t="s">
        <v>4308</v>
      </c>
      <c r="B2894" s="22" t="s">
        <v>4300</v>
      </c>
      <c r="C2894" s="18" t="s">
        <v>4322</v>
      </c>
      <c r="D2894" s="19" t="s">
        <v>4323</v>
      </c>
      <c r="E2894" s="161" t="s">
        <v>7</v>
      </c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</row>
    <row r="2895">
      <c r="A2895" s="16"/>
      <c r="B2895" s="22"/>
      <c r="C2895" s="18"/>
      <c r="D2895" s="1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</row>
    <row r="2896">
      <c r="A2896" s="16"/>
      <c r="B2896" s="22"/>
      <c r="C2896" s="18"/>
      <c r="D2896" s="1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</row>
    <row r="2897">
      <c r="A2897" s="16" t="s">
        <v>4324</v>
      </c>
      <c r="B2897" s="19" t="s">
        <v>4325</v>
      </c>
      <c r="C2897" s="18" t="s">
        <v>4326</v>
      </c>
      <c r="D2897" s="19" t="s">
        <v>4327</v>
      </c>
      <c r="E2897" s="9" t="s">
        <v>4328</v>
      </c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</row>
    <row r="2898">
      <c r="A2898" s="16" t="s">
        <v>4324</v>
      </c>
      <c r="B2898" s="22" t="s">
        <v>4329</v>
      </c>
      <c r="C2898" s="18" t="s">
        <v>4330</v>
      </c>
      <c r="D2898" s="19" t="s">
        <v>4331</v>
      </c>
      <c r="E2898" s="18" t="s">
        <v>196</v>
      </c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</row>
    <row r="2899">
      <c r="A2899" s="16" t="s">
        <v>4324</v>
      </c>
      <c r="B2899" s="22" t="s">
        <v>4329</v>
      </c>
      <c r="C2899" s="18" t="s">
        <v>2695</v>
      </c>
      <c r="D2899" s="19" t="s">
        <v>4332</v>
      </c>
      <c r="E2899" s="9" t="s">
        <v>4261</v>
      </c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</row>
    <row r="2900">
      <c r="A2900" s="16" t="s">
        <v>4324</v>
      </c>
      <c r="B2900" s="22" t="s">
        <v>4333</v>
      </c>
      <c r="C2900" s="18" t="s">
        <v>4334</v>
      </c>
      <c r="D2900" s="19" t="s">
        <v>4335</v>
      </c>
      <c r="E2900" s="161" t="s">
        <v>7</v>
      </c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</row>
    <row r="2901">
      <c r="A2901" s="16" t="s">
        <v>4324</v>
      </c>
      <c r="B2901" s="22" t="s">
        <v>4333</v>
      </c>
      <c r="C2901" s="18" t="s">
        <v>3930</v>
      </c>
      <c r="D2901" s="19" t="s">
        <v>4336</v>
      </c>
      <c r="E2901" s="161" t="s">
        <v>7</v>
      </c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</row>
    <row r="2902">
      <c r="A2902" s="16" t="s">
        <v>4324</v>
      </c>
      <c r="B2902" s="22" t="s">
        <v>4333</v>
      </c>
      <c r="C2902" s="18" t="s">
        <v>4219</v>
      </c>
      <c r="D2902" s="19" t="s">
        <v>4336</v>
      </c>
      <c r="E2902" s="161" t="s">
        <v>7</v>
      </c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</row>
    <row r="2903">
      <c r="A2903" s="16" t="s">
        <v>4324</v>
      </c>
      <c r="B2903" s="22" t="s">
        <v>4337</v>
      </c>
      <c r="C2903" s="18" t="s">
        <v>4338</v>
      </c>
      <c r="D2903" s="19" t="s">
        <v>4339</v>
      </c>
      <c r="E2903" s="9" t="s">
        <v>764</v>
      </c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</row>
    <row r="2904">
      <c r="A2904" s="16" t="s">
        <v>4324</v>
      </c>
      <c r="B2904" s="22" t="s">
        <v>4340</v>
      </c>
      <c r="C2904" s="18" t="s">
        <v>4341</v>
      </c>
      <c r="D2904" s="19" t="s">
        <v>4342</v>
      </c>
      <c r="E2904" s="18" t="s">
        <v>196</v>
      </c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</row>
    <row r="2905">
      <c r="A2905" s="16"/>
      <c r="B2905" s="22"/>
      <c r="C2905" s="18"/>
      <c r="D2905" s="1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</row>
    <row r="2906">
      <c r="A2906" s="16"/>
      <c r="B2906" s="22"/>
      <c r="C2906" s="18"/>
      <c r="D2906" s="1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</row>
    <row r="2907">
      <c r="A2907" s="16" t="s">
        <v>4343</v>
      </c>
      <c r="B2907" s="22" t="s">
        <v>4344</v>
      </c>
      <c r="C2907" s="18" t="s">
        <v>4345</v>
      </c>
      <c r="D2907" s="19" t="s">
        <v>4346</v>
      </c>
      <c r="E2907" s="9" t="s">
        <v>4347</v>
      </c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</row>
    <row r="2908">
      <c r="A2908" s="16" t="s">
        <v>4343</v>
      </c>
      <c r="B2908" s="22" t="s">
        <v>4129</v>
      </c>
      <c r="C2908" s="18" t="s">
        <v>4348</v>
      </c>
      <c r="D2908" s="18" t="s">
        <v>4260</v>
      </c>
      <c r="E2908" s="9" t="s">
        <v>4347</v>
      </c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</row>
    <row r="2909">
      <c r="A2909" s="16"/>
      <c r="B2909" s="22"/>
      <c r="C2909" s="18"/>
      <c r="D2909" s="1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</row>
    <row r="2910">
      <c r="A2910" s="16"/>
      <c r="B2910" s="22"/>
      <c r="C2910" s="18"/>
      <c r="D2910" s="1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</row>
    <row r="2911">
      <c r="A2911" s="16" t="s">
        <v>4349</v>
      </c>
      <c r="B2911" s="22" t="s">
        <v>3893</v>
      </c>
      <c r="C2911" s="18" t="s">
        <v>1171</v>
      </c>
      <c r="D2911" s="19" t="s">
        <v>4350</v>
      </c>
      <c r="E2911" s="161" t="s">
        <v>7</v>
      </c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</row>
    <row r="2912">
      <c r="A2912" s="16" t="s">
        <v>4349</v>
      </c>
      <c r="B2912" s="22" t="s">
        <v>3893</v>
      </c>
      <c r="C2912" s="18" t="s">
        <v>1171</v>
      </c>
      <c r="D2912" s="19" t="s">
        <v>4351</v>
      </c>
      <c r="E2912" s="161" t="s">
        <v>7</v>
      </c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</row>
    <row r="2913">
      <c r="A2913" s="16" t="s">
        <v>4349</v>
      </c>
      <c r="B2913" s="22" t="s">
        <v>3893</v>
      </c>
      <c r="C2913" s="18" t="s">
        <v>3522</v>
      </c>
      <c r="D2913" s="19" t="s">
        <v>4352</v>
      </c>
      <c r="E2913" s="161" t="s">
        <v>7</v>
      </c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</row>
    <row r="2914">
      <c r="A2914" s="16" t="s">
        <v>4349</v>
      </c>
      <c r="B2914" s="22" t="s">
        <v>3893</v>
      </c>
      <c r="C2914" s="18" t="s">
        <v>3522</v>
      </c>
      <c r="D2914" s="19" t="s">
        <v>4353</v>
      </c>
      <c r="E2914" s="161" t="s">
        <v>7</v>
      </c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</row>
    <row r="2915">
      <c r="A2915" s="16" t="s">
        <v>4349</v>
      </c>
      <c r="B2915" s="22" t="s">
        <v>3893</v>
      </c>
      <c r="C2915" s="18" t="s">
        <v>1171</v>
      </c>
      <c r="D2915" s="19" t="s">
        <v>4354</v>
      </c>
      <c r="E2915" s="161" t="s">
        <v>7</v>
      </c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</row>
    <row r="2916">
      <c r="A2916" s="16" t="s">
        <v>4349</v>
      </c>
      <c r="B2916" s="22" t="s">
        <v>3893</v>
      </c>
      <c r="C2916" s="18" t="s">
        <v>3522</v>
      </c>
      <c r="D2916" s="19" t="s">
        <v>4355</v>
      </c>
      <c r="E2916" s="161" t="s">
        <v>7</v>
      </c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</row>
    <row r="2917">
      <c r="A2917" s="16" t="s">
        <v>4349</v>
      </c>
      <c r="B2917" s="22" t="s">
        <v>3893</v>
      </c>
      <c r="C2917" s="18" t="s">
        <v>3522</v>
      </c>
      <c r="D2917" s="19" t="s">
        <v>4356</v>
      </c>
      <c r="E2917" s="161" t="s">
        <v>7</v>
      </c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</row>
    <row r="2918">
      <c r="A2918" s="16" t="s">
        <v>4349</v>
      </c>
      <c r="B2918" s="22" t="s">
        <v>3893</v>
      </c>
      <c r="C2918" s="18" t="s">
        <v>3894</v>
      </c>
      <c r="D2918" s="19" t="s">
        <v>4357</v>
      </c>
      <c r="E2918" s="161" t="s">
        <v>7</v>
      </c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</row>
    <row r="2919">
      <c r="A2919" s="16" t="s">
        <v>4349</v>
      </c>
      <c r="B2919" s="22" t="s">
        <v>3893</v>
      </c>
      <c r="C2919" s="18" t="s">
        <v>1171</v>
      </c>
      <c r="D2919" s="19" t="s">
        <v>4358</v>
      </c>
      <c r="E2919" s="161" t="s">
        <v>7</v>
      </c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</row>
    <row r="2920">
      <c r="A2920" s="16" t="s">
        <v>4349</v>
      </c>
      <c r="B2920" s="22" t="s">
        <v>3893</v>
      </c>
      <c r="C2920" s="18" t="s">
        <v>3522</v>
      </c>
      <c r="D2920" s="19" t="s">
        <v>4359</v>
      </c>
      <c r="E2920" s="161" t="s">
        <v>7</v>
      </c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</row>
    <row r="2921">
      <c r="A2921" s="16" t="s">
        <v>4349</v>
      </c>
      <c r="B2921" s="22" t="s">
        <v>4129</v>
      </c>
      <c r="C2921" s="18" t="s">
        <v>4360</v>
      </c>
      <c r="D2921" s="19" t="s">
        <v>4361</v>
      </c>
      <c r="E2921" s="9" t="s">
        <v>4347</v>
      </c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</row>
    <row r="2922">
      <c r="A2922" s="16"/>
      <c r="B2922" s="22"/>
      <c r="C2922" s="18"/>
      <c r="D2922" s="1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</row>
    <row r="2923">
      <c r="A2923" s="16"/>
      <c r="B2923" s="22"/>
      <c r="C2923" s="18"/>
      <c r="D2923" s="1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</row>
    <row r="2924">
      <c r="A2924" s="16" t="s">
        <v>4362</v>
      </c>
      <c r="B2924" s="22" t="s">
        <v>4264</v>
      </c>
      <c r="C2924" s="18" t="s">
        <v>4363</v>
      </c>
      <c r="D2924" s="19" t="s">
        <v>4364</v>
      </c>
      <c r="E2924" s="9" t="s">
        <v>2494</v>
      </c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</row>
    <row r="2925">
      <c r="A2925" s="16" t="s">
        <v>4362</v>
      </c>
      <c r="B2925" s="22" t="s">
        <v>4264</v>
      </c>
      <c r="C2925" s="18" t="s">
        <v>4363</v>
      </c>
      <c r="D2925" s="19" t="s">
        <v>4365</v>
      </c>
      <c r="E2925" s="9" t="s">
        <v>2494</v>
      </c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</row>
    <row r="2926">
      <c r="A2926" s="16" t="s">
        <v>4362</v>
      </c>
      <c r="B2926" s="22" t="s">
        <v>4264</v>
      </c>
      <c r="C2926" s="18" t="s">
        <v>4366</v>
      </c>
      <c r="D2926" s="19" t="s">
        <v>4367</v>
      </c>
      <c r="E2926" s="9" t="s">
        <v>4347</v>
      </c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</row>
    <row r="2927">
      <c r="A2927" s="16" t="s">
        <v>4362</v>
      </c>
      <c r="B2927" s="22" t="s">
        <v>4300</v>
      </c>
      <c r="C2927" s="18" t="s">
        <v>154</v>
      </c>
      <c r="D2927" s="19" t="s">
        <v>4368</v>
      </c>
      <c r="E2927" s="9" t="s">
        <v>4369</v>
      </c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</row>
    <row r="2928">
      <c r="A2928" s="16" t="s">
        <v>4362</v>
      </c>
      <c r="B2928" s="22" t="s">
        <v>4300</v>
      </c>
      <c r="C2928" s="18" t="s">
        <v>4370</v>
      </c>
      <c r="D2928" s="19" t="s">
        <v>4371</v>
      </c>
      <c r="E2928" s="9" t="s">
        <v>4369</v>
      </c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</row>
    <row r="2929">
      <c r="A2929" s="16" t="s">
        <v>4362</v>
      </c>
      <c r="B2929" s="22" t="s">
        <v>3893</v>
      </c>
      <c r="C2929" s="18" t="s">
        <v>3522</v>
      </c>
      <c r="D2929" s="19" t="s">
        <v>4372</v>
      </c>
      <c r="E2929" s="9" t="s">
        <v>4369</v>
      </c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</row>
    <row r="2930">
      <c r="A2930" s="16" t="s">
        <v>4362</v>
      </c>
      <c r="B2930" s="22" t="s">
        <v>3893</v>
      </c>
      <c r="C2930" s="18" t="s">
        <v>3522</v>
      </c>
      <c r="D2930" s="19" t="s">
        <v>4373</v>
      </c>
      <c r="E2930" s="9" t="s">
        <v>4369</v>
      </c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</row>
    <row r="2931">
      <c r="A2931" s="16" t="s">
        <v>4362</v>
      </c>
      <c r="B2931" s="22" t="s">
        <v>3893</v>
      </c>
      <c r="C2931" s="18" t="s">
        <v>3522</v>
      </c>
      <c r="D2931" s="19" t="s">
        <v>4374</v>
      </c>
      <c r="E2931" s="9" t="s">
        <v>4369</v>
      </c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</row>
    <row r="2932">
      <c r="A2932" s="16" t="s">
        <v>4362</v>
      </c>
      <c r="B2932" s="22" t="s">
        <v>3893</v>
      </c>
      <c r="C2932" s="18" t="s">
        <v>3522</v>
      </c>
      <c r="D2932" s="19" t="s">
        <v>4375</v>
      </c>
      <c r="E2932" s="9" t="s">
        <v>4369</v>
      </c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</row>
    <row r="2933">
      <c r="A2933" s="16" t="s">
        <v>4362</v>
      </c>
      <c r="B2933" s="22" t="s">
        <v>3893</v>
      </c>
      <c r="C2933" s="18" t="s">
        <v>3522</v>
      </c>
      <c r="D2933" s="19" t="s">
        <v>4376</v>
      </c>
      <c r="E2933" s="9" t="s">
        <v>4369</v>
      </c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</row>
    <row r="2934">
      <c r="A2934" s="16" t="s">
        <v>4362</v>
      </c>
      <c r="B2934" s="63" t="s">
        <v>4377</v>
      </c>
      <c r="C2934" s="72" t="s">
        <v>4278</v>
      </c>
      <c r="D2934" s="63" t="s">
        <v>4307</v>
      </c>
      <c r="E2934" s="9" t="s">
        <v>546</v>
      </c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</row>
    <row r="2935">
      <c r="A2935" s="16"/>
      <c r="B2935" s="22"/>
      <c r="C2935" s="18"/>
      <c r="D2935" s="1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</row>
    <row r="2936">
      <c r="A2936" s="16"/>
      <c r="B2936" s="22"/>
      <c r="C2936" s="18"/>
      <c r="D2936" s="1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</row>
    <row r="2937">
      <c r="A2937" s="16" t="s">
        <v>4378</v>
      </c>
      <c r="B2937" s="22" t="s">
        <v>4379</v>
      </c>
      <c r="C2937" s="18" t="s">
        <v>4380</v>
      </c>
      <c r="D2937" s="19" t="s">
        <v>2061</v>
      </c>
      <c r="E2937" s="9" t="s">
        <v>4369</v>
      </c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</row>
    <row r="2938">
      <c r="A2938" s="16" t="s">
        <v>4378</v>
      </c>
      <c r="B2938" s="22" t="s">
        <v>4379</v>
      </c>
      <c r="C2938" s="18" t="s">
        <v>4267</v>
      </c>
      <c r="D2938" s="19" t="s">
        <v>4268</v>
      </c>
      <c r="E2938" s="9" t="s">
        <v>4369</v>
      </c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</row>
    <row r="2939">
      <c r="A2939" s="16" t="s">
        <v>4378</v>
      </c>
      <c r="B2939" s="22" t="s">
        <v>4379</v>
      </c>
      <c r="C2939" s="18" t="s">
        <v>4363</v>
      </c>
      <c r="D2939" s="19" t="s">
        <v>4381</v>
      </c>
      <c r="E2939" s="9" t="s">
        <v>4369</v>
      </c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</row>
    <row r="2940">
      <c r="A2940" s="16" t="s">
        <v>4378</v>
      </c>
      <c r="B2940" s="22" t="s">
        <v>4379</v>
      </c>
      <c r="C2940" s="18" t="s">
        <v>4382</v>
      </c>
      <c r="D2940" s="19" t="s">
        <v>4383</v>
      </c>
      <c r="E2940" s="9" t="s">
        <v>4369</v>
      </c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</row>
    <row r="2941">
      <c r="A2941" s="16" t="s">
        <v>4378</v>
      </c>
      <c r="B2941" s="22" t="s">
        <v>4379</v>
      </c>
      <c r="C2941" s="18" t="s">
        <v>4267</v>
      </c>
      <c r="D2941" s="19" t="s">
        <v>1115</v>
      </c>
      <c r="E2941" s="9" t="s">
        <v>4369</v>
      </c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</row>
    <row r="2942">
      <c r="A2942" s="16" t="s">
        <v>4378</v>
      </c>
      <c r="B2942" s="22" t="s">
        <v>4379</v>
      </c>
      <c r="C2942" s="18" t="s">
        <v>4384</v>
      </c>
      <c r="D2942" s="19" t="s">
        <v>4385</v>
      </c>
      <c r="E2942" s="9" t="s">
        <v>4369</v>
      </c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</row>
    <row r="2943">
      <c r="A2943" s="16" t="s">
        <v>4378</v>
      </c>
      <c r="B2943" s="22" t="s">
        <v>4379</v>
      </c>
      <c r="C2943" s="18" t="s">
        <v>4386</v>
      </c>
      <c r="D2943" s="19" t="s">
        <v>4387</v>
      </c>
      <c r="E2943" s="9" t="s">
        <v>4369</v>
      </c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</row>
    <row r="2944">
      <c r="A2944" s="16" t="s">
        <v>4378</v>
      </c>
      <c r="B2944" s="22" t="s">
        <v>4379</v>
      </c>
      <c r="C2944" s="18" t="s">
        <v>4388</v>
      </c>
      <c r="D2944" s="19" t="s">
        <v>4389</v>
      </c>
      <c r="E2944" s="9" t="s">
        <v>4369</v>
      </c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</row>
    <row r="2945">
      <c r="A2945" s="16" t="s">
        <v>4378</v>
      </c>
      <c r="B2945" s="22" t="s">
        <v>4379</v>
      </c>
      <c r="C2945" s="18" t="s">
        <v>4390</v>
      </c>
      <c r="D2945" s="19" t="s">
        <v>4391</v>
      </c>
      <c r="E2945" s="9" t="s">
        <v>4369</v>
      </c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</row>
    <row r="2946">
      <c r="A2946" s="16" t="s">
        <v>4378</v>
      </c>
      <c r="B2946" s="22" t="s">
        <v>4379</v>
      </c>
      <c r="C2946" s="18" t="s">
        <v>4392</v>
      </c>
      <c r="D2946" s="19" t="s">
        <v>2833</v>
      </c>
      <c r="E2946" s="9" t="s">
        <v>4369</v>
      </c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</row>
    <row r="2947">
      <c r="A2947" s="16" t="s">
        <v>4378</v>
      </c>
      <c r="B2947" s="22" t="s">
        <v>4379</v>
      </c>
      <c r="C2947" s="18" t="s">
        <v>4366</v>
      </c>
      <c r="D2947" s="19" t="s">
        <v>4393</v>
      </c>
      <c r="E2947" s="9" t="s">
        <v>4369</v>
      </c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</row>
    <row r="2948">
      <c r="A2948" s="16" t="s">
        <v>4378</v>
      </c>
      <c r="B2948" s="22" t="s">
        <v>4394</v>
      </c>
      <c r="C2948" s="18" t="s">
        <v>4395</v>
      </c>
      <c r="D2948" s="19" t="s">
        <v>4396</v>
      </c>
      <c r="E2948" s="9" t="s">
        <v>229</v>
      </c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</row>
    <row r="2949">
      <c r="A2949" s="16" t="s">
        <v>4378</v>
      </c>
      <c r="B2949" s="22" t="s">
        <v>4397</v>
      </c>
      <c r="C2949" s="18" t="s">
        <v>2496</v>
      </c>
      <c r="D2949" s="19" t="s">
        <v>4398</v>
      </c>
      <c r="E2949" s="9" t="s">
        <v>4347</v>
      </c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</row>
    <row r="2950">
      <c r="A2950" s="16" t="s">
        <v>4378</v>
      </c>
      <c r="B2950" s="22" t="s">
        <v>3893</v>
      </c>
      <c r="C2950" s="18" t="s">
        <v>3522</v>
      </c>
      <c r="D2950" s="19" t="s">
        <v>4399</v>
      </c>
      <c r="E2950" s="9" t="s">
        <v>4369</v>
      </c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</row>
    <row r="2951">
      <c r="A2951" s="16" t="s">
        <v>4378</v>
      </c>
      <c r="B2951" s="22" t="s">
        <v>3893</v>
      </c>
      <c r="C2951" s="18" t="s">
        <v>3522</v>
      </c>
      <c r="D2951" s="19" t="s">
        <v>4400</v>
      </c>
      <c r="E2951" s="9" t="s">
        <v>4369</v>
      </c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</row>
    <row r="2952">
      <c r="A2952" s="16" t="s">
        <v>4378</v>
      </c>
      <c r="B2952" s="22" t="s">
        <v>3893</v>
      </c>
      <c r="C2952" s="18" t="s">
        <v>3522</v>
      </c>
      <c r="D2952" s="19" t="s">
        <v>4401</v>
      </c>
      <c r="E2952" s="9" t="s">
        <v>4369</v>
      </c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</row>
    <row r="2953">
      <c r="A2953" s="16" t="s">
        <v>4378</v>
      </c>
      <c r="B2953" s="22" t="s">
        <v>3893</v>
      </c>
      <c r="C2953" s="18" t="s">
        <v>1171</v>
      </c>
      <c r="D2953" s="19" t="s">
        <v>4354</v>
      </c>
      <c r="E2953" s="9" t="s">
        <v>4369</v>
      </c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</row>
    <row r="2954">
      <c r="A2954" s="16" t="s">
        <v>4378</v>
      </c>
      <c r="B2954" s="22" t="s">
        <v>3893</v>
      </c>
      <c r="C2954" s="18" t="s">
        <v>3522</v>
      </c>
      <c r="D2954" s="19" t="s">
        <v>4355</v>
      </c>
      <c r="E2954" s="9" t="s">
        <v>4369</v>
      </c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</row>
    <row r="2955">
      <c r="A2955" s="16" t="s">
        <v>4378</v>
      </c>
      <c r="B2955" s="22" t="s">
        <v>3893</v>
      </c>
      <c r="C2955" s="18" t="s">
        <v>3522</v>
      </c>
      <c r="D2955" s="19" t="s">
        <v>4372</v>
      </c>
      <c r="E2955" s="9" t="s">
        <v>4369</v>
      </c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</row>
    <row r="2956">
      <c r="A2956" s="16" t="s">
        <v>4378</v>
      </c>
      <c r="B2956" s="22" t="s">
        <v>3893</v>
      </c>
      <c r="C2956" s="18" t="s">
        <v>3522</v>
      </c>
      <c r="D2956" s="19" t="s">
        <v>4373</v>
      </c>
      <c r="E2956" s="9" t="s">
        <v>4369</v>
      </c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</row>
    <row r="2957">
      <c r="A2957" s="16"/>
      <c r="B2957" s="22"/>
      <c r="C2957" s="18"/>
      <c r="D2957" s="1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</row>
    <row r="2958">
      <c r="A2958" s="16"/>
      <c r="B2958" s="22"/>
      <c r="C2958" s="18"/>
      <c r="D2958" s="1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</row>
    <row r="2959">
      <c r="A2959" s="16" t="s">
        <v>4402</v>
      </c>
      <c r="B2959" s="22" t="s">
        <v>4403</v>
      </c>
      <c r="C2959" s="18" t="s">
        <v>4404</v>
      </c>
      <c r="D2959" s="19" t="s">
        <v>4405</v>
      </c>
      <c r="E2959" s="18" t="s">
        <v>196</v>
      </c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</row>
    <row r="2960">
      <c r="A2960" s="16" t="s">
        <v>4402</v>
      </c>
      <c r="B2960" s="22" t="s">
        <v>4403</v>
      </c>
      <c r="C2960" s="18" t="s">
        <v>4406</v>
      </c>
      <c r="D2960" s="19" t="s">
        <v>4407</v>
      </c>
      <c r="E2960" s="9" t="s">
        <v>4261</v>
      </c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</row>
    <row r="2961">
      <c r="A2961" s="16" t="s">
        <v>4402</v>
      </c>
      <c r="B2961" s="22" t="s">
        <v>4403</v>
      </c>
      <c r="C2961" s="18" t="s">
        <v>4406</v>
      </c>
      <c r="D2961" s="19" t="s">
        <v>4408</v>
      </c>
      <c r="E2961" s="9" t="s">
        <v>4261</v>
      </c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</row>
    <row r="2962">
      <c r="A2962" s="16" t="s">
        <v>4402</v>
      </c>
      <c r="B2962" s="22" t="s">
        <v>4379</v>
      </c>
      <c r="C2962" s="18" t="s">
        <v>541</v>
      </c>
      <c r="D2962" s="19" t="s">
        <v>4409</v>
      </c>
      <c r="E2962" s="9" t="s">
        <v>4261</v>
      </c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</row>
    <row r="2963">
      <c r="A2963" s="16" t="s">
        <v>4402</v>
      </c>
      <c r="B2963" s="22" t="s">
        <v>4379</v>
      </c>
      <c r="C2963" s="18" t="s">
        <v>4410</v>
      </c>
      <c r="D2963" s="19" t="s">
        <v>4411</v>
      </c>
      <c r="E2963" s="9" t="s">
        <v>4261</v>
      </c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</row>
    <row r="2964">
      <c r="A2964" s="16" t="s">
        <v>4402</v>
      </c>
      <c r="B2964" s="22" t="s">
        <v>4379</v>
      </c>
      <c r="C2964" s="18" t="s">
        <v>4412</v>
      </c>
      <c r="D2964" s="19" t="s">
        <v>4413</v>
      </c>
      <c r="E2964" s="9" t="s">
        <v>4261</v>
      </c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</row>
    <row r="2965">
      <c r="A2965" s="16" t="s">
        <v>4402</v>
      </c>
      <c r="B2965" s="22" t="s">
        <v>4379</v>
      </c>
      <c r="C2965" s="18" t="s">
        <v>2474</v>
      </c>
      <c r="D2965" s="19" t="s">
        <v>4411</v>
      </c>
      <c r="E2965" s="9" t="s">
        <v>4261</v>
      </c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</row>
    <row r="2966">
      <c r="A2966" s="16" t="s">
        <v>4402</v>
      </c>
      <c r="B2966" s="19" t="s">
        <v>4414</v>
      </c>
      <c r="C2966" s="18" t="s">
        <v>4415</v>
      </c>
      <c r="D2966" s="19" t="s">
        <v>4416</v>
      </c>
      <c r="E2966" s="9" t="s">
        <v>229</v>
      </c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</row>
    <row r="2967">
      <c r="A2967" s="16"/>
      <c r="B2967" s="22"/>
      <c r="C2967" s="18"/>
      <c r="D2967" s="1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</row>
    <row r="2968">
      <c r="A2968" s="16"/>
      <c r="B2968" s="22"/>
      <c r="C2968" s="18"/>
      <c r="D2968" s="1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</row>
    <row r="2969">
      <c r="A2969" s="16" t="s">
        <v>4417</v>
      </c>
      <c r="B2969" s="19" t="s">
        <v>4418</v>
      </c>
      <c r="C2969" s="18" t="s">
        <v>4419</v>
      </c>
      <c r="D2969" s="19" t="s">
        <v>4420</v>
      </c>
      <c r="E2969" s="18" t="s">
        <v>196</v>
      </c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</row>
    <row r="2970">
      <c r="A2970" s="16" t="s">
        <v>4417</v>
      </c>
      <c r="B2970" s="22" t="s">
        <v>4421</v>
      </c>
      <c r="C2970" s="9" t="s">
        <v>1431</v>
      </c>
      <c r="D2970" s="9" t="s">
        <v>4422</v>
      </c>
      <c r="E2970" s="9" t="s">
        <v>229</v>
      </c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</row>
    <row r="2971">
      <c r="A2971" s="16" t="s">
        <v>4417</v>
      </c>
      <c r="B2971" s="22" t="s">
        <v>4421</v>
      </c>
      <c r="C2971" s="9" t="s">
        <v>866</v>
      </c>
      <c r="D2971" s="9" t="s">
        <v>4423</v>
      </c>
      <c r="E2971" s="9" t="s">
        <v>229</v>
      </c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</row>
    <row r="2972">
      <c r="A2972" s="16"/>
      <c r="B2972" s="22"/>
      <c r="C2972" s="18"/>
      <c r="D2972" s="1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</row>
    <row r="2973">
      <c r="A2973" s="16"/>
      <c r="B2973" s="22"/>
      <c r="C2973" s="18"/>
      <c r="D2973" s="1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</row>
    <row r="2974">
      <c r="A2974" s="16" t="s">
        <v>4424</v>
      </c>
      <c r="B2974" s="22" t="s">
        <v>4425</v>
      </c>
      <c r="C2974" s="18" t="s">
        <v>4426</v>
      </c>
      <c r="D2974" s="19" t="s">
        <v>4427</v>
      </c>
      <c r="E2974" s="9" t="s">
        <v>4369</v>
      </c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</row>
    <row r="2975">
      <c r="A2975" s="16" t="s">
        <v>4424</v>
      </c>
      <c r="B2975" s="22" t="s">
        <v>4425</v>
      </c>
      <c r="C2975" s="18" t="s">
        <v>4426</v>
      </c>
      <c r="D2975" s="19" t="s">
        <v>4428</v>
      </c>
      <c r="E2975" s="9" t="s">
        <v>4369</v>
      </c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</row>
    <row r="2976">
      <c r="A2976" s="16" t="s">
        <v>4424</v>
      </c>
      <c r="B2976" s="22" t="s">
        <v>4425</v>
      </c>
      <c r="C2976" s="18" t="s">
        <v>2617</v>
      </c>
      <c r="D2976" s="19" t="s">
        <v>4429</v>
      </c>
      <c r="E2976" s="9" t="s">
        <v>4369</v>
      </c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</row>
    <row r="2977">
      <c r="A2977" s="16" t="s">
        <v>4424</v>
      </c>
      <c r="B2977" s="22" t="s">
        <v>4425</v>
      </c>
      <c r="C2977" s="18" t="s">
        <v>2617</v>
      </c>
      <c r="D2977" s="19" t="s">
        <v>4430</v>
      </c>
      <c r="E2977" s="9" t="s">
        <v>4369</v>
      </c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</row>
    <row r="2978">
      <c r="A2978" s="16" t="s">
        <v>4424</v>
      </c>
      <c r="B2978" s="22" t="s">
        <v>4425</v>
      </c>
      <c r="C2978" s="18" t="s">
        <v>2617</v>
      </c>
      <c r="D2978" s="19" t="s">
        <v>4431</v>
      </c>
      <c r="E2978" s="9" t="s">
        <v>4369</v>
      </c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</row>
    <row r="2979">
      <c r="A2979" s="16" t="s">
        <v>4424</v>
      </c>
      <c r="B2979" s="22" t="s">
        <v>4425</v>
      </c>
      <c r="C2979" s="18" t="s">
        <v>4432</v>
      </c>
      <c r="D2979" s="19" t="s">
        <v>4433</v>
      </c>
      <c r="E2979" s="9" t="s">
        <v>4369</v>
      </c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</row>
    <row r="2980">
      <c r="A2980" s="16" t="s">
        <v>4424</v>
      </c>
      <c r="B2980" s="22" t="s">
        <v>4425</v>
      </c>
      <c r="C2980" s="18" t="s">
        <v>4434</v>
      </c>
      <c r="D2980" s="19" t="s">
        <v>4435</v>
      </c>
      <c r="E2980" s="9" t="s">
        <v>4369</v>
      </c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</row>
    <row r="2981">
      <c r="A2981" s="16" t="s">
        <v>4424</v>
      </c>
      <c r="B2981" s="22" t="s">
        <v>4425</v>
      </c>
      <c r="C2981" s="18" t="s">
        <v>4436</v>
      </c>
      <c r="D2981" s="19" t="s">
        <v>4437</v>
      </c>
      <c r="E2981" s="9" t="s">
        <v>4369</v>
      </c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</row>
    <row r="2982">
      <c r="A2982" s="16" t="s">
        <v>4424</v>
      </c>
      <c r="B2982" s="22" t="s">
        <v>4425</v>
      </c>
      <c r="C2982" s="18" t="s">
        <v>4436</v>
      </c>
      <c r="D2982" s="19" t="s">
        <v>4438</v>
      </c>
      <c r="E2982" s="9" t="s">
        <v>4369</v>
      </c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</row>
    <row r="2983">
      <c r="A2983" s="16" t="s">
        <v>4424</v>
      </c>
      <c r="B2983" s="22" t="s">
        <v>4425</v>
      </c>
      <c r="C2983" s="18" t="s">
        <v>4439</v>
      </c>
      <c r="D2983" s="19" t="s">
        <v>4440</v>
      </c>
      <c r="E2983" s="9" t="s">
        <v>4369</v>
      </c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</row>
    <row r="2984">
      <c r="A2984" s="16" t="s">
        <v>4424</v>
      </c>
      <c r="B2984" s="22" t="s">
        <v>4441</v>
      </c>
      <c r="C2984" s="18" t="s">
        <v>4442</v>
      </c>
      <c r="D2984" s="19" t="s">
        <v>4443</v>
      </c>
      <c r="E2984" s="9" t="s">
        <v>4369</v>
      </c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</row>
    <row r="2985">
      <c r="A2985" s="16" t="s">
        <v>4424</v>
      </c>
      <c r="B2985" s="22" t="s">
        <v>4441</v>
      </c>
      <c r="C2985" s="18" t="s">
        <v>4444</v>
      </c>
      <c r="D2985" s="19" t="s">
        <v>4445</v>
      </c>
      <c r="E2985" s="9" t="s">
        <v>4369</v>
      </c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</row>
    <row r="2986">
      <c r="A2986" s="16" t="s">
        <v>4424</v>
      </c>
      <c r="B2986" s="22" t="s">
        <v>4441</v>
      </c>
      <c r="C2986" s="18" t="s">
        <v>4404</v>
      </c>
      <c r="D2986" s="19" t="s">
        <v>4446</v>
      </c>
      <c r="E2986" s="9" t="s">
        <v>4369</v>
      </c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</row>
    <row r="2987">
      <c r="A2987" s="16" t="s">
        <v>4424</v>
      </c>
      <c r="B2987" s="22" t="s">
        <v>4441</v>
      </c>
      <c r="C2987" s="18" t="s">
        <v>4404</v>
      </c>
      <c r="D2987" s="19" t="s">
        <v>4405</v>
      </c>
      <c r="E2987" s="9" t="s">
        <v>4369</v>
      </c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</row>
    <row r="2988">
      <c r="A2988" s="16" t="s">
        <v>4424</v>
      </c>
      <c r="B2988" s="22" t="s">
        <v>4441</v>
      </c>
      <c r="C2988" s="18" t="s">
        <v>4404</v>
      </c>
      <c r="D2988" s="19" t="s">
        <v>4447</v>
      </c>
      <c r="E2988" s="9" t="s">
        <v>4369</v>
      </c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</row>
    <row r="2989">
      <c r="A2989" s="16" t="s">
        <v>4424</v>
      </c>
      <c r="B2989" s="22" t="s">
        <v>4425</v>
      </c>
      <c r="C2989" s="18" t="s">
        <v>4448</v>
      </c>
      <c r="D2989" s="18" t="s">
        <v>4449</v>
      </c>
      <c r="E2989" s="9" t="s">
        <v>4369</v>
      </c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</row>
    <row r="2990">
      <c r="A2990" s="16" t="s">
        <v>4424</v>
      </c>
      <c r="B2990" s="22" t="s">
        <v>4425</v>
      </c>
      <c r="C2990" s="18" t="s">
        <v>4434</v>
      </c>
      <c r="D2990" s="18" t="s">
        <v>4450</v>
      </c>
      <c r="E2990" s="9" t="s">
        <v>4369</v>
      </c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</row>
    <row r="2991">
      <c r="A2991" s="16" t="s">
        <v>4424</v>
      </c>
      <c r="B2991" s="22" t="s">
        <v>4425</v>
      </c>
      <c r="C2991" s="18" t="s">
        <v>2500</v>
      </c>
      <c r="D2991" s="18" t="s">
        <v>4217</v>
      </c>
      <c r="E2991" s="9" t="s">
        <v>4369</v>
      </c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</row>
    <row r="2992">
      <c r="A2992" s="16" t="s">
        <v>4424</v>
      </c>
      <c r="B2992" s="22" t="s">
        <v>4329</v>
      </c>
      <c r="C2992" s="18" t="s">
        <v>4451</v>
      </c>
      <c r="D2992" s="19" t="s">
        <v>4452</v>
      </c>
      <c r="E2992" s="9" t="s">
        <v>130</v>
      </c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</row>
    <row r="2993">
      <c r="A2993" s="16" t="s">
        <v>4424</v>
      </c>
      <c r="B2993" s="22" t="s">
        <v>4329</v>
      </c>
      <c r="C2993" s="18" t="s">
        <v>2024</v>
      </c>
      <c r="D2993" s="19" t="s">
        <v>4453</v>
      </c>
      <c r="E2993" s="9" t="s">
        <v>130</v>
      </c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</row>
    <row r="2994">
      <c r="A2994" s="16" t="s">
        <v>4424</v>
      </c>
      <c r="B2994" s="22" t="s">
        <v>4329</v>
      </c>
      <c r="C2994" s="18" t="s">
        <v>4454</v>
      </c>
      <c r="D2994" s="19" t="s">
        <v>4331</v>
      </c>
      <c r="E2994" s="9" t="s">
        <v>130</v>
      </c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</row>
    <row r="2995">
      <c r="A2995" s="16" t="s">
        <v>4424</v>
      </c>
      <c r="B2995" s="22" t="s">
        <v>4329</v>
      </c>
      <c r="C2995" s="18" t="s">
        <v>4455</v>
      </c>
      <c r="D2995" s="19" t="s">
        <v>4456</v>
      </c>
      <c r="E2995" s="9" t="s">
        <v>130</v>
      </c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</row>
    <row r="2996">
      <c r="A2996" s="16" t="s">
        <v>4424</v>
      </c>
      <c r="B2996" s="22" t="s">
        <v>4329</v>
      </c>
      <c r="C2996" s="18" t="s">
        <v>4457</v>
      </c>
      <c r="D2996" s="19" t="s">
        <v>4458</v>
      </c>
      <c r="E2996" s="9" t="s">
        <v>130</v>
      </c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</row>
    <row r="2997">
      <c r="A2997" s="16" t="s">
        <v>4424</v>
      </c>
      <c r="B2997" s="22" t="s">
        <v>3893</v>
      </c>
      <c r="C2997" s="18" t="s">
        <v>1171</v>
      </c>
      <c r="D2997" s="19" t="s">
        <v>4459</v>
      </c>
      <c r="E2997" s="161" t="s">
        <v>7</v>
      </c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</row>
    <row r="2998">
      <c r="A2998" s="16" t="s">
        <v>4424</v>
      </c>
      <c r="B2998" s="22" t="s">
        <v>3893</v>
      </c>
      <c r="C2998" s="18" t="s">
        <v>1171</v>
      </c>
      <c r="D2998" s="19" t="s">
        <v>4460</v>
      </c>
      <c r="E2998" s="161" t="s">
        <v>7</v>
      </c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</row>
    <row r="2999">
      <c r="A2999" s="16" t="s">
        <v>4424</v>
      </c>
      <c r="B2999" s="22" t="s">
        <v>3893</v>
      </c>
      <c r="C2999" s="18" t="s">
        <v>1171</v>
      </c>
      <c r="D2999" s="19" t="s">
        <v>4461</v>
      </c>
      <c r="E2999" s="161" t="s">
        <v>7</v>
      </c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</row>
    <row r="3000">
      <c r="A3000" s="16" t="s">
        <v>4424</v>
      </c>
      <c r="B3000" s="22" t="s">
        <v>3893</v>
      </c>
      <c r="C3000" s="18" t="s">
        <v>1171</v>
      </c>
      <c r="D3000" s="19" t="s">
        <v>4359</v>
      </c>
      <c r="E3000" s="161" t="s">
        <v>7</v>
      </c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</row>
    <row r="3001">
      <c r="A3001" s="16" t="s">
        <v>4424</v>
      </c>
      <c r="B3001" s="22" t="s">
        <v>3893</v>
      </c>
      <c r="C3001" s="18" t="s">
        <v>1171</v>
      </c>
      <c r="D3001" s="19" t="s">
        <v>4462</v>
      </c>
      <c r="E3001" s="161" t="s">
        <v>7</v>
      </c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</row>
    <row r="3002">
      <c r="A3002" s="16" t="s">
        <v>4424</v>
      </c>
      <c r="B3002" s="22" t="s">
        <v>3893</v>
      </c>
      <c r="C3002" s="18" t="s">
        <v>1171</v>
      </c>
      <c r="D3002" s="19" t="s">
        <v>4463</v>
      </c>
      <c r="E3002" s="161" t="s">
        <v>7</v>
      </c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</row>
    <row r="3003">
      <c r="A3003" s="16" t="s">
        <v>4424</v>
      </c>
      <c r="B3003" s="22" t="s">
        <v>3893</v>
      </c>
      <c r="C3003" s="18" t="s">
        <v>1171</v>
      </c>
      <c r="D3003" s="19" t="s">
        <v>4006</v>
      </c>
      <c r="E3003" s="161" t="s">
        <v>7</v>
      </c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</row>
    <row r="3004">
      <c r="A3004" s="16" t="s">
        <v>4424</v>
      </c>
      <c r="B3004" s="22" t="s">
        <v>3893</v>
      </c>
      <c r="C3004" s="18" t="s">
        <v>3522</v>
      </c>
      <c r="D3004" s="19" t="s">
        <v>4373</v>
      </c>
      <c r="E3004" s="161" t="s">
        <v>7</v>
      </c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</row>
    <row r="3005">
      <c r="A3005" s="16" t="s">
        <v>4424</v>
      </c>
      <c r="B3005" s="22" t="s">
        <v>3893</v>
      </c>
      <c r="C3005" s="18" t="s">
        <v>1171</v>
      </c>
      <c r="D3005" s="19" t="s">
        <v>4464</v>
      </c>
      <c r="E3005" s="161" t="s">
        <v>7</v>
      </c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</row>
    <row r="3006">
      <c r="A3006" s="16" t="s">
        <v>4424</v>
      </c>
      <c r="B3006" s="22" t="s">
        <v>3893</v>
      </c>
      <c r="C3006" s="18" t="s">
        <v>1171</v>
      </c>
      <c r="D3006" s="19" t="s">
        <v>4465</v>
      </c>
      <c r="E3006" s="161" t="s">
        <v>7</v>
      </c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</row>
    <row r="3007">
      <c r="A3007" s="16" t="s">
        <v>4424</v>
      </c>
      <c r="B3007" s="22" t="s">
        <v>3893</v>
      </c>
      <c r="C3007" s="18" t="s">
        <v>1171</v>
      </c>
      <c r="D3007" s="19" t="s">
        <v>4466</v>
      </c>
      <c r="E3007" s="161" t="s">
        <v>7</v>
      </c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</row>
    <row r="3008">
      <c r="A3008" s="16" t="s">
        <v>4424</v>
      </c>
      <c r="B3008" s="19" t="s">
        <v>4467</v>
      </c>
      <c r="C3008" s="18" t="s">
        <v>4468</v>
      </c>
      <c r="D3008" s="19" t="s">
        <v>4469</v>
      </c>
      <c r="E3008" s="9" t="s">
        <v>2494</v>
      </c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</row>
    <row r="3009">
      <c r="A3009" s="16" t="s">
        <v>4470</v>
      </c>
      <c r="B3009" s="19" t="s">
        <v>4467</v>
      </c>
      <c r="C3009" s="18" t="s">
        <v>4471</v>
      </c>
      <c r="D3009" s="19" t="s">
        <v>4472</v>
      </c>
      <c r="E3009" s="9" t="s">
        <v>2494</v>
      </c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</row>
    <row r="3010">
      <c r="A3010" s="16"/>
      <c r="B3010" s="22"/>
      <c r="C3010" s="18"/>
      <c r="D3010" s="1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</row>
    <row r="3011">
      <c r="A3011" s="16"/>
      <c r="B3011" s="22"/>
      <c r="C3011" s="18"/>
      <c r="D3011" s="1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</row>
    <row r="3012">
      <c r="A3012" s="16" t="s">
        <v>4473</v>
      </c>
      <c r="B3012" s="22" t="s">
        <v>4474</v>
      </c>
      <c r="C3012" s="18" t="s">
        <v>4475</v>
      </c>
      <c r="D3012" s="19" t="s">
        <v>4476</v>
      </c>
      <c r="E3012" s="19" t="s">
        <v>4477</v>
      </c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</row>
    <row r="3013">
      <c r="A3013" s="16" t="s">
        <v>4473</v>
      </c>
      <c r="B3013" s="22" t="s">
        <v>4474</v>
      </c>
      <c r="C3013" s="18" t="s">
        <v>4478</v>
      </c>
      <c r="D3013" s="19" t="s">
        <v>4479</v>
      </c>
      <c r="E3013" s="19" t="s">
        <v>764</v>
      </c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</row>
    <row r="3014">
      <c r="A3014" s="16" t="s">
        <v>4473</v>
      </c>
      <c r="B3014" s="22" t="s">
        <v>4474</v>
      </c>
      <c r="C3014" s="18" t="s">
        <v>4480</v>
      </c>
      <c r="D3014" s="19" t="s">
        <v>4476</v>
      </c>
      <c r="E3014" s="19" t="s">
        <v>4477</v>
      </c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</row>
    <row r="3015">
      <c r="A3015" s="16" t="s">
        <v>4473</v>
      </c>
      <c r="B3015" s="22" t="s">
        <v>4481</v>
      </c>
      <c r="C3015" s="18" t="s">
        <v>3778</v>
      </c>
      <c r="D3015" s="19" t="s">
        <v>4482</v>
      </c>
      <c r="E3015" s="19" t="s">
        <v>4483</v>
      </c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</row>
    <row r="3016">
      <c r="A3016" s="16" t="s">
        <v>4473</v>
      </c>
      <c r="B3016" s="22" t="s">
        <v>4481</v>
      </c>
      <c r="C3016" s="18" t="s">
        <v>2627</v>
      </c>
      <c r="D3016" s="19" t="s">
        <v>4484</v>
      </c>
      <c r="E3016" s="19" t="s">
        <v>764</v>
      </c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</row>
    <row r="3017">
      <c r="A3017" s="16" t="s">
        <v>4473</v>
      </c>
      <c r="B3017" s="22" t="s">
        <v>4481</v>
      </c>
      <c r="C3017" s="18" t="s">
        <v>4485</v>
      </c>
      <c r="D3017" s="19" t="s">
        <v>4486</v>
      </c>
      <c r="E3017" s="19" t="s">
        <v>764</v>
      </c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</row>
    <row r="3018">
      <c r="A3018" s="16" t="s">
        <v>4473</v>
      </c>
      <c r="B3018" s="22" t="s">
        <v>4487</v>
      </c>
      <c r="C3018" s="18" t="s">
        <v>4488</v>
      </c>
      <c r="D3018" s="19" t="s">
        <v>4489</v>
      </c>
      <c r="E3018" s="19" t="s">
        <v>764</v>
      </c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</row>
    <row r="3019">
      <c r="A3019" s="16" t="s">
        <v>4473</v>
      </c>
      <c r="B3019" s="22" t="s">
        <v>4490</v>
      </c>
      <c r="C3019" s="18" t="s">
        <v>4491</v>
      </c>
      <c r="D3019" s="19" t="s">
        <v>4492</v>
      </c>
      <c r="E3019" s="19" t="s">
        <v>4493</v>
      </c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</row>
    <row r="3020">
      <c r="A3020" s="16" t="s">
        <v>4473</v>
      </c>
      <c r="B3020" s="22" t="s">
        <v>4490</v>
      </c>
      <c r="C3020" s="18" t="s">
        <v>4494</v>
      </c>
      <c r="D3020" s="19" t="s">
        <v>4495</v>
      </c>
      <c r="E3020" s="19" t="s">
        <v>196</v>
      </c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</row>
    <row r="3021">
      <c r="A3021" s="16" t="s">
        <v>4473</v>
      </c>
      <c r="B3021" s="22" t="s">
        <v>4496</v>
      </c>
      <c r="C3021" s="18" t="s">
        <v>4497</v>
      </c>
      <c r="D3021" s="19" t="s">
        <v>4498</v>
      </c>
      <c r="E3021" s="19" t="s">
        <v>14</v>
      </c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</row>
    <row r="3022">
      <c r="A3022" s="16" t="s">
        <v>4473</v>
      </c>
      <c r="B3022" s="22" t="s">
        <v>4397</v>
      </c>
      <c r="C3022" s="18" t="s">
        <v>2496</v>
      </c>
      <c r="D3022" s="19" t="s">
        <v>4499</v>
      </c>
      <c r="E3022" s="19" t="s">
        <v>14</v>
      </c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</row>
    <row r="3023">
      <c r="A3023" s="16" t="s">
        <v>4473</v>
      </c>
      <c r="B3023" s="22" t="s">
        <v>4329</v>
      </c>
      <c r="C3023" s="18" t="s">
        <v>4500</v>
      </c>
      <c r="D3023" s="19" t="s">
        <v>4501</v>
      </c>
      <c r="E3023" s="19" t="s">
        <v>130</v>
      </c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</row>
    <row r="3024">
      <c r="A3024" s="16" t="s">
        <v>4473</v>
      </c>
      <c r="B3024" s="22" t="s">
        <v>4329</v>
      </c>
      <c r="C3024" s="18" t="s">
        <v>4502</v>
      </c>
      <c r="D3024" s="19" t="s">
        <v>4501</v>
      </c>
      <c r="E3024" s="19" t="s">
        <v>130</v>
      </c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</row>
    <row r="3025">
      <c r="A3025" s="16" t="s">
        <v>4473</v>
      </c>
      <c r="B3025" s="22" t="s">
        <v>4329</v>
      </c>
      <c r="C3025" s="18" t="s">
        <v>4502</v>
      </c>
      <c r="D3025" s="19" t="s">
        <v>4503</v>
      </c>
      <c r="E3025" s="19" t="s">
        <v>130</v>
      </c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</row>
    <row r="3026">
      <c r="A3026" s="16" t="s">
        <v>4473</v>
      </c>
      <c r="B3026" s="22" t="s">
        <v>4329</v>
      </c>
      <c r="C3026" s="18" t="s">
        <v>4502</v>
      </c>
      <c r="D3026" s="19" t="s">
        <v>4504</v>
      </c>
      <c r="E3026" s="19" t="s">
        <v>130</v>
      </c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</row>
    <row r="3027">
      <c r="A3027" s="16" t="s">
        <v>4473</v>
      </c>
      <c r="B3027" s="22" t="s">
        <v>4329</v>
      </c>
      <c r="C3027" s="18" t="s">
        <v>4500</v>
      </c>
      <c r="D3027" s="19" t="s">
        <v>4505</v>
      </c>
      <c r="E3027" s="19" t="s">
        <v>130</v>
      </c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</row>
    <row r="3028">
      <c r="A3028" s="16" t="s">
        <v>4473</v>
      </c>
      <c r="B3028" s="19" t="s">
        <v>4506</v>
      </c>
      <c r="C3028" s="18" t="s">
        <v>4507</v>
      </c>
      <c r="D3028" s="19" t="s">
        <v>4508</v>
      </c>
      <c r="E3028" s="19" t="s">
        <v>14</v>
      </c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</row>
    <row r="3029">
      <c r="A3029" s="16"/>
      <c r="B3029" s="22"/>
      <c r="C3029" s="18"/>
      <c r="D3029" s="1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</row>
    <row r="3030">
      <c r="A3030" s="16"/>
      <c r="B3030" s="22"/>
      <c r="C3030" s="18"/>
      <c r="D3030" s="1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</row>
    <row r="3031">
      <c r="A3031" s="16" t="s">
        <v>4509</v>
      </c>
      <c r="B3031" s="22" t="s">
        <v>4490</v>
      </c>
      <c r="C3031" s="18" t="s">
        <v>4510</v>
      </c>
      <c r="D3031" s="19" t="s">
        <v>4511</v>
      </c>
      <c r="E3031" s="19" t="s">
        <v>14</v>
      </c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</row>
    <row r="3032">
      <c r="A3032" s="16" t="s">
        <v>4509</v>
      </c>
      <c r="B3032" s="22" t="s">
        <v>4490</v>
      </c>
      <c r="C3032" s="18" t="s">
        <v>4512</v>
      </c>
      <c r="D3032" s="19" t="s">
        <v>4513</v>
      </c>
      <c r="E3032" s="19" t="s">
        <v>764</v>
      </c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</row>
    <row r="3033">
      <c r="A3033" s="16" t="s">
        <v>4509</v>
      </c>
      <c r="B3033" s="22" t="s">
        <v>4490</v>
      </c>
      <c r="C3033" s="18" t="s">
        <v>4514</v>
      </c>
      <c r="D3033" s="19" t="s">
        <v>4495</v>
      </c>
      <c r="E3033" s="19" t="s">
        <v>2308</v>
      </c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</row>
    <row r="3034">
      <c r="A3034" s="16" t="s">
        <v>4509</v>
      </c>
      <c r="B3034" s="22" t="s">
        <v>4490</v>
      </c>
      <c r="C3034" s="18" t="s">
        <v>4515</v>
      </c>
      <c r="D3034" s="19" t="s">
        <v>4516</v>
      </c>
      <c r="E3034" s="19" t="s">
        <v>14</v>
      </c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</row>
    <row r="3035">
      <c r="A3035" s="16"/>
      <c r="B3035" s="22"/>
      <c r="C3035" s="18"/>
      <c r="D3035" s="1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</row>
    <row r="3036">
      <c r="A3036" s="16"/>
      <c r="B3036" s="22"/>
      <c r="C3036" s="18"/>
      <c r="D3036" s="1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</row>
    <row r="3037">
      <c r="A3037" s="16" t="s">
        <v>4517</v>
      </c>
      <c r="B3037" s="22" t="s">
        <v>4518</v>
      </c>
      <c r="C3037" s="18" t="s">
        <v>4519</v>
      </c>
      <c r="D3037" s="19" t="s">
        <v>4520</v>
      </c>
      <c r="E3037" s="19" t="s">
        <v>4369</v>
      </c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</row>
    <row r="3038">
      <c r="A3038" s="16" t="s">
        <v>4517</v>
      </c>
      <c r="B3038" s="22" t="s">
        <v>4518</v>
      </c>
      <c r="C3038" s="18" t="s">
        <v>4519</v>
      </c>
      <c r="D3038" s="19" t="s">
        <v>4521</v>
      </c>
      <c r="E3038" s="19" t="s">
        <v>4369</v>
      </c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</row>
    <row r="3039">
      <c r="A3039" s="16" t="s">
        <v>4517</v>
      </c>
      <c r="B3039" s="22" t="s">
        <v>4518</v>
      </c>
      <c r="C3039" s="18" t="s">
        <v>4519</v>
      </c>
      <c r="D3039" s="19" t="s">
        <v>4522</v>
      </c>
      <c r="E3039" s="19" t="s">
        <v>4369</v>
      </c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</row>
    <row r="3040">
      <c r="A3040" s="16" t="s">
        <v>4517</v>
      </c>
      <c r="B3040" s="22" t="s">
        <v>4518</v>
      </c>
      <c r="C3040" s="18" t="s">
        <v>4519</v>
      </c>
      <c r="D3040" s="19" t="s">
        <v>4523</v>
      </c>
      <c r="E3040" s="19" t="s">
        <v>4369</v>
      </c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</row>
    <row r="3041">
      <c r="A3041" s="16" t="s">
        <v>4517</v>
      </c>
      <c r="B3041" s="22" t="s">
        <v>4518</v>
      </c>
      <c r="C3041" s="18" t="s">
        <v>4519</v>
      </c>
      <c r="D3041" s="19" t="s">
        <v>4524</v>
      </c>
      <c r="E3041" s="19" t="s">
        <v>4369</v>
      </c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</row>
    <row r="3042">
      <c r="A3042" s="16" t="s">
        <v>4517</v>
      </c>
      <c r="B3042" s="22" t="s">
        <v>4518</v>
      </c>
      <c r="C3042" s="18" t="s">
        <v>4519</v>
      </c>
      <c r="D3042" s="19" t="s">
        <v>4525</v>
      </c>
      <c r="E3042" s="19" t="s">
        <v>4369</v>
      </c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</row>
    <row r="3043">
      <c r="A3043" s="16" t="s">
        <v>4517</v>
      </c>
      <c r="B3043" s="22" t="s">
        <v>4490</v>
      </c>
      <c r="C3043" s="18" t="s">
        <v>4526</v>
      </c>
      <c r="D3043" s="19" t="s">
        <v>4527</v>
      </c>
      <c r="E3043" s="19" t="s">
        <v>4369</v>
      </c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</row>
    <row r="3044">
      <c r="A3044" s="16" t="s">
        <v>4517</v>
      </c>
      <c r="B3044" s="22" t="s">
        <v>4528</v>
      </c>
      <c r="C3044" s="18" t="s">
        <v>4529</v>
      </c>
      <c r="D3044" s="19" t="s">
        <v>4530</v>
      </c>
      <c r="E3044" s="19" t="s">
        <v>4369</v>
      </c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</row>
    <row r="3045">
      <c r="A3045" s="16" t="s">
        <v>4517</v>
      </c>
      <c r="B3045" s="22" t="s">
        <v>4528</v>
      </c>
      <c r="C3045" s="18" t="s">
        <v>4531</v>
      </c>
      <c r="D3045" s="19" t="s">
        <v>4530</v>
      </c>
      <c r="E3045" s="19" t="s">
        <v>4369</v>
      </c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</row>
    <row r="3046">
      <c r="A3046" s="16" t="s">
        <v>4517</v>
      </c>
      <c r="B3046" s="22" t="s">
        <v>4528</v>
      </c>
      <c r="C3046" s="18" t="s">
        <v>4532</v>
      </c>
      <c r="D3046" s="19" t="s">
        <v>4533</v>
      </c>
      <c r="E3046" s="19" t="s">
        <v>4369</v>
      </c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</row>
    <row r="3047">
      <c r="A3047" s="16" t="s">
        <v>4517</v>
      </c>
      <c r="B3047" s="22" t="s">
        <v>4528</v>
      </c>
      <c r="C3047" s="18" t="s">
        <v>4534</v>
      </c>
      <c r="D3047" s="19" t="s">
        <v>4533</v>
      </c>
      <c r="E3047" s="19" t="s">
        <v>4369</v>
      </c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</row>
    <row r="3048">
      <c r="A3048" s="16" t="s">
        <v>4517</v>
      </c>
      <c r="B3048" s="22" t="s">
        <v>4528</v>
      </c>
      <c r="C3048" s="18" t="s">
        <v>4535</v>
      </c>
      <c r="D3048" s="19" t="s">
        <v>4536</v>
      </c>
      <c r="E3048" s="19" t="s">
        <v>4369</v>
      </c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</row>
    <row r="3049">
      <c r="A3049" s="16" t="s">
        <v>4517</v>
      </c>
      <c r="B3049" s="22" t="s">
        <v>4528</v>
      </c>
      <c r="C3049" s="18" t="s">
        <v>4535</v>
      </c>
      <c r="D3049" s="19" t="s">
        <v>4537</v>
      </c>
      <c r="E3049" s="19" t="s">
        <v>4369</v>
      </c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</row>
    <row r="3050">
      <c r="A3050" s="16" t="s">
        <v>4517</v>
      </c>
      <c r="B3050" s="22" t="s">
        <v>4528</v>
      </c>
      <c r="C3050" s="18" t="s">
        <v>4538</v>
      </c>
      <c r="D3050" s="19" t="s">
        <v>4537</v>
      </c>
      <c r="E3050" s="19" t="s">
        <v>4369</v>
      </c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</row>
    <row r="3051">
      <c r="A3051" s="16" t="s">
        <v>4517</v>
      </c>
      <c r="B3051" s="22" t="s">
        <v>4528</v>
      </c>
      <c r="C3051" s="18" t="s">
        <v>4539</v>
      </c>
      <c r="D3051" s="19" t="s">
        <v>4536</v>
      </c>
      <c r="E3051" s="19" t="s">
        <v>4369</v>
      </c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</row>
    <row r="3052">
      <c r="A3052" s="16" t="s">
        <v>4517</v>
      </c>
      <c r="B3052" s="22" t="s">
        <v>4540</v>
      </c>
      <c r="C3052" s="18" t="s">
        <v>1365</v>
      </c>
      <c r="D3052" s="19" t="s">
        <v>4541</v>
      </c>
      <c r="E3052" s="18" t="s">
        <v>4542</v>
      </c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</row>
    <row r="3053">
      <c r="A3053" s="16" t="s">
        <v>4517</v>
      </c>
      <c r="B3053" s="22" t="s">
        <v>4540</v>
      </c>
      <c r="C3053" s="18" t="s">
        <v>1365</v>
      </c>
      <c r="D3053" s="19" t="s">
        <v>4541</v>
      </c>
      <c r="E3053" s="18" t="s">
        <v>4542</v>
      </c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</row>
    <row r="3054">
      <c r="A3054" s="16" t="s">
        <v>4517</v>
      </c>
      <c r="B3054" s="22" t="s">
        <v>4540</v>
      </c>
      <c r="C3054" s="18" t="s">
        <v>1365</v>
      </c>
      <c r="D3054" s="19" t="s">
        <v>4543</v>
      </c>
      <c r="E3054" s="18" t="s">
        <v>4542</v>
      </c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</row>
    <row r="3055">
      <c r="A3055" s="16" t="s">
        <v>4517</v>
      </c>
      <c r="B3055" s="22" t="s">
        <v>4540</v>
      </c>
      <c r="C3055" s="18" t="s">
        <v>1365</v>
      </c>
      <c r="D3055" s="19" t="s">
        <v>4543</v>
      </c>
      <c r="E3055" s="18" t="s">
        <v>4542</v>
      </c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</row>
    <row r="3056">
      <c r="A3056" s="16" t="s">
        <v>4517</v>
      </c>
      <c r="B3056" s="22" t="s">
        <v>4544</v>
      </c>
      <c r="C3056" s="18" t="s">
        <v>4545</v>
      </c>
      <c r="D3056" s="19" t="s">
        <v>4546</v>
      </c>
      <c r="E3056" s="9" t="s">
        <v>764</v>
      </c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</row>
    <row r="3057">
      <c r="A3057" s="16" t="s">
        <v>4517</v>
      </c>
      <c r="B3057" s="19" t="s">
        <v>4547</v>
      </c>
      <c r="C3057" s="18" t="s">
        <v>2047</v>
      </c>
      <c r="D3057" s="19" t="s">
        <v>4548</v>
      </c>
      <c r="E3057" s="19" t="s">
        <v>196</v>
      </c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</row>
    <row r="3058">
      <c r="A3058" s="16" t="s">
        <v>4517</v>
      </c>
      <c r="B3058" s="22" t="s">
        <v>4549</v>
      </c>
      <c r="C3058" s="18" t="s">
        <v>4550</v>
      </c>
      <c r="D3058" s="19" t="s">
        <v>4551</v>
      </c>
      <c r="E3058" s="20" t="s">
        <v>7</v>
      </c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</row>
    <row r="3059">
      <c r="A3059" s="16" t="s">
        <v>4517</v>
      </c>
      <c r="B3059" s="22" t="s">
        <v>4549</v>
      </c>
      <c r="C3059" s="18" t="s">
        <v>4550</v>
      </c>
      <c r="D3059" s="19" t="s">
        <v>4522</v>
      </c>
      <c r="E3059" s="20" t="s">
        <v>7</v>
      </c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</row>
    <row r="3060">
      <c r="A3060" s="16" t="s">
        <v>4517</v>
      </c>
      <c r="B3060" s="22" t="s">
        <v>4549</v>
      </c>
      <c r="C3060" s="18" t="s">
        <v>4550</v>
      </c>
      <c r="D3060" s="19" t="s">
        <v>4552</v>
      </c>
      <c r="E3060" s="20" t="s">
        <v>7</v>
      </c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</row>
    <row r="3061">
      <c r="A3061" s="16" t="s">
        <v>4517</v>
      </c>
      <c r="B3061" s="22" t="s">
        <v>4549</v>
      </c>
      <c r="C3061" s="18" t="s">
        <v>4550</v>
      </c>
      <c r="D3061" s="19" t="s">
        <v>4553</v>
      </c>
      <c r="E3061" s="20" t="s">
        <v>7</v>
      </c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</row>
    <row r="3062">
      <c r="A3062" s="16" t="s">
        <v>4517</v>
      </c>
      <c r="B3062" s="22" t="s">
        <v>4549</v>
      </c>
      <c r="C3062" s="18" t="s">
        <v>4550</v>
      </c>
      <c r="D3062" s="19" t="s">
        <v>4554</v>
      </c>
      <c r="E3062" s="20" t="s">
        <v>7</v>
      </c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</row>
    <row r="3063">
      <c r="A3063" s="16" t="s">
        <v>4517</v>
      </c>
      <c r="B3063" s="22" t="s">
        <v>4549</v>
      </c>
      <c r="C3063" s="18" t="s">
        <v>4555</v>
      </c>
      <c r="D3063" s="19" t="s">
        <v>4556</v>
      </c>
      <c r="E3063" s="20" t="s">
        <v>7</v>
      </c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</row>
    <row r="3064">
      <c r="A3064" s="16" t="s">
        <v>4517</v>
      </c>
      <c r="B3064" s="22" t="s">
        <v>4549</v>
      </c>
      <c r="C3064" s="18" t="s">
        <v>4550</v>
      </c>
      <c r="D3064" s="19" t="s">
        <v>4557</v>
      </c>
      <c r="E3064" s="20" t="s">
        <v>7</v>
      </c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</row>
    <row r="3065">
      <c r="A3065" s="16"/>
      <c r="B3065" s="22"/>
      <c r="C3065" s="18"/>
      <c r="D3065" s="1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</row>
    <row r="3066">
      <c r="A3066" s="16"/>
      <c r="B3066" s="22"/>
      <c r="C3066" s="18"/>
      <c r="D3066" s="1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</row>
    <row r="3067">
      <c r="A3067" s="16" t="s">
        <v>4558</v>
      </c>
      <c r="B3067" s="19" t="s">
        <v>4559</v>
      </c>
      <c r="C3067" s="18" t="s">
        <v>1431</v>
      </c>
      <c r="D3067" s="19" t="s">
        <v>4422</v>
      </c>
      <c r="E3067" s="9" t="s">
        <v>4560</v>
      </c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</row>
    <row r="3068">
      <c r="A3068" s="16" t="s">
        <v>4558</v>
      </c>
      <c r="B3068" s="22" t="s">
        <v>4518</v>
      </c>
      <c r="C3068" s="18" t="s">
        <v>4519</v>
      </c>
      <c r="D3068" s="19" t="s">
        <v>4561</v>
      </c>
      <c r="E3068" s="18" t="s">
        <v>4369</v>
      </c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</row>
    <row r="3069">
      <c r="A3069" s="16" t="s">
        <v>4558</v>
      </c>
      <c r="B3069" s="22" t="s">
        <v>4518</v>
      </c>
      <c r="C3069" s="18" t="s">
        <v>4519</v>
      </c>
      <c r="D3069" s="19" t="s">
        <v>4562</v>
      </c>
      <c r="E3069" s="18" t="s">
        <v>4369</v>
      </c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</row>
    <row r="3070">
      <c r="A3070" s="16" t="s">
        <v>4558</v>
      </c>
      <c r="B3070" s="22" t="s">
        <v>4518</v>
      </c>
      <c r="C3070" s="18" t="s">
        <v>4519</v>
      </c>
      <c r="D3070" s="19" t="s">
        <v>4563</v>
      </c>
      <c r="E3070" s="9" t="s">
        <v>14</v>
      </c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</row>
    <row r="3071">
      <c r="A3071" s="16" t="s">
        <v>4558</v>
      </c>
      <c r="B3071" s="22" t="s">
        <v>4564</v>
      </c>
      <c r="C3071" s="18" t="s">
        <v>1089</v>
      </c>
      <c r="D3071" s="19" t="s">
        <v>4565</v>
      </c>
      <c r="E3071" s="9" t="s">
        <v>2494</v>
      </c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</row>
    <row r="3072">
      <c r="A3072" s="16" t="s">
        <v>4558</v>
      </c>
      <c r="B3072" s="22" t="s">
        <v>4566</v>
      </c>
      <c r="C3072" s="18" t="s">
        <v>4412</v>
      </c>
      <c r="D3072" s="19" t="s">
        <v>4567</v>
      </c>
      <c r="E3072" s="9" t="s">
        <v>14</v>
      </c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</row>
    <row r="3073">
      <c r="A3073" s="16" t="s">
        <v>4558</v>
      </c>
      <c r="B3073" s="22" t="s">
        <v>4218</v>
      </c>
      <c r="C3073" s="18" t="s">
        <v>4568</v>
      </c>
      <c r="D3073" s="19" t="s">
        <v>4569</v>
      </c>
      <c r="E3073" s="18" t="s">
        <v>4369</v>
      </c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</row>
    <row r="3074">
      <c r="A3074" s="16" t="s">
        <v>4558</v>
      </c>
      <c r="B3074" s="22" t="s">
        <v>4218</v>
      </c>
      <c r="C3074" s="18" t="s">
        <v>3930</v>
      </c>
      <c r="D3074" s="19" t="s">
        <v>4569</v>
      </c>
      <c r="E3074" s="18" t="s">
        <v>4369</v>
      </c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</row>
    <row r="3075">
      <c r="A3075" s="16" t="s">
        <v>4558</v>
      </c>
      <c r="B3075" s="22" t="s">
        <v>4218</v>
      </c>
      <c r="C3075" s="18" t="s">
        <v>4219</v>
      </c>
      <c r="D3075" s="19" t="s">
        <v>4569</v>
      </c>
      <c r="E3075" s="18" t="s">
        <v>4369</v>
      </c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</row>
    <row r="3076">
      <c r="A3076" s="16" t="s">
        <v>4558</v>
      </c>
      <c r="B3076" s="22" t="s">
        <v>4218</v>
      </c>
      <c r="C3076" s="18" t="s">
        <v>4570</v>
      </c>
      <c r="D3076" s="19" t="s">
        <v>4571</v>
      </c>
      <c r="E3076" s="18" t="s">
        <v>4369</v>
      </c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</row>
    <row r="3077">
      <c r="A3077" s="16" t="s">
        <v>4558</v>
      </c>
      <c r="B3077" s="22" t="s">
        <v>4218</v>
      </c>
      <c r="C3077" s="18" t="s">
        <v>4334</v>
      </c>
      <c r="D3077" s="19" t="s">
        <v>4571</v>
      </c>
      <c r="E3077" s="18" t="s">
        <v>4369</v>
      </c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</row>
    <row r="3078">
      <c r="A3078" s="16" t="s">
        <v>4558</v>
      </c>
      <c r="B3078" s="22" t="s">
        <v>4218</v>
      </c>
      <c r="C3078" s="18" t="s">
        <v>4572</v>
      </c>
      <c r="D3078" s="19" t="s">
        <v>4571</v>
      </c>
      <c r="E3078" s="18" t="s">
        <v>4369</v>
      </c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</row>
    <row r="3079">
      <c r="A3079" s="16" t="s">
        <v>4558</v>
      </c>
      <c r="B3079" s="22" t="s">
        <v>4218</v>
      </c>
      <c r="C3079" s="18" t="s">
        <v>4219</v>
      </c>
      <c r="D3079" s="19" t="s">
        <v>4571</v>
      </c>
      <c r="E3079" s="18" t="s">
        <v>4369</v>
      </c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</row>
    <row r="3080">
      <c r="A3080" s="16" t="s">
        <v>4558</v>
      </c>
      <c r="B3080" s="22" t="s">
        <v>4218</v>
      </c>
      <c r="C3080" s="18" t="s">
        <v>3930</v>
      </c>
      <c r="D3080" s="19" t="s">
        <v>4573</v>
      </c>
      <c r="E3080" s="18" t="s">
        <v>4369</v>
      </c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</row>
    <row r="3081">
      <c r="A3081" s="16" t="s">
        <v>4558</v>
      </c>
      <c r="B3081" s="22" t="s">
        <v>4218</v>
      </c>
      <c r="C3081" s="18" t="s">
        <v>4219</v>
      </c>
      <c r="D3081" s="19" t="s">
        <v>4573</v>
      </c>
      <c r="E3081" s="18" t="s">
        <v>4369</v>
      </c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</row>
    <row r="3082">
      <c r="A3082" s="16"/>
      <c r="B3082" s="22"/>
      <c r="C3082" s="18"/>
      <c r="D3082" s="1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</row>
    <row r="3083">
      <c r="A3083" s="16"/>
      <c r="B3083" s="22"/>
      <c r="C3083" s="18"/>
      <c r="D3083" s="1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</row>
    <row r="3084">
      <c r="A3084" s="16" t="s">
        <v>4574</v>
      </c>
      <c r="B3084" s="22" t="s">
        <v>4490</v>
      </c>
      <c r="C3084" s="18" t="s">
        <v>4575</v>
      </c>
      <c r="D3084" s="19" t="s">
        <v>4576</v>
      </c>
      <c r="E3084" s="9" t="s">
        <v>2494</v>
      </c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</row>
    <row r="3085">
      <c r="A3085" s="16" t="s">
        <v>4574</v>
      </c>
      <c r="B3085" s="22" t="s">
        <v>4490</v>
      </c>
      <c r="C3085" s="18" t="s">
        <v>4577</v>
      </c>
      <c r="D3085" s="19" t="s">
        <v>4578</v>
      </c>
      <c r="E3085" s="9" t="s">
        <v>14</v>
      </c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</row>
    <row r="3086">
      <c r="A3086" s="16" t="s">
        <v>4574</v>
      </c>
      <c r="B3086" s="22" t="s">
        <v>4579</v>
      </c>
      <c r="C3086" s="18" t="s">
        <v>4580</v>
      </c>
      <c r="D3086" s="19" t="s">
        <v>4581</v>
      </c>
      <c r="E3086" s="9" t="s">
        <v>4261</v>
      </c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</row>
    <row r="3087">
      <c r="A3087" s="16" t="s">
        <v>4574</v>
      </c>
      <c r="B3087" s="22" t="s">
        <v>4579</v>
      </c>
      <c r="C3087" s="18" t="s">
        <v>4580</v>
      </c>
      <c r="D3087" s="19" t="s">
        <v>4582</v>
      </c>
      <c r="E3087" s="9" t="s">
        <v>4261</v>
      </c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</row>
    <row r="3088">
      <c r="A3088" s="16" t="s">
        <v>4574</v>
      </c>
      <c r="B3088" s="22" t="s">
        <v>4518</v>
      </c>
      <c r="C3088" s="18" t="s">
        <v>332</v>
      </c>
      <c r="D3088" s="19" t="s">
        <v>4583</v>
      </c>
      <c r="E3088" s="9" t="s">
        <v>4261</v>
      </c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</row>
    <row r="3089">
      <c r="A3089" s="16" t="s">
        <v>4574</v>
      </c>
      <c r="B3089" s="22" t="s">
        <v>4584</v>
      </c>
      <c r="C3089" s="18" t="s">
        <v>2634</v>
      </c>
      <c r="D3089" s="19" t="s">
        <v>4585</v>
      </c>
      <c r="E3089" s="18" t="s">
        <v>4369</v>
      </c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</row>
    <row r="3090">
      <c r="A3090" s="16" t="s">
        <v>4574</v>
      </c>
      <c r="B3090" s="22" t="s">
        <v>4584</v>
      </c>
      <c r="C3090" s="18" t="s">
        <v>4586</v>
      </c>
      <c r="D3090" s="19" t="s">
        <v>4587</v>
      </c>
      <c r="E3090" s="18" t="s">
        <v>4369</v>
      </c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</row>
    <row r="3091">
      <c r="A3091" s="16" t="s">
        <v>4574</v>
      </c>
      <c r="B3091" s="22" t="s">
        <v>4584</v>
      </c>
      <c r="C3091" s="18" t="s">
        <v>4588</v>
      </c>
      <c r="D3091" s="19" t="s">
        <v>4589</v>
      </c>
      <c r="E3091" s="18" t="s">
        <v>4369</v>
      </c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</row>
    <row r="3092">
      <c r="A3092" s="16" t="s">
        <v>4574</v>
      </c>
      <c r="B3092" s="22" t="s">
        <v>4584</v>
      </c>
      <c r="C3092" s="18" t="s">
        <v>1510</v>
      </c>
      <c r="D3092" s="19" t="s">
        <v>4590</v>
      </c>
      <c r="E3092" s="18" t="s">
        <v>4369</v>
      </c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</row>
    <row r="3093">
      <c r="A3093" s="16" t="s">
        <v>4574</v>
      </c>
      <c r="B3093" s="22" t="s">
        <v>4584</v>
      </c>
      <c r="C3093" s="18" t="s">
        <v>1510</v>
      </c>
      <c r="D3093" s="19" t="s">
        <v>4591</v>
      </c>
      <c r="E3093" s="18" t="s">
        <v>4369</v>
      </c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</row>
    <row r="3094">
      <c r="A3094" s="16" t="s">
        <v>4574</v>
      </c>
      <c r="B3094" s="22" t="s">
        <v>4584</v>
      </c>
      <c r="C3094" s="18" t="s">
        <v>4586</v>
      </c>
      <c r="D3094" s="19" t="s">
        <v>4592</v>
      </c>
      <c r="E3094" s="18" t="s">
        <v>4369</v>
      </c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</row>
    <row r="3095">
      <c r="A3095" s="16" t="s">
        <v>4574</v>
      </c>
      <c r="B3095" s="22" t="s">
        <v>4584</v>
      </c>
      <c r="C3095" s="18" t="s">
        <v>1510</v>
      </c>
      <c r="D3095" s="19" t="s">
        <v>4593</v>
      </c>
      <c r="E3095" s="18" t="s">
        <v>4369</v>
      </c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</row>
    <row r="3096">
      <c r="A3096" s="16" t="s">
        <v>4574</v>
      </c>
      <c r="B3096" s="22" t="s">
        <v>4584</v>
      </c>
      <c r="C3096" s="18" t="s">
        <v>1510</v>
      </c>
      <c r="D3096" s="19" t="s">
        <v>4594</v>
      </c>
      <c r="E3096" s="18" t="s">
        <v>4369</v>
      </c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</row>
    <row r="3097">
      <c r="A3097" s="16" t="s">
        <v>4574</v>
      </c>
      <c r="B3097" s="22" t="s">
        <v>4584</v>
      </c>
      <c r="C3097" s="18" t="s">
        <v>4586</v>
      </c>
      <c r="D3097" s="19" t="s">
        <v>4595</v>
      </c>
      <c r="E3097" s="18" t="s">
        <v>4369</v>
      </c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</row>
    <row r="3098">
      <c r="A3098" s="16" t="s">
        <v>4574</v>
      </c>
      <c r="B3098" s="22" t="s">
        <v>4584</v>
      </c>
      <c r="C3098" s="18" t="s">
        <v>4586</v>
      </c>
      <c r="D3098" s="19" t="s">
        <v>4596</v>
      </c>
      <c r="E3098" s="18" t="s">
        <v>4369</v>
      </c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</row>
    <row r="3099">
      <c r="A3099" s="16" t="s">
        <v>4574</v>
      </c>
      <c r="B3099" s="22" t="s">
        <v>4584</v>
      </c>
      <c r="C3099" s="18" t="s">
        <v>4586</v>
      </c>
      <c r="D3099" s="9"/>
      <c r="E3099" s="18" t="s">
        <v>4369</v>
      </c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</row>
    <row r="3100">
      <c r="A3100" s="16" t="s">
        <v>4574</v>
      </c>
      <c r="B3100" s="22" t="s">
        <v>4584</v>
      </c>
      <c r="C3100" s="18" t="s">
        <v>4586</v>
      </c>
      <c r="D3100" s="9"/>
      <c r="E3100" s="18" t="s">
        <v>4369</v>
      </c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</row>
    <row r="3101">
      <c r="A3101" s="16" t="s">
        <v>4574</v>
      </c>
      <c r="B3101" s="22" t="s">
        <v>4584</v>
      </c>
      <c r="C3101" s="18" t="s">
        <v>4586</v>
      </c>
      <c r="D3101" s="9"/>
      <c r="E3101" s="18" t="s">
        <v>4369</v>
      </c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</row>
    <row r="3102">
      <c r="A3102" s="16" t="s">
        <v>4574</v>
      </c>
      <c r="B3102" s="22" t="s">
        <v>4584</v>
      </c>
      <c r="C3102" s="18" t="s">
        <v>4588</v>
      </c>
      <c r="D3102" s="9"/>
      <c r="E3102" s="18" t="s">
        <v>4369</v>
      </c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</row>
    <row r="3103">
      <c r="A3103" s="16" t="s">
        <v>4574</v>
      </c>
      <c r="B3103" s="22" t="s">
        <v>4584</v>
      </c>
      <c r="C3103" s="18" t="s">
        <v>1510</v>
      </c>
      <c r="D3103" s="9"/>
      <c r="E3103" s="18" t="s">
        <v>4369</v>
      </c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</row>
    <row r="3104">
      <c r="A3104" s="16" t="s">
        <v>4574</v>
      </c>
      <c r="B3104" s="22" t="s">
        <v>4584</v>
      </c>
      <c r="C3104" s="18" t="s">
        <v>4586</v>
      </c>
      <c r="D3104" s="9"/>
      <c r="E3104" s="18" t="s">
        <v>4369</v>
      </c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</row>
    <row r="3105">
      <c r="A3105" s="16" t="s">
        <v>4574</v>
      </c>
      <c r="B3105" s="22" t="s">
        <v>4584</v>
      </c>
      <c r="C3105" s="18" t="s">
        <v>1510</v>
      </c>
      <c r="D3105" s="9"/>
      <c r="E3105" s="18" t="s">
        <v>4369</v>
      </c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</row>
    <row r="3106">
      <c r="A3106" s="16" t="s">
        <v>4574</v>
      </c>
      <c r="B3106" s="22" t="s">
        <v>4597</v>
      </c>
      <c r="C3106" s="18" t="s">
        <v>4598</v>
      </c>
      <c r="D3106" s="19" t="s">
        <v>4599</v>
      </c>
      <c r="E3106" s="18" t="s">
        <v>4369</v>
      </c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</row>
    <row r="3107">
      <c r="A3107" s="16" t="s">
        <v>4574</v>
      </c>
      <c r="B3107" s="22" t="s">
        <v>4597</v>
      </c>
      <c r="C3107" s="18" t="s">
        <v>4600</v>
      </c>
      <c r="D3107" s="19" t="s">
        <v>4601</v>
      </c>
      <c r="E3107" s="18" t="s">
        <v>4602</v>
      </c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</row>
    <row r="3108">
      <c r="A3108" s="16" t="s">
        <v>4574</v>
      </c>
      <c r="B3108" s="22" t="s">
        <v>4603</v>
      </c>
      <c r="C3108" s="18" t="s">
        <v>4604</v>
      </c>
      <c r="D3108" s="19" t="s">
        <v>4605</v>
      </c>
      <c r="E3108" s="9" t="s">
        <v>14</v>
      </c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</row>
    <row r="3109">
      <c r="A3109" s="16" t="s">
        <v>4574</v>
      </c>
      <c r="B3109" s="22" t="s">
        <v>4606</v>
      </c>
      <c r="C3109" s="18" t="s">
        <v>4607</v>
      </c>
      <c r="D3109" s="19" t="s">
        <v>4608</v>
      </c>
      <c r="E3109" s="9" t="s">
        <v>2494</v>
      </c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</row>
    <row r="3110">
      <c r="A3110" s="16" t="s">
        <v>4574</v>
      </c>
      <c r="B3110" s="22" t="s">
        <v>4218</v>
      </c>
      <c r="C3110" s="18" t="s">
        <v>4609</v>
      </c>
      <c r="D3110" s="19" t="s">
        <v>4610</v>
      </c>
      <c r="E3110" s="20" t="s">
        <v>7</v>
      </c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</row>
    <row r="3111">
      <c r="A3111" s="16" t="s">
        <v>4574</v>
      </c>
      <c r="B3111" s="22" t="s">
        <v>4218</v>
      </c>
      <c r="C3111" s="18" t="s">
        <v>4611</v>
      </c>
      <c r="D3111" s="19" t="s">
        <v>4610</v>
      </c>
      <c r="E3111" s="20" t="s">
        <v>7</v>
      </c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</row>
    <row r="3112">
      <c r="A3112" s="16" t="s">
        <v>4574</v>
      </c>
      <c r="B3112" s="22" t="s">
        <v>4218</v>
      </c>
      <c r="C3112" s="18" t="s">
        <v>4334</v>
      </c>
      <c r="D3112" s="19" t="s">
        <v>4610</v>
      </c>
      <c r="E3112" s="20" t="s">
        <v>7</v>
      </c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</row>
    <row r="3113">
      <c r="A3113" s="16" t="s">
        <v>4574</v>
      </c>
      <c r="B3113" s="22" t="s">
        <v>4218</v>
      </c>
      <c r="C3113" s="18" t="s">
        <v>4612</v>
      </c>
      <c r="D3113" s="19" t="s">
        <v>4610</v>
      </c>
      <c r="E3113" s="20" t="s">
        <v>7</v>
      </c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</row>
    <row r="3114">
      <c r="A3114" s="16" t="s">
        <v>4574</v>
      </c>
      <c r="B3114" s="22" t="s">
        <v>4218</v>
      </c>
      <c r="C3114" s="18" t="s">
        <v>3930</v>
      </c>
      <c r="D3114" s="19" t="s">
        <v>4610</v>
      </c>
      <c r="E3114" s="20" t="s">
        <v>7</v>
      </c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</row>
    <row r="3115">
      <c r="A3115" s="16" t="s">
        <v>4574</v>
      </c>
      <c r="B3115" s="22" t="s">
        <v>4218</v>
      </c>
      <c r="C3115" s="18" t="s">
        <v>4219</v>
      </c>
      <c r="D3115" s="19" t="s">
        <v>4610</v>
      </c>
      <c r="E3115" s="20" t="s">
        <v>7</v>
      </c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</row>
    <row r="3116">
      <c r="A3116" s="16" t="s">
        <v>4574</v>
      </c>
      <c r="B3116" s="22" t="s">
        <v>4218</v>
      </c>
      <c r="C3116" s="18" t="s">
        <v>4609</v>
      </c>
      <c r="D3116" s="19" t="s">
        <v>4613</v>
      </c>
      <c r="E3116" s="20" t="s">
        <v>7</v>
      </c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</row>
    <row r="3117">
      <c r="A3117" s="16" t="s">
        <v>4574</v>
      </c>
      <c r="B3117" s="22" t="s">
        <v>4218</v>
      </c>
      <c r="C3117" s="18" t="s">
        <v>4570</v>
      </c>
      <c r="D3117" s="19" t="s">
        <v>4613</v>
      </c>
      <c r="E3117" s="20" t="s">
        <v>7</v>
      </c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</row>
    <row r="3118">
      <c r="A3118" s="16" t="s">
        <v>4574</v>
      </c>
      <c r="B3118" s="22" t="s">
        <v>4218</v>
      </c>
      <c r="C3118" s="18" t="s">
        <v>4334</v>
      </c>
      <c r="D3118" s="19" t="s">
        <v>4613</v>
      </c>
      <c r="E3118" s="20" t="s">
        <v>7</v>
      </c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</row>
    <row r="3119">
      <c r="A3119" s="16" t="s">
        <v>4574</v>
      </c>
      <c r="B3119" s="22" t="s">
        <v>4218</v>
      </c>
      <c r="C3119" s="18" t="s">
        <v>4614</v>
      </c>
      <c r="D3119" s="19" t="s">
        <v>4615</v>
      </c>
      <c r="E3119" s="20" t="s">
        <v>7</v>
      </c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</row>
    <row r="3120">
      <c r="A3120" s="16" t="s">
        <v>4574</v>
      </c>
      <c r="B3120" s="22" t="s">
        <v>4218</v>
      </c>
      <c r="C3120" s="18" t="s">
        <v>4572</v>
      </c>
      <c r="D3120" s="19" t="s">
        <v>4615</v>
      </c>
      <c r="E3120" s="18" t="s">
        <v>4369</v>
      </c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</row>
    <row r="3121">
      <c r="A3121" s="16" t="s">
        <v>4574</v>
      </c>
      <c r="B3121" s="22" t="s">
        <v>4218</v>
      </c>
      <c r="C3121" s="18" t="s">
        <v>4219</v>
      </c>
      <c r="D3121" s="19" t="s">
        <v>4615</v>
      </c>
      <c r="E3121" s="18" t="s">
        <v>4369</v>
      </c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</row>
    <row r="3122">
      <c r="A3122" s="16" t="s">
        <v>4574</v>
      </c>
      <c r="B3122" s="22" t="s">
        <v>4218</v>
      </c>
      <c r="C3122" s="18" t="s">
        <v>4616</v>
      </c>
      <c r="D3122" s="19" t="s">
        <v>4617</v>
      </c>
      <c r="E3122" s="18" t="s">
        <v>4369</v>
      </c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</row>
    <row r="3123">
      <c r="A3123" s="16" t="s">
        <v>4574</v>
      </c>
      <c r="B3123" s="22" t="s">
        <v>4218</v>
      </c>
      <c r="C3123" s="18" t="s">
        <v>3930</v>
      </c>
      <c r="D3123" s="19" t="s">
        <v>4617</v>
      </c>
      <c r="E3123" s="18" t="s">
        <v>4369</v>
      </c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</row>
    <row r="3124">
      <c r="A3124" s="16" t="s">
        <v>4574</v>
      </c>
      <c r="B3124" s="22" t="s">
        <v>4218</v>
      </c>
      <c r="C3124" s="18" t="s">
        <v>4219</v>
      </c>
      <c r="D3124" s="19" t="s">
        <v>4617</v>
      </c>
      <c r="E3124" s="18" t="s">
        <v>4369</v>
      </c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</row>
    <row r="3125">
      <c r="A3125" s="16" t="s">
        <v>4574</v>
      </c>
      <c r="B3125" s="22" t="s">
        <v>4218</v>
      </c>
      <c r="C3125" s="18" t="s">
        <v>4609</v>
      </c>
      <c r="D3125" s="19" t="s">
        <v>4571</v>
      </c>
      <c r="E3125" s="18" t="s">
        <v>4369</v>
      </c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</row>
    <row r="3126">
      <c r="A3126" s="16" t="s">
        <v>4574</v>
      </c>
      <c r="B3126" s="22" t="s">
        <v>4218</v>
      </c>
      <c r="C3126" s="18" t="s">
        <v>4570</v>
      </c>
      <c r="D3126" s="19" t="s">
        <v>4571</v>
      </c>
      <c r="E3126" s="18" t="s">
        <v>4369</v>
      </c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</row>
    <row r="3127">
      <c r="A3127" s="16" t="s">
        <v>4574</v>
      </c>
      <c r="B3127" s="22" t="s">
        <v>4218</v>
      </c>
      <c r="C3127" s="18" t="s">
        <v>4334</v>
      </c>
      <c r="D3127" s="19" t="s">
        <v>4571</v>
      </c>
      <c r="E3127" s="18" t="s">
        <v>4369</v>
      </c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</row>
    <row r="3128">
      <c r="A3128" s="16" t="s">
        <v>4574</v>
      </c>
      <c r="B3128" s="22" t="s">
        <v>4218</v>
      </c>
      <c r="C3128" s="18" t="s">
        <v>4618</v>
      </c>
      <c r="D3128" s="19" t="s">
        <v>4571</v>
      </c>
      <c r="E3128" s="18" t="s">
        <v>4369</v>
      </c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</row>
    <row r="3129">
      <c r="A3129" s="16" t="s">
        <v>4574</v>
      </c>
      <c r="B3129" s="22" t="s">
        <v>4218</v>
      </c>
      <c r="C3129" s="18" t="s">
        <v>4572</v>
      </c>
      <c r="D3129" s="19" t="s">
        <v>4571</v>
      </c>
      <c r="E3129" s="18" t="s">
        <v>4369</v>
      </c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</row>
    <row r="3130">
      <c r="A3130" s="16" t="s">
        <v>4574</v>
      </c>
      <c r="B3130" s="22" t="s">
        <v>4218</v>
      </c>
      <c r="C3130" s="18" t="s">
        <v>4219</v>
      </c>
      <c r="D3130" s="19" t="s">
        <v>4571</v>
      </c>
      <c r="E3130" s="18" t="s">
        <v>4369</v>
      </c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</row>
    <row r="3131">
      <c r="A3131" s="16" t="s">
        <v>4574</v>
      </c>
      <c r="B3131" s="22" t="s">
        <v>4218</v>
      </c>
      <c r="C3131" s="18" t="s">
        <v>4619</v>
      </c>
      <c r="D3131" s="19" t="s">
        <v>4569</v>
      </c>
      <c r="E3131" s="18" t="s">
        <v>4369</v>
      </c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</row>
    <row r="3132">
      <c r="A3132" s="16" t="s">
        <v>4574</v>
      </c>
      <c r="B3132" s="22" t="s">
        <v>4218</v>
      </c>
      <c r="C3132" s="18" t="s">
        <v>3930</v>
      </c>
      <c r="D3132" s="19" t="s">
        <v>4569</v>
      </c>
      <c r="E3132" s="18" t="s">
        <v>4369</v>
      </c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</row>
    <row r="3133">
      <c r="A3133" s="16" t="s">
        <v>4574</v>
      </c>
      <c r="B3133" s="22" t="s">
        <v>4218</v>
      </c>
      <c r="C3133" s="18" t="s">
        <v>4219</v>
      </c>
      <c r="D3133" s="19" t="s">
        <v>4569</v>
      </c>
      <c r="E3133" s="18" t="s">
        <v>4369</v>
      </c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</row>
    <row r="3134">
      <c r="A3134" s="16"/>
      <c r="B3134" s="22"/>
      <c r="C3134" s="18"/>
      <c r="D3134" s="1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</row>
    <row r="3135">
      <c r="A3135" s="16"/>
      <c r="B3135" s="22"/>
      <c r="C3135" s="18"/>
      <c r="D3135" s="1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</row>
    <row r="3136">
      <c r="A3136" s="16" t="s">
        <v>4620</v>
      </c>
      <c r="B3136" s="22" t="s">
        <v>4621</v>
      </c>
      <c r="C3136" s="18" t="s">
        <v>4588</v>
      </c>
      <c r="D3136" s="19" t="s">
        <v>4622</v>
      </c>
      <c r="E3136" s="9" t="s">
        <v>4261</v>
      </c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</row>
    <row r="3137">
      <c r="A3137" s="16" t="s">
        <v>4620</v>
      </c>
      <c r="B3137" s="22" t="s">
        <v>4621</v>
      </c>
      <c r="C3137" s="18" t="s">
        <v>4588</v>
      </c>
      <c r="D3137" s="19" t="s">
        <v>4623</v>
      </c>
      <c r="E3137" s="9" t="s">
        <v>4624</v>
      </c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</row>
    <row r="3138">
      <c r="A3138" s="16" t="s">
        <v>4620</v>
      </c>
      <c r="B3138" s="22" t="s">
        <v>4621</v>
      </c>
      <c r="C3138" s="18" t="s">
        <v>4625</v>
      </c>
      <c r="D3138" s="19" t="s">
        <v>4626</v>
      </c>
      <c r="E3138" s="9" t="s">
        <v>4624</v>
      </c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</row>
    <row r="3139">
      <c r="A3139" s="16" t="s">
        <v>4620</v>
      </c>
      <c r="B3139" s="22" t="s">
        <v>4621</v>
      </c>
      <c r="C3139" s="18" t="s">
        <v>4588</v>
      </c>
      <c r="D3139" s="19" t="s">
        <v>4627</v>
      </c>
      <c r="E3139" s="9" t="s">
        <v>4624</v>
      </c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</row>
    <row r="3140">
      <c r="A3140" s="16" t="s">
        <v>4620</v>
      </c>
      <c r="B3140" s="22" t="s">
        <v>4621</v>
      </c>
      <c r="C3140" s="18" t="s">
        <v>4625</v>
      </c>
      <c r="D3140" s="19" t="s">
        <v>4628</v>
      </c>
      <c r="E3140" s="9" t="s">
        <v>4624</v>
      </c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</row>
    <row r="3141">
      <c r="A3141" s="16" t="s">
        <v>4620</v>
      </c>
      <c r="B3141" s="22" t="s">
        <v>4621</v>
      </c>
      <c r="C3141" s="18" t="s">
        <v>4588</v>
      </c>
      <c r="D3141" s="19" t="s">
        <v>4629</v>
      </c>
      <c r="E3141" s="9" t="s">
        <v>4624</v>
      </c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</row>
    <row r="3142">
      <c r="A3142" s="16" t="s">
        <v>4620</v>
      </c>
      <c r="B3142" s="22" t="s">
        <v>4621</v>
      </c>
      <c r="C3142" s="18" t="s">
        <v>4588</v>
      </c>
      <c r="D3142" s="19" t="s">
        <v>4630</v>
      </c>
      <c r="E3142" s="9" t="s">
        <v>4624</v>
      </c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</row>
    <row r="3143">
      <c r="A3143" s="16" t="s">
        <v>4620</v>
      </c>
      <c r="B3143" s="22" t="s">
        <v>4621</v>
      </c>
      <c r="C3143" s="18" t="s">
        <v>4586</v>
      </c>
      <c r="D3143" s="19" t="s">
        <v>4631</v>
      </c>
      <c r="E3143" s="9" t="s">
        <v>4624</v>
      </c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</row>
    <row r="3144">
      <c r="A3144" s="16" t="s">
        <v>4620</v>
      </c>
      <c r="B3144" s="22" t="s">
        <v>4632</v>
      </c>
      <c r="C3144" s="18" t="s">
        <v>4633</v>
      </c>
      <c r="D3144" s="19" t="s">
        <v>4634</v>
      </c>
      <c r="E3144" s="9" t="s">
        <v>14</v>
      </c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</row>
    <row r="3145">
      <c r="A3145" s="16" t="s">
        <v>4620</v>
      </c>
      <c r="B3145" s="22" t="s">
        <v>4218</v>
      </c>
      <c r="C3145" s="18" t="s">
        <v>4614</v>
      </c>
      <c r="D3145" s="19" t="s">
        <v>4615</v>
      </c>
      <c r="E3145" s="9" t="s">
        <v>4624</v>
      </c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</row>
    <row r="3146">
      <c r="A3146" s="16" t="s">
        <v>4620</v>
      </c>
      <c r="B3146" s="22" t="s">
        <v>4218</v>
      </c>
      <c r="C3146" s="18" t="s">
        <v>4572</v>
      </c>
      <c r="D3146" s="19" t="s">
        <v>4615</v>
      </c>
      <c r="E3146" s="9" t="s">
        <v>4624</v>
      </c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</row>
    <row r="3147">
      <c r="A3147" s="16" t="s">
        <v>4620</v>
      </c>
      <c r="B3147" s="22" t="s">
        <v>4218</v>
      </c>
      <c r="C3147" s="18" t="s">
        <v>4219</v>
      </c>
      <c r="D3147" s="19" t="s">
        <v>4615</v>
      </c>
      <c r="E3147" s="9" t="s">
        <v>4624</v>
      </c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</row>
    <row r="3148">
      <c r="A3148" s="16" t="s">
        <v>4620</v>
      </c>
      <c r="B3148" s="22" t="s">
        <v>4218</v>
      </c>
      <c r="C3148" s="18" t="s">
        <v>4616</v>
      </c>
      <c r="D3148" s="19" t="s">
        <v>4617</v>
      </c>
      <c r="E3148" s="9" t="s">
        <v>4624</v>
      </c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</row>
    <row r="3149">
      <c r="A3149" s="16" t="s">
        <v>4620</v>
      </c>
      <c r="B3149" s="22" t="s">
        <v>4218</v>
      </c>
      <c r="C3149" s="18" t="s">
        <v>3930</v>
      </c>
      <c r="D3149" s="19" t="s">
        <v>4617</v>
      </c>
      <c r="E3149" s="9" t="s">
        <v>4624</v>
      </c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</row>
    <row r="3150">
      <c r="A3150" s="16" t="s">
        <v>4620</v>
      </c>
      <c r="B3150" s="22" t="s">
        <v>4218</v>
      </c>
      <c r="C3150" s="18" t="s">
        <v>4219</v>
      </c>
      <c r="D3150" s="19" t="s">
        <v>4617</v>
      </c>
      <c r="E3150" s="9" t="s">
        <v>4624</v>
      </c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</row>
    <row r="3151">
      <c r="A3151" s="16" t="s">
        <v>4620</v>
      </c>
      <c r="B3151" s="22" t="s">
        <v>4218</v>
      </c>
      <c r="C3151" s="18" t="s">
        <v>4609</v>
      </c>
      <c r="D3151" s="19" t="s">
        <v>4610</v>
      </c>
      <c r="E3151" s="9" t="s">
        <v>4624</v>
      </c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</row>
    <row r="3152">
      <c r="A3152" s="16" t="s">
        <v>4620</v>
      </c>
      <c r="B3152" s="22" t="s">
        <v>4218</v>
      </c>
      <c r="C3152" s="18" t="s">
        <v>4570</v>
      </c>
      <c r="D3152" s="19" t="s">
        <v>4610</v>
      </c>
      <c r="E3152" s="9" t="s">
        <v>4624</v>
      </c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</row>
    <row r="3153">
      <c r="A3153" s="16" t="s">
        <v>4620</v>
      </c>
      <c r="B3153" s="22" t="s">
        <v>4218</v>
      </c>
      <c r="C3153" s="18" t="s">
        <v>4334</v>
      </c>
      <c r="D3153" s="19" t="s">
        <v>4610</v>
      </c>
      <c r="E3153" s="9" t="s">
        <v>4624</v>
      </c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</row>
    <row r="3154">
      <c r="A3154" s="16" t="s">
        <v>4620</v>
      </c>
      <c r="B3154" s="22" t="s">
        <v>4218</v>
      </c>
      <c r="C3154" s="18" t="s">
        <v>4612</v>
      </c>
      <c r="D3154" s="19" t="s">
        <v>4610</v>
      </c>
      <c r="E3154" s="9" t="s">
        <v>4624</v>
      </c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</row>
    <row r="3155">
      <c r="A3155" s="16" t="s">
        <v>4620</v>
      </c>
      <c r="B3155" s="22" t="s">
        <v>4218</v>
      </c>
      <c r="C3155" s="18" t="s">
        <v>3930</v>
      </c>
      <c r="D3155" s="19" t="s">
        <v>4610</v>
      </c>
      <c r="E3155" s="9" t="s">
        <v>4624</v>
      </c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</row>
    <row r="3156">
      <c r="A3156" s="16" t="s">
        <v>4620</v>
      </c>
      <c r="B3156" s="22" t="s">
        <v>4218</v>
      </c>
      <c r="C3156" s="18" t="s">
        <v>4219</v>
      </c>
      <c r="D3156" s="19" t="s">
        <v>4610</v>
      </c>
      <c r="E3156" s="9" t="s">
        <v>4624</v>
      </c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</row>
    <row r="3157">
      <c r="A3157" s="16" t="s">
        <v>4620</v>
      </c>
      <c r="B3157" s="22" t="s">
        <v>4218</v>
      </c>
      <c r="C3157" s="18" t="s">
        <v>4618</v>
      </c>
      <c r="D3157" s="19" t="s">
        <v>4571</v>
      </c>
      <c r="E3157" s="9" t="s">
        <v>4624</v>
      </c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</row>
    <row r="3158">
      <c r="A3158" s="16" t="s">
        <v>4620</v>
      </c>
      <c r="B3158" s="22" t="s">
        <v>4218</v>
      </c>
      <c r="C3158" s="18" t="s">
        <v>4572</v>
      </c>
      <c r="D3158" s="19" t="s">
        <v>4571</v>
      </c>
      <c r="E3158" s="9" t="s">
        <v>4624</v>
      </c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</row>
    <row r="3159">
      <c r="A3159" s="16" t="s">
        <v>4620</v>
      </c>
      <c r="B3159" s="22" t="s">
        <v>4218</v>
      </c>
      <c r="C3159" s="18" t="s">
        <v>4219</v>
      </c>
      <c r="D3159" s="19" t="s">
        <v>4571</v>
      </c>
      <c r="E3159" s="9" t="s">
        <v>4624</v>
      </c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</row>
    <row r="3160">
      <c r="A3160" s="16" t="s">
        <v>4620</v>
      </c>
      <c r="B3160" s="22" t="s">
        <v>4218</v>
      </c>
      <c r="C3160" s="18" t="s">
        <v>4609</v>
      </c>
      <c r="D3160" s="19" t="s">
        <v>4613</v>
      </c>
      <c r="E3160" s="9" t="s">
        <v>4624</v>
      </c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</row>
    <row r="3161">
      <c r="A3161" s="16" t="s">
        <v>4620</v>
      </c>
      <c r="B3161" s="22" t="s">
        <v>4218</v>
      </c>
      <c r="C3161" s="18" t="s">
        <v>4570</v>
      </c>
      <c r="D3161" s="19" t="s">
        <v>4613</v>
      </c>
      <c r="E3161" s="9" t="s">
        <v>4624</v>
      </c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</row>
    <row r="3162">
      <c r="A3162" s="16" t="s">
        <v>4620</v>
      </c>
      <c r="B3162" s="22" t="s">
        <v>4218</v>
      </c>
      <c r="C3162" s="18" t="s">
        <v>4334</v>
      </c>
      <c r="D3162" s="19" t="s">
        <v>4613</v>
      </c>
      <c r="E3162" s="9" t="s">
        <v>4624</v>
      </c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</row>
    <row r="3163">
      <c r="A3163" s="16" t="s">
        <v>4620</v>
      </c>
      <c r="B3163" s="22" t="s">
        <v>4218</v>
      </c>
      <c r="C3163" s="18" t="s">
        <v>4619</v>
      </c>
      <c r="D3163" s="19" t="s">
        <v>4569</v>
      </c>
      <c r="E3163" s="9" t="s">
        <v>4624</v>
      </c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</row>
    <row r="3164">
      <c r="A3164" s="16" t="s">
        <v>4620</v>
      </c>
      <c r="B3164" s="22" t="s">
        <v>4218</v>
      </c>
      <c r="C3164" s="18" t="s">
        <v>3930</v>
      </c>
      <c r="D3164" s="19" t="s">
        <v>4569</v>
      </c>
      <c r="E3164" s="9" t="s">
        <v>4624</v>
      </c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</row>
    <row r="3165">
      <c r="A3165" s="16" t="s">
        <v>4620</v>
      </c>
      <c r="B3165" s="22" t="s">
        <v>4218</v>
      </c>
      <c r="C3165" s="18" t="s">
        <v>4219</v>
      </c>
      <c r="D3165" s="19" t="s">
        <v>4569</v>
      </c>
      <c r="E3165" s="9" t="s">
        <v>4624</v>
      </c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</row>
    <row r="3166">
      <c r="A3166" s="16" t="s">
        <v>4620</v>
      </c>
      <c r="B3166" s="22" t="s">
        <v>4218</v>
      </c>
      <c r="C3166" s="18" t="s">
        <v>4609</v>
      </c>
      <c r="D3166" s="19" t="s">
        <v>4571</v>
      </c>
      <c r="E3166" s="9" t="s">
        <v>4624</v>
      </c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</row>
    <row r="3167">
      <c r="A3167" s="16" t="s">
        <v>4620</v>
      </c>
      <c r="B3167" s="22" t="s">
        <v>4218</v>
      </c>
      <c r="C3167" s="18" t="s">
        <v>4570</v>
      </c>
      <c r="D3167" s="19" t="s">
        <v>4571</v>
      </c>
      <c r="E3167" s="9" t="s">
        <v>4624</v>
      </c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</row>
    <row r="3168">
      <c r="A3168" s="16" t="s">
        <v>4620</v>
      </c>
      <c r="B3168" s="22" t="s">
        <v>4218</v>
      </c>
      <c r="C3168" s="18" t="s">
        <v>4334</v>
      </c>
      <c r="D3168" s="19" t="s">
        <v>4571</v>
      </c>
      <c r="E3168" s="9" t="s">
        <v>4624</v>
      </c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</row>
    <row r="3169">
      <c r="A3169" s="16"/>
      <c r="B3169" s="22"/>
      <c r="C3169" s="18"/>
      <c r="D3169" s="1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</row>
    <row r="3170">
      <c r="A3170" s="16"/>
      <c r="B3170" s="22"/>
      <c r="C3170" s="18"/>
      <c r="D3170" s="1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</row>
    <row r="3171">
      <c r="A3171" s="16" t="s">
        <v>4635</v>
      </c>
      <c r="B3171" s="22" t="s">
        <v>4632</v>
      </c>
      <c r="C3171" s="18" t="s">
        <v>4636</v>
      </c>
      <c r="D3171" s="19" t="s">
        <v>4637</v>
      </c>
      <c r="E3171" s="18" t="s">
        <v>4638</v>
      </c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</row>
    <row r="3172">
      <c r="A3172" s="16"/>
      <c r="B3172" s="22"/>
      <c r="C3172" s="18"/>
      <c r="D3172" s="1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</row>
    <row r="3173">
      <c r="A3173" s="16"/>
      <c r="B3173" s="22"/>
      <c r="C3173" s="18"/>
      <c r="D3173" s="1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</row>
    <row r="3174">
      <c r="A3174" s="16" t="s">
        <v>4639</v>
      </c>
      <c r="B3174" s="22" t="s">
        <v>4218</v>
      </c>
      <c r="C3174" s="18" t="s">
        <v>4616</v>
      </c>
      <c r="D3174" s="19" t="s">
        <v>4640</v>
      </c>
      <c r="E3174" s="9" t="s">
        <v>4624</v>
      </c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</row>
    <row r="3175">
      <c r="A3175" s="16" t="s">
        <v>4639</v>
      </c>
      <c r="B3175" s="22" t="s">
        <v>4218</v>
      </c>
      <c r="C3175" s="18" t="s">
        <v>4641</v>
      </c>
      <c r="D3175" s="19" t="s">
        <v>4640</v>
      </c>
      <c r="E3175" s="9" t="s">
        <v>4624</v>
      </c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</row>
    <row r="3176">
      <c r="A3176" s="16" t="s">
        <v>4639</v>
      </c>
      <c r="B3176" s="22" t="s">
        <v>4218</v>
      </c>
      <c r="C3176" s="18" t="s">
        <v>4642</v>
      </c>
      <c r="D3176" s="19" t="s">
        <v>4640</v>
      </c>
      <c r="E3176" s="9" t="s">
        <v>4624</v>
      </c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</row>
    <row r="3177">
      <c r="A3177" s="16" t="s">
        <v>4639</v>
      </c>
      <c r="B3177" s="22" t="s">
        <v>4218</v>
      </c>
      <c r="C3177" s="18" t="s">
        <v>4643</v>
      </c>
      <c r="D3177" s="19" t="s">
        <v>4644</v>
      </c>
      <c r="E3177" s="9" t="s">
        <v>4624</v>
      </c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</row>
    <row r="3178">
      <c r="A3178" s="16" t="s">
        <v>4639</v>
      </c>
      <c r="B3178" s="22" t="s">
        <v>4218</v>
      </c>
      <c r="C3178" s="18" t="s">
        <v>4645</v>
      </c>
      <c r="D3178" s="19" t="s">
        <v>4644</v>
      </c>
      <c r="E3178" s="9" t="s">
        <v>4624</v>
      </c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</row>
    <row r="3179">
      <c r="A3179" s="16" t="s">
        <v>4639</v>
      </c>
      <c r="B3179" s="22" t="s">
        <v>4218</v>
      </c>
      <c r="C3179" s="18" t="s">
        <v>4219</v>
      </c>
      <c r="D3179" s="19" t="s">
        <v>4644</v>
      </c>
      <c r="E3179" s="9" t="s">
        <v>4624</v>
      </c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</row>
    <row r="3180">
      <c r="A3180" s="16" t="s">
        <v>4639</v>
      </c>
      <c r="B3180" s="19" t="s">
        <v>4646</v>
      </c>
      <c r="C3180" s="18" t="s">
        <v>939</v>
      </c>
      <c r="D3180" s="19" t="s">
        <v>4647</v>
      </c>
      <c r="E3180" s="9" t="s">
        <v>320</v>
      </c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</row>
    <row r="3181">
      <c r="A3181" s="16"/>
      <c r="B3181" s="22"/>
      <c r="C3181" s="18"/>
      <c r="D3181" s="1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</row>
    <row r="3182">
      <c r="A3182" s="16"/>
      <c r="B3182" s="22"/>
      <c r="C3182" s="18"/>
      <c r="D3182" s="1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</row>
    <row r="3183">
      <c r="A3183" s="16" t="s">
        <v>4648</v>
      </c>
      <c r="B3183" s="22" t="s">
        <v>4649</v>
      </c>
      <c r="C3183" s="18" t="s">
        <v>4650</v>
      </c>
      <c r="D3183" s="19" t="s">
        <v>4651</v>
      </c>
      <c r="E3183" s="9" t="s">
        <v>4261</v>
      </c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</row>
    <row r="3184">
      <c r="A3184" s="16" t="s">
        <v>4648</v>
      </c>
      <c r="B3184" s="22" t="s">
        <v>4649</v>
      </c>
      <c r="C3184" s="18" t="s">
        <v>4650</v>
      </c>
      <c r="D3184" s="19" t="s">
        <v>4652</v>
      </c>
      <c r="E3184" s="9" t="s">
        <v>2332</v>
      </c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</row>
    <row r="3185">
      <c r="A3185" s="16" t="s">
        <v>4648</v>
      </c>
      <c r="B3185" s="22" t="s">
        <v>4397</v>
      </c>
      <c r="C3185" s="18" t="s">
        <v>1191</v>
      </c>
      <c r="D3185" s="19" t="s">
        <v>4653</v>
      </c>
      <c r="E3185" s="9" t="s">
        <v>4624</v>
      </c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</row>
    <row r="3186">
      <c r="A3186" s="16" t="s">
        <v>4648</v>
      </c>
      <c r="B3186" s="22" t="s">
        <v>4397</v>
      </c>
      <c r="C3186" s="18" t="s">
        <v>4654</v>
      </c>
      <c r="D3186" s="19" t="s">
        <v>4655</v>
      </c>
      <c r="E3186" s="9" t="s">
        <v>4624</v>
      </c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</row>
    <row r="3187">
      <c r="A3187" s="16"/>
      <c r="B3187" s="22"/>
      <c r="C3187" s="18"/>
      <c r="D3187" s="1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</row>
    <row r="3188">
      <c r="A3188" s="16"/>
      <c r="B3188" s="22"/>
      <c r="C3188" s="18"/>
      <c r="D3188" s="1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</row>
    <row r="3189">
      <c r="A3189" s="16" t="s">
        <v>4656</v>
      </c>
      <c r="B3189" s="22" t="s">
        <v>4264</v>
      </c>
      <c r="C3189" s="18" t="s">
        <v>4390</v>
      </c>
      <c r="D3189" s="19" t="s">
        <v>4657</v>
      </c>
      <c r="E3189" s="9" t="s">
        <v>125</v>
      </c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</row>
    <row r="3190">
      <c r="A3190" s="16" t="s">
        <v>4656</v>
      </c>
      <c r="B3190" s="22" t="s">
        <v>4632</v>
      </c>
      <c r="C3190" s="18" t="s">
        <v>4658</v>
      </c>
      <c r="D3190" s="19" t="s">
        <v>4659</v>
      </c>
      <c r="E3190" s="9" t="s">
        <v>229</v>
      </c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</row>
    <row r="3191">
      <c r="A3191" s="16"/>
      <c r="B3191" s="22"/>
      <c r="C3191" s="18"/>
      <c r="D3191" s="1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</row>
    <row r="3192">
      <c r="A3192" s="16"/>
      <c r="B3192" s="22"/>
      <c r="C3192" s="18"/>
      <c r="D3192" s="1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</row>
    <row r="3193">
      <c r="A3193" s="16" t="s">
        <v>4660</v>
      </c>
      <c r="B3193" s="22" t="s">
        <v>4661</v>
      </c>
      <c r="C3193" s="18" t="s">
        <v>4539</v>
      </c>
      <c r="D3193" s="19" t="s">
        <v>4662</v>
      </c>
      <c r="E3193" s="9" t="s">
        <v>4624</v>
      </c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</row>
    <row r="3194">
      <c r="A3194" s="16" t="s">
        <v>4660</v>
      </c>
      <c r="B3194" s="22" t="s">
        <v>4661</v>
      </c>
      <c r="C3194" s="18" t="s">
        <v>3023</v>
      </c>
      <c r="D3194" s="19" t="s">
        <v>4663</v>
      </c>
      <c r="E3194" s="9" t="s">
        <v>4624</v>
      </c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</row>
    <row r="3195">
      <c r="A3195" s="16" t="s">
        <v>4660</v>
      </c>
      <c r="B3195" s="22" t="s">
        <v>4661</v>
      </c>
      <c r="C3195" s="18" t="s">
        <v>4539</v>
      </c>
      <c r="D3195" s="19" t="s">
        <v>4664</v>
      </c>
      <c r="E3195" s="9" t="s">
        <v>4624</v>
      </c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</row>
    <row r="3196">
      <c r="A3196" s="16" t="s">
        <v>4660</v>
      </c>
      <c r="B3196" s="22" t="s">
        <v>4661</v>
      </c>
      <c r="C3196" s="18" t="s">
        <v>4665</v>
      </c>
      <c r="D3196" s="19" t="s">
        <v>4666</v>
      </c>
      <c r="E3196" s="9" t="s">
        <v>4624</v>
      </c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</row>
    <row r="3197">
      <c r="A3197" s="16" t="s">
        <v>4660</v>
      </c>
      <c r="B3197" s="22" t="s">
        <v>4661</v>
      </c>
      <c r="C3197" s="18" t="s">
        <v>4667</v>
      </c>
      <c r="D3197" s="19" t="s">
        <v>4668</v>
      </c>
      <c r="E3197" s="9" t="s">
        <v>4624</v>
      </c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</row>
    <row r="3198">
      <c r="A3198" s="16" t="s">
        <v>4660</v>
      </c>
      <c r="B3198" s="22" t="s">
        <v>4661</v>
      </c>
      <c r="C3198" s="18" t="s">
        <v>4669</v>
      </c>
      <c r="D3198" s="19" t="s">
        <v>4670</v>
      </c>
      <c r="E3198" s="9" t="s">
        <v>4624</v>
      </c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</row>
    <row r="3199">
      <c r="A3199" s="16" t="s">
        <v>4660</v>
      </c>
      <c r="B3199" s="22" t="s">
        <v>4661</v>
      </c>
      <c r="C3199" s="18" t="s">
        <v>4671</v>
      </c>
      <c r="D3199" s="19" t="s">
        <v>4672</v>
      </c>
      <c r="E3199" s="9" t="s">
        <v>4624</v>
      </c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</row>
    <row r="3200">
      <c r="A3200" s="16" t="s">
        <v>4660</v>
      </c>
      <c r="B3200" s="22" t="s">
        <v>4673</v>
      </c>
      <c r="C3200" s="18" t="s">
        <v>4674</v>
      </c>
      <c r="D3200" s="19" t="s">
        <v>4675</v>
      </c>
      <c r="E3200" s="9" t="s">
        <v>229</v>
      </c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</row>
    <row r="3201">
      <c r="A3201" s="16" t="s">
        <v>4660</v>
      </c>
      <c r="B3201" s="19" t="s">
        <v>4676</v>
      </c>
      <c r="C3201" s="18" t="s">
        <v>136</v>
      </c>
      <c r="D3201" s="19" t="s">
        <v>4677</v>
      </c>
      <c r="E3201" s="9" t="s">
        <v>4624</v>
      </c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</row>
    <row r="3202">
      <c r="A3202" s="16" t="s">
        <v>4660</v>
      </c>
      <c r="B3202" s="19" t="s">
        <v>4676</v>
      </c>
      <c r="C3202" s="18" t="s">
        <v>4678</v>
      </c>
      <c r="D3202" s="19" t="s">
        <v>4677</v>
      </c>
      <c r="E3202" s="9" t="s">
        <v>4624</v>
      </c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</row>
    <row r="3203">
      <c r="A3203" s="16"/>
      <c r="B3203" s="22"/>
      <c r="C3203" s="18"/>
      <c r="D3203" s="1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</row>
    <row r="3204">
      <c r="A3204" s="16"/>
      <c r="B3204" s="22"/>
      <c r="C3204" s="18"/>
      <c r="D3204" s="1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</row>
    <row r="3205">
      <c r="A3205" s="16" t="s">
        <v>4679</v>
      </c>
      <c r="B3205" s="22" t="s">
        <v>4680</v>
      </c>
      <c r="C3205" s="18" t="s">
        <v>4681</v>
      </c>
      <c r="D3205" s="19" t="s">
        <v>4682</v>
      </c>
      <c r="E3205" s="9" t="s">
        <v>229</v>
      </c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9"/>
    </row>
    <row r="3206">
      <c r="A3206" s="16" t="s">
        <v>4679</v>
      </c>
      <c r="B3206" s="22" t="s">
        <v>4683</v>
      </c>
      <c r="C3206" s="18" t="s">
        <v>4684</v>
      </c>
      <c r="D3206" s="19" t="s">
        <v>4685</v>
      </c>
      <c r="E3206" s="9" t="s">
        <v>4624</v>
      </c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</row>
    <row r="3207">
      <c r="A3207" s="16" t="s">
        <v>4679</v>
      </c>
      <c r="B3207" s="22" t="s">
        <v>4683</v>
      </c>
      <c r="C3207" s="18" t="s">
        <v>3853</v>
      </c>
      <c r="D3207" s="19" t="s">
        <v>4686</v>
      </c>
      <c r="E3207" s="9" t="s">
        <v>4624</v>
      </c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</row>
    <row r="3208">
      <c r="A3208" s="16" t="s">
        <v>4679</v>
      </c>
      <c r="B3208" s="22" t="s">
        <v>4683</v>
      </c>
      <c r="C3208" s="18" t="s">
        <v>4687</v>
      </c>
      <c r="D3208" s="19" t="s">
        <v>4688</v>
      </c>
      <c r="E3208" s="9" t="s">
        <v>4624</v>
      </c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</row>
    <row r="3209">
      <c r="A3209" s="16" t="s">
        <v>4679</v>
      </c>
      <c r="B3209" s="22" t="s">
        <v>4689</v>
      </c>
      <c r="C3209" s="18" t="s">
        <v>4690</v>
      </c>
      <c r="D3209" s="19" t="s">
        <v>4691</v>
      </c>
      <c r="E3209" s="19" t="s">
        <v>196</v>
      </c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</row>
    <row r="3210">
      <c r="A3210" s="16" t="s">
        <v>4679</v>
      </c>
      <c r="B3210" s="22" t="s">
        <v>4692</v>
      </c>
      <c r="C3210" s="18" t="s">
        <v>4693</v>
      </c>
      <c r="D3210" s="19" t="s">
        <v>4694</v>
      </c>
      <c r="E3210" s="19" t="s">
        <v>196</v>
      </c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</row>
    <row r="3211">
      <c r="A3211" s="16" t="s">
        <v>4679</v>
      </c>
      <c r="B3211" s="22" t="s">
        <v>4692</v>
      </c>
      <c r="C3211" s="18" t="s">
        <v>4695</v>
      </c>
      <c r="D3211" s="19" t="s">
        <v>4696</v>
      </c>
      <c r="E3211" s="9" t="s">
        <v>4261</v>
      </c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</row>
    <row r="3212">
      <c r="A3212" s="16" t="s">
        <v>4679</v>
      </c>
      <c r="B3212" s="22" t="s">
        <v>4692</v>
      </c>
      <c r="C3212" s="18" t="s">
        <v>4697</v>
      </c>
      <c r="D3212" s="19" t="s">
        <v>4698</v>
      </c>
      <c r="E3212" s="9" t="s">
        <v>4261</v>
      </c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</row>
    <row r="3213">
      <c r="A3213" s="16" t="s">
        <v>4679</v>
      </c>
      <c r="B3213" s="22" t="s">
        <v>4699</v>
      </c>
      <c r="C3213" s="18" t="s">
        <v>2114</v>
      </c>
      <c r="D3213" s="19" t="s">
        <v>4700</v>
      </c>
      <c r="E3213" s="9" t="s">
        <v>4624</v>
      </c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</row>
    <row r="3214">
      <c r="A3214" s="16" t="s">
        <v>4679</v>
      </c>
      <c r="B3214" s="22" t="s">
        <v>4699</v>
      </c>
      <c r="C3214" s="18" t="s">
        <v>2114</v>
      </c>
      <c r="D3214" s="19" t="s">
        <v>4701</v>
      </c>
      <c r="E3214" s="9" t="s">
        <v>4624</v>
      </c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</row>
    <row r="3215">
      <c r="A3215" s="16" t="s">
        <v>4679</v>
      </c>
      <c r="B3215" s="22" t="s">
        <v>4699</v>
      </c>
      <c r="C3215" s="18" t="s">
        <v>1431</v>
      </c>
      <c r="D3215" s="19" t="s">
        <v>4702</v>
      </c>
      <c r="E3215" s="9" t="s">
        <v>4624</v>
      </c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</row>
    <row r="3216">
      <c r="A3216" s="16" t="s">
        <v>4679</v>
      </c>
      <c r="B3216" s="22" t="s">
        <v>4699</v>
      </c>
      <c r="C3216" s="18" t="s">
        <v>526</v>
      </c>
      <c r="D3216" s="19" t="s">
        <v>4703</v>
      </c>
      <c r="E3216" s="9" t="s">
        <v>4624</v>
      </c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</row>
    <row r="3217">
      <c r="A3217" s="16" t="s">
        <v>4679</v>
      </c>
      <c r="B3217" s="22" t="s">
        <v>4699</v>
      </c>
      <c r="C3217" s="18" t="s">
        <v>1350</v>
      </c>
      <c r="D3217" s="19" t="s">
        <v>1626</v>
      </c>
      <c r="E3217" s="9" t="s">
        <v>4624</v>
      </c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</row>
    <row r="3218">
      <c r="A3218" s="16" t="s">
        <v>4679</v>
      </c>
      <c r="B3218" s="22" t="s">
        <v>4699</v>
      </c>
      <c r="C3218" s="18" t="s">
        <v>1350</v>
      </c>
      <c r="D3218" s="19" t="s">
        <v>1948</v>
      </c>
      <c r="E3218" s="9" t="s">
        <v>4624</v>
      </c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</row>
    <row r="3219">
      <c r="A3219" s="16" t="s">
        <v>4679</v>
      </c>
      <c r="B3219" s="22" t="s">
        <v>4699</v>
      </c>
      <c r="C3219" s="18" t="s">
        <v>526</v>
      </c>
      <c r="D3219" s="19" t="s">
        <v>4704</v>
      </c>
      <c r="E3219" s="9" t="s">
        <v>4624</v>
      </c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</row>
    <row r="3220">
      <c r="A3220" s="16" t="s">
        <v>4679</v>
      </c>
      <c r="B3220" s="22" t="s">
        <v>4699</v>
      </c>
      <c r="C3220" s="18" t="s">
        <v>1741</v>
      </c>
      <c r="D3220" s="19" t="s">
        <v>495</v>
      </c>
      <c r="E3220" s="9" t="s">
        <v>4624</v>
      </c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</row>
    <row r="3221">
      <c r="A3221" s="16" t="s">
        <v>4679</v>
      </c>
      <c r="B3221" s="22" t="s">
        <v>4699</v>
      </c>
      <c r="C3221" s="18" t="s">
        <v>332</v>
      </c>
      <c r="D3221" s="19" t="s">
        <v>4705</v>
      </c>
      <c r="E3221" s="9" t="s">
        <v>4624</v>
      </c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</row>
    <row r="3222">
      <c r="A3222" s="16" t="s">
        <v>4679</v>
      </c>
      <c r="B3222" s="22" t="s">
        <v>4699</v>
      </c>
      <c r="C3222" s="18" t="s">
        <v>4706</v>
      </c>
      <c r="D3222" s="19" t="s">
        <v>4707</v>
      </c>
      <c r="E3222" s="9" t="s">
        <v>4624</v>
      </c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</row>
    <row r="3223">
      <c r="A3223" s="16" t="s">
        <v>4679</v>
      </c>
      <c r="B3223" s="22" t="s">
        <v>4708</v>
      </c>
      <c r="C3223" s="18" t="s">
        <v>4709</v>
      </c>
      <c r="D3223" s="19" t="s">
        <v>4710</v>
      </c>
      <c r="E3223" s="20" t="s">
        <v>7</v>
      </c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</row>
    <row r="3224">
      <c r="A3224" s="16" t="s">
        <v>4679</v>
      </c>
      <c r="B3224" s="22" t="s">
        <v>4708</v>
      </c>
      <c r="C3224" s="18" t="s">
        <v>4711</v>
      </c>
      <c r="D3224" s="19" t="s">
        <v>4712</v>
      </c>
      <c r="E3224" s="19" t="s">
        <v>196</v>
      </c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</row>
    <row r="3225">
      <c r="A3225" s="16" t="s">
        <v>4679</v>
      </c>
      <c r="B3225" s="22" t="s">
        <v>4708</v>
      </c>
      <c r="C3225" s="18" t="s">
        <v>4711</v>
      </c>
      <c r="D3225" s="19" t="s">
        <v>4712</v>
      </c>
      <c r="E3225" s="19" t="s">
        <v>196</v>
      </c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</row>
    <row r="3226">
      <c r="A3226" s="16" t="s">
        <v>4679</v>
      </c>
      <c r="B3226" s="22" t="s">
        <v>4708</v>
      </c>
      <c r="C3226" s="18" t="s">
        <v>4713</v>
      </c>
      <c r="D3226" s="19" t="s">
        <v>2217</v>
      </c>
      <c r="E3226" s="19" t="s">
        <v>196</v>
      </c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</row>
    <row r="3227">
      <c r="A3227" s="16" t="s">
        <v>4679</v>
      </c>
      <c r="B3227" s="22" t="s">
        <v>4708</v>
      </c>
      <c r="C3227" s="18" t="s">
        <v>2216</v>
      </c>
      <c r="D3227" s="19" t="s">
        <v>2217</v>
      </c>
      <c r="E3227" s="19" t="s">
        <v>196</v>
      </c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</row>
    <row r="3228">
      <c r="A3228" s="16"/>
      <c r="B3228" s="22"/>
      <c r="C3228" s="18"/>
      <c r="D3228" s="1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</row>
    <row r="3229">
      <c r="A3229" s="16"/>
      <c r="B3229" s="22"/>
      <c r="C3229" s="18"/>
      <c r="D3229" s="1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</row>
    <row r="3230">
      <c r="A3230" s="16" t="s">
        <v>4714</v>
      </c>
      <c r="B3230" s="22" t="s">
        <v>4621</v>
      </c>
      <c r="C3230" s="18" t="s">
        <v>1510</v>
      </c>
      <c r="D3230" s="19" t="s">
        <v>4594</v>
      </c>
      <c r="E3230" s="9" t="s">
        <v>4624</v>
      </c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</row>
    <row r="3231">
      <c r="A3231" s="16" t="s">
        <v>4714</v>
      </c>
      <c r="B3231" s="22" t="s">
        <v>4621</v>
      </c>
      <c r="C3231" s="18" t="s">
        <v>1510</v>
      </c>
      <c r="D3231" s="19" t="s">
        <v>4593</v>
      </c>
      <c r="E3231" s="9" t="s">
        <v>4624</v>
      </c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</row>
    <row r="3232">
      <c r="A3232" s="16" t="s">
        <v>4714</v>
      </c>
      <c r="B3232" s="22" t="s">
        <v>4621</v>
      </c>
      <c r="C3232" s="18" t="s">
        <v>1510</v>
      </c>
      <c r="D3232" s="19" t="s">
        <v>4590</v>
      </c>
      <c r="E3232" s="9" t="s">
        <v>4624</v>
      </c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</row>
    <row r="3233">
      <c r="A3233" s="16" t="s">
        <v>4714</v>
      </c>
      <c r="B3233" s="22" t="s">
        <v>4621</v>
      </c>
      <c r="C3233" s="18" t="s">
        <v>1510</v>
      </c>
      <c r="D3233" s="19" t="s">
        <v>4715</v>
      </c>
      <c r="E3233" s="9" t="s">
        <v>4624</v>
      </c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</row>
    <row r="3234">
      <c r="A3234" s="16" t="s">
        <v>4714</v>
      </c>
      <c r="B3234" s="22" t="s">
        <v>4621</v>
      </c>
      <c r="C3234" s="18" t="s">
        <v>1510</v>
      </c>
      <c r="D3234" s="19" t="s">
        <v>4716</v>
      </c>
      <c r="E3234" s="9" t="s">
        <v>4624</v>
      </c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</row>
    <row r="3235">
      <c r="A3235" s="16" t="s">
        <v>4714</v>
      </c>
      <c r="B3235" s="22" t="s">
        <v>4621</v>
      </c>
      <c r="C3235" s="18" t="s">
        <v>4586</v>
      </c>
      <c r="D3235" s="19" t="s">
        <v>4717</v>
      </c>
      <c r="E3235" s="9" t="s">
        <v>4624</v>
      </c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</row>
    <row r="3236">
      <c r="A3236" s="16" t="s">
        <v>4714</v>
      </c>
      <c r="B3236" s="22" t="s">
        <v>4718</v>
      </c>
      <c r="C3236" s="18" t="s">
        <v>4719</v>
      </c>
      <c r="D3236" s="19" t="s">
        <v>4720</v>
      </c>
      <c r="E3236" s="9" t="s">
        <v>4624</v>
      </c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</row>
    <row r="3237">
      <c r="A3237" s="16" t="s">
        <v>4714</v>
      </c>
      <c r="B3237" s="22" t="s">
        <v>4718</v>
      </c>
      <c r="C3237" s="18" t="s">
        <v>4721</v>
      </c>
      <c r="D3237" s="19" t="s">
        <v>4722</v>
      </c>
      <c r="E3237" s="9" t="s">
        <v>4624</v>
      </c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</row>
    <row r="3238">
      <c r="A3238" s="16" t="s">
        <v>4714</v>
      </c>
      <c r="B3238" s="22" t="s">
        <v>4718</v>
      </c>
      <c r="C3238" s="18" t="s">
        <v>414</v>
      </c>
      <c r="D3238" s="19" t="s">
        <v>4723</v>
      </c>
      <c r="E3238" s="9" t="s">
        <v>4624</v>
      </c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</row>
    <row r="3239">
      <c r="A3239" s="16" t="s">
        <v>4714</v>
      </c>
      <c r="B3239" s="22" t="s">
        <v>4718</v>
      </c>
      <c r="C3239" s="18" t="s">
        <v>414</v>
      </c>
      <c r="D3239" s="19" t="s">
        <v>4724</v>
      </c>
      <c r="E3239" s="9" t="s">
        <v>4624</v>
      </c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</row>
    <row r="3240">
      <c r="A3240" s="16" t="s">
        <v>4714</v>
      </c>
      <c r="B3240" s="22" t="s">
        <v>4718</v>
      </c>
      <c r="C3240" s="18" t="s">
        <v>414</v>
      </c>
      <c r="D3240" s="19" t="s">
        <v>4725</v>
      </c>
      <c r="E3240" s="9" t="s">
        <v>4624</v>
      </c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</row>
    <row r="3241">
      <c r="A3241" s="16" t="s">
        <v>4714</v>
      </c>
      <c r="B3241" s="22" t="s">
        <v>4718</v>
      </c>
      <c r="C3241" s="18" t="s">
        <v>414</v>
      </c>
      <c r="D3241" s="19" t="s">
        <v>4726</v>
      </c>
      <c r="E3241" s="9" t="s">
        <v>4624</v>
      </c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</row>
    <row r="3242">
      <c r="A3242" s="16" t="s">
        <v>4714</v>
      </c>
      <c r="B3242" s="22" t="s">
        <v>4718</v>
      </c>
      <c r="C3242" s="18" t="s">
        <v>414</v>
      </c>
      <c r="D3242" s="19" t="s">
        <v>4727</v>
      </c>
      <c r="E3242" s="9" t="s">
        <v>4624</v>
      </c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</row>
    <row r="3243">
      <c r="A3243" s="16" t="s">
        <v>4714</v>
      </c>
      <c r="B3243" s="22" t="s">
        <v>4718</v>
      </c>
      <c r="C3243" s="18" t="s">
        <v>414</v>
      </c>
      <c r="D3243" s="19" t="s">
        <v>4728</v>
      </c>
      <c r="E3243" s="9" t="s">
        <v>4624</v>
      </c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</row>
    <row r="3244">
      <c r="A3244" s="16" t="s">
        <v>4714</v>
      </c>
      <c r="B3244" s="22" t="s">
        <v>4718</v>
      </c>
      <c r="C3244" s="18" t="s">
        <v>4729</v>
      </c>
      <c r="D3244" s="19" t="s">
        <v>237</v>
      </c>
      <c r="E3244" s="9" t="s">
        <v>4624</v>
      </c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</row>
    <row r="3245">
      <c r="A3245" s="16" t="s">
        <v>4714</v>
      </c>
      <c r="B3245" s="22" t="s">
        <v>4718</v>
      </c>
      <c r="C3245" s="18" t="s">
        <v>414</v>
      </c>
      <c r="D3245" s="19" t="s">
        <v>4730</v>
      </c>
      <c r="E3245" s="9" t="s">
        <v>4624</v>
      </c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</row>
    <row r="3246">
      <c r="A3246" s="16" t="s">
        <v>4714</v>
      </c>
      <c r="B3246" s="22" t="s">
        <v>4718</v>
      </c>
      <c r="C3246" s="18" t="s">
        <v>414</v>
      </c>
      <c r="D3246" s="19" t="s">
        <v>4731</v>
      </c>
      <c r="E3246" s="9" t="s">
        <v>4624</v>
      </c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</row>
    <row r="3247">
      <c r="A3247" s="16" t="s">
        <v>4714</v>
      </c>
      <c r="B3247" s="22" t="s">
        <v>4718</v>
      </c>
      <c r="C3247" s="18" t="s">
        <v>414</v>
      </c>
      <c r="D3247" s="19" t="s">
        <v>4732</v>
      </c>
      <c r="E3247" s="9" t="s">
        <v>4624</v>
      </c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</row>
    <row r="3248">
      <c r="A3248" s="16" t="s">
        <v>4714</v>
      </c>
      <c r="B3248" s="22" t="s">
        <v>4718</v>
      </c>
      <c r="C3248" s="18" t="s">
        <v>414</v>
      </c>
      <c r="D3248" s="19" t="s">
        <v>4733</v>
      </c>
      <c r="E3248" s="9" t="s">
        <v>4624</v>
      </c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</row>
    <row r="3249">
      <c r="A3249" s="16" t="s">
        <v>4714</v>
      </c>
      <c r="B3249" s="22" t="s">
        <v>4718</v>
      </c>
      <c r="C3249" s="18" t="s">
        <v>414</v>
      </c>
      <c r="D3249" s="19" t="s">
        <v>4734</v>
      </c>
      <c r="E3249" s="9" t="s">
        <v>4624</v>
      </c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</row>
    <row r="3250">
      <c r="A3250" s="16" t="s">
        <v>4714</v>
      </c>
      <c r="B3250" s="22" t="s">
        <v>4718</v>
      </c>
      <c r="C3250" s="18" t="s">
        <v>414</v>
      </c>
      <c r="D3250" s="19" t="s">
        <v>4735</v>
      </c>
      <c r="E3250" s="9" t="s">
        <v>4624</v>
      </c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</row>
    <row r="3251">
      <c r="A3251" s="16" t="s">
        <v>4714</v>
      </c>
      <c r="B3251" s="22" t="s">
        <v>4425</v>
      </c>
      <c r="C3251" s="18" t="s">
        <v>2617</v>
      </c>
      <c r="D3251" s="19" t="s">
        <v>4736</v>
      </c>
      <c r="E3251" s="20" t="s">
        <v>7</v>
      </c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</row>
    <row r="3252">
      <c r="A3252" s="16" t="s">
        <v>4714</v>
      </c>
      <c r="B3252" s="22" t="s">
        <v>4425</v>
      </c>
      <c r="C3252" s="18" t="s">
        <v>4432</v>
      </c>
      <c r="D3252" s="19" t="s">
        <v>4737</v>
      </c>
      <c r="E3252" s="20" t="s">
        <v>7</v>
      </c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</row>
    <row r="3253">
      <c r="A3253" s="16" t="s">
        <v>4714</v>
      </c>
      <c r="B3253" s="22" t="s">
        <v>4425</v>
      </c>
      <c r="C3253" s="18" t="s">
        <v>2617</v>
      </c>
      <c r="D3253" s="19" t="s">
        <v>4738</v>
      </c>
      <c r="E3253" s="20" t="s">
        <v>7</v>
      </c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</row>
    <row r="3254">
      <c r="A3254" s="16" t="s">
        <v>4714</v>
      </c>
      <c r="B3254" s="22" t="s">
        <v>4425</v>
      </c>
      <c r="C3254" s="18" t="s">
        <v>4432</v>
      </c>
      <c r="D3254" s="19" t="s">
        <v>4739</v>
      </c>
      <c r="E3254" s="20" t="s">
        <v>7</v>
      </c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</row>
    <row r="3255">
      <c r="A3255" s="16" t="s">
        <v>4714</v>
      </c>
      <c r="B3255" s="22" t="s">
        <v>4425</v>
      </c>
      <c r="C3255" s="18" t="s">
        <v>2617</v>
      </c>
      <c r="D3255" s="19" t="s">
        <v>4381</v>
      </c>
      <c r="E3255" s="20" t="s">
        <v>7</v>
      </c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</row>
    <row r="3256">
      <c r="A3256" s="16" t="s">
        <v>4714</v>
      </c>
      <c r="B3256" s="22" t="s">
        <v>4740</v>
      </c>
      <c r="C3256" s="18" t="s">
        <v>4741</v>
      </c>
      <c r="D3256" s="19" t="s">
        <v>4742</v>
      </c>
      <c r="E3256" s="9" t="s">
        <v>14</v>
      </c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</row>
    <row r="3257">
      <c r="A3257" s="16" t="s">
        <v>4714</v>
      </c>
      <c r="B3257" s="22" t="s">
        <v>4740</v>
      </c>
      <c r="C3257" s="18" t="s">
        <v>4743</v>
      </c>
      <c r="D3257" s="19" t="s">
        <v>4744</v>
      </c>
      <c r="E3257" s="9" t="s">
        <v>14</v>
      </c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</row>
    <row r="3258">
      <c r="A3258" s="16" t="s">
        <v>4714</v>
      </c>
      <c r="B3258" s="22" t="s">
        <v>4745</v>
      </c>
      <c r="C3258" s="18" t="s">
        <v>4746</v>
      </c>
      <c r="D3258" s="19" t="s">
        <v>4747</v>
      </c>
      <c r="E3258" s="9" t="s">
        <v>4624</v>
      </c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</row>
    <row r="3259">
      <c r="A3259" s="16" t="s">
        <v>4714</v>
      </c>
      <c r="B3259" s="22" t="s">
        <v>4745</v>
      </c>
      <c r="C3259" s="18" t="s">
        <v>4746</v>
      </c>
      <c r="D3259" s="19" t="s">
        <v>4747</v>
      </c>
      <c r="E3259" s="9" t="s">
        <v>4624</v>
      </c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</row>
    <row r="3260">
      <c r="A3260" s="16" t="s">
        <v>4714</v>
      </c>
      <c r="B3260" s="22" t="s">
        <v>4748</v>
      </c>
      <c r="C3260" s="18" t="s">
        <v>4749</v>
      </c>
      <c r="D3260" s="19" t="s">
        <v>4750</v>
      </c>
      <c r="E3260" s="9" t="s">
        <v>4624</v>
      </c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</row>
    <row r="3261">
      <c r="A3261" s="16" t="s">
        <v>4714</v>
      </c>
      <c r="B3261" s="22" t="s">
        <v>4748</v>
      </c>
      <c r="C3261" s="18" t="s">
        <v>4751</v>
      </c>
      <c r="D3261" s="19" t="s">
        <v>4752</v>
      </c>
      <c r="E3261" s="9" t="s">
        <v>4624</v>
      </c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</row>
    <row r="3262">
      <c r="A3262" s="16" t="s">
        <v>4714</v>
      </c>
      <c r="B3262" s="22" t="s">
        <v>4748</v>
      </c>
      <c r="C3262" s="18" t="s">
        <v>4753</v>
      </c>
      <c r="D3262" s="19" t="s">
        <v>4754</v>
      </c>
      <c r="E3262" s="9" t="s">
        <v>4624</v>
      </c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</row>
    <row r="3263">
      <c r="A3263" s="16" t="s">
        <v>4714</v>
      </c>
      <c r="B3263" s="22" t="s">
        <v>4748</v>
      </c>
      <c r="C3263" s="18" t="s">
        <v>4755</v>
      </c>
      <c r="D3263" s="19" t="s">
        <v>4756</v>
      </c>
      <c r="E3263" s="9" t="s">
        <v>4624</v>
      </c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</row>
    <row r="3264">
      <c r="A3264" s="16" t="s">
        <v>4714</v>
      </c>
      <c r="B3264" s="22" t="s">
        <v>4748</v>
      </c>
      <c r="C3264" s="18" t="s">
        <v>4757</v>
      </c>
      <c r="D3264" s="19" t="s">
        <v>4758</v>
      </c>
      <c r="E3264" s="9" t="s">
        <v>4624</v>
      </c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9"/>
    </row>
    <row r="3265">
      <c r="A3265" s="16" t="s">
        <v>4714</v>
      </c>
      <c r="B3265" s="22" t="s">
        <v>4759</v>
      </c>
      <c r="C3265" s="18" t="s">
        <v>4760</v>
      </c>
      <c r="D3265" s="19" t="s">
        <v>4761</v>
      </c>
      <c r="E3265" s="9" t="s">
        <v>14</v>
      </c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</row>
    <row r="3266">
      <c r="A3266" s="16" t="s">
        <v>4714</v>
      </c>
      <c r="B3266" s="22" t="s">
        <v>4762</v>
      </c>
      <c r="C3266" s="18" t="s">
        <v>4763</v>
      </c>
      <c r="D3266" s="19" t="s">
        <v>4764</v>
      </c>
      <c r="E3266" s="9" t="s">
        <v>14</v>
      </c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</row>
    <row r="3267">
      <c r="A3267" s="16" t="s">
        <v>4714</v>
      </c>
      <c r="B3267" s="19" t="s">
        <v>4765</v>
      </c>
      <c r="C3267" s="18" t="s">
        <v>4766</v>
      </c>
      <c r="D3267" s="19" t="s">
        <v>4017</v>
      </c>
      <c r="E3267" s="9" t="s">
        <v>14</v>
      </c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</row>
    <row r="3268">
      <c r="A3268" s="16"/>
      <c r="B3268" s="22"/>
      <c r="C3268" s="18"/>
      <c r="D3268" s="1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</row>
    <row r="3269">
      <c r="A3269" s="16"/>
      <c r="B3269" s="22"/>
      <c r="C3269" s="18"/>
      <c r="D3269" s="1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</row>
    <row r="3270">
      <c r="A3270" s="16" t="s">
        <v>4767</v>
      </c>
      <c r="B3270" s="22" t="s">
        <v>4768</v>
      </c>
      <c r="C3270" s="18" t="s">
        <v>4769</v>
      </c>
      <c r="D3270" s="19" t="s">
        <v>4770</v>
      </c>
      <c r="E3270" s="9" t="s">
        <v>4771</v>
      </c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</row>
    <row r="3271">
      <c r="A3271" s="16" t="s">
        <v>4767</v>
      </c>
      <c r="B3271" s="22" t="s">
        <v>4768</v>
      </c>
      <c r="C3271" s="18" t="s">
        <v>4772</v>
      </c>
      <c r="D3271" s="19" t="s">
        <v>4773</v>
      </c>
      <c r="E3271" s="9" t="s">
        <v>4771</v>
      </c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</row>
    <row r="3272">
      <c r="A3272" s="16" t="s">
        <v>4767</v>
      </c>
      <c r="B3272" s="22" t="s">
        <v>4774</v>
      </c>
      <c r="C3272" s="18" t="s">
        <v>4775</v>
      </c>
      <c r="D3272" s="19" t="s">
        <v>4776</v>
      </c>
      <c r="E3272" s="9" t="s">
        <v>764</v>
      </c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</row>
    <row r="3273">
      <c r="A3273" s="16"/>
      <c r="B3273" s="22"/>
      <c r="C3273" s="18"/>
      <c r="D3273" s="1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</row>
    <row r="3274">
      <c r="A3274" s="16"/>
      <c r="B3274" s="22"/>
      <c r="C3274" s="18"/>
      <c r="D3274" s="1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</row>
    <row r="3275">
      <c r="A3275" s="16" t="s">
        <v>4777</v>
      </c>
      <c r="B3275" s="19" t="s">
        <v>4778</v>
      </c>
      <c r="C3275" s="18" t="s">
        <v>4779</v>
      </c>
      <c r="D3275" s="19" t="s">
        <v>4780</v>
      </c>
      <c r="E3275" s="9" t="s">
        <v>764</v>
      </c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</row>
    <row r="3276">
      <c r="A3276" s="16" t="s">
        <v>4777</v>
      </c>
      <c r="B3276" s="22" t="s">
        <v>4781</v>
      </c>
      <c r="C3276" s="9" t="s">
        <v>4782</v>
      </c>
      <c r="D3276" s="9"/>
      <c r="E3276" s="9" t="s">
        <v>14</v>
      </c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</row>
    <row r="3277">
      <c r="A3277" s="16" t="s">
        <v>4777</v>
      </c>
      <c r="B3277" s="22" t="s">
        <v>4783</v>
      </c>
      <c r="C3277" s="18" t="s">
        <v>4784</v>
      </c>
      <c r="D3277" s="19" t="s">
        <v>4785</v>
      </c>
      <c r="E3277" s="9" t="s">
        <v>4771</v>
      </c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</row>
    <row r="3278">
      <c r="A3278" s="16" t="s">
        <v>4777</v>
      </c>
      <c r="B3278" s="22" t="s">
        <v>4783</v>
      </c>
      <c r="C3278" s="18" t="s">
        <v>4786</v>
      </c>
      <c r="D3278" s="19" t="s">
        <v>4787</v>
      </c>
      <c r="E3278" s="20" t="s">
        <v>7</v>
      </c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</row>
    <row r="3279">
      <c r="A3279" s="16" t="s">
        <v>4777</v>
      </c>
      <c r="B3279" s="22" t="s">
        <v>4783</v>
      </c>
      <c r="C3279" s="18" t="s">
        <v>4786</v>
      </c>
      <c r="D3279" s="19" t="s">
        <v>3272</v>
      </c>
      <c r="E3279" s="20" t="s">
        <v>7</v>
      </c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</row>
    <row r="3280">
      <c r="A3280" s="16" t="s">
        <v>4777</v>
      </c>
      <c r="B3280" s="22" t="s">
        <v>4788</v>
      </c>
      <c r="C3280" s="18" t="s">
        <v>4789</v>
      </c>
      <c r="D3280" s="19" t="s">
        <v>4790</v>
      </c>
      <c r="E3280" s="9" t="s">
        <v>4624</v>
      </c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</row>
    <row r="3281">
      <c r="A3281" s="16" t="s">
        <v>4777</v>
      </c>
      <c r="B3281" s="22" t="s">
        <v>4788</v>
      </c>
      <c r="C3281" s="18" t="s">
        <v>4789</v>
      </c>
      <c r="D3281" s="19" t="s">
        <v>4791</v>
      </c>
      <c r="E3281" s="9" t="s">
        <v>4624</v>
      </c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</row>
    <row r="3282">
      <c r="A3282" s="16"/>
      <c r="B3282" s="22"/>
      <c r="C3282" s="18"/>
      <c r="D3282" s="1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</row>
    <row r="3283">
      <c r="A3283" s="16"/>
      <c r="B3283" s="22"/>
      <c r="C3283" s="18"/>
      <c r="D3283" s="1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</row>
    <row r="3284">
      <c r="A3284" s="16" t="s">
        <v>4792</v>
      </c>
      <c r="B3284" s="22" t="s">
        <v>4793</v>
      </c>
      <c r="C3284" s="18" t="s">
        <v>1072</v>
      </c>
      <c r="D3284" s="19" t="s">
        <v>4794</v>
      </c>
      <c r="E3284" s="9" t="s">
        <v>4261</v>
      </c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</row>
    <row r="3285">
      <c r="A3285" s="16" t="s">
        <v>4792</v>
      </c>
      <c r="B3285" s="22" t="s">
        <v>4793</v>
      </c>
      <c r="C3285" s="18" t="s">
        <v>4795</v>
      </c>
      <c r="D3285" s="19" t="s">
        <v>4796</v>
      </c>
      <c r="E3285" s="9" t="s">
        <v>4261</v>
      </c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</row>
    <row r="3286">
      <c r="A3286" s="16" t="s">
        <v>4792</v>
      </c>
      <c r="B3286" s="22" t="s">
        <v>4797</v>
      </c>
      <c r="C3286" s="18" t="s">
        <v>4798</v>
      </c>
      <c r="D3286" s="19" t="s">
        <v>4799</v>
      </c>
      <c r="E3286" s="9" t="s">
        <v>14</v>
      </c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</row>
    <row r="3287">
      <c r="A3287" s="16" t="s">
        <v>4792</v>
      </c>
      <c r="B3287" s="22" t="s">
        <v>4800</v>
      </c>
      <c r="C3287" s="18" t="s">
        <v>4801</v>
      </c>
      <c r="D3287" s="19" t="s">
        <v>4802</v>
      </c>
      <c r="E3287" s="9" t="s">
        <v>4624</v>
      </c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</row>
    <row r="3288">
      <c r="A3288" s="16" t="s">
        <v>4792</v>
      </c>
      <c r="B3288" s="22" t="s">
        <v>4800</v>
      </c>
      <c r="C3288" s="18" t="s">
        <v>3780</v>
      </c>
      <c r="D3288" s="19" t="s">
        <v>4361</v>
      </c>
      <c r="E3288" s="9" t="s">
        <v>4624</v>
      </c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</row>
    <row r="3289">
      <c r="A3289" s="16" t="s">
        <v>4792</v>
      </c>
      <c r="B3289" s="22" t="s">
        <v>4800</v>
      </c>
      <c r="C3289" s="18" t="s">
        <v>1072</v>
      </c>
      <c r="D3289" s="19" t="s">
        <v>4803</v>
      </c>
      <c r="E3289" s="9" t="s">
        <v>4624</v>
      </c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</row>
    <row r="3290">
      <c r="A3290" s="16" t="s">
        <v>4792</v>
      </c>
      <c r="B3290" s="22" t="s">
        <v>4800</v>
      </c>
      <c r="C3290" s="18" t="s">
        <v>1072</v>
      </c>
      <c r="D3290" s="19" t="s">
        <v>4804</v>
      </c>
      <c r="E3290" s="9" t="s">
        <v>4624</v>
      </c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</row>
    <row r="3291">
      <c r="A3291" s="16" t="s">
        <v>4792</v>
      </c>
      <c r="B3291" s="22" t="s">
        <v>4800</v>
      </c>
      <c r="C3291" s="18" t="s">
        <v>4801</v>
      </c>
      <c r="D3291" s="19" t="s">
        <v>4805</v>
      </c>
      <c r="E3291" s="9" t="s">
        <v>4624</v>
      </c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</row>
    <row r="3292">
      <c r="A3292" s="16"/>
      <c r="B3292" s="22"/>
      <c r="C3292" s="18"/>
      <c r="D3292" s="1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</row>
    <row r="3293">
      <c r="A3293" s="16"/>
      <c r="B3293" s="22"/>
      <c r="C3293" s="18"/>
      <c r="D3293" s="1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</row>
    <row r="3294">
      <c r="A3294" s="16" t="s">
        <v>4806</v>
      </c>
      <c r="B3294" s="22" t="s">
        <v>4807</v>
      </c>
      <c r="C3294" s="18" t="s">
        <v>4808</v>
      </c>
      <c r="D3294" s="19" t="s">
        <v>4809</v>
      </c>
      <c r="E3294" s="9" t="s">
        <v>4261</v>
      </c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</row>
    <row r="3295">
      <c r="A3295" s="16" t="s">
        <v>4806</v>
      </c>
      <c r="B3295" s="22" t="s">
        <v>4807</v>
      </c>
      <c r="C3295" s="18" t="s">
        <v>4808</v>
      </c>
      <c r="D3295" s="19" t="s">
        <v>4810</v>
      </c>
      <c r="E3295" s="9" t="s">
        <v>4261</v>
      </c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</row>
    <row r="3296">
      <c r="A3296" s="16" t="s">
        <v>4806</v>
      </c>
      <c r="B3296" s="22" t="s">
        <v>4718</v>
      </c>
      <c r="C3296" s="18" t="s">
        <v>414</v>
      </c>
      <c r="D3296" s="19" t="s">
        <v>4811</v>
      </c>
      <c r="E3296" s="20" t="s">
        <v>7</v>
      </c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</row>
    <row r="3297">
      <c r="A3297" s="16" t="s">
        <v>4806</v>
      </c>
      <c r="B3297" s="22" t="s">
        <v>4718</v>
      </c>
      <c r="C3297" s="18" t="s">
        <v>414</v>
      </c>
      <c r="D3297" s="19" t="s">
        <v>4724</v>
      </c>
      <c r="E3297" s="20" t="s">
        <v>7</v>
      </c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</row>
    <row r="3298">
      <c r="A3298" s="16" t="s">
        <v>4806</v>
      </c>
      <c r="B3298" s="22" t="s">
        <v>4718</v>
      </c>
      <c r="C3298" s="18" t="s">
        <v>414</v>
      </c>
      <c r="D3298" s="19" t="s">
        <v>4812</v>
      </c>
      <c r="E3298" s="20" t="s">
        <v>7</v>
      </c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</row>
    <row r="3299">
      <c r="A3299" s="16" t="s">
        <v>4806</v>
      </c>
      <c r="B3299" s="22" t="s">
        <v>4718</v>
      </c>
      <c r="C3299" s="18" t="s">
        <v>414</v>
      </c>
      <c r="D3299" s="19" t="s">
        <v>4813</v>
      </c>
      <c r="E3299" s="20" t="s">
        <v>7</v>
      </c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</row>
    <row r="3300">
      <c r="A3300" s="16" t="s">
        <v>4806</v>
      </c>
      <c r="B3300" s="22" t="s">
        <v>4718</v>
      </c>
      <c r="C3300" s="18" t="s">
        <v>414</v>
      </c>
      <c r="D3300" s="19" t="s">
        <v>4723</v>
      </c>
      <c r="E3300" s="20" t="s">
        <v>7</v>
      </c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</row>
    <row r="3301">
      <c r="A3301" s="16" t="s">
        <v>4806</v>
      </c>
      <c r="B3301" s="22" t="s">
        <v>4718</v>
      </c>
      <c r="C3301" s="18" t="s">
        <v>414</v>
      </c>
      <c r="D3301" s="19" t="s">
        <v>4733</v>
      </c>
      <c r="E3301" s="20" t="s">
        <v>7</v>
      </c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</row>
    <row r="3302">
      <c r="A3302" s="16" t="s">
        <v>4806</v>
      </c>
      <c r="B3302" s="22" t="s">
        <v>4718</v>
      </c>
      <c r="C3302" s="18" t="s">
        <v>414</v>
      </c>
      <c r="D3302" s="19" t="s">
        <v>4814</v>
      </c>
      <c r="E3302" s="20" t="s">
        <v>7</v>
      </c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</row>
    <row r="3303">
      <c r="A3303" s="16" t="s">
        <v>4806</v>
      </c>
      <c r="B3303" s="22" t="s">
        <v>4718</v>
      </c>
      <c r="C3303" s="18" t="s">
        <v>414</v>
      </c>
      <c r="D3303" s="19" t="s">
        <v>4815</v>
      </c>
      <c r="E3303" s="20" t="s">
        <v>7</v>
      </c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</row>
    <row r="3304">
      <c r="A3304" s="16" t="s">
        <v>4806</v>
      </c>
      <c r="B3304" s="22" t="s">
        <v>4718</v>
      </c>
      <c r="C3304" s="18" t="s">
        <v>414</v>
      </c>
      <c r="D3304" s="19" t="s">
        <v>1520</v>
      </c>
      <c r="E3304" s="20" t="s">
        <v>7</v>
      </c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</row>
    <row r="3305">
      <c r="A3305" s="16" t="s">
        <v>4806</v>
      </c>
      <c r="B3305" s="22" t="s">
        <v>4718</v>
      </c>
      <c r="C3305" s="18" t="s">
        <v>414</v>
      </c>
      <c r="D3305" s="19" t="s">
        <v>2490</v>
      </c>
      <c r="E3305" s="20" t="s">
        <v>7</v>
      </c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</row>
    <row r="3306">
      <c r="A3306" s="16" t="s">
        <v>4806</v>
      </c>
      <c r="B3306" s="22" t="s">
        <v>4718</v>
      </c>
      <c r="C3306" s="18" t="s">
        <v>414</v>
      </c>
      <c r="D3306" s="19" t="s">
        <v>4816</v>
      </c>
      <c r="E3306" s="20" t="s">
        <v>7</v>
      </c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</row>
    <row r="3307">
      <c r="A3307" s="16" t="s">
        <v>4806</v>
      </c>
      <c r="B3307" s="22" t="s">
        <v>4718</v>
      </c>
      <c r="C3307" s="18" t="s">
        <v>414</v>
      </c>
      <c r="D3307" s="19" t="s">
        <v>4817</v>
      </c>
      <c r="E3307" s="20" t="s">
        <v>7</v>
      </c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</row>
    <row r="3308">
      <c r="A3308" s="16" t="s">
        <v>4806</v>
      </c>
      <c r="B3308" s="22" t="s">
        <v>4718</v>
      </c>
      <c r="C3308" s="18" t="s">
        <v>414</v>
      </c>
      <c r="D3308" s="19" t="s">
        <v>4818</v>
      </c>
      <c r="E3308" s="20" t="s">
        <v>7</v>
      </c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</row>
    <row r="3309">
      <c r="A3309" s="16" t="s">
        <v>4806</v>
      </c>
      <c r="B3309" s="22" t="s">
        <v>4718</v>
      </c>
      <c r="C3309" s="18" t="s">
        <v>414</v>
      </c>
      <c r="D3309" s="19" t="s">
        <v>4819</v>
      </c>
      <c r="E3309" s="20" t="s">
        <v>7</v>
      </c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9"/>
      <c r="AD3309" s="9"/>
    </row>
    <row r="3310">
      <c r="A3310" s="16" t="s">
        <v>4806</v>
      </c>
      <c r="B3310" s="22" t="s">
        <v>4718</v>
      </c>
      <c r="C3310" s="18" t="s">
        <v>414</v>
      </c>
      <c r="D3310" s="19" t="s">
        <v>4820</v>
      </c>
      <c r="E3310" s="20" t="s">
        <v>7</v>
      </c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</row>
    <row r="3311">
      <c r="A3311" s="16" t="s">
        <v>4806</v>
      </c>
      <c r="B3311" s="22" t="s">
        <v>4821</v>
      </c>
      <c r="C3311" s="18" t="s">
        <v>4822</v>
      </c>
      <c r="D3311" s="19" t="s">
        <v>4823</v>
      </c>
      <c r="E3311" s="20" t="s">
        <v>7</v>
      </c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</row>
    <row r="3312">
      <c r="A3312" s="16" t="s">
        <v>4806</v>
      </c>
      <c r="B3312" s="22" t="s">
        <v>4821</v>
      </c>
      <c r="C3312" s="18" t="s">
        <v>4824</v>
      </c>
      <c r="D3312" s="19" t="s">
        <v>4825</v>
      </c>
      <c r="E3312" s="20" t="s">
        <v>7</v>
      </c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</row>
    <row r="3313">
      <c r="A3313" s="16" t="s">
        <v>4806</v>
      </c>
      <c r="B3313" s="22" t="s">
        <v>4821</v>
      </c>
      <c r="C3313" s="18" t="s">
        <v>4826</v>
      </c>
      <c r="D3313" s="19" t="s">
        <v>4827</v>
      </c>
      <c r="E3313" s="20" t="s">
        <v>7</v>
      </c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</row>
    <row r="3314">
      <c r="A3314" s="16" t="s">
        <v>4806</v>
      </c>
      <c r="B3314" s="22" t="s">
        <v>4821</v>
      </c>
      <c r="C3314" s="18" t="s">
        <v>4826</v>
      </c>
      <c r="D3314" s="19" t="s">
        <v>4339</v>
      </c>
      <c r="E3314" s="20" t="s">
        <v>7</v>
      </c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</row>
    <row r="3315">
      <c r="A3315" s="16" t="s">
        <v>4806</v>
      </c>
      <c r="B3315" s="22" t="s">
        <v>4821</v>
      </c>
      <c r="C3315" s="18" t="s">
        <v>4826</v>
      </c>
      <c r="D3315" s="19" t="s">
        <v>4828</v>
      </c>
      <c r="E3315" s="20" t="s">
        <v>7</v>
      </c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</row>
    <row r="3316">
      <c r="A3316" s="16" t="s">
        <v>4806</v>
      </c>
      <c r="B3316" s="22" t="s">
        <v>4829</v>
      </c>
      <c r="C3316" s="18" t="s">
        <v>4830</v>
      </c>
      <c r="D3316" s="19" t="s">
        <v>4831</v>
      </c>
      <c r="E3316" s="20" t="s">
        <v>14</v>
      </c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</row>
    <row r="3317">
      <c r="A3317" s="16" t="s">
        <v>4806</v>
      </c>
      <c r="B3317" s="22" t="s">
        <v>4748</v>
      </c>
      <c r="C3317" s="18" t="s">
        <v>4755</v>
      </c>
      <c r="D3317" s="19" t="s">
        <v>4756</v>
      </c>
      <c r="E3317" s="19" t="s">
        <v>196</v>
      </c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</row>
    <row r="3318">
      <c r="A3318" s="16" t="s">
        <v>4806</v>
      </c>
      <c r="B3318" s="22" t="s">
        <v>4832</v>
      </c>
      <c r="C3318" s="18" t="s">
        <v>4833</v>
      </c>
      <c r="D3318" s="19" t="s">
        <v>4834</v>
      </c>
      <c r="E3318" s="9" t="s">
        <v>4624</v>
      </c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9"/>
      <c r="AD3318" s="9"/>
    </row>
    <row r="3319">
      <c r="A3319" s="16" t="s">
        <v>4806</v>
      </c>
      <c r="B3319" s="22" t="s">
        <v>4832</v>
      </c>
      <c r="C3319" s="18" t="s">
        <v>4835</v>
      </c>
      <c r="D3319" s="19" t="s">
        <v>4836</v>
      </c>
      <c r="E3319" s="9" t="s">
        <v>4624</v>
      </c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</row>
    <row r="3320">
      <c r="A3320" s="16" t="s">
        <v>4806</v>
      </c>
      <c r="B3320" s="22" t="s">
        <v>4832</v>
      </c>
      <c r="C3320" s="18" t="s">
        <v>4833</v>
      </c>
      <c r="D3320" s="19" t="s">
        <v>4837</v>
      </c>
      <c r="E3320" s="9" t="s">
        <v>4624</v>
      </c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</row>
    <row r="3321">
      <c r="A3321" s="16" t="s">
        <v>4806</v>
      </c>
      <c r="B3321" s="22" t="s">
        <v>4832</v>
      </c>
      <c r="C3321" s="18" t="s">
        <v>4833</v>
      </c>
      <c r="D3321" s="19" t="s">
        <v>4838</v>
      </c>
      <c r="E3321" s="9" t="s">
        <v>4624</v>
      </c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</row>
    <row r="3322">
      <c r="A3322" s="16" t="s">
        <v>4806</v>
      </c>
      <c r="B3322" s="22" t="s">
        <v>4832</v>
      </c>
      <c r="C3322" s="18" t="s">
        <v>4839</v>
      </c>
      <c r="D3322" s="19" t="s">
        <v>4840</v>
      </c>
      <c r="E3322" s="9" t="s">
        <v>4624</v>
      </c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</row>
    <row r="3323">
      <c r="A3323" s="16" t="s">
        <v>4806</v>
      </c>
      <c r="B3323" s="22" t="s">
        <v>4841</v>
      </c>
      <c r="C3323" s="18" t="s">
        <v>4695</v>
      </c>
      <c r="D3323" s="19" t="s">
        <v>4842</v>
      </c>
      <c r="E3323" s="9" t="s">
        <v>4843</v>
      </c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9"/>
      <c r="AD3323" s="9"/>
    </row>
    <row r="3324">
      <c r="A3324" s="16" t="s">
        <v>4806</v>
      </c>
      <c r="B3324" s="22" t="s">
        <v>4841</v>
      </c>
      <c r="C3324" s="18" t="s">
        <v>4695</v>
      </c>
      <c r="D3324" s="19" t="s">
        <v>4844</v>
      </c>
      <c r="E3324" s="9" t="s">
        <v>4843</v>
      </c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</row>
    <row r="3325">
      <c r="A3325" s="16" t="s">
        <v>4806</v>
      </c>
      <c r="B3325" s="22" t="s">
        <v>4841</v>
      </c>
      <c r="C3325" s="18" t="s">
        <v>4695</v>
      </c>
      <c r="D3325" s="19" t="s">
        <v>4845</v>
      </c>
      <c r="E3325" s="9" t="s">
        <v>4843</v>
      </c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</row>
    <row r="3326">
      <c r="A3326" s="16" t="s">
        <v>4806</v>
      </c>
      <c r="B3326" s="19" t="s">
        <v>4846</v>
      </c>
      <c r="C3326" s="18" t="s">
        <v>1350</v>
      </c>
      <c r="D3326" s="19" t="s">
        <v>4847</v>
      </c>
      <c r="E3326" s="9" t="s">
        <v>14</v>
      </c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</row>
    <row r="3327">
      <c r="A3327" s="16" t="s">
        <v>4806</v>
      </c>
      <c r="B3327" s="19" t="s">
        <v>4846</v>
      </c>
      <c r="C3327" s="18" t="s">
        <v>1422</v>
      </c>
      <c r="D3327" s="19" t="s">
        <v>4848</v>
      </c>
      <c r="E3327" s="9" t="s">
        <v>764</v>
      </c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</row>
    <row r="3328">
      <c r="A3328" s="16"/>
      <c r="B3328" s="22"/>
      <c r="C3328" s="18"/>
      <c r="D3328" s="1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</row>
    <row r="3329">
      <c r="A3329" s="16"/>
      <c r="B3329" s="22"/>
      <c r="C3329" s="18"/>
      <c r="D3329" s="1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</row>
    <row r="3330">
      <c r="A3330" s="16" t="s">
        <v>4849</v>
      </c>
      <c r="B3330" s="22" t="s">
        <v>4748</v>
      </c>
      <c r="C3330" s="18" t="s">
        <v>4749</v>
      </c>
      <c r="D3330" s="18" t="s">
        <v>4850</v>
      </c>
      <c r="E3330" s="19" t="s">
        <v>196</v>
      </c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</row>
    <row r="3331">
      <c r="A3331" s="16" t="s">
        <v>4849</v>
      </c>
      <c r="B3331" s="22" t="s">
        <v>4762</v>
      </c>
      <c r="C3331" s="18" t="s">
        <v>4851</v>
      </c>
      <c r="D3331" s="19" t="s">
        <v>4852</v>
      </c>
      <c r="E3331" s="9" t="s">
        <v>14</v>
      </c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</row>
    <row r="3332">
      <c r="A3332" s="16" t="s">
        <v>4849</v>
      </c>
      <c r="B3332" s="22" t="s">
        <v>4853</v>
      </c>
      <c r="C3332" s="18" t="s">
        <v>4854</v>
      </c>
      <c r="D3332" s="19" t="s">
        <v>4855</v>
      </c>
      <c r="E3332" s="9" t="s">
        <v>4261</v>
      </c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9"/>
      <c r="AD3332" s="9"/>
    </row>
    <row r="3333">
      <c r="A3333" s="16" t="s">
        <v>4849</v>
      </c>
      <c r="B3333" s="22" t="s">
        <v>4673</v>
      </c>
      <c r="C3333" s="18" t="s">
        <v>414</v>
      </c>
      <c r="D3333" s="19" t="s">
        <v>4856</v>
      </c>
      <c r="E3333" s="9" t="s">
        <v>764</v>
      </c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</row>
    <row r="3334">
      <c r="A3334" s="16" t="s">
        <v>4849</v>
      </c>
      <c r="B3334" s="22" t="s">
        <v>4673</v>
      </c>
      <c r="C3334" s="18" t="s">
        <v>414</v>
      </c>
      <c r="D3334" s="19" t="s">
        <v>4857</v>
      </c>
      <c r="E3334" s="9" t="s">
        <v>764</v>
      </c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</row>
    <row r="3335">
      <c r="A3335" s="16" t="s">
        <v>4849</v>
      </c>
      <c r="B3335" s="22" t="s">
        <v>4673</v>
      </c>
      <c r="C3335" s="18" t="s">
        <v>414</v>
      </c>
      <c r="D3335" s="19" t="s">
        <v>4858</v>
      </c>
      <c r="E3335" s="9" t="s">
        <v>4859</v>
      </c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</row>
    <row r="3336">
      <c r="A3336" s="16" t="s">
        <v>4849</v>
      </c>
      <c r="B3336" s="22" t="s">
        <v>4673</v>
      </c>
      <c r="C3336" s="18" t="s">
        <v>414</v>
      </c>
      <c r="D3336" s="19" t="s">
        <v>4860</v>
      </c>
      <c r="E3336" s="9" t="s">
        <v>4859</v>
      </c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</row>
    <row r="3337">
      <c r="A3337" s="16" t="s">
        <v>4849</v>
      </c>
      <c r="B3337" s="22" t="s">
        <v>4673</v>
      </c>
      <c r="C3337" s="18" t="s">
        <v>414</v>
      </c>
      <c r="D3337" s="19" t="s">
        <v>2490</v>
      </c>
      <c r="E3337" s="20" t="s">
        <v>7</v>
      </c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/>
      <c r="AC3337" s="9"/>
      <c r="AD3337" s="9"/>
    </row>
    <row r="3338">
      <c r="A3338" s="16" t="s">
        <v>4849</v>
      </c>
      <c r="B3338" s="22" t="s">
        <v>4673</v>
      </c>
      <c r="C3338" s="18" t="s">
        <v>414</v>
      </c>
      <c r="D3338" s="19" t="s">
        <v>4861</v>
      </c>
      <c r="E3338" s="20" t="s">
        <v>7</v>
      </c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/>
      <c r="AC3338" s="9"/>
      <c r="AD3338" s="9"/>
    </row>
    <row r="3339">
      <c r="A3339" s="16" t="s">
        <v>4849</v>
      </c>
      <c r="B3339" s="22" t="s">
        <v>4673</v>
      </c>
      <c r="C3339" s="18" t="s">
        <v>414</v>
      </c>
      <c r="D3339" s="19" t="s">
        <v>4862</v>
      </c>
      <c r="E3339" s="20" t="s">
        <v>7</v>
      </c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9"/>
    </row>
    <row r="3340">
      <c r="A3340" s="16" t="s">
        <v>4849</v>
      </c>
      <c r="B3340" s="22" t="s">
        <v>4863</v>
      </c>
      <c r="C3340" s="18" t="s">
        <v>885</v>
      </c>
      <c r="D3340" s="19" t="s">
        <v>327</v>
      </c>
      <c r="E3340" s="9" t="s">
        <v>764</v>
      </c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</row>
    <row r="3341">
      <c r="A3341" s="16" t="s">
        <v>4849</v>
      </c>
      <c r="B3341" s="22" t="s">
        <v>4692</v>
      </c>
      <c r="C3341" s="18" t="s">
        <v>4695</v>
      </c>
      <c r="D3341" s="19" t="s">
        <v>4864</v>
      </c>
      <c r="E3341" s="20" t="s">
        <v>7</v>
      </c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9"/>
      <c r="AD3341" s="9"/>
    </row>
    <row r="3342">
      <c r="A3342" s="16" t="s">
        <v>4849</v>
      </c>
      <c r="B3342" s="22" t="s">
        <v>4692</v>
      </c>
      <c r="C3342" s="18" t="s">
        <v>4695</v>
      </c>
      <c r="D3342" s="19" t="s">
        <v>4845</v>
      </c>
      <c r="E3342" s="20" t="s">
        <v>7</v>
      </c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/>
      <c r="AC3342" s="9"/>
      <c r="AD3342" s="9"/>
    </row>
    <row r="3343">
      <c r="A3343" s="16" t="s">
        <v>4849</v>
      </c>
      <c r="B3343" s="22" t="s">
        <v>4692</v>
      </c>
      <c r="C3343" s="18" t="s">
        <v>4695</v>
      </c>
      <c r="D3343" s="19" t="s">
        <v>4842</v>
      </c>
      <c r="E3343" s="20" t="s">
        <v>7</v>
      </c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</row>
    <row r="3344">
      <c r="A3344" s="16"/>
      <c r="B3344" s="22"/>
      <c r="C3344" s="18"/>
      <c r="D3344" s="1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/>
      <c r="AC3344" s="9"/>
      <c r="AD3344" s="9"/>
    </row>
    <row r="3345">
      <c r="A3345" s="16"/>
      <c r="B3345" s="22"/>
      <c r="C3345" s="18"/>
      <c r="D3345" s="1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</row>
    <row r="3346">
      <c r="A3346" s="16" t="s">
        <v>4865</v>
      </c>
      <c r="B3346" s="22" t="s">
        <v>4748</v>
      </c>
      <c r="C3346" s="18" t="s">
        <v>4751</v>
      </c>
      <c r="D3346" s="19" t="s">
        <v>4866</v>
      </c>
      <c r="E3346" s="19" t="s">
        <v>196</v>
      </c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</row>
    <row r="3347">
      <c r="A3347" s="16" t="s">
        <v>4865</v>
      </c>
      <c r="B3347" s="22" t="s">
        <v>4829</v>
      </c>
      <c r="C3347" s="18" t="s">
        <v>2637</v>
      </c>
      <c r="D3347" s="19" t="s">
        <v>4867</v>
      </c>
      <c r="E3347" s="9" t="s">
        <v>4624</v>
      </c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</row>
    <row r="3348">
      <c r="A3348" s="16" t="s">
        <v>4865</v>
      </c>
      <c r="B3348" s="22" t="s">
        <v>4829</v>
      </c>
      <c r="C3348" s="18" t="s">
        <v>2637</v>
      </c>
      <c r="D3348" s="19" t="s">
        <v>4868</v>
      </c>
      <c r="E3348" s="9" t="s">
        <v>4624</v>
      </c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9"/>
      <c r="AD3348" s="9"/>
    </row>
    <row r="3349">
      <c r="A3349" s="16" t="s">
        <v>4865</v>
      </c>
      <c r="B3349" s="22" t="s">
        <v>4829</v>
      </c>
      <c r="C3349" s="18" t="s">
        <v>4869</v>
      </c>
      <c r="D3349" s="19" t="s">
        <v>4870</v>
      </c>
      <c r="E3349" s="9" t="s">
        <v>4624</v>
      </c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9"/>
      <c r="AD3349" s="9"/>
    </row>
    <row r="3350">
      <c r="A3350" s="16" t="s">
        <v>4865</v>
      </c>
      <c r="B3350" s="22" t="s">
        <v>4829</v>
      </c>
      <c r="C3350" s="18" t="s">
        <v>4871</v>
      </c>
      <c r="D3350" s="19" t="s">
        <v>4872</v>
      </c>
      <c r="E3350" s="9" t="s">
        <v>4624</v>
      </c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</row>
    <row r="3351">
      <c r="A3351" s="16" t="s">
        <v>4865</v>
      </c>
      <c r="B3351" s="22" t="s">
        <v>4829</v>
      </c>
      <c r="C3351" s="18" t="s">
        <v>4873</v>
      </c>
      <c r="D3351" s="19" t="s">
        <v>4874</v>
      </c>
      <c r="E3351" s="9" t="s">
        <v>4624</v>
      </c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</row>
    <row r="3352">
      <c r="A3352" s="16" t="s">
        <v>4865</v>
      </c>
      <c r="B3352" s="22" t="s">
        <v>4829</v>
      </c>
      <c r="C3352" s="18" t="s">
        <v>4875</v>
      </c>
      <c r="D3352" s="19" t="s">
        <v>4876</v>
      </c>
      <c r="E3352" s="9" t="s">
        <v>4624</v>
      </c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</row>
    <row r="3353">
      <c r="A3353" s="16" t="s">
        <v>4865</v>
      </c>
      <c r="B3353" s="22" t="s">
        <v>4877</v>
      </c>
      <c r="C3353" s="18" t="s">
        <v>4878</v>
      </c>
      <c r="D3353" s="19" t="s">
        <v>4879</v>
      </c>
      <c r="E3353" s="9" t="s">
        <v>4624</v>
      </c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</row>
    <row r="3354">
      <c r="A3354" s="16" t="s">
        <v>4865</v>
      </c>
      <c r="B3354" s="22" t="s">
        <v>4877</v>
      </c>
      <c r="C3354" s="18" t="s">
        <v>526</v>
      </c>
      <c r="D3354" s="19" t="s">
        <v>4880</v>
      </c>
      <c r="E3354" s="9" t="s">
        <v>4624</v>
      </c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9"/>
      <c r="AD3354" s="9"/>
    </row>
    <row r="3355">
      <c r="A3355" s="16" t="s">
        <v>4865</v>
      </c>
      <c r="B3355" s="22" t="s">
        <v>4877</v>
      </c>
      <c r="C3355" s="18" t="s">
        <v>4878</v>
      </c>
      <c r="D3355" s="19" t="s">
        <v>4881</v>
      </c>
      <c r="E3355" s="9" t="s">
        <v>4624</v>
      </c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/>
      <c r="AC3355" s="9"/>
      <c r="AD3355" s="9"/>
    </row>
    <row r="3356">
      <c r="A3356" s="16" t="s">
        <v>4865</v>
      </c>
      <c r="B3356" s="22" t="s">
        <v>4882</v>
      </c>
      <c r="C3356" s="18" t="s">
        <v>4883</v>
      </c>
      <c r="D3356" s="19" t="s">
        <v>4884</v>
      </c>
      <c r="E3356" s="20" t="s">
        <v>7</v>
      </c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</row>
    <row r="3357">
      <c r="A3357" s="16" t="s">
        <v>4865</v>
      </c>
      <c r="B3357" s="22" t="s">
        <v>4882</v>
      </c>
      <c r="C3357" s="18" t="s">
        <v>2216</v>
      </c>
      <c r="D3357" s="19" t="s">
        <v>4885</v>
      </c>
      <c r="E3357" s="20" t="s">
        <v>7</v>
      </c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</row>
    <row r="3358">
      <c r="A3358" s="16" t="s">
        <v>4865</v>
      </c>
      <c r="B3358" s="22" t="s">
        <v>4882</v>
      </c>
      <c r="C3358" s="18" t="s">
        <v>4886</v>
      </c>
      <c r="D3358" s="19" t="s">
        <v>4887</v>
      </c>
      <c r="E3358" s="20" t="s">
        <v>7</v>
      </c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</row>
    <row r="3359">
      <c r="A3359" s="16" t="s">
        <v>4865</v>
      </c>
      <c r="B3359" s="22" t="s">
        <v>4888</v>
      </c>
      <c r="C3359" s="18" t="s">
        <v>4889</v>
      </c>
      <c r="D3359" s="19" t="s">
        <v>4890</v>
      </c>
      <c r="E3359" s="9" t="s">
        <v>125</v>
      </c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</row>
    <row r="3360">
      <c r="A3360" s="16" t="s">
        <v>4865</v>
      </c>
      <c r="B3360" s="22" t="s">
        <v>4888</v>
      </c>
      <c r="C3360" s="18" t="s">
        <v>4889</v>
      </c>
      <c r="D3360" s="19" t="s">
        <v>4891</v>
      </c>
      <c r="E3360" s="9" t="s">
        <v>14</v>
      </c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</row>
    <row r="3361">
      <c r="A3361" s="16"/>
      <c r="B3361" s="22"/>
      <c r="C3361" s="18"/>
      <c r="D3361" s="1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</row>
    <row r="3362">
      <c r="A3362" s="16"/>
      <c r="B3362" s="22"/>
      <c r="C3362" s="18"/>
      <c r="D3362" s="1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</row>
    <row r="3363">
      <c r="A3363" s="16" t="s">
        <v>4892</v>
      </c>
      <c r="B3363" s="22" t="s">
        <v>4893</v>
      </c>
      <c r="C3363" s="18" t="s">
        <v>4889</v>
      </c>
      <c r="D3363" s="19" t="s">
        <v>4894</v>
      </c>
      <c r="E3363" s="20" t="s">
        <v>7</v>
      </c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</row>
    <row r="3364">
      <c r="A3364" s="16" t="s">
        <v>4892</v>
      </c>
      <c r="B3364" s="22" t="s">
        <v>4893</v>
      </c>
      <c r="C3364" s="18" t="s">
        <v>4889</v>
      </c>
      <c r="D3364" s="19" t="s">
        <v>4894</v>
      </c>
      <c r="E3364" s="20" t="s">
        <v>7</v>
      </c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</row>
    <row r="3365">
      <c r="A3365" s="16" t="s">
        <v>4892</v>
      </c>
      <c r="B3365" s="19" t="s">
        <v>4829</v>
      </c>
      <c r="C3365" s="18" t="s">
        <v>4895</v>
      </c>
      <c r="D3365" s="19" t="s">
        <v>4896</v>
      </c>
      <c r="E3365" s="23" t="s">
        <v>4624</v>
      </c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</row>
    <row r="3366">
      <c r="A3366" s="16" t="s">
        <v>4892</v>
      </c>
      <c r="B3366" s="19" t="s">
        <v>4829</v>
      </c>
      <c r="C3366" s="18" t="s">
        <v>2637</v>
      </c>
      <c r="D3366" s="19" t="s">
        <v>4897</v>
      </c>
      <c r="E3366" s="23" t="s">
        <v>4624</v>
      </c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9"/>
      <c r="AD3366" s="9"/>
    </row>
    <row r="3367">
      <c r="A3367" s="16" t="s">
        <v>4892</v>
      </c>
      <c r="B3367" s="19" t="s">
        <v>4829</v>
      </c>
      <c r="C3367" s="18" t="s">
        <v>4898</v>
      </c>
      <c r="D3367" s="19" t="s">
        <v>2006</v>
      </c>
      <c r="E3367" s="23" t="s">
        <v>4624</v>
      </c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</row>
    <row r="3368">
      <c r="A3368" s="16" t="s">
        <v>4892</v>
      </c>
      <c r="B3368" s="22" t="s">
        <v>4899</v>
      </c>
      <c r="C3368" s="18" t="s">
        <v>4900</v>
      </c>
      <c r="D3368" s="19" t="s">
        <v>4901</v>
      </c>
      <c r="E3368" s="20" t="s">
        <v>7</v>
      </c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9"/>
      <c r="AD3368" s="9"/>
    </row>
    <row r="3369">
      <c r="A3369" s="16" t="s">
        <v>4892</v>
      </c>
      <c r="B3369" s="22" t="s">
        <v>4899</v>
      </c>
      <c r="C3369" s="18" t="s">
        <v>2258</v>
      </c>
      <c r="D3369" s="19" t="s">
        <v>4901</v>
      </c>
      <c r="E3369" s="20" t="s">
        <v>7</v>
      </c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</row>
    <row r="3370">
      <c r="A3370" s="16"/>
      <c r="B3370" s="22"/>
      <c r="C3370" s="18"/>
      <c r="D3370" s="1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</row>
    <row r="3371">
      <c r="A3371" s="16"/>
      <c r="B3371" s="22"/>
      <c r="C3371" s="18"/>
      <c r="D3371" s="1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</row>
    <row r="3372">
      <c r="A3372" s="16" t="s">
        <v>4902</v>
      </c>
      <c r="B3372" s="22" t="s">
        <v>4829</v>
      </c>
      <c r="C3372" s="18" t="s">
        <v>4798</v>
      </c>
      <c r="D3372" s="19" t="s">
        <v>4903</v>
      </c>
      <c r="E3372" s="20" t="s">
        <v>7</v>
      </c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9"/>
      <c r="AD3372" s="9"/>
    </row>
    <row r="3373">
      <c r="A3373" s="16" t="s">
        <v>4902</v>
      </c>
      <c r="B3373" s="22" t="s">
        <v>4829</v>
      </c>
      <c r="C3373" s="18" t="s">
        <v>4904</v>
      </c>
      <c r="D3373" s="19" t="s">
        <v>4905</v>
      </c>
      <c r="E3373" s="20" t="s">
        <v>7</v>
      </c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9"/>
      <c r="AD3373" s="9"/>
    </row>
    <row r="3374">
      <c r="A3374" s="16" t="s">
        <v>4902</v>
      </c>
      <c r="B3374" s="22" t="s">
        <v>4829</v>
      </c>
      <c r="C3374" s="18" t="s">
        <v>4906</v>
      </c>
      <c r="D3374" s="19" t="s">
        <v>4907</v>
      </c>
      <c r="E3374" s="20" t="s">
        <v>7</v>
      </c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/>
      <c r="AC3374" s="9"/>
      <c r="AD3374" s="9"/>
    </row>
    <row r="3375">
      <c r="A3375" s="16" t="s">
        <v>4902</v>
      </c>
      <c r="B3375" s="22" t="s">
        <v>4829</v>
      </c>
      <c r="C3375" s="18" t="s">
        <v>4906</v>
      </c>
      <c r="D3375" s="19" t="s">
        <v>4908</v>
      </c>
      <c r="E3375" s="20" t="s">
        <v>7</v>
      </c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</row>
    <row r="3376">
      <c r="A3376" s="16" t="s">
        <v>4902</v>
      </c>
      <c r="B3376" s="22" t="s">
        <v>4829</v>
      </c>
      <c r="C3376" s="18" t="s">
        <v>4904</v>
      </c>
      <c r="D3376" s="19" t="s">
        <v>4909</v>
      </c>
      <c r="E3376" s="20" t="s">
        <v>7</v>
      </c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</row>
    <row r="3377">
      <c r="A3377" s="16" t="s">
        <v>4902</v>
      </c>
      <c r="B3377" s="22" t="s">
        <v>4829</v>
      </c>
      <c r="C3377" s="18" t="s">
        <v>4906</v>
      </c>
      <c r="D3377" s="19" t="s">
        <v>4910</v>
      </c>
      <c r="E3377" s="20" t="s">
        <v>7</v>
      </c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</row>
    <row r="3378">
      <c r="A3378" s="16" t="s">
        <v>4902</v>
      </c>
      <c r="B3378" s="170" t="s">
        <v>4748</v>
      </c>
      <c r="C3378" s="18" t="s">
        <v>4749</v>
      </c>
      <c r="D3378" s="18" t="s">
        <v>4850</v>
      </c>
      <c r="E3378" s="19" t="s">
        <v>196</v>
      </c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</row>
    <row r="3379">
      <c r="A3379" s="16" t="s">
        <v>4902</v>
      </c>
      <c r="B3379" s="22" t="s">
        <v>4821</v>
      </c>
      <c r="C3379" s="18" t="s">
        <v>4824</v>
      </c>
      <c r="D3379" s="18" t="s">
        <v>4825</v>
      </c>
      <c r="E3379" s="23" t="s">
        <v>4624</v>
      </c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</row>
    <row r="3380">
      <c r="A3380" s="16" t="s">
        <v>4902</v>
      </c>
      <c r="B3380" s="22" t="s">
        <v>4821</v>
      </c>
      <c r="C3380" s="18" t="s">
        <v>4824</v>
      </c>
      <c r="D3380" s="18" t="s">
        <v>4911</v>
      </c>
      <c r="E3380" s="23" t="s">
        <v>4624</v>
      </c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</row>
    <row r="3381">
      <c r="A3381" s="16" t="s">
        <v>4902</v>
      </c>
      <c r="B3381" s="19" t="s">
        <v>4912</v>
      </c>
      <c r="C3381" s="18" t="s">
        <v>4913</v>
      </c>
      <c r="D3381" s="18" t="s">
        <v>4914</v>
      </c>
      <c r="E3381" s="19" t="s">
        <v>196</v>
      </c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</row>
    <row r="3382">
      <c r="A3382" s="16" t="s">
        <v>4902</v>
      </c>
      <c r="B3382" s="19" t="s">
        <v>4915</v>
      </c>
      <c r="C3382" s="18" t="s">
        <v>414</v>
      </c>
      <c r="D3382" s="18" t="s">
        <v>4916</v>
      </c>
      <c r="E3382" s="19" t="s">
        <v>196</v>
      </c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</row>
    <row r="3383">
      <c r="A3383" s="16" t="s">
        <v>4902</v>
      </c>
      <c r="B3383" s="19" t="s">
        <v>4915</v>
      </c>
      <c r="C3383" s="18" t="s">
        <v>414</v>
      </c>
      <c r="D3383" s="18" t="s">
        <v>4916</v>
      </c>
      <c r="E3383" s="19" t="s">
        <v>196</v>
      </c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</row>
    <row r="3384">
      <c r="A3384" s="16" t="s">
        <v>4902</v>
      </c>
      <c r="B3384" s="19" t="s">
        <v>4915</v>
      </c>
      <c r="C3384" s="18" t="s">
        <v>414</v>
      </c>
      <c r="D3384" s="18" t="s">
        <v>4916</v>
      </c>
      <c r="E3384" s="19" t="s">
        <v>196</v>
      </c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</row>
    <row r="3385">
      <c r="A3385" s="16" t="s">
        <v>4902</v>
      </c>
      <c r="B3385" s="19" t="s">
        <v>4915</v>
      </c>
      <c r="C3385" s="9" t="s">
        <v>414</v>
      </c>
      <c r="D3385" s="18" t="s">
        <v>4916</v>
      </c>
      <c r="E3385" s="19" t="s">
        <v>196</v>
      </c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9"/>
      <c r="AD3385" s="9"/>
    </row>
    <row r="3386">
      <c r="A3386" s="16"/>
      <c r="B3386" s="22"/>
      <c r="C3386" s="18"/>
      <c r="D3386" s="1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</row>
    <row r="3387">
      <c r="A3387" s="16"/>
      <c r="B3387" s="22"/>
      <c r="C3387" s="18"/>
      <c r="D3387" s="1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</row>
    <row r="3388">
      <c r="A3388" s="16" t="s">
        <v>4917</v>
      </c>
      <c r="B3388" s="22" t="s">
        <v>4918</v>
      </c>
      <c r="C3388" s="18" t="s">
        <v>4919</v>
      </c>
      <c r="D3388" s="19" t="s">
        <v>1323</v>
      </c>
      <c r="E3388" s="20" t="s">
        <v>7</v>
      </c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</row>
    <row r="3389">
      <c r="A3389" s="16" t="s">
        <v>4917</v>
      </c>
      <c r="B3389" s="22" t="s">
        <v>4918</v>
      </c>
      <c r="C3389" s="18" t="s">
        <v>3652</v>
      </c>
      <c r="D3389" s="19" t="s">
        <v>1323</v>
      </c>
      <c r="E3389" s="20" t="s">
        <v>7</v>
      </c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</row>
    <row r="3390">
      <c r="A3390" s="16" t="s">
        <v>4917</v>
      </c>
      <c r="B3390" s="22" t="s">
        <v>4918</v>
      </c>
      <c r="C3390" s="18" t="s">
        <v>4920</v>
      </c>
      <c r="D3390" s="19" t="s">
        <v>4921</v>
      </c>
      <c r="E3390" s="20" t="s">
        <v>7</v>
      </c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</row>
    <row r="3391">
      <c r="A3391" s="16" t="s">
        <v>4917</v>
      </c>
      <c r="B3391" s="22" t="s">
        <v>4918</v>
      </c>
      <c r="C3391" s="18" t="s">
        <v>4922</v>
      </c>
      <c r="D3391" s="19" t="s">
        <v>4921</v>
      </c>
      <c r="E3391" s="20" t="s">
        <v>7</v>
      </c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</row>
    <row r="3392">
      <c r="A3392" s="16"/>
      <c r="B3392" s="22"/>
      <c r="C3392" s="18"/>
      <c r="D3392" s="1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</row>
    <row r="3393">
      <c r="A3393" s="16"/>
      <c r="B3393" s="22"/>
      <c r="C3393" s="18"/>
      <c r="D3393" s="1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</row>
    <row r="3394">
      <c r="A3394" s="16" t="s">
        <v>4923</v>
      </c>
      <c r="B3394" s="22" t="s">
        <v>4924</v>
      </c>
      <c r="C3394" s="18" t="s">
        <v>3760</v>
      </c>
      <c r="D3394" s="19" t="s">
        <v>4925</v>
      </c>
      <c r="E3394" s="23" t="s">
        <v>4624</v>
      </c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</row>
    <row r="3395">
      <c r="A3395" s="16" t="s">
        <v>4923</v>
      </c>
      <c r="B3395" s="22" t="s">
        <v>4924</v>
      </c>
      <c r="C3395" s="18" t="s">
        <v>3760</v>
      </c>
      <c r="D3395" s="19" t="s">
        <v>4926</v>
      </c>
      <c r="E3395" s="23" t="s">
        <v>4624</v>
      </c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</row>
    <row r="3396">
      <c r="A3396" s="16" t="s">
        <v>4923</v>
      </c>
      <c r="B3396" s="22" t="s">
        <v>4924</v>
      </c>
      <c r="C3396" s="18" t="s">
        <v>3760</v>
      </c>
      <c r="D3396" s="19" t="s">
        <v>4927</v>
      </c>
      <c r="E3396" s="23" t="s">
        <v>4624</v>
      </c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</row>
    <row r="3397">
      <c r="A3397" s="16" t="s">
        <v>4923</v>
      </c>
      <c r="B3397" s="22" t="s">
        <v>4924</v>
      </c>
      <c r="C3397" s="18" t="s">
        <v>3760</v>
      </c>
      <c r="D3397" s="19" t="s">
        <v>4928</v>
      </c>
      <c r="E3397" s="23" t="s">
        <v>4624</v>
      </c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</row>
    <row r="3398">
      <c r="A3398" s="16"/>
      <c r="B3398" s="22"/>
      <c r="C3398" s="18"/>
      <c r="D3398" s="1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</row>
    <row r="3399">
      <c r="A3399" s="16"/>
      <c r="B3399" s="22"/>
      <c r="C3399" s="18"/>
      <c r="D3399" s="1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</row>
    <row r="3400">
      <c r="A3400" s="16" t="s">
        <v>4929</v>
      </c>
      <c r="B3400" s="22" t="s">
        <v>4863</v>
      </c>
      <c r="C3400" s="18" t="s">
        <v>1422</v>
      </c>
      <c r="D3400" s="19" t="s">
        <v>4930</v>
      </c>
      <c r="E3400" s="23" t="s">
        <v>4624</v>
      </c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</row>
    <row r="3401">
      <c r="A3401" s="16" t="s">
        <v>4929</v>
      </c>
      <c r="B3401" s="22" t="s">
        <v>4863</v>
      </c>
      <c r="C3401" s="18" t="s">
        <v>1387</v>
      </c>
      <c r="D3401" s="19" t="s">
        <v>4931</v>
      </c>
      <c r="E3401" s="23" t="s">
        <v>4624</v>
      </c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</row>
    <row r="3402">
      <c r="A3402" s="16" t="s">
        <v>4929</v>
      </c>
      <c r="B3402" s="22" t="s">
        <v>4863</v>
      </c>
      <c r="C3402" s="18" t="s">
        <v>4932</v>
      </c>
      <c r="D3402" s="19" t="s">
        <v>4933</v>
      </c>
      <c r="E3402" s="23" t="s">
        <v>4624</v>
      </c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</row>
    <row r="3403">
      <c r="A3403" s="16" t="s">
        <v>4929</v>
      </c>
      <c r="B3403" s="22" t="s">
        <v>4863</v>
      </c>
      <c r="C3403" s="18" t="s">
        <v>1387</v>
      </c>
      <c r="D3403" s="19" t="s">
        <v>4934</v>
      </c>
      <c r="E3403" s="23" t="s">
        <v>4624</v>
      </c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</row>
    <row r="3404">
      <c r="A3404" s="16" t="s">
        <v>4929</v>
      </c>
      <c r="B3404" s="22" t="s">
        <v>4863</v>
      </c>
      <c r="C3404" s="18" t="s">
        <v>1422</v>
      </c>
      <c r="D3404" s="19" t="s">
        <v>4935</v>
      </c>
      <c r="E3404" s="23" t="s">
        <v>4624</v>
      </c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</row>
    <row r="3405">
      <c r="A3405" s="16" t="s">
        <v>4929</v>
      </c>
      <c r="B3405" s="22" t="s">
        <v>4863</v>
      </c>
      <c r="C3405" s="18" t="s">
        <v>1365</v>
      </c>
      <c r="D3405" s="19" t="s">
        <v>217</v>
      </c>
      <c r="E3405" s="23" t="s">
        <v>4624</v>
      </c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</row>
    <row r="3406">
      <c r="A3406" s="16" t="s">
        <v>4929</v>
      </c>
      <c r="B3406" s="19" t="s">
        <v>4936</v>
      </c>
      <c r="C3406" s="18" t="s">
        <v>4697</v>
      </c>
      <c r="D3406" s="19" t="s">
        <v>4937</v>
      </c>
      <c r="E3406" s="20" t="s">
        <v>7</v>
      </c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</row>
    <row r="3407">
      <c r="A3407" s="16"/>
      <c r="B3407" s="22"/>
      <c r="C3407" s="18"/>
      <c r="D3407" s="1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</row>
    <row r="3408">
      <c r="A3408" s="16"/>
      <c r="B3408" s="22"/>
      <c r="C3408" s="18"/>
      <c r="D3408" s="1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</row>
    <row r="3409">
      <c r="A3409" s="16" t="s">
        <v>4938</v>
      </c>
      <c r="B3409" s="22" t="s">
        <v>4829</v>
      </c>
      <c r="C3409" s="18" t="s">
        <v>4939</v>
      </c>
      <c r="D3409" s="19" t="s">
        <v>4940</v>
      </c>
      <c r="E3409" s="9" t="s">
        <v>14</v>
      </c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</row>
    <row r="3410">
      <c r="A3410" s="16" t="s">
        <v>4938</v>
      </c>
      <c r="B3410" s="22" t="s">
        <v>4941</v>
      </c>
      <c r="C3410" s="18" t="s">
        <v>4942</v>
      </c>
      <c r="D3410" s="19" t="s">
        <v>4943</v>
      </c>
      <c r="E3410" s="9" t="s">
        <v>4261</v>
      </c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</row>
    <row r="3411">
      <c r="A3411" s="16" t="s">
        <v>4938</v>
      </c>
      <c r="B3411" s="22" t="s">
        <v>4941</v>
      </c>
      <c r="C3411" s="18" t="s">
        <v>2623</v>
      </c>
      <c r="D3411" s="19" t="s">
        <v>4943</v>
      </c>
      <c r="E3411" s="9" t="s">
        <v>4261</v>
      </c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</row>
    <row r="3412">
      <c r="A3412" s="16" t="s">
        <v>4938</v>
      </c>
      <c r="B3412" s="19" t="s">
        <v>4944</v>
      </c>
      <c r="C3412" s="18" t="s">
        <v>4945</v>
      </c>
      <c r="D3412" s="19" t="s">
        <v>4946</v>
      </c>
      <c r="E3412" s="9" t="s">
        <v>14</v>
      </c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</row>
    <row r="3413">
      <c r="A3413" s="16"/>
      <c r="B3413" s="22"/>
      <c r="C3413" s="18"/>
      <c r="D3413" s="1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</row>
    <row r="3414">
      <c r="A3414" s="16"/>
      <c r="B3414" s="22"/>
      <c r="C3414" s="18"/>
      <c r="D3414" s="1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</row>
    <row r="3415">
      <c r="A3415" s="16" t="s">
        <v>4947</v>
      </c>
      <c r="B3415" s="22" t="s">
        <v>4948</v>
      </c>
      <c r="C3415" s="18" t="s">
        <v>4949</v>
      </c>
      <c r="D3415" s="19" t="s">
        <v>4823</v>
      </c>
      <c r="E3415" s="23" t="s">
        <v>4624</v>
      </c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</row>
    <row r="3416">
      <c r="A3416" s="16" t="s">
        <v>4947</v>
      </c>
      <c r="B3416" s="22" t="s">
        <v>4948</v>
      </c>
      <c r="C3416" s="18" t="s">
        <v>4822</v>
      </c>
      <c r="D3416" s="19" t="s">
        <v>4950</v>
      </c>
      <c r="E3416" s="19" t="s">
        <v>196</v>
      </c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</row>
    <row r="3417">
      <c r="A3417" s="16" t="s">
        <v>4947</v>
      </c>
      <c r="B3417" s="22" t="s">
        <v>4948</v>
      </c>
      <c r="C3417" s="18" t="s">
        <v>4951</v>
      </c>
      <c r="D3417" s="19" t="s">
        <v>4952</v>
      </c>
      <c r="E3417" s="23" t="s">
        <v>4624</v>
      </c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</row>
    <row r="3418">
      <c r="A3418" s="16" t="s">
        <v>4947</v>
      </c>
      <c r="B3418" s="22" t="s">
        <v>4948</v>
      </c>
      <c r="C3418" s="18" t="s">
        <v>4953</v>
      </c>
      <c r="D3418" s="19" t="s">
        <v>4954</v>
      </c>
      <c r="E3418" s="23" t="s">
        <v>4624</v>
      </c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</row>
    <row r="3419">
      <c r="A3419" s="16" t="s">
        <v>4947</v>
      </c>
      <c r="B3419" s="22" t="s">
        <v>4948</v>
      </c>
      <c r="C3419" s="18" t="s">
        <v>4955</v>
      </c>
      <c r="D3419" s="19" t="s">
        <v>4956</v>
      </c>
      <c r="E3419" s="23" t="s">
        <v>4624</v>
      </c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</row>
    <row r="3420">
      <c r="A3420" s="16" t="s">
        <v>4947</v>
      </c>
      <c r="B3420" s="22" t="s">
        <v>4948</v>
      </c>
      <c r="C3420" s="18" t="s">
        <v>4951</v>
      </c>
      <c r="D3420" s="19" t="s">
        <v>4957</v>
      </c>
      <c r="E3420" s="23" t="s">
        <v>4624</v>
      </c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</row>
    <row r="3421">
      <c r="A3421" s="16" t="s">
        <v>4947</v>
      </c>
      <c r="B3421" s="22" t="s">
        <v>4958</v>
      </c>
      <c r="C3421" s="18" t="s">
        <v>4959</v>
      </c>
      <c r="D3421" s="19" t="s">
        <v>4960</v>
      </c>
      <c r="E3421" s="9" t="s">
        <v>14</v>
      </c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</row>
    <row r="3422">
      <c r="A3422" s="16" t="s">
        <v>4947</v>
      </c>
      <c r="B3422" s="22" t="s">
        <v>4961</v>
      </c>
      <c r="C3422" s="18" t="s">
        <v>3760</v>
      </c>
      <c r="D3422" s="19" t="s">
        <v>4962</v>
      </c>
      <c r="E3422" s="20" t="s">
        <v>7</v>
      </c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</row>
    <row r="3423">
      <c r="A3423" s="16" t="s">
        <v>4947</v>
      </c>
      <c r="B3423" s="22" t="s">
        <v>4961</v>
      </c>
      <c r="C3423" s="18" t="s">
        <v>4963</v>
      </c>
      <c r="D3423" s="19" t="s">
        <v>4964</v>
      </c>
      <c r="E3423" s="20" t="s">
        <v>7</v>
      </c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</row>
    <row r="3424">
      <c r="A3424" s="16" t="s">
        <v>4947</v>
      </c>
      <c r="B3424" s="22" t="s">
        <v>4961</v>
      </c>
      <c r="C3424" s="18" t="s">
        <v>3760</v>
      </c>
      <c r="D3424" s="19" t="s">
        <v>4965</v>
      </c>
      <c r="E3424" s="20" t="s">
        <v>7</v>
      </c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</row>
    <row r="3425">
      <c r="A3425" s="16" t="s">
        <v>4947</v>
      </c>
      <c r="B3425" s="22" t="s">
        <v>4961</v>
      </c>
      <c r="C3425" s="18" t="s">
        <v>3760</v>
      </c>
      <c r="D3425" s="19" t="s">
        <v>4966</v>
      </c>
      <c r="E3425" s="20" t="s">
        <v>7</v>
      </c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</row>
    <row r="3426">
      <c r="A3426" s="16" t="s">
        <v>4947</v>
      </c>
      <c r="B3426" s="22" t="s">
        <v>4961</v>
      </c>
      <c r="C3426" s="18" t="s">
        <v>3760</v>
      </c>
      <c r="D3426" s="19" t="s">
        <v>4967</v>
      </c>
      <c r="E3426" s="20" t="s">
        <v>7</v>
      </c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</row>
    <row r="3427">
      <c r="A3427" s="16" t="s">
        <v>4947</v>
      </c>
      <c r="B3427" s="22" t="s">
        <v>4961</v>
      </c>
      <c r="C3427" s="18" t="s">
        <v>3760</v>
      </c>
      <c r="D3427" s="19" t="s">
        <v>4968</v>
      </c>
      <c r="E3427" s="20" t="s">
        <v>7</v>
      </c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</row>
    <row r="3428">
      <c r="A3428" s="16" t="s">
        <v>4947</v>
      </c>
      <c r="B3428" s="22" t="s">
        <v>4961</v>
      </c>
      <c r="C3428" s="18" t="s">
        <v>3760</v>
      </c>
      <c r="D3428" s="19" t="s">
        <v>4969</v>
      </c>
      <c r="E3428" s="20" t="s">
        <v>7</v>
      </c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</row>
    <row r="3429">
      <c r="A3429" s="16" t="s">
        <v>4947</v>
      </c>
      <c r="B3429" s="22" t="s">
        <v>4961</v>
      </c>
      <c r="C3429" s="18" t="s">
        <v>3760</v>
      </c>
      <c r="D3429" s="19" t="s">
        <v>4970</v>
      </c>
      <c r="E3429" s="20" t="s">
        <v>7</v>
      </c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</row>
    <row r="3430">
      <c r="A3430" s="16" t="s">
        <v>4947</v>
      </c>
      <c r="B3430" s="22" t="s">
        <v>4961</v>
      </c>
      <c r="C3430" s="18" t="s">
        <v>3760</v>
      </c>
      <c r="D3430" s="19" t="s">
        <v>4971</v>
      </c>
      <c r="E3430" s="20" t="s">
        <v>7</v>
      </c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</row>
    <row r="3431">
      <c r="A3431" s="16" t="s">
        <v>4947</v>
      </c>
      <c r="B3431" s="22" t="s">
        <v>4961</v>
      </c>
      <c r="C3431" s="18" t="s">
        <v>3760</v>
      </c>
      <c r="D3431" s="19" t="s">
        <v>4972</v>
      </c>
      <c r="E3431" s="20" t="s">
        <v>7</v>
      </c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</row>
    <row r="3432">
      <c r="A3432" s="16" t="s">
        <v>4947</v>
      </c>
      <c r="B3432" s="22" t="s">
        <v>4961</v>
      </c>
      <c r="C3432" s="18" t="s">
        <v>3760</v>
      </c>
      <c r="D3432" s="19" t="s">
        <v>4973</v>
      </c>
      <c r="E3432" s="20" t="s">
        <v>7</v>
      </c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</row>
    <row r="3433">
      <c r="A3433" s="16" t="s">
        <v>4947</v>
      </c>
      <c r="B3433" s="22" t="s">
        <v>4961</v>
      </c>
      <c r="C3433" s="18" t="s">
        <v>3760</v>
      </c>
      <c r="D3433" s="19" t="s">
        <v>1181</v>
      </c>
      <c r="E3433" s="20" t="s">
        <v>7</v>
      </c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</row>
    <row r="3434">
      <c r="A3434" s="16"/>
      <c r="B3434" s="22"/>
      <c r="C3434" s="18"/>
      <c r="D3434" s="1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</row>
    <row r="3435">
      <c r="A3435" s="16"/>
      <c r="B3435" s="22"/>
      <c r="C3435" s="18"/>
      <c r="D3435" s="1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</row>
    <row r="3436">
      <c r="A3436" s="16" t="s">
        <v>4974</v>
      </c>
      <c r="B3436" s="22" t="s">
        <v>4888</v>
      </c>
      <c r="C3436" s="18" t="s">
        <v>4889</v>
      </c>
      <c r="D3436" s="19" t="s">
        <v>4975</v>
      </c>
      <c r="E3436" s="20" t="s">
        <v>7</v>
      </c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</row>
    <row r="3437">
      <c r="A3437" s="16" t="s">
        <v>4974</v>
      </c>
      <c r="B3437" s="22" t="s">
        <v>4976</v>
      </c>
      <c r="C3437" s="18" t="s">
        <v>4749</v>
      </c>
      <c r="D3437" s="19" t="s">
        <v>2564</v>
      </c>
      <c r="E3437" s="20" t="s">
        <v>7</v>
      </c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</row>
    <row r="3438">
      <c r="A3438" s="16" t="s">
        <v>4974</v>
      </c>
      <c r="B3438" s="22" t="s">
        <v>4976</v>
      </c>
      <c r="C3438" s="18" t="s">
        <v>4749</v>
      </c>
      <c r="D3438" s="19" t="s">
        <v>4969</v>
      </c>
      <c r="E3438" s="20" t="s">
        <v>7</v>
      </c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</row>
    <row r="3439">
      <c r="A3439" s="16" t="s">
        <v>4974</v>
      </c>
      <c r="B3439" s="22" t="s">
        <v>4977</v>
      </c>
      <c r="C3439" s="18" t="s">
        <v>4978</v>
      </c>
      <c r="D3439" s="19" t="s">
        <v>4979</v>
      </c>
      <c r="E3439" s="20" t="s">
        <v>7</v>
      </c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</row>
    <row r="3440">
      <c r="A3440" s="16" t="s">
        <v>4974</v>
      </c>
      <c r="B3440" s="22" t="s">
        <v>4821</v>
      </c>
      <c r="C3440" s="18" t="s">
        <v>4980</v>
      </c>
      <c r="D3440" s="19" t="s">
        <v>4981</v>
      </c>
      <c r="E3440" s="20" t="s">
        <v>7</v>
      </c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</row>
    <row r="3441">
      <c r="A3441" s="16" t="s">
        <v>4974</v>
      </c>
      <c r="B3441" s="22" t="s">
        <v>4821</v>
      </c>
      <c r="C3441" s="18" t="s">
        <v>4982</v>
      </c>
      <c r="D3441" s="19" t="s">
        <v>4983</v>
      </c>
      <c r="E3441" s="20" t="s">
        <v>7</v>
      </c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</row>
    <row r="3442">
      <c r="A3442" s="16" t="s">
        <v>4974</v>
      </c>
      <c r="B3442" s="22" t="s">
        <v>4821</v>
      </c>
      <c r="C3442" s="18" t="s">
        <v>4984</v>
      </c>
      <c r="D3442" s="19" t="s">
        <v>4985</v>
      </c>
      <c r="E3442" s="20" t="s">
        <v>7</v>
      </c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</row>
    <row r="3443">
      <c r="A3443" s="16" t="s">
        <v>4974</v>
      </c>
      <c r="B3443" s="22" t="s">
        <v>4821</v>
      </c>
      <c r="C3443" s="18" t="s">
        <v>4986</v>
      </c>
      <c r="D3443" s="19" t="s">
        <v>4952</v>
      </c>
      <c r="E3443" s="20" t="s">
        <v>7</v>
      </c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</row>
    <row r="3444">
      <c r="A3444" s="16" t="s">
        <v>4974</v>
      </c>
      <c r="B3444" s="19" t="s">
        <v>4987</v>
      </c>
      <c r="C3444" s="18" t="s">
        <v>4988</v>
      </c>
      <c r="D3444" s="19" t="s">
        <v>4989</v>
      </c>
      <c r="E3444" s="19" t="s">
        <v>196</v>
      </c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</row>
    <row r="3445">
      <c r="A3445" s="16"/>
      <c r="B3445" s="22"/>
      <c r="C3445" s="18"/>
      <c r="D3445" s="1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</row>
    <row r="3446">
      <c r="A3446" s="16"/>
      <c r="B3446" s="22"/>
      <c r="C3446" s="18"/>
      <c r="D3446" s="1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</row>
    <row r="3447">
      <c r="A3447" s="16" t="s">
        <v>4990</v>
      </c>
      <c r="B3447" s="22" t="s">
        <v>4991</v>
      </c>
      <c r="C3447" s="18" t="s">
        <v>4992</v>
      </c>
      <c r="D3447" s="19" t="s">
        <v>4993</v>
      </c>
      <c r="E3447" s="9" t="s">
        <v>2332</v>
      </c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</row>
    <row r="3448">
      <c r="A3448" s="16" t="s">
        <v>4990</v>
      </c>
      <c r="B3448" s="22" t="s">
        <v>4991</v>
      </c>
      <c r="C3448" s="18" t="s">
        <v>4992</v>
      </c>
      <c r="D3448" s="19" t="s">
        <v>4993</v>
      </c>
      <c r="E3448" s="9" t="s">
        <v>2332</v>
      </c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</row>
    <row r="3449">
      <c r="A3449" s="16"/>
      <c r="B3449" s="22"/>
      <c r="C3449" s="18"/>
      <c r="D3449" s="1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</row>
    <row r="3450">
      <c r="A3450" s="16"/>
      <c r="B3450" s="22"/>
      <c r="C3450" s="18"/>
      <c r="D3450" s="1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</row>
    <row r="3451">
      <c r="A3451" s="16" t="s">
        <v>4994</v>
      </c>
      <c r="B3451" s="22" t="s">
        <v>4995</v>
      </c>
      <c r="C3451" s="18" t="s">
        <v>4604</v>
      </c>
      <c r="D3451" s="19" t="s">
        <v>4996</v>
      </c>
      <c r="E3451" s="19" t="s">
        <v>196</v>
      </c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</row>
    <row r="3452">
      <c r="A3452" s="16" t="s">
        <v>4994</v>
      </c>
      <c r="B3452" s="22" t="s">
        <v>4995</v>
      </c>
      <c r="C3452" s="18" t="s">
        <v>4997</v>
      </c>
      <c r="D3452" s="19" t="s">
        <v>4996</v>
      </c>
      <c r="E3452" s="19" t="s">
        <v>196</v>
      </c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</row>
    <row r="3453">
      <c r="A3453" s="16" t="s">
        <v>4994</v>
      </c>
      <c r="B3453" s="22" t="s">
        <v>4995</v>
      </c>
      <c r="C3453" s="18" t="s">
        <v>2785</v>
      </c>
      <c r="D3453" s="19" t="s">
        <v>4998</v>
      </c>
      <c r="E3453" s="19" t="s">
        <v>196</v>
      </c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</row>
    <row r="3454">
      <c r="A3454" s="16" t="s">
        <v>4994</v>
      </c>
      <c r="B3454" s="22" t="s">
        <v>4999</v>
      </c>
      <c r="C3454" s="18" t="s">
        <v>5000</v>
      </c>
      <c r="D3454" s="18" t="s">
        <v>5001</v>
      </c>
      <c r="E3454" s="23" t="s">
        <v>4624</v>
      </c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</row>
    <row r="3455">
      <c r="A3455" s="16" t="s">
        <v>4994</v>
      </c>
      <c r="B3455" s="22" t="s">
        <v>4999</v>
      </c>
      <c r="C3455" s="18" t="s">
        <v>5000</v>
      </c>
      <c r="D3455" s="18" t="s">
        <v>5002</v>
      </c>
      <c r="E3455" s="23" t="s">
        <v>4624</v>
      </c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</row>
    <row r="3456">
      <c r="A3456" s="16" t="s">
        <v>4994</v>
      </c>
      <c r="B3456" s="22" t="s">
        <v>4999</v>
      </c>
      <c r="C3456" s="18" t="s">
        <v>5000</v>
      </c>
      <c r="D3456" s="18" t="s">
        <v>5003</v>
      </c>
      <c r="E3456" s="23" t="s">
        <v>4624</v>
      </c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</row>
    <row r="3457">
      <c r="A3457" s="16" t="s">
        <v>4994</v>
      </c>
      <c r="B3457" s="22" t="s">
        <v>4999</v>
      </c>
      <c r="C3457" s="18" t="s">
        <v>5004</v>
      </c>
      <c r="D3457" s="18" t="s">
        <v>5005</v>
      </c>
      <c r="E3457" s="23" t="s">
        <v>4624</v>
      </c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</row>
    <row r="3458">
      <c r="A3458" s="16" t="s">
        <v>4994</v>
      </c>
      <c r="B3458" s="22" t="s">
        <v>4999</v>
      </c>
      <c r="C3458" s="18" t="s">
        <v>5000</v>
      </c>
      <c r="D3458" s="18" t="s">
        <v>5002</v>
      </c>
      <c r="E3458" s="23" t="s">
        <v>4624</v>
      </c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</row>
    <row r="3459">
      <c r="A3459" s="16" t="s">
        <v>4994</v>
      </c>
      <c r="B3459" s="22" t="s">
        <v>4948</v>
      </c>
      <c r="C3459" s="18" t="s">
        <v>5006</v>
      </c>
      <c r="D3459" s="19" t="s">
        <v>5007</v>
      </c>
      <c r="E3459" s="20" t="s">
        <v>7</v>
      </c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</row>
    <row r="3460">
      <c r="A3460" s="16" t="s">
        <v>4994</v>
      </c>
      <c r="B3460" s="22" t="s">
        <v>4948</v>
      </c>
      <c r="C3460" s="18" t="s">
        <v>5008</v>
      </c>
      <c r="D3460" s="19" t="s">
        <v>5009</v>
      </c>
      <c r="E3460" s="20" t="s">
        <v>7</v>
      </c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</row>
    <row r="3461">
      <c r="A3461" s="16"/>
      <c r="B3461" s="22"/>
      <c r="C3461" s="18"/>
      <c r="D3461" s="1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</row>
    <row r="3462">
      <c r="A3462" s="16"/>
      <c r="B3462" s="22"/>
      <c r="C3462" s="18"/>
      <c r="D3462" s="1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</row>
    <row r="3463">
      <c r="A3463" s="16" t="s">
        <v>5010</v>
      </c>
      <c r="B3463" s="22" t="s">
        <v>5011</v>
      </c>
      <c r="C3463" s="18" t="s">
        <v>5000</v>
      </c>
      <c r="D3463" s="19" t="s">
        <v>5012</v>
      </c>
      <c r="E3463" s="9" t="s">
        <v>764</v>
      </c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</row>
    <row r="3464">
      <c r="A3464" s="16" t="s">
        <v>5010</v>
      </c>
      <c r="B3464" s="22" t="s">
        <v>5011</v>
      </c>
      <c r="C3464" s="18" t="s">
        <v>5000</v>
      </c>
      <c r="D3464" s="19" t="s">
        <v>5013</v>
      </c>
      <c r="E3464" s="9" t="s">
        <v>764</v>
      </c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</row>
    <row r="3465">
      <c r="A3465" s="16" t="s">
        <v>5010</v>
      </c>
      <c r="B3465" s="22" t="s">
        <v>5014</v>
      </c>
      <c r="C3465" s="18" t="s">
        <v>4913</v>
      </c>
      <c r="D3465" s="19" t="s">
        <v>5015</v>
      </c>
      <c r="E3465" s="19" t="s">
        <v>196</v>
      </c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</row>
    <row r="3466">
      <c r="A3466" s="16" t="s">
        <v>5010</v>
      </c>
      <c r="B3466" s="22" t="s">
        <v>4807</v>
      </c>
      <c r="C3466" s="18" t="s">
        <v>4808</v>
      </c>
      <c r="D3466" s="19" t="s">
        <v>5016</v>
      </c>
      <c r="E3466" s="9" t="s">
        <v>14</v>
      </c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</row>
    <row r="3467">
      <c r="A3467" s="16" t="s">
        <v>5010</v>
      </c>
      <c r="B3467" s="22" t="s">
        <v>4807</v>
      </c>
      <c r="C3467" s="18" t="s">
        <v>4808</v>
      </c>
      <c r="D3467" s="19" t="s">
        <v>5017</v>
      </c>
      <c r="E3467" s="9" t="s">
        <v>14</v>
      </c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</row>
    <row r="3468">
      <c r="A3468" s="16" t="s">
        <v>5010</v>
      </c>
      <c r="B3468" s="22" t="s">
        <v>4807</v>
      </c>
      <c r="C3468" s="18" t="s">
        <v>4808</v>
      </c>
      <c r="D3468" s="19" t="s">
        <v>5018</v>
      </c>
      <c r="E3468" s="9" t="s">
        <v>14</v>
      </c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</row>
    <row r="3469">
      <c r="A3469" s="16"/>
      <c r="B3469" s="22"/>
      <c r="C3469" s="18"/>
      <c r="D3469" s="1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</row>
    <row r="3470">
      <c r="A3470" s="16"/>
      <c r="B3470" s="22"/>
      <c r="C3470" s="18"/>
      <c r="D3470" s="1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</row>
    <row r="3471">
      <c r="A3471" s="16" t="s">
        <v>5019</v>
      </c>
      <c r="B3471" s="22" t="s">
        <v>4748</v>
      </c>
      <c r="C3471" s="18" t="s">
        <v>4749</v>
      </c>
      <c r="D3471" s="18" t="s">
        <v>4850</v>
      </c>
      <c r="E3471" s="19" t="s">
        <v>196</v>
      </c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</row>
    <row r="3472">
      <c r="A3472" s="16" t="s">
        <v>5019</v>
      </c>
      <c r="B3472" s="22" t="s">
        <v>4748</v>
      </c>
      <c r="C3472" s="18" t="s">
        <v>4751</v>
      </c>
      <c r="D3472" s="18" t="s">
        <v>4866</v>
      </c>
      <c r="E3472" s="19" t="s">
        <v>196</v>
      </c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</row>
    <row r="3473">
      <c r="A3473" s="16" t="s">
        <v>5019</v>
      </c>
      <c r="B3473" s="22" t="s">
        <v>4748</v>
      </c>
      <c r="C3473" s="18" t="s">
        <v>4749</v>
      </c>
      <c r="D3473" s="18" t="s">
        <v>4850</v>
      </c>
      <c r="E3473" s="19" t="s">
        <v>196</v>
      </c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</row>
    <row r="3474">
      <c r="A3474" s="16" t="s">
        <v>5019</v>
      </c>
      <c r="B3474" s="22" t="s">
        <v>4748</v>
      </c>
      <c r="C3474" s="18" t="s">
        <v>4755</v>
      </c>
      <c r="D3474" s="18" t="s">
        <v>4756</v>
      </c>
      <c r="E3474" s="19" t="s">
        <v>196</v>
      </c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</row>
    <row r="3475">
      <c r="A3475" s="16" t="s">
        <v>5019</v>
      </c>
      <c r="B3475" s="22" t="s">
        <v>5020</v>
      </c>
      <c r="C3475" s="18" t="s">
        <v>2824</v>
      </c>
      <c r="D3475" s="18" t="s">
        <v>5021</v>
      </c>
      <c r="E3475" s="23" t="s">
        <v>4624</v>
      </c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</row>
    <row r="3476">
      <c r="A3476" s="16" t="s">
        <v>5019</v>
      </c>
      <c r="B3476" s="22" t="s">
        <v>5020</v>
      </c>
      <c r="C3476" s="18" t="s">
        <v>2824</v>
      </c>
      <c r="D3476" s="18" t="s">
        <v>5021</v>
      </c>
      <c r="E3476" s="23" t="s">
        <v>4624</v>
      </c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</row>
    <row r="3477">
      <c r="A3477" s="16" t="s">
        <v>5019</v>
      </c>
      <c r="B3477" s="22" t="s">
        <v>4829</v>
      </c>
      <c r="C3477" s="18" t="s">
        <v>5022</v>
      </c>
      <c r="D3477" s="19" t="s">
        <v>5023</v>
      </c>
      <c r="E3477" s="20" t="s">
        <v>7</v>
      </c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</row>
    <row r="3478">
      <c r="A3478" s="16" t="s">
        <v>5019</v>
      </c>
      <c r="B3478" s="22" t="s">
        <v>5024</v>
      </c>
      <c r="C3478" s="18" t="s">
        <v>5025</v>
      </c>
      <c r="D3478" s="19" t="s">
        <v>4996</v>
      </c>
      <c r="E3478" s="20" t="s">
        <v>7</v>
      </c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</row>
    <row r="3479">
      <c r="A3479" s="16" t="s">
        <v>5019</v>
      </c>
      <c r="B3479" s="22" t="s">
        <v>5024</v>
      </c>
      <c r="C3479" s="18" t="s">
        <v>2785</v>
      </c>
      <c r="D3479" s="19" t="s">
        <v>4998</v>
      </c>
      <c r="E3479" s="19" t="s">
        <v>196</v>
      </c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</row>
    <row r="3480">
      <c r="A3480" s="16" t="s">
        <v>5019</v>
      </c>
      <c r="B3480" s="22" t="s">
        <v>5026</v>
      </c>
      <c r="C3480" s="18" t="s">
        <v>5027</v>
      </c>
      <c r="D3480" s="19" t="s">
        <v>5028</v>
      </c>
      <c r="E3480" s="9" t="s">
        <v>764</v>
      </c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</row>
    <row r="3481">
      <c r="A3481" s="16" t="s">
        <v>5019</v>
      </c>
      <c r="B3481" s="22" t="s">
        <v>5029</v>
      </c>
      <c r="C3481" s="18" t="s">
        <v>5030</v>
      </c>
      <c r="D3481" s="18" t="s">
        <v>5031</v>
      </c>
      <c r="E3481" s="9" t="s">
        <v>14</v>
      </c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</row>
    <row r="3482">
      <c r="A3482" s="16" t="s">
        <v>5019</v>
      </c>
      <c r="B3482" s="22" t="s">
        <v>5029</v>
      </c>
      <c r="C3482" s="18" t="s">
        <v>5030</v>
      </c>
      <c r="D3482" s="18" t="s">
        <v>5031</v>
      </c>
      <c r="E3482" s="9" t="s">
        <v>14</v>
      </c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</row>
    <row r="3483">
      <c r="A3483" s="16" t="s">
        <v>5019</v>
      </c>
      <c r="B3483" s="22" t="s">
        <v>5029</v>
      </c>
      <c r="C3483" s="18" t="s">
        <v>5000</v>
      </c>
      <c r="D3483" s="18" t="s">
        <v>5032</v>
      </c>
      <c r="E3483" s="9" t="s">
        <v>764</v>
      </c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</row>
    <row r="3484">
      <c r="A3484" s="16" t="s">
        <v>5019</v>
      </c>
      <c r="B3484" s="22" t="s">
        <v>5029</v>
      </c>
      <c r="C3484" s="18" t="s">
        <v>5000</v>
      </c>
      <c r="D3484" s="18" t="s">
        <v>5033</v>
      </c>
      <c r="E3484" s="9" t="s">
        <v>764</v>
      </c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</row>
    <row r="3485">
      <c r="A3485" s="16" t="s">
        <v>5019</v>
      </c>
      <c r="B3485" s="22" t="s">
        <v>5029</v>
      </c>
      <c r="C3485" s="18" t="s">
        <v>5000</v>
      </c>
      <c r="D3485" s="18" t="s">
        <v>5034</v>
      </c>
      <c r="E3485" s="9" t="s">
        <v>764</v>
      </c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</row>
    <row r="3486">
      <c r="A3486" s="16" t="s">
        <v>5019</v>
      </c>
      <c r="B3486" s="22" t="s">
        <v>5029</v>
      </c>
      <c r="C3486" s="18" t="s">
        <v>5000</v>
      </c>
      <c r="D3486" s="18" t="s">
        <v>5035</v>
      </c>
      <c r="E3486" s="9" t="s">
        <v>764</v>
      </c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</row>
    <row r="3487">
      <c r="A3487" s="16"/>
      <c r="B3487" s="22"/>
      <c r="C3487" s="18"/>
      <c r="D3487" s="1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</row>
    <row r="3488">
      <c r="A3488" s="16"/>
      <c r="B3488" s="22"/>
      <c r="C3488" s="18"/>
      <c r="D3488" s="1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</row>
    <row r="3489">
      <c r="A3489" s="16" t="s">
        <v>5036</v>
      </c>
      <c r="B3489" s="63" t="s">
        <v>5037</v>
      </c>
      <c r="C3489" s="72" t="s">
        <v>5038</v>
      </c>
      <c r="D3489" s="63" t="s">
        <v>5039</v>
      </c>
      <c r="E3489" s="9" t="s">
        <v>14</v>
      </c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</row>
    <row r="3490">
      <c r="A3490" s="16" t="s">
        <v>5036</v>
      </c>
      <c r="B3490" s="63" t="s">
        <v>5040</v>
      </c>
      <c r="C3490" s="72" t="s">
        <v>4749</v>
      </c>
      <c r="D3490" s="63" t="s">
        <v>5041</v>
      </c>
      <c r="E3490" s="9" t="s">
        <v>14</v>
      </c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</row>
    <row r="3491">
      <c r="A3491" s="16" t="s">
        <v>5036</v>
      </c>
      <c r="B3491" s="63" t="s">
        <v>5040</v>
      </c>
      <c r="C3491" s="72" t="s">
        <v>4749</v>
      </c>
      <c r="D3491" s="63" t="s">
        <v>5042</v>
      </c>
      <c r="E3491" s="9" t="s">
        <v>5043</v>
      </c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</row>
    <row r="3492">
      <c r="A3492" s="16" t="s">
        <v>5036</v>
      </c>
      <c r="B3492" s="63" t="s">
        <v>4987</v>
      </c>
      <c r="C3492" s="72" t="s">
        <v>1688</v>
      </c>
      <c r="D3492" s="63" t="s">
        <v>5044</v>
      </c>
      <c r="E3492" s="9" t="s">
        <v>764</v>
      </c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</row>
    <row r="3493">
      <c r="A3493" s="16" t="s">
        <v>5036</v>
      </c>
      <c r="B3493" s="63" t="s">
        <v>5029</v>
      </c>
      <c r="C3493" s="72" t="s">
        <v>5045</v>
      </c>
      <c r="D3493" s="63" t="s">
        <v>5046</v>
      </c>
      <c r="E3493" s="9" t="s">
        <v>14</v>
      </c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</row>
    <row r="3494">
      <c r="A3494" s="16" t="s">
        <v>5036</v>
      </c>
      <c r="B3494" s="63" t="s">
        <v>5029</v>
      </c>
      <c r="C3494" s="72" t="s">
        <v>5047</v>
      </c>
      <c r="D3494" s="63" t="s">
        <v>5048</v>
      </c>
      <c r="E3494" s="9" t="s">
        <v>764</v>
      </c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</row>
    <row r="3495">
      <c r="A3495" s="16"/>
      <c r="B3495" s="22"/>
      <c r="C3495" s="18"/>
      <c r="D3495" s="1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</row>
    <row r="3496">
      <c r="A3496" s="16"/>
      <c r="B3496" s="22"/>
      <c r="C3496" s="18"/>
      <c r="D3496" s="1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</row>
    <row r="3497">
      <c r="A3497" s="16" t="s">
        <v>5049</v>
      </c>
      <c r="B3497" s="63" t="s">
        <v>5050</v>
      </c>
      <c r="C3497" s="72" t="s">
        <v>342</v>
      </c>
      <c r="D3497" s="63" t="s">
        <v>5051</v>
      </c>
      <c r="E3497" s="9" t="s">
        <v>5043</v>
      </c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</row>
    <row r="3498">
      <c r="A3498" s="16" t="s">
        <v>5049</v>
      </c>
      <c r="B3498" s="63" t="s">
        <v>5052</v>
      </c>
      <c r="C3498" s="72" t="s">
        <v>5053</v>
      </c>
      <c r="D3498" s="63" t="s">
        <v>5054</v>
      </c>
      <c r="E3498" s="9" t="s">
        <v>5043</v>
      </c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</row>
    <row r="3499">
      <c r="A3499" s="16" t="s">
        <v>5049</v>
      </c>
      <c r="B3499" s="63" t="s">
        <v>5052</v>
      </c>
      <c r="C3499" s="72" t="s">
        <v>5055</v>
      </c>
      <c r="D3499" s="63" t="s">
        <v>5054</v>
      </c>
      <c r="E3499" s="9" t="s">
        <v>764</v>
      </c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</row>
    <row r="3500">
      <c r="A3500" s="16"/>
      <c r="B3500" s="22"/>
      <c r="C3500" s="18"/>
      <c r="D3500" s="1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</row>
    <row r="3501">
      <c r="A3501" s="16"/>
      <c r="B3501" s="22"/>
      <c r="C3501" s="18"/>
      <c r="D3501" s="1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</row>
    <row r="3502">
      <c r="A3502" s="16" t="s">
        <v>5056</v>
      </c>
      <c r="B3502" s="63" t="s">
        <v>4987</v>
      </c>
      <c r="C3502" s="72" t="s">
        <v>5057</v>
      </c>
      <c r="D3502" s="63" t="s">
        <v>5058</v>
      </c>
      <c r="E3502" s="9" t="s">
        <v>764</v>
      </c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</row>
    <row r="3503">
      <c r="A3503" s="16" t="s">
        <v>5056</v>
      </c>
      <c r="B3503" s="63" t="s">
        <v>5029</v>
      </c>
      <c r="C3503" s="72" t="s">
        <v>5059</v>
      </c>
      <c r="D3503" s="63" t="s">
        <v>5060</v>
      </c>
      <c r="E3503" s="9" t="s">
        <v>5043</v>
      </c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</row>
    <row r="3504">
      <c r="A3504" s="16" t="s">
        <v>5056</v>
      </c>
      <c r="B3504" s="63" t="s">
        <v>5029</v>
      </c>
      <c r="C3504" s="72" t="s">
        <v>5000</v>
      </c>
      <c r="D3504" s="63" t="s">
        <v>5061</v>
      </c>
      <c r="E3504" s="9" t="s">
        <v>14</v>
      </c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</row>
    <row r="3505">
      <c r="A3505" s="16"/>
      <c r="B3505" s="22"/>
      <c r="C3505" s="18"/>
      <c r="D3505" s="1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</row>
    <row r="3506">
      <c r="A3506" s="16"/>
      <c r="B3506" s="22"/>
      <c r="C3506" s="18"/>
      <c r="D3506" s="1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</row>
    <row r="3507">
      <c r="A3507" s="16" t="s">
        <v>5062</v>
      </c>
      <c r="B3507" s="63" t="s">
        <v>4559</v>
      </c>
      <c r="C3507" s="72" t="s">
        <v>5063</v>
      </c>
      <c r="D3507" s="63" t="s">
        <v>5064</v>
      </c>
      <c r="E3507" s="9" t="s">
        <v>5065</v>
      </c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</row>
    <row r="3508">
      <c r="A3508" s="16"/>
      <c r="B3508" s="22"/>
      <c r="C3508" s="18"/>
      <c r="D3508" s="1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</row>
    <row r="3509">
      <c r="A3509" s="16"/>
      <c r="B3509" s="22"/>
      <c r="C3509" s="18"/>
      <c r="D3509" s="1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</row>
    <row r="3510">
      <c r="A3510" s="16" t="s">
        <v>5066</v>
      </c>
      <c r="B3510" s="63" t="s">
        <v>4944</v>
      </c>
      <c r="C3510" s="72" t="s">
        <v>5067</v>
      </c>
      <c r="D3510" s="63" t="s">
        <v>5068</v>
      </c>
      <c r="E3510" s="9" t="s">
        <v>5069</v>
      </c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</row>
    <row r="3511">
      <c r="A3511" s="16" t="s">
        <v>5066</v>
      </c>
      <c r="B3511" s="63" t="s">
        <v>5029</v>
      </c>
      <c r="C3511" s="72" t="s">
        <v>5000</v>
      </c>
      <c r="D3511" s="63" t="s">
        <v>5070</v>
      </c>
      <c r="E3511" s="9" t="s">
        <v>4624</v>
      </c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</row>
    <row r="3512">
      <c r="A3512" s="16" t="s">
        <v>5066</v>
      </c>
      <c r="B3512" s="63" t="s">
        <v>5029</v>
      </c>
      <c r="C3512" s="72" t="s">
        <v>5059</v>
      </c>
      <c r="D3512" s="63" t="s">
        <v>5060</v>
      </c>
      <c r="E3512" s="9" t="s">
        <v>807</v>
      </c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</row>
    <row r="3513">
      <c r="A3513" s="16" t="s">
        <v>5066</v>
      </c>
      <c r="B3513" s="63" t="s">
        <v>5071</v>
      </c>
      <c r="C3513" s="72" t="s">
        <v>5072</v>
      </c>
      <c r="D3513" s="63" t="s">
        <v>5073</v>
      </c>
      <c r="E3513" s="9" t="s">
        <v>5074</v>
      </c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</row>
    <row r="3514">
      <c r="A3514" s="16" t="s">
        <v>5066</v>
      </c>
      <c r="B3514" s="22" t="s">
        <v>4995</v>
      </c>
      <c r="C3514" s="18" t="s">
        <v>5075</v>
      </c>
      <c r="D3514" s="19" t="s">
        <v>5076</v>
      </c>
      <c r="E3514" s="9" t="s">
        <v>37</v>
      </c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</row>
    <row r="3515">
      <c r="A3515" s="16" t="s">
        <v>5066</v>
      </c>
      <c r="B3515" s="22" t="s">
        <v>4995</v>
      </c>
      <c r="C3515" s="18" t="s">
        <v>5077</v>
      </c>
      <c r="D3515" s="19" t="s">
        <v>5076</v>
      </c>
      <c r="E3515" s="9" t="s">
        <v>37</v>
      </c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</row>
    <row r="3516">
      <c r="A3516" s="16" t="s">
        <v>5066</v>
      </c>
      <c r="B3516" s="22" t="s">
        <v>4995</v>
      </c>
      <c r="C3516" s="18" t="s">
        <v>5078</v>
      </c>
      <c r="D3516" s="19" t="s">
        <v>5079</v>
      </c>
      <c r="E3516" s="20" t="s">
        <v>7</v>
      </c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</row>
    <row r="3517">
      <c r="A3517" s="16" t="s">
        <v>5066</v>
      </c>
      <c r="B3517" s="22" t="s">
        <v>4995</v>
      </c>
      <c r="C3517" s="18" t="s">
        <v>5080</v>
      </c>
      <c r="D3517" s="19" t="s">
        <v>5079</v>
      </c>
      <c r="E3517" s="20" t="s">
        <v>7</v>
      </c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</row>
    <row r="3518">
      <c r="A3518" s="16" t="s">
        <v>5066</v>
      </c>
      <c r="B3518" s="22" t="s">
        <v>4995</v>
      </c>
      <c r="C3518" s="18" t="s">
        <v>5057</v>
      </c>
      <c r="D3518" s="19" t="s">
        <v>5081</v>
      </c>
      <c r="E3518" s="20" t="s">
        <v>7</v>
      </c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</row>
    <row r="3519">
      <c r="A3519" s="16" t="s">
        <v>5066</v>
      </c>
      <c r="B3519" s="22" t="s">
        <v>4995</v>
      </c>
      <c r="C3519" s="18" t="s">
        <v>5082</v>
      </c>
      <c r="D3519" s="19" t="s">
        <v>5083</v>
      </c>
      <c r="E3519" s="20" t="s">
        <v>7</v>
      </c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</row>
    <row r="3520">
      <c r="A3520" s="16" t="s">
        <v>5066</v>
      </c>
      <c r="B3520" s="22" t="s">
        <v>4995</v>
      </c>
      <c r="C3520" s="18" t="s">
        <v>5057</v>
      </c>
      <c r="D3520" s="19" t="s">
        <v>5083</v>
      </c>
      <c r="E3520" s="20" t="s">
        <v>7</v>
      </c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</row>
    <row r="3521">
      <c r="A3521" s="16" t="s">
        <v>5066</v>
      </c>
      <c r="B3521" s="22" t="s">
        <v>4995</v>
      </c>
      <c r="C3521" s="18" t="s">
        <v>5057</v>
      </c>
      <c r="D3521" s="19" t="s">
        <v>5084</v>
      </c>
      <c r="E3521" s="20" t="s">
        <v>7</v>
      </c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</row>
    <row r="3522">
      <c r="A3522" s="16" t="s">
        <v>5066</v>
      </c>
      <c r="B3522" s="22" t="s">
        <v>4995</v>
      </c>
      <c r="C3522" s="18" t="s">
        <v>5057</v>
      </c>
      <c r="D3522" s="19" t="s">
        <v>5085</v>
      </c>
      <c r="E3522" s="20" t="s">
        <v>7</v>
      </c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</row>
    <row r="3523">
      <c r="A3523" s="16" t="s">
        <v>5066</v>
      </c>
      <c r="B3523" s="22" t="s">
        <v>4995</v>
      </c>
      <c r="C3523" s="18" t="s">
        <v>5057</v>
      </c>
      <c r="D3523" s="19" t="s">
        <v>5086</v>
      </c>
      <c r="E3523" s="20" t="s">
        <v>7</v>
      </c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</row>
    <row r="3524">
      <c r="A3524" s="16" t="s">
        <v>5066</v>
      </c>
      <c r="B3524" s="22" t="s">
        <v>5087</v>
      </c>
      <c r="C3524" s="18" t="s">
        <v>5088</v>
      </c>
      <c r="D3524" s="19" t="s">
        <v>5089</v>
      </c>
      <c r="E3524" s="9" t="s">
        <v>4624</v>
      </c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</row>
    <row r="3525">
      <c r="A3525" s="16" t="s">
        <v>5066</v>
      </c>
      <c r="B3525" s="22" t="s">
        <v>5087</v>
      </c>
      <c r="C3525" s="18" t="s">
        <v>5090</v>
      </c>
      <c r="D3525" s="19" t="s">
        <v>5089</v>
      </c>
      <c r="E3525" s="9" t="s">
        <v>4624</v>
      </c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</row>
    <row r="3526">
      <c r="A3526" s="16" t="s">
        <v>5066</v>
      </c>
      <c r="B3526" s="22" t="s">
        <v>5087</v>
      </c>
      <c r="C3526" s="18" t="s">
        <v>5091</v>
      </c>
      <c r="D3526" s="19" t="s">
        <v>5089</v>
      </c>
      <c r="E3526" s="9" t="s">
        <v>4624</v>
      </c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</row>
    <row r="3527">
      <c r="A3527" s="16" t="s">
        <v>5066</v>
      </c>
      <c r="B3527" s="22" t="s">
        <v>5087</v>
      </c>
      <c r="C3527" s="18" t="s">
        <v>5092</v>
      </c>
      <c r="D3527" s="19" t="s">
        <v>5089</v>
      </c>
      <c r="E3527" s="9" t="s">
        <v>4624</v>
      </c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</row>
    <row r="3528">
      <c r="A3528" s="16" t="s">
        <v>5066</v>
      </c>
      <c r="B3528" s="22" t="s">
        <v>5087</v>
      </c>
      <c r="C3528" s="18" t="s">
        <v>1470</v>
      </c>
      <c r="D3528" s="19" t="s">
        <v>5089</v>
      </c>
      <c r="E3528" s="9" t="s">
        <v>4624</v>
      </c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</row>
    <row r="3529">
      <c r="A3529" s="16"/>
      <c r="B3529" s="22"/>
      <c r="C3529" s="18"/>
      <c r="D3529" s="1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</row>
    <row r="3530">
      <c r="A3530" s="16"/>
      <c r="B3530" s="22"/>
      <c r="C3530" s="18"/>
      <c r="D3530" s="1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</row>
    <row r="3531">
      <c r="A3531" s="16" t="s">
        <v>5093</v>
      </c>
      <c r="B3531" s="22" t="s">
        <v>5024</v>
      </c>
      <c r="C3531" s="18" t="s">
        <v>5057</v>
      </c>
      <c r="D3531" s="19" t="s">
        <v>682</v>
      </c>
      <c r="E3531" s="20" t="s">
        <v>7</v>
      </c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9"/>
    </row>
    <row r="3532">
      <c r="A3532" s="16" t="s">
        <v>5093</v>
      </c>
      <c r="B3532" s="22" t="s">
        <v>5024</v>
      </c>
      <c r="C3532" s="18" t="s">
        <v>2785</v>
      </c>
      <c r="D3532" s="19" t="s">
        <v>5094</v>
      </c>
      <c r="E3532" s="9" t="s">
        <v>309</v>
      </c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</row>
    <row r="3533">
      <c r="A3533" s="16" t="s">
        <v>5093</v>
      </c>
      <c r="B3533" s="19" t="s">
        <v>4912</v>
      </c>
      <c r="C3533" s="18" t="s">
        <v>4913</v>
      </c>
      <c r="D3533" s="19" t="s">
        <v>5095</v>
      </c>
      <c r="E3533" s="9" t="s">
        <v>309</v>
      </c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</row>
    <row r="3534">
      <c r="A3534" s="16"/>
      <c r="B3534" s="22"/>
      <c r="C3534" s="18"/>
      <c r="D3534" s="1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</row>
    <row r="3535">
      <c r="A3535" s="16"/>
      <c r="B3535" s="22"/>
      <c r="C3535" s="18"/>
      <c r="D3535" s="1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</row>
    <row r="3536">
      <c r="A3536" s="16" t="s">
        <v>5096</v>
      </c>
      <c r="B3536" s="22" t="s">
        <v>5097</v>
      </c>
      <c r="C3536" s="18" t="s">
        <v>5098</v>
      </c>
      <c r="D3536" s="19" t="s">
        <v>5099</v>
      </c>
      <c r="E3536" s="20" t="s">
        <v>7</v>
      </c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</row>
    <row r="3537">
      <c r="A3537" s="16" t="s">
        <v>5096</v>
      </c>
      <c r="B3537" s="22" t="s">
        <v>5097</v>
      </c>
      <c r="C3537" s="18" t="s">
        <v>5100</v>
      </c>
      <c r="D3537" s="19" t="s">
        <v>5099</v>
      </c>
      <c r="E3537" s="20" t="s">
        <v>7</v>
      </c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</row>
    <row r="3538">
      <c r="A3538" s="16" t="s">
        <v>5096</v>
      </c>
      <c r="B3538" s="22" t="s">
        <v>5097</v>
      </c>
      <c r="C3538" s="18" t="s">
        <v>5101</v>
      </c>
      <c r="D3538" s="19" t="s">
        <v>5102</v>
      </c>
      <c r="E3538" s="20" t="s">
        <v>7</v>
      </c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</row>
    <row r="3539">
      <c r="A3539" s="16" t="s">
        <v>5096</v>
      </c>
      <c r="B3539" s="22" t="s">
        <v>5097</v>
      </c>
      <c r="C3539" s="18" t="s">
        <v>5103</v>
      </c>
      <c r="D3539" s="19" t="s">
        <v>5102</v>
      </c>
      <c r="E3539" s="20" t="s">
        <v>7</v>
      </c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</row>
    <row r="3540">
      <c r="A3540" s="16" t="s">
        <v>5096</v>
      </c>
      <c r="B3540" s="22" t="s">
        <v>5024</v>
      </c>
      <c r="C3540" s="18" t="s">
        <v>5104</v>
      </c>
      <c r="D3540" s="18" t="s">
        <v>4996</v>
      </c>
      <c r="E3540" s="9" t="s">
        <v>309</v>
      </c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</row>
    <row r="3541">
      <c r="A3541" s="16" t="s">
        <v>5096</v>
      </c>
      <c r="B3541" s="22" t="s">
        <v>5024</v>
      </c>
      <c r="C3541" s="18" t="s">
        <v>5105</v>
      </c>
      <c r="D3541" s="18" t="s">
        <v>5044</v>
      </c>
      <c r="E3541" s="20" t="s">
        <v>7</v>
      </c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</row>
    <row r="3542">
      <c r="A3542" s="16" t="s">
        <v>5096</v>
      </c>
      <c r="B3542" s="22" t="s">
        <v>5024</v>
      </c>
      <c r="C3542" s="18" t="s">
        <v>5106</v>
      </c>
      <c r="D3542" s="18" t="s">
        <v>5044</v>
      </c>
      <c r="E3542" s="20" t="s">
        <v>7</v>
      </c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</row>
    <row r="3543">
      <c r="A3543" s="16" t="s">
        <v>5096</v>
      </c>
      <c r="B3543" s="22" t="s">
        <v>4888</v>
      </c>
      <c r="C3543" s="23" t="s">
        <v>5107</v>
      </c>
      <c r="D3543" s="136" t="s">
        <v>5108</v>
      </c>
      <c r="E3543" s="9" t="s">
        <v>5109</v>
      </c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</row>
    <row r="3544">
      <c r="A3544" s="16" t="s">
        <v>5096</v>
      </c>
      <c r="B3544" s="22" t="s">
        <v>5110</v>
      </c>
      <c r="C3544" s="18" t="s">
        <v>5111</v>
      </c>
      <c r="D3544" s="19" t="s">
        <v>5112</v>
      </c>
      <c r="E3544" s="9" t="s">
        <v>4624</v>
      </c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</row>
    <row r="3545">
      <c r="A3545" s="16" t="s">
        <v>5096</v>
      </c>
      <c r="B3545" s="22" t="s">
        <v>5110</v>
      </c>
      <c r="C3545" s="18" t="s">
        <v>5113</v>
      </c>
      <c r="D3545" s="19" t="s">
        <v>5114</v>
      </c>
      <c r="E3545" s="9" t="s">
        <v>4624</v>
      </c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</row>
    <row r="3546">
      <c r="A3546" s="16" t="s">
        <v>5096</v>
      </c>
      <c r="B3546" s="22" t="s">
        <v>5110</v>
      </c>
      <c r="C3546" s="18" t="s">
        <v>5111</v>
      </c>
      <c r="D3546" s="19" t="s">
        <v>5115</v>
      </c>
      <c r="E3546" s="9" t="s">
        <v>4624</v>
      </c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</row>
    <row r="3547">
      <c r="A3547" s="16"/>
      <c r="B3547" s="22"/>
      <c r="C3547" s="18"/>
      <c r="D3547" s="1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</row>
    <row r="3548">
      <c r="A3548" s="16"/>
      <c r="B3548" s="22"/>
      <c r="C3548" s="18"/>
      <c r="D3548" s="1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</row>
    <row r="3549">
      <c r="A3549" s="16" t="s">
        <v>5116</v>
      </c>
      <c r="B3549" s="22" t="s">
        <v>5117</v>
      </c>
      <c r="C3549" s="18" t="s">
        <v>5118</v>
      </c>
      <c r="D3549" s="18" t="s">
        <v>5119</v>
      </c>
      <c r="E3549" s="9" t="s">
        <v>4624</v>
      </c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</row>
    <row r="3550">
      <c r="A3550" s="16" t="s">
        <v>5116</v>
      </c>
      <c r="B3550" s="22" t="s">
        <v>5117</v>
      </c>
      <c r="C3550" s="18" t="s">
        <v>5118</v>
      </c>
      <c r="D3550" s="18" t="s">
        <v>5120</v>
      </c>
      <c r="E3550" s="9" t="s">
        <v>4624</v>
      </c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</row>
    <row r="3551">
      <c r="A3551" s="16" t="s">
        <v>5116</v>
      </c>
      <c r="B3551" s="22" t="s">
        <v>5117</v>
      </c>
      <c r="C3551" s="18" t="s">
        <v>5113</v>
      </c>
      <c r="D3551" s="18" t="s">
        <v>5121</v>
      </c>
      <c r="E3551" s="9" t="s">
        <v>4624</v>
      </c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</row>
    <row r="3552">
      <c r="A3552" s="16" t="s">
        <v>5116</v>
      </c>
      <c r="B3552" s="22" t="s">
        <v>5117</v>
      </c>
      <c r="C3552" s="18" t="s">
        <v>5122</v>
      </c>
      <c r="D3552" s="18" t="s">
        <v>5123</v>
      </c>
      <c r="E3552" s="9" t="s">
        <v>4624</v>
      </c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</row>
    <row r="3553">
      <c r="A3553" s="16" t="s">
        <v>5116</v>
      </c>
      <c r="B3553" s="22" t="s">
        <v>5117</v>
      </c>
      <c r="C3553" s="18" t="s">
        <v>5113</v>
      </c>
      <c r="D3553" s="18" t="s">
        <v>5124</v>
      </c>
      <c r="E3553" s="9" t="s">
        <v>4624</v>
      </c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</row>
    <row r="3554">
      <c r="A3554" s="16" t="s">
        <v>5116</v>
      </c>
      <c r="B3554" s="22" t="s">
        <v>5117</v>
      </c>
      <c r="C3554" s="18" t="s">
        <v>5125</v>
      </c>
      <c r="D3554" s="18" t="s">
        <v>5126</v>
      </c>
      <c r="E3554" s="9" t="s">
        <v>4624</v>
      </c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</row>
    <row r="3555">
      <c r="A3555" s="16" t="s">
        <v>5116</v>
      </c>
      <c r="B3555" s="22" t="s">
        <v>5117</v>
      </c>
      <c r="C3555" s="18" t="s">
        <v>5118</v>
      </c>
      <c r="D3555" s="18" t="s">
        <v>5127</v>
      </c>
      <c r="E3555" s="9" t="s">
        <v>4624</v>
      </c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</row>
    <row r="3556">
      <c r="A3556" s="16" t="s">
        <v>5116</v>
      </c>
      <c r="B3556" s="22" t="s">
        <v>5128</v>
      </c>
      <c r="C3556" s="18" t="s">
        <v>5129</v>
      </c>
      <c r="D3556" s="18" t="s">
        <v>5130</v>
      </c>
      <c r="E3556" s="9" t="s">
        <v>4624</v>
      </c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</row>
    <row r="3557">
      <c r="A3557" s="16" t="s">
        <v>5116</v>
      </c>
      <c r="B3557" s="22" t="s">
        <v>5128</v>
      </c>
      <c r="C3557" s="18" t="s">
        <v>5131</v>
      </c>
      <c r="D3557" s="18" t="s">
        <v>5132</v>
      </c>
      <c r="E3557" s="9" t="s">
        <v>4624</v>
      </c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</row>
    <row r="3558">
      <c r="A3558" s="16"/>
      <c r="B3558" s="22"/>
      <c r="C3558" s="18"/>
      <c r="D3558" s="1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</row>
    <row r="3559">
      <c r="A3559" s="16"/>
      <c r="B3559" s="22"/>
      <c r="C3559" s="18"/>
      <c r="D3559" s="1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</row>
    <row r="3560">
      <c r="A3560" s="16" t="s">
        <v>5133</v>
      </c>
      <c r="B3560" s="22" t="s">
        <v>4995</v>
      </c>
      <c r="C3560" s="18" t="s">
        <v>5134</v>
      </c>
      <c r="D3560" s="19" t="s">
        <v>5135</v>
      </c>
      <c r="E3560" s="9" t="s">
        <v>309</v>
      </c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</row>
    <row r="3561">
      <c r="A3561" s="16"/>
      <c r="B3561" s="22"/>
      <c r="C3561" s="18"/>
      <c r="D3561" s="1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</row>
    <row r="3562">
      <c r="A3562" s="16"/>
      <c r="B3562" s="22"/>
      <c r="C3562" s="18"/>
      <c r="D3562" s="1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</row>
    <row r="3563">
      <c r="A3563" s="16" t="s">
        <v>5136</v>
      </c>
      <c r="B3563" s="22" t="s">
        <v>4893</v>
      </c>
      <c r="C3563" s="18" t="s">
        <v>5137</v>
      </c>
      <c r="D3563" s="18" t="s">
        <v>5138</v>
      </c>
      <c r="E3563" s="9" t="s">
        <v>309</v>
      </c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</row>
    <row r="3564">
      <c r="A3564" s="16" t="s">
        <v>5136</v>
      </c>
      <c r="B3564" s="22" t="s">
        <v>5139</v>
      </c>
      <c r="C3564" s="18" t="s">
        <v>4580</v>
      </c>
      <c r="D3564" s="18" t="s">
        <v>5140</v>
      </c>
      <c r="E3564" s="9" t="s">
        <v>14</v>
      </c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</row>
    <row r="3565">
      <c r="A3565" s="16"/>
      <c r="B3565" s="22"/>
      <c r="C3565" s="18"/>
      <c r="D3565" s="1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</row>
    <row r="3566">
      <c r="A3566" s="16"/>
      <c r="B3566" s="22"/>
      <c r="C3566" s="18"/>
      <c r="D3566" s="1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</row>
    <row r="3567">
      <c r="A3567" s="16" t="s">
        <v>5141</v>
      </c>
      <c r="B3567" s="22" t="s">
        <v>5142</v>
      </c>
      <c r="C3567" s="18" t="s">
        <v>5143</v>
      </c>
      <c r="D3567" s="19" t="s">
        <v>5144</v>
      </c>
      <c r="E3567" s="9" t="s">
        <v>4624</v>
      </c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</row>
    <row r="3568">
      <c r="A3568" s="16" t="s">
        <v>5141</v>
      </c>
      <c r="B3568" s="22" t="s">
        <v>5142</v>
      </c>
      <c r="C3568" s="18" t="s">
        <v>5143</v>
      </c>
      <c r="D3568" s="19" t="s">
        <v>5145</v>
      </c>
      <c r="E3568" s="9" t="s">
        <v>4624</v>
      </c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</row>
    <row r="3569">
      <c r="A3569" s="16" t="s">
        <v>5141</v>
      </c>
      <c r="B3569" s="22" t="s">
        <v>5142</v>
      </c>
      <c r="C3569" s="18" t="s">
        <v>5143</v>
      </c>
      <c r="D3569" s="19" t="s">
        <v>5146</v>
      </c>
      <c r="E3569" s="9" t="s">
        <v>4624</v>
      </c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</row>
    <row r="3570">
      <c r="A3570" s="16" t="s">
        <v>5141</v>
      </c>
      <c r="B3570" s="22" t="s">
        <v>5142</v>
      </c>
      <c r="C3570" s="18" t="s">
        <v>5143</v>
      </c>
      <c r="D3570" s="19" t="s">
        <v>5147</v>
      </c>
      <c r="E3570" s="9" t="s">
        <v>4624</v>
      </c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</row>
    <row r="3571">
      <c r="A3571" s="16" t="s">
        <v>5141</v>
      </c>
      <c r="B3571" s="22" t="s">
        <v>5142</v>
      </c>
      <c r="C3571" s="18" t="s">
        <v>5143</v>
      </c>
      <c r="D3571" s="19" t="s">
        <v>5148</v>
      </c>
      <c r="E3571" s="9" t="s">
        <v>4624</v>
      </c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</row>
    <row r="3572">
      <c r="A3572" s="16" t="s">
        <v>5141</v>
      </c>
      <c r="B3572" s="22" t="s">
        <v>5142</v>
      </c>
      <c r="C3572" s="18" t="s">
        <v>5143</v>
      </c>
      <c r="D3572" s="19" t="s">
        <v>5149</v>
      </c>
      <c r="E3572" s="9" t="s">
        <v>4624</v>
      </c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</row>
    <row r="3573">
      <c r="A3573" s="16"/>
      <c r="B3573" s="22"/>
      <c r="C3573" s="18"/>
      <c r="D3573" s="1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</row>
    <row r="3574">
      <c r="A3574" s="16"/>
      <c r="B3574" s="22"/>
      <c r="C3574" s="18"/>
      <c r="D3574" s="1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</row>
    <row r="3575">
      <c r="A3575" s="16" t="s">
        <v>5150</v>
      </c>
      <c r="B3575" s="19" t="s">
        <v>5151</v>
      </c>
      <c r="C3575" s="18" t="s">
        <v>5152</v>
      </c>
      <c r="D3575" s="19" t="s">
        <v>5153</v>
      </c>
      <c r="E3575" s="9" t="s">
        <v>14</v>
      </c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</row>
    <row r="3576">
      <c r="A3576" s="16"/>
      <c r="B3576" s="22"/>
      <c r="C3576" s="18"/>
      <c r="D3576" s="1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</row>
    <row r="3577">
      <c r="A3577" s="16"/>
      <c r="B3577" s="22"/>
      <c r="C3577" s="18"/>
      <c r="D3577" s="1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</row>
    <row r="3578">
      <c r="A3578" s="16" t="s">
        <v>5154</v>
      </c>
      <c r="B3578" s="22" t="s">
        <v>5155</v>
      </c>
      <c r="C3578" s="18" t="s">
        <v>5156</v>
      </c>
      <c r="D3578" s="19" t="s">
        <v>5157</v>
      </c>
      <c r="E3578" s="9" t="s">
        <v>4624</v>
      </c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</row>
    <row r="3579">
      <c r="A3579" s="16" t="s">
        <v>5154</v>
      </c>
      <c r="B3579" s="22" t="s">
        <v>5155</v>
      </c>
      <c r="C3579" s="18" t="s">
        <v>4801</v>
      </c>
      <c r="D3579" s="19" t="s">
        <v>5158</v>
      </c>
      <c r="E3579" s="9" t="s">
        <v>4624</v>
      </c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</row>
    <row r="3580">
      <c r="A3580" s="16" t="s">
        <v>5154</v>
      </c>
      <c r="B3580" s="22" t="s">
        <v>5155</v>
      </c>
      <c r="C3580" s="18" t="s">
        <v>5159</v>
      </c>
      <c r="D3580" s="19" t="s">
        <v>5160</v>
      </c>
      <c r="E3580" s="9" t="s">
        <v>4624</v>
      </c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</row>
    <row r="3581">
      <c r="A3581" s="16" t="s">
        <v>5154</v>
      </c>
      <c r="B3581" s="22" t="s">
        <v>5155</v>
      </c>
      <c r="C3581" s="18" t="s">
        <v>5159</v>
      </c>
      <c r="D3581" s="19" t="s">
        <v>5160</v>
      </c>
      <c r="E3581" s="9" t="s">
        <v>4624</v>
      </c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</row>
    <row r="3582">
      <c r="A3582" s="16" t="s">
        <v>5154</v>
      </c>
      <c r="B3582" s="22" t="s">
        <v>5155</v>
      </c>
      <c r="C3582" s="18" t="s">
        <v>5156</v>
      </c>
      <c r="D3582" s="19" t="s">
        <v>5161</v>
      </c>
      <c r="E3582" s="9" t="s">
        <v>4624</v>
      </c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</row>
    <row r="3583">
      <c r="A3583" s="16" t="s">
        <v>5154</v>
      </c>
      <c r="B3583" s="22" t="s">
        <v>5155</v>
      </c>
      <c r="C3583" s="18" t="s">
        <v>5156</v>
      </c>
      <c r="D3583" s="19" t="s">
        <v>5162</v>
      </c>
      <c r="E3583" s="9" t="s">
        <v>4624</v>
      </c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</row>
    <row r="3584">
      <c r="A3584" s="16"/>
      <c r="B3584" s="22"/>
      <c r="C3584" s="18"/>
      <c r="D3584" s="1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</row>
    <row r="3585">
      <c r="A3585" s="16"/>
      <c r="B3585" s="22"/>
      <c r="C3585" s="18"/>
      <c r="D3585" s="1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</row>
    <row r="3586">
      <c r="A3586" s="16" t="s">
        <v>5163</v>
      </c>
      <c r="B3586" s="19" t="s">
        <v>5164</v>
      </c>
      <c r="C3586" s="18" t="s">
        <v>5165</v>
      </c>
      <c r="D3586" s="19" t="s">
        <v>5166</v>
      </c>
      <c r="E3586" s="9" t="s">
        <v>764</v>
      </c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</row>
    <row r="3587">
      <c r="A3587" s="16" t="s">
        <v>5163</v>
      </c>
      <c r="B3587" s="19" t="s">
        <v>5164</v>
      </c>
      <c r="C3587" s="18" t="s">
        <v>5167</v>
      </c>
      <c r="D3587" s="19" t="s">
        <v>5168</v>
      </c>
      <c r="E3587" s="9" t="s">
        <v>764</v>
      </c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</row>
    <row r="3588">
      <c r="A3588" s="16" t="s">
        <v>5163</v>
      </c>
      <c r="B3588" s="22" t="s">
        <v>4888</v>
      </c>
      <c r="C3588" s="18" t="s">
        <v>5169</v>
      </c>
      <c r="D3588" s="19" t="s">
        <v>5170</v>
      </c>
      <c r="E3588" s="9" t="s">
        <v>309</v>
      </c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</row>
    <row r="3589">
      <c r="A3589" s="16" t="s">
        <v>5163</v>
      </c>
      <c r="B3589" s="22" t="s">
        <v>4999</v>
      </c>
      <c r="C3589" s="18" t="s">
        <v>5000</v>
      </c>
      <c r="D3589" s="19" t="s">
        <v>5171</v>
      </c>
      <c r="E3589" s="20" t="s">
        <v>7</v>
      </c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</row>
    <row r="3590">
      <c r="A3590" s="16" t="s">
        <v>5163</v>
      </c>
      <c r="B3590" s="22" t="s">
        <v>4999</v>
      </c>
      <c r="C3590" s="18" t="s">
        <v>5000</v>
      </c>
      <c r="D3590" s="19" t="s">
        <v>5172</v>
      </c>
      <c r="E3590" s="20" t="s">
        <v>7</v>
      </c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</row>
    <row r="3591">
      <c r="A3591" s="16" t="s">
        <v>5163</v>
      </c>
      <c r="B3591" s="22" t="s">
        <v>4999</v>
      </c>
      <c r="C3591" s="18" t="s">
        <v>5000</v>
      </c>
      <c r="D3591" s="19" t="s">
        <v>5173</v>
      </c>
      <c r="E3591" s="20" t="s">
        <v>7</v>
      </c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</row>
    <row r="3592">
      <c r="A3592" s="16" t="s">
        <v>5163</v>
      </c>
      <c r="B3592" s="22" t="s">
        <v>4999</v>
      </c>
      <c r="C3592" s="18" t="s">
        <v>5174</v>
      </c>
      <c r="D3592" s="19" t="s">
        <v>5175</v>
      </c>
      <c r="E3592" s="20" t="s">
        <v>7</v>
      </c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</row>
    <row r="3593">
      <c r="A3593" s="16" t="s">
        <v>5163</v>
      </c>
      <c r="B3593" s="22" t="s">
        <v>4999</v>
      </c>
      <c r="C3593" s="18" t="s">
        <v>5000</v>
      </c>
      <c r="D3593" s="19" t="s">
        <v>5176</v>
      </c>
      <c r="E3593" s="20" t="s">
        <v>7</v>
      </c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</row>
    <row r="3594">
      <c r="A3594" s="16" t="s">
        <v>5163</v>
      </c>
      <c r="B3594" s="22" t="s">
        <v>5177</v>
      </c>
      <c r="C3594" s="18" t="s">
        <v>5178</v>
      </c>
      <c r="D3594" s="18" t="s">
        <v>5179</v>
      </c>
      <c r="E3594" s="9" t="s">
        <v>764</v>
      </c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</row>
    <row r="3595">
      <c r="A3595" s="16"/>
      <c r="B3595" s="22"/>
      <c r="C3595" s="18"/>
      <c r="D3595" s="1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</row>
    <row r="3596">
      <c r="A3596" s="16"/>
      <c r="B3596" s="22"/>
      <c r="C3596" s="18"/>
      <c r="D3596" s="1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</row>
    <row r="3597">
      <c r="A3597" s="16" t="s">
        <v>5180</v>
      </c>
      <c r="B3597" s="22" t="s">
        <v>5139</v>
      </c>
      <c r="C3597" s="18" t="s">
        <v>4580</v>
      </c>
      <c r="D3597" s="19" t="s">
        <v>5181</v>
      </c>
      <c r="E3597" s="9" t="s">
        <v>764</v>
      </c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</row>
    <row r="3598">
      <c r="A3598" s="16" t="s">
        <v>5180</v>
      </c>
      <c r="B3598" s="22" t="s">
        <v>5182</v>
      </c>
      <c r="C3598" s="18" t="s">
        <v>5183</v>
      </c>
      <c r="D3598" s="19" t="s">
        <v>5184</v>
      </c>
      <c r="E3598" s="20" t="s">
        <v>7</v>
      </c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</row>
    <row r="3599">
      <c r="A3599" s="16" t="s">
        <v>5180</v>
      </c>
      <c r="B3599" s="22" t="s">
        <v>5182</v>
      </c>
      <c r="C3599" s="18" t="s">
        <v>5183</v>
      </c>
      <c r="D3599" s="19" t="s">
        <v>5185</v>
      </c>
      <c r="E3599" s="20" t="s">
        <v>7</v>
      </c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</row>
    <row r="3600">
      <c r="A3600" s="16" t="s">
        <v>5180</v>
      </c>
      <c r="B3600" s="22" t="s">
        <v>5182</v>
      </c>
      <c r="C3600" s="18" t="s">
        <v>5183</v>
      </c>
      <c r="D3600" s="19" t="s">
        <v>5186</v>
      </c>
      <c r="E3600" s="20" t="s">
        <v>7</v>
      </c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</row>
    <row r="3601">
      <c r="A3601" s="16" t="s">
        <v>5180</v>
      </c>
      <c r="B3601" s="22" t="s">
        <v>5182</v>
      </c>
      <c r="C3601" s="18" t="s">
        <v>5183</v>
      </c>
      <c r="D3601" s="19" t="s">
        <v>5187</v>
      </c>
      <c r="E3601" s="20" t="s">
        <v>7</v>
      </c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</row>
    <row r="3602">
      <c r="A3602" s="16" t="s">
        <v>5180</v>
      </c>
      <c r="B3602" s="22" t="s">
        <v>5182</v>
      </c>
      <c r="C3602" s="18" t="s">
        <v>5183</v>
      </c>
      <c r="D3602" s="19" t="s">
        <v>5188</v>
      </c>
      <c r="E3602" s="20" t="s">
        <v>7</v>
      </c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</row>
    <row r="3603">
      <c r="A3603" s="16" t="s">
        <v>5180</v>
      </c>
      <c r="B3603" s="22" t="s">
        <v>5182</v>
      </c>
      <c r="C3603" s="18" t="s">
        <v>5183</v>
      </c>
      <c r="D3603" s="19" t="s">
        <v>5189</v>
      </c>
      <c r="E3603" s="20" t="s">
        <v>7</v>
      </c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</row>
    <row r="3604">
      <c r="A3604" s="16"/>
      <c r="B3604" s="22"/>
      <c r="C3604" s="18"/>
      <c r="D3604" s="1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</row>
    <row r="3605">
      <c r="A3605" s="16"/>
      <c r="B3605" s="22"/>
      <c r="C3605" s="18"/>
      <c r="D3605" s="1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</row>
    <row r="3606">
      <c r="A3606" s="16" t="s">
        <v>5190</v>
      </c>
      <c r="B3606" s="22" t="s">
        <v>5191</v>
      </c>
      <c r="C3606" s="18" t="s">
        <v>5192</v>
      </c>
      <c r="D3606" s="19" t="s">
        <v>5193</v>
      </c>
      <c r="E3606" s="9" t="s">
        <v>4624</v>
      </c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</row>
    <row r="3607">
      <c r="A3607" s="16" t="s">
        <v>5190</v>
      </c>
      <c r="B3607" s="22" t="s">
        <v>5191</v>
      </c>
      <c r="C3607" s="18" t="s">
        <v>5194</v>
      </c>
      <c r="D3607" s="19" t="s">
        <v>5195</v>
      </c>
      <c r="E3607" s="9" t="s">
        <v>4624</v>
      </c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</row>
    <row r="3608">
      <c r="A3608" s="16" t="s">
        <v>5190</v>
      </c>
      <c r="B3608" s="22" t="s">
        <v>5191</v>
      </c>
      <c r="C3608" s="18" t="s">
        <v>3315</v>
      </c>
      <c r="D3608" s="19" t="s">
        <v>5196</v>
      </c>
      <c r="E3608" s="9" t="s">
        <v>4624</v>
      </c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</row>
    <row r="3609">
      <c r="A3609" s="16" t="s">
        <v>5190</v>
      </c>
      <c r="B3609" s="22" t="s">
        <v>5191</v>
      </c>
      <c r="C3609" s="18" t="s">
        <v>4070</v>
      </c>
      <c r="D3609" s="19" t="s">
        <v>5197</v>
      </c>
      <c r="E3609" s="9" t="s">
        <v>4624</v>
      </c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9"/>
      <c r="AD3609" s="9"/>
    </row>
    <row r="3610">
      <c r="A3610" s="16" t="s">
        <v>5190</v>
      </c>
      <c r="B3610" s="22" t="s">
        <v>5191</v>
      </c>
      <c r="C3610" s="18" t="s">
        <v>5198</v>
      </c>
      <c r="D3610" s="19" t="s">
        <v>5199</v>
      </c>
      <c r="E3610" s="9" t="s">
        <v>4624</v>
      </c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</row>
    <row r="3611">
      <c r="A3611" s="16" t="s">
        <v>5190</v>
      </c>
      <c r="B3611" s="22" t="s">
        <v>5191</v>
      </c>
      <c r="C3611" s="18" t="s">
        <v>5200</v>
      </c>
      <c r="D3611" s="19" t="s">
        <v>903</v>
      </c>
      <c r="E3611" s="9" t="s">
        <v>4624</v>
      </c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</row>
    <row r="3612">
      <c r="A3612" s="16" t="s">
        <v>5190</v>
      </c>
      <c r="B3612" s="22" t="s">
        <v>5191</v>
      </c>
      <c r="C3612" s="18" t="s">
        <v>541</v>
      </c>
      <c r="D3612" s="19" t="s">
        <v>5201</v>
      </c>
      <c r="E3612" s="9" t="s">
        <v>4624</v>
      </c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</row>
    <row r="3613">
      <c r="A3613" s="16" t="s">
        <v>5190</v>
      </c>
      <c r="B3613" s="19" t="s">
        <v>5202</v>
      </c>
      <c r="C3613" s="18" t="s">
        <v>5203</v>
      </c>
      <c r="D3613" s="19" t="s">
        <v>5204</v>
      </c>
      <c r="E3613" s="9" t="s">
        <v>5205</v>
      </c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</row>
    <row r="3614">
      <c r="A3614" s="16" t="s">
        <v>5190</v>
      </c>
      <c r="B3614" s="19" t="s">
        <v>5202</v>
      </c>
      <c r="C3614" s="18" t="s">
        <v>5183</v>
      </c>
      <c r="D3614" s="19" t="s">
        <v>5206</v>
      </c>
      <c r="E3614" s="9" t="s">
        <v>5205</v>
      </c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</row>
    <row r="3615">
      <c r="A3615" s="16" t="s">
        <v>5190</v>
      </c>
      <c r="B3615" s="22" t="s">
        <v>5207</v>
      </c>
      <c r="C3615" s="18" t="s">
        <v>5208</v>
      </c>
      <c r="D3615" s="19" t="s">
        <v>5209</v>
      </c>
      <c r="E3615" s="9" t="s">
        <v>14</v>
      </c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</row>
    <row r="3616">
      <c r="A3616" s="16" t="s">
        <v>5190</v>
      </c>
      <c r="B3616" s="22" t="s">
        <v>5207</v>
      </c>
      <c r="C3616" s="18" t="s">
        <v>5210</v>
      </c>
      <c r="D3616" s="19" t="s">
        <v>5211</v>
      </c>
      <c r="E3616" s="9" t="s">
        <v>5212</v>
      </c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</row>
    <row r="3617">
      <c r="A3617" s="16" t="s">
        <v>5190</v>
      </c>
      <c r="B3617" s="22" t="s">
        <v>5207</v>
      </c>
      <c r="C3617" s="18" t="s">
        <v>5213</v>
      </c>
      <c r="D3617" s="19" t="s">
        <v>5214</v>
      </c>
      <c r="E3617" s="9" t="s">
        <v>5212</v>
      </c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</row>
    <row r="3618">
      <c r="A3618" s="16" t="s">
        <v>5190</v>
      </c>
      <c r="B3618" s="19" t="s">
        <v>5215</v>
      </c>
      <c r="C3618" s="18" t="s">
        <v>5216</v>
      </c>
      <c r="D3618" s="19" t="s">
        <v>5217</v>
      </c>
      <c r="E3618" s="20" t="s">
        <v>7</v>
      </c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</row>
    <row r="3619">
      <c r="A3619" s="16"/>
      <c r="B3619" s="22"/>
      <c r="C3619" s="18"/>
      <c r="D3619" s="1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</row>
    <row r="3620">
      <c r="A3620" s="16"/>
      <c r="B3620" s="22"/>
      <c r="C3620" s="18"/>
      <c r="D3620" s="1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</row>
    <row r="3621">
      <c r="A3621" s="16" t="s">
        <v>5218</v>
      </c>
      <c r="B3621" s="22" t="s">
        <v>5191</v>
      </c>
      <c r="C3621" s="18" t="s">
        <v>4900</v>
      </c>
      <c r="D3621" s="19" t="s">
        <v>5219</v>
      </c>
      <c r="E3621" s="9" t="s">
        <v>4624</v>
      </c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</row>
    <row r="3622">
      <c r="A3622" s="16" t="s">
        <v>5218</v>
      </c>
      <c r="B3622" s="22" t="s">
        <v>5191</v>
      </c>
      <c r="C3622" s="18" t="s">
        <v>5220</v>
      </c>
      <c r="D3622" s="19" t="s">
        <v>5221</v>
      </c>
      <c r="E3622" s="9" t="s">
        <v>4624</v>
      </c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</row>
    <row r="3623">
      <c r="A3623" s="16" t="s">
        <v>5218</v>
      </c>
      <c r="B3623" s="22" t="s">
        <v>5191</v>
      </c>
      <c r="C3623" s="18" t="s">
        <v>332</v>
      </c>
      <c r="D3623" s="19" t="s">
        <v>5222</v>
      </c>
      <c r="E3623" s="9" t="s">
        <v>4624</v>
      </c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</row>
    <row r="3624">
      <c r="A3624" s="16" t="s">
        <v>5218</v>
      </c>
      <c r="B3624" s="22" t="s">
        <v>5223</v>
      </c>
      <c r="C3624" s="18" t="s">
        <v>2258</v>
      </c>
      <c r="D3624" s="19" t="s">
        <v>5224</v>
      </c>
      <c r="E3624" s="9" t="s">
        <v>2625</v>
      </c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</row>
    <row r="3625">
      <c r="A3625" s="16"/>
      <c r="B3625" s="22"/>
      <c r="C3625" s="18"/>
      <c r="D3625" s="1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</row>
    <row r="3626">
      <c r="A3626" s="16"/>
      <c r="B3626" s="22"/>
      <c r="C3626" s="18"/>
      <c r="D3626" s="1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</row>
    <row r="3627">
      <c r="A3627" s="16" t="s">
        <v>5225</v>
      </c>
      <c r="B3627" s="63" t="s">
        <v>5052</v>
      </c>
      <c r="C3627" s="70" t="s">
        <v>2801</v>
      </c>
      <c r="D3627" s="63" t="s">
        <v>5226</v>
      </c>
      <c r="E3627" s="9" t="s">
        <v>5205</v>
      </c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</row>
    <row r="3628">
      <c r="A3628" s="16" t="s">
        <v>5225</v>
      </c>
      <c r="B3628" s="63" t="s">
        <v>5052</v>
      </c>
      <c r="C3628" s="70" t="s">
        <v>5053</v>
      </c>
      <c r="D3628" s="63" t="s">
        <v>5226</v>
      </c>
      <c r="E3628" s="9" t="s">
        <v>5205</v>
      </c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</row>
    <row r="3629">
      <c r="A3629" s="16" t="s">
        <v>5225</v>
      </c>
      <c r="B3629" s="63" t="s">
        <v>5227</v>
      </c>
      <c r="C3629" s="70" t="s">
        <v>5228</v>
      </c>
      <c r="D3629" s="63" t="s">
        <v>5085</v>
      </c>
      <c r="E3629" s="9" t="s">
        <v>5205</v>
      </c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</row>
    <row r="3630">
      <c r="A3630" s="16" t="s">
        <v>5225</v>
      </c>
      <c r="B3630" s="63" t="s">
        <v>5202</v>
      </c>
      <c r="C3630" s="68" t="s">
        <v>5229</v>
      </c>
      <c r="D3630" s="63" t="s">
        <v>5230</v>
      </c>
      <c r="E3630" s="9" t="s">
        <v>5205</v>
      </c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</row>
    <row r="3631" ht="20.25" customHeight="1">
      <c r="A3631" s="16" t="s">
        <v>5225</v>
      </c>
      <c r="B3631" s="63" t="s">
        <v>5202</v>
      </c>
      <c r="C3631" s="171" t="s">
        <v>4161</v>
      </c>
      <c r="D3631" s="63" t="s">
        <v>5231</v>
      </c>
      <c r="E3631" s="9" t="s">
        <v>5205</v>
      </c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</row>
    <row r="3632">
      <c r="A3632" s="16" t="s">
        <v>5225</v>
      </c>
      <c r="B3632" s="63" t="s">
        <v>5202</v>
      </c>
      <c r="C3632" s="70" t="s">
        <v>5183</v>
      </c>
      <c r="D3632" s="63" t="s">
        <v>5232</v>
      </c>
      <c r="E3632" s="9" t="s">
        <v>5205</v>
      </c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</row>
    <row r="3633">
      <c r="A3633" s="16" t="s">
        <v>5225</v>
      </c>
      <c r="B3633" s="63" t="s">
        <v>5029</v>
      </c>
      <c r="C3633" s="70" t="s">
        <v>5233</v>
      </c>
      <c r="D3633" s="63" t="s">
        <v>5234</v>
      </c>
      <c r="E3633" s="9" t="s">
        <v>5205</v>
      </c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</row>
    <row r="3634">
      <c r="A3634" s="16" t="s">
        <v>5225</v>
      </c>
      <c r="B3634" s="63" t="s">
        <v>5029</v>
      </c>
      <c r="C3634" s="70" t="s">
        <v>5004</v>
      </c>
      <c r="D3634" s="63" t="s">
        <v>5235</v>
      </c>
      <c r="E3634" s="20" t="s">
        <v>7</v>
      </c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</row>
    <row r="3635">
      <c r="A3635" s="16" t="s">
        <v>5225</v>
      </c>
      <c r="B3635" s="63" t="s">
        <v>5236</v>
      </c>
      <c r="C3635" s="70" t="s">
        <v>4539</v>
      </c>
      <c r="D3635" s="63" t="s">
        <v>5237</v>
      </c>
      <c r="E3635" s="9" t="s">
        <v>5238</v>
      </c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</row>
    <row r="3636">
      <c r="A3636" s="16" t="s">
        <v>5225</v>
      </c>
      <c r="B3636" s="63" t="s">
        <v>5052</v>
      </c>
      <c r="C3636" s="70" t="s">
        <v>2801</v>
      </c>
      <c r="D3636" s="63" t="s">
        <v>5226</v>
      </c>
      <c r="E3636" s="9" t="s">
        <v>5238</v>
      </c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</row>
    <row r="3637">
      <c r="A3637" s="16" t="s">
        <v>5225</v>
      </c>
      <c r="B3637" s="63" t="s">
        <v>5239</v>
      </c>
      <c r="C3637" s="70" t="s">
        <v>5143</v>
      </c>
      <c r="D3637" s="63" t="s">
        <v>5240</v>
      </c>
      <c r="E3637" s="9" t="s">
        <v>5212</v>
      </c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</row>
    <row r="3638">
      <c r="A3638" s="16"/>
      <c r="B3638" s="22"/>
      <c r="C3638" s="18"/>
      <c r="D3638" s="1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</row>
    <row r="3639">
      <c r="A3639" s="16"/>
      <c r="B3639" s="22"/>
      <c r="C3639" s="18"/>
      <c r="D3639" s="1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</row>
    <row r="3640">
      <c r="A3640" s="16" t="s">
        <v>5241</v>
      </c>
      <c r="B3640" s="63" t="s">
        <v>5242</v>
      </c>
      <c r="C3640" s="70" t="s">
        <v>5243</v>
      </c>
      <c r="D3640" s="63" t="s">
        <v>5244</v>
      </c>
      <c r="E3640" s="9" t="s">
        <v>5212</v>
      </c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</row>
    <row r="3641">
      <c r="A3641" s="16" t="s">
        <v>5245</v>
      </c>
      <c r="B3641" s="63" t="s">
        <v>5246</v>
      </c>
      <c r="C3641" s="70" t="s">
        <v>5247</v>
      </c>
      <c r="D3641" s="63" t="s">
        <v>5248</v>
      </c>
      <c r="E3641" s="9" t="s">
        <v>5205</v>
      </c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</row>
    <row r="3642">
      <c r="A3642" s="16"/>
      <c r="B3642" s="22"/>
      <c r="C3642" s="18"/>
      <c r="D3642" s="1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</row>
    <row r="3643">
      <c r="A3643" s="16"/>
      <c r="B3643" s="22"/>
      <c r="C3643" s="18"/>
      <c r="D3643" s="1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</row>
    <row r="3644">
      <c r="A3644" s="16" t="s">
        <v>5249</v>
      </c>
      <c r="B3644" s="19" t="s">
        <v>5239</v>
      </c>
      <c r="C3644" s="18" t="s">
        <v>5250</v>
      </c>
      <c r="D3644" s="19" t="s">
        <v>5251</v>
      </c>
      <c r="E3644" s="9" t="s">
        <v>14</v>
      </c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</row>
    <row r="3645">
      <c r="A3645" s="16" t="s">
        <v>5249</v>
      </c>
      <c r="B3645" s="19" t="s">
        <v>5246</v>
      </c>
      <c r="C3645" s="18" t="s">
        <v>5247</v>
      </c>
      <c r="D3645" s="19" t="s">
        <v>5252</v>
      </c>
      <c r="E3645" s="9" t="s">
        <v>14</v>
      </c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</row>
    <row r="3646">
      <c r="A3646" s="16"/>
      <c r="B3646" s="22"/>
      <c r="C3646" s="18"/>
      <c r="D3646" s="1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</row>
    <row r="3647">
      <c r="A3647" s="16"/>
      <c r="B3647" s="22"/>
      <c r="C3647" s="18"/>
      <c r="D3647" s="1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</row>
    <row r="3648">
      <c r="A3648" s="16" t="s">
        <v>5253</v>
      </c>
      <c r="B3648" s="22" t="s">
        <v>5191</v>
      </c>
      <c r="C3648" s="18" t="s">
        <v>5254</v>
      </c>
      <c r="D3648" s="19" t="s">
        <v>5255</v>
      </c>
      <c r="E3648" s="9" t="s">
        <v>309</v>
      </c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</row>
    <row r="3649">
      <c r="A3649" s="16" t="s">
        <v>5253</v>
      </c>
      <c r="B3649" s="22" t="s">
        <v>5191</v>
      </c>
      <c r="C3649" s="18" t="s">
        <v>5256</v>
      </c>
      <c r="D3649" s="19" t="s">
        <v>5255</v>
      </c>
      <c r="E3649" s="9" t="s">
        <v>309</v>
      </c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</row>
    <row r="3650">
      <c r="A3650" s="16" t="s">
        <v>5253</v>
      </c>
      <c r="B3650" s="22" t="s">
        <v>5191</v>
      </c>
      <c r="C3650" s="18" t="s">
        <v>5257</v>
      </c>
      <c r="D3650" s="19" t="s">
        <v>5258</v>
      </c>
      <c r="E3650" s="9" t="s">
        <v>309</v>
      </c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</row>
    <row r="3651">
      <c r="A3651" s="16" t="s">
        <v>5253</v>
      </c>
      <c r="B3651" s="22" t="s">
        <v>5259</v>
      </c>
      <c r="C3651" s="18" t="s">
        <v>5260</v>
      </c>
      <c r="D3651" s="19" t="s">
        <v>5261</v>
      </c>
      <c r="E3651" s="20" t="s">
        <v>7</v>
      </c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</row>
    <row r="3652">
      <c r="A3652" s="16" t="s">
        <v>5253</v>
      </c>
      <c r="B3652" s="22" t="s">
        <v>5259</v>
      </c>
      <c r="C3652" s="18" t="s">
        <v>1990</v>
      </c>
      <c r="D3652" s="19" t="s">
        <v>5262</v>
      </c>
      <c r="E3652" s="20" t="s">
        <v>7</v>
      </c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</row>
    <row r="3653">
      <c r="A3653" s="16" t="s">
        <v>5253</v>
      </c>
      <c r="B3653" s="22" t="s">
        <v>5259</v>
      </c>
      <c r="C3653" s="18" t="s">
        <v>5263</v>
      </c>
      <c r="D3653" s="19" t="s">
        <v>5264</v>
      </c>
      <c r="E3653" s="20" t="s">
        <v>7</v>
      </c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</row>
    <row r="3654">
      <c r="A3654" s="16" t="s">
        <v>5253</v>
      </c>
      <c r="B3654" s="22" t="s">
        <v>5259</v>
      </c>
      <c r="C3654" s="18" t="s">
        <v>5265</v>
      </c>
      <c r="D3654" s="19" t="s">
        <v>5266</v>
      </c>
      <c r="E3654" s="20" t="s">
        <v>7</v>
      </c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</row>
    <row r="3655">
      <c r="A3655" s="16" t="s">
        <v>5253</v>
      </c>
      <c r="B3655" s="22" t="s">
        <v>5259</v>
      </c>
      <c r="C3655" s="18" t="s">
        <v>1990</v>
      </c>
      <c r="D3655" s="19" t="s">
        <v>5267</v>
      </c>
      <c r="E3655" s="20" t="s">
        <v>7</v>
      </c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</row>
    <row r="3656">
      <c r="A3656" s="16" t="s">
        <v>5253</v>
      </c>
      <c r="B3656" s="22" t="s">
        <v>5259</v>
      </c>
      <c r="C3656" s="18" t="s">
        <v>5268</v>
      </c>
      <c r="D3656" s="19" t="s">
        <v>5266</v>
      </c>
      <c r="E3656" s="20" t="s">
        <v>7</v>
      </c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</row>
    <row r="3657">
      <c r="A3657" s="16"/>
      <c r="B3657" s="22"/>
      <c r="C3657" s="18"/>
      <c r="D3657" s="1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</row>
    <row r="3658">
      <c r="A3658" s="16"/>
      <c r="B3658" s="22"/>
      <c r="C3658" s="18"/>
      <c r="D3658" s="1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</row>
    <row r="3659">
      <c r="A3659" s="16" t="s">
        <v>5269</v>
      </c>
      <c r="B3659" s="22" t="s">
        <v>5270</v>
      </c>
      <c r="C3659" s="18" t="s">
        <v>5271</v>
      </c>
      <c r="D3659" s="19" t="s">
        <v>5272</v>
      </c>
      <c r="E3659" s="20" t="s">
        <v>7</v>
      </c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</row>
    <row r="3660">
      <c r="A3660" s="16" t="s">
        <v>5269</v>
      </c>
      <c r="B3660" s="22" t="s">
        <v>5273</v>
      </c>
      <c r="C3660" s="18" t="s">
        <v>5274</v>
      </c>
      <c r="D3660" s="19" t="s">
        <v>5275</v>
      </c>
      <c r="E3660" s="9" t="s">
        <v>4261</v>
      </c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</row>
    <row r="3661">
      <c r="A3661" s="16" t="s">
        <v>5269</v>
      </c>
      <c r="B3661" s="22" t="s">
        <v>5276</v>
      </c>
      <c r="C3661" s="18" t="s">
        <v>5277</v>
      </c>
      <c r="D3661" s="19" t="s">
        <v>5278</v>
      </c>
      <c r="E3661" s="9" t="s">
        <v>764</v>
      </c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</row>
    <row r="3662">
      <c r="A3662" s="16" t="s">
        <v>5269</v>
      </c>
      <c r="B3662" s="22" t="s">
        <v>5276</v>
      </c>
      <c r="C3662" s="18" t="s">
        <v>5277</v>
      </c>
      <c r="D3662" s="19" t="s">
        <v>5279</v>
      </c>
      <c r="E3662" s="9" t="s">
        <v>309</v>
      </c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</row>
    <row r="3663">
      <c r="A3663" s="16" t="s">
        <v>5269</v>
      </c>
      <c r="B3663" s="22" t="s">
        <v>5280</v>
      </c>
      <c r="C3663" s="18" t="s">
        <v>5281</v>
      </c>
      <c r="D3663" s="19" t="s">
        <v>5282</v>
      </c>
      <c r="E3663" s="20" t="s">
        <v>7</v>
      </c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</row>
    <row r="3664">
      <c r="A3664" s="16" t="s">
        <v>5269</v>
      </c>
      <c r="B3664" s="22" t="s">
        <v>5280</v>
      </c>
      <c r="C3664" s="18" t="s">
        <v>5281</v>
      </c>
      <c r="D3664" s="19" t="s">
        <v>5283</v>
      </c>
      <c r="E3664" s="20" t="s">
        <v>7</v>
      </c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</row>
    <row r="3665">
      <c r="A3665" s="16" t="s">
        <v>5269</v>
      </c>
      <c r="B3665" s="22" t="s">
        <v>5284</v>
      </c>
      <c r="C3665" s="18" t="s">
        <v>5285</v>
      </c>
      <c r="D3665" s="19" t="s">
        <v>3591</v>
      </c>
      <c r="E3665" s="9" t="s">
        <v>5212</v>
      </c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</row>
    <row r="3666">
      <c r="A3666" s="150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</row>
    <row r="3667">
      <c r="A3667" s="150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</row>
    <row r="3668">
      <c r="A3668" s="16" t="s">
        <v>5286</v>
      </c>
      <c r="B3668" s="19" t="s">
        <v>5246</v>
      </c>
      <c r="C3668" s="18" t="s">
        <v>5287</v>
      </c>
      <c r="D3668" s="18" t="s">
        <v>5288</v>
      </c>
      <c r="E3668" s="9" t="s">
        <v>5212</v>
      </c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</row>
    <row r="3669">
      <c r="A3669" s="16" t="s">
        <v>5286</v>
      </c>
      <c r="B3669" s="22" t="s">
        <v>5289</v>
      </c>
      <c r="C3669" s="18" t="s">
        <v>677</v>
      </c>
      <c r="D3669" s="18" t="s">
        <v>5290</v>
      </c>
      <c r="E3669" s="20" t="s">
        <v>7</v>
      </c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</row>
    <row r="3670">
      <c r="A3670" s="16" t="s">
        <v>5286</v>
      </c>
      <c r="B3670" s="22" t="s">
        <v>5289</v>
      </c>
      <c r="C3670" s="18" t="s">
        <v>5291</v>
      </c>
      <c r="D3670" s="18" t="s">
        <v>5292</v>
      </c>
      <c r="E3670" s="20" t="s">
        <v>7</v>
      </c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</row>
    <row r="3671">
      <c r="A3671" s="16" t="s">
        <v>5286</v>
      </c>
      <c r="B3671" s="22" t="s">
        <v>5142</v>
      </c>
      <c r="C3671" s="18" t="s">
        <v>5143</v>
      </c>
      <c r="D3671" s="19" t="s">
        <v>5293</v>
      </c>
      <c r="E3671" s="20" t="s">
        <v>7</v>
      </c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</row>
    <row r="3672">
      <c r="A3672" s="16" t="s">
        <v>5286</v>
      </c>
      <c r="B3672" s="22" t="s">
        <v>5142</v>
      </c>
      <c r="C3672" s="18" t="s">
        <v>5143</v>
      </c>
      <c r="D3672" s="19" t="s">
        <v>5294</v>
      </c>
      <c r="E3672" s="20" t="s">
        <v>7</v>
      </c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</row>
    <row r="3673">
      <c r="A3673" s="16" t="s">
        <v>5286</v>
      </c>
      <c r="B3673" s="22" t="s">
        <v>5295</v>
      </c>
      <c r="C3673" s="18" t="s">
        <v>5296</v>
      </c>
      <c r="D3673" s="19" t="s">
        <v>5297</v>
      </c>
      <c r="E3673" s="9" t="s">
        <v>309</v>
      </c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</row>
    <row r="3674">
      <c r="A3674" s="16" t="s">
        <v>5286</v>
      </c>
      <c r="B3674" s="22" t="s">
        <v>5295</v>
      </c>
      <c r="C3674" s="18" t="s">
        <v>2801</v>
      </c>
      <c r="D3674" s="19" t="s">
        <v>5297</v>
      </c>
      <c r="E3674" s="9" t="s">
        <v>309</v>
      </c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</row>
    <row r="3675">
      <c r="A3675" s="16"/>
      <c r="B3675" s="22"/>
      <c r="C3675" s="18"/>
      <c r="D3675" s="1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</row>
    <row r="3676">
      <c r="A3676" s="16"/>
      <c r="B3676" s="22"/>
      <c r="C3676" s="18"/>
      <c r="D3676" s="1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</row>
    <row r="3677">
      <c r="A3677" s="16" t="s">
        <v>5298</v>
      </c>
      <c r="B3677" s="22" t="s">
        <v>5299</v>
      </c>
      <c r="C3677" s="18" t="s">
        <v>5285</v>
      </c>
      <c r="D3677" s="19" t="s">
        <v>5300</v>
      </c>
      <c r="E3677" s="9" t="s">
        <v>4624</v>
      </c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</row>
    <row r="3678">
      <c r="A3678" s="16" t="s">
        <v>5298</v>
      </c>
      <c r="B3678" s="22" t="s">
        <v>5299</v>
      </c>
      <c r="C3678" s="18" t="s">
        <v>5285</v>
      </c>
      <c r="D3678" s="19" t="s">
        <v>3591</v>
      </c>
      <c r="E3678" s="9" t="s">
        <v>4624</v>
      </c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</row>
    <row r="3679">
      <c r="A3679" s="16"/>
      <c r="B3679" s="22"/>
      <c r="C3679" s="18"/>
      <c r="D3679" s="1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</row>
    <row r="3680">
      <c r="A3680" s="16"/>
      <c r="B3680" s="22"/>
      <c r="C3680" s="18"/>
      <c r="D3680" s="1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</row>
    <row r="3681">
      <c r="A3681" s="16" t="s">
        <v>5301</v>
      </c>
      <c r="B3681" s="22" t="s">
        <v>5302</v>
      </c>
      <c r="C3681" s="18" t="s">
        <v>5303</v>
      </c>
      <c r="D3681" s="19" t="s">
        <v>903</v>
      </c>
      <c r="E3681" s="9" t="s">
        <v>14</v>
      </c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</row>
    <row r="3682">
      <c r="A3682" s="16" t="s">
        <v>5301</v>
      </c>
      <c r="B3682" s="22" t="s">
        <v>5302</v>
      </c>
      <c r="C3682" s="18" t="s">
        <v>449</v>
      </c>
      <c r="D3682" s="19" t="s">
        <v>1105</v>
      </c>
      <c r="E3682" s="9" t="s">
        <v>764</v>
      </c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</row>
    <row r="3683">
      <c r="A3683" s="16" t="s">
        <v>5301</v>
      </c>
      <c r="B3683" s="22" t="s">
        <v>5304</v>
      </c>
      <c r="C3683" s="9" t="s">
        <v>5305</v>
      </c>
      <c r="D3683" s="9" t="s">
        <v>5306</v>
      </c>
      <c r="E3683" s="9" t="s">
        <v>14</v>
      </c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</row>
    <row r="3684">
      <c r="A3684" s="16" t="s">
        <v>5301</v>
      </c>
      <c r="B3684" s="22" t="s">
        <v>5304</v>
      </c>
      <c r="C3684" s="9" t="s">
        <v>5307</v>
      </c>
      <c r="D3684" s="9" t="s">
        <v>5308</v>
      </c>
      <c r="E3684" s="9" t="s">
        <v>14</v>
      </c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</row>
    <row r="3685">
      <c r="A3685" s="16"/>
      <c r="B3685" s="22"/>
      <c r="C3685" s="18"/>
      <c r="D3685" s="1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</row>
    <row r="3686">
      <c r="A3686" s="16"/>
      <c r="B3686" s="22"/>
      <c r="C3686" s="18"/>
      <c r="D3686" s="1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</row>
    <row r="3687">
      <c r="A3687" s="16" t="s">
        <v>5309</v>
      </c>
      <c r="B3687" s="22" t="s">
        <v>5304</v>
      </c>
      <c r="C3687" s="18" t="s">
        <v>5307</v>
      </c>
      <c r="D3687" s="19" t="s">
        <v>5310</v>
      </c>
      <c r="E3687" s="9" t="s">
        <v>764</v>
      </c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</row>
    <row r="3688">
      <c r="A3688" s="16"/>
      <c r="B3688" s="22"/>
      <c r="C3688" s="18"/>
      <c r="D3688" s="1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</row>
    <row r="3689">
      <c r="A3689" s="16"/>
      <c r="B3689" s="22"/>
      <c r="C3689" s="18"/>
      <c r="D3689" s="1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</row>
    <row r="3690">
      <c r="A3690" s="16" t="s">
        <v>5311</v>
      </c>
      <c r="B3690" s="22" t="s">
        <v>5142</v>
      </c>
      <c r="C3690" s="18" t="s">
        <v>5312</v>
      </c>
      <c r="D3690" s="19" t="s">
        <v>5313</v>
      </c>
      <c r="E3690" s="20" t="s">
        <v>7</v>
      </c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</row>
    <row r="3691">
      <c r="A3691" s="16" t="s">
        <v>5311</v>
      </c>
      <c r="B3691" s="22" t="s">
        <v>5142</v>
      </c>
      <c r="C3691" s="18" t="s">
        <v>5312</v>
      </c>
      <c r="D3691" s="19" t="s">
        <v>5314</v>
      </c>
      <c r="E3691" s="20" t="s">
        <v>7</v>
      </c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</row>
    <row r="3692">
      <c r="A3692" s="16" t="s">
        <v>5311</v>
      </c>
      <c r="B3692" s="22" t="s">
        <v>5142</v>
      </c>
      <c r="C3692" s="18" t="s">
        <v>958</v>
      </c>
      <c r="D3692" s="19" t="s">
        <v>5315</v>
      </c>
      <c r="E3692" s="20" t="s">
        <v>7</v>
      </c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</row>
    <row r="3693">
      <c r="A3693" s="16" t="s">
        <v>5311</v>
      </c>
      <c r="B3693" s="22" t="s">
        <v>5142</v>
      </c>
      <c r="C3693" s="18" t="s">
        <v>958</v>
      </c>
      <c r="D3693" s="19" t="s">
        <v>5316</v>
      </c>
      <c r="E3693" s="20" t="s">
        <v>7</v>
      </c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</row>
    <row r="3694">
      <c r="A3694" s="16" t="s">
        <v>5311</v>
      </c>
      <c r="B3694" s="22" t="s">
        <v>5142</v>
      </c>
      <c r="C3694" s="18" t="s">
        <v>5317</v>
      </c>
      <c r="D3694" s="19" t="s">
        <v>5318</v>
      </c>
      <c r="E3694" s="20" t="s">
        <v>7</v>
      </c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</row>
    <row r="3695">
      <c r="A3695" s="16" t="s">
        <v>5311</v>
      </c>
      <c r="B3695" s="22" t="s">
        <v>5142</v>
      </c>
      <c r="C3695" s="18" t="s">
        <v>5317</v>
      </c>
      <c r="D3695" s="19" t="s">
        <v>5319</v>
      </c>
      <c r="E3695" s="20" t="s">
        <v>7</v>
      </c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</row>
    <row r="3696">
      <c r="A3696" s="16" t="s">
        <v>5311</v>
      </c>
      <c r="B3696" s="22" t="s">
        <v>5142</v>
      </c>
      <c r="C3696" s="18" t="s">
        <v>5320</v>
      </c>
      <c r="D3696" s="19" t="s">
        <v>5321</v>
      </c>
      <c r="E3696" s="20" t="s">
        <v>7</v>
      </c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</row>
    <row r="3697">
      <c r="A3697" s="16" t="s">
        <v>5311</v>
      </c>
      <c r="B3697" s="22" t="s">
        <v>5142</v>
      </c>
      <c r="C3697" s="18" t="s">
        <v>5312</v>
      </c>
      <c r="D3697" s="19" t="s">
        <v>5322</v>
      </c>
      <c r="E3697" s="20" t="s">
        <v>7</v>
      </c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</row>
    <row r="3698">
      <c r="A3698" s="16" t="s">
        <v>5311</v>
      </c>
      <c r="B3698" s="22" t="s">
        <v>5142</v>
      </c>
      <c r="C3698" s="18" t="s">
        <v>5323</v>
      </c>
      <c r="D3698" s="19" t="s">
        <v>5324</v>
      </c>
      <c r="E3698" s="20" t="s">
        <v>7</v>
      </c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</row>
    <row r="3699">
      <c r="A3699" s="16" t="s">
        <v>5311</v>
      </c>
      <c r="B3699" s="22" t="s">
        <v>5142</v>
      </c>
      <c r="C3699" s="18" t="s">
        <v>5143</v>
      </c>
      <c r="D3699" s="19" t="s">
        <v>5325</v>
      </c>
      <c r="E3699" s="20" t="s">
        <v>7</v>
      </c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</row>
    <row r="3700">
      <c r="A3700" s="16" t="s">
        <v>5311</v>
      </c>
      <c r="B3700" s="22" t="s">
        <v>5142</v>
      </c>
      <c r="C3700" s="18" t="s">
        <v>5143</v>
      </c>
      <c r="D3700" s="19" t="s">
        <v>5147</v>
      </c>
      <c r="E3700" s="20" t="s">
        <v>7</v>
      </c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</row>
    <row r="3701">
      <c r="A3701" s="16" t="s">
        <v>5311</v>
      </c>
      <c r="B3701" s="22" t="s">
        <v>5142</v>
      </c>
      <c r="C3701" s="18" t="s">
        <v>5143</v>
      </c>
      <c r="D3701" s="19" t="s">
        <v>5149</v>
      </c>
      <c r="E3701" s="20" t="s">
        <v>7</v>
      </c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</row>
    <row r="3702">
      <c r="A3702" s="16" t="s">
        <v>5311</v>
      </c>
      <c r="B3702" s="22" t="s">
        <v>5142</v>
      </c>
      <c r="C3702" s="18" t="s">
        <v>5143</v>
      </c>
      <c r="D3702" s="19" t="s">
        <v>5293</v>
      </c>
      <c r="E3702" s="20" t="s">
        <v>7</v>
      </c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</row>
    <row r="3703">
      <c r="A3703" s="16" t="s">
        <v>5311</v>
      </c>
      <c r="B3703" s="22" t="s">
        <v>5326</v>
      </c>
      <c r="C3703" s="18" t="s">
        <v>5327</v>
      </c>
      <c r="D3703" s="19" t="s">
        <v>5328</v>
      </c>
      <c r="E3703" s="9" t="s">
        <v>309</v>
      </c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</row>
    <row r="3704">
      <c r="A3704" s="16" t="s">
        <v>5311</v>
      </c>
      <c r="B3704" s="22" t="s">
        <v>5329</v>
      </c>
      <c r="C3704" s="18" t="s">
        <v>5330</v>
      </c>
      <c r="D3704" s="19" t="s">
        <v>5331</v>
      </c>
      <c r="E3704" s="9" t="s">
        <v>4624</v>
      </c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</row>
    <row r="3705">
      <c r="A3705" s="16" t="s">
        <v>5311</v>
      </c>
      <c r="B3705" s="22" t="s">
        <v>5329</v>
      </c>
      <c r="C3705" s="18" t="s">
        <v>2751</v>
      </c>
      <c r="D3705" s="19" t="s">
        <v>5332</v>
      </c>
      <c r="E3705" s="9" t="s">
        <v>4624</v>
      </c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</row>
    <row r="3706">
      <c r="A3706" s="16" t="s">
        <v>5311</v>
      </c>
      <c r="B3706" s="22" t="s">
        <v>5333</v>
      </c>
      <c r="C3706" s="18" t="s">
        <v>1507</v>
      </c>
      <c r="D3706" s="19" t="s">
        <v>5334</v>
      </c>
      <c r="E3706" s="9" t="s">
        <v>4624</v>
      </c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</row>
    <row r="3707">
      <c r="A3707" s="16" t="s">
        <v>5311</v>
      </c>
      <c r="B3707" s="22" t="s">
        <v>5333</v>
      </c>
      <c r="C3707" s="18" t="s">
        <v>5335</v>
      </c>
      <c r="D3707" s="19" t="s">
        <v>5336</v>
      </c>
      <c r="E3707" s="9" t="s">
        <v>4624</v>
      </c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</row>
    <row r="3708">
      <c r="A3708" s="16" t="s">
        <v>5311</v>
      </c>
      <c r="B3708" s="22" t="s">
        <v>5333</v>
      </c>
      <c r="C3708" s="18" t="s">
        <v>5337</v>
      </c>
      <c r="D3708" s="19" t="s">
        <v>5338</v>
      </c>
      <c r="E3708" s="9" t="s">
        <v>4624</v>
      </c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</row>
    <row r="3709">
      <c r="A3709" s="16"/>
      <c r="B3709" s="22"/>
      <c r="C3709" s="18"/>
      <c r="D3709" s="1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</row>
    <row r="3710">
      <c r="A3710" s="16"/>
      <c r="B3710" s="22"/>
      <c r="C3710" s="18"/>
      <c r="D3710" s="1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</row>
    <row r="3711">
      <c r="A3711" s="16" t="s">
        <v>5339</v>
      </c>
      <c r="B3711" s="22" t="s">
        <v>5340</v>
      </c>
      <c r="C3711" s="18" t="s">
        <v>5341</v>
      </c>
      <c r="D3711" s="19" t="s">
        <v>5342</v>
      </c>
      <c r="E3711" s="20" t="s">
        <v>7</v>
      </c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</row>
    <row r="3712">
      <c r="A3712" s="16" t="s">
        <v>5339</v>
      </c>
      <c r="B3712" s="22" t="s">
        <v>5340</v>
      </c>
      <c r="C3712" s="18" t="s">
        <v>5343</v>
      </c>
      <c r="D3712" s="19" t="s">
        <v>5344</v>
      </c>
      <c r="E3712" s="20" t="s">
        <v>7</v>
      </c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</row>
    <row r="3713">
      <c r="A3713" s="16" t="s">
        <v>5339</v>
      </c>
      <c r="B3713" s="22" t="s">
        <v>5340</v>
      </c>
      <c r="C3713" s="18" t="s">
        <v>3981</v>
      </c>
      <c r="D3713" s="19" t="s">
        <v>5344</v>
      </c>
      <c r="E3713" s="20" t="s">
        <v>7</v>
      </c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</row>
    <row r="3714">
      <c r="A3714" s="16" t="s">
        <v>5339</v>
      </c>
      <c r="B3714" s="22" t="s">
        <v>5340</v>
      </c>
      <c r="C3714" s="18" t="s">
        <v>3546</v>
      </c>
      <c r="D3714" s="19" t="s">
        <v>5345</v>
      </c>
      <c r="E3714" s="20" t="s">
        <v>7</v>
      </c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</row>
    <row r="3715">
      <c r="A3715" s="16" t="s">
        <v>5339</v>
      </c>
      <c r="B3715" s="22" t="s">
        <v>5340</v>
      </c>
      <c r="C3715" s="18" t="s">
        <v>5346</v>
      </c>
      <c r="D3715" s="19" t="s">
        <v>5347</v>
      </c>
      <c r="E3715" s="20" t="s">
        <v>7</v>
      </c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</row>
    <row r="3716">
      <c r="A3716" s="16" t="s">
        <v>5339</v>
      </c>
      <c r="B3716" s="22" t="s">
        <v>5348</v>
      </c>
      <c r="C3716" s="18" t="s">
        <v>5323</v>
      </c>
      <c r="D3716" s="19" t="s">
        <v>5349</v>
      </c>
      <c r="E3716" s="20" t="s">
        <v>7</v>
      </c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</row>
    <row r="3717">
      <c r="A3717" s="16" t="s">
        <v>5339</v>
      </c>
      <c r="B3717" s="22" t="s">
        <v>5348</v>
      </c>
      <c r="C3717" s="18" t="s">
        <v>5350</v>
      </c>
      <c r="D3717" s="19" t="s">
        <v>5351</v>
      </c>
      <c r="E3717" s="20" t="s">
        <v>7</v>
      </c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</row>
    <row r="3718">
      <c r="A3718" s="16" t="s">
        <v>5339</v>
      </c>
      <c r="B3718" s="22" t="s">
        <v>5348</v>
      </c>
      <c r="C3718" s="18" t="s">
        <v>5143</v>
      </c>
      <c r="D3718" s="19" t="s">
        <v>5293</v>
      </c>
      <c r="E3718" s="20" t="s">
        <v>7</v>
      </c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</row>
    <row r="3719">
      <c r="A3719" s="16" t="s">
        <v>5339</v>
      </c>
      <c r="B3719" s="22" t="s">
        <v>5348</v>
      </c>
      <c r="C3719" s="18" t="s">
        <v>5352</v>
      </c>
      <c r="D3719" s="19" t="s">
        <v>5353</v>
      </c>
      <c r="E3719" s="20" t="s">
        <v>7</v>
      </c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</row>
    <row r="3720">
      <c r="A3720" s="16" t="s">
        <v>5339</v>
      </c>
      <c r="B3720" s="22" t="s">
        <v>5348</v>
      </c>
      <c r="C3720" s="18" t="s">
        <v>5323</v>
      </c>
      <c r="D3720" s="19" t="s">
        <v>5354</v>
      </c>
      <c r="E3720" s="20" t="s">
        <v>7</v>
      </c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</row>
    <row r="3721">
      <c r="A3721" s="16" t="s">
        <v>5339</v>
      </c>
      <c r="B3721" s="22" t="s">
        <v>5348</v>
      </c>
      <c r="C3721" s="18" t="s">
        <v>5323</v>
      </c>
      <c r="D3721" s="19" t="s">
        <v>5355</v>
      </c>
      <c r="E3721" s="20" t="s">
        <v>7</v>
      </c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</row>
    <row r="3722">
      <c r="A3722" s="16" t="s">
        <v>5339</v>
      </c>
      <c r="B3722" s="22" t="s">
        <v>5348</v>
      </c>
      <c r="C3722" s="18" t="s">
        <v>5323</v>
      </c>
      <c r="D3722" s="19" t="s">
        <v>5324</v>
      </c>
      <c r="E3722" s="20" t="s">
        <v>7</v>
      </c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</row>
    <row r="3723">
      <c r="A3723" s="16" t="s">
        <v>5339</v>
      </c>
      <c r="B3723" s="22" t="s">
        <v>5356</v>
      </c>
      <c r="C3723" s="18" t="s">
        <v>5357</v>
      </c>
      <c r="D3723" s="19" t="s">
        <v>5358</v>
      </c>
      <c r="E3723" s="9" t="s">
        <v>309</v>
      </c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</row>
    <row r="3724">
      <c r="A3724" s="16" t="s">
        <v>5339</v>
      </c>
      <c r="B3724" s="22" t="s">
        <v>5356</v>
      </c>
      <c r="C3724" s="18" t="s">
        <v>5359</v>
      </c>
      <c r="D3724" s="19" t="s">
        <v>5358</v>
      </c>
      <c r="E3724" s="9" t="s">
        <v>309</v>
      </c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</row>
    <row r="3725">
      <c r="A3725" s="16" t="s">
        <v>5339</v>
      </c>
      <c r="B3725" s="22" t="s">
        <v>5356</v>
      </c>
      <c r="C3725" s="18" t="s">
        <v>5360</v>
      </c>
      <c r="D3725" s="19" t="s">
        <v>5358</v>
      </c>
      <c r="E3725" s="9" t="s">
        <v>309</v>
      </c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</row>
    <row r="3726">
      <c r="A3726" s="16"/>
      <c r="B3726" s="22"/>
      <c r="C3726" s="18"/>
      <c r="D3726" s="1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</row>
    <row r="3727">
      <c r="A3727" s="16"/>
      <c r="B3727" s="22"/>
      <c r="C3727" s="18"/>
      <c r="D3727" s="1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</row>
    <row r="3728">
      <c r="A3728" s="16" t="s">
        <v>5361</v>
      </c>
      <c r="B3728" s="22" t="s">
        <v>5362</v>
      </c>
      <c r="C3728" s="18" t="s">
        <v>5363</v>
      </c>
      <c r="D3728" s="19" t="s">
        <v>5364</v>
      </c>
      <c r="E3728" s="9" t="s">
        <v>5365</v>
      </c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</row>
    <row r="3729">
      <c r="A3729" s="16" t="s">
        <v>5361</v>
      </c>
      <c r="B3729" s="22" t="s">
        <v>5362</v>
      </c>
      <c r="C3729" s="18" t="s">
        <v>4779</v>
      </c>
      <c r="D3729" s="19" t="s">
        <v>5366</v>
      </c>
      <c r="E3729" s="9" t="s">
        <v>5367</v>
      </c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</row>
    <row r="3730">
      <c r="A3730" s="16" t="s">
        <v>5361</v>
      </c>
      <c r="B3730" s="22" t="s">
        <v>5329</v>
      </c>
      <c r="C3730" s="18" t="s">
        <v>5368</v>
      </c>
      <c r="D3730" s="19" t="s">
        <v>5369</v>
      </c>
      <c r="E3730" s="20" t="s">
        <v>5370</v>
      </c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9"/>
    </row>
    <row r="3731">
      <c r="A3731" s="16"/>
      <c r="B3731" s="22"/>
      <c r="C3731" s="18"/>
      <c r="D3731" s="1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</row>
    <row r="3732">
      <c r="A3732" s="16"/>
      <c r="B3732" s="22"/>
      <c r="C3732" s="18"/>
      <c r="D3732" s="1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</row>
    <row r="3733">
      <c r="A3733" s="16" t="s">
        <v>5371</v>
      </c>
      <c r="B3733" s="22" t="s">
        <v>5362</v>
      </c>
      <c r="C3733" s="18" t="s">
        <v>5363</v>
      </c>
      <c r="D3733" s="19" t="s">
        <v>5372</v>
      </c>
      <c r="E3733" s="20" t="s">
        <v>7</v>
      </c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</row>
    <row r="3734">
      <c r="A3734" s="172" t="s">
        <v>5371</v>
      </c>
      <c r="B3734" s="22" t="s">
        <v>5299</v>
      </c>
      <c r="C3734" s="18" t="s">
        <v>2757</v>
      </c>
      <c r="D3734" s="19" t="s">
        <v>5373</v>
      </c>
      <c r="E3734" s="9" t="s">
        <v>5374</v>
      </c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</row>
    <row r="3735">
      <c r="A3735" s="16"/>
      <c r="B3735" s="22"/>
      <c r="C3735" s="18"/>
      <c r="D3735" s="1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9"/>
    </row>
    <row r="3736">
      <c r="A3736" s="16"/>
      <c r="B3736" s="22"/>
      <c r="C3736" s="18"/>
      <c r="D3736" s="19"/>
      <c r="E3736" s="9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9"/>
    </row>
    <row r="3737">
      <c r="A3737" s="16" t="s">
        <v>5375</v>
      </c>
      <c r="B3737" s="22" t="s">
        <v>5299</v>
      </c>
      <c r="C3737" s="18" t="s">
        <v>5285</v>
      </c>
      <c r="D3737" s="19" t="s">
        <v>5376</v>
      </c>
      <c r="E3737" s="9" t="s">
        <v>5212</v>
      </c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</row>
    <row r="3738">
      <c r="A3738" s="16" t="s">
        <v>5375</v>
      </c>
      <c r="B3738" s="22" t="s">
        <v>5377</v>
      </c>
      <c r="C3738" s="18" t="s">
        <v>5165</v>
      </c>
      <c r="D3738" s="19" t="s">
        <v>5378</v>
      </c>
      <c r="E3738" s="9" t="s">
        <v>764</v>
      </c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</row>
    <row r="3739">
      <c r="A3739" s="16" t="s">
        <v>5375</v>
      </c>
      <c r="B3739" s="22" t="s">
        <v>5362</v>
      </c>
      <c r="C3739" s="18" t="s">
        <v>5379</v>
      </c>
      <c r="D3739" s="19" t="s">
        <v>5380</v>
      </c>
      <c r="E3739" s="9" t="s">
        <v>14</v>
      </c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</row>
    <row r="3740">
      <c r="A3740" s="16" t="s">
        <v>5375</v>
      </c>
      <c r="B3740" s="22" t="s">
        <v>5377</v>
      </c>
      <c r="C3740" s="18" t="s">
        <v>5381</v>
      </c>
      <c r="D3740" s="19" t="s">
        <v>5382</v>
      </c>
      <c r="E3740" s="9" t="s">
        <v>764</v>
      </c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9"/>
    </row>
    <row r="3741">
      <c r="A3741" s="16" t="s">
        <v>5375</v>
      </c>
      <c r="B3741" s="22" t="s">
        <v>5383</v>
      </c>
      <c r="C3741" s="19" t="s">
        <v>5363</v>
      </c>
      <c r="D3741" s="19" t="s">
        <v>5384</v>
      </c>
      <c r="E3741" s="9" t="s">
        <v>5385</v>
      </c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9"/>
    </row>
    <row r="3742">
      <c r="A3742" s="16" t="s">
        <v>5375</v>
      </c>
      <c r="B3742" s="22" t="s">
        <v>5383</v>
      </c>
      <c r="C3742" s="19" t="s">
        <v>5363</v>
      </c>
      <c r="D3742" s="19" t="s">
        <v>5384</v>
      </c>
      <c r="E3742" s="9" t="s">
        <v>5385</v>
      </c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9"/>
    </row>
    <row r="3743">
      <c r="A3743" s="16" t="s">
        <v>5375</v>
      </c>
      <c r="B3743" s="22" t="s">
        <v>5386</v>
      </c>
      <c r="C3743" s="18" t="s">
        <v>5335</v>
      </c>
      <c r="D3743" s="19" t="s">
        <v>5336</v>
      </c>
      <c r="E3743" s="9" t="s">
        <v>5212</v>
      </c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</row>
    <row r="3744">
      <c r="A3744" s="16" t="s">
        <v>5375</v>
      </c>
      <c r="B3744" s="22" t="s">
        <v>5386</v>
      </c>
      <c r="C3744" s="18" t="s">
        <v>5335</v>
      </c>
      <c r="D3744" s="19" t="s">
        <v>5387</v>
      </c>
      <c r="E3744" s="9" t="s">
        <v>5212</v>
      </c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</row>
    <row r="3745">
      <c r="A3745" s="16" t="s">
        <v>5375</v>
      </c>
      <c r="B3745" s="22" t="s">
        <v>5386</v>
      </c>
      <c r="C3745" s="18" t="s">
        <v>5388</v>
      </c>
      <c r="D3745" s="19" t="s">
        <v>5389</v>
      </c>
      <c r="E3745" s="9" t="s">
        <v>5212</v>
      </c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</row>
    <row r="3746">
      <c r="A3746" s="16" t="s">
        <v>5375</v>
      </c>
      <c r="B3746" s="22" t="s">
        <v>5386</v>
      </c>
      <c r="C3746" s="18" t="s">
        <v>3543</v>
      </c>
      <c r="D3746" s="19" t="s">
        <v>5390</v>
      </c>
      <c r="E3746" s="9" t="s">
        <v>5212</v>
      </c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</row>
    <row r="3747">
      <c r="A3747" s="16" t="s">
        <v>5375</v>
      </c>
      <c r="B3747" s="22" t="s">
        <v>5386</v>
      </c>
      <c r="C3747" s="18" t="s">
        <v>5391</v>
      </c>
      <c r="D3747" s="19" t="s">
        <v>5392</v>
      </c>
      <c r="E3747" s="20" t="s">
        <v>7</v>
      </c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</row>
    <row r="3748">
      <c r="A3748" s="16"/>
      <c r="B3748" s="22"/>
      <c r="C3748" s="18"/>
      <c r="D3748" s="1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9"/>
    </row>
    <row r="3749">
      <c r="A3749" s="16"/>
      <c r="B3749" s="22"/>
      <c r="C3749" s="18"/>
      <c r="D3749" s="1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</row>
    <row r="3750">
      <c r="A3750" s="16" t="s">
        <v>5393</v>
      </c>
      <c r="B3750" s="22" t="s">
        <v>5383</v>
      </c>
      <c r="C3750" s="18" t="s">
        <v>5394</v>
      </c>
      <c r="D3750" s="19" t="s">
        <v>5395</v>
      </c>
      <c r="E3750" s="9" t="s">
        <v>14</v>
      </c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</row>
    <row r="3751">
      <c r="A3751" s="16" t="s">
        <v>5393</v>
      </c>
      <c r="B3751" s="22" t="s">
        <v>5396</v>
      </c>
      <c r="C3751" s="18" t="s">
        <v>5397</v>
      </c>
      <c r="D3751" s="19" t="s">
        <v>5398</v>
      </c>
      <c r="E3751" s="20" t="s">
        <v>7</v>
      </c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</row>
    <row r="3752">
      <c r="A3752" s="16" t="s">
        <v>5393</v>
      </c>
      <c r="B3752" s="22" t="s">
        <v>5396</v>
      </c>
      <c r="C3752" s="18" t="s">
        <v>1437</v>
      </c>
      <c r="D3752" s="19" t="s">
        <v>5398</v>
      </c>
      <c r="E3752" s="20" t="s">
        <v>7</v>
      </c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</row>
    <row r="3753">
      <c r="A3753" s="16" t="s">
        <v>5393</v>
      </c>
      <c r="B3753" s="22" t="s">
        <v>5396</v>
      </c>
      <c r="C3753" s="18" t="s">
        <v>4468</v>
      </c>
      <c r="D3753" s="19" t="s">
        <v>5399</v>
      </c>
      <c r="E3753" s="20" t="s">
        <v>7</v>
      </c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</row>
    <row r="3754">
      <c r="A3754" s="16" t="s">
        <v>5393</v>
      </c>
      <c r="B3754" s="22" t="s">
        <v>5396</v>
      </c>
      <c r="C3754" s="18" t="s">
        <v>5400</v>
      </c>
      <c r="D3754" s="19" t="s">
        <v>5399</v>
      </c>
      <c r="E3754" s="20" t="s">
        <v>7</v>
      </c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9"/>
    </row>
    <row r="3755">
      <c r="A3755" s="16" t="s">
        <v>5393</v>
      </c>
      <c r="B3755" s="22" t="s">
        <v>5340</v>
      </c>
      <c r="C3755" s="18" t="s">
        <v>5401</v>
      </c>
      <c r="D3755" s="19" t="s">
        <v>5402</v>
      </c>
      <c r="E3755" s="9" t="s">
        <v>4624</v>
      </c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</row>
    <row r="3756">
      <c r="A3756" s="16" t="s">
        <v>5393</v>
      </c>
      <c r="B3756" s="22" t="s">
        <v>5403</v>
      </c>
      <c r="C3756" s="18" t="s">
        <v>5404</v>
      </c>
      <c r="D3756" s="19" t="s">
        <v>5402</v>
      </c>
      <c r="E3756" s="9" t="s">
        <v>4624</v>
      </c>
      <c r="F3756" s="9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</row>
    <row r="3757">
      <c r="A3757" s="16" t="s">
        <v>5393</v>
      </c>
      <c r="B3757" s="22" t="s">
        <v>5405</v>
      </c>
      <c r="C3757" s="18" t="s">
        <v>5406</v>
      </c>
      <c r="D3757" s="19" t="s">
        <v>3119</v>
      </c>
      <c r="E3757" s="9" t="s">
        <v>4624</v>
      </c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</row>
    <row r="3758">
      <c r="A3758" s="16" t="s">
        <v>5393</v>
      </c>
      <c r="B3758" s="19" t="s">
        <v>5407</v>
      </c>
      <c r="C3758" s="18" t="s">
        <v>5408</v>
      </c>
      <c r="D3758" s="19" t="s">
        <v>5358</v>
      </c>
      <c r="E3758" s="9" t="s">
        <v>309</v>
      </c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</row>
    <row r="3759">
      <c r="A3759" s="16"/>
      <c r="B3759" s="22"/>
      <c r="C3759" s="18"/>
      <c r="D3759" s="1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</row>
    <row r="3760">
      <c r="A3760" s="16"/>
      <c r="B3760" s="22"/>
      <c r="C3760" s="18"/>
      <c r="D3760" s="1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</row>
    <row r="3761">
      <c r="A3761" s="16" t="s">
        <v>5409</v>
      </c>
      <c r="B3761" s="22" t="s">
        <v>5410</v>
      </c>
      <c r="C3761" s="18" t="s">
        <v>5277</v>
      </c>
      <c r="D3761" s="19" t="s">
        <v>5279</v>
      </c>
      <c r="E3761" s="9" t="s">
        <v>309</v>
      </c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</row>
    <row r="3762">
      <c r="A3762" s="16"/>
      <c r="B3762" s="22"/>
      <c r="C3762" s="18"/>
      <c r="D3762" s="19"/>
      <c r="E3762" s="9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</row>
    <row r="3763">
      <c r="A3763" s="16"/>
      <c r="B3763" s="22"/>
      <c r="C3763" s="18"/>
      <c r="D3763" s="1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</row>
    <row r="3764">
      <c r="A3764" s="16" t="s">
        <v>5411</v>
      </c>
      <c r="B3764" s="22" t="s">
        <v>5340</v>
      </c>
      <c r="C3764" s="18" t="s">
        <v>4801</v>
      </c>
      <c r="D3764" s="18" t="s">
        <v>5412</v>
      </c>
      <c r="E3764" s="9" t="s">
        <v>14</v>
      </c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</row>
    <row r="3765">
      <c r="A3765" s="16"/>
      <c r="B3765" s="22"/>
      <c r="C3765" s="18"/>
      <c r="D3765" s="1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</row>
    <row r="3766">
      <c r="A3766" s="16"/>
      <c r="B3766" s="22"/>
      <c r="C3766" s="18"/>
      <c r="D3766" s="1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9"/>
      <c r="AD3766" s="9"/>
    </row>
    <row r="3767">
      <c r="A3767" s="16" t="s">
        <v>5413</v>
      </c>
      <c r="B3767" s="22" t="s">
        <v>5295</v>
      </c>
      <c r="C3767" s="18" t="s">
        <v>5414</v>
      </c>
      <c r="D3767" s="19" t="s">
        <v>5415</v>
      </c>
      <c r="E3767" s="20" t="s">
        <v>7</v>
      </c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</row>
    <row r="3768">
      <c r="A3768" s="16" t="s">
        <v>5413</v>
      </c>
      <c r="B3768" s="22" t="s">
        <v>5295</v>
      </c>
      <c r="C3768" s="18" t="s">
        <v>5416</v>
      </c>
      <c r="D3768" s="19" t="s">
        <v>5417</v>
      </c>
      <c r="E3768" s="20" t="s">
        <v>7</v>
      </c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</row>
    <row r="3769">
      <c r="A3769" s="16" t="s">
        <v>5413</v>
      </c>
      <c r="B3769" s="22" t="s">
        <v>5295</v>
      </c>
      <c r="C3769" s="18" t="s">
        <v>5418</v>
      </c>
      <c r="D3769" s="19" t="s">
        <v>5417</v>
      </c>
      <c r="E3769" s="20" t="s">
        <v>7</v>
      </c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</row>
    <row r="3770">
      <c r="A3770" s="16" t="s">
        <v>5413</v>
      </c>
      <c r="B3770" s="22" t="s">
        <v>5295</v>
      </c>
      <c r="C3770" s="18" t="s">
        <v>5419</v>
      </c>
      <c r="D3770" s="19" t="s">
        <v>5420</v>
      </c>
      <c r="E3770" s="20" t="s">
        <v>7</v>
      </c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</row>
    <row r="3771">
      <c r="A3771" s="16" t="s">
        <v>5413</v>
      </c>
      <c r="B3771" s="22" t="s">
        <v>5295</v>
      </c>
      <c r="C3771" s="18" t="s">
        <v>5421</v>
      </c>
      <c r="D3771" s="19" t="s">
        <v>5420</v>
      </c>
      <c r="E3771" s="20" t="s">
        <v>7</v>
      </c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9"/>
    </row>
    <row r="3772">
      <c r="A3772" s="16"/>
      <c r="B3772" s="22"/>
      <c r="C3772" s="18"/>
      <c r="D3772" s="19"/>
      <c r="E3772" s="9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9"/>
    </row>
    <row r="3773">
      <c r="A3773" s="16"/>
      <c r="B3773" s="22"/>
      <c r="C3773" s="18"/>
      <c r="D3773" s="1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</row>
    <row r="3774">
      <c r="A3774" s="16" t="s">
        <v>5422</v>
      </c>
      <c r="B3774" s="19" t="s">
        <v>5423</v>
      </c>
      <c r="C3774" s="18" t="s">
        <v>5277</v>
      </c>
      <c r="D3774" s="19" t="s">
        <v>5279</v>
      </c>
      <c r="E3774" s="18" t="s">
        <v>309</v>
      </c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9"/>
    </row>
    <row r="3775">
      <c r="A3775" s="16" t="s">
        <v>5422</v>
      </c>
      <c r="B3775" s="22" t="s">
        <v>5410</v>
      </c>
      <c r="C3775" s="18" t="s">
        <v>5424</v>
      </c>
      <c r="D3775" s="19" t="s">
        <v>5425</v>
      </c>
      <c r="E3775" s="20" t="s">
        <v>7</v>
      </c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</row>
    <row r="3776">
      <c r="A3776" s="16" t="s">
        <v>5422</v>
      </c>
      <c r="B3776" s="22" t="s">
        <v>5410</v>
      </c>
      <c r="C3776" s="18" t="s">
        <v>5426</v>
      </c>
      <c r="D3776" s="19" t="s">
        <v>5427</v>
      </c>
      <c r="E3776" s="20" t="s">
        <v>7</v>
      </c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</row>
    <row r="3777">
      <c r="A3777" s="16" t="s">
        <v>5422</v>
      </c>
      <c r="B3777" s="22" t="s">
        <v>5410</v>
      </c>
      <c r="C3777" s="18" t="s">
        <v>5428</v>
      </c>
      <c r="D3777" s="19" t="s">
        <v>5429</v>
      </c>
      <c r="E3777" s="20" t="s">
        <v>7</v>
      </c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</row>
    <row r="3778">
      <c r="A3778" s="16" t="s">
        <v>5422</v>
      </c>
      <c r="B3778" s="22" t="s">
        <v>5410</v>
      </c>
      <c r="C3778" s="18" t="s">
        <v>5430</v>
      </c>
      <c r="D3778" s="19" t="s">
        <v>5431</v>
      </c>
      <c r="E3778" s="20" t="s">
        <v>7</v>
      </c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9"/>
    </row>
    <row r="3779">
      <c r="A3779" s="16" t="s">
        <v>5422</v>
      </c>
      <c r="B3779" s="22" t="s">
        <v>5410</v>
      </c>
      <c r="C3779" s="18" t="s">
        <v>5432</v>
      </c>
      <c r="D3779" s="19" t="s">
        <v>5433</v>
      </c>
      <c r="E3779" s="20" t="s">
        <v>7</v>
      </c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</row>
    <row r="3780">
      <c r="A3780" s="16" t="s">
        <v>5422</v>
      </c>
      <c r="B3780" s="22" t="s">
        <v>5410</v>
      </c>
      <c r="C3780" s="18" t="s">
        <v>5434</v>
      </c>
      <c r="D3780" s="19" t="s">
        <v>5435</v>
      </c>
      <c r="E3780" s="20" t="s">
        <v>7</v>
      </c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</row>
    <row r="3781">
      <c r="A3781" s="16" t="s">
        <v>5422</v>
      </c>
      <c r="B3781" s="22" t="s">
        <v>5410</v>
      </c>
      <c r="C3781" s="18" t="s">
        <v>5430</v>
      </c>
      <c r="D3781" s="19" t="s">
        <v>5436</v>
      </c>
      <c r="E3781" s="20" t="s">
        <v>7</v>
      </c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</row>
    <row r="3782">
      <c r="A3782" s="16" t="s">
        <v>5422</v>
      </c>
      <c r="B3782" s="22" t="s">
        <v>5410</v>
      </c>
      <c r="C3782" s="18" t="s">
        <v>5437</v>
      </c>
      <c r="D3782" s="19" t="s">
        <v>5438</v>
      </c>
      <c r="E3782" s="20" t="s">
        <v>7</v>
      </c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</row>
    <row r="3783">
      <c r="A3783" s="16" t="s">
        <v>5422</v>
      </c>
      <c r="B3783" s="22" t="s">
        <v>5410</v>
      </c>
      <c r="C3783" s="18" t="s">
        <v>5434</v>
      </c>
      <c r="D3783" s="19" t="s">
        <v>5439</v>
      </c>
      <c r="E3783" s="20" t="s">
        <v>7</v>
      </c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</row>
    <row r="3784">
      <c r="A3784" s="16" t="s">
        <v>5422</v>
      </c>
      <c r="B3784" s="22" t="s">
        <v>5410</v>
      </c>
      <c r="C3784" s="18" t="s">
        <v>5440</v>
      </c>
      <c r="D3784" s="19" t="s">
        <v>5441</v>
      </c>
      <c r="E3784" s="20" t="s">
        <v>7</v>
      </c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</row>
    <row r="3785">
      <c r="A3785" s="16" t="s">
        <v>5422</v>
      </c>
      <c r="B3785" s="22" t="s">
        <v>5442</v>
      </c>
      <c r="C3785" s="18" t="s">
        <v>5303</v>
      </c>
      <c r="D3785" s="19" t="s">
        <v>5443</v>
      </c>
      <c r="E3785" s="20" t="s">
        <v>7</v>
      </c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</row>
    <row r="3786">
      <c r="A3786" s="16" t="s">
        <v>5422</v>
      </c>
      <c r="B3786" s="22" t="s">
        <v>5442</v>
      </c>
      <c r="C3786" s="18" t="s">
        <v>5303</v>
      </c>
      <c r="D3786" s="19" t="s">
        <v>5444</v>
      </c>
      <c r="E3786" s="20" t="s">
        <v>7</v>
      </c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</row>
    <row r="3787">
      <c r="A3787" s="16" t="s">
        <v>5422</v>
      </c>
      <c r="B3787" s="22" t="s">
        <v>5442</v>
      </c>
      <c r="C3787" s="18" t="s">
        <v>5303</v>
      </c>
      <c r="D3787" s="19" t="s">
        <v>5445</v>
      </c>
      <c r="E3787" s="20" t="s">
        <v>7</v>
      </c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</row>
    <row r="3788">
      <c r="A3788" s="16" t="s">
        <v>5422</v>
      </c>
      <c r="B3788" s="22" t="s">
        <v>5442</v>
      </c>
      <c r="C3788" s="18" t="s">
        <v>5303</v>
      </c>
      <c r="D3788" s="19" t="s">
        <v>5446</v>
      </c>
      <c r="E3788" s="20" t="s">
        <v>7</v>
      </c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</row>
    <row r="3789">
      <c r="A3789" s="16" t="s">
        <v>5422</v>
      </c>
      <c r="B3789" s="22" t="s">
        <v>5442</v>
      </c>
      <c r="C3789" s="18" t="s">
        <v>5303</v>
      </c>
      <c r="D3789" s="19" t="s">
        <v>5447</v>
      </c>
      <c r="E3789" s="20" t="s">
        <v>7</v>
      </c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</row>
    <row r="3790">
      <c r="A3790" s="16" t="s">
        <v>5422</v>
      </c>
      <c r="B3790" s="22" t="s">
        <v>5442</v>
      </c>
      <c r="C3790" s="18" t="s">
        <v>5303</v>
      </c>
      <c r="D3790" s="19" t="s">
        <v>1037</v>
      </c>
      <c r="E3790" s="20" t="s">
        <v>7</v>
      </c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</row>
    <row r="3791">
      <c r="A3791" s="16" t="s">
        <v>5422</v>
      </c>
      <c r="B3791" s="22" t="s">
        <v>5442</v>
      </c>
      <c r="C3791" s="18" t="s">
        <v>5303</v>
      </c>
      <c r="D3791" s="19" t="s">
        <v>5448</v>
      </c>
      <c r="E3791" s="20" t="s">
        <v>7</v>
      </c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</row>
    <row r="3792">
      <c r="A3792" s="16" t="s">
        <v>5422</v>
      </c>
      <c r="B3792" s="22" t="s">
        <v>5449</v>
      </c>
      <c r="C3792" s="18" t="s">
        <v>5450</v>
      </c>
      <c r="D3792" s="18" t="s">
        <v>5451</v>
      </c>
      <c r="E3792" s="18" t="s">
        <v>4624</v>
      </c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</row>
    <row r="3793">
      <c r="A3793" s="16" t="s">
        <v>5422</v>
      </c>
      <c r="B3793" s="22" t="s">
        <v>5449</v>
      </c>
      <c r="C3793" s="18" t="s">
        <v>5450</v>
      </c>
      <c r="D3793" s="18" t="s">
        <v>5452</v>
      </c>
      <c r="E3793" s="18" t="s">
        <v>4624</v>
      </c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</row>
    <row r="3794">
      <c r="A3794" s="16" t="s">
        <v>5422</v>
      </c>
      <c r="B3794" s="22" t="s">
        <v>5410</v>
      </c>
      <c r="C3794" s="18" t="s">
        <v>5430</v>
      </c>
      <c r="D3794" s="19" t="s">
        <v>5453</v>
      </c>
      <c r="E3794" s="20" t="s">
        <v>7</v>
      </c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</row>
    <row r="3795">
      <c r="A3795" s="16" t="s">
        <v>5422</v>
      </c>
      <c r="B3795" s="22" t="s">
        <v>5410</v>
      </c>
      <c r="C3795" s="18" t="s">
        <v>5440</v>
      </c>
      <c r="D3795" s="19" t="s">
        <v>5454</v>
      </c>
      <c r="E3795" s="20" t="s">
        <v>7</v>
      </c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9"/>
    </row>
    <row r="3796">
      <c r="A3796" s="16" t="s">
        <v>5422</v>
      </c>
      <c r="B3796" s="22" t="s">
        <v>5410</v>
      </c>
      <c r="C3796" s="18" t="s">
        <v>5440</v>
      </c>
      <c r="D3796" s="19" t="s">
        <v>5425</v>
      </c>
      <c r="E3796" s="20" t="s">
        <v>7</v>
      </c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</row>
    <row r="3797">
      <c r="A3797" s="16" t="s">
        <v>5422</v>
      </c>
      <c r="B3797" s="22" t="s">
        <v>5410</v>
      </c>
      <c r="C3797" s="18" t="s">
        <v>5428</v>
      </c>
      <c r="D3797" s="19" t="s">
        <v>5455</v>
      </c>
      <c r="E3797" s="20" t="s">
        <v>7</v>
      </c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</row>
    <row r="3798">
      <c r="A3798" s="16" t="s">
        <v>5422</v>
      </c>
      <c r="B3798" s="22" t="s">
        <v>5410</v>
      </c>
      <c r="C3798" s="18" t="s">
        <v>5440</v>
      </c>
      <c r="D3798" s="19" t="s">
        <v>5456</v>
      </c>
      <c r="E3798" s="20" t="s">
        <v>7</v>
      </c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</row>
    <row r="3799">
      <c r="A3799" s="16" t="s">
        <v>5422</v>
      </c>
      <c r="B3799" s="22" t="s">
        <v>5410</v>
      </c>
      <c r="C3799" s="18" t="s">
        <v>5440</v>
      </c>
      <c r="D3799" s="19" t="s">
        <v>5457</v>
      </c>
      <c r="E3799" s="20" t="s">
        <v>7</v>
      </c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</row>
    <row r="3800">
      <c r="A3800" s="16" t="s">
        <v>5422</v>
      </c>
      <c r="B3800" s="22" t="s">
        <v>5410</v>
      </c>
      <c r="C3800" s="18" t="s">
        <v>5458</v>
      </c>
      <c r="D3800" s="19" t="s">
        <v>5459</v>
      </c>
      <c r="E3800" s="20" t="s">
        <v>7</v>
      </c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</row>
    <row r="3801">
      <c r="A3801" s="16" t="s">
        <v>5422</v>
      </c>
      <c r="B3801" s="22" t="s">
        <v>5410</v>
      </c>
      <c r="C3801" s="18" t="s">
        <v>5277</v>
      </c>
      <c r="D3801" s="19" t="s">
        <v>5460</v>
      </c>
      <c r="E3801" s="20" t="s">
        <v>7</v>
      </c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</row>
    <row r="3802">
      <c r="A3802" s="16" t="s">
        <v>5422</v>
      </c>
      <c r="B3802" s="22" t="s">
        <v>5410</v>
      </c>
      <c r="C3802" s="18" t="s">
        <v>5461</v>
      </c>
      <c r="D3802" s="19" t="s">
        <v>717</v>
      </c>
      <c r="E3802" s="20" t="s">
        <v>7</v>
      </c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</row>
    <row r="3803">
      <c r="A3803" s="16" t="s">
        <v>5422</v>
      </c>
      <c r="B3803" s="22" t="s">
        <v>5410</v>
      </c>
      <c r="C3803" s="18" t="s">
        <v>5277</v>
      </c>
      <c r="D3803" s="19" t="s">
        <v>5462</v>
      </c>
      <c r="E3803" s="20" t="s">
        <v>7</v>
      </c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</row>
    <row r="3804">
      <c r="A3804" s="16" t="s">
        <v>5422</v>
      </c>
      <c r="B3804" s="22" t="s">
        <v>5463</v>
      </c>
      <c r="C3804" s="18" t="s">
        <v>5464</v>
      </c>
      <c r="D3804" s="18" t="s">
        <v>5465</v>
      </c>
      <c r="E3804" s="9" t="s">
        <v>5466</v>
      </c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</row>
    <row r="3805">
      <c r="A3805" s="16" t="s">
        <v>5422</v>
      </c>
      <c r="B3805" s="22" t="s">
        <v>5463</v>
      </c>
      <c r="C3805" s="18" t="s">
        <v>5285</v>
      </c>
      <c r="D3805" s="18" t="s">
        <v>5465</v>
      </c>
      <c r="E3805" s="9" t="s">
        <v>5466</v>
      </c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</row>
    <row r="3806">
      <c r="A3806" s="16" t="s">
        <v>5422</v>
      </c>
      <c r="B3806" s="22" t="s">
        <v>5463</v>
      </c>
      <c r="C3806" s="18" t="s">
        <v>5467</v>
      </c>
      <c r="D3806" s="18" t="s">
        <v>5468</v>
      </c>
      <c r="E3806" s="9" t="s">
        <v>5466</v>
      </c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</row>
    <row r="3807">
      <c r="A3807" s="16" t="s">
        <v>5422</v>
      </c>
      <c r="B3807" s="22" t="s">
        <v>5463</v>
      </c>
      <c r="C3807" s="18" t="s">
        <v>5285</v>
      </c>
      <c r="D3807" s="18" t="s">
        <v>5469</v>
      </c>
      <c r="E3807" s="9" t="s">
        <v>5466</v>
      </c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</row>
    <row r="3808">
      <c r="A3808" s="16" t="s">
        <v>5422</v>
      </c>
      <c r="B3808" s="22" t="s">
        <v>5463</v>
      </c>
      <c r="C3808" s="18" t="s">
        <v>5285</v>
      </c>
      <c r="D3808" s="18" t="s">
        <v>5470</v>
      </c>
      <c r="E3808" s="9" t="s">
        <v>5466</v>
      </c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</row>
    <row r="3809">
      <c r="A3809" s="16" t="s">
        <v>5422</v>
      </c>
      <c r="B3809" s="22" t="s">
        <v>5299</v>
      </c>
      <c r="C3809" s="18" t="s">
        <v>5464</v>
      </c>
      <c r="D3809" s="18" t="s">
        <v>5465</v>
      </c>
      <c r="E3809" s="9" t="s">
        <v>5466</v>
      </c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</row>
    <row r="3810">
      <c r="A3810" s="16" t="s">
        <v>5422</v>
      </c>
      <c r="B3810" s="22" t="s">
        <v>5299</v>
      </c>
      <c r="C3810" s="18" t="s">
        <v>5471</v>
      </c>
      <c r="D3810" s="18" t="s">
        <v>5472</v>
      </c>
      <c r="E3810" s="9" t="s">
        <v>5466</v>
      </c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</row>
    <row r="3811">
      <c r="A3811" s="16" t="s">
        <v>5422</v>
      </c>
      <c r="B3811" s="22" t="s">
        <v>5299</v>
      </c>
      <c r="C3811" s="18" t="s">
        <v>5467</v>
      </c>
      <c r="D3811" s="18" t="s">
        <v>5468</v>
      </c>
      <c r="E3811" s="9" t="s">
        <v>5466</v>
      </c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</row>
    <row r="3812">
      <c r="A3812" s="16" t="s">
        <v>5422</v>
      </c>
      <c r="B3812" s="22" t="s">
        <v>5299</v>
      </c>
      <c r="C3812" s="18" t="s">
        <v>5285</v>
      </c>
      <c r="D3812" s="18" t="s">
        <v>5469</v>
      </c>
      <c r="E3812" s="9" t="s">
        <v>5466</v>
      </c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</row>
    <row r="3813">
      <c r="A3813" s="16" t="s">
        <v>5422</v>
      </c>
      <c r="B3813" s="22" t="s">
        <v>5299</v>
      </c>
      <c r="C3813" s="18" t="s">
        <v>5285</v>
      </c>
      <c r="D3813" s="18" t="s">
        <v>5470</v>
      </c>
      <c r="E3813" s="9" t="s">
        <v>5466</v>
      </c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</row>
    <row r="3814">
      <c r="A3814" s="16" t="s">
        <v>5422</v>
      </c>
      <c r="B3814" s="22" t="s">
        <v>5396</v>
      </c>
      <c r="C3814" s="18" t="s">
        <v>5400</v>
      </c>
      <c r="D3814" s="19" t="s">
        <v>5473</v>
      </c>
      <c r="E3814" s="20" t="s">
        <v>7</v>
      </c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</row>
    <row r="3815">
      <c r="A3815" s="16" t="s">
        <v>5422</v>
      </c>
      <c r="B3815" s="22" t="s">
        <v>5396</v>
      </c>
      <c r="C3815" s="18" t="s">
        <v>5416</v>
      </c>
      <c r="D3815" s="19" t="s">
        <v>5417</v>
      </c>
      <c r="E3815" s="20" t="s">
        <v>7</v>
      </c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</row>
    <row r="3816">
      <c r="A3816" s="16" t="s">
        <v>5422</v>
      </c>
      <c r="B3816" s="22" t="s">
        <v>5396</v>
      </c>
      <c r="C3816" s="18" t="s">
        <v>5418</v>
      </c>
      <c r="D3816" s="19" t="s">
        <v>5417</v>
      </c>
      <c r="E3816" s="20" t="s">
        <v>7</v>
      </c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</row>
    <row r="3817">
      <c r="A3817" s="16" t="s">
        <v>5422</v>
      </c>
      <c r="B3817" s="22" t="s">
        <v>5396</v>
      </c>
      <c r="C3817" s="18" t="s">
        <v>5419</v>
      </c>
      <c r="D3817" s="19" t="s">
        <v>5420</v>
      </c>
      <c r="E3817" s="20" t="s">
        <v>7</v>
      </c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</row>
    <row r="3818">
      <c r="A3818" s="16" t="s">
        <v>5422</v>
      </c>
      <c r="B3818" s="22" t="s">
        <v>5396</v>
      </c>
      <c r="C3818" s="18" t="s">
        <v>5421</v>
      </c>
      <c r="D3818" s="19" t="s">
        <v>5420</v>
      </c>
      <c r="E3818" s="20" t="s">
        <v>7</v>
      </c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</row>
    <row r="3819">
      <c r="A3819" s="16" t="s">
        <v>5422</v>
      </c>
      <c r="B3819" s="22" t="s">
        <v>5396</v>
      </c>
      <c r="C3819" s="18" t="s">
        <v>5397</v>
      </c>
      <c r="D3819" s="19" t="s">
        <v>5474</v>
      </c>
      <c r="E3819" s="20" t="s">
        <v>7</v>
      </c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</row>
    <row r="3820">
      <c r="A3820" s="16" t="s">
        <v>5422</v>
      </c>
      <c r="B3820" s="22" t="s">
        <v>5396</v>
      </c>
      <c r="C3820" s="18" t="s">
        <v>5475</v>
      </c>
      <c r="D3820" s="19" t="s">
        <v>5474</v>
      </c>
      <c r="E3820" s="20" t="s">
        <v>7</v>
      </c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</row>
    <row r="3821">
      <c r="A3821" s="16" t="s">
        <v>5422</v>
      </c>
      <c r="B3821" s="22" t="s">
        <v>5329</v>
      </c>
      <c r="C3821" s="18" t="s">
        <v>3554</v>
      </c>
      <c r="D3821" s="19" t="s">
        <v>5476</v>
      </c>
      <c r="E3821" s="18" t="s">
        <v>309</v>
      </c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</row>
    <row r="3822">
      <c r="A3822" s="16" t="s">
        <v>5422</v>
      </c>
      <c r="B3822" s="22" t="s">
        <v>5410</v>
      </c>
      <c r="C3822" s="18" t="s">
        <v>5277</v>
      </c>
      <c r="D3822" s="19" t="s">
        <v>5462</v>
      </c>
      <c r="E3822" s="20" t="s">
        <v>7</v>
      </c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</row>
    <row r="3823">
      <c r="A3823" s="16" t="s">
        <v>5422</v>
      </c>
      <c r="B3823" s="22" t="s">
        <v>5410</v>
      </c>
      <c r="C3823" s="18" t="s">
        <v>5277</v>
      </c>
      <c r="D3823" s="19" t="s">
        <v>5477</v>
      </c>
      <c r="E3823" s="20" t="s">
        <v>7</v>
      </c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</row>
    <row r="3824">
      <c r="A3824" s="16" t="s">
        <v>5422</v>
      </c>
      <c r="B3824" s="22" t="s">
        <v>5410</v>
      </c>
      <c r="C3824" s="18" t="s">
        <v>5277</v>
      </c>
      <c r="D3824" s="19" t="s">
        <v>5478</v>
      </c>
      <c r="E3824" s="20" t="s">
        <v>7</v>
      </c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</row>
    <row r="3825">
      <c r="A3825" s="16" t="s">
        <v>5422</v>
      </c>
      <c r="B3825" s="22" t="s">
        <v>5410</v>
      </c>
      <c r="C3825" s="18" t="s">
        <v>5277</v>
      </c>
      <c r="D3825" s="19" t="s">
        <v>5479</v>
      </c>
      <c r="E3825" s="20" t="s">
        <v>7</v>
      </c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</row>
    <row r="3826">
      <c r="A3826" s="16"/>
      <c r="B3826" s="22"/>
      <c r="C3826" s="18"/>
      <c r="D3826" s="1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</row>
    <row r="3827">
      <c r="A3827" s="16"/>
      <c r="B3827" s="22"/>
      <c r="C3827" s="18"/>
      <c r="D3827" s="1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</row>
    <row r="3828">
      <c r="A3828" s="16" t="s">
        <v>5480</v>
      </c>
      <c r="B3828" s="22" t="s">
        <v>5295</v>
      </c>
      <c r="C3828" s="18" t="s">
        <v>5481</v>
      </c>
      <c r="D3828" s="19" t="s">
        <v>5482</v>
      </c>
      <c r="E3828" s="20" t="s">
        <v>7</v>
      </c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</row>
    <row r="3829">
      <c r="A3829" s="16" t="s">
        <v>5480</v>
      </c>
      <c r="B3829" s="22" t="s">
        <v>5295</v>
      </c>
      <c r="C3829" s="18" t="s">
        <v>5483</v>
      </c>
      <c r="D3829" s="19" t="s">
        <v>5482</v>
      </c>
      <c r="E3829" s="20" t="s">
        <v>7</v>
      </c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</row>
    <row r="3830">
      <c r="A3830" s="16" t="s">
        <v>5480</v>
      </c>
      <c r="B3830" s="22" t="s">
        <v>5295</v>
      </c>
      <c r="C3830" s="18" t="s">
        <v>4468</v>
      </c>
      <c r="D3830" s="19" t="s">
        <v>5484</v>
      </c>
      <c r="E3830" s="20" t="s">
        <v>7</v>
      </c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</row>
    <row r="3831">
      <c r="A3831" s="16" t="s">
        <v>5480</v>
      </c>
      <c r="B3831" s="22" t="s">
        <v>5295</v>
      </c>
      <c r="C3831" s="18" t="s">
        <v>5485</v>
      </c>
      <c r="D3831" s="19" t="s">
        <v>5484</v>
      </c>
      <c r="E3831" s="20" t="s">
        <v>7</v>
      </c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</row>
    <row r="3832">
      <c r="A3832" s="16" t="s">
        <v>5480</v>
      </c>
      <c r="B3832" s="22" t="s">
        <v>5295</v>
      </c>
      <c r="C3832" s="18" t="s">
        <v>5486</v>
      </c>
      <c r="D3832" s="19" t="s">
        <v>5487</v>
      </c>
      <c r="E3832" s="20" t="s">
        <v>7</v>
      </c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</row>
    <row r="3833">
      <c r="A3833" s="16" t="s">
        <v>5480</v>
      </c>
      <c r="B3833" s="22" t="s">
        <v>5295</v>
      </c>
      <c r="C3833" s="18" t="s">
        <v>5483</v>
      </c>
      <c r="D3833" s="19" t="s">
        <v>5487</v>
      </c>
      <c r="E3833" s="20" t="s">
        <v>7</v>
      </c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</row>
    <row r="3834">
      <c r="A3834" s="16" t="s">
        <v>5480</v>
      </c>
      <c r="B3834" s="22" t="s">
        <v>5295</v>
      </c>
      <c r="C3834" s="18" t="s">
        <v>5488</v>
      </c>
      <c r="D3834" s="19" t="s">
        <v>5489</v>
      </c>
      <c r="E3834" s="20" t="s">
        <v>7</v>
      </c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</row>
    <row r="3835">
      <c r="A3835" s="16" t="s">
        <v>5480</v>
      </c>
      <c r="B3835" s="22" t="s">
        <v>5295</v>
      </c>
      <c r="C3835" s="18" t="s">
        <v>5490</v>
      </c>
      <c r="D3835" s="19" t="s">
        <v>5489</v>
      </c>
      <c r="E3835" s="20" t="s">
        <v>7</v>
      </c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</row>
    <row r="3836">
      <c r="A3836" s="16"/>
      <c r="B3836" s="22"/>
      <c r="C3836" s="18"/>
      <c r="D3836" s="1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</row>
    <row r="3837">
      <c r="A3837" s="16"/>
      <c r="B3837" s="22"/>
      <c r="C3837" s="18"/>
      <c r="D3837" s="1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</row>
    <row r="3838">
      <c r="A3838" s="16" t="s">
        <v>5491</v>
      </c>
      <c r="B3838" s="22" t="s">
        <v>5492</v>
      </c>
      <c r="C3838" s="18" t="s">
        <v>5303</v>
      </c>
      <c r="D3838" s="19" t="s">
        <v>5493</v>
      </c>
      <c r="E3838" s="18" t="s">
        <v>4624</v>
      </c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</row>
    <row r="3839">
      <c r="A3839" s="16" t="s">
        <v>5491</v>
      </c>
      <c r="B3839" s="22" t="s">
        <v>5492</v>
      </c>
      <c r="C3839" s="18" t="s">
        <v>5303</v>
      </c>
      <c r="D3839" s="19" t="s">
        <v>5494</v>
      </c>
      <c r="E3839" s="18" t="s">
        <v>4624</v>
      </c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</row>
    <row r="3840">
      <c r="A3840" s="16"/>
      <c r="B3840" s="22"/>
      <c r="C3840" s="18"/>
      <c r="D3840" s="1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</row>
    <row r="3841">
      <c r="A3841" s="16"/>
      <c r="B3841" s="22"/>
      <c r="C3841" s="18"/>
      <c r="D3841" s="1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</row>
    <row r="3842">
      <c r="A3842" s="16" t="s">
        <v>5495</v>
      </c>
      <c r="B3842" s="22" t="s">
        <v>5299</v>
      </c>
      <c r="C3842" s="18" t="s">
        <v>5285</v>
      </c>
      <c r="D3842" s="19" t="s">
        <v>5496</v>
      </c>
      <c r="E3842" s="20" t="s">
        <v>7</v>
      </c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</row>
    <row r="3843">
      <c r="A3843" s="16" t="s">
        <v>5495</v>
      </c>
      <c r="B3843" s="19" t="s">
        <v>5497</v>
      </c>
      <c r="C3843" s="18" t="s">
        <v>5498</v>
      </c>
      <c r="D3843" s="19" t="s">
        <v>5499</v>
      </c>
      <c r="E3843" s="20" t="s">
        <v>7</v>
      </c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</row>
    <row r="3844">
      <c r="A3844" s="16"/>
      <c r="B3844" s="19"/>
      <c r="C3844" s="18"/>
      <c r="D3844" s="19"/>
      <c r="E3844" s="173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</row>
    <row r="3845">
      <c r="A3845" s="16"/>
      <c r="B3845" s="19"/>
      <c r="C3845" s="18"/>
      <c r="D3845" s="19"/>
      <c r="E3845" s="173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</row>
    <row r="3846">
      <c r="A3846" s="16" t="s">
        <v>5500</v>
      </c>
      <c r="B3846" s="22" t="s">
        <v>5449</v>
      </c>
      <c r="C3846" s="18" t="s">
        <v>5501</v>
      </c>
      <c r="D3846" s="19" t="s">
        <v>5502</v>
      </c>
      <c r="E3846" s="20" t="s">
        <v>7</v>
      </c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</row>
    <row r="3847">
      <c r="A3847" s="16" t="s">
        <v>5500</v>
      </c>
      <c r="B3847" s="22" t="s">
        <v>5503</v>
      </c>
      <c r="C3847" s="18" t="s">
        <v>4086</v>
      </c>
      <c r="D3847" s="19" t="s">
        <v>5504</v>
      </c>
      <c r="E3847" s="18" t="s">
        <v>4624</v>
      </c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</row>
    <row r="3848">
      <c r="A3848" s="16" t="s">
        <v>5500</v>
      </c>
      <c r="B3848" s="22" t="s">
        <v>5503</v>
      </c>
      <c r="C3848" s="18" t="s">
        <v>5505</v>
      </c>
      <c r="D3848" s="19" t="s">
        <v>5504</v>
      </c>
      <c r="E3848" s="18" t="s">
        <v>4624</v>
      </c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</row>
    <row r="3849">
      <c r="A3849" s="16" t="s">
        <v>5500</v>
      </c>
      <c r="B3849" s="22" t="s">
        <v>5503</v>
      </c>
      <c r="C3849" s="18" t="s">
        <v>4706</v>
      </c>
      <c r="D3849" s="19" t="s">
        <v>5504</v>
      </c>
      <c r="E3849" s="18" t="s">
        <v>4624</v>
      </c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</row>
    <row r="3850">
      <c r="A3850" s="16" t="s">
        <v>5500</v>
      </c>
      <c r="B3850" s="22" t="s">
        <v>5503</v>
      </c>
      <c r="C3850" s="18" t="s">
        <v>5506</v>
      </c>
      <c r="D3850" s="19" t="s">
        <v>5507</v>
      </c>
      <c r="E3850" s="18" t="s">
        <v>4624</v>
      </c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</row>
    <row r="3851">
      <c r="A3851" s="16" t="s">
        <v>5500</v>
      </c>
      <c r="B3851" s="22" t="s">
        <v>5503</v>
      </c>
      <c r="C3851" s="18" t="s">
        <v>4942</v>
      </c>
      <c r="D3851" s="19" t="s">
        <v>5507</v>
      </c>
      <c r="E3851" s="18" t="s">
        <v>4624</v>
      </c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</row>
    <row r="3852">
      <c r="A3852" s="16" t="s">
        <v>5500</v>
      </c>
      <c r="B3852" s="22" t="s">
        <v>5503</v>
      </c>
      <c r="C3852" s="18" t="s">
        <v>5508</v>
      </c>
      <c r="D3852" s="19" t="s">
        <v>5507</v>
      </c>
      <c r="E3852" s="18" t="s">
        <v>4624</v>
      </c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</row>
    <row r="3853">
      <c r="A3853" s="16" t="s">
        <v>5500</v>
      </c>
      <c r="B3853" s="22" t="s">
        <v>5503</v>
      </c>
      <c r="C3853" s="18" t="s">
        <v>4086</v>
      </c>
      <c r="D3853" s="19" t="s">
        <v>5509</v>
      </c>
      <c r="E3853" s="18" t="s">
        <v>4624</v>
      </c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</row>
    <row r="3854">
      <c r="A3854" s="16" t="s">
        <v>5500</v>
      </c>
      <c r="B3854" s="22" t="s">
        <v>5503</v>
      </c>
      <c r="C3854" s="18" t="s">
        <v>5510</v>
      </c>
      <c r="D3854" s="19" t="s">
        <v>5509</v>
      </c>
      <c r="E3854" s="18" t="s">
        <v>4624</v>
      </c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</row>
    <row r="3855">
      <c r="A3855" s="16" t="s">
        <v>5500</v>
      </c>
      <c r="B3855" s="22" t="s">
        <v>5503</v>
      </c>
      <c r="C3855" s="18" t="s">
        <v>1350</v>
      </c>
      <c r="D3855" s="19" t="s">
        <v>5509</v>
      </c>
      <c r="E3855" s="18" t="s">
        <v>4624</v>
      </c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</row>
    <row r="3856">
      <c r="A3856" s="16" t="s">
        <v>5500</v>
      </c>
      <c r="B3856" s="22" t="s">
        <v>5503</v>
      </c>
      <c r="C3856" s="18" t="s">
        <v>5511</v>
      </c>
      <c r="D3856" s="19" t="s">
        <v>5512</v>
      </c>
      <c r="E3856" s="18" t="s">
        <v>4624</v>
      </c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</row>
    <row r="3857">
      <c r="A3857" s="16" t="s">
        <v>5500</v>
      </c>
      <c r="B3857" s="22" t="s">
        <v>5503</v>
      </c>
      <c r="C3857" s="18" t="s">
        <v>5513</v>
      </c>
      <c r="D3857" s="19" t="s">
        <v>5512</v>
      </c>
      <c r="E3857" s="18" t="s">
        <v>4624</v>
      </c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</row>
    <row r="3858">
      <c r="A3858" s="16" t="s">
        <v>5500</v>
      </c>
      <c r="B3858" s="22" t="s">
        <v>5503</v>
      </c>
      <c r="C3858" s="18" t="s">
        <v>5514</v>
      </c>
      <c r="D3858" s="19" t="s">
        <v>5512</v>
      </c>
      <c r="E3858" s="18" t="s">
        <v>4624</v>
      </c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</row>
    <row r="3859">
      <c r="A3859" s="16"/>
      <c r="B3859" s="19"/>
      <c r="C3859" s="18"/>
      <c r="D3859" s="19"/>
      <c r="E3859" s="173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</row>
    <row r="3860">
      <c r="A3860" s="16"/>
      <c r="B3860" s="19"/>
      <c r="C3860" s="18"/>
      <c r="D3860" s="19"/>
      <c r="E3860" s="173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</row>
    <row r="3861">
      <c r="A3861" s="16" t="s">
        <v>5515</v>
      </c>
      <c r="B3861" s="22" t="s">
        <v>5503</v>
      </c>
      <c r="C3861" s="18" t="s">
        <v>5516</v>
      </c>
      <c r="D3861" s="19" t="s">
        <v>5517</v>
      </c>
      <c r="E3861" s="20" t="s">
        <v>7</v>
      </c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</row>
    <row r="3862">
      <c r="A3862" s="16" t="s">
        <v>5515</v>
      </c>
      <c r="B3862" s="22" t="s">
        <v>5518</v>
      </c>
      <c r="C3862" s="18" t="s">
        <v>5519</v>
      </c>
      <c r="D3862" s="19" t="s">
        <v>5520</v>
      </c>
      <c r="E3862" s="20" t="s">
        <v>7</v>
      </c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</row>
    <row r="3863">
      <c r="A3863" s="16" t="s">
        <v>5515</v>
      </c>
      <c r="B3863" s="22" t="s">
        <v>5521</v>
      </c>
      <c r="C3863" s="18" t="s">
        <v>5522</v>
      </c>
      <c r="D3863" s="19" t="s">
        <v>5520</v>
      </c>
      <c r="E3863" s="20" t="s">
        <v>7</v>
      </c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</row>
    <row r="3864">
      <c r="A3864" s="16" t="s">
        <v>5515</v>
      </c>
      <c r="B3864" s="22" t="s">
        <v>5523</v>
      </c>
      <c r="C3864" s="18" t="s">
        <v>2274</v>
      </c>
      <c r="D3864" s="19" t="s">
        <v>5520</v>
      </c>
      <c r="E3864" s="20" t="s">
        <v>7</v>
      </c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</row>
    <row r="3865">
      <c r="A3865" s="16" t="s">
        <v>5515</v>
      </c>
      <c r="B3865" s="22" t="s">
        <v>5289</v>
      </c>
      <c r="C3865" s="18" t="s">
        <v>5524</v>
      </c>
      <c r="D3865" s="19" t="s">
        <v>5525</v>
      </c>
      <c r="E3865" s="18" t="s">
        <v>4624</v>
      </c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</row>
    <row r="3866">
      <c r="A3866" s="16" t="s">
        <v>5515</v>
      </c>
      <c r="B3866" s="22" t="s">
        <v>5289</v>
      </c>
      <c r="C3866" s="18" t="s">
        <v>5526</v>
      </c>
      <c r="D3866" s="19" t="s">
        <v>5476</v>
      </c>
      <c r="E3866" s="18" t="s">
        <v>309</v>
      </c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</row>
    <row r="3867">
      <c r="A3867" s="16" t="s">
        <v>5515</v>
      </c>
      <c r="B3867" s="22" t="s">
        <v>5289</v>
      </c>
      <c r="C3867" s="18" t="s">
        <v>5527</v>
      </c>
      <c r="D3867" s="19" t="s">
        <v>5528</v>
      </c>
      <c r="E3867" s="18" t="s">
        <v>4624</v>
      </c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</row>
    <row r="3868">
      <c r="A3868" s="16" t="s">
        <v>5515</v>
      </c>
      <c r="B3868" s="22" t="s">
        <v>5289</v>
      </c>
      <c r="C3868" s="18" t="s">
        <v>5527</v>
      </c>
      <c r="D3868" s="19" t="s">
        <v>5499</v>
      </c>
      <c r="E3868" s="18" t="s">
        <v>4624</v>
      </c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</row>
    <row r="3869">
      <c r="A3869" s="16" t="s">
        <v>5515</v>
      </c>
      <c r="B3869" s="22" t="s">
        <v>5492</v>
      </c>
      <c r="C3869" s="18" t="s">
        <v>5529</v>
      </c>
      <c r="D3869" s="19" t="s">
        <v>5530</v>
      </c>
      <c r="E3869" s="18" t="s">
        <v>4624</v>
      </c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</row>
    <row r="3870">
      <c r="A3870" s="16" t="s">
        <v>5515</v>
      </c>
      <c r="B3870" s="22" t="s">
        <v>5492</v>
      </c>
      <c r="C3870" s="18" t="s">
        <v>5531</v>
      </c>
      <c r="D3870" s="19" t="s">
        <v>5532</v>
      </c>
      <c r="E3870" s="18" t="s">
        <v>4624</v>
      </c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</row>
    <row r="3871">
      <c r="A3871" s="16" t="s">
        <v>5515</v>
      </c>
      <c r="B3871" s="22" t="s">
        <v>5492</v>
      </c>
      <c r="C3871" s="18" t="s">
        <v>5533</v>
      </c>
      <c r="D3871" s="19" t="s">
        <v>611</v>
      </c>
      <c r="E3871" s="18" t="s">
        <v>4624</v>
      </c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</row>
    <row r="3872">
      <c r="A3872" s="16" t="s">
        <v>5515</v>
      </c>
      <c r="B3872" s="22" t="s">
        <v>5534</v>
      </c>
      <c r="C3872" s="18" t="s">
        <v>5535</v>
      </c>
      <c r="D3872" s="19" t="s">
        <v>611</v>
      </c>
      <c r="E3872" s="18" t="s">
        <v>4624</v>
      </c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</row>
    <row r="3873">
      <c r="A3873" s="16" t="s">
        <v>5515</v>
      </c>
      <c r="B3873" s="22" t="s">
        <v>5534</v>
      </c>
      <c r="C3873" s="18" t="s">
        <v>5536</v>
      </c>
      <c r="D3873" s="19" t="s">
        <v>5537</v>
      </c>
      <c r="E3873" s="18" t="s">
        <v>4624</v>
      </c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</row>
    <row r="3874">
      <c r="A3874" s="16" t="s">
        <v>5515</v>
      </c>
      <c r="B3874" s="22" t="s">
        <v>5534</v>
      </c>
      <c r="C3874" s="18" t="s">
        <v>5538</v>
      </c>
      <c r="D3874" s="19" t="s">
        <v>5539</v>
      </c>
      <c r="E3874" s="18" t="s">
        <v>4624</v>
      </c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</row>
    <row r="3875">
      <c r="A3875" s="16" t="s">
        <v>5515</v>
      </c>
      <c r="B3875" s="22" t="s">
        <v>5534</v>
      </c>
      <c r="C3875" s="18" t="s">
        <v>5540</v>
      </c>
      <c r="D3875" s="19" t="s">
        <v>5541</v>
      </c>
      <c r="E3875" s="18" t="s">
        <v>4624</v>
      </c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</row>
    <row r="3876">
      <c r="A3876" s="16" t="s">
        <v>5515</v>
      </c>
      <c r="B3876" s="22" t="s">
        <v>5542</v>
      </c>
      <c r="C3876" s="18" t="s">
        <v>5543</v>
      </c>
      <c r="D3876" s="19" t="s">
        <v>5544</v>
      </c>
      <c r="E3876" s="23" t="s">
        <v>14</v>
      </c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</row>
    <row r="3877">
      <c r="A3877" s="16"/>
      <c r="B3877" s="19"/>
      <c r="C3877" s="18"/>
      <c r="D3877" s="19"/>
      <c r="E3877" s="173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</row>
    <row r="3878">
      <c r="A3878" s="16"/>
      <c r="B3878" s="19"/>
      <c r="C3878" s="18"/>
      <c r="D3878" s="19"/>
      <c r="E3878" s="173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</row>
    <row r="3879">
      <c r="A3879" s="16" t="s">
        <v>5545</v>
      </c>
      <c r="B3879" s="22" t="s">
        <v>5534</v>
      </c>
      <c r="C3879" s="18" t="s">
        <v>5538</v>
      </c>
      <c r="D3879" s="19" t="s">
        <v>5539</v>
      </c>
      <c r="E3879" s="18" t="s">
        <v>4624</v>
      </c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</row>
    <row r="3880">
      <c r="A3880" s="16" t="s">
        <v>5545</v>
      </c>
      <c r="B3880" s="22" t="s">
        <v>5534</v>
      </c>
      <c r="C3880" s="18" t="s">
        <v>5546</v>
      </c>
      <c r="D3880" s="19" t="s">
        <v>5547</v>
      </c>
      <c r="E3880" s="18" t="s">
        <v>4624</v>
      </c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</row>
    <row r="3881">
      <c r="A3881" s="16" t="s">
        <v>5545</v>
      </c>
      <c r="B3881" s="22" t="s">
        <v>5534</v>
      </c>
      <c r="C3881" s="18" t="s">
        <v>5540</v>
      </c>
      <c r="D3881" s="19" t="s">
        <v>5541</v>
      </c>
      <c r="E3881" s="18" t="s">
        <v>4624</v>
      </c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9"/>
      <c r="AD3881" s="9"/>
    </row>
    <row r="3882">
      <c r="A3882" s="16" t="s">
        <v>5545</v>
      </c>
      <c r="B3882" s="22" t="s">
        <v>5534</v>
      </c>
      <c r="C3882" s="18" t="s">
        <v>5548</v>
      </c>
      <c r="D3882" s="19" t="s">
        <v>5541</v>
      </c>
      <c r="E3882" s="18" t="s">
        <v>4624</v>
      </c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</row>
    <row r="3883">
      <c r="A3883" s="16" t="s">
        <v>5545</v>
      </c>
      <c r="B3883" s="22" t="s">
        <v>5549</v>
      </c>
      <c r="C3883" s="18" t="s">
        <v>5550</v>
      </c>
      <c r="D3883" s="19" t="s">
        <v>5551</v>
      </c>
      <c r="E3883" s="9" t="s">
        <v>764</v>
      </c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</row>
    <row r="3884">
      <c r="A3884" s="16" t="s">
        <v>5545</v>
      </c>
      <c r="B3884" s="22" t="s">
        <v>5549</v>
      </c>
      <c r="C3884" s="18" t="s">
        <v>5552</v>
      </c>
      <c r="D3884" s="19" t="s">
        <v>5553</v>
      </c>
      <c r="E3884" s="9" t="s">
        <v>764</v>
      </c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</row>
    <row r="3885">
      <c r="A3885" s="16" t="s">
        <v>5545</v>
      </c>
      <c r="B3885" s="22" t="s">
        <v>5549</v>
      </c>
      <c r="C3885" s="18" t="s">
        <v>1542</v>
      </c>
      <c r="D3885" s="19" t="s">
        <v>5554</v>
      </c>
      <c r="E3885" s="9" t="s">
        <v>764</v>
      </c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</row>
    <row r="3886">
      <c r="A3886" s="16" t="s">
        <v>5545</v>
      </c>
      <c r="B3886" s="22" t="s">
        <v>5449</v>
      </c>
      <c r="C3886" s="18" t="s">
        <v>5555</v>
      </c>
      <c r="D3886" s="19" t="s">
        <v>5556</v>
      </c>
      <c r="E3886" s="18" t="s">
        <v>4624</v>
      </c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</row>
    <row r="3887">
      <c r="A3887" s="16" t="s">
        <v>5545</v>
      </c>
      <c r="B3887" s="22" t="s">
        <v>5449</v>
      </c>
      <c r="C3887" s="18" t="s">
        <v>5555</v>
      </c>
      <c r="D3887" s="19" t="s">
        <v>5557</v>
      </c>
      <c r="E3887" s="18" t="s">
        <v>4624</v>
      </c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</row>
    <row r="3888">
      <c r="A3888" s="16" t="s">
        <v>5545</v>
      </c>
      <c r="B3888" s="22" t="s">
        <v>5449</v>
      </c>
      <c r="C3888" s="18" t="s">
        <v>5558</v>
      </c>
      <c r="D3888" s="19" t="s">
        <v>5559</v>
      </c>
      <c r="E3888" s="18" t="s">
        <v>4624</v>
      </c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</row>
    <row r="3889">
      <c r="A3889" s="16"/>
      <c r="B3889" s="19"/>
      <c r="C3889" s="18"/>
      <c r="D3889" s="19"/>
      <c r="E3889" s="173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</row>
    <row r="3890">
      <c r="A3890" s="16"/>
      <c r="B3890" s="19"/>
      <c r="C3890" s="18"/>
      <c r="D3890" s="19"/>
      <c r="E3890" s="173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</row>
    <row r="3891">
      <c r="A3891" s="16" t="s">
        <v>5560</v>
      </c>
      <c r="B3891" s="22" t="s">
        <v>5561</v>
      </c>
      <c r="C3891" s="18" t="s">
        <v>5562</v>
      </c>
      <c r="D3891" s="19" t="s">
        <v>5563</v>
      </c>
      <c r="E3891" s="20" t="s">
        <v>7</v>
      </c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</row>
    <row r="3892">
      <c r="A3892" s="16" t="s">
        <v>5560</v>
      </c>
      <c r="B3892" s="22" t="s">
        <v>5561</v>
      </c>
      <c r="C3892" s="18" t="s">
        <v>5562</v>
      </c>
      <c r="D3892" s="19" t="s">
        <v>5564</v>
      </c>
      <c r="E3892" s="20" t="s">
        <v>7</v>
      </c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</row>
    <row r="3893">
      <c r="A3893" s="16" t="s">
        <v>5560</v>
      </c>
      <c r="B3893" s="22" t="s">
        <v>5561</v>
      </c>
      <c r="C3893" s="18" t="s">
        <v>5565</v>
      </c>
      <c r="D3893" s="19" t="s">
        <v>5566</v>
      </c>
      <c r="E3893" s="20" t="s">
        <v>7</v>
      </c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</row>
    <row r="3894">
      <c r="A3894" s="16" t="s">
        <v>5560</v>
      </c>
      <c r="B3894" s="22" t="s">
        <v>5567</v>
      </c>
      <c r="C3894" s="18" t="s">
        <v>5285</v>
      </c>
      <c r="D3894" s="19" t="s">
        <v>5568</v>
      </c>
      <c r="E3894" s="18" t="s">
        <v>309</v>
      </c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</row>
    <row r="3895">
      <c r="A3895" s="16" t="s">
        <v>5560</v>
      </c>
      <c r="B3895" s="22" t="s">
        <v>5567</v>
      </c>
      <c r="C3895" s="18" t="s">
        <v>5285</v>
      </c>
      <c r="D3895" s="19" t="s">
        <v>5496</v>
      </c>
      <c r="E3895" s="20" t="s">
        <v>7</v>
      </c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</row>
    <row r="3896">
      <c r="A3896" s="16" t="s">
        <v>5560</v>
      </c>
      <c r="B3896" s="22" t="s">
        <v>5567</v>
      </c>
      <c r="C3896" s="18" t="s">
        <v>5464</v>
      </c>
      <c r="D3896" s="19" t="s">
        <v>5569</v>
      </c>
      <c r="E3896" s="18" t="s">
        <v>309</v>
      </c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</row>
    <row r="3897">
      <c r="A3897" s="16"/>
      <c r="B3897" s="19"/>
      <c r="C3897" s="18"/>
      <c r="D3897" s="19"/>
      <c r="E3897" s="173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</row>
    <row r="3898">
      <c r="A3898" s="16"/>
      <c r="B3898" s="19"/>
      <c r="C3898" s="18"/>
      <c r="D3898" s="19"/>
      <c r="E3898" s="173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</row>
    <row r="3899">
      <c r="A3899" s="16" t="s">
        <v>5570</v>
      </c>
      <c r="B3899" s="22" t="s">
        <v>5302</v>
      </c>
      <c r="C3899" s="18" t="s">
        <v>5571</v>
      </c>
      <c r="D3899" s="19" t="s">
        <v>5572</v>
      </c>
      <c r="E3899" s="20" t="s">
        <v>7</v>
      </c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</row>
    <row r="3900">
      <c r="A3900" s="16" t="s">
        <v>5570</v>
      </c>
      <c r="B3900" s="22" t="s">
        <v>5302</v>
      </c>
      <c r="C3900" s="18" t="s">
        <v>1637</v>
      </c>
      <c r="D3900" s="19" t="s">
        <v>5573</v>
      </c>
      <c r="E3900" s="20" t="s">
        <v>7</v>
      </c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</row>
    <row r="3901">
      <c r="A3901" s="16" t="s">
        <v>5570</v>
      </c>
      <c r="B3901" s="22" t="s">
        <v>5302</v>
      </c>
      <c r="C3901" s="18" t="s">
        <v>5574</v>
      </c>
      <c r="D3901" s="19" t="s">
        <v>5575</v>
      </c>
      <c r="E3901" s="20" t="s">
        <v>7</v>
      </c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</row>
    <row r="3902">
      <c r="A3902" s="16" t="s">
        <v>5570</v>
      </c>
      <c r="B3902" s="22" t="s">
        <v>5302</v>
      </c>
      <c r="C3902" s="18" t="s">
        <v>5576</v>
      </c>
      <c r="D3902" s="19" t="s">
        <v>5577</v>
      </c>
      <c r="E3902" s="20" t="s">
        <v>7</v>
      </c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</row>
    <row r="3903">
      <c r="A3903" s="16" t="s">
        <v>5570</v>
      </c>
      <c r="B3903" s="22" t="s">
        <v>5578</v>
      </c>
      <c r="C3903" s="18" t="s">
        <v>5579</v>
      </c>
      <c r="D3903" s="19" t="s">
        <v>5580</v>
      </c>
      <c r="E3903" s="18" t="s">
        <v>764</v>
      </c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</row>
    <row r="3904">
      <c r="A3904" s="16" t="s">
        <v>5570</v>
      </c>
      <c r="B3904" s="19" t="s">
        <v>5581</v>
      </c>
      <c r="C3904" s="18" t="s">
        <v>5582</v>
      </c>
      <c r="D3904" s="19" t="s">
        <v>5583</v>
      </c>
      <c r="E3904" s="18" t="s">
        <v>1320</v>
      </c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</row>
    <row r="3905">
      <c r="A3905" s="16" t="s">
        <v>5570</v>
      </c>
      <c r="B3905" s="22" t="s">
        <v>5584</v>
      </c>
      <c r="C3905" s="18" t="s">
        <v>5585</v>
      </c>
      <c r="D3905" s="18" t="s">
        <v>5586</v>
      </c>
      <c r="E3905" s="18" t="s">
        <v>764</v>
      </c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</row>
    <row r="3906">
      <c r="A3906" s="16" t="s">
        <v>5570</v>
      </c>
      <c r="B3906" s="22" t="s">
        <v>5587</v>
      </c>
      <c r="C3906" s="18" t="s">
        <v>5588</v>
      </c>
      <c r="D3906" s="19" t="s">
        <v>5589</v>
      </c>
      <c r="E3906" s="18" t="s">
        <v>4624</v>
      </c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</row>
    <row r="3907">
      <c r="A3907" s="16" t="s">
        <v>5570</v>
      </c>
      <c r="B3907" s="22" t="s">
        <v>5587</v>
      </c>
      <c r="C3907" s="18" t="s">
        <v>3313</v>
      </c>
      <c r="D3907" s="19" t="s">
        <v>5590</v>
      </c>
      <c r="E3907" s="18" t="s">
        <v>4624</v>
      </c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</row>
    <row r="3908">
      <c r="A3908" s="16" t="s">
        <v>5570</v>
      </c>
      <c r="B3908" s="22" t="s">
        <v>5587</v>
      </c>
      <c r="C3908" s="18" t="s">
        <v>1721</v>
      </c>
      <c r="D3908" s="19" t="s">
        <v>5591</v>
      </c>
      <c r="E3908" s="18" t="s">
        <v>4624</v>
      </c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9"/>
      <c r="AC3908" s="9"/>
      <c r="AD3908" s="9"/>
    </row>
    <row r="3909">
      <c r="A3909" s="16" t="s">
        <v>5570</v>
      </c>
      <c r="B3909" s="22" t="s">
        <v>5587</v>
      </c>
      <c r="C3909" s="18" t="s">
        <v>1721</v>
      </c>
      <c r="D3909" s="19" t="s">
        <v>5592</v>
      </c>
      <c r="E3909" s="18" t="s">
        <v>4624</v>
      </c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</row>
    <row r="3910">
      <c r="A3910" s="16" t="s">
        <v>5570</v>
      </c>
      <c r="B3910" s="22" t="s">
        <v>5587</v>
      </c>
      <c r="C3910" s="18" t="s">
        <v>5593</v>
      </c>
      <c r="D3910" s="19" t="s">
        <v>5594</v>
      </c>
      <c r="E3910" s="18" t="s">
        <v>4624</v>
      </c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</row>
    <row r="3911">
      <c r="A3911" s="16"/>
      <c r="B3911" s="19"/>
      <c r="C3911" s="18"/>
      <c r="D3911" s="19"/>
      <c r="E3911" s="173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9"/>
      <c r="AD3911" s="9"/>
    </row>
    <row r="3912">
      <c r="A3912" s="16"/>
      <c r="B3912" s="19"/>
      <c r="C3912" s="18"/>
      <c r="D3912" s="19"/>
      <c r="E3912" s="173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</row>
    <row r="3913">
      <c r="A3913" s="16" t="s">
        <v>5595</v>
      </c>
      <c r="B3913" s="22" t="s">
        <v>5596</v>
      </c>
      <c r="C3913" s="18" t="s">
        <v>2474</v>
      </c>
      <c r="D3913" s="19" t="s">
        <v>5597</v>
      </c>
      <c r="E3913" s="9" t="s">
        <v>14</v>
      </c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</row>
    <row r="3914">
      <c r="A3914" s="16" t="s">
        <v>5595</v>
      </c>
      <c r="B3914" s="22" t="s">
        <v>5598</v>
      </c>
      <c r="C3914" s="18" t="s">
        <v>5599</v>
      </c>
      <c r="D3914" s="19" t="s">
        <v>5600</v>
      </c>
      <c r="E3914" s="9" t="s">
        <v>2332</v>
      </c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</row>
    <row r="3915">
      <c r="A3915" s="16" t="s">
        <v>5595</v>
      </c>
      <c r="B3915" s="22" t="s">
        <v>5598</v>
      </c>
      <c r="C3915" s="18" t="s">
        <v>5599</v>
      </c>
      <c r="D3915" s="19" t="s">
        <v>5600</v>
      </c>
      <c r="E3915" s="9" t="s">
        <v>2332</v>
      </c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</row>
    <row r="3916">
      <c r="A3916" s="16" t="s">
        <v>5595</v>
      </c>
      <c r="B3916" s="22" t="s">
        <v>5598</v>
      </c>
      <c r="C3916" s="18" t="s">
        <v>5601</v>
      </c>
      <c r="D3916" s="19" t="s">
        <v>5602</v>
      </c>
      <c r="E3916" s="9" t="s">
        <v>764</v>
      </c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</row>
    <row r="3917">
      <c r="A3917" s="16" t="s">
        <v>5595</v>
      </c>
      <c r="B3917" s="22" t="s">
        <v>5603</v>
      </c>
      <c r="C3917" s="18" t="s">
        <v>5604</v>
      </c>
      <c r="D3917" s="19" t="s">
        <v>5605</v>
      </c>
      <c r="E3917" s="18" t="s">
        <v>309</v>
      </c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</row>
    <row r="3918">
      <c r="A3918" s="16" t="s">
        <v>5595</v>
      </c>
      <c r="B3918" s="22" t="s">
        <v>5603</v>
      </c>
      <c r="C3918" s="18" t="s">
        <v>5606</v>
      </c>
      <c r="D3918" s="19" t="s">
        <v>5605</v>
      </c>
      <c r="E3918" s="18" t="s">
        <v>4624</v>
      </c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</row>
    <row r="3919">
      <c r="A3919" s="16" t="s">
        <v>5595</v>
      </c>
      <c r="B3919" s="22" t="s">
        <v>5603</v>
      </c>
      <c r="C3919" s="18" t="s">
        <v>5606</v>
      </c>
      <c r="D3919" s="19" t="s">
        <v>5605</v>
      </c>
      <c r="E3919" s="18" t="s">
        <v>4624</v>
      </c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</row>
    <row r="3920">
      <c r="A3920" s="16"/>
      <c r="B3920" s="19"/>
      <c r="C3920" s="18"/>
      <c r="D3920" s="19"/>
      <c r="E3920" s="173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</row>
    <row r="3921">
      <c r="A3921" s="16"/>
      <c r="B3921" s="19"/>
      <c r="C3921" s="18"/>
      <c r="D3921" s="19"/>
      <c r="E3921" s="173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</row>
    <row r="3922">
      <c r="A3922" s="16" t="s">
        <v>5607</v>
      </c>
      <c r="B3922" s="22" t="s">
        <v>5608</v>
      </c>
      <c r="C3922" s="18" t="s">
        <v>5609</v>
      </c>
      <c r="D3922" s="19" t="s">
        <v>5610</v>
      </c>
      <c r="E3922" s="9" t="s">
        <v>764</v>
      </c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</row>
    <row r="3923">
      <c r="A3923" s="16" t="s">
        <v>5607</v>
      </c>
      <c r="B3923" s="22" t="s">
        <v>5608</v>
      </c>
      <c r="C3923" s="18" t="s">
        <v>5609</v>
      </c>
      <c r="D3923" s="19" t="s">
        <v>5611</v>
      </c>
      <c r="E3923" s="9" t="s">
        <v>764</v>
      </c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</row>
    <row r="3924">
      <c r="A3924" s="16" t="s">
        <v>5607</v>
      </c>
      <c r="B3924" s="22" t="s">
        <v>5608</v>
      </c>
      <c r="C3924" s="18" t="s">
        <v>5612</v>
      </c>
      <c r="D3924" s="19" t="s">
        <v>5613</v>
      </c>
      <c r="E3924" s="9" t="s">
        <v>764</v>
      </c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</row>
    <row r="3925">
      <c r="A3925" s="16" t="s">
        <v>5607</v>
      </c>
      <c r="B3925" s="22" t="s">
        <v>5608</v>
      </c>
      <c r="C3925" s="18" t="s">
        <v>5614</v>
      </c>
      <c r="D3925" s="19" t="s">
        <v>5615</v>
      </c>
      <c r="E3925" s="9" t="s">
        <v>764</v>
      </c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</row>
    <row r="3926">
      <c r="A3926" s="16" t="s">
        <v>5607</v>
      </c>
      <c r="B3926" s="22" t="s">
        <v>5608</v>
      </c>
      <c r="C3926" s="18" t="s">
        <v>5612</v>
      </c>
      <c r="D3926" s="19" t="s">
        <v>5616</v>
      </c>
      <c r="E3926" s="9" t="s">
        <v>764</v>
      </c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</row>
    <row r="3927">
      <c r="A3927" s="16" t="s">
        <v>5607</v>
      </c>
      <c r="B3927" s="22" t="s">
        <v>5617</v>
      </c>
      <c r="C3927" s="18" t="s">
        <v>5618</v>
      </c>
      <c r="D3927" s="19" t="s">
        <v>717</v>
      </c>
      <c r="E3927" s="9" t="s">
        <v>764</v>
      </c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</row>
    <row r="3928">
      <c r="A3928" s="16" t="s">
        <v>5607</v>
      </c>
      <c r="B3928" s="22" t="s">
        <v>5617</v>
      </c>
      <c r="C3928" s="18" t="s">
        <v>5618</v>
      </c>
      <c r="D3928" s="19" t="s">
        <v>5619</v>
      </c>
      <c r="E3928" s="9" t="s">
        <v>764</v>
      </c>
      <c r="F3928" s="9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</row>
    <row r="3929">
      <c r="A3929" s="16" t="s">
        <v>5607</v>
      </c>
      <c r="B3929" s="22" t="s">
        <v>5617</v>
      </c>
      <c r="C3929" s="18" t="s">
        <v>5618</v>
      </c>
      <c r="D3929" s="19" t="s">
        <v>5620</v>
      </c>
      <c r="E3929" s="9" t="s">
        <v>764</v>
      </c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</row>
    <row r="3930">
      <c r="A3930" s="16" t="s">
        <v>5607</v>
      </c>
      <c r="B3930" s="22" t="s">
        <v>5617</v>
      </c>
      <c r="C3930" s="18" t="s">
        <v>5618</v>
      </c>
      <c r="D3930" s="19" t="s">
        <v>5620</v>
      </c>
      <c r="E3930" s="9" t="s">
        <v>764</v>
      </c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</row>
    <row r="3931">
      <c r="A3931" s="16" t="s">
        <v>5607</v>
      </c>
      <c r="B3931" s="22" t="s">
        <v>5617</v>
      </c>
      <c r="C3931" s="18" t="s">
        <v>5618</v>
      </c>
      <c r="D3931" s="19" t="s">
        <v>5621</v>
      </c>
      <c r="E3931" s="9" t="s">
        <v>764</v>
      </c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</row>
    <row r="3932">
      <c r="A3932" s="16" t="s">
        <v>5607</v>
      </c>
      <c r="B3932" s="22" t="s">
        <v>5617</v>
      </c>
      <c r="C3932" s="18" t="s">
        <v>5618</v>
      </c>
      <c r="D3932" s="19" t="s">
        <v>5622</v>
      </c>
      <c r="E3932" s="9" t="s">
        <v>764</v>
      </c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</row>
    <row r="3933">
      <c r="A3933" s="16" t="s">
        <v>5607</v>
      </c>
      <c r="B3933" s="22" t="s">
        <v>5329</v>
      </c>
      <c r="C3933" s="18" t="s">
        <v>5527</v>
      </c>
      <c r="D3933" s="19" t="s">
        <v>5525</v>
      </c>
      <c r="E3933" s="9" t="s">
        <v>130</v>
      </c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</row>
    <row r="3934">
      <c r="A3934" s="16" t="s">
        <v>5607</v>
      </c>
      <c r="B3934" s="22" t="s">
        <v>5623</v>
      </c>
      <c r="C3934" s="18" t="s">
        <v>5624</v>
      </c>
      <c r="D3934" s="19" t="s">
        <v>5625</v>
      </c>
      <c r="E3934" s="20" t="s">
        <v>7</v>
      </c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</row>
    <row r="3935">
      <c r="A3935" s="16"/>
      <c r="B3935" s="19"/>
      <c r="C3935" s="18"/>
      <c r="D3935" s="19"/>
      <c r="E3935" s="173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</row>
    <row r="3936">
      <c r="A3936" s="16"/>
      <c r="B3936" s="19"/>
      <c r="C3936" s="18"/>
      <c r="D3936" s="19"/>
      <c r="E3936" s="173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</row>
    <row r="3937">
      <c r="A3937" s="16" t="s">
        <v>5626</v>
      </c>
      <c r="B3937" s="22" t="s">
        <v>5627</v>
      </c>
      <c r="C3937" s="18" t="s">
        <v>3549</v>
      </c>
      <c r="D3937" s="19" t="s">
        <v>5628</v>
      </c>
      <c r="E3937" s="18" t="s">
        <v>309</v>
      </c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</row>
    <row r="3938">
      <c r="A3938" s="16" t="s">
        <v>5626</v>
      </c>
      <c r="B3938" s="22" t="s">
        <v>5596</v>
      </c>
      <c r="C3938" s="18" t="s">
        <v>5629</v>
      </c>
      <c r="D3938" s="19" t="s">
        <v>3022</v>
      </c>
      <c r="E3938" s="9" t="s">
        <v>764</v>
      </c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</row>
    <row r="3939">
      <c r="A3939" s="16" t="s">
        <v>5626</v>
      </c>
      <c r="B3939" s="22" t="s">
        <v>5596</v>
      </c>
      <c r="C3939" s="18" t="s">
        <v>2474</v>
      </c>
      <c r="D3939" s="19" t="s">
        <v>5630</v>
      </c>
      <c r="E3939" s="9" t="s">
        <v>764</v>
      </c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</row>
    <row r="3940">
      <c r="A3940" s="16" t="s">
        <v>5626</v>
      </c>
      <c r="B3940" s="22" t="s">
        <v>5631</v>
      </c>
      <c r="C3940" s="18" t="s">
        <v>4235</v>
      </c>
      <c r="D3940" s="19" t="s">
        <v>5632</v>
      </c>
      <c r="E3940" s="9" t="s">
        <v>764</v>
      </c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</row>
    <row r="3941">
      <c r="A3941" s="16" t="s">
        <v>5626</v>
      </c>
      <c r="B3941" s="22" t="s">
        <v>5631</v>
      </c>
      <c r="C3941" s="18" t="s">
        <v>4900</v>
      </c>
      <c r="D3941" s="19" t="s">
        <v>5633</v>
      </c>
      <c r="E3941" s="9" t="s">
        <v>764</v>
      </c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</row>
    <row r="3942">
      <c r="A3942" s="16"/>
      <c r="B3942" s="19"/>
      <c r="C3942" s="18"/>
      <c r="D3942" s="19"/>
      <c r="E3942" s="173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</row>
    <row r="3943">
      <c r="A3943" s="16"/>
      <c r="B3943" s="19"/>
      <c r="C3943" s="18"/>
      <c r="D3943" s="19"/>
      <c r="E3943" s="173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</row>
    <row r="3944">
      <c r="A3944" s="16" t="s">
        <v>5634</v>
      </c>
      <c r="B3944" s="22" t="s">
        <v>5635</v>
      </c>
      <c r="C3944" s="18" t="s">
        <v>5636</v>
      </c>
      <c r="D3944" s="18" t="s">
        <v>5637</v>
      </c>
      <c r="E3944" s="19" t="s">
        <v>764</v>
      </c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</row>
    <row r="3945">
      <c r="A3945" s="16" t="s">
        <v>5634</v>
      </c>
      <c r="B3945" s="22" t="s">
        <v>5638</v>
      </c>
      <c r="C3945" s="18" t="s">
        <v>5639</v>
      </c>
      <c r="D3945" s="19" t="s">
        <v>5640</v>
      </c>
      <c r="E3945" s="19" t="s">
        <v>764</v>
      </c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</row>
    <row r="3946">
      <c r="A3946" s="16" t="s">
        <v>5634</v>
      </c>
      <c r="B3946" s="22" t="s">
        <v>5638</v>
      </c>
      <c r="C3946" s="18" t="s">
        <v>5641</v>
      </c>
      <c r="D3946" s="19" t="s">
        <v>845</v>
      </c>
      <c r="E3946" s="19" t="s">
        <v>764</v>
      </c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</row>
    <row r="3947">
      <c r="A3947" s="16" t="s">
        <v>5634</v>
      </c>
      <c r="B3947" s="22" t="s">
        <v>5642</v>
      </c>
      <c r="C3947" s="18" t="s">
        <v>5643</v>
      </c>
      <c r="D3947" s="19" t="s">
        <v>5644</v>
      </c>
      <c r="E3947" s="19" t="s">
        <v>229</v>
      </c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</row>
    <row r="3948">
      <c r="A3948" s="16" t="s">
        <v>5634</v>
      </c>
      <c r="B3948" s="22" t="s">
        <v>5645</v>
      </c>
      <c r="C3948" s="18" t="s">
        <v>5646</v>
      </c>
      <c r="D3948" s="19" t="s">
        <v>5647</v>
      </c>
      <c r="E3948" s="18" t="s">
        <v>4624</v>
      </c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</row>
    <row r="3949">
      <c r="A3949" s="16" t="s">
        <v>5634</v>
      </c>
      <c r="B3949" s="22" t="s">
        <v>5645</v>
      </c>
      <c r="C3949" s="18" t="s">
        <v>5303</v>
      </c>
      <c r="D3949" s="19" t="s">
        <v>903</v>
      </c>
      <c r="E3949" s="18" t="s">
        <v>4624</v>
      </c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</row>
    <row r="3950">
      <c r="A3950" s="16" t="s">
        <v>5634</v>
      </c>
      <c r="B3950" s="22" t="s">
        <v>5645</v>
      </c>
      <c r="C3950" s="18" t="s">
        <v>5303</v>
      </c>
      <c r="D3950" s="19" t="s">
        <v>5648</v>
      </c>
      <c r="E3950" s="18" t="s">
        <v>4624</v>
      </c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</row>
    <row r="3951">
      <c r="A3951" s="16" t="s">
        <v>5634</v>
      </c>
      <c r="B3951" s="22" t="s">
        <v>5645</v>
      </c>
      <c r="C3951" s="18" t="s">
        <v>5303</v>
      </c>
      <c r="D3951" s="19" t="s">
        <v>5649</v>
      </c>
      <c r="E3951" s="18" t="s">
        <v>4624</v>
      </c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</row>
    <row r="3952">
      <c r="A3952" s="16" t="s">
        <v>5634</v>
      </c>
      <c r="B3952" s="22" t="s">
        <v>5650</v>
      </c>
      <c r="C3952" s="18" t="s">
        <v>5651</v>
      </c>
      <c r="D3952" s="19" t="s">
        <v>5652</v>
      </c>
      <c r="E3952" s="18" t="s">
        <v>4624</v>
      </c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</row>
    <row r="3953">
      <c r="A3953" s="16" t="s">
        <v>5634</v>
      </c>
      <c r="B3953" s="22" t="s">
        <v>5650</v>
      </c>
      <c r="C3953" s="18" t="s">
        <v>5651</v>
      </c>
      <c r="D3953" s="19" t="s">
        <v>5653</v>
      </c>
      <c r="E3953" s="18" t="s">
        <v>4624</v>
      </c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</row>
    <row r="3954">
      <c r="A3954" s="16" t="s">
        <v>5634</v>
      </c>
      <c r="B3954" s="22" t="s">
        <v>5650</v>
      </c>
      <c r="C3954" s="18" t="s">
        <v>5654</v>
      </c>
      <c r="D3954" s="19" t="s">
        <v>5655</v>
      </c>
      <c r="E3954" s="18" t="s">
        <v>4624</v>
      </c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</row>
    <row r="3955">
      <c r="A3955" s="16" t="s">
        <v>5634</v>
      </c>
      <c r="B3955" s="22" t="s">
        <v>5650</v>
      </c>
      <c r="C3955" s="18" t="s">
        <v>5656</v>
      </c>
      <c r="D3955" s="19" t="s">
        <v>5657</v>
      </c>
      <c r="E3955" s="18" t="s">
        <v>4624</v>
      </c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</row>
    <row r="3956">
      <c r="A3956" s="16" t="s">
        <v>5634</v>
      </c>
      <c r="B3956" s="22" t="s">
        <v>5650</v>
      </c>
      <c r="C3956" s="18" t="s">
        <v>5658</v>
      </c>
      <c r="D3956" s="19" t="s">
        <v>5659</v>
      </c>
      <c r="E3956" s="18" t="s">
        <v>4624</v>
      </c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</row>
    <row r="3957">
      <c r="A3957" s="16" t="s">
        <v>5634</v>
      </c>
      <c r="B3957" s="22" t="s">
        <v>5660</v>
      </c>
      <c r="C3957" s="18" t="s">
        <v>5661</v>
      </c>
      <c r="D3957" s="19" t="s">
        <v>5662</v>
      </c>
      <c r="E3957" s="19" t="s">
        <v>229</v>
      </c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</row>
    <row r="3958">
      <c r="A3958" s="16"/>
      <c r="B3958" s="19"/>
      <c r="C3958" s="18"/>
      <c r="D3958" s="19"/>
      <c r="E3958" s="173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</row>
    <row r="3959">
      <c r="A3959" s="16"/>
      <c r="B3959" s="19"/>
      <c r="C3959" s="18"/>
      <c r="D3959" s="19"/>
      <c r="E3959" s="173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</row>
    <row r="3960">
      <c r="A3960" s="16" t="s">
        <v>5663</v>
      </c>
      <c r="B3960" s="22" t="s">
        <v>5664</v>
      </c>
      <c r="C3960" s="18" t="s">
        <v>5665</v>
      </c>
      <c r="D3960" s="19" t="s">
        <v>5666</v>
      </c>
      <c r="E3960" s="23" t="s">
        <v>4638</v>
      </c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</row>
    <row r="3961">
      <c r="A3961" s="16" t="s">
        <v>5663</v>
      </c>
      <c r="B3961" s="22" t="s">
        <v>5664</v>
      </c>
      <c r="C3961" s="18" t="s">
        <v>5667</v>
      </c>
      <c r="D3961" s="19" t="s">
        <v>1811</v>
      </c>
      <c r="E3961" s="23" t="s">
        <v>4638</v>
      </c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</row>
    <row r="3962">
      <c r="A3962" s="16" t="s">
        <v>5663</v>
      </c>
      <c r="B3962" s="22" t="s">
        <v>5664</v>
      </c>
      <c r="C3962" s="18" t="s">
        <v>5668</v>
      </c>
      <c r="D3962" s="19" t="s">
        <v>5669</v>
      </c>
      <c r="E3962" s="23" t="s">
        <v>4638</v>
      </c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</row>
    <row r="3963">
      <c r="A3963" s="16"/>
      <c r="B3963" s="19"/>
      <c r="C3963" s="18"/>
      <c r="D3963" s="19"/>
      <c r="E3963" s="173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</row>
    <row r="3964">
      <c r="A3964" s="16"/>
      <c r="B3964" s="19"/>
      <c r="C3964" s="18"/>
      <c r="D3964" s="19"/>
      <c r="E3964" s="173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</row>
    <row r="3965">
      <c r="A3965" s="16" t="s">
        <v>5670</v>
      </c>
      <c r="B3965" s="22" t="s">
        <v>5671</v>
      </c>
      <c r="C3965" s="18" t="s">
        <v>5672</v>
      </c>
      <c r="D3965" s="19" t="s">
        <v>5673</v>
      </c>
      <c r="E3965" s="20" t="s">
        <v>7</v>
      </c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</row>
    <row r="3966">
      <c r="A3966" s="16" t="s">
        <v>5670</v>
      </c>
      <c r="B3966" s="22" t="s">
        <v>5671</v>
      </c>
      <c r="C3966" s="18" t="s">
        <v>5674</v>
      </c>
      <c r="D3966" s="19" t="s">
        <v>5673</v>
      </c>
      <c r="E3966" s="20" t="s">
        <v>7</v>
      </c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</row>
    <row r="3967">
      <c r="A3967" s="16" t="s">
        <v>5670</v>
      </c>
      <c r="B3967" s="22" t="s">
        <v>5671</v>
      </c>
      <c r="C3967" s="18" t="s">
        <v>5675</v>
      </c>
      <c r="D3967" s="19" t="s">
        <v>5673</v>
      </c>
      <c r="E3967" s="20" t="s">
        <v>7</v>
      </c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</row>
    <row r="3968">
      <c r="A3968" s="16" t="s">
        <v>5670</v>
      </c>
      <c r="B3968" s="22" t="s">
        <v>5671</v>
      </c>
      <c r="C3968" s="18" t="s">
        <v>5675</v>
      </c>
      <c r="D3968" s="19" t="s">
        <v>5673</v>
      </c>
      <c r="E3968" s="20" t="s">
        <v>7</v>
      </c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</row>
    <row r="3969">
      <c r="A3969" s="16" t="s">
        <v>5670</v>
      </c>
      <c r="B3969" s="22" t="s">
        <v>5383</v>
      </c>
      <c r="C3969" s="18" t="s">
        <v>5363</v>
      </c>
      <c r="D3969" s="19" t="s">
        <v>5676</v>
      </c>
      <c r="E3969" s="9" t="s">
        <v>5365</v>
      </c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</row>
    <row r="3970">
      <c r="A3970" s="16" t="s">
        <v>5670</v>
      </c>
      <c r="B3970" s="22" t="s">
        <v>5383</v>
      </c>
      <c r="C3970" s="18" t="s">
        <v>5363</v>
      </c>
      <c r="D3970" s="19" t="s">
        <v>5677</v>
      </c>
      <c r="E3970" s="9" t="s">
        <v>5365</v>
      </c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</row>
    <row r="3971">
      <c r="A3971" s="16" t="s">
        <v>5670</v>
      </c>
      <c r="B3971" s="22" t="s">
        <v>5383</v>
      </c>
      <c r="C3971" s="18" t="s">
        <v>5678</v>
      </c>
      <c r="D3971" s="19" t="s">
        <v>5679</v>
      </c>
      <c r="E3971" s="9" t="s">
        <v>4493</v>
      </c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</row>
    <row r="3972">
      <c r="A3972" s="16" t="s">
        <v>5670</v>
      </c>
      <c r="B3972" s="22" t="s">
        <v>5383</v>
      </c>
      <c r="C3972" s="18" t="s">
        <v>5363</v>
      </c>
      <c r="D3972" s="19" t="s">
        <v>2185</v>
      </c>
      <c r="E3972" s="9" t="s">
        <v>764</v>
      </c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</row>
    <row r="3973">
      <c r="A3973" s="16" t="s">
        <v>5670</v>
      </c>
      <c r="B3973" s="22" t="s">
        <v>5383</v>
      </c>
      <c r="C3973" s="18" t="s">
        <v>5680</v>
      </c>
      <c r="D3973" s="19" t="s">
        <v>5681</v>
      </c>
      <c r="E3973" s="18" t="s">
        <v>309</v>
      </c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</row>
    <row r="3974">
      <c r="A3974" s="16" t="s">
        <v>5670</v>
      </c>
      <c r="B3974" s="19" t="s">
        <v>5682</v>
      </c>
      <c r="C3974" s="18" t="s">
        <v>5683</v>
      </c>
      <c r="D3974" s="19" t="s">
        <v>5684</v>
      </c>
      <c r="E3974" s="9" t="s">
        <v>229</v>
      </c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</row>
    <row r="3975">
      <c r="A3975" s="16" t="s">
        <v>5670</v>
      </c>
      <c r="B3975" s="19" t="s">
        <v>5685</v>
      </c>
      <c r="C3975" s="18" t="s">
        <v>5363</v>
      </c>
      <c r="D3975" s="19" t="s">
        <v>5686</v>
      </c>
      <c r="E3975" s="20" t="s">
        <v>7</v>
      </c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</row>
    <row r="3976">
      <c r="A3976" s="16"/>
      <c r="B3976" s="19"/>
      <c r="C3976" s="18"/>
      <c r="D3976" s="19"/>
      <c r="E3976" s="173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</row>
    <row r="3977">
      <c r="A3977" s="16"/>
      <c r="B3977" s="19"/>
      <c r="C3977" s="18"/>
      <c r="D3977" s="19"/>
      <c r="E3977" s="173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</row>
    <row r="3978">
      <c r="A3978" s="16" t="s">
        <v>5687</v>
      </c>
      <c r="B3978" s="22" t="s">
        <v>5688</v>
      </c>
      <c r="C3978" s="18" t="s">
        <v>5675</v>
      </c>
      <c r="D3978" s="19" t="s">
        <v>5673</v>
      </c>
      <c r="E3978" s="20" t="s">
        <v>7</v>
      </c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</row>
    <row r="3979">
      <c r="A3979" s="16" t="s">
        <v>5687</v>
      </c>
      <c r="B3979" s="22" t="s">
        <v>5688</v>
      </c>
      <c r="C3979" s="18" t="s">
        <v>5675</v>
      </c>
      <c r="D3979" s="19" t="s">
        <v>5673</v>
      </c>
      <c r="E3979" s="20" t="s">
        <v>7</v>
      </c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</row>
    <row r="3980">
      <c r="A3980" s="16" t="s">
        <v>5687</v>
      </c>
      <c r="B3980" s="22" t="s">
        <v>5688</v>
      </c>
      <c r="C3980" s="18" t="s">
        <v>5689</v>
      </c>
      <c r="D3980" s="19" t="s">
        <v>5673</v>
      </c>
      <c r="E3980" s="20" t="s">
        <v>7</v>
      </c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</row>
    <row r="3981">
      <c r="A3981" s="16" t="s">
        <v>5687</v>
      </c>
      <c r="B3981" s="22" t="s">
        <v>5688</v>
      </c>
      <c r="C3981" s="18" t="s">
        <v>5675</v>
      </c>
      <c r="D3981" s="19" t="s">
        <v>5673</v>
      </c>
      <c r="E3981" s="20" t="s">
        <v>7</v>
      </c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</row>
    <row r="3982">
      <c r="A3982" s="16" t="s">
        <v>5687</v>
      </c>
      <c r="B3982" s="22" t="s">
        <v>5383</v>
      </c>
      <c r="C3982" s="18" t="s">
        <v>5690</v>
      </c>
      <c r="D3982" s="19" t="s">
        <v>5691</v>
      </c>
      <c r="E3982" s="18" t="s">
        <v>4624</v>
      </c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</row>
    <row r="3983">
      <c r="A3983" s="16" t="s">
        <v>5687</v>
      </c>
      <c r="B3983" s="22" t="s">
        <v>5383</v>
      </c>
      <c r="C3983" s="18" t="s">
        <v>5363</v>
      </c>
      <c r="D3983" s="19" t="s">
        <v>5692</v>
      </c>
      <c r="E3983" s="18" t="s">
        <v>4624</v>
      </c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</row>
    <row r="3984">
      <c r="A3984" s="16" t="s">
        <v>5687</v>
      </c>
      <c r="B3984" s="22" t="s">
        <v>5383</v>
      </c>
      <c r="C3984" s="18" t="s">
        <v>5363</v>
      </c>
      <c r="D3984" s="19" t="s">
        <v>5693</v>
      </c>
      <c r="E3984" s="18" t="s">
        <v>4624</v>
      </c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</row>
    <row r="3985">
      <c r="A3985" s="16" t="s">
        <v>5687</v>
      </c>
      <c r="B3985" s="22" t="s">
        <v>5383</v>
      </c>
      <c r="C3985" s="18" t="s">
        <v>5680</v>
      </c>
      <c r="D3985" s="19" t="s">
        <v>5681</v>
      </c>
      <c r="E3985" s="18" t="s">
        <v>309</v>
      </c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</row>
    <row r="3986">
      <c r="A3986" s="16"/>
      <c r="B3986" s="19"/>
      <c r="C3986" s="18"/>
      <c r="D3986" s="19"/>
      <c r="E3986" s="173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</row>
    <row r="3987">
      <c r="A3987" s="16"/>
      <c r="B3987" s="19"/>
      <c r="C3987" s="18"/>
      <c r="D3987" s="19"/>
      <c r="E3987" s="173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</row>
    <row r="3988">
      <c r="A3988" s="16" t="s">
        <v>5694</v>
      </c>
      <c r="B3988" s="19" t="s">
        <v>5695</v>
      </c>
      <c r="C3988" s="18" t="s">
        <v>5696</v>
      </c>
      <c r="D3988" s="19" t="s">
        <v>5697</v>
      </c>
      <c r="E3988" s="23" t="s">
        <v>5698</v>
      </c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</row>
    <row r="3989">
      <c r="A3989" s="16" t="s">
        <v>5694</v>
      </c>
      <c r="B3989" s="22" t="s">
        <v>5688</v>
      </c>
      <c r="C3989" s="19" t="s">
        <v>5675</v>
      </c>
      <c r="D3989" s="19" t="s">
        <v>5673</v>
      </c>
      <c r="E3989" s="23" t="s">
        <v>5699</v>
      </c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</row>
    <row r="3990">
      <c r="A3990" s="16" t="s">
        <v>5694</v>
      </c>
      <c r="B3990" s="22" t="s">
        <v>5688</v>
      </c>
      <c r="C3990" s="19" t="s">
        <v>5675</v>
      </c>
      <c r="D3990" s="19" t="s">
        <v>5673</v>
      </c>
      <c r="E3990" s="23" t="s">
        <v>5699</v>
      </c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</row>
    <row r="3991">
      <c r="A3991" s="16" t="s">
        <v>5694</v>
      </c>
      <c r="B3991" s="22" t="s">
        <v>5688</v>
      </c>
      <c r="C3991" s="19" t="s">
        <v>5675</v>
      </c>
      <c r="D3991" s="19" t="s">
        <v>5673</v>
      </c>
      <c r="E3991" s="23" t="s">
        <v>5699</v>
      </c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</row>
    <row r="3992">
      <c r="A3992" s="16" t="s">
        <v>5694</v>
      </c>
      <c r="B3992" s="22" t="s">
        <v>5700</v>
      </c>
      <c r="C3992" s="18" t="s">
        <v>5701</v>
      </c>
      <c r="D3992" s="18" t="s">
        <v>5702</v>
      </c>
      <c r="E3992" s="23" t="s">
        <v>14</v>
      </c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</row>
    <row r="3993">
      <c r="A3993" s="16" t="s">
        <v>5694</v>
      </c>
      <c r="B3993" s="22" t="s">
        <v>5703</v>
      </c>
      <c r="C3993" s="18" t="s">
        <v>4580</v>
      </c>
      <c r="D3993" s="18" t="s">
        <v>5704</v>
      </c>
      <c r="E3993" s="18" t="s">
        <v>5705</v>
      </c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</row>
    <row r="3994">
      <c r="A3994" s="16" t="s">
        <v>5694</v>
      </c>
      <c r="B3994" s="22" t="s">
        <v>5703</v>
      </c>
      <c r="C3994" s="18" t="s">
        <v>4580</v>
      </c>
      <c r="D3994" s="18" t="s">
        <v>5706</v>
      </c>
      <c r="E3994" s="18" t="s">
        <v>5705</v>
      </c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</row>
    <row r="3995">
      <c r="A3995" s="16" t="s">
        <v>5694</v>
      </c>
      <c r="B3995" s="22" t="s">
        <v>5703</v>
      </c>
      <c r="C3995" s="18" t="s">
        <v>4580</v>
      </c>
      <c r="D3995" s="18" t="s">
        <v>5707</v>
      </c>
      <c r="E3995" s="18" t="s">
        <v>5705</v>
      </c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</row>
    <row r="3996">
      <c r="A3996" s="16"/>
      <c r="B3996" s="19"/>
      <c r="C3996" s="18"/>
      <c r="D3996" s="19"/>
      <c r="E3996" s="173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</row>
    <row r="3997">
      <c r="A3997" s="16"/>
      <c r="B3997" s="19"/>
      <c r="C3997" s="18"/>
      <c r="D3997" s="19"/>
      <c r="E3997" s="173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</row>
    <row r="3998">
      <c r="A3998" s="16" t="s">
        <v>5708</v>
      </c>
      <c r="B3998" s="22" t="s">
        <v>5709</v>
      </c>
      <c r="C3998" s="23" t="s">
        <v>5710</v>
      </c>
      <c r="D3998" s="23" t="s">
        <v>5711</v>
      </c>
      <c r="E3998" s="9" t="s">
        <v>764</v>
      </c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</row>
    <row r="3999">
      <c r="A3999" s="16" t="s">
        <v>5708</v>
      </c>
      <c r="B3999" s="22" t="s">
        <v>5703</v>
      </c>
      <c r="C3999" s="18" t="s">
        <v>5712</v>
      </c>
      <c r="D3999" s="19" t="s">
        <v>2779</v>
      </c>
      <c r="E3999" s="18" t="s">
        <v>309</v>
      </c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</row>
    <row r="4000">
      <c r="A4000" s="16" t="s">
        <v>5708</v>
      </c>
      <c r="B4000" s="22" t="s">
        <v>5703</v>
      </c>
      <c r="C4000" s="18" t="s">
        <v>675</v>
      </c>
      <c r="D4000" s="19" t="s">
        <v>5713</v>
      </c>
      <c r="E4000" s="9" t="s">
        <v>764</v>
      </c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</row>
    <row r="4001">
      <c r="A4001" s="16" t="s">
        <v>5708</v>
      </c>
      <c r="B4001" s="22" t="s">
        <v>5703</v>
      </c>
      <c r="C4001" s="18" t="s">
        <v>4580</v>
      </c>
      <c r="D4001" s="19" t="s">
        <v>5707</v>
      </c>
      <c r="E4001" s="18" t="s">
        <v>5705</v>
      </c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</row>
    <row r="4002">
      <c r="A4002" s="16" t="s">
        <v>5708</v>
      </c>
      <c r="B4002" s="22" t="s">
        <v>5703</v>
      </c>
      <c r="C4002" s="18" t="s">
        <v>4580</v>
      </c>
      <c r="D4002" s="19" t="s">
        <v>5706</v>
      </c>
      <c r="E4002" s="18" t="s">
        <v>5705</v>
      </c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</row>
    <row r="4003">
      <c r="A4003" s="16" t="s">
        <v>5708</v>
      </c>
      <c r="B4003" s="22" t="s">
        <v>5703</v>
      </c>
      <c r="C4003" s="18" t="s">
        <v>4580</v>
      </c>
      <c r="D4003" s="19" t="s">
        <v>5704</v>
      </c>
      <c r="E4003" s="18" t="s">
        <v>5705</v>
      </c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</row>
    <row r="4004">
      <c r="A4004" s="16" t="s">
        <v>5708</v>
      </c>
      <c r="B4004" s="22" t="s">
        <v>5714</v>
      </c>
      <c r="C4004" s="18" t="s">
        <v>5715</v>
      </c>
      <c r="D4004" s="19" t="s">
        <v>3505</v>
      </c>
      <c r="E4004" s="9" t="s">
        <v>229</v>
      </c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</row>
    <row r="4005">
      <c r="A4005" s="16" t="s">
        <v>5708</v>
      </c>
      <c r="B4005" s="22" t="s">
        <v>5671</v>
      </c>
      <c r="C4005" s="18" t="s">
        <v>5675</v>
      </c>
      <c r="D4005" s="18" t="s">
        <v>5673</v>
      </c>
      <c r="E4005" s="23" t="s">
        <v>5699</v>
      </c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</row>
    <row r="4006">
      <c r="A4006" s="16" t="s">
        <v>5708</v>
      </c>
      <c r="B4006" s="22" t="s">
        <v>5716</v>
      </c>
      <c r="C4006" s="18" t="s">
        <v>5717</v>
      </c>
      <c r="D4006" s="19" t="s">
        <v>5718</v>
      </c>
      <c r="E4006" s="9" t="s">
        <v>229</v>
      </c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</row>
    <row r="4007">
      <c r="A4007" s="16" t="s">
        <v>5708</v>
      </c>
      <c r="B4007" s="22" t="s">
        <v>5719</v>
      </c>
      <c r="C4007" s="18" t="s">
        <v>1825</v>
      </c>
      <c r="D4007" s="18" t="s">
        <v>5720</v>
      </c>
      <c r="E4007" s="9" t="s">
        <v>229</v>
      </c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</row>
    <row r="4008">
      <c r="A4008" s="16" t="s">
        <v>5708</v>
      </c>
      <c r="B4008" s="19" t="s">
        <v>5721</v>
      </c>
      <c r="C4008" s="18" t="s">
        <v>5722</v>
      </c>
      <c r="D4008" s="18" t="s">
        <v>5723</v>
      </c>
      <c r="E4008" s="18" t="s">
        <v>309</v>
      </c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</row>
    <row r="4009">
      <c r="A4009" s="16" t="s">
        <v>5708</v>
      </c>
      <c r="B4009" s="19" t="s">
        <v>5724</v>
      </c>
      <c r="C4009" s="18" t="s">
        <v>5715</v>
      </c>
      <c r="D4009" s="19" t="s">
        <v>5725</v>
      </c>
      <c r="E4009" s="18" t="s">
        <v>309</v>
      </c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</row>
    <row r="4010">
      <c r="A4010" s="150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</row>
    <row r="4011">
      <c r="A4011" s="150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</row>
    <row r="4012">
      <c r="A4012" s="16" t="s">
        <v>5726</v>
      </c>
      <c r="B4012" s="22" t="s">
        <v>5727</v>
      </c>
      <c r="C4012" s="18" t="s">
        <v>5728</v>
      </c>
      <c r="D4012" s="19" t="s">
        <v>5729</v>
      </c>
      <c r="E4012" s="9" t="s">
        <v>14</v>
      </c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</row>
    <row r="4013">
      <c r="A4013" s="150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</row>
    <row r="4014">
      <c r="A4014" s="150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</row>
    <row r="4015">
      <c r="A4015" s="16" t="s">
        <v>5730</v>
      </c>
      <c r="B4015" s="22" t="s">
        <v>5731</v>
      </c>
      <c r="C4015" s="18" t="s">
        <v>5732</v>
      </c>
      <c r="D4015" s="18" t="s">
        <v>5733</v>
      </c>
      <c r="E4015" s="9" t="s">
        <v>14</v>
      </c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</row>
    <row r="4016">
      <c r="A4016" s="16" t="s">
        <v>5730</v>
      </c>
      <c r="B4016" s="22" t="s">
        <v>5492</v>
      </c>
      <c r="C4016" s="18" t="s">
        <v>5571</v>
      </c>
      <c r="D4016" s="18" t="s">
        <v>5734</v>
      </c>
      <c r="E4016" s="18" t="s">
        <v>4624</v>
      </c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</row>
    <row r="4017">
      <c r="A4017" s="16" t="s">
        <v>5730</v>
      </c>
      <c r="B4017" s="22" t="s">
        <v>5492</v>
      </c>
      <c r="C4017" s="18" t="s">
        <v>5571</v>
      </c>
      <c r="D4017" s="18" t="s">
        <v>5735</v>
      </c>
      <c r="E4017" s="18" t="s">
        <v>4624</v>
      </c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</row>
    <row r="4018">
      <c r="A4018" s="16" t="s">
        <v>5730</v>
      </c>
      <c r="B4018" s="19" t="s">
        <v>5736</v>
      </c>
      <c r="C4018" s="23" t="s">
        <v>5675</v>
      </c>
      <c r="D4018" s="23" t="s">
        <v>5673</v>
      </c>
      <c r="E4018" s="20" t="s">
        <v>7</v>
      </c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</row>
    <row r="4019">
      <c r="A4019" s="150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</row>
    <row r="4020">
      <c r="A4020" s="150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</row>
    <row r="4021">
      <c r="A4021" s="16" t="s">
        <v>5737</v>
      </c>
      <c r="B4021" s="22" t="s">
        <v>5738</v>
      </c>
      <c r="C4021" s="18" t="s">
        <v>1163</v>
      </c>
      <c r="D4021" s="18" t="s">
        <v>5739</v>
      </c>
      <c r="E4021" s="9" t="s">
        <v>14</v>
      </c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</row>
    <row r="4022">
      <c r="A4022" s="16"/>
      <c r="B4022" s="19"/>
      <c r="C4022" s="18"/>
      <c r="D4022" s="19"/>
      <c r="E4022" s="173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</row>
    <row r="4023">
      <c r="A4023" s="16"/>
      <c r="B4023" s="19"/>
      <c r="C4023" s="18"/>
      <c r="D4023" s="19"/>
      <c r="E4023" s="173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</row>
    <row r="4024">
      <c r="A4024" s="16" t="s">
        <v>5740</v>
      </c>
      <c r="B4024" s="22" t="s">
        <v>5671</v>
      </c>
      <c r="C4024" s="23" t="s">
        <v>5675</v>
      </c>
      <c r="D4024" s="23" t="s">
        <v>5673</v>
      </c>
      <c r="E4024" s="20" t="s">
        <v>7</v>
      </c>
      <c r="F4024" s="20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</row>
    <row r="4025">
      <c r="A4025" s="16"/>
      <c r="B4025" s="19"/>
      <c r="C4025" s="18"/>
      <c r="D4025" s="19"/>
      <c r="E4025" s="173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</row>
    <row r="4026">
      <c r="A4026" s="16"/>
      <c r="B4026" s="19"/>
      <c r="C4026" s="18"/>
      <c r="D4026" s="19"/>
      <c r="E4026" s="173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</row>
    <row r="4027">
      <c r="A4027" s="16" t="s">
        <v>5741</v>
      </c>
      <c r="B4027" s="22" t="s">
        <v>5671</v>
      </c>
      <c r="C4027" s="23" t="s">
        <v>5742</v>
      </c>
      <c r="D4027" s="23" t="s">
        <v>5673</v>
      </c>
      <c r="E4027" s="20" t="s">
        <v>7</v>
      </c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</row>
    <row r="4028">
      <c r="A4028" s="16" t="s">
        <v>5741</v>
      </c>
      <c r="B4028" s="22" t="s">
        <v>5671</v>
      </c>
      <c r="C4028" s="23" t="s">
        <v>5743</v>
      </c>
      <c r="D4028" s="23" t="s">
        <v>5744</v>
      </c>
      <c r="E4028" s="20" t="s">
        <v>7</v>
      </c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</row>
    <row r="4029">
      <c r="A4029" s="16" t="s">
        <v>5741</v>
      </c>
      <c r="B4029" s="22" t="s">
        <v>5671</v>
      </c>
      <c r="C4029" s="23" t="s">
        <v>5745</v>
      </c>
      <c r="D4029" s="23" t="s">
        <v>5744</v>
      </c>
      <c r="E4029" s="20" t="s">
        <v>7</v>
      </c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</row>
    <row r="4030">
      <c r="A4030" s="16" t="s">
        <v>5741</v>
      </c>
      <c r="B4030" s="22" t="s">
        <v>5671</v>
      </c>
      <c r="C4030" s="23" t="s">
        <v>5743</v>
      </c>
      <c r="D4030" s="23" t="s">
        <v>5746</v>
      </c>
      <c r="E4030" s="20" t="s">
        <v>7</v>
      </c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</row>
    <row r="4031">
      <c r="A4031" s="16" t="s">
        <v>5741</v>
      </c>
      <c r="B4031" s="22" t="s">
        <v>5671</v>
      </c>
      <c r="C4031" s="23" t="s">
        <v>5747</v>
      </c>
      <c r="D4031" s="23" t="s">
        <v>5746</v>
      </c>
      <c r="E4031" s="20" t="s">
        <v>7</v>
      </c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</row>
    <row r="4032">
      <c r="A4032" s="16" t="s">
        <v>5741</v>
      </c>
      <c r="B4032" s="22" t="s">
        <v>5671</v>
      </c>
      <c r="C4032" s="23" t="s">
        <v>5748</v>
      </c>
      <c r="D4032" s="23" t="s">
        <v>5746</v>
      </c>
      <c r="E4032" s="20" t="s">
        <v>7</v>
      </c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</row>
    <row r="4033">
      <c r="A4033" s="16" t="s">
        <v>5741</v>
      </c>
      <c r="B4033" s="22" t="s">
        <v>5671</v>
      </c>
      <c r="C4033" s="23" t="s">
        <v>5749</v>
      </c>
      <c r="D4033" s="23" t="s">
        <v>5750</v>
      </c>
      <c r="E4033" s="18" t="s">
        <v>309</v>
      </c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</row>
    <row r="4034">
      <c r="A4034" s="16" t="s">
        <v>5741</v>
      </c>
      <c r="B4034" s="22" t="s">
        <v>5751</v>
      </c>
      <c r="C4034" s="18" t="s">
        <v>5752</v>
      </c>
      <c r="D4034" s="18" t="s">
        <v>1590</v>
      </c>
      <c r="E4034" s="20" t="s">
        <v>7</v>
      </c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9"/>
    </row>
    <row r="4035">
      <c r="A4035" s="16" t="s">
        <v>5741</v>
      </c>
      <c r="B4035" s="22" t="s">
        <v>5751</v>
      </c>
      <c r="C4035" s="18" t="s">
        <v>5753</v>
      </c>
      <c r="D4035" s="18" t="s">
        <v>5754</v>
      </c>
      <c r="E4035" s="20" t="s">
        <v>7</v>
      </c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</row>
    <row r="4036">
      <c r="A4036" s="16" t="s">
        <v>5741</v>
      </c>
      <c r="B4036" s="22" t="s">
        <v>5751</v>
      </c>
      <c r="C4036" s="18" t="s">
        <v>5755</v>
      </c>
      <c r="D4036" s="18" t="s">
        <v>5756</v>
      </c>
      <c r="E4036" s="20" t="s">
        <v>7</v>
      </c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</row>
    <row r="4037">
      <c r="A4037" s="16" t="s">
        <v>5741</v>
      </c>
      <c r="B4037" s="22" t="s">
        <v>5751</v>
      </c>
      <c r="C4037" s="18" t="s">
        <v>5757</v>
      </c>
      <c r="D4037" s="18" t="s">
        <v>5758</v>
      </c>
      <c r="E4037" s="20" t="s">
        <v>7</v>
      </c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</row>
    <row r="4038">
      <c r="A4038" s="16" t="s">
        <v>5741</v>
      </c>
      <c r="B4038" s="22" t="s">
        <v>5751</v>
      </c>
      <c r="C4038" s="18" t="s">
        <v>5759</v>
      </c>
      <c r="D4038" s="18" t="s">
        <v>5760</v>
      </c>
      <c r="E4038" s="20" t="s">
        <v>7</v>
      </c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</row>
    <row r="4039">
      <c r="A4039" s="16" t="s">
        <v>5741</v>
      </c>
      <c r="B4039" s="22" t="s">
        <v>5751</v>
      </c>
      <c r="C4039" s="18" t="s">
        <v>5761</v>
      </c>
      <c r="D4039" s="18" t="s">
        <v>5762</v>
      </c>
      <c r="E4039" s="20" t="s">
        <v>7</v>
      </c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  <c r="AB4039" s="9"/>
      <c r="AC4039" s="9"/>
      <c r="AD4039" s="9"/>
    </row>
    <row r="4040">
      <c r="A4040" s="16" t="s">
        <v>5741</v>
      </c>
      <c r="B4040" s="22" t="s">
        <v>5751</v>
      </c>
      <c r="C4040" s="18" t="s">
        <v>5753</v>
      </c>
      <c r="D4040" s="18" t="s">
        <v>5763</v>
      </c>
      <c r="E4040" s="20" t="s">
        <v>7</v>
      </c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  <c r="AB4040" s="9"/>
      <c r="AC4040" s="9"/>
      <c r="AD4040" s="9"/>
    </row>
    <row r="4041">
      <c r="A4041" s="16" t="s">
        <v>5741</v>
      </c>
      <c r="B4041" s="22" t="s">
        <v>5751</v>
      </c>
      <c r="C4041" s="18" t="s">
        <v>5764</v>
      </c>
      <c r="D4041" s="18" t="s">
        <v>5765</v>
      </c>
      <c r="E4041" s="20" t="s">
        <v>7</v>
      </c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  <c r="AB4041" s="9"/>
      <c r="AC4041" s="9"/>
      <c r="AD4041" s="9"/>
    </row>
    <row r="4042">
      <c r="A4042" s="16" t="s">
        <v>5741</v>
      </c>
      <c r="B4042" s="22" t="s">
        <v>5751</v>
      </c>
      <c r="C4042" s="18" t="s">
        <v>5766</v>
      </c>
      <c r="D4042" s="18" t="s">
        <v>5767</v>
      </c>
      <c r="E4042" s="20" t="s">
        <v>7</v>
      </c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</row>
    <row r="4043">
      <c r="A4043" s="16" t="s">
        <v>5741</v>
      </c>
      <c r="B4043" s="22" t="s">
        <v>5751</v>
      </c>
      <c r="C4043" s="18" t="s">
        <v>5764</v>
      </c>
      <c r="D4043" s="18" t="s">
        <v>5768</v>
      </c>
      <c r="E4043" s="20" t="s">
        <v>7</v>
      </c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</row>
    <row r="4044">
      <c r="A4044" s="16" t="s">
        <v>5741</v>
      </c>
      <c r="B4044" s="22" t="s">
        <v>5751</v>
      </c>
      <c r="C4044" s="18" t="s">
        <v>5769</v>
      </c>
      <c r="D4044" s="18" t="s">
        <v>1948</v>
      </c>
      <c r="E4044" s="20" t="s">
        <v>7</v>
      </c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</row>
    <row r="4045">
      <c r="A4045" s="16" t="s">
        <v>5741</v>
      </c>
      <c r="B4045" s="22" t="s">
        <v>5751</v>
      </c>
      <c r="C4045" s="18" t="s">
        <v>5753</v>
      </c>
      <c r="D4045" s="18" t="s">
        <v>5770</v>
      </c>
      <c r="E4045" s="20" t="s">
        <v>7</v>
      </c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</row>
    <row r="4046">
      <c r="A4046" s="16" t="s">
        <v>5741</v>
      </c>
      <c r="B4046" s="22" t="s">
        <v>5751</v>
      </c>
      <c r="C4046" s="18" t="s">
        <v>5757</v>
      </c>
      <c r="D4046" s="18" t="s">
        <v>5771</v>
      </c>
      <c r="E4046" s="20" t="s">
        <v>7</v>
      </c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9"/>
      <c r="AD4046" s="9"/>
    </row>
    <row r="4047">
      <c r="A4047" s="16" t="s">
        <v>5741</v>
      </c>
      <c r="B4047" s="22" t="s">
        <v>5751</v>
      </c>
      <c r="C4047" s="18" t="s">
        <v>5772</v>
      </c>
      <c r="D4047" s="18" t="s">
        <v>5773</v>
      </c>
      <c r="E4047" s="20" t="s">
        <v>7</v>
      </c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9"/>
      <c r="AD4047" s="9"/>
    </row>
    <row r="4048">
      <c r="A4048" s="16" t="s">
        <v>5741</v>
      </c>
      <c r="B4048" s="22" t="s">
        <v>5751</v>
      </c>
      <c r="C4048" s="18" t="s">
        <v>5774</v>
      </c>
      <c r="D4048" s="18" t="s">
        <v>5775</v>
      </c>
      <c r="E4048" s="20" t="s">
        <v>7</v>
      </c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</row>
    <row r="4049">
      <c r="A4049" s="16" t="s">
        <v>5741</v>
      </c>
      <c r="B4049" s="22" t="s">
        <v>5751</v>
      </c>
      <c r="C4049" s="18" t="s">
        <v>5772</v>
      </c>
      <c r="D4049" s="18" t="s">
        <v>5776</v>
      </c>
      <c r="E4049" s="20" t="s">
        <v>7</v>
      </c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</row>
    <row r="4050">
      <c r="A4050" s="16" t="s">
        <v>5741</v>
      </c>
      <c r="B4050" s="22" t="s">
        <v>5688</v>
      </c>
      <c r="C4050" s="18" t="s">
        <v>5742</v>
      </c>
      <c r="D4050" s="18" t="s">
        <v>5673</v>
      </c>
      <c r="E4050" s="18" t="s">
        <v>309</v>
      </c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</row>
    <row r="4051">
      <c r="A4051" s="16" t="s">
        <v>5741</v>
      </c>
      <c r="B4051" s="22" t="s">
        <v>5777</v>
      </c>
      <c r="C4051" s="18" t="s">
        <v>5778</v>
      </c>
      <c r="D4051" s="19" t="s">
        <v>5779</v>
      </c>
      <c r="E4051" s="18" t="s">
        <v>309</v>
      </c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9"/>
      <c r="AD4051" s="9"/>
    </row>
    <row r="4052">
      <c r="A4052" s="16" t="s">
        <v>5741</v>
      </c>
      <c r="B4052" s="22" t="s">
        <v>5688</v>
      </c>
      <c r="C4052" s="18" t="s">
        <v>5742</v>
      </c>
      <c r="D4052" s="19" t="s">
        <v>5673</v>
      </c>
      <c r="E4052" s="20" t="s">
        <v>7</v>
      </c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9"/>
    </row>
    <row r="4053">
      <c r="A4053" s="16" t="s">
        <v>5741</v>
      </c>
      <c r="B4053" s="22" t="s">
        <v>5780</v>
      </c>
      <c r="C4053" s="18" t="s">
        <v>5781</v>
      </c>
      <c r="D4053" s="19" t="s">
        <v>5782</v>
      </c>
      <c r="E4053" s="9" t="s">
        <v>14</v>
      </c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9"/>
    </row>
    <row r="4054">
      <c r="A4054" s="16"/>
      <c r="B4054" s="19"/>
      <c r="C4054" s="18"/>
      <c r="D4054" s="19"/>
      <c r="E4054" s="173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</row>
    <row r="4055">
      <c r="A4055" s="16"/>
      <c r="B4055" s="19"/>
      <c r="C4055" s="18"/>
      <c r="D4055" s="19"/>
      <c r="E4055" s="173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</row>
    <row r="4056">
      <c r="A4056" s="16" t="s">
        <v>5783</v>
      </c>
      <c r="B4056" s="22" t="s">
        <v>5751</v>
      </c>
      <c r="C4056" s="18" t="s">
        <v>5784</v>
      </c>
      <c r="D4056" s="18" t="s">
        <v>5785</v>
      </c>
      <c r="E4056" s="9" t="s">
        <v>14</v>
      </c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</row>
    <row r="4057">
      <c r="A4057" s="16" t="s">
        <v>5783</v>
      </c>
      <c r="B4057" s="19" t="s">
        <v>5786</v>
      </c>
      <c r="C4057" s="18" t="s">
        <v>5787</v>
      </c>
      <c r="D4057" s="18" t="s">
        <v>5779</v>
      </c>
      <c r="E4057" s="18" t="s">
        <v>309</v>
      </c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</row>
    <row r="4058">
      <c r="A4058" s="16" t="s">
        <v>5783</v>
      </c>
      <c r="B4058" s="19" t="s">
        <v>5786</v>
      </c>
      <c r="C4058" s="18" t="s">
        <v>5788</v>
      </c>
      <c r="D4058" s="18" t="s">
        <v>5779</v>
      </c>
      <c r="E4058" s="20" t="s">
        <v>7</v>
      </c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</row>
    <row r="4059">
      <c r="A4059" s="16" t="s">
        <v>5783</v>
      </c>
      <c r="B4059" s="19" t="s">
        <v>5786</v>
      </c>
      <c r="C4059" s="18" t="s">
        <v>5789</v>
      </c>
      <c r="D4059" s="18" t="s">
        <v>5779</v>
      </c>
      <c r="E4059" s="20" t="s">
        <v>7</v>
      </c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</row>
    <row r="4060">
      <c r="A4060" s="16" t="s">
        <v>5783</v>
      </c>
      <c r="B4060" s="19" t="s">
        <v>5786</v>
      </c>
      <c r="C4060" s="18" t="s">
        <v>5790</v>
      </c>
      <c r="D4060" s="18" t="s">
        <v>5791</v>
      </c>
      <c r="E4060" s="20" t="s">
        <v>7</v>
      </c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</row>
    <row r="4061">
      <c r="A4061" s="16" t="s">
        <v>5783</v>
      </c>
      <c r="B4061" s="19" t="s">
        <v>5786</v>
      </c>
      <c r="C4061" s="18" t="s">
        <v>5792</v>
      </c>
      <c r="D4061" s="18" t="s">
        <v>5779</v>
      </c>
      <c r="E4061" s="18" t="s">
        <v>309</v>
      </c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9"/>
      <c r="AC4061" s="9"/>
      <c r="AD4061" s="9"/>
    </row>
    <row r="4062">
      <c r="A4062" s="16" t="s">
        <v>5783</v>
      </c>
      <c r="B4062" s="19" t="s">
        <v>5786</v>
      </c>
      <c r="C4062" s="18" t="s">
        <v>5778</v>
      </c>
      <c r="D4062" s="18" t="s">
        <v>5779</v>
      </c>
      <c r="E4062" s="18" t="s">
        <v>309</v>
      </c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9"/>
      <c r="AD4062" s="9"/>
    </row>
    <row r="4063">
      <c r="A4063" s="16" t="s">
        <v>5783</v>
      </c>
      <c r="B4063" s="22" t="s">
        <v>5793</v>
      </c>
      <c r="C4063" s="18" t="s">
        <v>5794</v>
      </c>
      <c r="D4063" s="18" t="s">
        <v>5795</v>
      </c>
      <c r="E4063" s="9" t="s">
        <v>14</v>
      </c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  <c r="AB4063" s="9"/>
      <c r="AC4063" s="9"/>
      <c r="AD4063" s="9"/>
    </row>
    <row r="4064">
      <c r="A4064" s="16"/>
      <c r="B4064" s="19"/>
      <c r="C4064" s="18"/>
      <c r="D4064" s="19"/>
      <c r="E4064" s="173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  <c r="AB4064" s="9"/>
      <c r="AC4064" s="9"/>
      <c r="AD4064" s="9"/>
    </row>
    <row r="4065">
      <c r="A4065" s="16"/>
      <c r="B4065" s="19"/>
      <c r="C4065" s="18"/>
      <c r="D4065" s="19"/>
      <c r="E4065" s="173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9"/>
      <c r="AD4065" s="9"/>
    </row>
    <row r="4066">
      <c r="A4066" s="16" t="s">
        <v>5796</v>
      </c>
      <c r="B4066" s="22" t="s">
        <v>5797</v>
      </c>
      <c r="C4066" s="18" t="s">
        <v>5798</v>
      </c>
      <c r="D4066" s="19" t="s">
        <v>5799</v>
      </c>
      <c r="E4066" s="9" t="s">
        <v>14</v>
      </c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</row>
    <row r="4067">
      <c r="A4067" s="16" t="s">
        <v>5796</v>
      </c>
      <c r="B4067" s="22" t="s">
        <v>5800</v>
      </c>
      <c r="C4067" s="18" t="s">
        <v>5801</v>
      </c>
      <c r="D4067" s="19" t="s">
        <v>5802</v>
      </c>
      <c r="E4067" s="9" t="s">
        <v>14</v>
      </c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</row>
    <row r="4068">
      <c r="A4068" s="16" t="s">
        <v>5796</v>
      </c>
      <c r="B4068" s="22" t="s">
        <v>5800</v>
      </c>
      <c r="C4068" s="18" t="s">
        <v>5803</v>
      </c>
      <c r="D4068" s="19" t="s">
        <v>5804</v>
      </c>
      <c r="E4068" s="9" t="s">
        <v>14</v>
      </c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  <c r="AB4068" s="9"/>
      <c r="AC4068" s="9"/>
      <c r="AD4068" s="9"/>
    </row>
    <row r="4069">
      <c r="A4069" s="16" t="s">
        <v>5796</v>
      </c>
      <c r="B4069" s="22" t="s">
        <v>5302</v>
      </c>
      <c r="C4069" s="18" t="s">
        <v>5805</v>
      </c>
      <c r="D4069" s="19" t="s">
        <v>5806</v>
      </c>
      <c r="E4069" s="9" t="s">
        <v>764</v>
      </c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9"/>
      <c r="AD4069" s="9"/>
    </row>
    <row r="4070">
      <c r="A4070" s="16"/>
      <c r="B4070" s="19"/>
      <c r="C4070" s="18"/>
      <c r="D4070" s="19"/>
      <c r="E4070" s="173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  <c r="AB4070" s="9"/>
      <c r="AC4070" s="9"/>
      <c r="AD4070" s="9"/>
    </row>
    <row r="4071">
      <c r="A4071" s="16"/>
      <c r="B4071" s="19"/>
      <c r="C4071" s="18"/>
      <c r="D4071" s="19"/>
      <c r="E4071" s="173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9"/>
      <c r="AC4071" s="9"/>
      <c r="AD4071" s="9"/>
    </row>
    <row r="4072">
      <c r="A4072" s="16" t="s">
        <v>5807</v>
      </c>
      <c r="B4072" s="22" t="s">
        <v>5808</v>
      </c>
      <c r="C4072" s="18" t="s">
        <v>5809</v>
      </c>
      <c r="D4072" s="19" t="s">
        <v>5810</v>
      </c>
      <c r="E4072" s="9" t="s">
        <v>14</v>
      </c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9"/>
      <c r="AD4072" s="9"/>
    </row>
    <row r="4073">
      <c r="A4073" s="16" t="s">
        <v>5807</v>
      </c>
      <c r="B4073" s="22" t="s">
        <v>5811</v>
      </c>
      <c r="C4073" s="18" t="s">
        <v>5812</v>
      </c>
      <c r="D4073" s="19" t="s">
        <v>5813</v>
      </c>
      <c r="E4073" s="9" t="s">
        <v>4261</v>
      </c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9"/>
      <c r="AD4073" s="9"/>
    </row>
    <row r="4074">
      <c r="A4074" s="16" t="s">
        <v>5807</v>
      </c>
      <c r="B4074" s="22" t="s">
        <v>5811</v>
      </c>
      <c r="C4074" s="18" t="s">
        <v>5814</v>
      </c>
      <c r="D4074" s="19" t="s">
        <v>5815</v>
      </c>
      <c r="E4074" s="9" t="s">
        <v>4261</v>
      </c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9"/>
      <c r="AD4074" s="9"/>
    </row>
    <row r="4075">
      <c r="A4075" s="16" t="s">
        <v>5807</v>
      </c>
      <c r="B4075" s="22" t="s">
        <v>5811</v>
      </c>
      <c r="C4075" s="18" t="s">
        <v>5816</v>
      </c>
      <c r="D4075" s="19" t="s">
        <v>5813</v>
      </c>
      <c r="E4075" s="9" t="s">
        <v>4261</v>
      </c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</row>
    <row r="4076">
      <c r="A4076" s="16" t="s">
        <v>5807</v>
      </c>
      <c r="B4076" s="22" t="s">
        <v>5811</v>
      </c>
      <c r="C4076" s="18" t="s">
        <v>5817</v>
      </c>
      <c r="D4076" s="19" t="s">
        <v>5813</v>
      </c>
      <c r="E4076" s="9" t="s">
        <v>4261</v>
      </c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</row>
    <row r="4077">
      <c r="A4077" s="16" t="s">
        <v>5807</v>
      </c>
      <c r="B4077" s="22" t="s">
        <v>5811</v>
      </c>
      <c r="C4077" s="18" t="s">
        <v>5818</v>
      </c>
      <c r="D4077" s="19" t="s">
        <v>5813</v>
      </c>
      <c r="E4077" s="9" t="s">
        <v>4261</v>
      </c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</row>
    <row r="4078">
      <c r="A4078" s="16" t="s">
        <v>5807</v>
      </c>
      <c r="B4078" s="22" t="s">
        <v>5811</v>
      </c>
      <c r="C4078" s="18" t="s">
        <v>5819</v>
      </c>
      <c r="D4078" s="19" t="s">
        <v>5820</v>
      </c>
      <c r="E4078" s="18" t="s">
        <v>309</v>
      </c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</row>
    <row r="4079">
      <c r="A4079" s="16" t="s">
        <v>5807</v>
      </c>
      <c r="B4079" s="22" t="s">
        <v>5821</v>
      </c>
      <c r="C4079" s="18" t="s">
        <v>5822</v>
      </c>
      <c r="D4079" s="19" t="s">
        <v>5823</v>
      </c>
      <c r="E4079" s="20" t="s">
        <v>7</v>
      </c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</row>
    <row r="4080">
      <c r="A4080" s="16" t="s">
        <v>5807</v>
      </c>
      <c r="B4080" s="22" t="s">
        <v>5824</v>
      </c>
      <c r="C4080" s="18" t="s">
        <v>5825</v>
      </c>
      <c r="D4080" s="19" t="s">
        <v>5826</v>
      </c>
      <c r="E4080" s="9" t="s">
        <v>14</v>
      </c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</row>
    <row r="4081">
      <c r="A4081" s="16" t="s">
        <v>5807</v>
      </c>
      <c r="B4081" s="22" t="s">
        <v>5827</v>
      </c>
      <c r="C4081" s="18" t="s">
        <v>2748</v>
      </c>
      <c r="D4081" s="18" t="s">
        <v>5828</v>
      </c>
      <c r="E4081" s="9" t="s">
        <v>14</v>
      </c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</row>
    <row r="4082">
      <c r="A4082" s="16"/>
      <c r="B4082" s="19"/>
      <c r="C4082" s="18"/>
      <c r="D4082" s="19"/>
      <c r="E4082" s="173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</row>
    <row r="4083">
      <c r="A4083" s="16"/>
      <c r="B4083" s="19"/>
      <c r="C4083" s="18"/>
      <c r="D4083" s="19"/>
      <c r="E4083" s="173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</row>
    <row r="4084">
      <c r="A4084" s="16" t="s">
        <v>5829</v>
      </c>
      <c r="B4084" s="22" t="s">
        <v>5830</v>
      </c>
      <c r="C4084" s="18" t="s">
        <v>5831</v>
      </c>
      <c r="D4084" s="18" t="s">
        <v>5832</v>
      </c>
      <c r="E4084" s="9" t="s">
        <v>764</v>
      </c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</row>
    <row r="4085">
      <c r="A4085" s="16" t="s">
        <v>5829</v>
      </c>
      <c r="B4085" s="22" t="s">
        <v>5830</v>
      </c>
      <c r="C4085" s="18" t="s">
        <v>5833</v>
      </c>
      <c r="D4085" s="19" t="s">
        <v>5834</v>
      </c>
      <c r="E4085" s="9" t="s">
        <v>764</v>
      </c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</row>
    <row r="4086">
      <c r="A4086" s="16" t="s">
        <v>5829</v>
      </c>
      <c r="B4086" s="22" t="s">
        <v>5709</v>
      </c>
      <c r="C4086" s="18" t="s">
        <v>5835</v>
      </c>
      <c r="D4086" s="19" t="s">
        <v>281</v>
      </c>
      <c r="E4086" s="9" t="s">
        <v>4261</v>
      </c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</row>
    <row r="4087">
      <c r="A4087" s="16" t="s">
        <v>5829</v>
      </c>
      <c r="B4087" s="22" t="s">
        <v>5709</v>
      </c>
      <c r="C4087" s="18" t="s">
        <v>5836</v>
      </c>
      <c r="D4087" s="19" t="s">
        <v>5837</v>
      </c>
      <c r="E4087" s="9" t="s">
        <v>4261</v>
      </c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</row>
    <row r="4088">
      <c r="A4088" s="16" t="s">
        <v>5829</v>
      </c>
      <c r="B4088" s="22" t="s">
        <v>5709</v>
      </c>
      <c r="C4088" s="18" t="s">
        <v>3451</v>
      </c>
      <c r="D4088" s="19" t="s">
        <v>5838</v>
      </c>
      <c r="E4088" s="9" t="s">
        <v>4261</v>
      </c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</row>
    <row r="4089">
      <c r="A4089" s="16" t="s">
        <v>5829</v>
      </c>
      <c r="B4089" s="22" t="s">
        <v>5709</v>
      </c>
      <c r="C4089" s="18" t="s">
        <v>5839</v>
      </c>
      <c r="D4089" s="19" t="s">
        <v>1556</v>
      </c>
      <c r="E4089" s="9" t="s">
        <v>4261</v>
      </c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</row>
    <row r="4090">
      <c r="A4090" s="16" t="s">
        <v>5829</v>
      </c>
      <c r="B4090" s="22" t="s">
        <v>5709</v>
      </c>
      <c r="C4090" s="18" t="s">
        <v>5840</v>
      </c>
      <c r="D4090" s="19" t="s">
        <v>5841</v>
      </c>
      <c r="E4090" s="9" t="s">
        <v>4261</v>
      </c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</row>
    <row r="4091">
      <c r="A4091" s="16" t="s">
        <v>5829</v>
      </c>
      <c r="B4091" s="22" t="s">
        <v>5709</v>
      </c>
      <c r="C4091" s="18" t="s">
        <v>5842</v>
      </c>
      <c r="D4091" s="19" t="s">
        <v>1895</v>
      </c>
      <c r="E4091" s="9" t="s">
        <v>4261</v>
      </c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</row>
    <row r="4092">
      <c r="A4092" s="16" t="s">
        <v>5829</v>
      </c>
      <c r="B4092" s="22" t="s">
        <v>5709</v>
      </c>
      <c r="C4092" s="18" t="s">
        <v>5843</v>
      </c>
      <c r="D4092" s="19" t="s">
        <v>5844</v>
      </c>
      <c r="E4092" s="9" t="s">
        <v>4261</v>
      </c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9"/>
      <c r="AC4092" s="9"/>
      <c r="AD4092" s="9"/>
    </row>
    <row r="4093">
      <c r="A4093" s="16" t="s">
        <v>5829</v>
      </c>
      <c r="B4093" s="22" t="s">
        <v>5709</v>
      </c>
      <c r="C4093" s="18" t="s">
        <v>1470</v>
      </c>
      <c r="D4093" s="19" t="s">
        <v>5845</v>
      </c>
      <c r="E4093" s="9" t="s">
        <v>4261</v>
      </c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</row>
    <row r="4094">
      <c r="A4094" s="16" t="s">
        <v>5829</v>
      </c>
      <c r="B4094" s="22" t="s">
        <v>5709</v>
      </c>
      <c r="C4094" s="18" t="s">
        <v>332</v>
      </c>
      <c r="D4094" s="19" t="s">
        <v>5846</v>
      </c>
      <c r="E4094" s="9" t="s">
        <v>764</v>
      </c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</row>
    <row r="4095">
      <c r="A4095" s="16" t="s">
        <v>5829</v>
      </c>
      <c r="B4095" s="22" t="s">
        <v>5786</v>
      </c>
      <c r="C4095" s="18" t="s">
        <v>5847</v>
      </c>
      <c r="D4095" s="9"/>
      <c r="E4095" s="9" t="s">
        <v>5848</v>
      </c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</row>
    <row r="4096">
      <c r="A4096" s="16" t="s">
        <v>5829</v>
      </c>
      <c r="B4096" s="22" t="s">
        <v>5786</v>
      </c>
      <c r="C4096" s="18" t="s">
        <v>5849</v>
      </c>
      <c r="D4096" s="9"/>
      <c r="E4096" s="9" t="s">
        <v>5848</v>
      </c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9"/>
      <c r="AD4096" s="9"/>
    </row>
    <row r="4097">
      <c r="A4097" s="16" t="s">
        <v>5829</v>
      </c>
      <c r="B4097" s="22" t="s">
        <v>5786</v>
      </c>
      <c r="C4097" s="18" t="s">
        <v>5850</v>
      </c>
      <c r="D4097" s="9"/>
      <c r="E4097" s="9" t="s">
        <v>5848</v>
      </c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9"/>
      <c r="AC4097" s="9"/>
      <c r="AD4097" s="9"/>
    </row>
    <row r="4098">
      <c r="A4098" s="16" t="s">
        <v>5829</v>
      </c>
      <c r="B4098" s="22" t="s">
        <v>5851</v>
      </c>
      <c r="C4098" s="18" t="s">
        <v>5715</v>
      </c>
      <c r="D4098" s="18" t="s">
        <v>3505</v>
      </c>
      <c r="E4098" s="18" t="s">
        <v>309</v>
      </c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</row>
    <row r="4099">
      <c r="A4099" s="16"/>
      <c r="B4099" s="19"/>
      <c r="C4099" s="18"/>
      <c r="D4099" s="19"/>
      <c r="E4099" s="173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9"/>
      <c r="AD4099" s="9"/>
    </row>
    <row r="4100">
      <c r="A4100" s="16"/>
      <c r="B4100" s="19"/>
      <c r="C4100" s="18"/>
      <c r="D4100" s="19"/>
      <c r="E4100" s="173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</row>
    <row r="4101">
      <c r="A4101" s="16" t="s">
        <v>5852</v>
      </c>
      <c r="B4101" s="22" t="s">
        <v>5811</v>
      </c>
      <c r="C4101" s="18" t="s">
        <v>5853</v>
      </c>
      <c r="D4101" s="18" t="s">
        <v>5820</v>
      </c>
      <c r="E4101" s="18" t="s">
        <v>309</v>
      </c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</row>
    <row r="4102">
      <c r="A4102" s="16" t="s">
        <v>5852</v>
      </c>
      <c r="B4102" s="22" t="s">
        <v>5854</v>
      </c>
      <c r="C4102" s="18" t="s">
        <v>5855</v>
      </c>
      <c r="D4102" s="19" t="s">
        <v>5856</v>
      </c>
      <c r="E4102" s="20" t="s">
        <v>7</v>
      </c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</row>
    <row r="4103">
      <c r="A4103" s="16" t="s">
        <v>5852</v>
      </c>
      <c r="B4103" s="22" t="s">
        <v>5854</v>
      </c>
      <c r="C4103" s="18" t="s">
        <v>5855</v>
      </c>
      <c r="D4103" s="19" t="s">
        <v>5856</v>
      </c>
      <c r="E4103" s="20" t="s">
        <v>7</v>
      </c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</row>
    <row r="4104">
      <c r="A4104" s="16" t="s">
        <v>5852</v>
      </c>
      <c r="B4104" s="22" t="s">
        <v>5854</v>
      </c>
      <c r="C4104" s="18" t="s">
        <v>5855</v>
      </c>
      <c r="D4104" s="19" t="s">
        <v>5856</v>
      </c>
      <c r="E4104" s="20" t="s">
        <v>7</v>
      </c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9"/>
      <c r="AD4104" s="9"/>
    </row>
    <row r="4105">
      <c r="A4105" s="16" t="s">
        <v>5852</v>
      </c>
      <c r="B4105" s="22" t="s">
        <v>5854</v>
      </c>
      <c r="C4105" s="18" t="s">
        <v>5855</v>
      </c>
      <c r="D4105" s="19" t="s">
        <v>5856</v>
      </c>
      <c r="E4105" s="20" t="s">
        <v>7</v>
      </c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</row>
    <row r="4106">
      <c r="A4106" s="16" t="s">
        <v>5852</v>
      </c>
      <c r="B4106" s="22" t="s">
        <v>5857</v>
      </c>
      <c r="C4106" s="18" t="s">
        <v>5858</v>
      </c>
      <c r="D4106" s="19" t="s">
        <v>5859</v>
      </c>
      <c r="E4106" s="18" t="s">
        <v>4624</v>
      </c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</row>
    <row r="4107">
      <c r="A4107" s="16" t="s">
        <v>5852</v>
      </c>
      <c r="B4107" s="22" t="s">
        <v>5857</v>
      </c>
      <c r="C4107" s="18" t="s">
        <v>5860</v>
      </c>
      <c r="D4107" s="19" t="s">
        <v>5861</v>
      </c>
      <c r="E4107" s="18" t="s">
        <v>4624</v>
      </c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</row>
    <row r="4108">
      <c r="A4108" s="16" t="s">
        <v>5852</v>
      </c>
      <c r="B4108" s="22" t="s">
        <v>5857</v>
      </c>
      <c r="C4108" s="18" t="s">
        <v>5862</v>
      </c>
      <c r="D4108" s="19" t="s">
        <v>5863</v>
      </c>
      <c r="E4108" s="18" t="s">
        <v>4624</v>
      </c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</row>
    <row r="4109">
      <c r="A4109" s="16" t="s">
        <v>5852</v>
      </c>
      <c r="B4109" s="22" t="s">
        <v>5857</v>
      </c>
      <c r="C4109" s="18" t="s">
        <v>5864</v>
      </c>
      <c r="D4109" s="19" t="s">
        <v>5865</v>
      </c>
      <c r="E4109" s="18" t="s">
        <v>4624</v>
      </c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</row>
    <row r="4110">
      <c r="A4110" s="16" t="s">
        <v>5852</v>
      </c>
      <c r="B4110" s="22" t="s">
        <v>5857</v>
      </c>
      <c r="C4110" s="18" t="s">
        <v>5866</v>
      </c>
      <c r="D4110" s="19" t="s">
        <v>5867</v>
      </c>
      <c r="E4110" s="18" t="s">
        <v>4624</v>
      </c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</row>
    <row r="4111">
      <c r="A4111" s="16" t="s">
        <v>5852</v>
      </c>
      <c r="B4111" s="22" t="s">
        <v>5857</v>
      </c>
      <c r="C4111" s="18" t="s">
        <v>5866</v>
      </c>
      <c r="D4111" s="19" t="s">
        <v>5868</v>
      </c>
      <c r="E4111" s="18" t="s">
        <v>4624</v>
      </c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</row>
    <row r="4112">
      <c r="A4112" s="16" t="s">
        <v>5852</v>
      </c>
      <c r="B4112" s="22" t="s">
        <v>5857</v>
      </c>
      <c r="C4112" s="18" t="s">
        <v>5866</v>
      </c>
      <c r="D4112" s="19" t="s">
        <v>5869</v>
      </c>
      <c r="E4112" s="18" t="s">
        <v>4624</v>
      </c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</row>
    <row r="4113">
      <c r="A4113" s="16"/>
      <c r="B4113" s="19"/>
      <c r="C4113" s="18"/>
      <c r="D4113" s="19"/>
      <c r="E4113" s="173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</row>
    <row r="4114">
      <c r="A4114" s="16"/>
      <c r="B4114" s="19"/>
      <c r="C4114" s="18"/>
      <c r="D4114" s="19"/>
      <c r="E4114" s="173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</row>
    <row r="4115">
      <c r="A4115" s="16" t="s">
        <v>5870</v>
      </c>
      <c r="B4115" s="22" t="s">
        <v>5871</v>
      </c>
      <c r="C4115" s="23" t="s">
        <v>5872</v>
      </c>
      <c r="D4115" s="23" t="s">
        <v>5873</v>
      </c>
      <c r="E4115" s="9" t="s">
        <v>764</v>
      </c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</row>
    <row r="4116">
      <c r="A4116" s="16" t="s">
        <v>5870</v>
      </c>
      <c r="B4116" s="22" t="s">
        <v>5874</v>
      </c>
      <c r="C4116" s="23" t="s">
        <v>5875</v>
      </c>
      <c r="D4116" s="23" t="s">
        <v>5876</v>
      </c>
      <c r="E4116" s="18" t="s">
        <v>309</v>
      </c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</row>
    <row r="4117">
      <c r="A4117" s="16" t="s">
        <v>5870</v>
      </c>
      <c r="B4117" s="22" t="s">
        <v>5824</v>
      </c>
      <c r="C4117" s="18" t="s">
        <v>5877</v>
      </c>
      <c r="D4117" s="18" t="s">
        <v>5878</v>
      </c>
      <c r="E4117" s="9" t="s">
        <v>14</v>
      </c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</row>
    <row r="4118">
      <c r="A4118" s="16" t="s">
        <v>5870</v>
      </c>
      <c r="B4118" s="174" t="s">
        <v>5879</v>
      </c>
      <c r="C4118" s="18" t="s">
        <v>5880</v>
      </c>
      <c r="D4118" s="19" t="s">
        <v>5779</v>
      </c>
      <c r="E4118" s="20" t="s">
        <v>7</v>
      </c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</row>
    <row r="4119">
      <c r="A4119" s="16" t="s">
        <v>5870</v>
      </c>
      <c r="B4119" s="174" t="s">
        <v>5879</v>
      </c>
      <c r="C4119" s="18" t="s">
        <v>5881</v>
      </c>
      <c r="D4119" s="19" t="s">
        <v>5882</v>
      </c>
      <c r="E4119" s="20" t="s">
        <v>7</v>
      </c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</row>
    <row r="4120">
      <c r="A4120" s="150"/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</row>
    <row r="4121">
      <c r="A4121" s="16"/>
      <c r="B4121" s="19"/>
      <c r="C4121" s="18"/>
      <c r="D4121" s="19"/>
      <c r="E4121" s="173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</row>
    <row r="4122">
      <c r="A4122" s="16" t="s">
        <v>5883</v>
      </c>
      <c r="B4122" s="22" t="s">
        <v>5786</v>
      </c>
      <c r="C4122" s="18" t="s">
        <v>5884</v>
      </c>
      <c r="D4122" s="19" t="s">
        <v>5779</v>
      </c>
      <c r="E4122" s="18" t="s">
        <v>309</v>
      </c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</row>
    <row r="4123">
      <c r="A4123" s="16" t="s">
        <v>5883</v>
      </c>
      <c r="B4123" s="22" t="s">
        <v>5885</v>
      </c>
      <c r="C4123" s="18" t="s">
        <v>5886</v>
      </c>
      <c r="D4123" s="18" t="s">
        <v>5068</v>
      </c>
      <c r="E4123" s="18" t="s">
        <v>5887</v>
      </c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</row>
    <row r="4124">
      <c r="A4124" s="16" t="s">
        <v>5883</v>
      </c>
      <c r="B4124" s="22" t="s">
        <v>5885</v>
      </c>
      <c r="C4124" s="18" t="s">
        <v>5886</v>
      </c>
      <c r="D4124" s="18" t="s">
        <v>5068</v>
      </c>
      <c r="E4124" s="18" t="s">
        <v>5887</v>
      </c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</row>
    <row r="4125">
      <c r="A4125" s="16"/>
      <c r="B4125" s="19"/>
      <c r="C4125" s="18"/>
      <c r="D4125" s="19"/>
      <c r="E4125" s="173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</row>
    <row r="4126">
      <c r="A4126" s="16"/>
      <c r="B4126" s="19"/>
      <c r="C4126" s="18"/>
      <c r="D4126" s="19"/>
      <c r="E4126" s="173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</row>
    <row r="4127">
      <c r="A4127" s="16" t="s">
        <v>5888</v>
      </c>
      <c r="B4127" s="22" t="s">
        <v>5889</v>
      </c>
      <c r="C4127" s="18" t="s">
        <v>5890</v>
      </c>
      <c r="D4127" s="19" t="s">
        <v>5891</v>
      </c>
      <c r="E4127" s="23" t="s">
        <v>14</v>
      </c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</row>
    <row r="4128">
      <c r="A4128" s="16" t="s">
        <v>5888</v>
      </c>
      <c r="B4128" s="22" t="s">
        <v>5889</v>
      </c>
      <c r="C4128" s="18" t="s">
        <v>5892</v>
      </c>
      <c r="D4128" s="19" t="s">
        <v>5891</v>
      </c>
      <c r="E4128" s="23" t="s">
        <v>14</v>
      </c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</row>
    <row r="4129">
      <c r="A4129" s="16" t="s">
        <v>5888</v>
      </c>
      <c r="B4129" s="22" t="s">
        <v>5889</v>
      </c>
      <c r="C4129" s="18" t="s">
        <v>5893</v>
      </c>
      <c r="D4129" s="19" t="s">
        <v>5894</v>
      </c>
      <c r="E4129" s="23" t="s">
        <v>14</v>
      </c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</row>
    <row r="4130">
      <c r="A4130" s="16" t="s">
        <v>5888</v>
      </c>
      <c r="B4130" s="22" t="s">
        <v>5895</v>
      </c>
      <c r="C4130" s="136" t="s">
        <v>5896</v>
      </c>
      <c r="D4130" s="136" t="s">
        <v>4554</v>
      </c>
      <c r="E4130" s="23" t="s">
        <v>764</v>
      </c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</row>
    <row r="4131">
      <c r="A4131" s="16" t="s">
        <v>5888</v>
      </c>
      <c r="B4131" s="22" t="s">
        <v>5897</v>
      </c>
      <c r="C4131" s="136" t="s">
        <v>1163</v>
      </c>
      <c r="D4131" s="136" t="s">
        <v>5898</v>
      </c>
      <c r="E4131" s="20" t="s">
        <v>7</v>
      </c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</row>
    <row r="4132">
      <c r="A4132" s="16" t="s">
        <v>5888</v>
      </c>
      <c r="B4132" s="22" t="s">
        <v>5899</v>
      </c>
      <c r="C4132" s="136" t="s">
        <v>5900</v>
      </c>
      <c r="D4132" s="136" t="s">
        <v>2083</v>
      </c>
      <c r="E4132" s="20" t="s">
        <v>7</v>
      </c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</row>
    <row r="4133">
      <c r="A4133" s="16" t="s">
        <v>5888</v>
      </c>
      <c r="B4133" s="22" t="s">
        <v>5899</v>
      </c>
      <c r="C4133" s="136" t="s">
        <v>5901</v>
      </c>
      <c r="D4133" s="136" t="s">
        <v>2083</v>
      </c>
      <c r="E4133" s="20" t="s">
        <v>7</v>
      </c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</row>
    <row r="4134">
      <c r="A4134" s="16" t="s">
        <v>5888</v>
      </c>
      <c r="B4134" s="22" t="s">
        <v>5851</v>
      </c>
      <c r="C4134" s="136" t="s">
        <v>5715</v>
      </c>
      <c r="D4134" s="136" t="s">
        <v>3505</v>
      </c>
      <c r="E4134" s="18" t="s">
        <v>309</v>
      </c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</row>
    <row r="4135">
      <c r="A4135" s="16" t="s">
        <v>5888</v>
      </c>
      <c r="B4135" s="22" t="s">
        <v>5902</v>
      </c>
      <c r="C4135" s="18" t="s">
        <v>667</v>
      </c>
      <c r="D4135" s="18" t="s">
        <v>5903</v>
      </c>
      <c r="E4135" s="23" t="s">
        <v>764</v>
      </c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</row>
    <row r="4136">
      <c r="A4136" s="16" t="s">
        <v>5888</v>
      </c>
      <c r="B4136" s="22" t="s">
        <v>5902</v>
      </c>
      <c r="C4136" s="18" t="s">
        <v>5904</v>
      </c>
      <c r="D4136" s="18" t="s">
        <v>5905</v>
      </c>
      <c r="E4136" s="23" t="s">
        <v>764</v>
      </c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</row>
    <row r="4137">
      <c r="A4137" s="16" t="s">
        <v>5888</v>
      </c>
      <c r="B4137" s="22" t="s">
        <v>5777</v>
      </c>
      <c r="C4137" s="18" t="s">
        <v>5906</v>
      </c>
      <c r="D4137" s="18" t="s">
        <v>5882</v>
      </c>
      <c r="E4137" s="20" t="s">
        <v>7</v>
      </c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</row>
    <row r="4138">
      <c r="A4138" s="16" t="s">
        <v>5888</v>
      </c>
      <c r="B4138" s="22" t="s">
        <v>5885</v>
      </c>
      <c r="C4138" s="18" t="s">
        <v>5886</v>
      </c>
      <c r="D4138" s="19" t="s">
        <v>5068</v>
      </c>
      <c r="E4138" s="20" t="s">
        <v>7</v>
      </c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</row>
    <row r="4139">
      <c r="A4139" s="16" t="s">
        <v>5888</v>
      </c>
      <c r="B4139" s="22" t="s">
        <v>5885</v>
      </c>
      <c r="C4139" s="18" t="s">
        <v>5886</v>
      </c>
      <c r="D4139" s="19" t="s">
        <v>5907</v>
      </c>
      <c r="E4139" s="20" t="s">
        <v>7</v>
      </c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</row>
    <row r="4140">
      <c r="A4140" s="16" t="s">
        <v>5888</v>
      </c>
      <c r="B4140" s="22" t="s">
        <v>5885</v>
      </c>
      <c r="C4140" s="18" t="s">
        <v>5886</v>
      </c>
      <c r="D4140" s="19" t="s">
        <v>5908</v>
      </c>
      <c r="E4140" s="20" t="s">
        <v>7</v>
      </c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</row>
    <row r="4141">
      <c r="A4141" s="16" t="s">
        <v>5888</v>
      </c>
      <c r="B4141" s="22" t="s">
        <v>5885</v>
      </c>
      <c r="C4141" s="18" t="s">
        <v>5909</v>
      </c>
      <c r="D4141" s="19" t="s">
        <v>5910</v>
      </c>
      <c r="E4141" s="20" t="s">
        <v>7</v>
      </c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</row>
    <row r="4142">
      <c r="A4142" s="16" t="s">
        <v>5888</v>
      </c>
      <c r="B4142" s="22" t="s">
        <v>5885</v>
      </c>
      <c r="C4142" s="18" t="s">
        <v>5909</v>
      </c>
      <c r="D4142" s="19" t="s">
        <v>5911</v>
      </c>
      <c r="E4142" s="20" t="s">
        <v>7</v>
      </c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</row>
    <row r="4143">
      <c r="A4143" s="16" t="s">
        <v>5888</v>
      </c>
      <c r="B4143" s="22" t="s">
        <v>5912</v>
      </c>
      <c r="C4143" s="18" t="s">
        <v>5913</v>
      </c>
      <c r="D4143" s="18" t="s">
        <v>5914</v>
      </c>
      <c r="E4143" s="18" t="s">
        <v>309</v>
      </c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</row>
    <row r="4144">
      <c r="A4144" s="16" t="s">
        <v>5888</v>
      </c>
      <c r="B4144" s="22" t="s">
        <v>5912</v>
      </c>
      <c r="C4144" s="18" t="s">
        <v>5915</v>
      </c>
      <c r="D4144" s="18" t="s">
        <v>5914</v>
      </c>
      <c r="E4144" s="18" t="s">
        <v>309</v>
      </c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</row>
    <row r="4145">
      <c r="A4145" s="16" t="s">
        <v>5888</v>
      </c>
      <c r="B4145" s="22" t="s">
        <v>5912</v>
      </c>
      <c r="C4145" s="18" t="s">
        <v>5916</v>
      </c>
      <c r="D4145" s="18" t="s">
        <v>5914</v>
      </c>
      <c r="E4145" s="18" t="s">
        <v>309</v>
      </c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</row>
    <row r="4146">
      <c r="A4146" s="16" t="s">
        <v>5888</v>
      </c>
      <c r="B4146" s="22" t="s">
        <v>5912</v>
      </c>
      <c r="C4146" s="18" t="s">
        <v>5917</v>
      </c>
      <c r="D4146" s="18" t="s">
        <v>5914</v>
      </c>
      <c r="E4146" s="18" t="s">
        <v>309</v>
      </c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</row>
    <row r="4147">
      <c r="A4147" s="16" t="s">
        <v>5888</v>
      </c>
      <c r="B4147" s="22" t="s">
        <v>5912</v>
      </c>
      <c r="C4147" s="18" t="s">
        <v>5918</v>
      </c>
      <c r="D4147" s="18" t="s">
        <v>5914</v>
      </c>
      <c r="E4147" s="18" t="s">
        <v>309</v>
      </c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</row>
    <row r="4148">
      <c r="A4148" s="16" t="s">
        <v>5888</v>
      </c>
      <c r="B4148" s="22" t="s">
        <v>5912</v>
      </c>
      <c r="C4148" s="18" t="s">
        <v>5919</v>
      </c>
      <c r="D4148" s="18" t="s">
        <v>5914</v>
      </c>
      <c r="E4148" s="18" t="s">
        <v>309</v>
      </c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</row>
    <row r="4149">
      <c r="A4149" s="16" t="s">
        <v>5888</v>
      </c>
      <c r="B4149" s="22" t="s">
        <v>5912</v>
      </c>
      <c r="C4149" s="18" t="s">
        <v>885</v>
      </c>
      <c r="D4149" s="18" t="s">
        <v>5914</v>
      </c>
      <c r="E4149" s="18" t="s">
        <v>309</v>
      </c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</row>
    <row r="4150">
      <c r="A4150" s="16" t="s">
        <v>5888</v>
      </c>
      <c r="B4150" s="22" t="s">
        <v>5902</v>
      </c>
      <c r="C4150" s="23" t="s">
        <v>5920</v>
      </c>
      <c r="D4150" s="23" t="s">
        <v>5921</v>
      </c>
      <c r="E4150" s="20" t="s">
        <v>7</v>
      </c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</row>
    <row r="4151">
      <c r="A4151" s="16"/>
      <c r="B4151" s="19"/>
      <c r="C4151" s="18"/>
      <c r="D4151" s="19"/>
      <c r="E4151" s="173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</row>
    <row r="4152">
      <c r="A4152" s="16"/>
      <c r="B4152" s="19"/>
      <c r="C4152" s="18"/>
      <c r="D4152" s="19"/>
      <c r="E4152" s="173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</row>
    <row r="4153">
      <c r="A4153" s="16" t="s">
        <v>5922</v>
      </c>
      <c r="B4153" s="22" t="s">
        <v>5777</v>
      </c>
      <c r="C4153" s="136" t="s">
        <v>5923</v>
      </c>
      <c r="D4153" s="136" t="s">
        <v>5924</v>
      </c>
      <c r="E4153" s="18" t="s">
        <v>309</v>
      </c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</row>
    <row r="4154">
      <c r="A4154" s="16" t="s">
        <v>5922</v>
      </c>
      <c r="B4154" s="22" t="s">
        <v>5777</v>
      </c>
      <c r="C4154" s="136" t="s">
        <v>5925</v>
      </c>
      <c r="D4154" s="136" t="s">
        <v>5924</v>
      </c>
      <c r="E4154" s="18" t="s">
        <v>309</v>
      </c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</row>
    <row r="4155">
      <c r="A4155" s="16" t="s">
        <v>5922</v>
      </c>
      <c r="B4155" s="22" t="s">
        <v>5926</v>
      </c>
      <c r="C4155" s="18" t="s">
        <v>5927</v>
      </c>
      <c r="D4155" s="18" t="s">
        <v>5928</v>
      </c>
      <c r="E4155" s="18" t="s">
        <v>4624</v>
      </c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</row>
    <row r="4156">
      <c r="A4156" s="16" t="s">
        <v>5922</v>
      </c>
      <c r="B4156" s="22" t="s">
        <v>5926</v>
      </c>
      <c r="C4156" s="18" t="s">
        <v>5929</v>
      </c>
      <c r="D4156" s="18" t="s">
        <v>5930</v>
      </c>
      <c r="E4156" s="18" t="s">
        <v>4624</v>
      </c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</row>
    <row r="4157">
      <c r="A4157" s="16" t="s">
        <v>5922</v>
      </c>
      <c r="B4157" s="22" t="s">
        <v>5926</v>
      </c>
      <c r="C4157" s="18" t="s">
        <v>5929</v>
      </c>
      <c r="D4157" s="18" t="s">
        <v>5931</v>
      </c>
      <c r="E4157" s="18" t="s">
        <v>4624</v>
      </c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</row>
    <row r="4158">
      <c r="A4158" s="16" t="s">
        <v>5922</v>
      </c>
      <c r="B4158" s="22" t="s">
        <v>5926</v>
      </c>
      <c r="C4158" s="18" t="s">
        <v>5932</v>
      </c>
      <c r="D4158" s="18" t="s">
        <v>5933</v>
      </c>
      <c r="E4158" s="18" t="s">
        <v>4624</v>
      </c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</row>
    <row r="4159">
      <c r="A4159" s="16" t="s">
        <v>5922</v>
      </c>
      <c r="B4159" s="22" t="s">
        <v>5926</v>
      </c>
      <c r="C4159" s="18" t="s">
        <v>5929</v>
      </c>
      <c r="D4159" s="18" t="s">
        <v>5930</v>
      </c>
      <c r="E4159" s="18" t="s">
        <v>4624</v>
      </c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</row>
    <row r="4160">
      <c r="A4160" s="16" t="s">
        <v>5922</v>
      </c>
      <c r="B4160" s="22" t="s">
        <v>5934</v>
      </c>
      <c r="C4160" s="18" t="s">
        <v>5896</v>
      </c>
      <c r="D4160" s="19" t="s">
        <v>5935</v>
      </c>
      <c r="E4160" s="23" t="s">
        <v>1506</v>
      </c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</row>
    <row r="4161">
      <c r="A4161" s="16" t="s">
        <v>5922</v>
      </c>
      <c r="B4161" s="22" t="s">
        <v>5936</v>
      </c>
      <c r="C4161" s="18" t="s">
        <v>5937</v>
      </c>
      <c r="D4161" s="19" t="s">
        <v>5938</v>
      </c>
      <c r="E4161" s="23" t="s">
        <v>14</v>
      </c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</row>
    <row r="4162">
      <c r="A4162" s="16" t="s">
        <v>5922</v>
      </c>
      <c r="B4162" s="22" t="s">
        <v>5897</v>
      </c>
      <c r="C4162" s="18" t="s">
        <v>5939</v>
      </c>
      <c r="D4162" s="19" t="s">
        <v>5940</v>
      </c>
      <c r="E4162" s="23" t="s">
        <v>14</v>
      </c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</row>
    <row r="4163">
      <c r="A4163" s="16"/>
      <c r="B4163" s="19"/>
      <c r="C4163" s="18"/>
      <c r="D4163" s="19"/>
      <c r="E4163" s="173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</row>
    <row r="4164">
      <c r="A4164" s="16"/>
      <c r="B4164" s="19"/>
      <c r="C4164" s="18"/>
      <c r="D4164" s="19"/>
      <c r="E4164" s="173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</row>
    <row r="4165">
      <c r="A4165" s="16" t="s">
        <v>5941</v>
      </c>
      <c r="B4165" s="22" t="s">
        <v>5934</v>
      </c>
      <c r="C4165" s="18" t="s">
        <v>5896</v>
      </c>
      <c r="D4165" s="19" t="s">
        <v>5942</v>
      </c>
      <c r="E4165" s="9" t="s">
        <v>14</v>
      </c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</row>
    <row r="4166">
      <c r="A4166" s="16" t="s">
        <v>5941</v>
      </c>
      <c r="B4166" s="22" t="s">
        <v>5943</v>
      </c>
      <c r="C4166" s="18" t="s">
        <v>4136</v>
      </c>
      <c r="D4166" s="18" t="s">
        <v>5944</v>
      </c>
      <c r="E4166" s="9" t="s">
        <v>14</v>
      </c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</row>
    <row r="4167">
      <c r="A4167" s="16" t="s">
        <v>5941</v>
      </c>
      <c r="B4167" s="22" t="s">
        <v>5945</v>
      </c>
      <c r="C4167" s="18" t="s">
        <v>5946</v>
      </c>
      <c r="D4167" s="18" t="s">
        <v>5947</v>
      </c>
      <c r="E4167" s="9" t="s">
        <v>764</v>
      </c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</row>
    <row r="4168">
      <c r="A4168" s="16" t="s">
        <v>5941</v>
      </c>
      <c r="B4168" s="22" t="s">
        <v>5948</v>
      </c>
      <c r="C4168" s="18" t="s">
        <v>5949</v>
      </c>
      <c r="D4168" s="18" t="s">
        <v>5950</v>
      </c>
      <c r="E4168" s="20" t="s">
        <v>7</v>
      </c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</row>
    <row r="4169">
      <c r="A4169" s="16" t="s">
        <v>5941</v>
      </c>
      <c r="B4169" s="22" t="s">
        <v>5951</v>
      </c>
      <c r="C4169" s="18" t="s">
        <v>5952</v>
      </c>
      <c r="D4169" s="18" t="s">
        <v>5953</v>
      </c>
      <c r="E4169" s="9" t="s">
        <v>764</v>
      </c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</row>
    <row r="4170">
      <c r="A4170" s="16"/>
      <c r="B4170" s="19"/>
      <c r="C4170" s="18"/>
      <c r="D4170" s="19"/>
      <c r="E4170" s="173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</row>
    <row r="4171">
      <c r="A4171" s="16"/>
      <c r="B4171" s="19"/>
      <c r="C4171" s="18"/>
      <c r="D4171" s="19"/>
      <c r="E4171" s="173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</row>
    <row r="4172">
      <c r="A4172" s="16" t="s">
        <v>5954</v>
      </c>
      <c r="B4172" s="22" t="s">
        <v>5945</v>
      </c>
      <c r="C4172" s="23" t="s">
        <v>5955</v>
      </c>
      <c r="D4172" s="136" t="s">
        <v>5956</v>
      </c>
      <c r="E4172" s="9" t="s">
        <v>764</v>
      </c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</row>
    <row r="4173">
      <c r="A4173" s="16" t="s">
        <v>5954</v>
      </c>
      <c r="B4173" s="22" t="s">
        <v>5945</v>
      </c>
      <c r="C4173" s="23" t="s">
        <v>5957</v>
      </c>
      <c r="D4173" s="136" t="s">
        <v>5956</v>
      </c>
      <c r="E4173" s="9" t="s">
        <v>764</v>
      </c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</row>
    <row r="4174">
      <c r="A4174" s="16" t="s">
        <v>5954</v>
      </c>
      <c r="B4174" s="22" t="s">
        <v>5945</v>
      </c>
      <c r="C4174" s="23" t="s">
        <v>5958</v>
      </c>
      <c r="D4174" s="136" t="s">
        <v>5959</v>
      </c>
      <c r="E4174" s="9" t="s">
        <v>764</v>
      </c>
      <c r="F4174" s="9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</row>
    <row r="4175">
      <c r="A4175" s="16" t="s">
        <v>5954</v>
      </c>
      <c r="B4175" s="22" t="s">
        <v>5786</v>
      </c>
      <c r="C4175" s="18" t="s">
        <v>5960</v>
      </c>
      <c r="D4175" s="18" t="s">
        <v>5779</v>
      </c>
      <c r="E4175" s="20" t="s">
        <v>7</v>
      </c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</row>
    <row r="4176">
      <c r="A4176" s="16" t="s">
        <v>5954</v>
      </c>
      <c r="B4176" s="22" t="s">
        <v>5786</v>
      </c>
      <c r="C4176" s="18" t="s">
        <v>5961</v>
      </c>
      <c r="D4176" s="18" t="s">
        <v>5779</v>
      </c>
      <c r="E4176" s="18" t="s">
        <v>309</v>
      </c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</row>
    <row r="4177">
      <c r="A4177" s="16" t="s">
        <v>5954</v>
      </c>
      <c r="B4177" s="22" t="s">
        <v>5786</v>
      </c>
      <c r="C4177" s="18" t="s">
        <v>5962</v>
      </c>
      <c r="D4177" s="18" t="s">
        <v>5963</v>
      </c>
      <c r="E4177" s="18" t="s">
        <v>309</v>
      </c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</row>
    <row r="4178">
      <c r="A4178" s="16" t="s">
        <v>5954</v>
      </c>
      <c r="B4178" s="22" t="s">
        <v>5964</v>
      </c>
      <c r="C4178" s="18" t="s">
        <v>5965</v>
      </c>
      <c r="D4178" s="18" t="s">
        <v>5966</v>
      </c>
      <c r="E4178" s="9" t="s">
        <v>764</v>
      </c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</row>
    <row r="4179">
      <c r="A4179" s="16" t="s">
        <v>5954</v>
      </c>
      <c r="B4179" s="22" t="s">
        <v>5967</v>
      </c>
      <c r="C4179" s="18" t="s">
        <v>3829</v>
      </c>
      <c r="D4179" s="18" t="s">
        <v>5968</v>
      </c>
      <c r="E4179" s="18" t="s">
        <v>14</v>
      </c>
      <c r="F4179" s="18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</row>
    <row r="4180">
      <c r="A4180" s="16"/>
      <c r="B4180" s="19"/>
      <c r="C4180" s="18"/>
      <c r="D4180" s="19"/>
      <c r="E4180" s="173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</row>
    <row r="4181">
      <c r="A4181" s="16"/>
      <c r="B4181" s="19"/>
      <c r="C4181" s="18"/>
      <c r="D4181" s="19"/>
      <c r="E4181" s="173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</row>
    <row r="4182">
      <c r="A4182" s="16" t="s">
        <v>5969</v>
      </c>
      <c r="B4182" s="22" t="s">
        <v>5970</v>
      </c>
      <c r="C4182" s="18" t="s">
        <v>136</v>
      </c>
      <c r="D4182" s="19" t="s">
        <v>5971</v>
      </c>
      <c r="E4182" s="9" t="s">
        <v>807</v>
      </c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</row>
    <row r="4183">
      <c r="A4183" s="16" t="s">
        <v>5969</v>
      </c>
      <c r="B4183" s="22" t="s">
        <v>5972</v>
      </c>
      <c r="C4183" s="18" t="s">
        <v>5973</v>
      </c>
      <c r="D4183" s="18" t="s">
        <v>5974</v>
      </c>
      <c r="E4183" s="9" t="s">
        <v>229</v>
      </c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</row>
    <row r="4184">
      <c r="A4184" s="16" t="s">
        <v>5969</v>
      </c>
      <c r="B4184" s="22" t="s">
        <v>5777</v>
      </c>
      <c r="C4184" s="18" t="s">
        <v>5975</v>
      </c>
      <c r="D4184" s="18" t="s">
        <v>5924</v>
      </c>
      <c r="E4184" s="18" t="s">
        <v>309</v>
      </c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</row>
    <row r="4185">
      <c r="A4185" s="16" t="s">
        <v>5969</v>
      </c>
      <c r="B4185" s="22" t="s">
        <v>5777</v>
      </c>
      <c r="C4185" s="18" t="s">
        <v>5976</v>
      </c>
      <c r="D4185" s="18" t="s">
        <v>5882</v>
      </c>
      <c r="E4185" s="20" t="s">
        <v>7</v>
      </c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</row>
    <row r="4186">
      <c r="A4186" s="16" t="s">
        <v>5969</v>
      </c>
      <c r="B4186" s="22" t="s">
        <v>5977</v>
      </c>
      <c r="C4186" s="18" t="s">
        <v>5978</v>
      </c>
      <c r="D4186" s="18" t="s">
        <v>5979</v>
      </c>
      <c r="E4186" s="9" t="s">
        <v>14</v>
      </c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</row>
    <row r="4187">
      <c r="A4187" s="16" t="s">
        <v>5969</v>
      </c>
      <c r="B4187" s="22" t="s">
        <v>5977</v>
      </c>
      <c r="C4187" s="18" t="s">
        <v>4070</v>
      </c>
      <c r="D4187" s="18" t="s">
        <v>5980</v>
      </c>
      <c r="E4187" s="9" t="s">
        <v>4261</v>
      </c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</row>
    <row r="4188">
      <c r="A4188" s="16" t="s">
        <v>5969</v>
      </c>
      <c r="B4188" s="22" t="s">
        <v>5981</v>
      </c>
      <c r="C4188" s="18" t="s">
        <v>3458</v>
      </c>
      <c r="D4188" s="19" t="s">
        <v>5982</v>
      </c>
      <c r="E4188" s="18" t="s">
        <v>14</v>
      </c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</row>
    <row r="4189">
      <c r="A4189" s="16" t="s">
        <v>5969</v>
      </c>
      <c r="B4189" s="22" t="s">
        <v>5983</v>
      </c>
      <c r="C4189" s="18" t="s">
        <v>5984</v>
      </c>
      <c r="D4189" s="18" t="s">
        <v>5985</v>
      </c>
      <c r="E4189" s="18" t="s">
        <v>4624</v>
      </c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</row>
    <row r="4190">
      <c r="A4190" s="16" t="s">
        <v>5969</v>
      </c>
      <c r="B4190" s="22" t="s">
        <v>5983</v>
      </c>
      <c r="C4190" s="18" t="s">
        <v>5986</v>
      </c>
      <c r="D4190" s="18" t="s">
        <v>5987</v>
      </c>
      <c r="E4190" s="18" t="s">
        <v>4624</v>
      </c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</row>
    <row r="4191">
      <c r="A4191" s="16" t="s">
        <v>5969</v>
      </c>
      <c r="B4191" s="22" t="s">
        <v>5983</v>
      </c>
      <c r="C4191" s="18" t="s">
        <v>5988</v>
      </c>
      <c r="D4191" s="18" t="s">
        <v>5989</v>
      </c>
      <c r="E4191" s="18" t="s">
        <v>4624</v>
      </c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</row>
    <row r="4192">
      <c r="A4192" s="16"/>
      <c r="B4192" s="19"/>
      <c r="C4192" s="18"/>
      <c r="D4192" s="19"/>
      <c r="E4192" s="173"/>
      <c r="F4192" s="9"/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</row>
    <row r="4193">
      <c r="A4193" s="16"/>
      <c r="B4193" s="19"/>
      <c r="C4193" s="18"/>
      <c r="D4193" s="19"/>
      <c r="E4193" s="173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</row>
    <row r="4194">
      <c r="A4194" s="16" t="s">
        <v>5990</v>
      </c>
      <c r="B4194" s="22" t="s">
        <v>5991</v>
      </c>
      <c r="C4194" s="18" t="s">
        <v>5992</v>
      </c>
      <c r="D4194" s="18" t="s">
        <v>5993</v>
      </c>
      <c r="E4194" s="9" t="s">
        <v>764</v>
      </c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</row>
    <row r="4195">
      <c r="A4195" s="16" t="s">
        <v>5990</v>
      </c>
      <c r="B4195" s="22" t="s">
        <v>5991</v>
      </c>
      <c r="C4195" s="18" t="s">
        <v>5994</v>
      </c>
      <c r="D4195" s="18" t="s">
        <v>5995</v>
      </c>
      <c r="E4195" s="9" t="s">
        <v>3984</v>
      </c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</row>
    <row r="4196">
      <c r="A4196" s="16" t="s">
        <v>5990</v>
      </c>
      <c r="B4196" s="22" t="s">
        <v>5996</v>
      </c>
      <c r="C4196" s="18" t="s">
        <v>136</v>
      </c>
      <c r="D4196" s="18" t="s">
        <v>5997</v>
      </c>
      <c r="E4196" s="9" t="s">
        <v>14</v>
      </c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</row>
    <row r="4197">
      <c r="A4197" s="16" t="s">
        <v>5990</v>
      </c>
      <c r="B4197" s="22" t="s">
        <v>5996</v>
      </c>
      <c r="C4197" s="18" t="s">
        <v>5998</v>
      </c>
      <c r="D4197" s="18" t="s">
        <v>5999</v>
      </c>
      <c r="E4197" s="9" t="s">
        <v>14</v>
      </c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</row>
    <row r="4198">
      <c r="A4198" s="16" t="s">
        <v>5990</v>
      </c>
      <c r="B4198" s="22" t="s">
        <v>5492</v>
      </c>
      <c r="C4198" s="18" t="s">
        <v>5571</v>
      </c>
      <c r="D4198" s="19" t="s">
        <v>6000</v>
      </c>
      <c r="E4198" s="18" t="s">
        <v>4624</v>
      </c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</row>
    <row r="4199">
      <c r="A4199" s="16" t="s">
        <v>5990</v>
      </c>
      <c r="B4199" s="22" t="s">
        <v>5492</v>
      </c>
      <c r="C4199" s="18" t="s">
        <v>5571</v>
      </c>
      <c r="D4199" s="19" t="s">
        <v>6001</v>
      </c>
      <c r="E4199" s="18" t="s">
        <v>4624</v>
      </c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</row>
    <row r="4200">
      <c r="A4200" s="16" t="s">
        <v>5990</v>
      </c>
      <c r="B4200" s="22" t="s">
        <v>5492</v>
      </c>
      <c r="C4200" s="18" t="s">
        <v>5571</v>
      </c>
      <c r="D4200" s="19" t="s">
        <v>6002</v>
      </c>
      <c r="E4200" s="18" t="s">
        <v>4624</v>
      </c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</row>
    <row r="4201">
      <c r="A4201" s="16"/>
      <c r="B4201" s="19"/>
      <c r="C4201" s="18"/>
      <c r="D4201" s="19"/>
      <c r="E4201" s="173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</row>
    <row r="4202">
      <c r="A4202" s="16"/>
      <c r="B4202" s="19"/>
      <c r="C4202" s="18"/>
      <c r="D4202" s="19"/>
      <c r="E4202" s="173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</row>
    <row r="4203">
      <c r="A4203" s="16" t="s">
        <v>6003</v>
      </c>
      <c r="B4203" s="22" t="s">
        <v>6004</v>
      </c>
      <c r="C4203" s="18" t="s">
        <v>6005</v>
      </c>
      <c r="D4203" s="19" t="s">
        <v>6006</v>
      </c>
      <c r="E4203" s="20" t="s">
        <v>7</v>
      </c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</row>
    <row r="4204">
      <c r="A4204" s="16" t="s">
        <v>6003</v>
      </c>
      <c r="B4204" s="22" t="s">
        <v>6004</v>
      </c>
      <c r="C4204" s="18" t="s">
        <v>6007</v>
      </c>
      <c r="D4204" s="19" t="s">
        <v>6008</v>
      </c>
      <c r="E4204" s="20" t="s">
        <v>7</v>
      </c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</row>
    <row r="4205">
      <c r="A4205" s="16" t="s">
        <v>6003</v>
      </c>
      <c r="B4205" s="22" t="s">
        <v>6004</v>
      </c>
      <c r="C4205" s="18" t="s">
        <v>6007</v>
      </c>
      <c r="D4205" s="19" t="s">
        <v>6008</v>
      </c>
      <c r="E4205" s="20" t="s">
        <v>7</v>
      </c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</row>
    <row r="4206">
      <c r="A4206" s="16" t="s">
        <v>6003</v>
      </c>
      <c r="B4206" s="22" t="s">
        <v>6004</v>
      </c>
      <c r="C4206" s="18" t="s">
        <v>6009</v>
      </c>
      <c r="D4206" s="19" t="s">
        <v>6010</v>
      </c>
      <c r="E4206" s="20" t="s">
        <v>7</v>
      </c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</row>
    <row r="4207">
      <c r="A4207" s="16" t="s">
        <v>6003</v>
      </c>
      <c r="B4207" s="22" t="s">
        <v>5635</v>
      </c>
      <c r="C4207" s="18" t="s">
        <v>6011</v>
      </c>
      <c r="D4207" s="19" t="s">
        <v>6012</v>
      </c>
      <c r="E4207" s="20" t="s">
        <v>7</v>
      </c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</row>
    <row r="4208">
      <c r="A4208" s="16" t="s">
        <v>6003</v>
      </c>
      <c r="B4208" s="22" t="s">
        <v>6013</v>
      </c>
      <c r="C4208" s="18" t="s">
        <v>6014</v>
      </c>
      <c r="D4208" s="19" t="s">
        <v>6015</v>
      </c>
      <c r="E4208" s="9" t="s">
        <v>48</v>
      </c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</row>
    <row r="4209">
      <c r="A4209" s="16" t="s">
        <v>6003</v>
      </c>
      <c r="B4209" s="22" t="s">
        <v>6013</v>
      </c>
      <c r="C4209" s="18" t="s">
        <v>6016</v>
      </c>
      <c r="D4209" s="19" t="s">
        <v>6015</v>
      </c>
      <c r="E4209" s="9" t="s">
        <v>48</v>
      </c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</row>
    <row r="4210">
      <c r="A4210" s="16" t="s">
        <v>6003</v>
      </c>
      <c r="B4210" s="22" t="s">
        <v>6013</v>
      </c>
      <c r="C4210" s="18" t="s">
        <v>6017</v>
      </c>
      <c r="D4210" s="19" t="s">
        <v>6015</v>
      </c>
      <c r="E4210" s="9" t="s">
        <v>48</v>
      </c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</row>
    <row r="4211">
      <c r="A4211" s="16" t="s">
        <v>6003</v>
      </c>
      <c r="B4211" s="22" t="s">
        <v>6013</v>
      </c>
      <c r="C4211" s="18" t="s">
        <v>6018</v>
      </c>
      <c r="D4211" s="19" t="s">
        <v>6015</v>
      </c>
      <c r="E4211" s="9" t="s">
        <v>48</v>
      </c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</row>
    <row r="4212">
      <c r="A4212" s="16" t="s">
        <v>6003</v>
      </c>
      <c r="B4212" s="22" t="s">
        <v>6013</v>
      </c>
      <c r="C4212" s="18" t="s">
        <v>6014</v>
      </c>
      <c r="D4212" s="19" t="s">
        <v>6019</v>
      </c>
      <c r="E4212" s="9" t="s">
        <v>48</v>
      </c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9"/>
      <c r="AD4212" s="9"/>
    </row>
    <row r="4213">
      <c r="A4213" s="16" t="s">
        <v>6003</v>
      </c>
      <c r="B4213" s="22" t="s">
        <v>6013</v>
      </c>
      <c r="C4213" s="18" t="s">
        <v>6020</v>
      </c>
      <c r="D4213" s="19" t="s">
        <v>6019</v>
      </c>
      <c r="E4213" s="9" t="s">
        <v>48</v>
      </c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</row>
    <row r="4214">
      <c r="A4214" s="16" t="s">
        <v>6003</v>
      </c>
      <c r="B4214" s="22" t="s">
        <v>6013</v>
      </c>
      <c r="C4214" s="18" t="s">
        <v>6021</v>
      </c>
      <c r="D4214" s="19" t="s">
        <v>6022</v>
      </c>
      <c r="E4214" s="9" t="s">
        <v>48</v>
      </c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</row>
    <row r="4215">
      <c r="A4215" s="16" t="s">
        <v>6003</v>
      </c>
      <c r="B4215" s="22" t="s">
        <v>6013</v>
      </c>
      <c r="C4215" s="18" t="s">
        <v>6021</v>
      </c>
      <c r="D4215" s="19" t="s">
        <v>6023</v>
      </c>
      <c r="E4215" s="9" t="s">
        <v>48</v>
      </c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</row>
    <row r="4216">
      <c r="A4216" s="16" t="s">
        <v>6003</v>
      </c>
      <c r="B4216" s="22" t="s">
        <v>6013</v>
      </c>
      <c r="C4216" s="18" t="s">
        <v>6020</v>
      </c>
      <c r="D4216" s="19" t="s">
        <v>6024</v>
      </c>
      <c r="E4216" s="9" t="s">
        <v>48</v>
      </c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</row>
    <row r="4217">
      <c r="A4217" s="16" t="s">
        <v>6003</v>
      </c>
      <c r="B4217" s="22" t="s">
        <v>6013</v>
      </c>
      <c r="C4217" s="18" t="s">
        <v>6014</v>
      </c>
      <c r="D4217" s="19" t="s">
        <v>6024</v>
      </c>
      <c r="E4217" s="9" t="s">
        <v>48</v>
      </c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</row>
    <row r="4218">
      <c r="A4218" s="16" t="s">
        <v>6003</v>
      </c>
      <c r="B4218" s="22" t="s">
        <v>6013</v>
      </c>
      <c r="C4218" s="18" t="s">
        <v>6025</v>
      </c>
      <c r="D4218" s="19" t="s">
        <v>6022</v>
      </c>
      <c r="E4218" s="9" t="s">
        <v>48</v>
      </c>
      <c r="F4218" s="9"/>
      <c r="G4218" s="9"/>
      <c r="H4218" s="9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9"/>
      <c r="AD4218" s="9"/>
    </row>
    <row r="4219">
      <c r="A4219" s="16" t="s">
        <v>6003</v>
      </c>
      <c r="B4219" s="22" t="s">
        <v>6013</v>
      </c>
      <c r="C4219" s="18" t="s">
        <v>6025</v>
      </c>
      <c r="D4219" s="19" t="s">
        <v>6023</v>
      </c>
      <c r="E4219" s="9" t="s">
        <v>48</v>
      </c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</row>
    <row r="4220">
      <c r="A4220" s="16" t="s">
        <v>6003</v>
      </c>
      <c r="B4220" s="22" t="s">
        <v>6026</v>
      </c>
      <c r="C4220" s="18" t="s">
        <v>6027</v>
      </c>
      <c r="D4220" s="19" t="s">
        <v>6028</v>
      </c>
      <c r="E4220" s="9" t="s">
        <v>48</v>
      </c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</row>
    <row r="4221">
      <c r="A4221" s="16" t="s">
        <v>6003</v>
      </c>
      <c r="B4221" s="22" t="s">
        <v>6029</v>
      </c>
      <c r="C4221" s="18" t="s">
        <v>6027</v>
      </c>
      <c r="D4221" s="19" t="s">
        <v>6030</v>
      </c>
      <c r="E4221" s="9" t="s">
        <v>48</v>
      </c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</row>
    <row r="4222">
      <c r="A4222" s="16" t="s">
        <v>6003</v>
      </c>
      <c r="B4222" s="22" t="s">
        <v>6031</v>
      </c>
      <c r="C4222" s="18" t="s">
        <v>6027</v>
      </c>
      <c r="D4222" s="19" t="s">
        <v>6032</v>
      </c>
      <c r="E4222" s="9" t="s">
        <v>48</v>
      </c>
      <c r="F4222" s="9"/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</row>
    <row r="4223">
      <c r="A4223" s="16" t="s">
        <v>6003</v>
      </c>
      <c r="B4223" s="22" t="s">
        <v>6033</v>
      </c>
      <c r="C4223" s="18" t="s">
        <v>6027</v>
      </c>
      <c r="D4223" s="19" t="s">
        <v>6034</v>
      </c>
      <c r="E4223" s="9" t="s">
        <v>48</v>
      </c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9"/>
    </row>
    <row r="4224">
      <c r="A4224" s="16" t="s">
        <v>6003</v>
      </c>
      <c r="B4224" s="22" t="s">
        <v>6035</v>
      </c>
      <c r="C4224" s="18" t="s">
        <v>6020</v>
      </c>
      <c r="D4224" s="19" t="s">
        <v>6036</v>
      </c>
      <c r="E4224" s="9" t="s">
        <v>48</v>
      </c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9"/>
      <c r="AD4224" s="9"/>
    </row>
    <row r="4225">
      <c r="A4225" s="16" t="s">
        <v>6003</v>
      </c>
      <c r="B4225" s="22" t="s">
        <v>5709</v>
      </c>
      <c r="C4225" s="18" t="s">
        <v>6037</v>
      </c>
      <c r="D4225" s="19" t="s">
        <v>6038</v>
      </c>
      <c r="E4225" s="18" t="s">
        <v>4624</v>
      </c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</row>
    <row r="4226">
      <c r="A4226" s="16" t="s">
        <v>6003</v>
      </c>
      <c r="B4226" s="22" t="s">
        <v>5709</v>
      </c>
      <c r="C4226" s="18" t="s">
        <v>6037</v>
      </c>
      <c r="D4226" s="19" t="s">
        <v>6039</v>
      </c>
      <c r="E4226" s="18" t="s">
        <v>4624</v>
      </c>
      <c r="F4226" s="9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</row>
    <row r="4227">
      <c r="A4227" s="16" t="s">
        <v>6003</v>
      </c>
      <c r="B4227" s="22" t="s">
        <v>5709</v>
      </c>
      <c r="C4227" s="18" t="s">
        <v>6037</v>
      </c>
      <c r="D4227" s="19" t="s">
        <v>6040</v>
      </c>
      <c r="E4227" s="18" t="s">
        <v>4624</v>
      </c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</row>
    <row r="4228">
      <c r="A4228" s="16" t="s">
        <v>6003</v>
      </c>
      <c r="B4228" s="22" t="s">
        <v>5709</v>
      </c>
      <c r="C4228" s="18" t="s">
        <v>6037</v>
      </c>
      <c r="D4228" s="19" t="s">
        <v>6041</v>
      </c>
      <c r="E4228" s="18" t="s">
        <v>4624</v>
      </c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</row>
    <row r="4229">
      <c r="A4229" s="16" t="s">
        <v>6003</v>
      </c>
      <c r="B4229" s="22" t="s">
        <v>6042</v>
      </c>
      <c r="C4229" s="18" t="s">
        <v>6043</v>
      </c>
      <c r="D4229" s="19" t="s">
        <v>6044</v>
      </c>
      <c r="E4229" s="20" t="s">
        <v>7</v>
      </c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9"/>
    </row>
    <row r="4230">
      <c r="A4230" s="16" t="s">
        <v>6003</v>
      </c>
      <c r="B4230" s="22" t="s">
        <v>6042</v>
      </c>
      <c r="C4230" s="18" t="s">
        <v>6045</v>
      </c>
      <c r="D4230" s="19" t="s">
        <v>6044</v>
      </c>
      <c r="E4230" s="20" t="s">
        <v>7</v>
      </c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9"/>
      <c r="AD4230" s="9"/>
    </row>
    <row r="4231">
      <c r="A4231" s="16" t="s">
        <v>6003</v>
      </c>
      <c r="B4231" s="22" t="s">
        <v>6042</v>
      </c>
      <c r="C4231" s="18" t="s">
        <v>6046</v>
      </c>
      <c r="D4231" s="19" t="s">
        <v>6047</v>
      </c>
      <c r="E4231" s="20" t="s">
        <v>7</v>
      </c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  <c r="AB4231" s="9"/>
      <c r="AC4231" s="9"/>
      <c r="AD4231" s="9"/>
    </row>
    <row r="4232">
      <c r="A4232" s="16" t="s">
        <v>6003</v>
      </c>
      <c r="B4232" s="22" t="s">
        <v>5302</v>
      </c>
      <c r="C4232" s="18" t="s">
        <v>6048</v>
      </c>
      <c r="D4232" s="19" t="s">
        <v>6049</v>
      </c>
      <c r="E4232" s="18" t="s">
        <v>4624</v>
      </c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</row>
    <row r="4233">
      <c r="A4233" s="16" t="s">
        <v>6003</v>
      </c>
      <c r="B4233" s="22" t="s">
        <v>5302</v>
      </c>
      <c r="C4233" s="18" t="s">
        <v>5533</v>
      </c>
      <c r="D4233" s="19" t="s">
        <v>611</v>
      </c>
      <c r="E4233" s="18" t="s">
        <v>4624</v>
      </c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</row>
    <row r="4234">
      <c r="A4234" s="16" t="s">
        <v>6003</v>
      </c>
      <c r="B4234" s="22" t="s">
        <v>6050</v>
      </c>
      <c r="C4234" s="18" t="s">
        <v>6051</v>
      </c>
      <c r="D4234" s="18" t="s">
        <v>6052</v>
      </c>
      <c r="E4234" s="18" t="s">
        <v>309</v>
      </c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</row>
    <row r="4235">
      <c r="A4235" s="16" t="s">
        <v>6003</v>
      </c>
      <c r="B4235" s="22" t="s">
        <v>6053</v>
      </c>
      <c r="C4235" s="18" t="s">
        <v>1433</v>
      </c>
      <c r="D4235" s="18" t="s">
        <v>6054</v>
      </c>
      <c r="E4235" s="18" t="s">
        <v>309</v>
      </c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9"/>
    </row>
    <row r="4236">
      <c r="A4236" s="16"/>
      <c r="B4236" s="19"/>
      <c r="C4236" s="18"/>
      <c r="D4236" s="19"/>
      <c r="E4236" s="173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9"/>
    </row>
    <row r="4237">
      <c r="A4237" s="16"/>
      <c r="B4237" s="19"/>
      <c r="C4237" s="18"/>
      <c r="D4237" s="19"/>
      <c r="E4237" s="173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</row>
    <row r="4238">
      <c r="A4238" s="16" t="s">
        <v>6055</v>
      </c>
      <c r="B4238" s="22" t="s">
        <v>6056</v>
      </c>
      <c r="C4238" s="18" t="s">
        <v>6057</v>
      </c>
      <c r="D4238" s="19" t="s">
        <v>6058</v>
      </c>
      <c r="E4238" s="18" t="s">
        <v>4624</v>
      </c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</row>
    <row r="4239">
      <c r="A4239" s="16" t="s">
        <v>6055</v>
      </c>
      <c r="B4239" s="22" t="s">
        <v>6056</v>
      </c>
      <c r="C4239" s="18" t="s">
        <v>6057</v>
      </c>
      <c r="D4239" s="19" t="s">
        <v>6058</v>
      </c>
      <c r="E4239" s="18" t="s">
        <v>4624</v>
      </c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</row>
    <row r="4240">
      <c r="A4240" s="16" t="s">
        <v>6055</v>
      </c>
      <c r="B4240" s="22" t="s">
        <v>6059</v>
      </c>
      <c r="C4240" s="18" t="s">
        <v>6060</v>
      </c>
      <c r="D4240" s="19" t="s">
        <v>6061</v>
      </c>
      <c r="E4240" s="9" t="s">
        <v>125</v>
      </c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</row>
    <row r="4241">
      <c r="A4241" s="16" t="s">
        <v>6055</v>
      </c>
      <c r="B4241" s="22" t="s">
        <v>5902</v>
      </c>
      <c r="C4241" s="18" t="s">
        <v>6062</v>
      </c>
      <c r="D4241" s="19" t="s">
        <v>6063</v>
      </c>
      <c r="E4241" s="18" t="s">
        <v>4624</v>
      </c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9"/>
    </row>
    <row r="4242">
      <c r="A4242" s="16" t="s">
        <v>6055</v>
      </c>
      <c r="B4242" s="22" t="s">
        <v>5902</v>
      </c>
      <c r="C4242" s="18" t="s">
        <v>6064</v>
      </c>
      <c r="D4242" s="19" t="s">
        <v>6063</v>
      </c>
      <c r="E4242" s="18" t="s">
        <v>4624</v>
      </c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9"/>
    </row>
    <row r="4243">
      <c r="A4243" s="16" t="s">
        <v>6055</v>
      </c>
      <c r="B4243" s="22" t="s">
        <v>5902</v>
      </c>
      <c r="C4243" s="18" t="s">
        <v>6065</v>
      </c>
      <c r="D4243" s="19" t="s">
        <v>6066</v>
      </c>
      <c r="E4243" s="18" t="s">
        <v>4624</v>
      </c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9"/>
    </row>
    <row r="4244">
      <c r="A4244" s="16" t="s">
        <v>6055</v>
      </c>
      <c r="B4244" s="22" t="s">
        <v>5902</v>
      </c>
      <c r="C4244" s="18" t="s">
        <v>5728</v>
      </c>
      <c r="D4244" s="19" t="s">
        <v>6067</v>
      </c>
      <c r="E4244" s="18" t="s">
        <v>4624</v>
      </c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</row>
    <row r="4245">
      <c r="A4245" s="16" t="s">
        <v>6055</v>
      </c>
      <c r="B4245" s="22" t="s">
        <v>5902</v>
      </c>
      <c r="C4245" s="18" t="s">
        <v>6065</v>
      </c>
      <c r="D4245" s="19" t="s">
        <v>6068</v>
      </c>
      <c r="E4245" s="18" t="s">
        <v>4624</v>
      </c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</row>
    <row r="4246">
      <c r="A4246" s="16" t="s">
        <v>6055</v>
      </c>
      <c r="B4246" s="22" t="s">
        <v>6069</v>
      </c>
      <c r="C4246" s="18" t="s">
        <v>6070</v>
      </c>
      <c r="D4246" s="19" t="s">
        <v>6071</v>
      </c>
      <c r="E4246" s="18" t="s">
        <v>4624</v>
      </c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</row>
    <row r="4247">
      <c r="A4247" s="16" t="s">
        <v>6055</v>
      </c>
      <c r="B4247" s="22" t="s">
        <v>6072</v>
      </c>
      <c r="C4247" s="18" t="s">
        <v>6073</v>
      </c>
      <c r="D4247" s="19" t="s">
        <v>6074</v>
      </c>
      <c r="E4247" s="23" t="s">
        <v>6075</v>
      </c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</row>
    <row r="4248">
      <c r="A4248" s="16" t="s">
        <v>6055</v>
      </c>
      <c r="B4248" s="22" t="s">
        <v>5302</v>
      </c>
      <c r="C4248" s="18" t="s">
        <v>6076</v>
      </c>
      <c r="D4248" s="19" t="s">
        <v>4217</v>
      </c>
      <c r="E4248" s="18" t="s">
        <v>4624</v>
      </c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</row>
    <row r="4249">
      <c r="A4249" s="16" t="s">
        <v>6055</v>
      </c>
      <c r="B4249" s="22" t="s">
        <v>5302</v>
      </c>
      <c r="C4249" s="18" t="s">
        <v>6048</v>
      </c>
      <c r="D4249" s="19" t="s">
        <v>6049</v>
      </c>
      <c r="E4249" s="18" t="s">
        <v>4624</v>
      </c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9"/>
      <c r="AD4249" s="9"/>
    </row>
    <row r="4250">
      <c r="A4250" s="16"/>
      <c r="B4250" s="19"/>
      <c r="C4250" s="18"/>
      <c r="D4250" s="19"/>
      <c r="E4250" s="173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</row>
    <row r="4251">
      <c r="A4251" s="16"/>
      <c r="B4251" s="19"/>
      <c r="C4251" s="18"/>
      <c r="D4251" s="19"/>
      <c r="E4251" s="173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9"/>
    </row>
    <row r="4252">
      <c r="A4252" s="16" t="s">
        <v>6077</v>
      </c>
      <c r="B4252" s="22" t="s">
        <v>6072</v>
      </c>
      <c r="C4252" s="18" t="s">
        <v>1529</v>
      </c>
      <c r="D4252" s="19" t="s">
        <v>6078</v>
      </c>
      <c r="E4252" s="18" t="s">
        <v>14</v>
      </c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</row>
    <row r="4253">
      <c r="A4253" s="16" t="s">
        <v>6077</v>
      </c>
      <c r="B4253" s="22" t="s">
        <v>6072</v>
      </c>
      <c r="C4253" s="18" t="s">
        <v>2258</v>
      </c>
      <c r="D4253" s="19" t="s">
        <v>6079</v>
      </c>
      <c r="E4253" s="18" t="s">
        <v>14</v>
      </c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9"/>
      <c r="AD4253" s="9"/>
    </row>
    <row r="4254">
      <c r="A4254" s="16" t="s">
        <v>6077</v>
      </c>
      <c r="B4254" s="22" t="s">
        <v>6072</v>
      </c>
      <c r="C4254" s="18" t="s">
        <v>6080</v>
      </c>
      <c r="D4254" s="19" t="s">
        <v>6081</v>
      </c>
      <c r="E4254" s="18" t="s">
        <v>14</v>
      </c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  <c r="AA4254" s="9"/>
      <c r="AB4254" s="9"/>
      <c r="AC4254" s="9"/>
      <c r="AD4254" s="9"/>
    </row>
    <row r="4255">
      <c r="A4255" s="16" t="s">
        <v>6077</v>
      </c>
      <c r="B4255" s="22" t="s">
        <v>6072</v>
      </c>
      <c r="C4255" s="18" t="s">
        <v>6082</v>
      </c>
      <c r="D4255" s="19" t="s">
        <v>6083</v>
      </c>
      <c r="E4255" s="18" t="s">
        <v>764</v>
      </c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9"/>
      <c r="AD4255" s="9"/>
    </row>
    <row r="4256">
      <c r="A4256" s="16" t="s">
        <v>6077</v>
      </c>
      <c r="B4256" s="22" t="s">
        <v>6072</v>
      </c>
      <c r="C4256" s="18" t="s">
        <v>6084</v>
      </c>
      <c r="D4256" s="19" t="s">
        <v>6085</v>
      </c>
      <c r="E4256" s="18" t="s">
        <v>309</v>
      </c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</row>
    <row r="4257">
      <c r="A4257" s="16" t="s">
        <v>6077</v>
      </c>
      <c r="B4257" s="22" t="s">
        <v>6072</v>
      </c>
      <c r="C4257" s="18" t="s">
        <v>786</v>
      </c>
      <c r="D4257" s="19" t="s">
        <v>6086</v>
      </c>
      <c r="E4257" s="18" t="s">
        <v>764</v>
      </c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</row>
    <row r="4258">
      <c r="A4258" s="16" t="s">
        <v>6077</v>
      </c>
      <c r="B4258" s="22" t="s">
        <v>6072</v>
      </c>
      <c r="C4258" s="18" t="s">
        <v>6087</v>
      </c>
      <c r="D4258" s="19" t="s">
        <v>6088</v>
      </c>
      <c r="E4258" s="18" t="s">
        <v>4261</v>
      </c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</row>
    <row r="4259">
      <c r="A4259" s="16" t="s">
        <v>6077</v>
      </c>
      <c r="B4259" s="22" t="s">
        <v>6072</v>
      </c>
      <c r="C4259" s="18" t="s">
        <v>6089</v>
      </c>
      <c r="D4259" s="19" t="s">
        <v>6090</v>
      </c>
      <c r="E4259" s="18" t="s">
        <v>764</v>
      </c>
      <c r="F4259" s="9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9"/>
    </row>
    <row r="4260">
      <c r="A4260" s="16" t="s">
        <v>6077</v>
      </c>
      <c r="B4260" s="22" t="s">
        <v>6072</v>
      </c>
      <c r="C4260" s="18" t="s">
        <v>4363</v>
      </c>
      <c r="D4260" s="19" t="s">
        <v>6088</v>
      </c>
      <c r="E4260" s="18" t="s">
        <v>4261</v>
      </c>
      <c r="F4260" s="9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9"/>
    </row>
    <row r="4261">
      <c r="A4261" s="16" t="s">
        <v>6077</v>
      </c>
      <c r="B4261" s="22" t="s">
        <v>6091</v>
      </c>
      <c r="C4261" s="18" t="s">
        <v>6092</v>
      </c>
      <c r="D4261" s="19" t="s">
        <v>6093</v>
      </c>
      <c r="E4261" s="18" t="s">
        <v>309</v>
      </c>
      <c r="F4261" s="9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9"/>
      <c r="AD4261" s="9"/>
    </row>
    <row r="4262">
      <c r="A4262" s="16"/>
      <c r="B4262" s="19"/>
      <c r="C4262" s="18"/>
      <c r="D4262" s="19"/>
      <c r="E4262" s="173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</row>
    <row r="4263">
      <c r="A4263" s="16"/>
      <c r="B4263" s="19"/>
      <c r="C4263" s="18"/>
      <c r="D4263" s="19"/>
      <c r="E4263" s="173"/>
      <c r="F4263" s="9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</row>
    <row r="4264">
      <c r="A4264" s="16" t="s">
        <v>6094</v>
      </c>
      <c r="B4264" s="22" t="s">
        <v>6004</v>
      </c>
      <c r="C4264" s="18" t="s">
        <v>6095</v>
      </c>
      <c r="D4264" s="18" t="s">
        <v>6096</v>
      </c>
      <c r="E4264" s="20" t="s">
        <v>7</v>
      </c>
      <c r="F4264" s="9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</row>
    <row r="4265">
      <c r="A4265" s="16" t="s">
        <v>6094</v>
      </c>
      <c r="B4265" s="22" t="s">
        <v>6004</v>
      </c>
      <c r="C4265" s="18" t="s">
        <v>6097</v>
      </c>
      <c r="D4265" s="18" t="s">
        <v>6096</v>
      </c>
      <c r="E4265" s="20" t="s">
        <v>7</v>
      </c>
      <c r="F4265" s="9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</row>
    <row r="4266">
      <c r="A4266" s="16" t="s">
        <v>6094</v>
      </c>
      <c r="B4266" s="22" t="s">
        <v>6004</v>
      </c>
      <c r="C4266" s="18" t="s">
        <v>6098</v>
      </c>
      <c r="D4266" s="18" t="s">
        <v>6096</v>
      </c>
      <c r="E4266" s="20" t="s">
        <v>7</v>
      </c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</row>
    <row r="4267">
      <c r="A4267" s="16" t="s">
        <v>6094</v>
      </c>
      <c r="B4267" s="22" t="s">
        <v>6004</v>
      </c>
      <c r="C4267" s="18" t="s">
        <v>6099</v>
      </c>
      <c r="D4267" s="18" t="s">
        <v>6096</v>
      </c>
      <c r="E4267" s="20" t="s">
        <v>7</v>
      </c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</row>
    <row r="4268">
      <c r="A4268" s="16" t="s">
        <v>6094</v>
      </c>
      <c r="B4268" s="22" t="s">
        <v>6004</v>
      </c>
      <c r="C4268" s="18" t="s">
        <v>6100</v>
      </c>
      <c r="D4268" s="18" t="s">
        <v>6096</v>
      </c>
      <c r="E4268" s="20" t="s">
        <v>7</v>
      </c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</row>
    <row r="4269">
      <c r="A4269" s="16" t="s">
        <v>6094</v>
      </c>
      <c r="B4269" s="22" t="s">
        <v>6004</v>
      </c>
      <c r="C4269" s="18" t="s">
        <v>6101</v>
      </c>
      <c r="D4269" s="18" t="s">
        <v>6096</v>
      </c>
      <c r="E4269" s="20" t="s">
        <v>7</v>
      </c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</row>
    <row r="4270">
      <c r="A4270" s="16" t="s">
        <v>6094</v>
      </c>
      <c r="B4270" s="22" t="s">
        <v>6072</v>
      </c>
      <c r="C4270" s="18" t="s">
        <v>5335</v>
      </c>
      <c r="D4270" s="18" t="s">
        <v>6102</v>
      </c>
      <c r="E4270" s="20" t="s">
        <v>7</v>
      </c>
      <c r="F4270" s="9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</row>
    <row r="4271">
      <c r="A4271" s="16" t="s">
        <v>6094</v>
      </c>
      <c r="B4271" s="22" t="s">
        <v>6072</v>
      </c>
      <c r="C4271" s="18" t="s">
        <v>2277</v>
      </c>
      <c r="D4271" s="18" t="s">
        <v>6103</v>
      </c>
      <c r="E4271" s="9" t="s">
        <v>764</v>
      </c>
      <c r="F4271" s="9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</row>
    <row r="4272">
      <c r="A4272" s="16" t="s">
        <v>6094</v>
      </c>
      <c r="B4272" s="22" t="s">
        <v>6072</v>
      </c>
      <c r="C4272" s="18" t="s">
        <v>6104</v>
      </c>
      <c r="D4272" s="18" t="s">
        <v>4422</v>
      </c>
      <c r="E4272" s="9" t="s">
        <v>4261</v>
      </c>
      <c r="F4272" s="9"/>
      <c r="G4272" s="9"/>
      <c r="H4272" s="9"/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</row>
    <row r="4273">
      <c r="A4273" s="16" t="s">
        <v>6094</v>
      </c>
      <c r="B4273" s="22" t="s">
        <v>6072</v>
      </c>
      <c r="C4273" s="18" t="s">
        <v>6105</v>
      </c>
      <c r="D4273" s="18" t="s">
        <v>6106</v>
      </c>
      <c r="E4273" s="9" t="s">
        <v>4261</v>
      </c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</row>
    <row r="4274">
      <c r="A4274" s="16" t="s">
        <v>6094</v>
      </c>
      <c r="B4274" s="22" t="s">
        <v>6072</v>
      </c>
      <c r="C4274" s="18" t="s">
        <v>6107</v>
      </c>
      <c r="D4274" s="18" t="s">
        <v>6108</v>
      </c>
      <c r="E4274" s="9" t="s">
        <v>14</v>
      </c>
      <c r="F4274" s="9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</row>
    <row r="4275">
      <c r="A4275" s="16" t="s">
        <v>6094</v>
      </c>
      <c r="B4275" s="22" t="s">
        <v>6072</v>
      </c>
      <c r="C4275" s="18" t="s">
        <v>6109</v>
      </c>
      <c r="D4275" s="18" t="s">
        <v>6110</v>
      </c>
      <c r="E4275" s="9" t="s">
        <v>4261</v>
      </c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</row>
    <row r="4276">
      <c r="A4276" s="16" t="s">
        <v>6094</v>
      </c>
      <c r="B4276" s="22" t="s">
        <v>6072</v>
      </c>
      <c r="C4276" s="18" t="s">
        <v>6111</v>
      </c>
      <c r="D4276" s="18" t="s">
        <v>6112</v>
      </c>
      <c r="E4276" s="9" t="s">
        <v>14</v>
      </c>
      <c r="F4276" s="9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</row>
    <row r="4277">
      <c r="A4277" s="16" t="s">
        <v>6094</v>
      </c>
      <c r="B4277" s="22" t="s">
        <v>6072</v>
      </c>
      <c r="C4277" s="18" t="s">
        <v>2620</v>
      </c>
      <c r="D4277" s="18" t="s">
        <v>6113</v>
      </c>
      <c r="E4277" s="9" t="s">
        <v>14</v>
      </c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</row>
    <row r="4278">
      <c r="A4278" s="16" t="s">
        <v>6094</v>
      </c>
      <c r="B4278" s="22" t="s">
        <v>6072</v>
      </c>
      <c r="C4278" s="18" t="s">
        <v>4039</v>
      </c>
      <c r="D4278" s="18" t="s">
        <v>6114</v>
      </c>
      <c r="E4278" s="20" t="s">
        <v>7</v>
      </c>
      <c r="F4278" s="9"/>
      <c r="G4278" s="9"/>
      <c r="H4278" s="9"/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</row>
    <row r="4279">
      <c r="A4279" s="16" t="s">
        <v>6094</v>
      </c>
      <c r="B4279" s="22" t="s">
        <v>6115</v>
      </c>
      <c r="C4279" s="18" t="s">
        <v>6116</v>
      </c>
      <c r="D4279" s="18" t="s">
        <v>6117</v>
      </c>
      <c r="E4279" s="9" t="s">
        <v>6118</v>
      </c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</row>
    <row r="4280">
      <c r="A4280" s="16" t="s">
        <v>6094</v>
      </c>
      <c r="B4280" s="22" t="s">
        <v>6115</v>
      </c>
      <c r="C4280" s="18" t="s">
        <v>6119</v>
      </c>
      <c r="D4280" s="18" t="s">
        <v>6117</v>
      </c>
      <c r="E4280" s="9" t="s">
        <v>6118</v>
      </c>
      <c r="F4280" s="9"/>
      <c r="G4280" s="9"/>
      <c r="H4280" s="9"/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</row>
    <row r="4281">
      <c r="A4281" s="16" t="s">
        <v>6094</v>
      </c>
      <c r="B4281" s="22" t="s">
        <v>6115</v>
      </c>
      <c r="C4281" s="18" t="s">
        <v>6120</v>
      </c>
      <c r="D4281" s="18" t="s">
        <v>6117</v>
      </c>
      <c r="E4281" s="9" t="s">
        <v>6118</v>
      </c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</row>
    <row r="4282">
      <c r="A4282" s="16" t="s">
        <v>6094</v>
      </c>
      <c r="B4282" s="22" t="s">
        <v>6121</v>
      </c>
      <c r="C4282" s="18" t="s">
        <v>6122</v>
      </c>
      <c r="D4282" s="18" t="s">
        <v>5942</v>
      </c>
      <c r="E4282" s="9" t="s">
        <v>1405</v>
      </c>
      <c r="F4282" s="9"/>
      <c r="G4282" s="9"/>
      <c r="H4282" s="9"/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</row>
    <row r="4283">
      <c r="A4283" s="16" t="s">
        <v>6094</v>
      </c>
      <c r="B4283" s="22" t="s">
        <v>6121</v>
      </c>
      <c r="C4283" s="18" t="s">
        <v>6123</v>
      </c>
      <c r="D4283" s="18" t="s">
        <v>6124</v>
      </c>
      <c r="E4283" s="9" t="s">
        <v>1405</v>
      </c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9"/>
      <c r="AD4283" s="9"/>
    </row>
    <row r="4284">
      <c r="A4284" s="16" t="s">
        <v>6094</v>
      </c>
      <c r="B4284" s="22" t="s">
        <v>6121</v>
      </c>
      <c r="C4284" s="18" t="s">
        <v>6125</v>
      </c>
      <c r="D4284" s="18" t="s">
        <v>6126</v>
      </c>
      <c r="E4284" s="9" t="s">
        <v>4261</v>
      </c>
      <c r="F4284" s="9"/>
      <c r="G4284" s="9"/>
      <c r="H4284" s="9"/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</row>
    <row r="4285">
      <c r="A4285" s="16" t="s">
        <v>6094</v>
      </c>
      <c r="B4285" s="22" t="s">
        <v>6121</v>
      </c>
      <c r="C4285" s="18" t="s">
        <v>5896</v>
      </c>
      <c r="D4285" s="18" t="s">
        <v>6127</v>
      </c>
      <c r="E4285" s="9" t="s">
        <v>764</v>
      </c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</row>
    <row r="4286">
      <c r="A4286" s="16" t="s">
        <v>6094</v>
      </c>
      <c r="B4286" s="22" t="s">
        <v>6128</v>
      </c>
      <c r="C4286" s="18" t="s">
        <v>3940</v>
      </c>
      <c r="D4286" s="18" t="s">
        <v>6129</v>
      </c>
      <c r="E4286" s="9" t="s">
        <v>4493</v>
      </c>
      <c r="F4286" s="9"/>
      <c r="G4286" s="9"/>
      <c r="H4286" s="9"/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</row>
    <row r="4287">
      <c r="A4287" s="16" t="s">
        <v>6094</v>
      </c>
      <c r="B4287" s="22" t="s">
        <v>6130</v>
      </c>
      <c r="C4287" s="18" t="s">
        <v>6131</v>
      </c>
      <c r="D4287" s="18" t="s">
        <v>6132</v>
      </c>
      <c r="E4287" s="18" t="s">
        <v>309</v>
      </c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</row>
    <row r="4288">
      <c r="A4288" s="16" t="s">
        <v>6094</v>
      </c>
      <c r="B4288" s="19" t="s">
        <v>6133</v>
      </c>
      <c r="C4288" s="18" t="s">
        <v>1350</v>
      </c>
      <c r="D4288" s="18" t="s">
        <v>6134</v>
      </c>
      <c r="E4288" s="9" t="s">
        <v>229</v>
      </c>
      <c r="F4288" s="9"/>
      <c r="G4288" s="9"/>
      <c r="H4288" s="9"/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</row>
    <row r="4289">
      <c r="A4289" s="16"/>
      <c r="B4289" s="19"/>
      <c r="C4289" s="18"/>
      <c r="D4289" s="19"/>
      <c r="E4289" s="173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</row>
    <row r="4290">
      <c r="A4290" s="16"/>
      <c r="B4290" s="19"/>
      <c r="C4290" s="18"/>
      <c r="D4290" s="19"/>
      <c r="E4290" s="173"/>
      <c r="F4290" s="9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</row>
    <row r="4291">
      <c r="A4291" s="16" t="s">
        <v>6135</v>
      </c>
      <c r="B4291" s="22" t="s">
        <v>6136</v>
      </c>
      <c r="C4291" s="18" t="s">
        <v>6137</v>
      </c>
      <c r="D4291" s="19" t="s">
        <v>6138</v>
      </c>
      <c r="E4291" s="9" t="s">
        <v>764</v>
      </c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</row>
    <row r="4292">
      <c r="A4292" s="16" t="s">
        <v>6135</v>
      </c>
      <c r="B4292" s="22" t="s">
        <v>6139</v>
      </c>
      <c r="C4292" s="18" t="s">
        <v>6140</v>
      </c>
      <c r="D4292" s="19" t="s">
        <v>6141</v>
      </c>
      <c r="E4292" s="9" t="s">
        <v>764</v>
      </c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</row>
    <row r="4293">
      <c r="A4293" s="16" t="s">
        <v>6135</v>
      </c>
      <c r="B4293" s="22" t="s">
        <v>6142</v>
      </c>
      <c r="C4293" s="18" t="s">
        <v>6105</v>
      </c>
      <c r="D4293" s="19" t="s">
        <v>6143</v>
      </c>
      <c r="E4293" s="9" t="s">
        <v>2625</v>
      </c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</row>
    <row r="4294">
      <c r="A4294" s="16" t="s">
        <v>6135</v>
      </c>
      <c r="B4294" s="22" t="s">
        <v>6142</v>
      </c>
      <c r="C4294" s="18" t="s">
        <v>6144</v>
      </c>
      <c r="D4294" s="19" t="s">
        <v>6145</v>
      </c>
      <c r="E4294" s="9" t="s">
        <v>2625</v>
      </c>
      <c r="F4294" s="9"/>
      <c r="G4294" s="9"/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</row>
    <row r="4295">
      <c r="A4295" s="16" t="s">
        <v>6135</v>
      </c>
      <c r="B4295" s="22" t="s">
        <v>5948</v>
      </c>
      <c r="C4295" s="18" t="s">
        <v>6146</v>
      </c>
      <c r="D4295" s="19" t="s">
        <v>6147</v>
      </c>
      <c r="E4295" s="20" t="s">
        <v>7</v>
      </c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9"/>
      <c r="AD4295" s="9"/>
    </row>
    <row r="4296">
      <c r="A4296" s="16" t="s">
        <v>6135</v>
      </c>
      <c r="B4296" s="22" t="s">
        <v>5948</v>
      </c>
      <c r="C4296" s="18" t="s">
        <v>6148</v>
      </c>
      <c r="D4296" s="19" t="s">
        <v>6147</v>
      </c>
      <c r="E4296" s="20" t="s">
        <v>7</v>
      </c>
      <c r="F4296" s="9"/>
      <c r="G4296" s="9"/>
      <c r="H4296" s="9"/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9"/>
    </row>
    <row r="4297">
      <c r="A4297" s="16" t="s">
        <v>6135</v>
      </c>
      <c r="B4297" s="22" t="s">
        <v>5948</v>
      </c>
      <c r="C4297" s="18" t="s">
        <v>3486</v>
      </c>
      <c r="D4297" s="19" t="s">
        <v>6147</v>
      </c>
      <c r="E4297" s="20" t="s">
        <v>7</v>
      </c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</row>
    <row r="4298">
      <c r="A4298" s="16" t="s">
        <v>6135</v>
      </c>
      <c r="B4298" s="22" t="s">
        <v>5948</v>
      </c>
      <c r="C4298" s="18" t="s">
        <v>6146</v>
      </c>
      <c r="D4298" s="19" t="s">
        <v>6149</v>
      </c>
      <c r="E4298" s="20" t="s">
        <v>7</v>
      </c>
      <c r="F4298" s="9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</row>
    <row r="4299">
      <c r="A4299" s="16" t="s">
        <v>6135</v>
      </c>
      <c r="B4299" s="22" t="s">
        <v>5948</v>
      </c>
      <c r="C4299" s="18" t="s">
        <v>6150</v>
      </c>
      <c r="D4299" s="19" t="s">
        <v>6149</v>
      </c>
      <c r="E4299" s="20" t="s">
        <v>7</v>
      </c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</row>
    <row r="4300">
      <c r="A4300" s="16" t="s">
        <v>6135</v>
      </c>
      <c r="B4300" s="22" t="s">
        <v>5948</v>
      </c>
      <c r="C4300" s="18" t="s">
        <v>6151</v>
      </c>
      <c r="D4300" s="19" t="s">
        <v>6149</v>
      </c>
      <c r="E4300" s="20" t="s">
        <v>7</v>
      </c>
      <c r="F4300" s="9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</row>
    <row r="4301">
      <c r="A4301" s="16" t="s">
        <v>6135</v>
      </c>
      <c r="B4301" s="22" t="s">
        <v>5948</v>
      </c>
      <c r="C4301" s="18" t="s">
        <v>6146</v>
      </c>
      <c r="D4301" s="19" t="s">
        <v>6152</v>
      </c>
      <c r="E4301" s="20" t="s">
        <v>7</v>
      </c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</row>
    <row r="4302">
      <c r="A4302" s="16" t="s">
        <v>6135</v>
      </c>
      <c r="B4302" s="22" t="s">
        <v>5948</v>
      </c>
      <c r="C4302" s="18" t="s">
        <v>6153</v>
      </c>
      <c r="D4302" s="19" t="s">
        <v>6152</v>
      </c>
      <c r="E4302" s="20" t="s">
        <v>7</v>
      </c>
      <c r="F4302" s="9"/>
      <c r="G4302" s="9"/>
      <c r="H4302" s="9"/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</row>
    <row r="4303">
      <c r="A4303" s="16" t="s">
        <v>6135</v>
      </c>
      <c r="B4303" s="22" t="s">
        <v>5948</v>
      </c>
      <c r="C4303" s="18" t="s">
        <v>6154</v>
      </c>
      <c r="D4303" s="19" t="s">
        <v>6152</v>
      </c>
      <c r="E4303" s="20" t="s">
        <v>7</v>
      </c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9"/>
    </row>
    <row r="4304">
      <c r="A4304" s="16" t="s">
        <v>6135</v>
      </c>
      <c r="B4304" s="22" t="s">
        <v>6155</v>
      </c>
      <c r="C4304" s="18" t="s">
        <v>3193</v>
      </c>
      <c r="D4304" s="19" t="s">
        <v>6117</v>
      </c>
      <c r="E4304" s="9" t="s">
        <v>2625</v>
      </c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</row>
    <row r="4305">
      <c r="A4305" s="16" t="s">
        <v>6135</v>
      </c>
      <c r="B4305" s="22" t="s">
        <v>6156</v>
      </c>
      <c r="C4305" s="18" t="s">
        <v>6157</v>
      </c>
      <c r="D4305" s="19" t="s">
        <v>6158</v>
      </c>
      <c r="E4305" s="9" t="s">
        <v>764</v>
      </c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9"/>
    </row>
    <row r="4306">
      <c r="A4306" s="16" t="s">
        <v>6135</v>
      </c>
      <c r="B4306" s="22" t="s">
        <v>6156</v>
      </c>
      <c r="C4306" s="18" t="s">
        <v>5896</v>
      </c>
      <c r="D4306" s="19" t="s">
        <v>6159</v>
      </c>
      <c r="E4306" s="9" t="s">
        <v>764</v>
      </c>
      <c r="F4306" s="9"/>
      <c r="G4306" s="9"/>
      <c r="H4306" s="9"/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</row>
    <row r="4307">
      <c r="A4307" s="16" t="s">
        <v>6135</v>
      </c>
      <c r="B4307" s="22" t="s">
        <v>6160</v>
      </c>
      <c r="C4307" s="18" t="s">
        <v>6161</v>
      </c>
      <c r="D4307" s="19" t="s">
        <v>6162</v>
      </c>
      <c r="E4307" s="23" t="s">
        <v>6163</v>
      </c>
      <c r="F4307" s="9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9"/>
    </row>
    <row r="4308">
      <c r="A4308" s="16" t="s">
        <v>6135</v>
      </c>
      <c r="B4308" s="22" t="s">
        <v>6056</v>
      </c>
      <c r="C4308" s="18" t="s">
        <v>6057</v>
      </c>
      <c r="D4308" s="19" t="s">
        <v>6164</v>
      </c>
      <c r="E4308" s="18" t="s">
        <v>4624</v>
      </c>
      <c r="F4308" s="9"/>
      <c r="G4308" s="9"/>
      <c r="H4308" s="9"/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9"/>
    </row>
    <row r="4309">
      <c r="A4309" s="16" t="s">
        <v>6135</v>
      </c>
      <c r="B4309" s="22" t="s">
        <v>6056</v>
      </c>
      <c r="C4309" s="18" t="s">
        <v>6165</v>
      </c>
      <c r="D4309" s="19" t="s">
        <v>85</v>
      </c>
      <c r="E4309" s="18" t="s">
        <v>4624</v>
      </c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</row>
    <row r="4310">
      <c r="A4310" s="16" t="s">
        <v>6135</v>
      </c>
      <c r="B4310" s="22" t="s">
        <v>6056</v>
      </c>
      <c r="C4310" s="18" t="s">
        <v>6166</v>
      </c>
      <c r="D4310" s="19" t="s">
        <v>85</v>
      </c>
      <c r="E4310" s="18" t="s">
        <v>4624</v>
      </c>
      <c r="F4310" s="9"/>
      <c r="G4310" s="9"/>
      <c r="H4310" s="9"/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</row>
    <row r="4311">
      <c r="A4311" s="16" t="s">
        <v>6135</v>
      </c>
      <c r="B4311" s="22" t="s">
        <v>6056</v>
      </c>
      <c r="C4311" s="18" t="s">
        <v>6167</v>
      </c>
      <c r="D4311" s="19" t="s">
        <v>85</v>
      </c>
      <c r="E4311" s="18" t="s">
        <v>4624</v>
      </c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</row>
    <row r="4312">
      <c r="A4312" s="16" t="s">
        <v>6135</v>
      </c>
      <c r="B4312" s="22" t="s">
        <v>6056</v>
      </c>
      <c r="C4312" s="18" t="s">
        <v>6168</v>
      </c>
      <c r="D4312" s="19" t="s">
        <v>6169</v>
      </c>
      <c r="E4312" s="18" t="s">
        <v>4624</v>
      </c>
      <c r="F4312" s="9"/>
      <c r="G4312" s="9"/>
      <c r="H4312" s="9"/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</row>
    <row r="4313">
      <c r="A4313" s="16"/>
      <c r="B4313" s="19"/>
      <c r="C4313" s="18"/>
      <c r="D4313" s="19"/>
      <c r="E4313" s="173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</row>
    <row r="4314">
      <c r="A4314" s="16"/>
      <c r="B4314" s="19"/>
      <c r="C4314" s="18"/>
      <c r="D4314" s="19"/>
      <c r="E4314" s="173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</row>
    <row r="4315">
      <c r="A4315" s="16" t="s">
        <v>6170</v>
      </c>
      <c r="B4315" s="22" t="s">
        <v>6056</v>
      </c>
      <c r="C4315" s="18" t="s">
        <v>6057</v>
      </c>
      <c r="D4315" s="19" t="s">
        <v>6171</v>
      </c>
      <c r="E4315" s="23" t="s">
        <v>6172</v>
      </c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9"/>
      <c r="AD4315" s="9"/>
    </row>
    <row r="4316">
      <c r="A4316" s="16" t="s">
        <v>6170</v>
      </c>
      <c r="B4316" s="22" t="s">
        <v>6056</v>
      </c>
      <c r="C4316" s="18" t="s">
        <v>6057</v>
      </c>
      <c r="D4316" s="19" t="s">
        <v>6173</v>
      </c>
      <c r="E4316" s="23" t="s">
        <v>6172</v>
      </c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</row>
    <row r="4317">
      <c r="A4317" s="16" t="s">
        <v>6170</v>
      </c>
      <c r="B4317" s="22" t="s">
        <v>6056</v>
      </c>
      <c r="C4317" s="18" t="s">
        <v>6057</v>
      </c>
      <c r="D4317" s="19" t="s">
        <v>6174</v>
      </c>
      <c r="E4317" s="23" t="s">
        <v>6172</v>
      </c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</row>
    <row r="4318">
      <c r="A4318" s="16" t="s">
        <v>6170</v>
      </c>
      <c r="B4318" s="22" t="s">
        <v>6155</v>
      </c>
      <c r="C4318" s="18" t="s">
        <v>885</v>
      </c>
      <c r="D4318" s="19" t="s">
        <v>6117</v>
      </c>
      <c r="E4318" s="23" t="s">
        <v>14</v>
      </c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9"/>
    </row>
    <row r="4319">
      <c r="A4319" s="16" t="s">
        <v>6170</v>
      </c>
      <c r="B4319" s="22" t="s">
        <v>6175</v>
      </c>
      <c r="C4319" s="18" t="s">
        <v>6151</v>
      </c>
      <c r="D4319" s="19" t="s">
        <v>6176</v>
      </c>
      <c r="E4319" s="20" t="s">
        <v>7</v>
      </c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</row>
    <row r="4320">
      <c r="A4320" s="16" t="s">
        <v>6170</v>
      </c>
      <c r="B4320" s="22" t="s">
        <v>6175</v>
      </c>
      <c r="C4320" s="18" t="s">
        <v>6151</v>
      </c>
      <c r="D4320" s="19" t="s">
        <v>6176</v>
      </c>
      <c r="E4320" s="20" t="s">
        <v>7</v>
      </c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</row>
    <row r="4321">
      <c r="A4321" s="16" t="s">
        <v>6170</v>
      </c>
      <c r="B4321" s="22" t="s">
        <v>6175</v>
      </c>
      <c r="C4321" s="18" t="s">
        <v>6151</v>
      </c>
      <c r="D4321" s="19" t="s">
        <v>6176</v>
      </c>
      <c r="E4321" s="20" t="s">
        <v>7</v>
      </c>
      <c r="F4321" s="9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</row>
    <row r="4322">
      <c r="A4322" s="16" t="s">
        <v>6170</v>
      </c>
      <c r="B4322" s="22" t="s">
        <v>6175</v>
      </c>
      <c r="C4322" s="18" t="s">
        <v>6177</v>
      </c>
      <c r="D4322" s="19" t="s">
        <v>6178</v>
      </c>
      <c r="E4322" s="20" t="s">
        <v>7</v>
      </c>
      <c r="F4322" s="9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</row>
    <row r="4323">
      <c r="A4323" s="16" t="s">
        <v>6170</v>
      </c>
      <c r="B4323" s="22" t="s">
        <v>6175</v>
      </c>
      <c r="C4323" s="18" t="s">
        <v>2186</v>
      </c>
      <c r="D4323" s="19" t="s">
        <v>6179</v>
      </c>
      <c r="E4323" s="18" t="s">
        <v>309</v>
      </c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</row>
    <row r="4324">
      <c r="A4324" s="16" t="s">
        <v>6170</v>
      </c>
      <c r="B4324" s="22" t="s">
        <v>6175</v>
      </c>
      <c r="C4324" s="18" t="s">
        <v>6180</v>
      </c>
      <c r="D4324" s="19" t="s">
        <v>6179</v>
      </c>
      <c r="E4324" s="18" t="s">
        <v>309</v>
      </c>
      <c r="F4324" s="9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</row>
    <row r="4325">
      <c r="A4325" s="16" t="s">
        <v>6170</v>
      </c>
      <c r="B4325" s="22" t="s">
        <v>6004</v>
      </c>
      <c r="C4325" s="18" t="s">
        <v>6101</v>
      </c>
      <c r="D4325" s="19" t="s">
        <v>6096</v>
      </c>
      <c r="E4325" s="20" t="s">
        <v>7</v>
      </c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</row>
    <row r="4326">
      <c r="A4326" s="16" t="s">
        <v>6170</v>
      </c>
      <c r="B4326" s="19" t="s">
        <v>6181</v>
      </c>
      <c r="C4326" s="18" t="s">
        <v>6182</v>
      </c>
      <c r="D4326" s="19" t="s">
        <v>6183</v>
      </c>
      <c r="E4326" s="18" t="s">
        <v>4624</v>
      </c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</row>
    <row r="4327">
      <c r="A4327" s="16"/>
      <c r="B4327" s="19"/>
      <c r="C4327" s="18"/>
      <c r="D4327" s="19"/>
      <c r="E4327" s="173"/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</row>
    <row r="4328">
      <c r="A4328" s="16"/>
      <c r="B4328" s="19"/>
      <c r="C4328" s="18"/>
      <c r="D4328" s="19"/>
      <c r="E4328" s="173"/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</row>
    <row r="4329">
      <c r="A4329" s="16" t="s">
        <v>6184</v>
      </c>
      <c r="B4329" s="22" t="s">
        <v>6185</v>
      </c>
      <c r="C4329" s="18" t="s">
        <v>6186</v>
      </c>
      <c r="D4329" s="19" t="s">
        <v>6187</v>
      </c>
      <c r="E4329" s="9" t="s">
        <v>6188</v>
      </c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</row>
    <row r="4330">
      <c r="A4330" s="16" t="s">
        <v>6184</v>
      </c>
      <c r="B4330" s="22" t="s">
        <v>6189</v>
      </c>
      <c r="C4330" s="18" t="s">
        <v>1470</v>
      </c>
      <c r="D4330" s="19" t="s">
        <v>6190</v>
      </c>
      <c r="E4330" s="9" t="s">
        <v>14</v>
      </c>
      <c r="F4330" s="9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</row>
    <row r="4331">
      <c r="A4331" s="16" t="s">
        <v>6184</v>
      </c>
      <c r="B4331" s="19" t="s">
        <v>6191</v>
      </c>
      <c r="C4331" s="18" t="s">
        <v>6192</v>
      </c>
      <c r="D4331" s="19" t="s">
        <v>6193</v>
      </c>
      <c r="E4331" s="18" t="s">
        <v>309</v>
      </c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</row>
    <row r="4332">
      <c r="A4332" s="16" t="s">
        <v>6184</v>
      </c>
      <c r="B4332" s="19" t="s">
        <v>6191</v>
      </c>
      <c r="C4332" s="18" t="s">
        <v>6194</v>
      </c>
      <c r="D4332" s="19" t="s">
        <v>6193</v>
      </c>
      <c r="E4332" s="18" t="s">
        <v>309</v>
      </c>
      <c r="F4332" s="9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</row>
    <row r="4333">
      <c r="A4333" s="16" t="s">
        <v>6184</v>
      </c>
      <c r="B4333" s="19" t="s">
        <v>6191</v>
      </c>
      <c r="C4333" s="18" t="s">
        <v>6195</v>
      </c>
      <c r="D4333" s="19" t="s">
        <v>6193</v>
      </c>
      <c r="E4333" s="18" t="s">
        <v>309</v>
      </c>
      <c r="F4333" s="9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</row>
    <row r="4334">
      <c r="A4334" s="16" t="s">
        <v>6184</v>
      </c>
      <c r="B4334" s="19" t="s">
        <v>6191</v>
      </c>
      <c r="C4334" s="18" t="s">
        <v>1199</v>
      </c>
      <c r="D4334" s="19" t="s">
        <v>6193</v>
      </c>
      <c r="E4334" s="18" t="s">
        <v>309</v>
      </c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</row>
    <row r="4335">
      <c r="A4335" s="16" t="s">
        <v>6184</v>
      </c>
      <c r="B4335" s="19" t="s">
        <v>6191</v>
      </c>
      <c r="C4335" s="18" t="s">
        <v>6196</v>
      </c>
      <c r="D4335" s="19" t="s">
        <v>6193</v>
      </c>
      <c r="E4335" s="18" t="s">
        <v>309</v>
      </c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</row>
    <row r="4336">
      <c r="A4336" s="16" t="s">
        <v>6184</v>
      </c>
      <c r="B4336" s="22" t="s">
        <v>6156</v>
      </c>
      <c r="C4336" s="18" t="s">
        <v>6197</v>
      </c>
      <c r="D4336" s="19" t="s">
        <v>1287</v>
      </c>
      <c r="E4336" s="18" t="s">
        <v>4624</v>
      </c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</row>
    <row r="4337">
      <c r="A4337" s="16" t="s">
        <v>6184</v>
      </c>
      <c r="B4337" s="22" t="s">
        <v>6156</v>
      </c>
      <c r="C4337" s="18" t="s">
        <v>6197</v>
      </c>
      <c r="D4337" s="19" t="s">
        <v>6198</v>
      </c>
      <c r="E4337" s="18" t="s">
        <v>4624</v>
      </c>
      <c r="F4337" s="9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</row>
    <row r="4338">
      <c r="A4338" s="16" t="s">
        <v>6184</v>
      </c>
      <c r="B4338" s="22" t="s">
        <v>6156</v>
      </c>
      <c r="C4338" s="18" t="s">
        <v>5896</v>
      </c>
      <c r="D4338" s="19" t="s">
        <v>6199</v>
      </c>
      <c r="E4338" s="18" t="s">
        <v>4624</v>
      </c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</row>
    <row r="4339">
      <c r="A4339" s="16" t="s">
        <v>6184</v>
      </c>
      <c r="B4339" s="22" t="s">
        <v>6156</v>
      </c>
      <c r="C4339" s="18" t="s">
        <v>5896</v>
      </c>
      <c r="D4339" s="19" t="s">
        <v>6200</v>
      </c>
      <c r="E4339" s="20" t="s">
        <v>7</v>
      </c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</row>
    <row r="4340">
      <c r="A4340" s="16" t="s">
        <v>6184</v>
      </c>
      <c r="B4340" s="22" t="s">
        <v>6156</v>
      </c>
      <c r="C4340" s="18" t="s">
        <v>5896</v>
      </c>
      <c r="D4340" s="19" t="s">
        <v>6201</v>
      </c>
      <c r="E4340" s="20" t="s">
        <v>7</v>
      </c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</row>
    <row r="4341">
      <c r="A4341" s="16" t="s">
        <v>6184</v>
      </c>
      <c r="B4341" s="22" t="s">
        <v>6156</v>
      </c>
      <c r="C4341" s="18" t="s">
        <v>5896</v>
      </c>
      <c r="D4341" s="19" t="s">
        <v>6202</v>
      </c>
      <c r="E4341" s="23" t="s">
        <v>6203</v>
      </c>
      <c r="F4341" s="9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</row>
    <row r="4342">
      <c r="A4342" s="16" t="s">
        <v>6184</v>
      </c>
      <c r="B4342" s="22" t="s">
        <v>6156</v>
      </c>
      <c r="C4342" s="18" t="s">
        <v>6204</v>
      </c>
      <c r="D4342" s="19" t="s">
        <v>6205</v>
      </c>
      <c r="E4342" s="23" t="s">
        <v>764</v>
      </c>
      <c r="F4342" s="9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</row>
    <row r="4343">
      <c r="A4343" s="16" t="s">
        <v>6184</v>
      </c>
      <c r="B4343" s="22" t="s">
        <v>6156</v>
      </c>
      <c r="C4343" s="18" t="s">
        <v>6123</v>
      </c>
      <c r="D4343" s="19" t="s">
        <v>6206</v>
      </c>
      <c r="E4343" s="23" t="s">
        <v>3824</v>
      </c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</row>
    <row r="4344">
      <c r="A4344" s="16" t="s">
        <v>6184</v>
      </c>
      <c r="B4344" s="22" t="s">
        <v>6156</v>
      </c>
      <c r="C4344" s="18" t="s">
        <v>6123</v>
      </c>
      <c r="D4344" s="19" t="s">
        <v>6207</v>
      </c>
      <c r="E4344" s="18" t="s">
        <v>5887</v>
      </c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</row>
    <row r="4345">
      <c r="A4345" s="16" t="s">
        <v>6184</v>
      </c>
      <c r="B4345" s="22" t="s">
        <v>6156</v>
      </c>
      <c r="C4345" s="18" t="s">
        <v>6123</v>
      </c>
      <c r="D4345" s="19" t="s">
        <v>6207</v>
      </c>
      <c r="E4345" s="18" t="s">
        <v>5887</v>
      </c>
      <c r="F4345" s="9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</row>
    <row r="4346">
      <c r="A4346" s="16" t="s">
        <v>6184</v>
      </c>
      <c r="B4346" s="22" t="s">
        <v>6156</v>
      </c>
      <c r="C4346" s="18" t="s">
        <v>6208</v>
      </c>
      <c r="D4346" s="19" t="s">
        <v>6209</v>
      </c>
      <c r="E4346" s="20" t="s">
        <v>7</v>
      </c>
      <c r="F4346" s="9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</row>
    <row r="4347">
      <c r="A4347" s="16" t="s">
        <v>6184</v>
      </c>
      <c r="B4347" s="22" t="s">
        <v>6156</v>
      </c>
      <c r="C4347" s="18" t="s">
        <v>5896</v>
      </c>
      <c r="D4347" s="19" t="s">
        <v>6210</v>
      </c>
      <c r="E4347" s="20" t="s">
        <v>7</v>
      </c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</row>
    <row r="4348">
      <c r="A4348" s="16" t="s">
        <v>6184</v>
      </c>
      <c r="B4348" s="22" t="s">
        <v>6156</v>
      </c>
      <c r="C4348" s="18" t="s">
        <v>5896</v>
      </c>
      <c r="D4348" s="19" t="s">
        <v>6211</v>
      </c>
      <c r="E4348" s="20" t="s">
        <v>7</v>
      </c>
      <c r="F4348" s="9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</row>
    <row r="4349">
      <c r="A4349" s="16" t="s">
        <v>6184</v>
      </c>
      <c r="B4349" s="22" t="s">
        <v>6156</v>
      </c>
      <c r="C4349" s="18" t="s">
        <v>6123</v>
      </c>
      <c r="D4349" s="19" t="s">
        <v>6212</v>
      </c>
      <c r="E4349" s="20" t="s">
        <v>7</v>
      </c>
      <c r="F4349" s="9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9"/>
    </row>
    <row r="4350">
      <c r="A4350" s="16" t="s">
        <v>6184</v>
      </c>
      <c r="B4350" s="22" t="s">
        <v>6156</v>
      </c>
      <c r="C4350" s="18" t="s">
        <v>5896</v>
      </c>
      <c r="D4350" s="19" t="s">
        <v>6213</v>
      </c>
      <c r="E4350" s="20" t="s">
        <v>7</v>
      </c>
      <c r="F4350" s="9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9"/>
    </row>
    <row r="4351">
      <c r="A4351" s="16" t="s">
        <v>6184</v>
      </c>
      <c r="B4351" s="22" t="s">
        <v>6214</v>
      </c>
      <c r="C4351" s="18" t="s">
        <v>5194</v>
      </c>
      <c r="D4351" s="19" t="s">
        <v>511</v>
      </c>
      <c r="E4351" s="9" t="s">
        <v>14</v>
      </c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9"/>
    </row>
    <row r="4352">
      <c r="A4352" s="16" t="s">
        <v>6184</v>
      </c>
      <c r="B4352" s="22" t="s">
        <v>6130</v>
      </c>
      <c r="C4352" s="18" t="s">
        <v>6215</v>
      </c>
      <c r="D4352" s="19" t="s">
        <v>2833</v>
      </c>
      <c r="E4352" s="18" t="s">
        <v>309</v>
      </c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</row>
    <row r="4353">
      <c r="A4353" s="16" t="s">
        <v>6184</v>
      </c>
      <c r="B4353" s="22" t="s">
        <v>6216</v>
      </c>
      <c r="C4353" s="18" t="s">
        <v>6217</v>
      </c>
      <c r="D4353" s="19" t="s">
        <v>6218</v>
      </c>
      <c r="E4353" s="23" t="s">
        <v>764</v>
      </c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</row>
    <row r="4354">
      <c r="A4354" s="16" t="s">
        <v>6184</v>
      </c>
      <c r="B4354" s="22" t="s">
        <v>6115</v>
      </c>
      <c r="C4354" s="18" t="s">
        <v>6219</v>
      </c>
      <c r="D4354" s="18" t="s">
        <v>6117</v>
      </c>
      <c r="E4354" s="20" t="s">
        <v>7</v>
      </c>
      <c r="F4354" s="9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</row>
    <row r="4355">
      <c r="A4355" s="16"/>
      <c r="B4355" s="19"/>
      <c r="C4355" s="18"/>
      <c r="D4355" s="19"/>
      <c r="E4355" s="173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</row>
    <row r="4356">
      <c r="A4356" s="16"/>
      <c r="B4356" s="19"/>
      <c r="C4356" s="18"/>
      <c r="D4356" s="19"/>
      <c r="E4356" s="173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</row>
    <row r="4357">
      <c r="A4357" s="16" t="s">
        <v>6220</v>
      </c>
      <c r="B4357" s="22" t="s">
        <v>6175</v>
      </c>
      <c r="C4357" s="18" t="s">
        <v>6180</v>
      </c>
      <c r="D4357" s="19" t="s">
        <v>6221</v>
      </c>
      <c r="E4357" s="9" t="s">
        <v>14</v>
      </c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</row>
    <row r="4358">
      <c r="A4358" s="16" t="s">
        <v>6220</v>
      </c>
      <c r="B4358" s="22" t="s">
        <v>6175</v>
      </c>
      <c r="C4358" s="18" t="s">
        <v>6180</v>
      </c>
      <c r="D4358" s="18" t="s">
        <v>6222</v>
      </c>
      <c r="E4358" s="18" t="s">
        <v>6223</v>
      </c>
      <c r="F4358" s="9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</row>
    <row r="4359">
      <c r="A4359" s="16" t="s">
        <v>6220</v>
      </c>
      <c r="B4359" s="22" t="s">
        <v>6175</v>
      </c>
      <c r="C4359" s="18" t="s">
        <v>4900</v>
      </c>
      <c r="D4359" s="19" t="s">
        <v>6224</v>
      </c>
      <c r="E4359" s="9" t="s">
        <v>125</v>
      </c>
      <c r="F4359" s="9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</row>
    <row r="4360">
      <c r="A4360" s="16" t="s">
        <v>6220</v>
      </c>
      <c r="B4360" s="22" t="s">
        <v>6225</v>
      </c>
      <c r="C4360" s="18" t="s">
        <v>6226</v>
      </c>
      <c r="D4360" s="19" t="s">
        <v>6227</v>
      </c>
      <c r="E4360" s="23" t="s">
        <v>764</v>
      </c>
      <c r="F4360" s="9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</row>
    <row r="4361">
      <c r="A4361" s="16" t="s">
        <v>6220</v>
      </c>
      <c r="B4361" s="22" t="s">
        <v>6225</v>
      </c>
      <c r="C4361" s="18" t="s">
        <v>6228</v>
      </c>
      <c r="D4361" s="19" t="s">
        <v>6229</v>
      </c>
      <c r="E4361" s="23" t="s">
        <v>4261</v>
      </c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</row>
    <row r="4362">
      <c r="A4362" s="16" t="s">
        <v>6220</v>
      </c>
      <c r="B4362" s="22" t="s">
        <v>6225</v>
      </c>
      <c r="C4362" s="18" t="s">
        <v>6230</v>
      </c>
      <c r="D4362" s="19" t="s">
        <v>6231</v>
      </c>
      <c r="E4362" s="23" t="s">
        <v>764</v>
      </c>
      <c r="F4362" s="9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9"/>
    </row>
    <row r="4363">
      <c r="A4363" s="16" t="s">
        <v>6220</v>
      </c>
      <c r="B4363" s="22" t="s">
        <v>6225</v>
      </c>
      <c r="C4363" s="18" t="s">
        <v>6232</v>
      </c>
      <c r="D4363" s="19" t="s">
        <v>6233</v>
      </c>
      <c r="E4363" s="23" t="s">
        <v>14</v>
      </c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</row>
    <row r="4364">
      <c r="A4364" s="16" t="s">
        <v>6220</v>
      </c>
      <c r="B4364" s="22" t="s">
        <v>6225</v>
      </c>
      <c r="C4364" s="18" t="s">
        <v>6232</v>
      </c>
      <c r="D4364" s="19" t="s">
        <v>6234</v>
      </c>
      <c r="E4364" s="23" t="s">
        <v>14</v>
      </c>
      <c r="F4364" s="9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</row>
    <row r="4365">
      <c r="A4365" s="16" t="s">
        <v>6220</v>
      </c>
      <c r="B4365" s="22" t="s">
        <v>6225</v>
      </c>
      <c r="C4365" s="18" t="s">
        <v>6235</v>
      </c>
      <c r="D4365" s="19" t="s">
        <v>6236</v>
      </c>
      <c r="E4365" s="23" t="s">
        <v>764</v>
      </c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</row>
    <row r="4366">
      <c r="A4366" s="16" t="s">
        <v>6220</v>
      </c>
      <c r="B4366" s="22" t="s">
        <v>6237</v>
      </c>
      <c r="C4366" s="18" t="s">
        <v>1163</v>
      </c>
      <c r="D4366" s="19" t="s">
        <v>6238</v>
      </c>
      <c r="E4366" s="23" t="s">
        <v>14</v>
      </c>
      <c r="F4366" s="9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</row>
    <row r="4367">
      <c r="A4367" s="16" t="s">
        <v>6220</v>
      </c>
      <c r="B4367" s="22" t="s">
        <v>6239</v>
      </c>
      <c r="C4367" s="18" t="s">
        <v>6123</v>
      </c>
      <c r="D4367" s="19" t="s">
        <v>6240</v>
      </c>
      <c r="E4367" s="23" t="s">
        <v>5887</v>
      </c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</row>
    <row r="4368">
      <c r="A4368" s="16" t="s">
        <v>6220</v>
      </c>
      <c r="B4368" s="22" t="s">
        <v>6239</v>
      </c>
      <c r="C4368" s="18" t="s">
        <v>6241</v>
      </c>
      <c r="D4368" s="19" t="s">
        <v>6242</v>
      </c>
      <c r="E4368" s="23" t="s">
        <v>5887</v>
      </c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</row>
    <row r="4369">
      <c r="A4369" s="16" t="s">
        <v>6220</v>
      </c>
      <c r="B4369" s="22" t="s">
        <v>6243</v>
      </c>
      <c r="C4369" s="18" t="s">
        <v>6194</v>
      </c>
      <c r="D4369" s="19" t="s">
        <v>6244</v>
      </c>
      <c r="E4369" s="23" t="s">
        <v>6245</v>
      </c>
      <c r="F4369" s="9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</row>
    <row r="4370">
      <c r="A4370" s="16" t="s">
        <v>6220</v>
      </c>
      <c r="B4370" s="22" t="s">
        <v>6243</v>
      </c>
      <c r="C4370" s="18" t="s">
        <v>6246</v>
      </c>
      <c r="D4370" s="19" t="s">
        <v>6244</v>
      </c>
      <c r="E4370" s="23" t="s">
        <v>6245</v>
      </c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</row>
    <row r="4371">
      <c r="A4371" s="16" t="s">
        <v>6220</v>
      </c>
      <c r="B4371" s="22" t="s">
        <v>6247</v>
      </c>
      <c r="C4371" s="18" t="s">
        <v>6248</v>
      </c>
      <c r="D4371" s="19" t="s">
        <v>6249</v>
      </c>
      <c r="E4371" s="20" t="s">
        <v>7</v>
      </c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</row>
    <row r="4372">
      <c r="A4372" s="16" t="s">
        <v>6220</v>
      </c>
      <c r="B4372" s="22" t="s">
        <v>6247</v>
      </c>
      <c r="C4372" s="18" t="s">
        <v>6250</v>
      </c>
      <c r="D4372" s="19" t="s">
        <v>6251</v>
      </c>
      <c r="E4372" s="20" t="s">
        <v>7</v>
      </c>
      <c r="F4372" s="9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</row>
    <row r="4373">
      <c r="A4373" s="16" t="s">
        <v>6220</v>
      </c>
      <c r="B4373" s="22" t="s">
        <v>6185</v>
      </c>
      <c r="C4373" s="18" t="s">
        <v>2258</v>
      </c>
      <c r="D4373" s="18" t="s">
        <v>6252</v>
      </c>
      <c r="E4373" s="18" t="s">
        <v>6253</v>
      </c>
      <c r="F4373" s="9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</row>
    <row r="4374">
      <c r="A4374" s="16"/>
      <c r="B4374" s="19"/>
      <c r="C4374" s="18"/>
      <c r="D4374" s="19"/>
      <c r="E4374" s="173"/>
      <c r="F4374" s="9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</row>
    <row r="4375">
      <c r="A4375" s="16"/>
      <c r="B4375" s="19"/>
      <c r="C4375" s="18"/>
      <c r="D4375" s="19"/>
      <c r="E4375" s="173"/>
      <c r="F4375" s="9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</row>
    <row r="4376">
      <c r="A4376" s="16" t="s">
        <v>6254</v>
      </c>
      <c r="B4376" s="22" t="s">
        <v>6255</v>
      </c>
      <c r="C4376" s="18" t="s">
        <v>6228</v>
      </c>
      <c r="D4376" s="19" t="s">
        <v>6256</v>
      </c>
      <c r="E4376" s="9" t="s">
        <v>2625</v>
      </c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</row>
    <row r="4377">
      <c r="A4377" s="16" t="s">
        <v>6254</v>
      </c>
      <c r="B4377" s="22" t="s">
        <v>5800</v>
      </c>
      <c r="C4377" s="18" t="s">
        <v>5803</v>
      </c>
      <c r="D4377" s="9"/>
      <c r="E4377" s="18" t="s">
        <v>4493</v>
      </c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</row>
    <row r="4378">
      <c r="A4378" s="16" t="s">
        <v>6254</v>
      </c>
      <c r="B4378" s="22" t="s">
        <v>6175</v>
      </c>
      <c r="C4378" s="18" t="s">
        <v>6151</v>
      </c>
      <c r="D4378" s="19" t="s">
        <v>6257</v>
      </c>
      <c r="E4378" s="23" t="s">
        <v>764</v>
      </c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</row>
    <row r="4379">
      <c r="A4379" s="16" t="s">
        <v>6254</v>
      </c>
      <c r="B4379" s="22" t="s">
        <v>6258</v>
      </c>
      <c r="C4379" s="18" t="s">
        <v>6259</v>
      </c>
      <c r="D4379" s="18" t="s">
        <v>6260</v>
      </c>
      <c r="E4379" s="23" t="s">
        <v>764</v>
      </c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</row>
    <row r="4380">
      <c r="A4380" s="16"/>
      <c r="B4380" s="19"/>
      <c r="C4380" s="18"/>
      <c r="D4380" s="19"/>
      <c r="E4380" s="173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</row>
    <row r="4381">
      <c r="A4381" s="16"/>
      <c r="B4381" s="19"/>
      <c r="C4381" s="18"/>
      <c r="D4381" s="19"/>
      <c r="E4381" s="173"/>
      <c r="F4381" s="9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</row>
    <row r="4382">
      <c r="A4382" s="16" t="s">
        <v>6261</v>
      </c>
      <c r="B4382" s="22" t="s">
        <v>6262</v>
      </c>
      <c r="C4382" s="18" t="s">
        <v>3940</v>
      </c>
      <c r="D4382" s="19" t="s">
        <v>6263</v>
      </c>
      <c r="E4382" s="20" t="s">
        <v>7</v>
      </c>
      <c r="F4382" s="9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</row>
    <row r="4383">
      <c r="A4383" s="16" t="s">
        <v>6261</v>
      </c>
      <c r="B4383" s="22" t="s">
        <v>6264</v>
      </c>
      <c r="C4383" s="18" t="s">
        <v>6259</v>
      </c>
      <c r="D4383" s="19" t="s">
        <v>6265</v>
      </c>
      <c r="E4383" s="9" t="s">
        <v>764</v>
      </c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</row>
    <row r="4384">
      <c r="A4384" s="16" t="s">
        <v>6261</v>
      </c>
      <c r="B4384" s="22" t="s">
        <v>5902</v>
      </c>
      <c r="C4384" s="18" t="s">
        <v>6266</v>
      </c>
      <c r="D4384" s="19" t="s">
        <v>6267</v>
      </c>
      <c r="E4384" s="18" t="s">
        <v>309</v>
      </c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</row>
    <row r="4385">
      <c r="A4385" s="16" t="s">
        <v>6261</v>
      </c>
      <c r="B4385" s="22" t="s">
        <v>5945</v>
      </c>
      <c r="C4385" s="18" t="s">
        <v>6268</v>
      </c>
      <c r="D4385" s="19" t="s">
        <v>6269</v>
      </c>
      <c r="E4385" s="9" t="s">
        <v>764</v>
      </c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</row>
    <row r="4386">
      <c r="A4386" s="16"/>
      <c r="B4386" s="19"/>
      <c r="C4386" s="18"/>
      <c r="D4386" s="19"/>
      <c r="E4386" s="173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</row>
    <row r="4387">
      <c r="A4387" s="16"/>
      <c r="B4387" s="19"/>
      <c r="C4387" s="18"/>
      <c r="D4387" s="19"/>
      <c r="E4387" s="173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</row>
    <row r="4388">
      <c r="A4388" s="16" t="s">
        <v>6270</v>
      </c>
      <c r="B4388" s="22" t="s">
        <v>6258</v>
      </c>
      <c r="C4388" s="18" t="s">
        <v>6271</v>
      </c>
      <c r="D4388" s="19" t="s">
        <v>6272</v>
      </c>
      <c r="E4388" s="136" t="s">
        <v>4493</v>
      </c>
      <c r="F4388" s="9"/>
      <c r="G4388" s="9"/>
      <c r="H4388" s="9"/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</row>
    <row r="4389">
      <c r="A4389" s="16" t="s">
        <v>6270</v>
      </c>
      <c r="B4389" s="22" t="s">
        <v>6258</v>
      </c>
      <c r="C4389" s="18" t="s">
        <v>6273</v>
      </c>
      <c r="D4389" s="19" t="s">
        <v>6274</v>
      </c>
      <c r="E4389" s="136" t="s">
        <v>4493</v>
      </c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</row>
    <row r="4390">
      <c r="A4390" s="16" t="s">
        <v>6270</v>
      </c>
      <c r="B4390" s="22" t="s">
        <v>6258</v>
      </c>
      <c r="C4390" s="18" t="s">
        <v>6259</v>
      </c>
      <c r="D4390" s="19" t="s">
        <v>6275</v>
      </c>
      <c r="E4390" s="136" t="s">
        <v>4493</v>
      </c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</row>
    <row r="4391">
      <c r="A4391" s="16" t="s">
        <v>6270</v>
      </c>
      <c r="B4391" s="22" t="s">
        <v>5899</v>
      </c>
      <c r="C4391" s="18" t="s">
        <v>6276</v>
      </c>
      <c r="D4391" s="19" t="s">
        <v>2083</v>
      </c>
      <c r="E4391" s="18" t="s">
        <v>309</v>
      </c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</row>
    <row r="4392">
      <c r="A4392" s="16" t="s">
        <v>6270</v>
      </c>
      <c r="B4392" s="22" t="s">
        <v>5899</v>
      </c>
      <c r="C4392" s="18" t="s">
        <v>6277</v>
      </c>
      <c r="D4392" s="19" t="s">
        <v>2083</v>
      </c>
      <c r="E4392" s="18" t="s">
        <v>309</v>
      </c>
      <c r="F4392" s="9"/>
      <c r="G4392" s="9"/>
      <c r="H4392" s="9"/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</row>
    <row r="4393">
      <c r="A4393" s="16" t="s">
        <v>6270</v>
      </c>
      <c r="B4393" s="22" t="s">
        <v>6278</v>
      </c>
      <c r="C4393" s="18" t="s">
        <v>6279</v>
      </c>
      <c r="D4393" s="19" t="s">
        <v>6280</v>
      </c>
      <c r="E4393" s="136" t="s">
        <v>4493</v>
      </c>
      <c r="F4393" s="9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</row>
    <row r="4394">
      <c r="A4394" s="16" t="s">
        <v>6270</v>
      </c>
      <c r="B4394" s="22" t="s">
        <v>6278</v>
      </c>
      <c r="C4394" s="18" t="s">
        <v>1736</v>
      </c>
      <c r="D4394" s="19" t="s">
        <v>6280</v>
      </c>
      <c r="E4394" s="136" t="s">
        <v>4493</v>
      </c>
      <c r="F4394" s="9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9"/>
    </row>
    <row r="4395">
      <c r="A4395" s="16" t="s">
        <v>6270</v>
      </c>
      <c r="B4395" s="22" t="s">
        <v>5902</v>
      </c>
      <c r="C4395" s="18" t="s">
        <v>885</v>
      </c>
      <c r="D4395" s="19" t="s">
        <v>6281</v>
      </c>
      <c r="E4395" s="18" t="s">
        <v>14</v>
      </c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</row>
    <row r="4396">
      <c r="A4396" s="16" t="s">
        <v>6282</v>
      </c>
      <c r="B4396" s="19" t="s">
        <v>6283</v>
      </c>
      <c r="C4396" s="18" t="s">
        <v>6284</v>
      </c>
      <c r="D4396" s="19" t="s">
        <v>6285</v>
      </c>
      <c r="E4396" s="136" t="s">
        <v>4493</v>
      </c>
      <c r="F4396" s="9"/>
      <c r="G4396" s="9"/>
      <c r="H4396" s="9"/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</row>
    <row r="4397">
      <c r="A4397" s="16" t="s">
        <v>6282</v>
      </c>
      <c r="B4397" s="22" t="s">
        <v>5970</v>
      </c>
      <c r="C4397" s="18" t="s">
        <v>6286</v>
      </c>
      <c r="D4397" s="19" t="s">
        <v>6287</v>
      </c>
      <c r="E4397" s="23" t="s">
        <v>764</v>
      </c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</row>
    <row r="4398">
      <c r="A4398" s="16" t="s">
        <v>6282</v>
      </c>
      <c r="B4398" s="22" t="s">
        <v>5970</v>
      </c>
      <c r="C4398" s="18" t="s">
        <v>5998</v>
      </c>
      <c r="D4398" s="19" t="s">
        <v>6288</v>
      </c>
      <c r="E4398" s="23" t="s">
        <v>2308</v>
      </c>
      <c r="F4398" s="9"/>
      <c r="G4398" s="9"/>
      <c r="H4398" s="9"/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</row>
    <row r="4399">
      <c r="A4399" s="16" t="s">
        <v>6282</v>
      </c>
      <c r="B4399" s="22" t="s">
        <v>5902</v>
      </c>
      <c r="C4399" s="18" t="s">
        <v>6289</v>
      </c>
      <c r="D4399" s="19" t="s">
        <v>6290</v>
      </c>
      <c r="E4399" s="9" t="s">
        <v>764</v>
      </c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</row>
    <row r="4400">
      <c r="A4400" s="16"/>
      <c r="B4400" s="19"/>
      <c r="C4400" s="18"/>
      <c r="D4400" s="19"/>
      <c r="E4400" s="173"/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</row>
    <row r="4401">
      <c r="A4401" s="16"/>
      <c r="B4401" s="19"/>
      <c r="C4401" s="18"/>
      <c r="D4401" s="19"/>
      <c r="E4401" s="173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</row>
    <row r="4402">
      <c r="A4402" s="16" t="s">
        <v>6291</v>
      </c>
      <c r="B4402" s="22" t="s">
        <v>6292</v>
      </c>
      <c r="C4402" s="18" t="s">
        <v>6228</v>
      </c>
      <c r="D4402" s="19" t="s">
        <v>6293</v>
      </c>
      <c r="E4402" s="9" t="s">
        <v>2625</v>
      </c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</row>
    <row r="4403">
      <c r="A4403" s="16" t="s">
        <v>6291</v>
      </c>
      <c r="B4403" s="22" t="s">
        <v>6294</v>
      </c>
      <c r="C4403" s="18" t="s">
        <v>6295</v>
      </c>
      <c r="D4403" s="19" t="s">
        <v>6296</v>
      </c>
      <c r="E4403" s="9" t="s">
        <v>6297</v>
      </c>
      <c r="F4403" s="9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</row>
    <row r="4404">
      <c r="A4404" s="16" t="s">
        <v>6291</v>
      </c>
      <c r="B4404" s="22" t="s">
        <v>6294</v>
      </c>
      <c r="C4404" s="18" t="s">
        <v>6298</v>
      </c>
      <c r="D4404" s="19" t="s">
        <v>6299</v>
      </c>
      <c r="E4404" s="18" t="s">
        <v>4624</v>
      </c>
      <c r="F4404" s="9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</row>
    <row r="4405">
      <c r="A4405" s="16" t="s">
        <v>6291</v>
      </c>
      <c r="B4405" s="22" t="s">
        <v>6300</v>
      </c>
      <c r="C4405" s="18" t="s">
        <v>6301</v>
      </c>
      <c r="D4405" s="19" t="s">
        <v>6302</v>
      </c>
      <c r="E4405" s="18" t="s">
        <v>4624</v>
      </c>
      <c r="F4405" s="9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</row>
    <row r="4406">
      <c r="A4406" s="16" t="s">
        <v>6291</v>
      </c>
      <c r="B4406" s="22" t="s">
        <v>6300</v>
      </c>
      <c r="C4406" s="18" t="s">
        <v>5424</v>
      </c>
      <c r="D4406" s="19" t="s">
        <v>6303</v>
      </c>
      <c r="E4406" s="18" t="s">
        <v>4624</v>
      </c>
      <c r="F4406" s="9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</row>
    <row r="4407">
      <c r="A4407" s="16" t="s">
        <v>6291</v>
      </c>
      <c r="B4407" s="22" t="s">
        <v>6300</v>
      </c>
      <c r="C4407" s="18" t="s">
        <v>6301</v>
      </c>
      <c r="D4407" s="19" t="s">
        <v>6304</v>
      </c>
      <c r="E4407" s="18" t="s">
        <v>4624</v>
      </c>
      <c r="F4407" s="9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</row>
    <row r="4408">
      <c r="A4408" s="16" t="s">
        <v>6291</v>
      </c>
      <c r="B4408" s="22" t="s">
        <v>6300</v>
      </c>
      <c r="C4408" s="18" t="s">
        <v>6305</v>
      </c>
      <c r="D4408" s="19" t="s">
        <v>4599</v>
      </c>
      <c r="E4408" s="18" t="s">
        <v>4624</v>
      </c>
      <c r="F4408" s="9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</row>
    <row r="4409">
      <c r="A4409" s="16" t="s">
        <v>6291</v>
      </c>
      <c r="B4409" s="22" t="s">
        <v>6300</v>
      </c>
      <c r="C4409" s="18" t="s">
        <v>6301</v>
      </c>
      <c r="D4409" s="19" t="s">
        <v>6306</v>
      </c>
      <c r="E4409" s="18" t="s">
        <v>4624</v>
      </c>
      <c r="F4409" s="9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</row>
    <row r="4410">
      <c r="A4410" s="16" t="s">
        <v>6291</v>
      </c>
      <c r="B4410" s="22" t="s">
        <v>5899</v>
      </c>
      <c r="C4410" s="18" t="s">
        <v>6307</v>
      </c>
      <c r="D4410" s="19" t="s">
        <v>2083</v>
      </c>
      <c r="E4410" s="18" t="s">
        <v>309</v>
      </c>
      <c r="F4410" s="9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</row>
    <row r="4411">
      <c r="A4411" s="16"/>
      <c r="B4411" s="19"/>
      <c r="C4411" s="18"/>
      <c r="D4411" s="19"/>
      <c r="E4411" s="173"/>
      <c r="F4411" s="9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</row>
    <row r="4412">
      <c r="A4412" s="16"/>
      <c r="B4412" s="19"/>
      <c r="C4412" s="18"/>
      <c r="D4412" s="19"/>
      <c r="E4412" s="173"/>
      <c r="F4412" s="9"/>
      <c r="G4412" s="9"/>
      <c r="H4412" s="9"/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9"/>
    </row>
    <row r="4413">
      <c r="A4413" s="16" t="s">
        <v>6308</v>
      </c>
      <c r="B4413" s="22" t="s">
        <v>5996</v>
      </c>
      <c r="C4413" s="18" t="s">
        <v>6309</v>
      </c>
      <c r="D4413" s="19" t="s">
        <v>6310</v>
      </c>
      <c r="E4413" s="9" t="s">
        <v>764</v>
      </c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</row>
    <row r="4414">
      <c r="A4414" s="16" t="s">
        <v>6308</v>
      </c>
      <c r="B4414" s="22" t="s">
        <v>5899</v>
      </c>
      <c r="C4414" s="18" t="s">
        <v>6311</v>
      </c>
      <c r="D4414" s="19" t="s">
        <v>2083</v>
      </c>
      <c r="E4414" s="18" t="s">
        <v>309</v>
      </c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</row>
    <row r="4415">
      <c r="A4415" s="16" t="s">
        <v>6308</v>
      </c>
      <c r="B4415" s="22" t="s">
        <v>5899</v>
      </c>
      <c r="C4415" s="18" t="s">
        <v>6312</v>
      </c>
      <c r="D4415" s="19" t="s">
        <v>2083</v>
      </c>
      <c r="E4415" s="20" t="s">
        <v>7</v>
      </c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</row>
    <row r="4416">
      <c r="A4416" s="16" t="s">
        <v>6308</v>
      </c>
      <c r="B4416" s="22" t="s">
        <v>5899</v>
      </c>
      <c r="C4416" s="18" t="s">
        <v>6313</v>
      </c>
      <c r="D4416" s="19" t="s">
        <v>2083</v>
      </c>
      <c r="E4416" s="20" t="s">
        <v>7</v>
      </c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</row>
    <row r="4417">
      <c r="A4417" s="16" t="s">
        <v>6308</v>
      </c>
      <c r="B4417" s="22" t="s">
        <v>5899</v>
      </c>
      <c r="C4417" s="18" t="s">
        <v>6314</v>
      </c>
      <c r="D4417" s="19" t="s">
        <v>2083</v>
      </c>
      <c r="E4417" s="20" t="s">
        <v>7</v>
      </c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</row>
    <row r="4418">
      <c r="A4418" s="16" t="s">
        <v>6308</v>
      </c>
      <c r="B4418" s="22" t="s">
        <v>5899</v>
      </c>
      <c r="C4418" s="18" t="s">
        <v>6315</v>
      </c>
      <c r="D4418" s="19" t="s">
        <v>2083</v>
      </c>
      <c r="E4418" s="20" t="s">
        <v>7</v>
      </c>
      <c r="F4418" s="9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</row>
    <row r="4419">
      <c r="A4419" s="16" t="s">
        <v>6308</v>
      </c>
      <c r="B4419" s="22" t="s">
        <v>5899</v>
      </c>
      <c r="C4419" s="18" t="s">
        <v>4133</v>
      </c>
      <c r="D4419" s="19" t="s">
        <v>2083</v>
      </c>
      <c r="E4419" s="20" t="s">
        <v>7</v>
      </c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</row>
    <row r="4420">
      <c r="A4420" s="16" t="s">
        <v>6308</v>
      </c>
      <c r="B4420" s="22" t="s">
        <v>5899</v>
      </c>
      <c r="C4420" s="18" t="s">
        <v>2100</v>
      </c>
      <c r="D4420" s="19" t="s">
        <v>2083</v>
      </c>
      <c r="E4420" s="20" t="s">
        <v>7</v>
      </c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</row>
    <row r="4421">
      <c r="A4421" s="16" t="s">
        <v>6308</v>
      </c>
      <c r="B4421" s="22" t="s">
        <v>5899</v>
      </c>
      <c r="C4421" s="18" t="s">
        <v>6316</v>
      </c>
      <c r="D4421" s="19" t="s">
        <v>2083</v>
      </c>
      <c r="E4421" s="20" t="s">
        <v>7</v>
      </c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</row>
    <row r="4422">
      <c r="A4422" s="16" t="s">
        <v>6308</v>
      </c>
      <c r="B4422" s="22" t="s">
        <v>5899</v>
      </c>
      <c r="C4422" s="18" t="s">
        <v>6317</v>
      </c>
      <c r="D4422" s="19" t="s">
        <v>2083</v>
      </c>
      <c r="E4422" s="20" t="s">
        <v>7</v>
      </c>
      <c r="F4422" s="9"/>
      <c r="G4422" s="9"/>
      <c r="H4422" s="9"/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</row>
    <row r="4423">
      <c r="A4423" s="16" t="s">
        <v>6308</v>
      </c>
      <c r="B4423" s="22" t="s">
        <v>5635</v>
      </c>
      <c r="C4423" s="18" t="s">
        <v>4706</v>
      </c>
      <c r="D4423" s="19" t="s">
        <v>6318</v>
      </c>
      <c r="E4423" s="18" t="s">
        <v>4624</v>
      </c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</row>
    <row r="4424">
      <c r="A4424" s="16" t="s">
        <v>6308</v>
      </c>
      <c r="B4424" s="22" t="s">
        <v>5635</v>
      </c>
      <c r="C4424" s="18" t="s">
        <v>6319</v>
      </c>
      <c r="D4424" s="19" t="s">
        <v>6320</v>
      </c>
      <c r="E4424" s="18" t="s">
        <v>4624</v>
      </c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</row>
    <row r="4425">
      <c r="A4425" s="16"/>
      <c r="B4425" s="19"/>
      <c r="C4425" s="18"/>
      <c r="D4425" s="19"/>
      <c r="E4425" s="173"/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9"/>
    </row>
    <row r="4426">
      <c r="A4426" s="16"/>
      <c r="B4426" s="19"/>
      <c r="C4426" s="18"/>
      <c r="D4426" s="19"/>
      <c r="E4426" s="173"/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</row>
    <row r="4427">
      <c r="A4427" s="16" t="s">
        <v>6321</v>
      </c>
      <c r="B4427" s="22" t="s">
        <v>5899</v>
      </c>
      <c r="C4427" s="18" t="s">
        <v>2109</v>
      </c>
      <c r="D4427" s="19" t="s">
        <v>2083</v>
      </c>
      <c r="E4427" s="20" t="s">
        <v>7</v>
      </c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</row>
    <row r="4428">
      <c r="A4428" s="16" t="s">
        <v>6321</v>
      </c>
      <c r="B4428" s="22" t="s">
        <v>6322</v>
      </c>
      <c r="C4428" s="18" t="s">
        <v>6323</v>
      </c>
      <c r="D4428" s="19" t="s">
        <v>6324</v>
      </c>
      <c r="E4428" s="23" t="s">
        <v>14</v>
      </c>
      <c r="F4428" s="9"/>
      <c r="G4428" s="9"/>
      <c r="H4428" s="9"/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</row>
    <row r="4429">
      <c r="A4429" s="16" t="s">
        <v>6321</v>
      </c>
      <c r="B4429" s="22" t="s">
        <v>6322</v>
      </c>
      <c r="C4429" s="18" t="s">
        <v>5809</v>
      </c>
      <c r="D4429" s="19" t="s">
        <v>6325</v>
      </c>
      <c r="E4429" s="23" t="s">
        <v>14</v>
      </c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</row>
    <row r="4430">
      <c r="A4430" s="16" t="s">
        <v>6321</v>
      </c>
      <c r="B4430" s="19" t="s">
        <v>6326</v>
      </c>
      <c r="C4430" s="18" t="s">
        <v>6327</v>
      </c>
      <c r="D4430" s="19" t="s">
        <v>6328</v>
      </c>
      <c r="E4430" s="23" t="s">
        <v>4261</v>
      </c>
      <c r="F4430" s="9"/>
      <c r="G4430" s="9"/>
      <c r="H4430" s="9"/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</row>
    <row r="4431">
      <c r="A4431" s="16" t="s">
        <v>6321</v>
      </c>
      <c r="B4431" s="19" t="s">
        <v>6329</v>
      </c>
      <c r="C4431" s="18" t="s">
        <v>1470</v>
      </c>
      <c r="D4431" s="19" t="s">
        <v>6330</v>
      </c>
      <c r="E4431" s="18" t="s">
        <v>309</v>
      </c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</row>
    <row r="4432">
      <c r="A4432" s="16"/>
      <c r="B4432" s="19"/>
      <c r="C4432" s="18"/>
      <c r="D4432" s="19"/>
      <c r="E4432" s="173"/>
      <c r="F4432" s="9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</row>
    <row r="4433">
      <c r="A4433" s="16"/>
      <c r="B4433" s="19"/>
      <c r="C4433" s="18"/>
      <c r="D4433" s="19"/>
      <c r="E4433" s="173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</row>
    <row r="4434">
      <c r="A4434" s="16" t="s">
        <v>6331</v>
      </c>
      <c r="B4434" s="22" t="s">
        <v>6332</v>
      </c>
      <c r="C4434" s="18" t="s">
        <v>6333</v>
      </c>
      <c r="D4434" s="19" t="s">
        <v>6334</v>
      </c>
      <c r="E4434" s="20" t="s">
        <v>7</v>
      </c>
      <c r="F4434" s="9"/>
      <c r="G4434" s="9"/>
      <c r="H4434" s="9"/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</row>
    <row r="4435">
      <c r="A4435" s="16" t="s">
        <v>6331</v>
      </c>
      <c r="B4435" s="22" t="s">
        <v>6332</v>
      </c>
      <c r="C4435" s="18" t="s">
        <v>6335</v>
      </c>
      <c r="D4435" s="19" t="s">
        <v>6336</v>
      </c>
      <c r="E4435" s="20" t="s">
        <v>7</v>
      </c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9"/>
    </row>
    <row r="4436">
      <c r="A4436" s="16" t="s">
        <v>6331</v>
      </c>
      <c r="B4436" s="22" t="s">
        <v>6332</v>
      </c>
      <c r="C4436" s="18" t="s">
        <v>6337</v>
      </c>
      <c r="D4436" s="19" t="s">
        <v>6338</v>
      </c>
      <c r="E4436" s="20" t="s">
        <v>7</v>
      </c>
      <c r="F4436" s="9"/>
      <c r="G4436" s="9"/>
      <c r="H4436" s="9"/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</row>
    <row r="4437">
      <c r="A4437" s="16" t="s">
        <v>6331</v>
      </c>
      <c r="B4437" s="22" t="s">
        <v>6142</v>
      </c>
      <c r="C4437" s="23" t="s">
        <v>6144</v>
      </c>
      <c r="D4437" s="23" t="s">
        <v>6339</v>
      </c>
      <c r="E4437" s="20" t="s">
        <v>7</v>
      </c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</row>
    <row r="4438">
      <c r="A4438" s="16" t="s">
        <v>6331</v>
      </c>
      <c r="B4438" s="22" t="s">
        <v>6142</v>
      </c>
      <c r="C4438" s="23" t="s">
        <v>2748</v>
      </c>
      <c r="D4438" s="23" t="s">
        <v>6340</v>
      </c>
      <c r="E4438" s="20" t="s">
        <v>7</v>
      </c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</row>
    <row r="4439">
      <c r="A4439" s="16" t="s">
        <v>6331</v>
      </c>
      <c r="B4439" s="22" t="s">
        <v>6130</v>
      </c>
      <c r="C4439" s="18" t="s">
        <v>6215</v>
      </c>
      <c r="D4439" s="19" t="s">
        <v>5837</v>
      </c>
      <c r="E4439" s="9" t="s">
        <v>4261</v>
      </c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</row>
    <row r="4440">
      <c r="A4440" s="16" t="s">
        <v>6331</v>
      </c>
      <c r="B4440" s="22" t="s">
        <v>6341</v>
      </c>
      <c r="C4440" s="18" t="s">
        <v>6342</v>
      </c>
      <c r="D4440" s="18" t="s">
        <v>6343</v>
      </c>
      <c r="E4440" s="18" t="s">
        <v>309</v>
      </c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</row>
    <row r="4441">
      <c r="A4441" s="16" t="s">
        <v>6331</v>
      </c>
      <c r="B4441" s="22" t="s">
        <v>6341</v>
      </c>
      <c r="C4441" s="18" t="s">
        <v>6344</v>
      </c>
      <c r="D4441" s="18" t="s">
        <v>6345</v>
      </c>
      <c r="E4441" s="9" t="s">
        <v>4261</v>
      </c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</row>
    <row r="4442">
      <c r="A4442" s="16" t="s">
        <v>6331</v>
      </c>
      <c r="B4442" s="22" t="s">
        <v>6346</v>
      </c>
      <c r="C4442" s="18" t="s">
        <v>6347</v>
      </c>
      <c r="D4442" s="18" t="s">
        <v>6348</v>
      </c>
      <c r="E4442" s="9" t="s">
        <v>4261</v>
      </c>
      <c r="F4442" s="9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</row>
    <row r="4443">
      <c r="A4443" s="16" t="s">
        <v>6331</v>
      </c>
      <c r="B4443" s="22" t="s">
        <v>6346</v>
      </c>
      <c r="C4443" s="18" t="s">
        <v>6349</v>
      </c>
      <c r="D4443" s="18" t="s">
        <v>6348</v>
      </c>
      <c r="E4443" s="18" t="s">
        <v>309</v>
      </c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</row>
    <row r="4444">
      <c r="A4444" s="16" t="s">
        <v>6331</v>
      </c>
      <c r="B4444" s="22" t="s">
        <v>6350</v>
      </c>
      <c r="C4444" s="18" t="s">
        <v>6351</v>
      </c>
      <c r="D4444" s="19" t="s">
        <v>6352</v>
      </c>
      <c r="E4444" s="18" t="s">
        <v>4624</v>
      </c>
      <c r="F4444" s="9"/>
      <c r="G4444" s="9"/>
      <c r="H4444" s="9"/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</row>
    <row r="4445">
      <c r="A4445" s="16" t="s">
        <v>6331</v>
      </c>
      <c r="B4445" s="22" t="s">
        <v>6350</v>
      </c>
      <c r="C4445" s="18" t="s">
        <v>6351</v>
      </c>
      <c r="D4445" s="19" t="s">
        <v>6353</v>
      </c>
      <c r="E4445" s="18" t="s">
        <v>4624</v>
      </c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9"/>
    </row>
    <row r="4446">
      <c r="A4446" s="16" t="s">
        <v>6331</v>
      </c>
      <c r="B4446" s="22" t="s">
        <v>6354</v>
      </c>
      <c r="C4446" s="23" t="s">
        <v>6355</v>
      </c>
      <c r="D4446" s="136" t="s">
        <v>6356</v>
      </c>
      <c r="E4446" s="18" t="s">
        <v>6357</v>
      </c>
      <c r="F4446" s="9"/>
      <c r="G4446" s="9"/>
      <c r="H4446" s="9"/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</row>
    <row r="4447">
      <c r="A4447" s="16" t="s">
        <v>6331</v>
      </c>
      <c r="B4447" s="22" t="s">
        <v>6354</v>
      </c>
      <c r="C4447" s="23" t="s">
        <v>6355</v>
      </c>
      <c r="D4447" s="136" t="s">
        <v>6358</v>
      </c>
      <c r="E4447" s="18" t="s">
        <v>125</v>
      </c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</row>
    <row r="4448">
      <c r="A4448" s="16" t="s">
        <v>6331</v>
      </c>
      <c r="B4448" s="22" t="s">
        <v>6359</v>
      </c>
      <c r="C4448" s="18" t="s">
        <v>6180</v>
      </c>
      <c r="D4448" s="18" t="s">
        <v>6360</v>
      </c>
      <c r="E4448" s="18" t="s">
        <v>6361</v>
      </c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</row>
    <row r="4449">
      <c r="A4449" s="16" t="s">
        <v>6331</v>
      </c>
      <c r="B4449" s="22" t="s">
        <v>6359</v>
      </c>
      <c r="C4449" s="18" t="s">
        <v>6362</v>
      </c>
      <c r="D4449" s="18" t="s">
        <v>6363</v>
      </c>
      <c r="E4449" s="18" t="s">
        <v>309</v>
      </c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</row>
    <row r="4450">
      <c r="A4450" s="16" t="s">
        <v>6331</v>
      </c>
      <c r="B4450" s="22" t="s">
        <v>6247</v>
      </c>
      <c r="C4450" s="18" t="s">
        <v>6250</v>
      </c>
      <c r="D4450" s="19" t="s">
        <v>6364</v>
      </c>
      <c r="E4450" s="23" t="s">
        <v>14</v>
      </c>
      <c r="F4450" s="9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</row>
    <row r="4451">
      <c r="A4451" s="16"/>
      <c r="B4451" s="19"/>
      <c r="C4451" s="18"/>
      <c r="D4451" s="19"/>
      <c r="E4451" s="173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</row>
    <row r="4452">
      <c r="A4452" s="16"/>
      <c r="B4452" s="19"/>
      <c r="C4452" s="18"/>
      <c r="D4452" s="19"/>
      <c r="E4452" s="173"/>
      <c r="F4452" s="9"/>
      <c r="G4452" s="9"/>
      <c r="H4452" s="9"/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</row>
    <row r="4453">
      <c r="A4453" s="16" t="s">
        <v>6365</v>
      </c>
      <c r="B4453" s="22" t="s">
        <v>6359</v>
      </c>
      <c r="C4453" s="23" t="s">
        <v>6366</v>
      </c>
      <c r="D4453" s="23" t="s">
        <v>6367</v>
      </c>
      <c r="E4453" s="9" t="s">
        <v>6368</v>
      </c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</row>
    <row r="4454">
      <c r="A4454" s="16" t="s">
        <v>6365</v>
      </c>
      <c r="B4454" s="22" t="s">
        <v>6359</v>
      </c>
      <c r="C4454" s="23" t="s">
        <v>1708</v>
      </c>
      <c r="D4454" s="23" t="s">
        <v>4352</v>
      </c>
      <c r="E4454" s="9" t="s">
        <v>4261</v>
      </c>
      <c r="F4454" s="9"/>
      <c r="G4454" s="9"/>
      <c r="H4454" s="9"/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</row>
    <row r="4455">
      <c r="A4455" s="16" t="s">
        <v>6365</v>
      </c>
      <c r="B4455" s="22" t="s">
        <v>6359</v>
      </c>
      <c r="C4455" s="23" t="s">
        <v>3680</v>
      </c>
      <c r="D4455" s="23" t="s">
        <v>4352</v>
      </c>
      <c r="E4455" s="9" t="s">
        <v>4261</v>
      </c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</row>
    <row r="4456">
      <c r="A4456" s="16" t="s">
        <v>6365</v>
      </c>
      <c r="B4456" s="22" t="s">
        <v>6359</v>
      </c>
      <c r="C4456" s="23" t="s">
        <v>6369</v>
      </c>
      <c r="D4456" s="23" t="s">
        <v>6370</v>
      </c>
      <c r="E4456" s="20" t="s">
        <v>7</v>
      </c>
      <c r="F4456" s="9"/>
      <c r="G4456" s="9"/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</row>
    <row r="4457">
      <c r="A4457" s="16" t="s">
        <v>6365</v>
      </c>
      <c r="B4457" s="22" t="s">
        <v>6359</v>
      </c>
      <c r="C4457" s="23" t="s">
        <v>6180</v>
      </c>
      <c r="D4457" s="23" t="s">
        <v>6370</v>
      </c>
      <c r="E4457" s="20" t="s">
        <v>7</v>
      </c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</row>
    <row r="4458">
      <c r="A4458" s="16" t="s">
        <v>6365</v>
      </c>
      <c r="B4458" s="22" t="s">
        <v>6371</v>
      </c>
      <c r="C4458" s="18" t="s">
        <v>6372</v>
      </c>
      <c r="D4458" s="19" t="s">
        <v>6373</v>
      </c>
      <c r="E4458" s="18" t="s">
        <v>6374</v>
      </c>
      <c r="F4458" s="9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</row>
    <row r="4459">
      <c r="A4459" s="16" t="s">
        <v>6365</v>
      </c>
      <c r="B4459" s="22" t="s">
        <v>6371</v>
      </c>
      <c r="C4459" s="18" t="s">
        <v>6375</v>
      </c>
      <c r="D4459" s="19" t="s">
        <v>6376</v>
      </c>
      <c r="E4459" s="18" t="s">
        <v>4624</v>
      </c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</row>
    <row r="4460">
      <c r="A4460" s="16" t="s">
        <v>6365</v>
      </c>
      <c r="B4460" s="22" t="s">
        <v>6377</v>
      </c>
      <c r="C4460" s="18" t="s">
        <v>6378</v>
      </c>
      <c r="D4460" s="19" t="s">
        <v>6379</v>
      </c>
      <c r="E4460" s="18" t="s">
        <v>4624</v>
      </c>
      <c r="F4460" s="9"/>
      <c r="G4460" s="9"/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</row>
    <row r="4461">
      <c r="A4461" s="16" t="s">
        <v>6365</v>
      </c>
      <c r="B4461" s="22" t="s">
        <v>6377</v>
      </c>
      <c r="C4461" s="18" t="s">
        <v>6380</v>
      </c>
      <c r="D4461" s="19" t="s">
        <v>6381</v>
      </c>
      <c r="E4461" s="18" t="s">
        <v>4624</v>
      </c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</row>
    <row r="4462">
      <c r="A4462" s="16" t="s">
        <v>6365</v>
      </c>
      <c r="B4462" s="22" t="s">
        <v>6377</v>
      </c>
      <c r="C4462" s="18" t="s">
        <v>6378</v>
      </c>
      <c r="D4462" s="19" t="s">
        <v>6382</v>
      </c>
      <c r="E4462" s="18" t="s">
        <v>4624</v>
      </c>
      <c r="F4462" s="9"/>
      <c r="G4462" s="9"/>
      <c r="H4462" s="9"/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</row>
    <row r="4463">
      <c r="A4463" s="16" t="s">
        <v>6365</v>
      </c>
      <c r="B4463" s="22" t="s">
        <v>6383</v>
      </c>
      <c r="C4463" s="18" t="s">
        <v>6384</v>
      </c>
      <c r="D4463" s="19" t="s">
        <v>6385</v>
      </c>
      <c r="E4463" s="18" t="s">
        <v>5887</v>
      </c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</row>
    <row r="4464">
      <c r="A4464" s="16"/>
      <c r="B4464" s="19"/>
      <c r="C4464" s="18"/>
      <c r="D4464" s="19"/>
      <c r="E4464" s="173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</row>
    <row r="4465">
      <c r="A4465" s="16"/>
      <c r="B4465" s="19"/>
      <c r="C4465" s="18"/>
      <c r="D4465" s="19"/>
      <c r="E4465" s="173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</row>
    <row r="4466">
      <c r="A4466" s="16" t="s">
        <v>6386</v>
      </c>
      <c r="B4466" s="22" t="s">
        <v>5635</v>
      </c>
      <c r="C4466" s="18" t="s">
        <v>6387</v>
      </c>
      <c r="D4466" s="19" t="s">
        <v>3508</v>
      </c>
      <c r="E4466" s="18" t="s">
        <v>4624</v>
      </c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</row>
    <row r="4467">
      <c r="A4467" s="16" t="s">
        <v>6386</v>
      </c>
      <c r="B4467" s="22" t="s">
        <v>5635</v>
      </c>
      <c r="C4467" s="18" t="s">
        <v>449</v>
      </c>
      <c r="D4467" s="19" t="s">
        <v>6388</v>
      </c>
      <c r="E4467" s="18" t="s">
        <v>4624</v>
      </c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</row>
    <row r="4468">
      <c r="A4468" s="16" t="s">
        <v>6386</v>
      </c>
      <c r="B4468" s="22" t="s">
        <v>5635</v>
      </c>
      <c r="C4468" s="18" t="s">
        <v>6389</v>
      </c>
      <c r="D4468" s="19" t="s">
        <v>6390</v>
      </c>
      <c r="E4468" s="18" t="s">
        <v>4624</v>
      </c>
      <c r="F4468" s="9"/>
      <c r="G4468" s="9"/>
      <c r="H4468" s="9"/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</row>
    <row r="4469">
      <c r="A4469" s="16" t="s">
        <v>6386</v>
      </c>
      <c r="B4469" s="22" t="s">
        <v>5635</v>
      </c>
      <c r="C4469" s="18" t="s">
        <v>3656</v>
      </c>
      <c r="D4469" s="19" t="s">
        <v>5723</v>
      </c>
      <c r="E4469" s="18" t="s">
        <v>4624</v>
      </c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</row>
    <row r="4470">
      <c r="A4470" s="16" t="s">
        <v>6386</v>
      </c>
      <c r="B4470" s="22" t="s">
        <v>6391</v>
      </c>
      <c r="C4470" s="18" t="s">
        <v>4580</v>
      </c>
      <c r="D4470" s="19" t="s">
        <v>6392</v>
      </c>
      <c r="E4470" s="23" t="s">
        <v>4493</v>
      </c>
      <c r="F4470" s="9"/>
      <c r="G4470" s="9"/>
      <c r="H4470" s="9"/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</row>
    <row r="4471">
      <c r="A4471" s="16" t="s">
        <v>6386</v>
      </c>
      <c r="B4471" s="22" t="s">
        <v>6383</v>
      </c>
      <c r="C4471" s="18" t="s">
        <v>3410</v>
      </c>
      <c r="D4471" s="19" t="s">
        <v>6393</v>
      </c>
      <c r="E4471" s="9" t="s">
        <v>4493</v>
      </c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9"/>
    </row>
    <row r="4472">
      <c r="A4472" s="16" t="s">
        <v>6386</v>
      </c>
      <c r="B4472" s="22" t="s">
        <v>6394</v>
      </c>
      <c r="C4472" s="18" t="s">
        <v>6395</v>
      </c>
      <c r="D4472" s="19" t="s">
        <v>6396</v>
      </c>
      <c r="E4472" s="23" t="s">
        <v>14</v>
      </c>
      <c r="F4472" s="9"/>
      <c r="G4472" s="9"/>
      <c r="H4472" s="9"/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</row>
    <row r="4473">
      <c r="A4473" s="16" t="s">
        <v>6386</v>
      </c>
      <c r="B4473" s="19" t="s">
        <v>6397</v>
      </c>
      <c r="C4473" s="18" t="s">
        <v>6398</v>
      </c>
      <c r="D4473" s="19" t="s">
        <v>6399</v>
      </c>
      <c r="E4473" s="9" t="s">
        <v>4493</v>
      </c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</row>
    <row r="4474">
      <c r="A4474" s="16"/>
      <c r="B4474" s="19"/>
      <c r="C4474" s="18"/>
      <c r="D4474" s="19"/>
      <c r="E4474" s="173"/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</row>
    <row r="4475">
      <c r="A4475" s="16"/>
      <c r="B4475" s="19"/>
      <c r="C4475" s="18"/>
      <c r="D4475" s="19"/>
      <c r="E4475" s="173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</row>
    <row r="4476">
      <c r="A4476" s="16" t="s">
        <v>6400</v>
      </c>
      <c r="B4476" s="22" t="s">
        <v>6401</v>
      </c>
      <c r="C4476" s="18" t="s">
        <v>6402</v>
      </c>
      <c r="D4476" s="19" t="s">
        <v>6403</v>
      </c>
      <c r="E4476" s="23" t="s">
        <v>14</v>
      </c>
      <c r="F4476" s="9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</row>
    <row r="4477">
      <c r="A4477" s="16" t="s">
        <v>6400</v>
      </c>
      <c r="B4477" s="22" t="s">
        <v>6401</v>
      </c>
      <c r="C4477" s="18" t="s">
        <v>6402</v>
      </c>
      <c r="D4477" s="19" t="s">
        <v>6404</v>
      </c>
      <c r="E4477" s="23" t="s">
        <v>14</v>
      </c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</row>
    <row r="4478">
      <c r="A4478" s="16" t="s">
        <v>6400</v>
      </c>
      <c r="B4478" s="22" t="s">
        <v>6401</v>
      </c>
      <c r="C4478" s="18" t="s">
        <v>3410</v>
      </c>
      <c r="D4478" s="19" t="s">
        <v>6405</v>
      </c>
      <c r="E4478" s="9" t="s">
        <v>764</v>
      </c>
      <c r="F4478" s="9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9"/>
    </row>
    <row r="4479">
      <c r="A4479" s="16" t="s">
        <v>6400</v>
      </c>
      <c r="B4479" s="22" t="s">
        <v>6406</v>
      </c>
      <c r="C4479" s="18" t="s">
        <v>6407</v>
      </c>
      <c r="D4479" s="19" t="s">
        <v>6408</v>
      </c>
      <c r="E4479" s="23" t="s">
        <v>14</v>
      </c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</row>
    <row r="4480">
      <c r="A4480" s="16" t="s">
        <v>6400</v>
      </c>
      <c r="B4480" s="22" t="s">
        <v>6409</v>
      </c>
      <c r="C4480" s="18" t="s">
        <v>6410</v>
      </c>
      <c r="D4480" s="19" t="s">
        <v>6411</v>
      </c>
      <c r="E4480" s="9" t="s">
        <v>764</v>
      </c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</row>
    <row r="4481">
      <c r="A4481" s="16" t="s">
        <v>6400</v>
      </c>
      <c r="B4481" s="22" t="s">
        <v>6412</v>
      </c>
      <c r="C4481" s="23" t="s">
        <v>6413</v>
      </c>
      <c r="D4481" s="23" t="s">
        <v>6414</v>
      </c>
      <c r="E4481" s="9" t="s">
        <v>4493</v>
      </c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</row>
    <row r="4482">
      <c r="A4482" s="16" t="s">
        <v>6400</v>
      </c>
      <c r="B4482" s="22" t="s">
        <v>6415</v>
      </c>
      <c r="C4482" s="18" t="s">
        <v>6416</v>
      </c>
      <c r="D4482" s="19" t="s">
        <v>6417</v>
      </c>
      <c r="E4482" s="23" t="s">
        <v>14</v>
      </c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</row>
    <row r="4483">
      <c r="A4483" s="16"/>
      <c r="B4483" s="19"/>
      <c r="C4483" s="18"/>
      <c r="D4483" s="19"/>
      <c r="E4483" s="173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</row>
    <row r="4484">
      <c r="A4484" s="16"/>
      <c r="B4484" s="19"/>
      <c r="C4484" s="18"/>
      <c r="D4484" s="19"/>
      <c r="E4484" s="173"/>
      <c r="F4484" s="9"/>
      <c r="G4484" s="9"/>
      <c r="H4484" s="9"/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</row>
    <row r="4485">
      <c r="A4485" s="16" t="s">
        <v>6418</v>
      </c>
      <c r="B4485" s="22" t="s">
        <v>5983</v>
      </c>
      <c r="C4485" s="18" t="s">
        <v>6419</v>
      </c>
      <c r="D4485" s="19" t="s">
        <v>6420</v>
      </c>
      <c r="E4485" s="18" t="s">
        <v>4624</v>
      </c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</row>
    <row r="4486">
      <c r="A4486" s="16" t="s">
        <v>6418</v>
      </c>
      <c r="B4486" s="22" t="s">
        <v>5983</v>
      </c>
      <c r="C4486" s="18" t="s">
        <v>6421</v>
      </c>
      <c r="D4486" s="19" t="s">
        <v>6422</v>
      </c>
      <c r="E4486" s="18" t="s">
        <v>4624</v>
      </c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</row>
    <row r="4487">
      <c r="A4487" s="16" t="s">
        <v>6418</v>
      </c>
      <c r="B4487" s="22" t="s">
        <v>5983</v>
      </c>
      <c r="C4487" s="18" t="s">
        <v>3451</v>
      </c>
      <c r="D4487" s="19" t="s">
        <v>6423</v>
      </c>
      <c r="E4487" s="18" t="s">
        <v>4624</v>
      </c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</row>
    <row r="4488">
      <c r="A4488" s="16" t="s">
        <v>6418</v>
      </c>
      <c r="B4488" s="22" t="s">
        <v>6424</v>
      </c>
      <c r="C4488" s="18" t="s">
        <v>1597</v>
      </c>
      <c r="D4488" s="19" t="s">
        <v>6425</v>
      </c>
      <c r="E4488" s="18" t="s">
        <v>4624</v>
      </c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</row>
    <row r="4489">
      <c r="A4489" s="16" t="s">
        <v>6418</v>
      </c>
      <c r="B4489" s="22" t="s">
        <v>6424</v>
      </c>
      <c r="C4489" s="18" t="s">
        <v>6426</v>
      </c>
      <c r="D4489" s="19" t="s">
        <v>6427</v>
      </c>
      <c r="E4489" s="18" t="s">
        <v>4624</v>
      </c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</row>
    <row r="4490">
      <c r="A4490" s="16" t="s">
        <v>6418</v>
      </c>
      <c r="B4490" s="22" t="s">
        <v>6424</v>
      </c>
      <c r="C4490" s="18" t="s">
        <v>1879</v>
      </c>
      <c r="D4490" s="19" t="s">
        <v>6428</v>
      </c>
      <c r="E4490" s="18" t="s">
        <v>4624</v>
      </c>
      <c r="F4490" s="9"/>
      <c r="G4490" s="9"/>
      <c r="H4490" s="9"/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</row>
    <row r="4491">
      <c r="A4491" s="16" t="s">
        <v>6418</v>
      </c>
      <c r="B4491" s="22" t="s">
        <v>6424</v>
      </c>
      <c r="C4491" s="18" t="s">
        <v>6426</v>
      </c>
      <c r="D4491" s="19" t="s">
        <v>6429</v>
      </c>
      <c r="E4491" s="18" t="s">
        <v>4624</v>
      </c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</row>
    <row r="4492">
      <c r="A4492" s="16" t="s">
        <v>6418</v>
      </c>
      <c r="B4492" s="22" t="s">
        <v>6056</v>
      </c>
      <c r="C4492" s="18" t="s">
        <v>6430</v>
      </c>
      <c r="D4492" s="19" t="s">
        <v>6431</v>
      </c>
      <c r="E4492" s="18" t="s">
        <v>4624</v>
      </c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</row>
    <row r="4493">
      <c r="A4493" s="16" t="s">
        <v>6418</v>
      </c>
      <c r="B4493" s="22" t="s">
        <v>6056</v>
      </c>
      <c r="C4493" s="18" t="s">
        <v>6432</v>
      </c>
      <c r="D4493" s="19" t="s">
        <v>6433</v>
      </c>
      <c r="E4493" s="18" t="s">
        <v>4624</v>
      </c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</row>
    <row r="4494">
      <c r="A4494" s="16" t="s">
        <v>6418</v>
      </c>
      <c r="B4494" s="22" t="s">
        <v>6056</v>
      </c>
      <c r="C4494" s="18" t="s">
        <v>6301</v>
      </c>
      <c r="D4494" s="19" t="s">
        <v>6434</v>
      </c>
      <c r="E4494" s="18" t="s">
        <v>4624</v>
      </c>
      <c r="F4494" s="9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</row>
    <row r="4495">
      <c r="A4495" s="16" t="s">
        <v>6418</v>
      </c>
      <c r="B4495" s="22" t="s">
        <v>6056</v>
      </c>
      <c r="C4495" s="18" t="s">
        <v>5129</v>
      </c>
      <c r="D4495" s="19" t="s">
        <v>6435</v>
      </c>
      <c r="E4495" s="18" t="s">
        <v>4624</v>
      </c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</row>
    <row r="4496">
      <c r="A4496" s="16" t="s">
        <v>6418</v>
      </c>
      <c r="B4496" s="22" t="s">
        <v>6056</v>
      </c>
      <c r="C4496" s="18" t="s">
        <v>6301</v>
      </c>
      <c r="D4496" s="19" t="s">
        <v>6436</v>
      </c>
      <c r="E4496" s="18" t="s">
        <v>4624</v>
      </c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</row>
    <row r="4497">
      <c r="A4497" s="16" t="s">
        <v>6418</v>
      </c>
      <c r="B4497" s="22" t="s">
        <v>6056</v>
      </c>
      <c r="C4497" s="18" t="s">
        <v>6301</v>
      </c>
      <c r="D4497" s="19" t="s">
        <v>6437</v>
      </c>
      <c r="E4497" s="18" t="s">
        <v>4624</v>
      </c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</row>
    <row r="4498">
      <c r="A4498" s="16" t="s">
        <v>6418</v>
      </c>
      <c r="B4498" s="22" t="s">
        <v>6056</v>
      </c>
      <c r="C4498" s="18" t="s">
        <v>6301</v>
      </c>
      <c r="D4498" s="19" t="s">
        <v>6438</v>
      </c>
      <c r="E4498" s="18" t="s">
        <v>4624</v>
      </c>
      <c r="F4498" s="9"/>
      <c r="G4498" s="9"/>
      <c r="H4498" s="9"/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</row>
    <row r="4499">
      <c r="A4499" s="16" t="s">
        <v>6418</v>
      </c>
      <c r="B4499" s="22" t="s">
        <v>6056</v>
      </c>
      <c r="C4499" s="18" t="s">
        <v>6301</v>
      </c>
      <c r="D4499" s="19" t="s">
        <v>6439</v>
      </c>
      <c r="E4499" s="18" t="s">
        <v>4624</v>
      </c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</row>
    <row r="4500">
      <c r="A4500" s="16" t="s">
        <v>6418</v>
      </c>
      <c r="B4500" s="22" t="s">
        <v>6440</v>
      </c>
      <c r="C4500" s="18" t="s">
        <v>5424</v>
      </c>
      <c r="D4500" s="19" t="s">
        <v>6441</v>
      </c>
      <c r="E4500" s="18" t="s">
        <v>309</v>
      </c>
      <c r="F4500" s="9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</row>
    <row r="4501">
      <c r="A4501" s="16" t="s">
        <v>6418</v>
      </c>
      <c r="B4501" s="22" t="s">
        <v>6442</v>
      </c>
      <c r="C4501" s="18" t="s">
        <v>2537</v>
      </c>
      <c r="D4501" s="19" t="s">
        <v>6443</v>
      </c>
      <c r="E4501" s="9" t="s">
        <v>4493</v>
      </c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</row>
    <row r="4502">
      <c r="A4502" s="16" t="s">
        <v>6418</v>
      </c>
      <c r="B4502" s="22" t="s">
        <v>6072</v>
      </c>
      <c r="C4502" s="18" t="s">
        <v>6444</v>
      </c>
      <c r="D4502" s="19" t="s">
        <v>6445</v>
      </c>
      <c r="E4502" s="9" t="s">
        <v>764</v>
      </c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</row>
    <row r="4503">
      <c r="A4503" s="16" t="s">
        <v>6418</v>
      </c>
      <c r="B4503" s="22" t="s">
        <v>6446</v>
      </c>
      <c r="C4503" s="18" t="s">
        <v>6447</v>
      </c>
      <c r="D4503" s="19" t="s">
        <v>6448</v>
      </c>
      <c r="E4503" s="18" t="s">
        <v>4624</v>
      </c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</row>
    <row r="4504">
      <c r="A4504" s="16" t="s">
        <v>6418</v>
      </c>
      <c r="B4504" s="22" t="s">
        <v>6446</v>
      </c>
      <c r="C4504" s="18" t="s">
        <v>6449</v>
      </c>
      <c r="D4504" s="19" t="s">
        <v>6450</v>
      </c>
      <c r="E4504" s="18" t="s">
        <v>4624</v>
      </c>
      <c r="F4504" s="9"/>
      <c r="G4504" s="9"/>
      <c r="H4504" s="9"/>
      <c r="I4504" s="9"/>
      <c r="J4504" s="9"/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</row>
    <row r="4505">
      <c r="A4505" s="16" t="s">
        <v>6418</v>
      </c>
      <c r="B4505" s="22" t="s">
        <v>6446</v>
      </c>
      <c r="C4505" s="18" t="s">
        <v>2537</v>
      </c>
      <c r="D4505" s="19" t="s">
        <v>6443</v>
      </c>
      <c r="E4505" s="18" t="s">
        <v>4624</v>
      </c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</row>
    <row r="4506">
      <c r="A4506" s="16"/>
      <c r="B4506" s="19"/>
      <c r="C4506" s="18"/>
      <c r="D4506" s="19"/>
      <c r="E4506" s="173"/>
      <c r="F4506" s="9"/>
      <c r="G4506" s="9"/>
      <c r="H4506" s="9"/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</row>
    <row r="4507">
      <c r="A4507" s="16"/>
      <c r="B4507" s="19"/>
      <c r="C4507" s="18"/>
      <c r="D4507" s="19"/>
      <c r="E4507" s="173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</row>
    <row r="4508">
      <c r="A4508" s="16" t="s">
        <v>6451</v>
      </c>
      <c r="B4508" s="22" t="s">
        <v>6452</v>
      </c>
      <c r="C4508" s="18" t="s">
        <v>6453</v>
      </c>
      <c r="D4508" s="19" t="s">
        <v>6454</v>
      </c>
      <c r="E4508" s="9" t="s">
        <v>764</v>
      </c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</row>
    <row r="4509">
      <c r="A4509" s="16" t="s">
        <v>6451</v>
      </c>
      <c r="B4509" s="22" t="s">
        <v>6452</v>
      </c>
      <c r="C4509" s="18" t="s">
        <v>6453</v>
      </c>
      <c r="D4509" s="19" t="s">
        <v>6454</v>
      </c>
      <c r="E4509" s="9" t="s">
        <v>764</v>
      </c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</row>
    <row r="4510">
      <c r="A4510" s="16" t="s">
        <v>6451</v>
      </c>
      <c r="B4510" s="22" t="s">
        <v>6452</v>
      </c>
      <c r="C4510" s="18" t="s">
        <v>6453</v>
      </c>
      <c r="D4510" s="19" t="s">
        <v>6454</v>
      </c>
      <c r="E4510" s="9" t="s">
        <v>764</v>
      </c>
      <c r="F4510" s="9"/>
      <c r="G4510" s="9"/>
      <c r="H4510" s="9"/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</row>
    <row r="4511">
      <c r="A4511" s="16" t="s">
        <v>6451</v>
      </c>
      <c r="B4511" s="22" t="s">
        <v>5983</v>
      </c>
      <c r="C4511" s="18" t="s">
        <v>6455</v>
      </c>
      <c r="D4511" s="19" t="s">
        <v>6456</v>
      </c>
      <c r="E4511" s="18" t="s">
        <v>4624</v>
      </c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</row>
    <row r="4512">
      <c r="A4512" s="16" t="s">
        <v>6451</v>
      </c>
      <c r="B4512" s="22" t="s">
        <v>5983</v>
      </c>
      <c r="C4512" s="18" t="s">
        <v>6457</v>
      </c>
      <c r="D4512" s="19" t="s">
        <v>6458</v>
      </c>
      <c r="E4512" s="18" t="s">
        <v>4624</v>
      </c>
      <c r="F4512" s="9"/>
      <c r="G4512" s="9"/>
      <c r="H4512" s="9"/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</row>
    <row r="4513">
      <c r="A4513" s="16" t="s">
        <v>6451</v>
      </c>
      <c r="B4513" s="22" t="s">
        <v>5983</v>
      </c>
      <c r="C4513" s="18" t="s">
        <v>6459</v>
      </c>
      <c r="D4513" s="19" t="s">
        <v>6460</v>
      </c>
      <c r="E4513" s="18" t="s">
        <v>4624</v>
      </c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</row>
    <row r="4514">
      <c r="A4514" s="16" t="s">
        <v>6451</v>
      </c>
      <c r="B4514" s="22" t="s">
        <v>5983</v>
      </c>
      <c r="C4514" s="18" t="s">
        <v>6461</v>
      </c>
      <c r="D4514" s="19" t="s">
        <v>6462</v>
      </c>
      <c r="E4514" s="18" t="s">
        <v>4624</v>
      </c>
      <c r="F4514" s="9"/>
      <c r="G4514" s="9"/>
      <c r="H4514" s="9"/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</row>
    <row r="4515">
      <c r="A4515" s="16" t="s">
        <v>6451</v>
      </c>
      <c r="B4515" s="22" t="s">
        <v>6463</v>
      </c>
      <c r="C4515" s="23" t="s">
        <v>6464</v>
      </c>
      <c r="D4515" s="18" t="s">
        <v>6465</v>
      </c>
      <c r="E4515" s="23" t="s">
        <v>14</v>
      </c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</row>
    <row r="4516">
      <c r="A4516" s="16" t="s">
        <v>6451</v>
      </c>
      <c r="B4516" s="22" t="s">
        <v>5902</v>
      </c>
      <c r="C4516" s="18" t="s">
        <v>541</v>
      </c>
      <c r="D4516" s="19" t="s">
        <v>6466</v>
      </c>
      <c r="E4516" s="18" t="s">
        <v>309</v>
      </c>
      <c r="F4516" s="9"/>
      <c r="G4516" s="9"/>
      <c r="H4516" s="9"/>
      <c r="I4516" s="9"/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</row>
    <row r="4517">
      <c r="A4517" s="16"/>
      <c r="B4517" s="19"/>
      <c r="C4517" s="18"/>
      <c r="D4517" s="19"/>
      <c r="E4517" s="173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</row>
    <row r="4518">
      <c r="A4518" s="16"/>
      <c r="B4518" s="19"/>
      <c r="C4518" s="18"/>
      <c r="D4518" s="19"/>
      <c r="E4518" s="173"/>
      <c r="F4518" s="9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</row>
    <row r="4519">
      <c r="A4519" s="16" t="s">
        <v>6467</v>
      </c>
      <c r="B4519" s="22" t="s">
        <v>6468</v>
      </c>
      <c r="C4519" s="18" t="s">
        <v>6457</v>
      </c>
      <c r="D4519" s="19" t="s">
        <v>2037</v>
      </c>
      <c r="E4519" s="18" t="s">
        <v>4624</v>
      </c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</row>
    <row r="4520">
      <c r="A4520" s="16" t="s">
        <v>6467</v>
      </c>
      <c r="B4520" s="22" t="s">
        <v>6468</v>
      </c>
      <c r="C4520" s="18" t="s">
        <v>6469</v>
      </c>
      <c r="D4520" s="19" t="s">
        <v>6470</v>
      </c>
      <c r="E4520" s="18" t="s">
        <v>6471</v>
      </c>
      <c r="F4520" s="9"/>
      <c r="G4520" s="9"/>
      <c r="H4520" s="9"/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</row>
    <row r="4521">
      <c r="A4521" s="150"/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</row>
    <row r="4522">
      <c r="A4522" s="150"/>
      <c r="B4522" s="9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</row>
    <row r="4523">
      <c r="A4523" s="16" t="s">
        <v>6472</v>
      </c>
      <c r="B4523" s="22" t="s">
        <v>6473</v>
      </c>
      <c r="C4523" s="18" t="s">
        <v>5794</v>
      </c>
      <c r="D4523" s="18" t="s">
        <v>6474</v>
      </c>
      <c r="E4523" s="18" t="s">
        <v>309</v>
      </c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</row>
    <row r="4524">
      <c r="A4524" s="16" t="s">
        <v>6472</v>
      </c>
      <c r="B4524" s="22" t="s">
        <v>6475</v>
      </c>
      <c r="C4524" s="18" t="s">
        <v>6476</v>
      </c>
      <c r="D4524" s="19" t="s">
        <v>6477</v>
      </c>
      <c r="E4524" s="23" t="s">
        <v>6478</v>
      </c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</row>
    <row r="4525">
      <c r="A4525" s="16" t="s">
        <v>6472</v>
      </c>
      <c r="B4525" s="22" t="s">
        <v>6175</v>
      </c>
      <c r="C4525" s="18" t="s">
        <v>6479</v>
      </c>
      <c r="D4525" s="19" t="s">
        <v>4352</v>
      </c>
      <c r="E4525" s="23" t="s">
        <v>4261</v>
      </c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</row>
    <row r="4526">
      <c r="A4526" s="16" t="s">
        <v>6472</v>
      </c>
      <c r="B4526" s="22" t="s">
        <v>6480</v>
      </c>
      <c r="C4526" s="18" t="s">
        <v>6481</v>
      </c>
      <c r="D4526" s="19" t="s">
        <v>6482</v>
      </c>
      <c r="E4526" s="9" t="s">
        <v>5698</v>
      </c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</row>
    <row r="4527">
      <c r="A4527" s="16" t="s">
        <v>6472</v>
      </c>
      <c r="B4527" s="22" t="s">
        <v>6483</v>
      </c>
      <c r="C4527" s="18" t="s">
        <v>6484</v>
      </c>
      <c r="D4527" s="19" t="s">
        <v>6485</v>
      </c>
      <c r="E4527" s="18" t="s">
        <v>309</v>
      </c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</row>
    <row r="4528">
      <c r="A4528" s="16" t="s">
        <v>6472</v>
      </c>
      <c r="B4528" s="22" t="s">
        <v>6486</v>
      </c>
      <c r="C4528" s="18" t="s">
        <v>6487</v>
      </c>
      <c r="D4528" s="19" t="s">
        <v>6488</v>
      </c>
      <c r="E4528" s="9" t="s">
        <v>14</v>
      </c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</row>
    <row r="4529">
      <c r="A4529" s="16"/>
      <c r="B4529" s="19"/>
      <c r="C4529" s="18"/>
      <c r="D4529" s="19"/>
      <c r="E4529" s="173"/>
      <c r="F4529" s="9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</row>
    <row r="4530">
      <c r="A4530" s="16"/>
      <c r="B4530" s="19"/>
      <c r="C4530" s="18"/>
      <c r="D4530" s="19"/>
      <c r="E4530" s="173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</row>
    <row r="4531">
      <c r="A4531" s="16" t="s">
        <v>6489</v>
      </c>
      <c r="B4531" s="22" t="s">
        <v>6490</v>
      </c>
      <c r="C4531" s="18" t="s">
        <v>6491</v>
      </c>
      <c r="D4531" s="19" t="s">
        <v>6492</v>
      </c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9"/>
    </row>
    <row r="4532">
      <c r="A4532" s="16" t="s">
        <v>6489</v>
      </c>
      <c r="B4532" s="22" t="s">
        <v>6493</v>
      </c>
      <c r="C4532" s="18" t="s">
        <v>2537</v>
      </c>
      <c r="D4532" s="19" t="s">
        <v>6494</v>
      </c>
      <c r="E4532" s="18" t="s">
        <v>309</v>
      </c>
      <c r="F4532" s="9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9"/>
    </row>
    <row r="4533">
      <c r="A4533" s="16"/>
      <c r="B4533" s="19"/>
      <c r="C4533" s="18"/>
      <c r="D4533" s="19"/>
      <c r="E4533" s="173"/>
      <c r="F4533" s="9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9"/>
    </row>
    <row r="4534">
      <c r="A4534" s="16"/>
      <c r="B4534" s="19"/>
      <c r="C4534" s="18"/>
      <c r="D4534" s="19"/>
      <c r="E4534" s="173"/>
      <c r="F4534" s="9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9"/>
    </row>
    <row r="4535">
      <c r="A4535" s="16" t="s">
        <v>6495</v>
      </c>
      <c r="B4535" s="22" t="s">
        <v>6496</v>
      </c>
      <c r="C4535" s="18" t="s">
        <v>6497</v>
      </c>
      <c r="D4535" s="19" t="s">
        <v>6498</v>
      </c>
      <c r="E4535" s="18" t="s">
        <v>6499</v>
      </c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9"/>
    </row>
    <row r="4536">
      <c r="A4536" s="16" t="s">
        <v>6495</v>
      </c>
      <c r="B4536" s="22" t="s">
        <v>6496</v>
      </c>
      <c r="C4536" s="18" t="s">
        <v>6500</v>
      </c>
      <c r="D4536" s="19" t="s">
        <v>6501</v>
      </c>
      <c r="E4536" s="18" t="s">
        <v>6499</v>
      </c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9"/>
    </row>
    <row r="4537">
      <c r="A4537" s="16" t="s">
        <v>6495</v>
      </c>
      <c r="B4537" s="22" t="s">
        <v>6496</v>
      </c>
      <c r="C4537" s="18" t="s">
        <v>6500</v>
      </c>
      <c r="D4537" s="19" t="s">
        <v>6502</v>
      </c>
      <c r="E4537" s="18" t="s">
        <v>6499</v>
      </c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</row>
    <row r="4538">
      <c r="A4538" s="16" t="s">
        <v>6495</v>
      </c>
      <c r="B4538" s="22" t="s">
        <v>6503</v>
      </c>
      <c r="C4538" s="18" t="s">
        <v>4706</v>
      </c>
      <c r="D4538" s="19" t="s">
        <v>2930</v>
      </c>
      <c r="E4538" s="9" t="s">
        <v>764</v>
      </c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9"/>
    </row>
    <row r="4539">
      <c r="A4539" s="16" t="s">
        <v>6495</v>
      </c>
      <c r="B4539" s="22" t="s">
        <v>6503</v>
      </c>
      <c r="C4539" s="18" t="s">
        <v>4303</v>
      </c>
      <c r="D4539" s="19" t="s">
        <v>3272</v>
      </c>
      <c r="E4539" s="9" t="s">
        <v>764</v>
      </c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9"/>
    </row>
    <row r="4540">
      <c r="A4540" s="16" t="s">
        <v>6495</v>
      </c>
      <c r="B4540" s="22" t="s">
        <v>6504</v>
      </c>
      <c r="C4540" s="18" t="s">
        <v>6505</v>
      </c>
      <c r="D4540" s="19" t="s">
        <v>6506</v>
      </c>
      <c r="E4540" s="9" t="s">
        <v>6507</v>
      </c>
      <c r="F4540" s="9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9"/>
    </row>
    <row r="4541">
      <c r="A4541" s="16" t="s">
        <v>6495</v>
      </c>
      <c r="B4541" s="22" t="s">
        <v>6508</v>
      </c>
      <c r="C4541" s="18" t="s">
        <v>6509</v>
      </c>
      <c r="D4541" s="19" t="s">
        <v>6510</v>
      </c>
      <c r="E4541" s="18" t="s">
        <v>6499</v>
      </c>
      <c r="F4541" s="9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9"/>
    </row>
    <row r="4542">
      <c r="A4542" s="16" t="s">
        <v>6495</v>
      </c>
      <c r="B4542" s="22" t="s">
        <v>6508</v>
      </c>
      <c r="C4542" s="18" t="s">
        <v>6511</v>
      </c>
      <c r="D4542" s="19" t="s">
        <v>6512</v>
      </c>
      <c r="E4542" s="18" t="s">
        <v>6499</v>
      </c>
      <c r="F4542" s="9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9"/>
    </row>
    <row r="4543">
      <c r="A4543" s="16" t="s">
        <v>6495</v>
      </c>
      <c r="B4543" s="22" t="s">
        <v>6508</v>
      </c>
      <c r="C4543" s="18" t="s">
        <v>6511</v>
      </c>
      <c r="D4543" s="19" t="s">
        <v>6513</v>
      </c>
      <c r="E4543" s="18" t="s">
        <v>6499</v>
      </c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9"/>
    </row>
    <row r="4544">
      <c r="A4544" s="16" t="s">
        <v>6495</v>
      </c>
      <c r="B4544" s="22" t="s">
        <v>6508</v>
      </c>
      <c r="C4544" s="18" t="s">
        <v>6511</v>
      </c>
      <c r="D4544" s="19" t="s">
        <v>6514</v>
      </c>
      <c r="E4544" s="18" t="s">
        <v>6499</v>
      </c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9"/>
    </row>
    <row r="4545">
      <c r="A4545" s="16" t="s">
        <v>6495</v>
      </c>
      <c r="B4545" s="22" t="s">
        <v>6508</v>
      </c>
      <c r="C4545" s="18" t="s">
        <v>6515</v>
      </c>
      <c r="D4545" s="19" t="s">
        <v>6516</v>
      </c>
      <c r="E4545" s="18" t="s">
        <v>6499</v>
      </c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9"/>
    </row>
    <row r="4546">
      <c r="A4546" s="16" t="s">
        <v>6495</v>
      </c>
      <c r="B4546" s="22" t="s">
        <v>6508</v>
      </c>
      <c r="C4546" s="18" t="s">
        <v>6517</v>
      </c>
      <c r="D4546" s="19" t="s">
        <v>6518</v>
      </c>
      <c r="E4546" s="18" t="s">
        <v>6499</v>
      </c>
      <c r="F4546" s="9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9"/>
    </row>
    <row r="4547">
      <c r="A4547" s="16" t="s">
        <v>6495</v>
      </c>
      <c r="B4547" s="19" t="s">
        <v>6519</v>
      </c>
      <c r="C4547" s="18" t="s">
        <v>6520</v>
      </c>
      <c r="D4547" s="19" t="s">
        <v>6521</v>
      </c>
      <c r="E4547" s="18" t="s">
        <v>309</v>
      </c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</row>
    <row r="4548">
      <c r="A4548" s="16"/>
      <c r="B4548" s="19"/>
      <c r="C4548" s="18"/>
      <c r="D4548" s="19"/>
      <c r="E4548" s="173"/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  <c r="AB4548" s="9"/>
      <c r="AC4548" s="9"/>
      <c r="AD4548" s="9"/>
    </row>
    <row r="4549">
      <c r="A4549" s="16"/>
      <c r="B4549" s="19"/>
      <c r="C4549" s="18"/>
      <c r="D4549" s="19"/>
      <c r="E4549" s="173"/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  <c r="AA4549" s="9"/>
      <c r="AB4549" s="9"/>
      <c r="AC4549" s="9"/>
      <c r="AD4549" s="9"/>
    </row>
    <row r="4550">
      <c r="A4550" s="16" t="s">
        <v>6522</v>
      </c>
      <c r="B4550" s="22" t="s">
        <v>6523</v>
      </c>
      <c r="C4550" s="18" t="s">
        <v>6524</v>
      </c>
      <c r="D4550" s="19" t="s">
        <v>6525</v>
      </c>
      <c r="E4550" s="18" t="s">
        <v>309</v>
      </c>
      <c r="F4550" s="9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  <c r="AB4550" s="9"/>
      <c r="AC4550" s="9"/>
      <c r="AD4550" s="9"/>
    </row>
    <row r="4551">
      <c r="A4551" s="16" t="s">
        <v>6522</v>
      </c>
      <c r="B4551" s="22" t="s">
        <v>6523</v>
      </c>
      <c r="C4551" s="18" t="s">
        <v>6526</v>
      </c>
      <c r="D4551" s="19" t="s">
        <v>6525</v>
      </c>
      <c r="E4551" s="20" t="s">
        <v>7</v>
      </c>
      <c r="F4551" s="9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9"/>
      <c r="AD4551" s="9"/>
    </row>
    <row r="4552">
      <c r="A4552" s="16" t="s">
        <v>6522</v>
      </c>
      <c r="B4552" s="22" t="s">
        <v>6523</v>
      </c>
      <c r="C4552" s="18" t="s">
        <v>6527</v>
      </c>
      <c r="D4552" s="19" t="s">
        <v>6525</v>
      </c>
      <c r="E4552" s="20" t="s">
        <v>7</v>
      </c>
      <c r="F4552" s="9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  <c r="AB4552" s="9"/>
      <c r="AC4552" s="9"/>
      <c r="AD4552" s="9"/>
    </row>
    <row r="4553">
      <c r="A4553" s="16" t="s">
        <v>6522</v>
      </c>
      <c r="B4553" s="22" t="s">
        <v>6523</v>
      </c>
      <c r="C4553" s="18" t="s">
        <v>6528</v>
      </c>
      <c r="D4553" s="19" t="s">
        <v>6525</v>
      </c>
      <c r="E4553" s="18" t="s">
        <v>309</v>
      </c>
      <c r="F4553" s="9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9"/>
      <c r="AD4553" s="9"/>
    </row>
    <row r="4554">
      <c r="A4554" s="16" t="s">
        <v>6522</v>
      </c>
      <c r="B4554" s="22" t="s">
        <v>6529</v>
      </c>
      <c r="C4554" s="18" t="s">
        <v>6530</v>
      </c>
      <c r="D4554" s="19" t="s">
        <v>1676</v>
      </c>
      <c r="E4554" s="18" t="s">
        <v>6499</v>
      </c>
      <c r="F4554" s="9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9"/>
      <c r="AA4554" s="9"/>
      <c r="AB4554" s="9"/>
      <c r="AC4554" s="9"/>
      <c r="AD4554" s="9"/>
    </row>
    <row r="4555">
      <c r="A4555" s="16" t="s">
        <v>6522</v>
      </c>
      <c r="B4555" s="22" t="s">
        <v>6529</v>
      </c>
      <c r="C4555" s="18" t="s">
        <v>6531</v>
      </c>
      <c r="D4555" s="19" t="s">
        <v>1676</v>
      </c>
      <c r="E4555" s="18" t="s">
        <v>6499</v>
      </c>
      <c r="F4555" s="9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  <c r="AA4555" s="9"/>
      <c r="AB4555" s="9"/>
      <c r="AC4555" s="9"/>
      <c r="AD4555" s="9"/>
    </row>
    <row r="4556">
      <c r="A4556" s="16" t="s">
        <v>6522</v>
      </c>
      <c r="B4556" s="22" t="s">
        <v>6529</v>
      </c>
      <c r="C4556" s="18" t="s">
        <v>6532</v>
      </c>
      <c r="D4556" s="19" t="s">
        <v>6533</v>
      </c>
      <c r="E4556" s="18" t="s">
        <v>6499</v>
      </c>
      <c r="F4556" s="9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  <c r="AA4556" s="9"/>
      <c r="AB4556" s="9"/>
      <c r="AC4556" s="9"/>
      <c r="AD4556" s="9"/>
    </row>
    <row r="4557">
      <c r="A4557" s="16" t="s">
        <v>6522</v>
      </c>
      <c r="B4557" s="22" t="s">
        <v>6529</v>
      </c>
      <c r="C4557" s="18" t="s">
        <v>6534</v>
      </c>
      <c r="D4557" s="19" t="s">
        <v>6533</v>
      </c>
      <c r="E4557" s="18" t="s">
        <v>6499</v>
      </c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  <c r="AA4557" s="9"/>
      <c r="AB4557" s="9"/>
      <c r="AC4557" s="9"/>
      <c r="AD4557" s="9"/>
    </row>
    <row r="4558">
      <c r="A4558" s="16" t="s">
        <v>6522</v>
      </c>
      <c r="B4558" s="22" t="s">
        <v>6529</v>
      </c>
      <c r="C4558" s="18" t="s">
        <v>6535</v>
      </c>
      <c r="D4558" s="19" t="s">
        <v>6536</v>
      </c>
      <c r="E4558" s="18" t="s">
        <v>6499</v>
      </c>
      <c r="F4558" s="9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9"/>
      <c r="W4558" s="9"/>
      <c r="X4558" s="9"/>
      <c r="Y4558" s="9"/>
      <c r="Z4558" s="9"/>
      <c r="AA4558" s="9"/>
      <c r="AB4558" s="9"/>
      <c r="AC4558" s="9"/>
      <c r="AD4558" s="9"/>
    </row>
    <row r="4559">
      <c r="A4559" s="16" t="s">
        <v>6522</v>
      </c>
      <c r="B4559" s="22" t="s">
        <v>6529</v>
      </c>
      <c r="C4559" s="18" t="s">
        <v>2404</v>
      </c>
      <c r="D4559" s="19" t="s">
        <v>6536</v>
      </c>
      <c r="E4559" s="18" t="s">
        <v>6499</v>
      </c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  <c r="AA4559" s="9"/>
      <c r="AB4559" s="9"/>
      <c r="AC4559" s="9"/>
      <c r="AD4559" s="9"/>
    </row>
    <row r="4560">
      <c r="A4560" s="16" t="s">
        <v>6522</v>
      </c>
      <c r="B4560" s="22" t="s">
        <v>6529</v>
      </c>
      <c r="C4560" s="18" t="s">
        <v>6537</v>
      </c>
      <c r="D4560" s="19" t="s">
        <v>6538</v>
      </c>
      <c r="E4560" s="18" t="s">
        <v>6499</v>
      </c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  <c r="AA4560" s="9"/>
      <c r="AB4560" s="9"/>
      <c r="AC4560" s="9"/>
      <c r="AD4560" s="9"/>
    </row>
    <row r="4561">
      <c r="A4561" s="16" t="s">
        <v>6522</v>
      </c>
      <c r="B4561" s="22" t="s">
        <v>6529</v>
      </c>
      <c r="C4561" s="18" t="s">
        <v>6539</v>
      </c>
      <c r="D4561" s="19" t="s">
        <v>6540</v>
      </c>
      <c r="E4561" s="18" t="s">
        <v>6499</v>
      </c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  <c r="AA4561" s="9"/>
      <c r="AB4561" s="9"/>
      <c r="AC4561" s="9"/>
      <c r="AD4561" s="9"/>
    </row>
    <row r="4562">
      <c r="A4562" s="16" t="s">
        <v>6522</v>
      </c>
      <c r="B4562" s="22" t="s">
        <v>6529</v>
      </c>
      <c r="C4562" s="18" t="s">
        <v>6259</v>
      </c>
      <c r="D4562" s="19" t="s">
        <v>6540</v>
      </c>
      <c r="E4562" s="18" t="s">
        <v>6499</v>
      </c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  <c r="Z4562" s="9"/>
      <c r="AA4562" s="9"/>
      <c r="AB4562" s="9"/>
      <c r="AC4562" s="9"/>
      <c r="AD4562" s="9"/>
    </row>
    <row r="4563">
      <c r="A4563" s="16" t="s">
        <v>6522</v>
      </c>
      <c r="B4563" s="22" t="s">
        <v>6529</v>
      </c>
      <c r="C4563" s="18" t="s">
        <v>6541</v>
      </c>
      <c r="D4563" s="19" t="s">
        <v>6542</v>
      </c>
      <c r="E4563" s="18" t="s">
        <v>6499</v>
      </c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  <c r="AA4563" s="9"/>
      <c r="AB4563" s="9"/>
      <c r="AC4563" s="9"/>
      <c r="AD4563" s="9"/>
    </row>
    <row r="4564">
      <c r="A4564" s="16" t="s">
        <v>6522</v>
      </c>
      <c r="B4564" s="22" t="s">
        <v>6529</v>
      </c>
      <c r="C4564" s="18" t="s">
        <v>6534</v>
      </c>
      <c r="D4564" s="19" t="s">
        <v>6274</v>
      </c>
      <c r="E4564" s="18" t="s">
        <v>6499</v>
      </c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  <c r="AA4564" s="9"/>
      <c r="AB4564" s="9"/>
      <c r="AC4564" s="9"/>
      <c r="AD4564" s="9"/>
    </row>
    <row r="4565">
      <c r="A4565" s="16" t="s">
        <v>6522</v>
      </c>
      <c r="B4565" s="22" t="s">
        <v>6529</v>
      </c>
      <c r="C4565" s="18" t="s">
        <v>6543</v>
      </c>
      <c r="D4565" s="19" t="s">
        <v>2400</v>
      </c>
      <c r="E4565" s="18" t="s">
        <v>6499</v>
      </c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  <c r="AA4565" s="9"/>
      <c r="AB4565" s="9"/>
      <c r="AC4565" s="9"/>
      <c r="AD4565" s="9"/>
    </row>
    <row r="4566">
      <c r="A4566" s="16" t="s">
        <v>6522</v>
      </c>
      <c r="B4566" s="22" t="s">
        <v>6529</v>
      </c>
      <c r="C4566" s="18" t="s">
        <v>6544</v>
      </c>
      <c r="D4566" s="19" t="s">
        <v>2400</v>
      </c>
      <c r="E4566" s="18" t="s">
        <v>6499</v>
      </c>
      <c r="F4566" s="9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  <c r="AA4566" s="9"/>
      <c r="AB4566" s="9"/>
      <c r="AC4566" s="9"/>
      <c r="AD4566" s="9"/>
    </row>
    <row r="4567">
      <c r="A4567" s="16" t="s">
        <v>6522</v>
      </c>
      <c r="B4567" s="22" t="s">
        <v>6529</v>
      </c>
      <c r="C4567" s="18" t="s">
        <v>6259</v>
      </c>
      <c r="D4567" s="19" t="s">
        <v>6542</v>
      </c>
      <c r="E4567" s="18" t="s">
        <v>6499</v>
      </c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  <c r="AA4567" s="9"/>
      <c r="AB4567" s="9"/>
      <c r="AC4567" s="9"/>
      <c r="AD4567" s="9"/>
    </row>
    <row r="4568">
      <c r="A4568" s="16" t="s">
        <v>6522</v>
      </c>
      <c r="B4568" s="22" t="s">
        <v>6529</v>
      </c>
      <c r="C4568" s="18" t="s">
        <v>6545</v>
      </c>
      <c r="D4568" s="19" t="s">
        <v>5551</v>
      </c>
      <c r="E4568" s="18" t="s">
        <v>6499</v>
      </c>
      <c r="F4568" s="9"/>
      <c r="G4568" s="9"/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  <c r="Z4568" s="9"/>
      <c r="AA4568" s="9"/>
      <c r="AB4568" s="9"/>
      <c r="AC4568" s="9"/>
      <c r="AD4568" s="9"/>
    </row>
    <row r="4569">
      <c r="A4569" s="16" t="s">
        <v>6522</v>
      </c>
      <c r="B4569" s="22" t="s">
        <v>6529</v>
      </c>
      <c r="C4569" s="18" t="s">
        <v>6539</v>
      </c>
      <c r="D4569" s="19" t="s">
        <v>6546</v>
      </c>
      <c r="E4569" s="18" t="s">
        <v>6499</v>
      </c>
      <c r="F4569" s="9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  <c r="AA4569" s="9"/>
      <c r="AB4569" s="9"/>
      <c r="AC4569" s="9"/>
      <c r="AD4569" s="9"/>
    </row>
    <row r="4570">
      <c r="A4570" s="16" t="s">
        <v>6522</v>
      </c>
      <c r="B4570" s="22" t="s">
        <v>6529</v>
      </c>
      <c r="C4570" s="18" t="s">
        <v>6259</v>
      </c>
      <c r="D4570" s="19" t="s">
        <v>6546</v>
      </c>
      <c r="E4570" s="18" t="s">
        <v>6499</v>
      </c>
      <c r="F4570" s="9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/>
      <c r="AA4570" s="9"/>
      <c r="AB4570" s="9"/>
      <c r="AC4570" s="9"/>
      <c r="AD4570" s="9"/>
    </row>
    <row r="4571">
      <c r="A4571" s="16" t="s">
        <v>6522</v>
      </c>
      <c r="B4571" s="22" t="s">
        <v>6529</v>
      </c>
      <c r="C4571" s="18" t="s">
        <v>6547</v>
      </c>
      <c r="D4571" s="19" t="s">
        <v>5551</v>
      </c>
      <c r="E4571" s="18" t="s">
        <v>6499</v>
      </c>
      <c r="F4571" s="9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  <c r="AA4571" s="9"/>
      <c r="AB4571" s="9"/>
      <c r="AC4571" s="9"/>
      <c r="AD4571" s="9"/>
    </row>
    <row r="4572">
      <c r="A4572" s="16" t="s">
        <v>6522</v>
      </c>
      <c r="B4572" s="22" t="s">
        <v>6529</v>
      </c>
      <c r="C4572" s="18" t="s">
        <v>6548</v>
      </c>
      <c r="D4572" s="19" t="s">
        <v>6549</v>
      </c>
      <c r="E4572" s="18" t="s">
        <v>6499</v>
      </c>
      <c r="F4572" s="9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/>
      <c r="AA4572" s="9"/>
      <c r="AB4572" s="9"/>
      <c r="AC4572" s="9"/>
      <c r="AD4572" s="9"/>
    </row>
    <row r="4573">
      <c r="A4573" s="16" t="s">
        <v>6522</v>
      </c>
      <c r="B4573" s="22" t="s">
        <v>6529</v>
      </c>
      <c r="C4573" s="18" t="s">
        <v>6550</v>
      </c>
      <c r="D4573" s="19" t="s">
        <v>6549</v>
      </c>
      <c r="E4573" s="18" t="s">
        <v>6499</v>
      </c>
      <c r="F4573" s="9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  <c r="AA4573" s="9"/>
      <c r="AB4573" s="9"/>
      <c r="AC4573" s="9"/>
      <c r="AD4573" s="9"/>
    </row>
    <row r="4574">
      <c r="A4574" s="16" t="s">
        <v>6522</v>
      </c>
      <c r="B4574" s="22" t="s">
        <v>6529</v>
      </c>
      <c r="C4574" s="18" t="s">
        <v>6551</v>
      </c>
      <c r="D4574" s="19" t="s">
        <v>5551</v>
      </c>
      <c r="E4574" s="18" t="s">
        <v>6499</v>
      </c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  <c r="AA4574" s="9"/>
      <c r="AB4574" s="9"/>
      <c r="AC4574" s="9"/>
      <c r="AD4574" s="9"/>
    </row>
    <row r="4575">
      <c r="A4575" s="16" t="s">
        <v>6522</v>
      </c>
      <c r="B4575" s="22" t="s">
        <v>6529</v>
      </c>
      <c r="C4575" s="18" t="s">
        <v>6552</v>
      </c>
      <c r="D4575" s="19" t="s">
        <v>5551</v>
      </c>
      <c r="E4575" s="18" t="s">
        <v>6499</v>
      </c>
      <c r="F4575" s="9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  <c r="AA4575" s="9"/>
      <c r="AB4575" s="9"/>
      <c r="AC4575" s="9"/>
      <c r="AD4575" s="9"/>
    </row>
    <row r="4576">
      <c r="A4576" s="16" t="s">
        <v>6522</v>
      </c>
      <c r="B4576" s="22" t="s">
        <v>6529</v>
      </c>
      <c r="C4576" s="18" t="s">
        <v>6553</v>
      </c>
      <c r="D4576" s="19" t="s">
        <v>6274</v>
      </c>
      <c r="E4576" s="18" t="s">
        <v>6499</v>
      </c>
      <c r="F4576" s="9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  <c r="AA4576" s="9"/>
      <c r="AB4576" s="9"/>
      <c r="AC4576" s="9"/>
      <c r="AD4576" s="9"/>
    </row>
    <row r="4577">
      <c r="A4577" s="16" t="s">
        <v>6522</v>
      </c>
      <c r="B4577" s="22" t="s">
        <v>6554</v>
      </c>
      <c r="C4577" s="18" t="s">
        <v>6481</v>
      </c>
      <c r="D4577" s="19" t="s">
        <v>6555</v>
      </c>
      <c r="E4577" s="18" t="s">
        <v>6499</v>
      </c>
      <c r="F4577" s="9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  <c r="AA4577" s="9"/>
      <c r="AB4577" s="9"/>
      <c r="AC4577" s="9"/>
      <c r="AD4577" s="9"/>
    </row>
    <row r="4578">
      <c r="A4578" s="16" t="s">
        <v>6522</v>
      </c>
      <c r="B4578" s="22" t="s">
        <v>6554</v>
      </c>
      <c r="C4578" s="18" t="s">
        <v>6481</v>
      </c>
      <c r="D4578" s="19" t="s">
        <v>2037</v>
      </c>
      <c r="E4578" s="18" t="s">
        <v>6499</v>
      </c>
      <c r="F4578" s="9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  <c r="AA4578" s="9"/>
      <c r="AB4578" s="9"/>
      <c r="AC4578" s="9"/>
      <c r="AD4578" s="9"/>
    </row>
    <row r="4579">
      <c r="A4579" s="16" t="s">
        <v>6522</v>
      </c>
      <c r="B4579" s="22" t="s">
        <v>5945</v>
      </c>
      <c r="C4579" s="18" t="s">
        <v>6556</v>
      </c>
      <c r="D4579" s="19" t="s">
        <v>6557</v>
      </c>
      <c r="E4579" s="23" t="s">
        <v>14</v>
      </c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  <c r="AA4579" s="9"/>
      <c r="AB4579" s="9"/>
      <c r="AC4579" s="9"/>
      <c r="AD4579" s="9"/>
    </row>
    <row r="4580">
      <c r="A4580" s="16" t="s">
        <v>6522</v>
      </c>
      <c r="B4580" s="22" t="s">
        <v>6558</v>
      </c>
      <c r="C4580" s="18" t="s">
        <v>6559</v>
      </c>
      <c r="D4580" s="19" t="s">
        <v>2157</v>
      </c>
      <c r="E4580" s="23" t="s">
        <v>14</v>
      </c>
      <c r="F4580" s="9"/>
      <c r="G4580" s="9"/>
      <c r="H4580" s="9"/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9"/>
      <c r="Y4580" s="9"/>
      <c r="Z4580" s="9"/>
      <c r="AA4580" s="9"/>
      <c r="AB4580" s="9"/>
      <c r="AC4580" s="9"/>
      <c r="AD4580" s="9"/>
    </row>
    <row r="4581">
      <c r="A4581" s="16" t="s">
        <v>6522</v>
      </c>
      <c r="B4581" s="22" t="s">
        <v>6558</v>
      </c>
      <c r="C4581" s="18" t="s">
        <v>6560</v>
      </c>
      <c r="D4581" s="19" t="s">
        <v>6561</v>
      </c>
      <c r="E4581" s="23" t="s">
        <v>14</v>
      </c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  <c r="AA4581" s="9"/>
      <c r="AB4581" s="9"/>
      <c r="AC4581" s="9"/>
      <c r="AD4581" s="9"/>
    </row>
    <row r="4582">
      <c r="A4582" s="16"/>
      <c r="B4582" s="19"/>
      <c r="C4582" s="18"/>
      <c r="D4582" s="19"/>
      <c r="E4582" s="173"/>
      <c r="F4582" s="9"/>
      <c r="G4582" s="9"/>
      <c r="H4582" s="9"/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9"/>
      <c r="AA4582" s="9"/>
      <c r="AB4582" s="9"/>
      <c r="AC4582" s="9"/>
      <c r="AD4582" s="9"/>
    </row>
    <row r="4583">
      <c r="A4583" s="16"/>
      <c r="B4583" s="19"/>
      <c r="C4583" s="18"/>
      <c r="D4583" s="19"/>
      <c r="E4583" s="173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  <c r="AA4583" s="9"/>
      <c r="AB4583" s="9"/>
      <c r="AC4583" s="9"/>
      <c r="AD4583" s="9"/>
    </row>
    <row r="4584">
      <c r="A4584" s="16" t="s">
        <v>6562</v>
      </c>
      <c r="B4584" s="22" t="s">
        <v>5945</v>
      </c>
      <c r="C4584" s="18" t="s">
        <v>6563</v>
      </c>
      <c r="D4584" s="18" t="s">
        <v>6564</v>
      </c>
      <c r="E4584" s="9" t="s">
        <v>1282</v>
      </c>
      <c r="F4584" s="9"/>
      <c r="G4584" s="9"/>
      <c r="H4584" s="9"/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  <c r="AA4584" s="9"/>
      <c r="AB4584" s="9"/>
      <c r="AC4584" s="9"/>
      <c r="AD4584" s="9"/>
    </row>
    <row r="4585">
      <c r="A4585" s="16" t="s">
        <v>6562</v>
      </c>
      <c r="B4585" s="22" t="s">
        <v>5945</v>
      </c>
      <c r="C4585" s="18" t="s">
        <v>6565</v>
      </c>
      <c r="D4585" s="18" t="s">
        <v>6566</v>
      </c>
      <c r="E4585" s="18" t="s">
        <v>309</v>
      </c>
      <c r="F4585" s="9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9"/>
      <c r="Y4585" s="9"/>
      <c r="Z4585" s="9"/>
      <c r="AA4585" s="9"/>
      <c r="AB4585" s="9"/>
      <c r="AC4585" s="9"/>
      <c r="AD4585" s="9"/>
    </row>
    <row r="4586">
      <c r="A4586" s="16" t="s">
        <v>6562</v>
      </c>
      <c r="B4586" s="22" t="s">
        <v>5945</v>
      </c>
      <c r="C4586" s="18" t="s">
        <v>6567</v>
      </c>
      <c r="D4586" s="18" t="s">
        <v>845</v>
      </c>
      <c r="E4586" s="9" t="s">
        <v>6568</v>
      </c>
      <c r="F4586" s="9"/>
      <c r="G4586" s="9"/>
      <c r="H4586" s="9"/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  <c r="AA4586" s="9"/>
      <c r="AB4586" s="9"/>
      <c r="AC4586" s="9"/>
      <c r="AD4586" s="9"/>
    </row>
    <row r="4587">
      <c r="A4587" s="16" t="s">
        <v>6562</v>
      </c>
      <c r="B4587" s="22" t="s">
        <v>5945</v>
      </c>
      <c r="C4587" s="18" t="s">
        <v>3193</v>
      </c>
      <c r="D4587" s="18" t="s">
        <v>6569</v>
      </c>
      <c r="E4587" s="9" t="s">
        <v>764</v>
      </c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  <c r="AA4587" s="9"/>
      <c r="AB4587" s="9"/>
      <c r="AC4587" s="9"/>
      <c r="AD4587" s="9"/>
    </row>
    <row r="4588">
      <c r="A4588" s="16" t="s">
        <v>6562</v>
      </c>
      <c r="B4588" s="22" t="s">
        <v>6258</v>
      </c>
      <c r="C4588" s="18" t="s">
        <v>6570</v>
      </c>
      <c r="D4588" s="19" t="s">
        <v>1676</v>
      </c>
      <c r="E4588" s="18" t="s">
        <v>4624</v>
      </c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  <c r="Z4588" s="9"/>
      <c r="AA4588" s="9"/>
      <c r="AB4588" s="9"/>
      <c r="AC4588" s="9"/>
      <c r="AD4588" s="9"/>
    </row>
    <row r="4589">
      <c r="A4589" s="16" t="s">
        <v>6562</v>
      </c>
      <c r="B4589" s="22" t="s">
        <v>6258</v>
      </c>
      <c r="C4589" s="18" t="s">
        <v>6259</v>
      </c>
      <c r="D4589" s="19" t="s">
        <v>6542</v>
      </c>
      <c r="E4589" s="18" t="s">
        <v>4624</v>
      </c>
      <c r="F4589" s="9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  <c r="AA4589" s="9"/>
      <c r="AB4589" s="9"/>
      <c r="AC4589" s="9"/>
      <c r="AD4589" s="9"/>
    </row>
    <row r="4590">
      <c r="A4590" s="16" t="s">
        <v>6562</v>
      </c>
      <c r="B4590" s="22" t="s">
        <v>6258</v>
      </c>
      <c r="C4590" s="18" t="s">
        <v>6259</v>
      </c>
      <c r="D4590" s="19" t="s">
        <v>6546</v>
      </c>
      <c r="E4590" s="18" t="s">
        <v>4624</v>
      </c>
      <c r="F4590" s="9"/>
      <c r="G4590" s="9"/>
      <c r="H4590" s="9"/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  <c r="AA4590" s="9"/>
      <c r="AB4590" s="9"/>
      <c r="AC4590" s="9"/>
      <c r="AD4590" s="9"/>
    </row>
    <row r="4591">
      <c r="A4591" s="16" t="s">
        <v>6562</v>
      </c>
      <c r="B4591" s="22" t="s">
        <v>6258</v>
      </c>
      <c r="C4591" s="18" t="s">
        <v>6259</v>
      </c>
      <c r="D4591" s="19" t="s">
        <v>6549</v>
      </c>
      <c r="E4591" s="18" t="s">
        <v>4624</v>
      </c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  <c r="AA4591" s="9"/>
      <c r="AB4591" s="9"/>
      <c r="AC4591" s="9"/>
      <c r="AD4591" s="9"/>
    </row>
    <row r="4592">
      <c r="A4592" s="16" t="s">
        <v>6562</v>
      </c>
      <c r="B4592" s="22" t="s">
        <v>6258</v>
      </c>
      <c r="C4592" s="18" t="s">
        <v>6571</v>
      </c>
      <c r="D4592" s="19" t="s">
        <v>1824</v>
      </c>
      <c r="E4592" s="18" t="s">
        <v>4624</v>
      </c>
      <c r="F4592" s="9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  <c r="AA4592" s="9"/>
      <c r="AB4592" s="9"/>
      <c r="AC4592" s="9"/>
      <c r="AD4592" s="9"/>
    </row>
    <row r="4593">
      <c r="A4593" s="16" t="s">
        <v>6562</v>
      </c>
      <c r="B4593" s="22" t="s">
        <v>6258</v>
      </c>
      <c r="C4593" s="18" t="s">
        <v>6259</v>
      </c>
      <c r="D4593" s="19" t="s">
        <v>1824</v>
      </c>
      <c r="E4593" s="18" t="s">
        <v>4624</v>
      </c>
      <c r="F4593" s="9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  <c r="AA4593" s="9"/>
      <c r="AB4593" s="9"/>
      <c r="AC4593" s="9"/>
      <c r="AD4593" s="9"/>
    </row>
    <row r="4594">
      <c r="A4594" s="16" t="s">
        <v>6562</v>
      </c>
      <c r="B4594" s="22" t="s">
        <v>5948</v>
      </c>
      <c r="C4594" s="18" t="s">
        <v>6572</v>
      </c>
      <c r="D4594" s="19" t="s">
        <v>6573</v>
      </c>
      <c r="E4594" s="20" t="s">
        <v>7</v>
      </c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  <c r="AA4594" s="9"/>
      <c r="AB4594" s="9"/>
      <c r="AC4594" s="9"/>
      <c r="AD4594" s="9"/>
    </row>
    <row r="4595">
      <c r="A4595" s="16" t="s">
        <v>6562</v>
      </c>
      <c r="B4595" s="22" t="s">
        <v>5948</v>
      </c>
      <c r="C4595" s="18" t="s">
        <v>6574</v>
      </c>
      <c r="D4595" s="19" t="s">
        <v>6573</v>
      </c>
      <c r="E4595" s="20" t="s">
        <v>7</v>
      </c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</row>
    <row r="4596">
      <c r="A4596" s="16" t="s">
        <v>6562</v>
      </c>
      <c r="B4596" s="22" t="s">
        <v>5948</v>
      </c>
      <c r="C4596" s="18" t="s">
        <v>6575</v>
      </c>
      <c r="D4596" s="19" t="s">
        <v>6573</v>
      </c>
      <c r="E4596" s="20" t="s">
        <v>7</v>
      </c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  <c r="AB4596" s="9"/>
      <c r="AC4596" s="9"/>
      <c r="AD4596" s="9"/>
    </row>
    <row r="4597">
      <c r="A4597" s="16" t="s">
        <v>6562</v>
      </c>
      <c r="B4597" s="22" t="s">
        <v>5948</v>
      </c>
      <c r="C4597" s="18" t="s">
        <v>6576</v>
      </c>
      <c r="D4597" s="19" t="s">
        <v>6573</v>
      </c>
      <c r="E4597" s="20" t="s">
        <v>7</v>
      </c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  <c r="AA4597" s="9"/>
      <c r="AB4597" s="9"/>
      <c r="AC4597" s="9"/>
      <c r="AD4597" s="9"/>
    </row>
    <row r="4598">
      <c r="A4598" s="16" t="s">
        <v>6562</v>
      </c>
      <c r="B4598" s="22" t="s">
        <v>6577</v>
      </c>
      <c r="C4598" s="18" t="s">
        <v>6578</v>
      </c>
      <c r="D4598" s="19" t="s">
        <v>6579</v>
      </c>
      <c r="E4598" s="23" t="s">
        <v>764</v>
      </c>
      <c r="F4598" s="9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  <c r="AA4598" s="9"/>
      <c r="AB4598" s="9"/>
      <c r="AC4598" s="9"/>
      <c r="AD4598" s="9"/>
    </row>
    <row r="4599">
      <c r="A4599" s="16" t="s">
        <v>6562</v>
      </c>
      <c r="B4599" s="22" t="s">
        <v>6580</v>
      </c>
      <c r="C4599" s="18" t="s">
        <v>6567</v>
      </c>
      <c r="D4599" s="19" t="s">
        <v>6581</v>
      </c>
      <c r="E4599" s="18" t="s">
        <v>309</v>
      </c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  <c r="AA4599" s="9"/>
      <c r="AB4599" s="9"/>
      <c r="AC4599" s="9"/>
      <c r="AD4599" s="9"/>
    </row>
    <row r="4600">
      <c r="A4600" s="16" t="s">
        <v>6562</v>
      </c>
      <c r="B4600" s="22" t="s">
        <v>6582</v>
      </c>
      <c r="C4600" s="18" t="s">
        <v>6583</v>
      </c>
      <c r="D4600" s="18" t="s">
        <v>6584</v>
      </c>
      <c r="E4600" s="20" t="s">
        <v>7</v>
      </c>
      <c r="F4600" s="9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  <c r="AA4600" s="9"/>
      <c r="AB4600" s="9"/>
      <c r="AC4600" s="9"/>
      <c r="AD4600" s="9"/>
    </row>
    <row r="4601">
      <c r="A4601" s="16" t="s">
        <v>6562</v>
      </c>
      <c r="B4601" s="22" t="s">
        <v>6582</v>
      </c>
      <c r="C4601" s="18" t="s">
        <v>6585</v>
      </c>
      <c r="D4601" s="18" t="s">
        <v>6584</v>
      </c>
      <c r="E4601" s="20" t="s">
        <v>7</v>
      </c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  <c r="AA4601" s="9"/>
      <c r="AB4601" s="9"/>
      <c r="AC4601" s="9"/>
      <c r="AD4601" s="9"/>
    </row>
    <row r="4602">
      <c r="A4602" s="16" t="s">
        <v>6562</v>
      </c>
      <c r="B4602" s="22" t="s">
        <v>6582</v>
      </c>
      <c r="C4602" s="18" t="s">
        <v>6586</v>
      </c>
      <c r="D4602" s="18" t="s">
        <v>6584</v>
      </c>
      <c r="E4602" s="20" t="s">
        <v>7</v>
      </c>
      <c r="F4602" s="9"/>
      <c r="G4602" s="9"/>
      <c r="H4602" s="9"/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  <c r="AA4602" s="9"/>
      <c r="AB4602" s="9"/>
      <c r="AC4602" s="9"/>
      <c r="AD4602" s="9"/>
    </row>
    <row r="4603">
      <c r="A4603" s="16" t="s">
        <v>6562</v>
      </c>
      <c r="B4603" s="22" t="s">
        <v>6383</v>
      </c>
      <c r="C4603" s="18" t="s">
        <v>6587</v>
      </c>
      <c r="D4603" s="19" t="s">
        <v>6588</v>
      </c>
      <c r="E4603" s="23" t="s">
        <v>764</v>
      </c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  <c r="AA4603" s="9"/>
      <c r="AB4603" s="9"/>
      <c r="AC4603" s="9"/>
      <c r="AD4603" s="9"/>
    </row>
    <row r="4604">
      <c r="A4604" s="16" t="s">
        <v>6562</v>
      </c>
      <c r="B4604" s="22" t="s">
        <v>6577</v>
      </c>
      <c r="C4604" s="18" t="s">
        <v>6578</v>
      </c>
      <c r="D4604" s="19" t="s">
        <v>6589</v>
      </c>
      <c r="E4604" s="23" t="s">
        <v>764</v>
      </c>
      <c r="F4604" s="9"/>
      <c r="G4604" s="9"/>
      <c r="H4604" s="9"/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  <c r="AA4604" s="9"/>
      <c r="AB4604" s="9"/>
      <c r="AC4604" s="9"/>
      <c r="AD4604" s="9"/>
    </row>
    <row r="4605">
      <c r="A4605" s="16" t="s">
        <v>6562</v>
      </c>
      <c r="B4605" s="22" t="s">
        <v>6523</v>
      </c>
      <c r="C4605" s="18" t="s">
        <v>6590</v>
      </c>
      <c r="D4605" s="19" t="s">
        <v>6591</v>
      </c>
      <c r="E4605" s="23" t="s">
        <v>764</v>
      </c>
      <c r="F4605" s="9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  <c r="AA4605" s="9"/>
      <c r="AB4605" s="9"/>
      <c r="AC4605" s="9"/>
      <c r="AD4605" s="9"/>
    </row>
    <row r="4606">
      <c r="A4606" s="16" t="s">
        <v>6562</v>
      </c>
      <c r="B4606" s="19" t="s">
        <v>6592</v>
      </c>
      <c r="C4606" s="18" t="s">
        <v>6565</v>
      </c>
      <c r="D4606" s="19" t="s">
        <v>6566</v>
      </c>
      <c r="E4606" s="18" t="s">
        <v>309</v>
      </c>
      <c r="F4606" s="9"/>
      <c r="G4606" s="9"/>
      <c r="H4606" s="9"/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  <c r="AA4606" s="9"/>
      <c r="AB4606" s="9"/>
      <c r="AC4606" s="9"/>
      <c r="AD4606" s="9"/>
    </row>
    <row r="4607">
      <c r="A4607" s="16"/>
      <c r="B4607" s="19"/>
      <c r="C4607" s="18"/>
      <c r="D4607" s="19"/>
      <c r="E4607" s="173"/>
      <c r="F4607" s="9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  <c r="AA4607" s="9"/>
      <c r="AB4607" s="9"/>
      <c r="AC4607" s="9"/>
      <c r="AD4607" s="9"/>
    </row>
    <row r="4608">
      <c r="A4608" s="16"/>
      <c r="B4608" s="19"/>
      <c r="C4608" s="18"/>
      <c r="D4608" s="19"/>
      <c r="E4608" s="173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  <c r="AA4608" s="9"/>
      <c r="AB4608" s="9"/>
      <c r="AC4608" s="9"/>
      <c r="AD4608" s="9"/>
    </row>
    <row r="4609">
      <c r="A4609" s="16" t="s">
        <v>6593</v>
      </c>
      <c r="B4609" s="22" t="s">
        <v>6594</v>
      </c>
      <c r="C4609" s="18" t="s">
        <v>6567</v>
      </c>
      <c r="D4609" s="19" t="s">
        <v>6595</v>
      </c>
      <c r="E4609" s="18" t="s">
        <v>309</v>
      </c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  <c r="AA4609" s="9"/>
      <c r="AB4609" s="9"/>
      <c r="AC4609" s="9"/>
      <c r="AD4609" s="9"/>
    </row>
    <row r="4610">
      <c r="A4610" s="16" t="s">
        <v>6593</v>
      </c>
      <c r="B4610" s="22" t="s">
        <v>6596</v>
      </c>
      <c r="C4610" s="18" t="s">
        <v>6586</v>
      </c>
      <c r="D4610" s="18" t="s">
        <v>6584</v>
      </c>
      <c r="E4610" s="20" t="s">
        <v>7</v>
      </c>
      <c r="F4610" s="9"/>
      <c r="G4610" s="9"/>
      <c r="H4610" s="9"/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  <c r="AA4610" s="9"/>
      <c r="AB4610" s="9"/>
      <c r="AC4610" s="9"/>
      <c r="AD4610" s="9"/>
    </row>
    <row r="4611">
      <c r="A4611" s="16" t="s">
        <v>6593</v>
      </c>
      <c r="B4611" s="22" t="s">
        <v>6596</v>
      </c>
      <c r="C4611" s="18" t="s">
        <v>6597</v>
      </c>
      <c r="D4611" s="18" t="s">
        <v>6584</v>
      </c>
      <c r="E4611" s="20" t="s">
        <v>7</v>
      </c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  <c r="AA4611" s="9"/>
      <c r="AB4611" s="9"/>
      <c r="AC4611" s="9"/>
      <c r="AD4611" s="9"/>
    </row>
    <row r="4612">
      <c r="A4612" s="16" t="s">
        <v>6593</v>
      </c>
      <c r="B4612" s="22" t="s">
        <v>6596</v>
      </c>
      <c r="C4612" s="18" t="s">
        <v>6598</v>
      </c>
      <c r="D4612" s="18" t="s">
        <v>6584</v>
      </c>
      <c r="E4612" s="20" t="s">
        <v>7</v>
      </c>
      <c r="F4612" s="9"/>
      <c r="G4612" s="9"/>
      <c r="H4612" s="9"/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  <c r="AA4612" s="9"/>
      <c r="AB4612" s="9"/>
      <c r="AC4612" s="9"/>
      <c r="AD4612" s="9"/>
    </row>
    <row r="4613">
      <c r="A4613" s="16" t="s">
        <v>6593</v>
      </c>
      <c r="B4613" s="22" t="s">
        <v>6596</v>
      </c>
      <c r="C4613" s="18" t="s">
        <v>6599</v>
      </c>
      <c r="D4613" s="18" t="s">
        <v>6584</v>
      </c>
      <c r="E4613" s="20" t="s">
        <v>7</v>
      </c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  <c r="AA4613" s="9"/>
      <c r="AB4613" s="9"/>
      <c r="AC4613" s="9"/>
      <c r="AD4613" s="9"/>
    </row>
    <row r="4614">
      <c r="A4614" s="16" t="s">
        <v>6593</v>
      </c>
      <c r="B4614" s="22" t="s">
        <v>6600</v>
      </c>
      <c r="C4614" s="18" t="s">
        <v>6601</v>
      </c>
      <c r="D4614" s="18" t="s">
        <v>6602</v>
      </c>
      <c r="E4614" s="23" t="s">
        <v>14</v>
      </c>
      <c r="F4614" s="9"/>
      <c r="G4614" s="9"/>
      <c r="H4614" s="9"/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9"/>
      <c r="AA4614" s="9"/>
      <c r="AB4614" s="9"/>
      <c r="AC4614" s="9"/>
      <c r="AD4614" s="9"/>
    </row>
    <row r="4615">
      <c r="A4615" s="16" t="s">
        <v>6593</v>
      </c>
      <c r="B4615" s="22" t="s">
        <v>6603</v>
      </c>
      <c r="C4615" s="18" t="s">
        <v>6604</v>
      </c>
      <c r="D4615" s="19" t="s">
        <v>6605</v>
      </c>
      <c r="E4615" s="23" t="s">
        <v>14</v>
      </c>
      <c r="F4615" s="9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  <c r="AB4615" s="9"/>
      <c r="AC4615" s="9"/>
      <c r="AD4615" s="9"/>
    </row>
    <row r="4616">
      <c r="A4616" s="16" t="s">
        <v>6593</v>
      </c>
      <c r="B4616" s="22" t="s">
        <v>6606</v>
      </c>
      <c r="C4616" s="18" t="s">
        <v>6607</v>
      </c>
      <c r="D4616" s="19" t="s">
        <v>6608</v>
      </c>
      <c r="E4616" s="18" t="s">
        <v>4624</v>
      </c>
      <c r="F4616" s="9"/>
      <c r="G4616" s="9"/>
      <c r="H4616" s="9"/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  <c r="AA4616" s="9"/>
      <c r="AB4616" s="9"/>
      <c r="AC4616" s="9"/>
      <c r="AD4616" s="9"/>
    </row>
    <row r="4617">
      <c r="A4617" s="16" t="s">
        <v>6593</v>
      </c>
      <c r="B4617" s="22" t="s">
        <v>6606</v>
      </c>
      <c r="C4617" s="18" t="s">
        <v>6607</v>
      </c>
      <c r="D4617" s="19" t="s">
        <v>6609</v>
      </c>
      <c r="E4617" s="18" t="s">
        <v>4624</v>
      </c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  <c r="AA4617" s="9"/>
      <c r="AB4617" s="9"/>
      <c r="AC4617" s="9"/>
      <c r="AD4617" s="9"/>
    </row>
    <row r="4618">
      <c r="A4618" s="16" t="s">
        <v>6593</v>
      </c>
      <c r="B4618" s="22" t="s">
        <v>6606</v>
      </c>
      <c r="C4618" s="18" t="s">
        <v>6610</v>
      </c>
      <c r="D4618" s="19" t="s">
        <v>6611</v>
      </c>
      <c r="E4618" s="18" t="s">
        <v>4624</v>
      </c>
      <c r="F4618" s="9"/>
      <c r="G4618" s="9"/>
      <c r="H4618" s="9"/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  <c r="AA4618" s="9"/>
      <c r="AB4618" s="9"/>
      <c r="AC4618" s="9"/>
      <c r="AD4618" s="9"/>
    </row>
    <row r="4619">
      <c r="A4619" s="16" t="s">
        <v>6593</v>
      </c>
      <c r="B4619" s="22" t="s">
        <v>6606</v>
      </c>
      <c r="C4619" s="18" t="s">
        <v>6612</v>
      </c>
      <c r="D4619" s="19" t="s">
        <v>6613</v>
      </c>
      <c r="E4619" s="18" t="s">
        <v>4624</v>
      </c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  <c r="AA4619" s="9"/>
      <c r="AB4619" s="9"/>
      <c r="AC4619" s="9"/>
      <c r="AD4619" s="9"/>
    </row>
    <row r="4620">
      <c r="A4620" s="16" t="s">
        <v>6593</v>
      </c>
      <c r="B4620" s="22" t="s">
        <v>6606</v>
      </c>
      <c r="C4620" s="18" t="s">
        <v>6612</v>
      </c>
      <c r="D4620" s="19" t="s">
        <v>6614</v>
      </c>
      <c r="E4620" s="18" t="s">
        <v>4624</v>
      </c>
      <c r="F4620" s="9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  <c r="AA4620" s="9"/>
      <c r="AB4620" s="9"/>
      <c r="AC4620" s="9"/>
      <c r="AD4620" s="9"/>
    </row>
    <row r="4621">
      <c r="A4621" s="16" t="s">
        <v>6593</v>
      </c>
      <c r="B4621" s="22" t="s">
        <v>6577</v>
      </c>
      <c r="C4621" s="18" t="s">
        <v>6578</v>
      </c>
      <c r="D4621" s="19" t="s">
        <v>6615</v>
      </c>
      <c r="E4621" s="18" t="s">
        <v>4624</v>
      </c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9"/>
      <c r="AC4621" s="9"/>
      <c r="AD4621" s="9"/>
    </row>
    <row r="4622">
      <c r="A4622" s="16" t="s">
        <v>6593</v>
      </c>
      <c r="B4622" s="22" t="s">
        <v>6577</v>
      </c>
      <c r="C4622" s="18" t="s">
        <v>6578</v>
      </c>
      <c r="D4622" s="19" t="s">
        <v>6616</v>
      </c>
      <c r="E4622" s="18" t="s">
        <v>4624</v>
      </c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  <c r="AA4622" s="9"/>
      <c r="AB4622" s="9"/>
      <c r="AC4622" s="9"/>
      <c r="AD4622" s="9"/>
    </row>
    <row r="4623">
      <c r="A4623" s="16" t="s">
        <v>6593</v>
      </c>
      <c r="B4623" s="22" t="s">
        <v>6577</v>
      </c>
      <c r="C4623" s="18" t="s">
        <v>6578</v>
      </c>
      <c r="D4623" s="19" t="s">
        <v>6617</v>
      </c>
      <c r="E4623" s="18" t="s">
        <v>4624</v>
      </c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  <c r="AA4623" s="9"/>
      <c r="AB4623" s="9"/>
      <c r="AC4623" s="9"/>
      <c r="AD4623" s="9"/>
    </row>
    <row r="4624">
      <c r="A4624" s="16" t="s">
        <v>6593</v>
      </c>
      <c r="B4624" s="22" t="s">
        <v>6618</v>
      </c>
      <c r="C4624" s="18" t="s">
        <v>6619</v>
      </c>
      <c r="D4624" s="19" t="s">
        <v>6620</v>
      </c>
      <c r="E4624" s="20" t="s">
        <v>7</v>
      </c>
      <c r="F4624" s="9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  <c r="AA4624" s="9"/>
      <c r="AB4624" s="9"/>
      <c r="AC4624" s="9"/>
      <c r="AD4624" s="9"/>
    </row>
    <row r="4625">
      <c r="A4625" s="16" t="s">
        <v>6593</v>
      </c>
      <c r="B4625" s="22" t="s">
        <v>6618</v>
      </c>
      <c r="C4625" s="18" t="s">
        <v>6621</v>
      </c>
      <c r="D4625" s="19" t="s">
        <v>6622</v>
      </c>
      <c r="E4625" s="20" t="s">
        <v>7</v>
      </c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9"/>
      <c r="AB4625" s="9"/>
      <c r="AC4625" s="9"/>
      <c r="AD4625" s="9"/>
    </row>
    <row r="4626">
      <c r="A4626" s="16"/>
      <c r="B4626" s="19"/>
      <c r="C4626" s="18"/>
      <c r="D4626" s="19"/>
      <c r="E4626" s="173"/>
      <c r="F4626" s="9"/>
      <c r="G4626" s="9"/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  <c r="AA4626" s="9"/>
      <c r="AB4626" s="9"/>
      <c r="AC4626" s="9"/>
      <c r="AD4626" s="9"/>
    </row>
    <row r="4627">
      <c r="A4627" s="16"/>
      <c r="B4627" s="19"/>
      <c r="C4627" s="18"/>
      <c r="D4627" s="19"/>
      <c r="E4627" s="173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  <c r="AB4627" s="9"/>
      <c r="AC4627" s="9"/>
      <c r="AD4627" s="9"/>
    </row>
    <row r="4628">
      <c r="A4628" s="16" t="s">
        <v>6623</v>
      </c>
      <c r="B4628" s="22" t="s">
        <v>6624</v>
      </c>
      <c r="C4628" s="18" t="s">
        <v>6625</v>
      </c>
      <c r="D4628" s="19" t="s">
        <v>6626</v>
      </c>
      <c r="E4628" s="18" t="s">
        <v>125</v>
      </c>
      <c r="F4628" s="9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  <c r="AA4628" s="9"/>
      <c r="AB4628" s="9"/>
      <c r="AC4628" s="9"/>
      <c r="AD4628" s="9"/>
    </row>
    <row r="4629">
      <c r="A4629" s="16" t="s">
        <v>6623</v>
      </c>
      <c r="B4629" s="22" t="s">
        <v>6627</v>
      </c>
      <c r="C4629" s="18" t="s">
        <v>6628</v>
      </c>
      <c r="D4629" s="19" t="s">
        <v>6629</v>
      </c>
      <c r="E4629" s="20" t="s">
        <v>7</v>
      </c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  <c r="AA4629" s="9"/>
      <c r="AB4629" s="9"/>
      <c r="AC4629" s="9"/>
      <c r="AD4629" s="9"/>
    </row>
    <row r="4630">
      <c r="A4630" s="16" t="s">
        <v>6623</v>
      </c>
      <c r="B4630" s="22" t="s">
        <v>6627</v>
      </c>
      <c r="C4630" s="18" t="s">
        <v>6630</v>
      </c>
      <c r="D4630" s="19" t="s">
        <v>6631</v>
      </c>
      <c r="E4630" s="9" t="s">
        <v>14</v>
      </c>
      <c r="F4630" s="9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  <c r="AA4630" s="9"/>
      <c r="AB4630" s="9"/>
      <c r="AC4630" s="9"/>
      <c r="AD4630" s="9"/>
    </row>
    <row r="4631">
      <c r="A4631" s="16" t="s">
        <v>6623</v>
      </c>
      <c r="B4631" s="22" t="s">
        <v>6627</v>
      </c>
      <c r="C4631" s="18" t="s">
        <v>6632</v>
      </c>
      <c r="D4631" s="19" t="s">
        <v>6633</v>
      </c>
      <c r="E4631" s="9" t="s">
        <v>6634</v>
      </c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  <c r="AA4631" s="9"/>
      <c r="AB4631" s="9"/>
      <c r="AC4631" s="9"/>
      <c r="AD4631" s="9"/>
    </row>
    <row r="4632">
      <c r="A4632" s="16" t="s">
        <v>6623</v>
      </c>
      <c r="B4632" s="22" t="s">
        <v>6627</v>
      </c>
      <c r="C4632" s="18" t="s">
        <v>6632</v>
      </c>
      <c r="D4632" s="19" t="s">
        <v>6633</v>
      </c>
      <c r="E4632" s="18" t="s">
        <v>6635</v>
      </c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  <c r="AA4632" s="9"/>
      <c r="AB4632" s="9"/>
      <c r="AC4632" s="9"/>
      <c r="AD4632" s="9"/>
    </row>
    <row r="4633">
      <c r="A4633" s="16" t="s">
        <v>6623</v>
      </c>
      <c r="B4633" s="22" t="s">
        <v>6636</v>
      </c>
      <c r="C4633" s="18" t="s">
        <v>6567</v>
      </c>
      <c r="D4633" s="19" t="s">
        <v>6581</v>
      </c>
      <c r="E4633" s="18" t="s">
        <v>309</v>
      </c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  <c r="AA4633" s="9"/>
      <c r="AB4633" s="9"/>
      <c r="AC4633" s="9"/>
      <c r="AD4633" s="9"/>
    </row>
    <row r="4634">
      <c r="A4634" s="16" t="s">
        <v>6623</v>
      </c>
      <c r="B4634" s="19" t="s">
        <v>6637</v>
      </c>
      <c r="C4634" s="23" t="s">
        <v>6630</v>
      </c>
      <c r="D4634" s="23" t="s">
        <v>6638</v>
      </c>
      <c r="E4634" s="18" t="s">
        <v>6639</v>
      </c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  <c r="AA4634" s="9"/>
      <c r="AB4634" s="9"/>
      <c r="AC4634" s="9"/>
      <c r="AD4634" s="9"/>
    </row>
    <row r="4635">
      <c r="A4635" s="16"/>
      <c r="B4635" s="19"/>
      <c r="C4635" s="18"/>
      <c r="D4635" s="19"/>
      <c r="E4635" s="173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  <c r="AA4635" s="9"/>
      <c r="AB4635" s="9"/>
      <c r="AC4635" s="9"/>
      <c r="AD4635" s="9"/>
    </row>
    <row r="4636">
      <c r="A4636" s="16"/>
      <c r="B4636" s="19"/>
      <c r="C4636" s="18"/>
      <c r="D4636" s="19"/>
      <c r="E4636" s="173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  <c r="AA4636" s="9"/>
      <c r="AB4636" s="9"/>
      <c r="AC4636" s="9"/>
      <c r="AD4636" s="9"/>
    </row>
    <row r="4637">
      <c r="A4637" s="16" t="s">
        <v>6640</v>
      </c>
      <c r="B4637" s="22" t="s">
        <v>5709</v>
      </c>
      <c r="C4637" s="18" t="s">
        <v>6641</v>
      </c>
      <c r="D4637" s="19" t="s">
        <v>6642</v>
      </c>
      <c r="E4637" s="18" t="s">
        <v>4624</v>
      </c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  <c r="AB4637" s="9"/>
      <c r="AC4637" s="9"/>
      <c r="AD4637" s="9"/>
    </row>
    <row r="4638">
      <c r="A4638" s="16" t="s">
        <v>6640</v>
      </c>
      <c r="B4638" s="22" t="s">
        <v>5709</v>
      </c>
      <c r="C4638" s="18" t="s">
        <v>6643</v>
      </c>
      <c r="D4638" s="19" t="s">
        <v>6644</v>
      </c>
      <c r="E4638" s="18" t="s">
        <v>4624</v>
      </c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  <c r="AA4638" s="9"/>
      <c r="AB4638" s="9"/>
      <c r="AC4638" s="9"/>
      <c r="AD4638" s="9"/>
    </row>
    <row r="4639">
      <c r="A4639" s="16" t="s">
        <v>6640</v>
      </c>
      <c r="B4639" s="22" t="s">
        <v>5709</v>
      </c>
      <c r="C4639" s="18" t="s">
        <v>6037</v>
      </c>
      <c r="D4639" s="19" t="s">
        <v>6645</v>
      </c>
      <c r="E4639" s="18" t="s">
        <v>4624</v>
      </c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  <c r="AA4639" s="9"/>
      <c r="AB4639" s="9"/>
      <c r="AC4639" s="9"/>
      <c r="AD4639" s="9"/>
    </row>
    <row r="4640">
      <c r="A4640" s="16" t="s">
        <v>6640</v>
      </c>
      <c r="B4640" s="22" t="s">
        <v>5709</v>
      </c>
      <c r="C4640" s="18" t="s">
        <v>6037</v>
      </c>
      <c r="D4640" s="19" t="s">
        <v>6646</v>
      </c>
      <c r="E4640" s="18" t="s">
        <v>4624</v>
      </c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  <c r="AA4640" s="9"/>
      <c r="AB4640" s="9"/>
      <c r="AC4640" s="9"/>
      <c r="AD4640" s="9"/>
    </row>
    <row r="4641">
      <c r="A4641" s="16" t="s">
        <v>6640</v>
      </c>
      <c r="B4641" s="22" t="s">
        <v>6647</v>
      </c>
      <c r="C4641" s="18" t="s">
        <v>6648</v>
      </c>
      <c r="D4641" s="19" t="s">
        <v>6649</v>
      </c>
      <c r="E4641" s="18" t="s">
        <v>4624</v>
      </c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  <c r="AA4641" s="9"/>
      <c r="AB4641" s="9"/>
      <c r="AC4641" s="9"/>
      <c r="AD4641" s="9"/>
    </row>
    <row r="4642">
      <c r="A4642" s="16" t="s">
        <v>6640</v>
      </c>
      <c r="B4642" s="22" t="s">
        <v>6647</v>
      </c>
      <c r="C4642" s="18" t="s">
        <v>6650</v>
      </c>
      <c r="D4642" s="19" t="s">
        <v>6651</v>
      </c>
      <c r="E4642" s="18" t="s">
        <v>4624</v>
      </c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  <c r="AA4642" s="9"/>
      <c r="AB4642" s="9"/>
      <c r="AC4642" s="9"/>
      <c r="AD4642" s="9"/>
    </row>
    <row r="4643">
      <c r="A4643" s="16" t="s">
        <v>6640</v>
      </c>
      <c r="B4643" s="22" t="s">
        <v>6647</v>
      </c>
      <c r="C4643" s="18" t="s">
        <v>6567</v>
      </c>
      <c r="D4643" s="19" t="s">
        <v>6652</v>
      </c>
      <c r="E4643" s="18" t="s">
        <v>4624</v>
      </c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  <c r="AA4643" s="9"/>
      <c r="AB4643" s="9"/>
      <c r="AC4643" s="9"/>
      <c r="AD4643" s="9"/>
    </row>
    <row r="4644">
      <c r="A4644" s="16" t="s">
        <v>6640</v>
      </c>
      <c r="B4644" s="22" t="s">
        <v>6647</v>
      </c>
      <c r="C4644" s="18" t="s">
        <v>6567</v>
      </c>
      <c r="D4644" s="19" t="s">
        <v>6653</v>
      </c>
      <c r="E4644" s="18" t="s">
        <v>4624</v>
      </c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  <c r="AA4644" s="9"/>
      <c r="AB4644" s="9"/>
      <c r="AC4644" s="9"/>
      <c r="AD4644" s="9"/>
    </row>
    <row r="4645">
      <c r="A4645" s="16" t="s">
        <v>6640</v>
      </c>
      <c r="B4645" s="22" t="s">
        <v>6647</v>
      </c>
      <c r="C4645" s="18" t="s">
        <v>6654</v>
      </c>
      <c r="D4645" s="19" t="s">
        <v>6655</v>
      </c>
      <c r="E4645" s="18" t="s">
        <v>4624</v>
      </c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  <c r="AA4645" s="9"/>
      <c r="AB4645" s="9"/>
      <c r="AC4645" s="9"/>
      <c r="AD4645" s="9"/>
    </row>
    <row r="4646">
      <c r="A4646" s="16" t="s">
        <v>6640</v>
      </c>
      <c r="B4646" s="22" t="s">
        <v>6647</v>
      </c>
      <c r="C4646" s="18" t="s">
        <v>6656</v>
      </c>
      <c r="D4646" s="19" t="s">
        <v>6657</v>
      </c>
      <c r="E4646" s="18" t="s">
        <v>4624</v>
      </c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  <c r="AA4646" s="9"/>
      <c r="AB4646" s="9"/>
      <c r="AC4646" s="9"/>
      <c r="AD4646" s="9"/>
    </row>
    <row r="4647">
      <c r="A4647" s="16" t="s">
        <v>6640</v>
      </c>
      <c r="B4647" s="22" t="s">
        <v>6647</v>
      </c>
      <c r="C4647" s="18" t="s">
        <v>6567</v>
      </c>
      <c r="D4647" s="19" t="s">
        <v>6658</v>
      </c>
      <c r="E4647" s="18" t="s">
        <v>4624</v>
      </c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  <c r="AA4647" s="9"/>
      <c r="AB4647" s="9"/>
      <c r="AC4647" s="9"/>
      <c r="AD4647" s="9"/>
    </row>
    <row r="4648">
      <c r="A4648" s="16" t="s">
        <v>6640</v>
      </c>
      <c r="B4648" s="22" t="s">
        <v>6647</v>
      </c>
      <c r="C4648" s="18" t="s">
        <v>6567</v>
      </c>
      <c r="D4648" s="19" t="s">
        <v>6659</v>
      </c>
      <c r="E4648" s="18" t="s">
        <v>4624</v>
      </c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  <c r="AA4648" s="9"/>
      <c r="AB4648" s="9"/>
      <c r="AC4648" s="9"/>
      <c r="AD4648" s="9"/>
    </row>
    <row r="4649">
      <c r="A4649" s="16" t="s">
        <v>6640</v>
      </c>
      <c r="B4649" s="22" t="s">
        <v>6647</v>
      </c>
      <c r="C4649" s="18" t="s">
        <v>6567</v>
      </c>
      <c r="D4649" s="19" t="s">
        <v>6660</v>
      </c>
      <c r="E4649" s="18" t="s">
        <v>4624</v>
      </c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  <c r="AA4649" s="9"/>
      <c r="AB4649" s="9"/>
      <c r="AC4649" s="9"/>
      <c r="AD4649" s="9"/>
    </row>
    <row r="4650">
      <c r="A4650" s="16" t="s">
        <v>6640</v>
      </c>
      <c r="B4650" s="22" t="s">
        <v>6647</v>
      </c>
      <c r="C4650" s="18" t="s">
        <v>6567</v>
      </c>
      <c r="D4650" s="19" t="s">
        <v>6661</v>
      </c>
      <c r="E4650" s="18" t="s">
        <v>4624</v>
      </c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  <c r="AA4650" s="9"/>
      <c r="AB4650" s="9"/>
      <c r="AC4650" s="9"/>
      <c r="AD4650" s="9"/>
    </row>
    <row r="4651">
      <c r="A4651" s="16" t="s">
        <v>6640</v>
      </c>
      <c r="B4651" s="22" t="s">
        <v>6647</v>
      </c>
      <c r="C4651" s="18" t="s">
        <v>6567</v>
      </c>
      <c r="D4651" s="19" t="s">
        <v>4701</v>
      </c>
      <c r="E4651" s="18" t="s">
        <v>4624</v>
      </c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  <c r="AB4651" s="9"/>
      <c r="AC4651" s="9"/>
      <c r="AD4651" s="9"/>
    </row>
    <row r="4652">
      <c r="A4652" s="16" t="s">
        <v>6640</v>
      </c>
      <c r="B4652" s="22" t="s">
        <v>6647</v>
      </c>
      <c r="C4652" s="18" t="s">
        <v>6567</v>
      </c>
      <c r="D4652" s="19" t="s">
        <v>6662</v>
      </c>
      <c r="E4652" s="18" t="s">
        <v>4624</v>
      </c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  <c r="AA4652" s="9"/>
      <c r="AB4652" s="9"/>
      <c r="AC4652" s="9"/>
      <c r="AD4652" s="9"/>
    </row>
    <row r="4653">
      <c r="A4653" s="16" t="s">
        <v>6640</v>
      </c>
      <c r="B4653" s="22" t="s">
        <v>5945</v>
      </c>
      <c r="C4653" s="18" t="s">
        <v>6567</v>
      </c>
      <c r="D4653" s="19" t="s">
        <v>6661</v>
      </c>
      <c r="E4653" s="18" t="s">
        <v>4493</v>
      </c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  <c r="AB4653" s="9"/>
      <c r="AC4653" s="9"/>
      <c r="AD4653" s="9"/>
    </row>
    <row r="4654">
      <c r="A4654" s="16" t="s">
        <v>6640</v>
      </c>
      <c r="B4654" s="22" t="s">
        <v>6663</v>
      </c>
      <c r="C4654" s="18" t="s">
        <v>6664</v>
      </c>
      <c r="D4654" s="19" t="s">
        <v>6665</v>
      </c>
      <c r="E4654" s="18" t="s">
        <v>14</v>
      </c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  <c r="AA4654" s="9"/>
      <c r="AB4654" s="9"/>
      <c r="AC4654" s="9"/>
      <c r="AD4654" s="9"/>
    </row>
    <row r="4655">
      <c r="A4655" s="16" t="s">
        <v>6640</v>
      </c>
      <c r="B4655" s="22" t="s">
        <v>6529</v>
      </c>
      <c r="C4655" s="18" t="s">
        <v>6570</v>
      </c>
      <c r="D4655" s="19" t="s">
        <v>1676</v>
      </c>
      <c r="E4655" s="20" t="s">
        <v>7</v>
      </c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  <c r="AA4655" s="9"/>
      <c r="AB4655" s="9"/>
      <c r="AC4655" s="9"/>
      <c r="AD4655" s="9"/>
    </row>
    <row r="4656">
      <c r="A4656" s="16"/>
      <c r="B4656" s="19"/>
      <c r="C4656" s="18"/>
      <c r="D4656" s="19"/>
      <c r="E4656" s="173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  <c r="AA4656" s="9"/>
      <c r="AB4656" s="9"/>
      <c r="AC4656" s="9"/>
      <c r="AD4656" s="9"/>
    </row>
    <row r="4657">
      <c r="A4657" s="16"/>
      <c r="B4657" s="19"/>
      <c r="C4657" s="18"/>
      <c r="D4657" s="19"/>
      <c r="E4657" s="173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  <c r="AA4657" s="9"/>
      <c r="AB4657" s="9"/>
      <c r="AC4657" s="9"/>
      <c r="AD4657" s="9"/>
    </row>
    <row r="4658">
      <c r="A4658" s="16" t="s">
        <v>6666</v>
      </c>
      <c r="B4658" s="19" t="s">
        <v>6667</v>
      </c>
      <c r="C4658" s="18" t="s">
        <v>6268</v>
      </c>
      <c r="D4658" s="19" t="s">
        <v>6668</v>
      </c>
      <c r="E4658" s="9" t="s">
        <v>6669</v>
      </c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  <c r="AA4658" s="9"/>
      <c r="AB4658" s="9"/>
      <c r="AC4658" s="9"/>
      <c r="AD4658" s="9"/>
    </row>
    <row r="4659">
      <c r="A4659" s="16" t="s">
        <v>6666</v>
      </c>
      <c r="B4659" s="19" t="s">
        <v>6667</v>
      </c>
      <c r="C4659" s="18" t="s">
        <v>6670</v>
      </c>
      <c r="D4659" s="19" t="s">
        <v>6671</v>
      </c>
      <c r="E4659" s="18" t="s">
        <v>14</v>
      </c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  <c r="AA4659" s="9"/>
      <c r="AB4659" s="9"/>
      <c r="AC4659" s="9"/>
      <c r="AD4659" s="9"/>
    </row>
    <row r="4660">
      <c r="A4660" s="16" t="s">
        <v>6666</v>
      </c>
      <c r="B4660" s="19" t="s">
        <v>6672</v>
      </c>
      <c r="C4660" s="18" t="s">
        <v>6673</v>
      </c>
      <c r="D4660" s="19" t="s">
        <v>6674</v>
      </c>
      <c r="E4660" s="18" t="s">
        <v>4624</v>
      </c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  <c r="AA4660" s="9"/>
      <c r="AB4660" s="9"/>
      <c r="AC4660" s="9"/>
      <c r="AD4660" s="9"/>
    </row>
    <row r="4661">
      <c r="A4661" s="16" t="s">
        <v>6666</v>
      </c>
      <c r="B4661" s="19" t="s">
        <v>6672</v>
      </c>
      <c r="C4661" s="18" t="s">
        <v>6675</v>
      </c>
      <c r="D4661" s="19" t="s">
        <v>6676</v>
      </c>
      <c r="E4661" s="18" t="s">
        <v>4624</v>
      </c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  <c r="AA4661" s="9"/>
      <c r="AB4661" s="9"/>
      <c r="AC4661" s="9"/>
      <c r="AD4661" s="9"/>
    </row>
    <row r="4662">
      <c r="A4662" s="16" t="s">
        <v>6666</v>
      </c>
      <c r="B4662" s="19" t="s">
        <v>6672</v>
      </c>
      <c r="C4662" s="18" t="s">
        <v>6677</v>
      </c>
      <c r="D4662" s="19" t="s">
        <v>6674</v>
      </c>
      <c r="E4662" s="18" t="s">
        <v>4624</v>
      </c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  <c r="AA4662" s="9"/>
      <c r="AB4662" s="9"/>
      <c r="AC4662" s="9"/>
      <c r="AD4662" s="9"/>
    </row>
    <row r="4663">
      <c r="A4663" s="16" t="s">
        <v>6666</v>
      </c>
      <c r="B4663" s="22" t="s">
        <v>5709</v>
      </c>
      <c r="C4663" s="18" t="s">
        <v>6678</v>
      </c>
      <c r="D4663" s="19" t="s">
        <v>6679</v>
      </c>
      <c r="E4663" s="18" t="s">
        <v>14</v>
      </c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  <c r="AA4663" s="9"/>
      <c r="AB4663" s="9"/>
      <c r="AC4663" s="9"/>
      <c r="AD4663" s="9"/>
    </row>
    <row r="4664">
      <c r="A4664" s="16" t="s">
        <v>6666</v>
      </c>
      <c r="B4664" s="22" t="s">
        <v>6680</v>
      </c>
      <c r="C4664" s="18" t="s">
        <v>6681</v>
      </c>
      <c r="D4664" s="19" t="s">
        <v>6682</v>
      </c>
      <c r="E4664" s="18" t="s">
        <v>14</v>
      </c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  <c r="AA4664" s="9"/>
      <c r="AB4664" s="9"/>
      <c r="AC4664" s="9"/>
      <c r="AD4664" s="9"/>
    </row>
    <row r="4665">
      <c r="A4665" s="16" t="s">
        <v>6666</v>
      </c>
      <c r="B4665" s="22" t="s">
        <v>6683</v>
      </c>
      <c r="C4665" s="18" t="s">
        <v>6684</v>
      </c>
      <c r="D4665" s="19" t="s">
        <v>1113</v>
      </c>
      <c r="E4665" s="9" t="s">
        <v>6669</v>
      </c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  <c r="AB4665" s="9"/>
      <c r="AC4665" s="9"/>
      <c r="AD4665" s="9"/>
    </row>
    <row r="4666">
      <c r="A4666" s="16"/>
      <c r="B4666" s="19"/>
      <c r="C4666" s="18"/>
      <c r="D4666" s="19"/>
      <c r="E4666" s="173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  <c r="AA4666" s="9"/>
      <c r="AB4666" s="9"/>
      <c r="AC4666" s="9"/>
      <c r="AD4666" s="9"/>
    </row>
    <row r="4667">
      <c r="A4667" s="16"/>
      <c r="B4667" s="19"/>
      <c r="C4667" s="18"/>
      <c r="D4667" s="19"/>
      <c r="E4667" s="173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9"/>
      <c r="AD4667" s="9"/>
    </row>
    <row r="4668">
      <c r="A4668" s="16" t="s">
        <v>6685</v>
      </c>
      <c r="B4668" s="22" t="s">
        <v>6686</v>
      </c>
      <c r="C4668" s="18" t="s">
        <v>685</v>
      </c>
      <c r="D4668" s="18" t="s">
        <v>6687</v>
      </c>
      <c r="E4668" s="18" t="s">
        <v>4624</v>
      </c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  <c r="AA4668" s="9"/>
      <c r="AB4668" s="9"/>
      <c r="AC4668" s="9"/>
      <c r="AD4668" s="9"/>
    </row>
    <row r="4669">
      <c r="A4669" s="16" t="s">
        <v>6685</v>
      </c>
      <c r="B4669" s="22" t="s">
        <v>6686</v>
      </c>
      <c r="C4669" s="18" t="s">
        <v>6688</v>
      </c>
      <c r="D4669" s="18" t="s">
        <v>6689</v>
      </c>
      <c r="E4669" s="18" t="s">
        <v>4624</v>
      </c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  <c r="AA4669" s="9"/>
      <c r="AB4669" s="9"/>
      <c r="AC4669" s="9"/>
      <c r="AD4669" s="9"/>
    </row>
    <row r="4670">
      <c r="A4670" s="16" t="s">
        <v>6685</v>
      </c>
      <c r="B4670" s="22" t="s">
        <v>6686</v>
      </c>
      <c r="C4670" s="18" t="s">
        <v>6690</v>
      </c>
      <c r="D4670" s="18" t="s">
        <v>6691</v>
      </c>
      <c r="E4670" s="18" t="s">
        <v>4624</v>
      </c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  <c r="AA4670" s="9"/>
      <c r="AB4670" s="9"/>
      <c r="AC4670" s="9"/>
      <c r="AD4670" s="9"/>
    </row>
    <row r="4671">
      <c r="A4671" s="16" t="s">
        <v>6685</v>
      </c>
      <c r="B4671" s="22" t="s">
        <v>6618</v>
      </c>
      <c r="C4671" s="18" t="s">
        <v>2001</v>
      </c>
      <c r="D4671" s="19" t="s">
        <v>6692</v>
      </c>
      <c r="E4671" s="23" t="s">
        <v>4261</v>
      </c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  <c r="AA4671" s="9"/>
      <c r="AB4671" s="9"/>
      <c r="AC4671" s="9"/>
      <c r="AD4671" s="9"/>
    </row>
    <row r="4672">
      <c r="A4672" s="16" t="s">
        <v>6685</v>
      </c>
      <c r="B4672" s="22" t="s">
        <v>6618</v>
      </c>
      <c r="C4672" s="18" t="s">
        <v>2594</v>
      </c>
      <c r="D4672" s="19" t="s">
        <v>6693</v>
      </c>
      <c r="E4672" s="23" t="s">
        <v>4261</v>
      </c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  <c r="AA4672" s="9"/>
      <c r="AB4672" s="9"/>
      <c r="AC4672" s="9"/>
      <c r="AD4672" s="9"/>
    </row>
    <row r="4673">
      <c r="A4673" s="16" t="s">
        <v>6685</v>
      </c>
      <c r="B4673" s="22" t="s">
        <v>6475</v>
      </c>
      <c r="C4673" s="18" t="s">
        <v>6694</v>
      </c>
      <c r="D4673" s="19" t="s">
        <v>6695</v>
      </c>
      <c r="E4673" s="23" t="s">
        <v>4261</v>
      </c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  <c r="AA4673" s="9"/>
      <c r="AB4673" s="9"/>
      <c r="AC4673" s="9"/>
      <c r="AD4673" s="9"/>
    </row>
    <row r="4674">
      <c r="A4674" s="16"/>
      <c r="B4674" s="19"/>
      <c r="C4674" s="18"/>
      <c r="D4674" s="19"/>
      <c r="E4674" s="173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  <c r="AA4674" s="9"/>
      <c r="AB4674" s="9"/>
      <c r="AC4674" s="9"/>
      <c r="AD4674" s="9"/>
    </row>
    <row r="4675">
      <c r="A4675" s="16"/>
      <c r="B4675" s="19"/>
      <c r="C4675" s="18"/>
      <c r="D4675" s="19"/>
      <c r="E4675" s="173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  <c r="AA4675" s="9"/>
      <c r="AB4675" s="9"/>
      <c r="AC4675" s="9"/>
      <c r="AD4675" s="9"/>
    </row>
    <row r="4676">
      <c r="A4676" s="16" t="s">
        <v>6696</v>
      </c>
      <c r="B4676" s="22" t="s">
        <v>6697</v>
      </c>
      <c r="C4676" s="18" t="s">
        <v>6698</v>
      </c>
      <c r="D4676" s="19" t="s">
        <v>6699</v>
      </c>
      <c r="E4676" s="23" t="s">
        <v>4261</v>
      </c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  <c r="AA4676" s="9"/>
      <c r="AB4676" s="9"/>
      <c r="AC4676" s="9"/>
      <c r="AD4676" s="9"/>
    </row>
    <row r="4677">
      <c r="A4677" s="16" t="s">
        <v>6696</v>
      </c>
      <c r="B4677" s="22" t="s">
        <v>6697</v>
      </c>
      <c r="C4677" s="18" t="s">
        <v>2186</v>
      </c>
      <c r="D4677" s="19" t="s">
        <v>1008</v>
      </c>
      <c r="E4677" s="23" t="s">
        <v>4261</v>
      </c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  <c r="AA4677" s="9"/>
      <c r="AB4677" s="9"/>
      <c r="AC4677" s="9"/>
      <c r="AD4677" s="9"/>
    </row>
    <row r="4678">
      <c r="A4678" s="16" t="s">
        <v>6696</v>
      </c>
      <c r="B4678" s="22" t="s">
        <v>6697</v>
      </c>
      <c r="C4678" s="18" t="s">
        <v>6700</v>
      </c>
      <c r="D4678" s="19" t="s">
        <v>6701</v>
      </c>
      <c r="E4678" s="18" t="s">
        <v>4624</v>
      </c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  <c r="AA4678" s="9"/>
      <c r="AB4678" s="9"/>
      <c r="AC4678" s="9"/>
      <c r="AD4678" s="9"/>
    </row>
    <row r="4679">
      <c r="A4679" s="16" t="s">
        <v>6696</v>
      </c>
      <c r="B4679" s="22" t="s">
        <v>6697</v>
      </c>
      <c r="C4679" s="18" t="s">
        <v>6702</v>
      </c>
      <c r="D4679" s="19" t="s">
        <v>6703</v>
      </c>
      <c r="E4679" s="18" t="s">
        <v>4624</v>
      </c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  <c r="AA4679" s="9"/>
      <c r="AB4679" s="9"/>
      <c r="AC4679" s="9"/>
      <c r="AD4679" s="9"/>
    </row>
    <row r="4680">
      <c r="A4680" s="16" t="s">
        <v>6696</v>
      </c>
      <c r="B4680" s="22" t="s">
        <v>6697</v>
      </c>
      <c r="C4680" s="18" t="s">
        <v>6690</v>
      </c>
      <c r="D4680" s="19" t="s">
        <v>6704</v>
      </c>
      <c r="E4680" s="18" t="s">
        <v>4624</v>
      </c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  <c r="AA4680" s="9"/>
      <c r="AB4680" s="9"/>
      <c r="AC4680" s="9"/>
      <c r="AD4680" s="9"/>
    </row>
    <row r="4681">
      <c r="A4681" s="16" t="s">
        <v>6696</v>
      </c>
      <c r="B4681" s="22" t="s">
        <v>6705</v>
      </c>
      <c r="C4681" s="18" t="s">
        <v>6567</v>
      </c>
      <c r="D4681" s="19" t="s">
        <v>6706</v>
      </c>
      <c r="E4681" s="18" t="s">
        <v>4624</v>
      </c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  <c r="AA4681" s="9"/>
      <c r="AB4681" s="9"/>
      <c r="AC4681" s="9"/>
      <c r="AD4681" s="9"/>
    </row>
    <row r="4682">
      <c r="A4682" s="16" t="s">
        <v>6696</v>
      </c>
      <c r="B4682" s="22" t="s">
        <v>6705</v>
      </c>
      <c r="C4682" s="18" t="s">
        <v>6707</v>
      </c>
      <c r="D4682" s="19" t="s">
        <v>6708</v>
      </c>
      <c r="E4682" s="18" t="s">
        <v>6709</v>
      </c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  <c r="AA4682" s="9"/>
      <c r="AB4682" s="9"/>
      <c r="AC4682" s="9"/>
      <c r="AD4682" s="9"/>
    </row>
    <row r="4683">
      <c r="A4683" s="16" t="s">
        <v>6696</v>
      </c>
      <c r="B4683" s="22" t="s">
        <v>6705</v>
      </c>
      <c r="C4683" s="18" t="s">
        <v>6567</v>
      </c>
      <c r="D4683" s="19" t="s">
        <v>6708</v>
      </c>
      <c r="E4683" s="18" t="s">
        <v>6709</v>
      </c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  <c r="AA4683" s="9"/>
      <c r="AB4683" s="9"/>
      <c r="AC4683" s="9"/>
      <c r="AD4683" s="9"/>
    </row>
    <row r="4684">
      <c r="A4684" s="16"/>
      <c r="B4684" s="19"/>
      <c r="C4684" s="18"/>
      <c r="D4684" s="19"/>
      <c r="E4684" s="173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  <c r="AA4684" s="9"/>
      <c r="AB4684" s="9"/>
      <c r="AC4684" s="9"/>
      <c r="AD4684" s="9"/>
    </row>
    <row r="4685">
      <c r="A4685" s="16"/>
      <c r="B4685" s="19"/>
      <c r="C4685" s="18"/>
      <c r="D4685" s="19"/>
      <c r="E4685" s="173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  <c r="AA4685" s="9"/>
      <c r="AB4685" s="9"/>
      <c r="AC4685" s="9"/>
      <c r="AD4685" s="9"/>
    </row>
    <row r="4686">
      <c r="A4686" s="16" t="s">
        <v>6710</v>
      </c>
      <c r="B4686" s="22" t="s">
        <v>6130</v>
      </c>
      <c r="C4686" s="18" t="s">
        <v>5840</v>
      </c>
      <c r="D4686" s="18" t="s">
        <v>6711</v>
      </c>
      <c r="E4686" s="18" t="s">
        <v>4624</v>
      </c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  <c r="AB4686" s="9"/>
      <c r="AC4686" s="9"/>
      <c r="AD4686" s="9"/>
    </row>
    <row r="4687">
      <c r="A4687" s="16" t="s">
        <v>6710</v>
      </c>
      <c r="B4687" s="22" t="s">
        <v>6130</v>
      </c>
      <c r="C4687" s="18" t="s">
        <v>6712</v>
      </c>
      <c r="D4687" s="18" t="s">
        <v>6713</v>
      </c>
      <c r="E4687" s="18" t="s">
        <v>4624</v>
      </c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</row>
    <row r="4688">
      <c r="A4688" s="16" t="s">
        <v>6710</v>
      </c>
      <c r="B4688" s="22" t="s">
        <v>6468</v>
      </c>
      <c r="C4688" s="18" t="s">
        <v>2316</v>
      </c>
      <c r="D4688" s="18" t="s">
        <v>6714</v>
      </c>
      <c r="E4688" s="18" t="s">
        <v>309</v>
      </c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  <c r="AB4688" s="9"/>
      <c r="AC4688" s="9"/>
      <c r="AD4688" s="9"/>
    </row>
    <row r="4689">
      <c r="A4689" s="16" t="s">
        <v>6710</v>
      </c>
      <c r="B4689" s="19" t="s">
        <v>6715</v>
      </c>
      <c r="C4689" s="18" t="s">
        <v>6716</v>
      </c>
      <c r="D4689" s="18" t="s">
        <v>6717</v>
      </c>
      <c r="E4689" s="18" t="s">
        <v>14</v>
      </c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</row>
    <row r="4690">
      <c r="A4690" s="16"/>
      <c r="B4690" s="19"/>
      <c r="C4690" s="18"/>
      <c r="D4690" s="19"/>
      <c r="E4690" s="173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9"/>
      <c r="AC4690" s="9"/>
      <c r="AD4690" s="9"/>
    </row>
    <row r="4691">
      <c r="A4691" s="16"/>
      <c r="B4691" s="19"/>
      <c r="C4691" s="18"/>
      <c r="D4691" s="19"/>
      <c r="E4691" s="173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</row>
    <row r="4692">
      <c r="A4692" s="16" t="s">
        <v>6718</v>
      </c>
      <c r="B4692" s="22" t="s">
        <v>6683</v>
      </c>
      <c r="C4692" s="18" t="s">
        <v>6719</v>
      </c>
      <c r="D4692" s="19" t="s">
        <v>6720</v>
      </c>
      <c r="E4692" s="18" t="s">
        <v>4624</v>
      </c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  <c r="AB4692" s="9"/>
      <c r="AC4692" s="9"/>
      <c r="AD4692" s="9"/>
    </row>
    <row r="4693">
      <c r="A4693" s="16" t="s">
        <v>6718</v>
      </c>
      <c r="B4693" s="22" t="s">
        <v>6683</v>
      </c>
      <c r="C4693" s="18" t="s">
        <v>6721</v>
      </c>
      <c r="D4693" s="19" t="s">
        <v>6722</v>
      </c>
      <c r="E4693" s="18" t="s">
        <v>4624</v>
      </c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</row>
    <row r="4694">
      <c r="A4694" s="16" t="s">
        <v>6718</v>
      </c>
      <c r="B4694" s="22" t="s">
        <v>6683</v>
      </c>
      <c r="C4694" s="18" t="s">
        <v>6723</v>
      </c>
      <c r="D4694" s="19" t="s">
        <v>6724</v>
      </c>
      <c r="E4694" s="18" t="s">
        <v>4624</v>
      </c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  <c r="AB4694" s="9"/>
      <c r="AC4694" s="9"/>
      <c r="AD4694" s="9"/>
    </row>
    <row r="4695">
      <c r="A4695" s="16" t="s">
        <v>6718</v>
      </c>
      <c r="B4695" s="22" t="s">
        <v>6725</v>
      </c>
      <c r="C4695" s="18" t="s">
        <v>813</v>
      </c>
      <c r="D4695" s="19" t="s">
        <v>6726</v>
      </c>
      <c r="E4695" s="18" t="s">
        <v>309</v>
      </c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9"/>
      <c r="AD4695" s="9"/>
    </row>
    <row r="4696">
      <c r="A4696" s="16" t="s">
        <v>6718</v>
      </c>
      <c r="B4696" s="22" t="s">
        <v>6647</v>
      </c>
      <c r="C4696" s="18" t="s">
        <v>6727</v>
      </c>
      <c r="D4696" s="19" t="s">
        <v>6728</v>
      </c>
      <c r="E4696" s="18" t="s">
        <v>4624</v>
      </c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  <c r="AA4696" s="9"/>
      <c r="AB4696" s="9"/>
      <c r="AC4696" s="9"/>
      <c r="AD4696" s="9"/>
    </row>
    <row r="4697">
      <c r="A4697" s="16" t="s">
        <v>6718</v>
      </c>
      <c r="B4697" s="22" t="s">
        <v>6647</v>
      </c>
      <c r="C4697" s="18" t="s">
        <v>6656</v>
      </c>
      <c r="D4697" s="19" t="s">
        <v>6657</v>
      </c>
      <c r="E4697" s="18" t="s">
        <v>4624</v>
      </c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</row>
    <row r="4698">
      <c r="A4698" s="16" t="s">
        <v>6718</v>
      </c>
      <c r="B4698" s="22" t="s">
        <v>6647</v>
      </c>
      <c r="C4698" s="18" t="s">
        <v>6729</v>
      </c>
      <c r="D4698" s="19" t="s">
        <v>6730</v>
      </c>
      <c r="E4698" s="18" t="s">
        <v>4624</v>
      </c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9"/>
      <c r="AA4698" s="9"/>
      <c r="AB4698" s="9"/>
      <c r="AC4698" s="9"/>
      <c r="AD4698" s="9"/>
    </row>
    <row r="4699">
      <c r="A4699" s="16" t="s">
        <v>6718</v>
      </c>
      <c r="B4699" s="22" t="s">
        <v>6647</v>
      </c>
      <c r="C4699" s="18" t="s">
        <v>6731</v>
      </c>
      <c r="D4699" s="19" t="s">
        <v>6732</v>
      </c>
      <c r="E4699" s="18" t="s">
        <v>4624</v>
      </c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  <c r="AB4699" s="9"/>
      <c r="AC4699" s="9"/>
      <c r="AD4699" s="9"/>
    </row>
    <row r="4700">
      <c r="A4700" s="16" t="s">
        <v>6718</v>
      </c>
      <c r="B4700" s="22" t="s">
        <v>6647</v>
      </c>
      <c r="C4700" s="18" t="s">
        <v>6656</v>
      </c>
      <c r="D4700" s="19" t="s">
        <v>6733</v>
      </c>
      <c r="E4700" s="18" t="s">
        <v>4624</v>
      </c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  <c r="AA4700" s="9"/>
      <c r="AB4700" s="9"/>
      <c r="AC4700" s="9"/>
      <c r="AD4700" s="9"/>
    </row>
    <row r="4701">
      <c r="A4701" s="16" t="s">
        <v>6718</v>
      </c>
      <c r="B4701" s="22" t="s">
        <v>6734</v>
      </c>
      <c r="C4701" s="18" t="s">
        <v>6735</v>
      </c>
      <c r="D4701" s="19" t="s">
        <v>6736</v>
      </c>
      <c r="E4701" s="18" t="s">
        <v>4624</v>
      </c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  <c r="AA4701" s="9"/>
      <c r="AB4701" s="9"/>
      <c r="AC4701" s="9"/>
      <c r="AD4701" s="9"/>
    </row>
    <row r="4702">
      <c r="A4702" s="16" t="s">
        <v>6718</v>
      </c>
      <c r="B4702" s="22" t="s">
        <v>6734</v>
      </c>
      <c r="C4702" s="18" t="s">
        <v>6735</v>
      </c>
      <c r="D4702" s="19" t="s">
        <v>6737</v>
      </c>
      <c r="E4702" s="18" t="s">
        <v>4624</v>
      </c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  <c r="AA4702" s="9"/>
      <c r="AB4702" s="9"/>
      <c r="AC4702" s="9"/>
      <c r="AD4702" s="9"/>
    </row>
    <row r="4703">
      <c r="A4703" s="16" t="s">
        <v>6718</v>
      </c>
      <c r="B4703" s="22" t="s">
        <v>6734</v>
      </c>
      <c r="C4703" s="18" t="s">
        <v>6738</v>
      </c>
      <c r="D4703" s="19" t="s">
        <v>4295</v>
      </c>
      <c r="E4703" s="18" t="s">
        <v>4624</v>
      </c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  <c r="AA4703" s="9"/>
      <c r="AB4703" s="9"/>
      <c r="AC4703" s="9"/>
      <c r="AD4703" s="9"/>
    </row>
    <row r="4704">
      <c r="A4704" s="16" t="s">
        <v>6718</v>
      </c>
      <c r="B4704" s="22" t="s">
        <v>6734</v>
      </c>
      <c r="C4704" s="18" t="s">
        <v>6739</v>
      </c>
      <c r="D4704" s="18" t="s">
        <v>6740</v>
      </c>
      <c r="E4704" s="9" t="s">
        <v>764</v>
      </c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9"/>
      <c r="AA4704" s="9"/>
      <c r="AB4704" s="9"/>
      <c r="AC4704" s="9"/>
      <c r="AD4704" s="9"/>
    </row>
    <row r="4705">
      <c r="A4705" s="16" t="s">
        <v>6718</v>
      </c>
      <c r="B4705" s="22" t="s">
        <v>6734</v>
      </c>
      <c r="C4705" s="18" t="s">
        <v>6739</v>
      </c>
      <c r="D4705" s="18" t="s">
        <v>6741</v>
      </c>
      <c r="E4705" s="9" t="s">
        <v>764</v>
      </c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  <c r="AA4705" s="9"/>
      <c r="AB4705" s="9"/>
      <c r="AC4705" s="9"/>
      <c r="AD4705" s="9"/>
    </row>
    <row r="4706">
      <c r="A4706" s="16"/>
      <c r="B4706" s="19"/>
      <c r="C4706" s="18"/>
      <c r="D4706" s="19"/>
      <c r="E4706" s="173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9"/>
      <c r="AD4706" s="9"/>
    </row>
    <row r="4707">
      <c r="A4707" s="16"/>
      <c r="B4707" s="19"/>
      <c r="C4707" s="18"/>
      <c r="D4707" s="19"/>
      <c r="E4707" s="173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9"/>
      <c r="AD4707" s="9"/>
    </row>
    <row r="4708">
      <c r="A4708" s="16" t="s">
        <v>6742</v>
      </c>
      <c r="B4708" s="22" t="s">
        <v>5970</v>
      </c>
      <c r="C4708" s="18" t="s">
        <v>6743</v>
      </c>
      <c r="D4708" s="19" t="s">
        <v>6744</v>
      </c>
      <c r="E4708" s="20" t="s">
        <v>7</v>
      </c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</row>
    <row r="4709">
      <c r="A4709" s="16" t="s">
        <v>6742</v>
      </c>
      <c r="B4709" s="22" t="s">
        <v>6745</v>
      </c>
      <c r="C4709" s="18" t="s">
        <v>6746</v>
      </c>
      <c r="D4709" s="19" t="s">
        <v>6747</v>
      </c>
      <c r="E4709" s="9" t="s">
        <v>764</v>
      </c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9"/>
      <c r="AD4709" s="9"/>
    </row>
    <row r="4710">
      <c r="A4710" s="16" t="s">
        <v>6742</v>
      </c>
      <c r="B4710" s="22" t="s">
        <v>6745</v>
      </c>
      <c r="C4710" s="18" t="s">
        <v>6746</v>
      </c>
      <c r="D4710" s="19" t="s">
        <v>6748</v>
      </c>
      <c r="E4710" s="9" t="s">
        <v>764</v>
      </c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9"/>
      <c r="AD4710" s="9"/>
    </row>
    <row r="4711">
      <c r="A4711" s="16" t="s">
        <v>6742</v>
      </c>
      <c r="B4711" s="22" t="s">
        <v>6745</v>
      </c>
      <c r="C4711" s="18" t="s">
        <v>6749</v>
      </c>
      <c r="D4711" s="19" t="s">
        <v>6750</v>
      </c>
      <c r="E4711" s="9" t="s">
        <v>764</v>
      </c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</row>
    <row r="4712">
      <c r="A4712" s="16" t="s">
        <v>6742</v>
      </c>
      <c r="B4712" s="22" t="s">
        <v>6745</v>
      </c>
      <c r="C4712" s="18" t="s">
        <v>6746</v>
      </c>
      <c r="D4712" s="19" t="s">
        <v>6751</v>
      </c>
      <c r="E4712" s="18" t="s">
        <v>14</v>
      </c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  <c r="AA4712" s="9"/>
      <c r="AB4712" s="9"/>
      <c r="AC4712" s="9"/>
      <c r="AD4712" s="9"/>
    </row>
    <row r="4713">
      <c r="A4713" s="16" t="s">
        <v>6742</v>
      </c>
      <c r="B4713" s="22" t="s">
        <v>6752</v>
      </c>
      <c r="C4713" s="18" t="s">
        <v>6753</v>
      </c>
      <c r="D4713" s="19" t="s">
        <v>6754</v>
      </c>
      <c r="E4713" s="18" t="s">
        <v>14</v>
      </c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9"/>
      <c r="AD4713" s="9"/>
    </row>
    <row r="4714">
      <c r="A4714" s="16" t="s">
        <v>6742</v>
      </c>
      <c r="B4714" s="22" t="s">
        <v>6752</v>
      </c>
      <c r="C4714" s="18" t="s">
        <v>6567</v>
      </c>
      <c r="D4714" s="19" t="s">
        <v>6659</v>
      </c>
      <c r="E4714" s="18" t="s">
        <v>309</v>
      </c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</row>
    <row r="4715">
      <c r="A4715" s="16" t="s">
        <v>6742</v>
      </c>
      <c r="B4715" s="22" t="s">
        <v>6755</v>
      </c>
      <c r="C4715" s="18" t="s">
        <v>1466</v>
      </c>
      <c r="D4715" s="19" t="s">
        <v>6756</v>
      </c>
      <c r="E4715" s="9" t="s">
        <v>764</v>
      </c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  <c r="AA4715" s="9"/>
      <c r="AB4715" s="9"/>
      <c r="AC4715" s="9"/>
      <c r="AD4715" s="9"/>
    </row>
    <row r="4716">
      <c r="A4716" s="16"/>
      <c r="B4716" s="19"/>
      <c r="C4716" s="18"/>
      <c r="D4716" s="19"/>
      <c r="E4716" s="173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9"/>
      <c r="AD4716" s="9"/>
    </row>
    <row r="4717">
      <c r="A4717" s="16"/>
      <c r="B4717" s="19"/>
      <c r="C4717" s="18"/>
      <c r="D4717" s="19"/>
      <c r="E4717" s="173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9"/>
      <c r="AD4717" s="9"/>
    </row>
    <row r="4718">
      <c r="A4718" s="16" t="s">
        <v>6757</v>
      </c>
      <c r="B4718" s="22" t="s">
        <v>6758</v>
      </c>
      <c r="C4718" s="18" t="s">
        <v>6567</v>
      </c>
      <c r="D4718" s="19" t="s">
        <v>6581</v>
      </c>
      <c r="E4718" s="18" t="s">
        <v>309</v>
      </c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  <c r="AB4718" s="9"/>
      <c r="AC4718" s="9"/>
      <c r="AD4718" s="9"/>
    </row>
    <row r="4719">
      <c r="A4719" s="16" t="s">
        <v>6757</v>
      </c>
      <c r="B4719" s="22" t="s">
        <v>6758</v>
      </c>
      <c r="C4719" s="18" t="s">
        <v>6567</v>
      </c>
      <c r="D4719" s="19" t="s">
        <v>6652</v>
      </c>
      <c r="E4719" s="18" t="s">
        <v>309</v>
      </c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9"/>
      <c r="AD4719" s="9"/>
    </row>
    <row r="4720">
      <c r="A4720" s="16" t="s">
        <v>6757</v>
      </c>
      <c r="B4720" s="22" t="s">
        <v>6647</v>
      </c>
      <c r="C4720" s="18" t="s">
        <v>6759</v>
      </c>
      <c r="D4720" s="19" t="s">
        <v>6760</v>
      </c>
      <c r="E4720" s="18" t="s">
        <v>4624</v>
      </c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  <c r="AB4720" s="9"/>
      <c r="AC4720" s="9"/>
      <c r="AD4720" s="9"/>
    </row>
    <row r="4721">
      <c r="A4721" s="16" t="s">
        <v>6757</v>
      </c>
      <c r="B4721" s="22" t="s">
        <v>6647</v>
      </c>
      <c r="C4721" s="18" t="s">
        <v>6761</v>
      </c>
      <c r="D4721" s="19" t="s">
        <v>6762</v>
      </c>
      <c r="E4721" s="18" t="s">
        <v>4624</v>
      </c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9"/>
      <c r="AD4721" s="9"/>
    </row>
    <row r="4722">
      <c r="A4722" s="16" t="s">
        <v>6757</v>
      </c>
      <c r="B4722" s="22" t="s">
        <v>6647</v>
      </c>
      <c r="C4722" s="18" t="s">
        <v>6763</v>
      </c>
      <c r="D4722" s="19" t="s">
        <v>6764</v>
      </c>
      <c r="E4722" s="18" t="s">
        <v>4624</v>
      </c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  <c r="AB4722" s="9"/>
      <c r="AC4722" s="9"/>
      <c r="AD4722" s="9"/>
    </row>
    <row r="4723">
      <c r="A4723" s="16" t="s">
        <v>6757</v>
      </c>
      <c r="B4723" s="22" t="s">
        <v>6647</v>
      </c>
      <c r="C4723" s="18" t="s">
        <v>6765</v>
      </c>
      <c r="D4723" s="19" t="s">
        <v>6766</v>
      </c>
      <c r="E4723" s="18" t="s">
        <v>4624</v>
      </c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9"/>
      <c r="AA4723" s="9"/>
      <c r="AB4723" s="9"/>
      <c r="AC4723" s="9"/>
      <c r="AD4723" s="9"/>
    </row>
    <row r="4724">
      <c r="A4724" s="16" t="s">
        <v>6757</v>
      </c>
      <c r="B4724" s="22" t="s">
        <v>6359</v>
      </c>
      <c r="C4724" s="18" t="s">
        <v>6767</v>
      </c>
      <c r="D4724" s="19" t="s">
        <v>6768</v>
      </c>
      <c r="E4724" s="18" t="s">
        <v>6769</v>
      </c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  <c r="AA4724" s="9"/>
      <c r="AB4724" s="9"/>
      <c r="AC4724" s="9"/>
      <c r="AD4724" s="9"/>
    </row>
    <row r="4725">
      <c r="A4725" s="16" t="s">
        <v>6757</v>
      </c>
      <c r="B4725" s="22" t="s">
        <v>6359</v>
      </c>
      <c r="C4725" s="18" t="s">
        <v>6770</v>
      </c>
      <c r="D4725" s="19" t="s">
        <v>6768</v>
      </c>
      <c r="E4725" s="18" t="s">
        <v>6769</v>
      </c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</row>
    <row r="4726">
      <c r="A4726" s="16" t="s">
        <v>6757</v>
      </c>
      <c r="B4726" s="22" t="s">
        <v>6359</v>
      </c>
      <c r="C4726" s="18" t="s">
        <v>6771</v>
      </c>
      <c r="D4726" s="19" t="s">
        <v>6768</v>
      </c>
      <c r="E4726" s="18" t="s">
        <v>6769</v>
      </c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  <c r="AB4726" s="9"/>
      <c r="AC4726" s="9"/>
      <c r="AD4726" s="9"/>
    </row>
    <row r="4727">
      <c r="A4727" s="16"/>
      <c r="B4727" s="19"/>
      <c r="C4727" s="18"/>
      <c r="D4727" s="19"/>
      <c r="E4727" s="173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</row>
    <row r="4728">
      <c r="A4728" s="16"/>
      <c r="B4728" s="19"/>
      <c r="C4728" s="18"/>
      <c r="D4728" s="19"/>
      <c r="E4728" s="173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  <c r="AB4728" s="9"/>
      <c r="AC4728" s="9"/>
      <c r="AD4728" s="9"/>
    </row>
    <row r="4729">
      <c r="A4729" s="16" t="s">
        <v>6772</v>
      </c>
      <c r="B4729" s="22" t="s">
        <v>6359</v>
      </c>
      <c r="C4729" s="18" t="s">
        <v>6773</v>
      </c>
      <c r="D4729" s="19" t="s">
        <v>6774</v>
      </c>
      <c r="E4729" s="20" t="s">
        <v>7</v>
      </c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9"/>
      <c r="AD4729" s="9"/>
    </row>
    <row r="4730">
      <c r="A4730" s="16" t="s">
        <v>6772</v>
      </c>
      <c r="B4730" s="22" t="s">
        <v>6359</v>
      </c>
      <c r="C4730" s="18" t="s">
        <v>6775</v>
      </c>
      <c r="D4730" s="19" t="s">
        <v>6774</v>
      </c>
      <c r="E4730" s="20" t="s">
        <v>7</v>
      </c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  <c r="AB4730" s="9"/>
      <c r="AC4730" s="9"/>
      <c r="AD4730" s="9"/>
    </row>
    <row r="4731">
      <c r="A4731" s="16" t="s">
        <v>6772</v>
      </c>
      <c r="B4731" s="22" t="s">
        <v>6359</v>
      </c>
      <c r="C4731" s="18" t="s">
        <v>6776</v>
      </c>
      <c r="D4731" s="19" t="s">
        <v>6774</v>
      </c>
      <c r="E4731" s="20" t="s">
        <v>7</v>
      </c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9"/>
      <c r="AD4731" s="9"/>
    </row>
    <row r="4732">
      <c r="A4732" s="16" t="s">
        <v>6772</v>
      </c>
      <c r="B4732" s="22" t="s">
        <v>6359</v>
      </c>
      <c r="C4732" s="18" t="s">
        <v>6777</v>
      </c>
      <c r="D4732" s="19" t="s">
        <v>6778</v>
      </c>
      <c r="E4732" s="18" t="s">
        <v>6769</v>
      </c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  <c r="AA4732" s="9"/>
      <c r="AB4732" s="9"/>
      <c r="AC4732" s="9"/>
      <c r="AD4732" s="9"/>
    </row>
    <row r="4733">
      <c r="A4733" s="16" t="s">
        <v>6772</v>
      </c>
      <c r="B4733" s="22" t="s">
        <v>6359</v>
      </c>
      <c r="C4733" s="18" t="s">
        <v>6779</v>
      </c>
      <c r="D4733" s="19" t="s">
        <v>6778</v>
      </c>
      <c r="E4733" s="18" t="s">
        <v>6769</v>
      </c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  <c r="AA4733" s="9"/>
      <c r="AB4733" s="9"/>
      <c r="AC4733" s="9"/>
      <c r="AD4733" s="9"/>
    </row>
    <row r="4734">
      <c r="A4734" s="16" t="s">
        <v>6772</v>
      </c>
      <c r="B4734" s="22" t="s">
        <v>6359</v>
      </c>
      <c r="C4734" s="18" t="s">
        <v>885</v>
      </c>
      <c r="D4734" s="19" t="s">
        <v>6778</v>
      </c>
      <c r="E4734" s="18" t="s">
        <v>6769</v>
      </c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  <c r="AA4734" s="9"/>
      <c r="AB4734" s="9"/>
      <c r="AC4734" s="9"/>
      <c r="AD4734" s="9"/>
    </row>
    <row r="4735">
      <c r="A4735" s="16" t="s">
        <v>6772</v>
      </c>
      <c r="B4735" s="22" t="s">
        <v>6359</v>
      </c>
      <c r="C4735" s="18" t="s">
        <v>885</v>
      </c>
      <c r="D4735" s="19" t="s">
        <v>6778</v>
      </c>
      <c r="E4735" s="18" t="s">
        <v>6769</v>
      </c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9"/>
      <c r="AD4735" s="9"/>
    </row>
    <row r="4736">
      <c r="A4736" s="16" t="s">
        <v>6772</v>
      </c>
      <c r="B4736" s="22" t="s">
        <v>6359</v>
      </c>
      <c r="C4736" s="18" t="s">
        <v>6151</v>
      </c>
      <c r="D4736" s="19" t="s">
        <v>6780</v>
      </c>
      <c r="E4736" s="9" t="s">
        <v>764</v>
      </c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  <c r="AB4736" s="9"/>
      <c r="AC4736" s="9"/>
      <c r="AD4736" s="9"/>
    </row>
    <row r="4737">
      <c r="A4737" s="16" t="s">
        <v>6772</v>
      </c>
      <c r="B4737" s="22" t="s">
        <v>6359</v>
      </c>
      <c r="C4737" s="18" t="s">
        <v>6781</v>
      </c>
      <c r="D4737" s="19" t="s">
        <v>6768</v>
      </c>
      <c r="E4737" s="18" t="s">
        <v>6769</v>
      </c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9"/>
      <c r="AD4737" s="9"/>
    </row>
    <row r="4738">
      <c r="A4738" s="16" t="s">
        <v>6772</v>
      </c>
      <c r="B4738" s="22" t="s">
        <v>6359</v>
      </c>
      <c r="C4738" s="18" t="s">
        <v>6146</v>
      </c>
      <c r="D4738" s="19" t="s">
        <v>6768</v>
      </c>
      <c r="E4738" s="18" t="s">
        <v>6769</v>
      </c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/>
      <c r="AA4738" s="9"/>
      <c r="AB4738" s="9"/>
      <c r="AC4738" s="9"/>
      <c r="AD4738" s="9"/>
    </row>
    <row r="4739">
      <c r="A4739" s="16" t="s">
        <v>6772</v>
      </c>
      <c r="B4739" s="22" t="s">
        <v>6406</v>
      </c>
      <c r="C4739" s="18" t="s">
        <v>6182</v>
      </c>
      <c r="D4739" s="19" t="s">
        <v>6782</v>
      </c>
      <c r="E4739" s="18" t="s">
        <v>4261</v>
      </c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</row>
    <row r="4740">
      <c r="A4740" s="16" t="s">
        <v>6772</v>
      </c>
      <c r="B4740" s="22" t="s">
        <v>6783</v>
      </c>
      <c r="C4740" s="18" t="s">
        <v>449</v>
      </c>
      <c r="D4740" s="19" t="s">
        <v>5425</v>
      </c>
      <c r="E4740" s="18" t="s">
        <v>4624</v>
      </c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  <c r="AB4740" s="9"/>
      <c r="AC4740" s="9"/>
      <c r="AD4740" s="9"/>
    </row>
    <row r="4741">
      <c r="A4741" s="16" t="s">
        <v>6772</v>
      </c>
      <c r="B4741" s="22" t="s">
        <v>6783</v>
      </c>
      <c r="C4741" s="18" t="s">
        <v>449</v>
      </c>
      <c r="D4741" s="19" t="s">
        <v>6784</v>
      </c>
      <c r="E4741" s="18" t="s">
        <v>4624</v>
      </c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</row>
    <row r="4742">
      <c r="A4742" s="16" t="s">
        <v>6772</v>
      </c>
      <c r="B4742" s="22" t="s">
        <v>6783</v>
      </c>
      <c r="C4742" s="18" t="s">
        <v>449</v>
      </c>
      <c r="D4742" s="19" t="s">
        <v>6785</v>
      </c>
      <c r="E4742" s="18" t="s">
        <v>4624</v>
      </c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  <c r="AA4742" s="9"/>
      <c r="AB4742" s="9"/>
      <c r="AC4742" s="9"/>
      <c r="AD4742" s="9"/>
    </row>
    <row r="4743">
      <c r="A4743" s="16" t="s">
        <v>6772</v>
      </c>
      <c r="B4743" s="22" t="s">
        <v>6783</v>
      </c>
      <c r="C4743" s="18" t="s">
        <v>449</v>
      </c>
      <c r="D4743" s="19" t="s">
        <v>6786</v>
      </c>
      <c r="E4743" s="18" t="s">
        <v>4624</v>
      </c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9"/>
      <c r="AD4743" s="9"/>
    </row>
    <row r="4744">
      <c r="A4744" s="16" t="s">
        <v>6772</v>
      </c>
      <c r="B4744" s="22" t="s">
        <v>6783</v>
      </c>
      <c r="C4744" s="18" t="s">
        <v>6787</v>
      </c>
      <c r="D4744" s="19" t="s">
        <v>6788</v>
      </c>
      <c r="E4744" s="18" t="s">
        <v>4624</v>
      </c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  <c r="AB4744" s="9"/>
      <c r="AC4744" s="9"/>
      <c r="AD4744" s="9"/>
    </row>
    <row r="4745">
      <c r="A4745" s="16" t="s">
        <v>6772</v>
      </c>
      <c r="B4745" s="22" t="s">
        <v>6783</v>
      </c>
      <c r="C4745" s="18" t="s">
        <v>6789</v>
      </c>
      <c r="D4745" s="19" t="s">
        <v>6790</v>
      </c>
      <c r="E4745" s="18" t="s">
        <v>4624</v>
      </c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9"/>
      <c r="AD4745" s="9"/>
    </row>
    <row r="4746">
      <c r="A4746" s="16" t="s">
        <v>6772</v>
      </c>
      <c r="B4746" s="22" t="s">
        <v>6783</v>
      </c>
      <c r="C4746" s="18" t="s">
        <v>449</v>
      </c>
      <c r="D4746" s="19" t="s">
        <v>6791</v>
      </c>
      <c r="E4746" s="18" t="s">
        <v>4624</v>
      </c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/>
      <c r="AA4746" s="9"/>
      <c r="AB4746" s="9"/>
      <c r="AC4746" s="9"/>
      <c r="AD4746" s="9"/>
    </row>
    <row r="4747">
      <c r="A4747" s="16" t="s">
        <v>6772</v>
      </c>
      <c r="B4747" s="22" t="s">
        <v>6783</v>
      </c>
      <c r="C4747" s="18" t="s">
        <v>449</v>
      </c>
      <c r="D4747" s="19" t="s">
        <v>6792</v>
      </c>
      <c r="E4747" s="18" t="s">
        <v>4624</v>
      </c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9"/>
      <c r="AA4747" s="9"/>
      <c r="AB4747" s="9"/>
      <c r="AC4747" s="9"/>
      <c r="AD4747" s="9"/>
    </row>
    <row r="4748">
      <c r="A4748" s="16" t="s">
        <v>6772</v>
      </c>
      <c r="B4748" s="22" t="s">
        <v>6783</v>
      </c>
      <c r="C4748" s="18" t="s">
        <v>6793</v>
      </c>
      <c r="D4748" s="19" t="s">
        <v>6794</v>
      </c>
      <c r="E4748" s="18" t="s">
        <v>4624</v>
      </c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  <c r="Z4748" s="9"/>
      <c r="AA4748" s="9"/>
      <c r="AB4748" s="9"/>
      <c r="AC4748" s="9"/>
      <c r="AD4748" s="9"/>
    </row>
    <row r="4749">
      <c r="A4749" s="16" t="s">
        <v>6772</v>
      </c>
      <c r="B4749" s="22" t="s">
        <v>6783</v>
      </c>
      <c r="C4749" s="18" t="s">
        <v>6795</v>
      </c>
      <c r="D4749" s="19" t="s">
        <v>6796</v>
      </c>
      <c r="E4749" s="18" t="s">
        <v>4624</v>
      </c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9"/>
      <c r="AD4749" s="9"/>
    </row>
    <row r="4750">
      <c r="A4750" s="16" t="s">
        <v>6772</v>
      </c>
      <c r="B4750" s="22" t="s">
        <v>6783</v>
      </c>
      <c r="C4750" s="18" t="s">
        <v>4678</v>
      </c>
      <c r="D4750" s="19" t="s">
        <v>6797</v>
      </c>
      <c r="E4750" s="18" t="s">
        <v>4624</v>
      </c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  <c r="AB4750" s="9"/>
      <c r="AC4750" s="9"/>
      <c r="AD4750" s="9"/>
    </row>
    <row r="4751">
      <c r="A4751" s="16" t="s">
        <v>6772</v>
      </c>
      <c r="B4751" s="22" t="s">
        <v>6783</v>
      </c>
      <c r="C4751" s="18" t="s">
        <v>6798</v>
      </c>
      <c r="D4751" s="19" t="s">
        <v>6799</v>
      </c>
      <c r="E4751" s="18" t="s">
        <v>4624</v>
      </c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</row>
    <row r="4752">
      <c r="A4752" s="16" t="s">
        <v>6772</v>
      </c>
      <c r="B4752" s="22" t="s">
        <v>6783</v>
      </c>
      <c r="C4752" s="18" t="s">
        <v>449</v>
      </c>
      <c r="D4752" s="19" t="s">
        <v>6800</v>
      </c>
      <c r="E4752" s="18" t="s">
        <v>4624</v>
      </c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  <c r="AA4752" s="9"/>
      <c r="AB4752" s="9"/>
      <c r="AC4752" s="9"/>
      <c r="AD4752" s="9"/>
    </row>
    <row r="4753">
      <c r="A4753" s="16" t="s">
        <v>6772</v>
      </c>
      <c r="B4753" s="22" t="s">
        <v>6783</v>
      </c>
      <c r="C4753" s="18" t="s">
        <v>449</v>
      </c>
      <c r="D4753" s="19" t="s">
        <v>6801</v>
      </c>
      <c r="E4753" s="18" t="s">
        <v>4624</v>
      </c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9"/>
      <c r="AD4753" s="9"/>
    </row>
    <row r="4754">
      <c r="A4754" s="16"/>
      <c r="B4754" s="22"/>
      <c r="C4754" s="18"/>
      <c r="D4754" s="19"/>
      <c r="E4754" s="18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  <c r="AB4754" s="9"/>
      <c r="AC4754" s="9"/>
      <c r="AD4754" s="9"/>
    </row>
    <row r="4755">
      <c r="A4755" s="16"/>
      <c r="B4755" s="22"/>
      <c r="C4755" s="18"/>
      <c r="D4755" s="19"/>
      <c r="E4755" s="18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</row>
    <row r="4756">
      <c r="A4756" s="16" t="s">
        <v>6802</v>
      </c>
      <c r="B4756" s="22" t="s">
        <v>6803</v>
      </c>
      <c r="C4756" s="18" t="s">
        <v>449</v>
      </c>
      <c r="D4756" s="19" t="s">
        <v>6804</v>
      </c>
      <c r="E4756" s="9" t="s">
        <v>764</v>
      </c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  <c r="AA4756" s="9"/>
      <c r="AB4756" s="9"/>
      <c r="AC4756" s="9"/>
      <c r="AD4756" s="9"/>
    </row>
    <row r="4757">
      <c r="A4757" s="16" t="s">
        <v>6802</v>
      </c>
      <c r="B4757" s="22" t="s">
        <v>6805</v>
      </c>
      <c r="C4757" s="18" t="s">
        <v>6806</v>
      </c>
      <c r="D4757" s="19" t="s">
        <v>4744</v>
      </c>
      <c r="E4757" s="18" t="s">
        <v>309</v>
      </c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</row>
    <row r="4758">
      <c r="A4758" s="16" t="s">
        <v>6802</v>
      </c>
      <c r="B4758" s="22" t="s">
        <v>6807</v>
      </c>
      <c r="C4758" s="18" t="s">
        <v>6808</v>
      </c>
      <c r="D4758" s="19" t="s">
        <v>6809</v>
      </c>
      <c r="E4758" s="18" t="s">
        <v>4624</v>
      </c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</row>
    <row r="4759">
      <c r="A4759" s="16" t="s">
        <v>6802</v>
      </c>
      <c r="B4759" s="22" t="s">
        <v>6807</v>
      </c>
      <c r="C4759" s="18" t="s">
        <v>6808</v>
      </c>
      <c r="D4759" s="19" t="s">
        <v>6810</v>
      </c>
      <c r="E4759" s="18" t="s">
        <v>4624</v>
      </c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</row>
    <row r="4760">
      <c r="A4760" s="16" t="s">
        <v>6802</v>
      </c>
      <c r="B4760" s="22" t="s">
        <v>6807</v>
      </c>
      <c r="C4760" s="18" t="s">
        <v>6808</v>
      </c>
      <c r="D4760" s="19" t="s">
        <v>6811</v>
      </c>
      <c r="E4760" s="18" t="s">
        <v>4624</v>
      </c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  <c r="AB4760" s="9"/>
      <c r="AC4760" s="9"/>
      <c r="AD4760" s="9"/>
    </row>
    <row r="4761">
      <c r="A4761" s="16" t="s">
        <v>6802</v>
      </c>
      <c r="B4761" s="22" t="s">
        <v>6807</v>
      </c>
      <c r="C4761" s="18" t="s">
        <v>6812</v>
      </c>
      <c r="D4761" s="19" t="s">
        <v>6813</v>
      </c>
      <c r="E4761" s="18" t="s">
        <v>4624</v>
      </c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9"/>
    </row>
    <row r="4762">
      <c r="A4762" s="16" t="s">
        <v>6802</v>
      </c>
      <c r="B4762" s="22" t="s">
        <v>6807</v>
      </c>
      <c r="C4762" s="18" t="s">
        <v>6808</v>
      </c>
      <c r="D4762" s="19" t="s">
        <v>6814</v>
      </c>
      <c r="E4762" s="18" t="s">
        <v>4624</v>
      </c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  <c r="AB4762" s="9"/>
      <c r="AC4762" s="9"/>
      <c r="AD4762" s="9"/>
    </row>
    <row r="4763">
      <c r="A4763" s="16" t="s">
        <v>6802</v>
      </c>
      <c r="B4763" s="22" t="s">
        <v>6807</v>
      </c>
      <c r="C4763" s="18" t="s">
        <v>6808</v>
      </c>
      <c r="D4763" s="19" t="s">
        <v>6815</v>
      </c>
      <c r="E4763" s="18" t="s">
        <v>4624</v>
      </c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</row>
    <row r="4764">
      <c r="A4764" s="16"/>
      <c r="B4764" s="22"/>
      <c r="C4764" s="18"/>
      <c r="D4764" s="19"/>
      <c r="E4764" s="18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</row>
    <row r="4765">
      <c r="A4765" s="16"/>
      <c r="B4765" s="22"/>
      <c r="C4765" s="18"/>
      <c r="D4765" s="19"/>
      <c r="E4765" s="18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9"/>
      <c r="AD4765" s="9"/>
    </row>
    <row r="4766">
      <c r="A4766" s="16" t="s">
        <v>6816</v>
      </c>
      <c r="B4766" s="22" t="s">
        <v>6394</v>
      </c>
      <c r="C4766" s="18" t="s">
        <v>6817</v>
      </c>
      <c r="D4766" s="19" t="s">
        <v>4339</v>
      </c>
      <c r="E4766" s="18" t="s">
        <v>4261</v>
      </c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  <c r="AB4766" s="9"/>
      <c r="AC4766" s="9"/>
      <c r="AD4766" s="9"/>
    </row>
    <row r="4767">
      <c r="A4767" s="16" t="s">
        <v>6816</v>
      </c>
      <c r="B4767" s="22" t="s">
        <v>6394</v>
      </c>
      <c r="C4767" s="18" t="s">
        <v>6818</v>
      </c>
      <c r="D4767" s="19" t="s">
        <v>845</v>
      </c>
      <c r="E4767" s="18" t="s">
        <v>4261</v>
      </c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9"/>
      <c r="AD4767" s="9"/>
    </row>
    <row r="4768">
      <c r="A4768" s="16" t="s">
        <v>6816</v>
      </c>
      <c r="B4768" s="22" t="s">
        <v>6807</v>
      </c>
      <c r="C4768" s="18" t="s">
        <v>6819</v>
      </c>
      <c r="D4768" s="19" t="s">
        <v>6820</v>
      </c>
      <c r="E4768" s="20" t="s">
        <v>7</v>
      </c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</row>
    <row r="4769">
      <c r="A4769" s="16" t="s">
        <v>6816</v>
      </c>
      <c r="B4769" s="22" t="s">
        <v>6807</v>
      </c>
      <c r="C4769" s="18" t="s">
        <v>4665</v>
      </c>
      <c r="D4769" s="19" t="s">
        <v>6821</v>
      </c>
      <c r="E4769" s="20" t="s">
        <v>7</v>
      </c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9"/>
      <c r="AD4769" s="9"/>
    </row>
    <row r="4770">
      <c r="A4770" s="16" t="s">
        <v>6816</v>
      </c>
      <c r="B4770" s="22" t="s">
        <v>6822</v>
      </c>
      <c r="C4770" s="18" t="s">
        <v>6823</v>
      </c>
      <c r="D4770" s="19" t="s">
        <v>6466</v>
      </c>
      <c r="E4770" s="18" t="s">
        <v>309</v>
      </c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/>
      <c r="AA4770" s="9"/>
      <c r="AB4770" s="9"/>
      <c r="AC4770" s="9"/>
      <c r="AD4770" s="9"/>
    </row>
    <row r="4771">
      <c r="A4771" s="16" t="s">
        <v>6816</v>
      </c>
      <c r="B4771" s="22" t="s">
        <v>6824</v>
      </c>
      <c r="C4771" s="18" t="s">
        <v>2098</v>
      </c>
      <c r="D4771" s="18" t="s">
        <v>1388</v>
      </c>
      <c r="E4771" s="20" t="s">
        <v>7</v>
      </c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9"/>
      <c r="AD4771" s="9"/>
    </row>
    <row r="4772">
      <c r="A4772" s="16" t="s">
        <v>6816</v>
      </c>
      <c r="B4772" s="22" t="s">
        <v>6824</v>
      </c>
      <c r="C4772" s="18" t="s">
        <v>1582</v>
      </c>
      <c r="D4772" s="18" t="s">
        <v>6825</v>
      </c>
      <c r="E4772" s="18" t="s">
        <v>764</v>
      </c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  <c r="AB4772" s="9"/>
      <c r="AC4772" s="9"/>
      <c r="AD4772" s="9"/>
    </row>
    <row r="4773">
      <c r="A4773" s="16" t="s">
        <v>6816</v>
      </c>
      <c r="B4773" s="22" t="s">
        <v>6826</v>
      </c>
      <c r="C4773" s="18" t="s">
        <v>6827</v>
      </c>
      <c r="D4773" s="19" t="s">
        <v>6828</v>
      </c>
      <c r="E4773" s="18" t="s">
        <v>4624</v>
      </c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9"/>
      <c r="AD4773" s="9"/>
    </row>
    <row r="4774">
      <c r="A4774" s="16" t="s">
        <v>6816</v>
      </c>
      <c r="B4774" s="22" t="s">
        <v>6826</v>
      </c>
      <c r="C4774" s="18" t="s">
        <v>6827</v>
      </c>
      <c r="D4774" s="19" t="s">
        <v>6828</v>
      </c>
      <c r="E4774" s="18" t="s">
        <v>4624</v>
      </c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/>
      <c r="AA4774" s="9"/>
      <c r="AB4774" s="9"/>
      <c r="AC4774" s="9"/>
      <c r="AD4774" s="9"/>
    </row>
    <row r="4775">
      <c r="A4775" s="16" t="s">
        <v>6816</v>
      </c>
      <c r="B4775" s="22" t="s">
        <v>6826</v>
      </c>
      <c r="C4775" s="18" t="s">
        <v>5250</v>
      </c>
      <c r="D4775" s="19" t="s">
        <v>6829</v>
      </c>
      <c r="E4775" s="18" t="s">
        <v>4624</v>
      </c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</row>
    <row r="4776">
      <c r="A4776" s="16" t="s">
        <v>6816</v>
      </c>
      <c r="B4776" s="22" t="s">
        <v>6826</v>
      </c>
      <c r="C4776" s="18" t="s">
        <v>6830</v>
      </c>
      <c r="D4776" s="19" t="s">
        <v>6829</v>
      </c>
      <c r="E4776" s="18" t="s">
        <v>4624</v>
      </c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  <c r="AB4776" s="9"/>
      <c r="AC4776" s="9"/>
      <c r="AD4776" s="9"/>
    </row>
    <row r="4777">
      <c r="A4777" s="16" t="s">
        <v>6816</v>
      </c>
      <c r="B4777" s="22" t="s">
        <v>6826</v>
      </c>
      <c r="C4777" s="18" t="s">
        <v>5250</v>
      </c>
      <c r="D4777" s="19" t="s">
        <v>6831</v>
      </c>
      <c r="E4777" s="18" t="s">
        <v>4624</v>
      </c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</row>
    <row r="4778">
      <c r="A4778" s="16" t="s">
        <v>6816</v>
      </c>
      <c r="B4778" s="22" t="s">
        <v>6826</v>
      </c>
      <c r="C4778" s="18" t="s">
        <v>6832</v>
      </c>
      <c r="D4778" s="19" t="s">
        <v>6829</v>
      </c>
      <c r="E4778" s="18" t="s">
        <v>4624</v>
      </c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</row>
    <row r="4779">
      <c r="A4779" s="16" t="s">
        <v>6816</v>
      </c>
      <c r="B4779" s="22" t="s">
        <v>6826</v>
      </c>
      <c r="C4779" s="18" t="s">
        <v>5250</v>
      </c>
      <c r="D4779" s="19" t="s">
        <v>6829</v>
      </c>
      <c r="E4779" s="18" t="s">
        <v>4624</v>
      </c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</row>
    <row r="4780">
      <c r="A4780" s="16" t="s">
        <v>6816</v>
      </c>
      <c r="B4780" s="22" t="s">
        <v>6826</v>
      </c>
      <c r="C4780" s="18" t="s">
        <v>6827</v>
      </c>
      <c r="D4780" s="19" t="s">
        <v>6829</v>
      </c>
      <c r="E4780" s="18" t="s">
        <v>4624</v>
      </c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</row>
    <row r="4781">
      <c r="A4781" s="16" t="s">
        <v>6816</v>
      </c>
      <c r="B4781" s="22" t="s">
        <v>6826</v>
      </c>
      <c r="C4781" s="18" t="s">
        <v>6832</v>
      </c>
      <c r="D4781" s="19" t="s">
        <v>6829</v>
      </c>
      <c r="E4781" s="18" t="s">
        <v>4624</v>
      </c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9"/>
      <c r="AD4781" s="9"/>
    </row>
    <row r="4782">
      <c r="A4782" s="150"/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  <c r="AA4782" s="9"/>
      <c r="AB4782" s="9"/>
      <c r="AC4782" s="9"/>
      <c r="AD4782" s="9"/>
    </row>
    <row r="4783">
      <c r="A4783" s="16"/>
      <c r="B4783" s="22"/>
      <c r="C4783" s="18"/>
      <c r="D4783" s="19"/>
      <c r="E4783" s="18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</row>
    <row r="4784">
      <c r="A4784" s="16" t="s">
        <v>6833</v>
      </c>
      <c r="B4784" s="22" t="s">
        <v>6834</v>
      </c>
      <c r="C4784" s="23" t="s">
        <v>6835</v>
      </c>
      <c r="D4784" s="23" t="s">
        <v>6836</v>
      </c>
      <c r="E4784" s="18" t="s">
        <v>4624</v>
      </c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  <c r="AA4784" s="9"/>
      <c r="AB4784" s="9"/>
      <c r="AC4784" s="9"/>
      <c r="AD4784" s="9"/>
    </row>
    <row r="4785">
      <c r="A4785" s="16" t="s">
        <v>6833</v>
      </c>
      <c r="B4785" s="22" t="s">
        <v>6834</v>
      </c>
      <c r="C4785" s="23" t="s">
        <v>6835</v>
      </c>
      <c r="D4785" s="23" t="s">
        <v>6837</v>
      </c>
      <c r="E4785" s="18" t="s">
        <v>4624</v>
      </c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  <c r="AA4785" s="9"/>
      <c r="AB4785" s="9"/>
      <c r="AC4785" s="9"/>
      <c r="AD4785" s="9"/>
    </row>
    <row r="4786">
      <c r="A4786" s="16" t="s">
        <v>6833</v>
      </c>
      <c r="B4786" s="22" t="s">
        <v>6834</v>
      </c>
      <c r="C4786" s="23" t="s">
        <v>6835</v>
      </c>
      <c r="D4786" s="23" t="s">
        <v>6838</v>
      </c>
      <c r="E4786" s="18" t="s">
        <v>4624</v>
      </c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  <c r="AA4786" s="9"/>
      <c r="AB4786" s="9"/>
      <c r="AC4786" s="9"/>
      <c r="AD4786" s="9"/>
    </row>
    <row r="4787">
      <c r="A4787" s="16" t="s">
        <v>6833</v>
      </c>
      <c r="B4787" s="22" t="s">
        <v>6834</v>
      </c>
      <c r="C4787" s="23" t="s">
        <v>6835</v>
      </c>
      <c r="D4787" s="23" t="s">
        <v>6839</v>
      </c>
      <c r="E4787" s="18" t="s">
        <v>4624</v>
      </c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  <c r="AB4787" s="9"/>
      <c r="AC4787" s="9"/>
      <c r="AD4787" s="9"/>
    </row>
    <row r="4788">
      <c r="A4788" s="16" t="s">
        <v>6833</v>
      </c>
      <c r="B4788" s="22" t="s">
        <v>6840</v>
      </c>
      <c r="C4788" s="23" t="s">
        <v>6841</v>
      </c>
      <c r="D4788" s="23" t="s">
        <v>6842</v>
      </c>
      <c r="E4788" s="18" t="s">
        <v>4624</v>
      </c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  <c r="AA4788" s="9"/>
      <c r="AB4788" s="9"/>
      <c r="AC4788" s="9"/>
      <c r="AD4788" s="9"/>
    </row>
    <row r="4789">
      <c r="A4789" s="16" t="s">
        <v>6833</v>
      </c>
      <c r="B4789" s="22" t="s">
        <v>6840</v>
      </c>
      <c r="C4789" s="23" t="s">
        <v>6841</v>
      </c>
      <c r="D4789" s="23" t="s">
        <v>6843</v>
      </c>
      <c r="E4789" s="18" t="s">
        <v>4624</v>
      </c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  <c r="AB4789" s="9"/>
      <c r="AC4789" s="9"/>
      <c r="AD4789" s="9"/>
    </row>
    <row r="4790">
      <c r="A4790" s="16" t="s">
        <v>6833</v>
      </c>
      <c r="B4790" s="22" t="s">
        <v>6840</v>
      </c>
      <c r="C4790" s="23" t="s">
        <v>6841</v>
      </c>
      <c r="D4790" s="23" t="s">
        <v>6844</v>
      </c>
      <c r="E4790" s="18" t="s">
        <v>4624</v>
      </c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  <c r="AB4790" s="9"/>
      <c r="AC4790" s="9"/>
      <c r="AD4790" s="9"/>
    </row>
    <row r="4791">
      <c r="A4791" s="16" t="s">
        <v>6833</v>
      </c>
      <c r="B4791" s="22" t="s">
        <v>6840</v>
      </c>
      <c r="C4791" s="23" t="s">
        <v>6841</v>
      </c>
      <c r="D4791" s="23" t="s">
        <v>6845</v>
      </c>
      <c r="E4791" s="18" t="s">
        <v>4624</v>
      </c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  <c r="AB4791" s="9"/>
      <c r="AC4791" s="9"/>
      <c r="AD4791" s="9"/>
    </row>
    <row r="4792">
      <c r="A4792" s="16" t="s">
        <v>6833</v>
      </c>
      <c r="B4792" s="22" t="s">
        <v>6840</v>
      </c>
      <c r="C4792" s="23" t="s">
        <v>6841</v>
      </c>
      <c r="D4792" s="23" t="s">
        <v>6846</v>
      </c>
      <c r="E4792" s="18" t="s">
        <v>4624</v>
      </c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</row>
    <row r="4793">
      <c r="A4793" s="16" t="s">
        <v>6833</v>
      </c>
      <c r="B4793" s="22" t="s">
        <v>6594</v>
      </c>
      <c r="C4793" s="18" t="s">
        <v>6847</v>
      </c>
      <c r="D4793" s="18" t="s">
        <v>6848</v>
      </c>
      <c r="E4793" s="18" t="s">
        <v>4624</v>
      </c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  <c r="AA4793" s="9"/>
      <c r="AB4793" s="9"/>
      <c r="AC4793" s="9"/>
      <c r="AD4793" s="9"/>
    </row>
    <row r="4794">
      <c r="A4794" s="16" t="s">
        <v>6833</v>
      </c>
      <c r="B4794" s="22" t="s">
        <v>6594</v>
      </c>
      <c r="C4794" s="18" t="s">
        <v>6567</v>
      </c>
      <c r="D4794" s="18" t="s">
        <v>6754</v>
      </c>
      <c r="E4794" s="18" t="s">
        <v>4624</v>
      </c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  <c r="AA4794" s="9"/>
      <c r="AB4794" s="9"/>
      <c r="AC4794" s="9"/>
      <c r="AD4794" s="9"/>
    </row>
    <row r="4795">
      <c r="A4795" s="16" t="s">
        <v>6833</v>
      </c>
      <c r="B4795" s="22" t="s">
        <v>6475</v>
      </c>
      <c r="C4795" s="18" t="s">
        <v>6578</v>
      </c>
      <c r="D4795" s="19" t="s">
        <v>6849</v>
      </c>
      <c r="E4795" s="20" t="s">
        <v>7</v>
      </c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  <c r="AB4795" s="9"/>
      <c r="AC4795" s="9"/>
      <c r="AD4795" s="9"/>
    </row>
    <row r="4796">
      <c r="A4796" s="16" t="s">
        <v>6833</v>
      </c>
      <c r="B4796" s="22" t="s">
        <v>6475</v>
      </c>
      <c r="C4796" s="18" t="s">
        <v>6578</v>
      </c>
      <c r="D4796" s="19" t="s">
        <v>6850</v>
      </c>
      <c r="E4796" s="20" t="s">
        <v>7</v>
      </c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  <c r="AB4796" s="9"/>
      <c r="AC4796" s="9"/>
      <c r="AD4796" s="9"/>
    </row>
    <row r="4797">
      <c r="A4797" s="16" t="s">
        <v>6833</v>
      </c>
      <c r="B4797" s="22" t="s">
        <v>6475</v>
      </c>
      <c r="C4797" s="18" t="s">
        <v>6851</v>
      </c>
      <c r="D4797" s="19" t="s">
        <v>6852</v>
      </c>
      <c r="E4797" s="20" t="s">
        <v>7</v>
      </c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  <c r="AB4797" s="9"/>
      <c r="AC4797" s="9"/>
      <c r="AD4797" s="9"/>
    </row>
    <row r="4798">
      <c r="A4798" s="16" t="s">
        <v>6833</v>
      </c>
      <c r="B4798" s="22" t="s">
        <v>6803</v>
      </c>
      <c r="C4798" s="18" t="s">
        <v>6853</v>
      </c>
      <c r="D4798" s="19" t="s">
        <v>6854</v>
      </c>
      <c r="E4798" s="18" t="s">
        <v>4624</v>
      </c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  <c r="AB4798" s="9"/>
      <c r="AC4798" s="9"/>
      <c r="AD4798" s="9"/>
    </row>
    <row r="4799">
      <c r="A4799" s="16" t="s">
        <v>6833</v>
      </c>
      <c r="B4799" s="22" t="s">
        <v>6803</v>
      </c>
      <c r="C4799" s="18" t="s">
        <v>6853</v>
      </c>
      <c r="D4799" s="19" t="s">
        <v>6855</v>
      </c>
      <c r="E4799" s="18" t="s">
        <v>4624</v>
      </c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  <c r="AB4799" s="9"/>
      <c r="AC4799" s="9"/>
      <c r="AD4799" s="9"/>
    </row>
    <row r="4800">
      <c r="A4800" s="16" t="s">
        <v>6833</v>
      </c>
      <c r="B4800" s="22" t="s">
        <v>6803</v>
      </c>
      <c r="C4800" s="18" t="s">
        <v>6853</v>
      </c>
      <c r="D4800" s="19" t="s">
        <v>6856</v>
      </c>
      <c r="E4800" s="18" t="s">
        <v>4624</v>
      </c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  <c r="AB4800" s="9"/>
      <c r="AC4800" s="9"/>
      <c r="AD4800" s="9"/>
    </row>
    <row r="4801">
      <c r="A4801" s="16" t="s">
        <v>6833</v>
      </c>
      <c r="B4801" s="22" t="s">
        <v>6803</v>
      </c>
      <c r="C4801" s="18" t="s">
        <v>6853</v>
      </c>
      <c r="D4801" s="19" t="s">
        <v>6857</v>
      </c>
      <c r="E4801" s="18" t="s">
        <v>4624</v>
      </c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  <c r="AA4801" s="9"/>
      <c r="AB4801" s="9"/>
      <c r="AC4801" s="9"/>
      <c r="AD4801" s="9"/>
    </row>
    <row r="4802">
      <c r="A4802" s="16" t="s">
        <v>6833</v>
      </c>
      <c r="B4802" s="22" t="s">
        <v>6803</v>
      </c>
      <c r="C4802" s="18" t="s">
        <v>6853</v>
      </c>
      <c r="D4802" s="19" t="s">
        <v>6858</v>
      </c>
      <c r="E4802" s="18" t="s">
        <v>4624</v>
      </c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9"/>
      <c r="AD4802" s="9"/>
    </row>
    <row r="4803">
      <c r="A4803" s="16" t="s">
        <v>6833</v>
      </c>
      <c r="B4803" s="22" t="s">
        <v>6803</v>
      </c>
      <c r="C4803" s="18" t="s">
        <v>6853</v>
      </c>
      <c r="D4803" s="19" t="s">
        <v>6859</v>
      </c>
      <c r="E4803" s="18" t="s">
        <v>4624</v>
      </c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9"/>
      <c r="AD4803" s="9"/>
    </row>
    <row r="4804">
      <c r="A4804" s="16" t="s">
        <v>6833</v>
      </c>
      <c r="B4804" s="22" t="s">
        <v>6826</v>
      </c>
      <c r="C4804" s="18" t="s">
        <v>6860</v>
      </c>
      <c r="D4804" s="19" t="s">
        <v>6861</v>
      </c>
      <c r="E4804" s="9" t="s">
        <v>764</v>
      </c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  <c r="AB4804" s="9"/>
      <c r="AC4804" s="9"/>
      <c r="AD4804" s="9"/>
    </row>
    <row r="4805">
      <c r="A4805" s="16" t="s">
        <v>6833</v>
      </c>
      <c r="B4805" s="22" t="s">
        <v>6826</v>
      </c>
      <c r="C4805" s="18" t="s">
        <v>1324</v>
      </c>
      <c r="D4805" s="19" t="s">
        <v>6862</v>
      </c>
      <c r="E4805" s="9" t="s">
        <v>764</v>
      </c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  <c r="AB4805" s="9"/>
      <c r="AC4805" s="9"/>
      <c r="AD4805" s="9"/>
    </row>
    <row r="4806">
      <c r="A4806" s="16" t="s">
        <v>6833</v>
      </c>
      <c r="B4806" s="22" t="s">
        <v>6826</v>
      </c>
      <c r="C4806" s="18" t="s">
        <v>6863</v>
      </c>
      <c r="D4806" s="19" t="s">
        <v>6864</v>
      </c>
      <c r="E4806" s="9" t="s">
        <v>764</v>
      </c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  <c r="AB4806" s="9"/>
      <c r="AC4806" s="9"/>
      <c r="AD4806" s="9"/>
    </row>
    <row r="4807">
      <c r="A4807" s="16" t="s">
        <v>6833</v>
      </c>
      <c r="B4807" s="22" t="s">
        <v>6826</v>
      </c>
      <c r="C4807" s="18" t="s">
        <v>2171</v>
      </c>
      <c r="D4807" s="19" t="s">
        <v>6865</v>
      </c>
      <c r="E4807" s="9" t="s">
        <v>764</v>
      </c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9"/>
      <c r="AD4807" s="9"/>
    </row>
    <row r="4808">
      <c r="A4808" s="16" t="s">
        <v>6833</v>
      </c>
      <c r="B4808" s="22" t="s">
        <v>6866</v>
      </c>
      <c r="C4808" s="18" t="s">
        <v>6753</v>
      </c>
      <c r="D4808" s="19" t="s">
        <v>6754</v>
      </c>
      <c r="E4808" s="20" t="s">
        <v>7</v>
      </c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  <c r="AB4808" s="9"/>
      <c r="AC4808" s="9"/>
      <c r="AD4808" s="9"/>
    </row>
    <row r="4809">
      <c r="A4809" s="16" t="s">
        <v>6833</v>
      </c>
      <c r="B4809" s="22" t="s">
        <v>6867</v>
      </c>
      <c r="C4809" s="18" t="s">
        <v>6868</v>
      </c>
      <c r="D4809" s="19" t="s">
        <v>6869</v>
      </c>
      <c r="E4809" s="18" t="s">
        <v>6870</v>
      </c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9"/>
      <c r="AD4809" s="9"/>
    </row>
    <row r="4810">
      <c r="A4810" s="16" t="s">
        <v>6833</v>
      </c>
      <c r="B4810" s="22" t="s">
        <v>6871</v>
      </c>
      <c r="C4810" s="18" t="s">
        <v>136</v>
      </c>
      <c r="D4810" s="19" t="s">
        <v>6872</v>
      </c>
      <c r="E4810" s="18" t="s">
        <v>764</v>
      </c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</row>
    <row r="4811">
      <c r="A4811" s="16"/>
      <c r="B4811" s="22"/>
      <c r="C4811" s="18"/>
      <c r="D4811" s="19"/>
      <c r="E4811" s="18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</row>
    <row r="4812">
      <c r="A4812" s="16"/>
      <c r="B4812" s="22"/>
      <c r="C4812" s="18"/>
      <c r="D4812" s="19"/>
      <c r="E4812" s="18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</row>
    <row r="4813">
      <c r="A4813" s="16" t="s">
        <v>6873</v>
      </c>
      <c r="B4813" s="22" t="s">
        <v>6874</v>
      </c>
      <c r="C4813" s="18" t="s">
        <v>6875</v>
      </c>
      <c r="D4813" s="19" t="s">
        <v>55</v>
      </c>
      <c r="E4813" s="136" t="s">
        <v>6876</v>
      </c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</row>
    <row r="4814">
      <c r="A4814" s="16" t="s">
        <v>6873</v>
      </c>
      <c r="B4814" s="22" t="s">
        <v>6874</v>
      </c>
      <c r="C4814" s="18" t="s">
        <v>6739</v>
      </c>
      <c r="D4814" s="19" t="s">
        <v>6877</v>
      </c>
      <c r="E4814" s="136" t="s">
        <v>6876</v>
      </c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</row>
    <row r="4815">
      <c r="A4815" s="16" t="s">
        <v>6873</v>
      </c>
      <c r="B4815" s="22" t="s">
        <v>6874</v>
      </c>
      <c r="C4815" s="18" t="s">
        <v>6735</v>
      </c>
      <c r="D4815" s="19" t="s">
        <v>6878</v>
      </c>
      <c r="E4815" s="20" t="s">
        <v>7</v>
      </c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</row>
    <row r="4816">
      <c r="A4816" s="16" t="s">
        <v>6873</v>
      </c>
      <c r="B4816" s="22" t="s">
        <v>6874</v>
      </c>
      <c r="C4816" s="18" t="s">
        <v>6735</v>
      </c>
      <c r="D4816" s="19" t="s">
        <v>6879</v>
      </c>
      <c r="E4816" s="23" t="s">
        <v>1694</v>
      </c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</row>
    <row r="4817">
      <c r="A4817" s="16" t="s">
        <v>6873</v>
      </c>
      <c r="B4817" s="22" t="s">
        <v>6874</v>
      </c>
      <c r="C4817" s="18" t="s">
        <v>6735</v>
      </c>
      <c r="D4817" s="19" t="s">
        <v>6880</v>
      </c>
      <c r="E4817" s="23" t="s">
        <v>1694</v>
      </c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9"/>
      <c r="AD4817" s="9"/>
    </row>
    <row r="4818">
      <c r="A4818" s="16" t="s">
        <v>6873</v>
      </c>
      <c r="B4818" s="22" t="s">
        <v>6874</v>
      </c>
      <c r="C4818" s="18" t="s">
        <v>6735</v>
      </c>
      <c r="D4818" s="19" t="s">
        <v>6881</v>
      </c>
      <c r="E4818" s="23" t="s">
        <v>1694</v>
      </c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  <c r="AB4818" s="9"/>
      <c r="AC4818" s="9"/>
      <c r="AD4818" s="9"/>
    </row>
    <row r="4819">
      <c r="A4819" s="16" t="s">
        <v>6873</v>
      </c>
      <c r="B4819" s="22" t="s">
        <v>6882</v>
      </c>
      <c r="C4819" s="18" t="s">
        <v>6883</v>
      </c>
      <c r="D4819" s="19" t="s">
        <v>6884</v>
      </c>
      <c r="E4819" s="136" t="s">
        <v>6876</v>
      </c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  <c r="AA4819" s="9"/>
      <c r="AB4819" s="9"/>
      <c r="AC4819" s="9"/>
      <c r="AD4819" s="9"/>
    </row>
    <row r="4820">
      <c r="A4820" s="16" t="s">
        <v>6873</v>
      </c>
      <c r="B4820" s="22" t="s">
        <v>6885</v>
      </c>
      <c r="C4820" s="18" t="s">
        <v>851</v>
      </c>
      <c r="D4820" s="19" t="s">
        <v>6886</v>
      </c>
      <c r="E4820" s="18" t="s">
        <v>309</v>
      </c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</row>
    <row r="4821">
      <c r="A4821" s="16"/>
      <c r="B4821" s="22"/>
      <c r="C4821" s="18"/>
      <c r="D4821" s="19"/>
      <c r="E4821" s="18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  <c r="AA4821" s="9"/>
      <c r="AB4821" s="9"/>
      <c r="AC4821" s="9"/>
      <c r="AD4821" s="9"/>
    </row>
    <row r="4822">
      <c r="A4822" s="16"/>
      <c r="B4822" s="22"/>
      <c r="C4822" s="18"/>
      <c r="D4822" s="19"/>
      <c r="E4822" s="18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</row>
    <row r="4823">
      <c r="A4823" s="16" t="s">
        <v>6887</v>
      </c>
      <c r="B4823" s="22" t="s">
        <v>6594</v>
      </c>
      <c r="C4823" s="18" t="s">
        <v>6888</v>
      </c>
      <c r="D4823" s="19" t="s">
        <v>6762</v>
      </c>
      <c r="E4823" s="18" t="s">
        <v>4624</v>
      </c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  <c r="AB4823" s="9"/>
      <c r="AC4823" s="9"/>
      <c r="AD4823" s="9"/>
    </row>
    <row r="4824">
      <c r="A4824" s="16" t="s">
        <v>6887</v>
      </c>
      <c r="B4824" s="22" t="s">
        <v>6594</v>
      </c>
      <c r="C4824" s="18" t="s">
        <v>6761</v>
      </c>
      <c r="D4824" s="19" t="s">
        <v>6760</v>
      </c>
      <c r="E4824" s="18" t="s">
        <v>4624</v>
      </c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  <c r="AA4824" s="9"/>
      <c r="AB4824" s="9"/>
      <c r="AC4824" s="9"/>
      <c r="AD4824" s="9"/>
    </row>
    <row r="4825">
      <c r="A4825" s="16" t="s">
        <v>6887</v>
      </c>
      <c r="B4825" s="22" t="s">
        <v>6594</v>
      </c>
      <c r="C4825" s="18" t="s">
        <v>6889</v>
      </c>
      <c r="D4825" s="19" t="s">
        <v>6890</v>
      </c>
      <c r="E4825" s="18" t="s">
        <v>4624</v>
      </c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9"/>
      <c r="AD4825" s="9"/>
    </row>
    <row r="4826">
      <c r="A4826" s="16" t="s">
        <v>6887</v>
      </c>
      <c r="B4826" s="22" t="s">
        <v>6594</v>
      </c>
      <c r="C4826" s="18" t="s">
        <v>6891</v>
      </c>
      <c r="D4826" s="19" t="s">
        <v>6892</v>
      </c>
      <c r="E4826" s="18" t="s">
        <v>4624</v>
      </c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9"/>
      <c r="AD4826" s="9"/>
    </row>
    <row r="4827">
      <c r="A4827" s="16" t="s">
        <v>6887</v>
      </c>
      <c r="B4827" s="22" t="s">
        <v>6893</v>
      </c>
      <c r="C4827" s="18" t="s">
        <v>6894</v>
      </c>
      <c r="D4827" s="19" t="s">
        <v>6895</v>
      </c>
      <c r="E4827" s="18" t="s">
        <v>6896</v>
      </c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  <c r="AB4827" s="9"/>
      <c r="AC4827" s="9"/>
      <c r="AD4827" s="9"/>
    </row>
    <row r="4828">
      <c r="A4828" s="16" t="s">
        <v>6887</v>
      </c>
      <c r="B4828" s="22" t="s">
        <v>6897</v>
      </c>
      <c r="C4828" s="18" t="s">
        <v>6898</v>
      </c>
      <c r="D4828" s="19" t="s">
        <v>6899</v>
      </c>
      <c r="E4828" s="18" t="s">
        <v>14</v>
      </c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  <c r="AB4828" s="9"/>
      <c r="AC4828" s="9"/>
      <c r="AD4828" s="9"/>
    </row>
    <row r="4829">
      <c r="A4829" s="16" t="s">
        <v>6887</v>
      </c>
      <c r="B4829" s="22" t="s">
        <v>6900</v>
      </c>
      <c r="C4829" s="18" t="s">
        <v>6901</v>
      </c>
      <c r="D4829" s="18" t="s">
        <v>6902</v>
      </c>
      <c r="E4829" s="20" t="s">
        <v>7</v>
      </c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</row>
    <row r="4830">
      <c r="A4830" s="16" t="s">
        <v>6887</v>
      </c>
      <c r="B4830" s="22" t="s">
        <v>6900</v>
      </c>
      <c r="C4830" s="18" t="s">
        <v>6903</v>
      </c>
      <c r="D4830" s="18" t="s">
        <v>6904</v>
      </c>
      <c r="E4830" s="20" t="s">
        <v>7</v>
      </c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  <c r="AB4830" s="9"/>
      <c r="AC4830" s="9"/>
      <c r="AD4830" s="9"/>
    </row>
    <row r="4831">
      <c r="A4831" s="16" t="s">
        <v>6887</v>
      </c>
      <c r="B4831" s="22" t="s">
        <v>6900</v>
      </c>
      <c r="C4831" s="18" t="s">
        <v>6901</v>
      </c>
      <c r="D4831" s="18" t="s">
        <v>6905</v>
      </c>
      <c r="E4831" s="20" t="s">
        <v>7</v>
      </c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9"/>
      <c r="AD4831" s="9"/>
    </row>
    <row r="4832">
      <c r="A4832" s="16" t="s">
        <v>6887</v>
      </c>
      <c r="B4832" s="22" t="s">
        <v>6900</v>
      </c>
      <c r="C4832" s="18" t="s">
        <v>6906</v>
      </c>
      <c r="D4832" s="18" t="s">
        <v>6902</v>
      </c>
      <c r="E4832" s="20" t="s">
        <v>7</v>
      </c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  <c r="AB4832" s="9"/>
      <c r="AC4832" s="9"/>
      <c r="AD4832" s="9"/>
    </row>
    <row r="4833">
      <c r="A4833" s="16" t="s">
        <v>6887</v>
      </c>
      <c r="B4833" s="22" t="s">
        <v>6907</v>
      </c>
      <c r="C4833" s="18" t="s">
        <v>6908</v>
      </c>
      <c r="D4833" s="18" t="s">
        <v>6909</v>
      </c>
      <c r="E4833" s="18" t="s">
        <v>6896</v>
      </c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9"/>
      <c r="AD4833" s="9"/>
    </row>
    <row r="4834">
      <c r="A4834" s="16" t="s">
        <v>6887</v>
      </c>
      <c r="B4834" s="22" t="s">
        <v>6910</v>
      </c>
      <c r="C4834" s="18" t="s">
        <v>6911</v>
      </c>
      <c r="D4834" s="19" t="s">
        <v>6912</v>
      </c>
      <c r="E4834" s="18" t="s">
        <v>6896</v>
      </c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</row>
    <row r="4835">
      <c r="A4835" s="16" t="s">
        <v>6887</v>
      </c>
      <c r="B4835" s="22" t="s">
        <v>6913</v>
      </c>
      <c r="C4835" s="18" t="s">
        <v>6914</v>
      </c>
      <c r="D4835" s="19" t="s">
        <v>6915</v>
      </c>
      <c r="E4835" s="18" t="s">
        <v>309</v>
      </c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9"/>
      <c r="AC4835" s="9"/>
      <c r="AD4835" s="9"/>
    </row>
    <row r="4836">
      <c r="A4836" s="16" t="s">
        <v>6887</v>
      </c>
      <c r="B4836" s="22" t="s">
        <v>6618</v>
      </c>
      <c r="C4836" s="18" t="s">
        <v>6619</v>
      </c>
      <c r="D4836" s="19" t="s">
        <v>6916</v>
      </c>
      <c r="E4836" s="18" t="s">
        <v>764</v>
      </c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</row>
    <row r="4837">
      <c r="A4837" s="16" t="s">
        <v>6887</v>
      </c>
      <c r="B4837" s="22" t="s">
        <v>6834</v>
      </c>
      <c r="C4837" s="18" t="s">
        <v>6917</v>
      </c>
      <c r="D4837" s="19" t="s">
        <v>6918</v>
      </c>
      <c r="E4837" s="18" t="s">
        <v>6896</v>
      </c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</row>
    <row r="4838">
      <c r="A4838" s="16"/>
      <c r="B4838" s="22"/>
      <c r="C4838" s="18"/>
      <c r="D4838" s="19"/>
      <c r="E4838" s="18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  <c r="AB4838" s="9"/>
      <c r="AC4838" s="9"/>
      <c r="AD4838" s="9"/>
    </row>
    <row r="4839">
      <c r="A4839" s="16"/>
      <c r="B4839" s="22"/>
      <c r="C4839" s="18"/>
      <c r="D4839" s="19"/>
      <c r="E4839" s="18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</row>
    <row r="4840">
      <c r="A4840" s="16" t="s">
        <v>6919</v>
      </c>
      <c r="B4840" s="22" t="s">
        <v>6920</v>
      </c>
      <c r="C4840" s="18" t="s">
        <v>6921</v>
      </c>
      <c r="D4840" s="19" t="s">
        <v>6922</v>
      </c>
      <c r="E4840" s="18" t="s">
        <v>14</v>
      </c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</row>
    <row r="4841">
      <c r="A4841" s="16" t="s">
        <v>6919</v>
      </c>
      <c r="B4841" s="22" t="s">
        <v>6647</v>
      </c>
      <c r="C4841" s="18" t="s">
        <v>6891</v>
      </c>
      <c r="D4841" s="19" t="s">
        <v>6733</v>
      </c>
      <c r="E4841" s="18" t="s">
        <v>4624</v>
      </c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</row>
    <row r="4842">
      <c r="A4842" s="16" t="s">
        <v>6919</v>
      </c>
      <c r="B4842" s="22" t="s">
        <v>6647</v>
      </c>
      <c r="C4842" s="18" t="s">
        <v>6891</v>
      </c>
      <c r="D4842" s="19" t="s">
        <v>6923</v>
      </c>
      <c r="E4842" s="18" t="s">
        <v>4624</v>
      </c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</row>
    <row r="4843">
      <c r="A4843" s="16" t="s">
        <v>6919</v>
      </c>
      <c r="B4843" s="22" t="s">
        <v>6924</v>
      </c>
      <c r="C4843" s="18" t="s">
        <v>1602</v>
      </c>
      <c r="D4843" s="19" t="s">
        <v>6925</v>
      </c>
      <c r="E4843" s="18" t="s">
        <v>4624</v>
      </c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</row>
    <row r="4844">
      <c r="A4844" s="16" t="s">
        <v>6919</v>
      </c>
      <c r="B4844" s="22" t="s">
        <v>6924</v>
      </c>
      <c r="C4844" s="18" t="s">
        <v>6500</v>
      </c>
      <c r="D4844" s="19" t="s">
        <v>6926</v>
      </c>
      <c r="E4844" s="18" t="s">
        <v>4624</v>
      </c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</row>
    <row r="4845">
      <c r="A4845" s="16" t="s">
        <v>6919</v>
      </c>
      <c r="B4845" s="22" t="s">
        <v>6924</v>
      </c>
      <c r="C4845" s="18" t="s">
        <v>6500</v>
      </c>
      <c r="D4845" s="19" t="s">
        <v>6927</v>
      </c>
      <c r="E4845" s="18" t="s">
        <v>4624</v>
      </c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</row>
    <row r="4846">
      <c r="A4846" s="16" t="s">
        <v>6919</v>
      </c>
      <c r="B4846" s="22" t="s">
        <v>6924</v>
      </c>
      <c r="C4846" s="18" t="s">
        <v>6500</v>
      </c>
      <c r="D4846" s="19" t="s">
        <v>6928</v>
      </c>
      <c r="E4846" s="18" t="s">
        <v>4624</v>
      </c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9"/>
      <c r="AD4846" s="9"/>
    </row>
    <row r="4847">
      <c r="A4847" s="16" t="s">
        <v>6919</v>
      </c>
      <c r="B4847" s="22" t="s">
        <v>6680</v>
      </c>
      <c r="C4847" s="18" t="s">
        <v>6929</v>
      </c>
      <c r="D4847" s="19" t="s">
        <v>6930</v>
      </c>
      <c r="E4847" s="18" t="s">
        <v>309</v>
      </c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  <c r="AA4847" s="9"/>
      <c r="AB4847" s="9"/>
      <c r="AC4847" s="9"/>
      <c r="AD4847" s="9"/>
    </row>
    <row r="4848">
      <c r="A4848" s="16"/>
      <c r="B4848" s="22"/>
      <c r="C4848" s="18"/>
      <c r="D4848" s="19"/>
      <c r="E4848" s="18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</row>
    <row r="4849">
      <c r="A4849" s="16"/>
      <c r="B4849" s="22"/>
      <c r="C4849" s="18"/>
      <c r="D4849" s="19"/>
      <c r="E4849" s="18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</row>
    <row r="4850">
      <c r="A4850" s="16" t="s">
        <v>6931</v>
      </c>
      <c r="B4850" s="22" t="s">
        <v>6924</v>
      </c>
      <c r="C4850" s="18" t="s">
        <v>6500</v>
      </c>
      <c r="D4850" s="19" t="s">
        <v>6928</v>
      </c>
      <c r="E4850" s="18" t="s">
        <v>4624</v>
      </c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</row>
    <row r="4851">
      <c r="A4851" s="16" t="s">
        <v>6931</v>
      </c>
      <c r="B4851" s="22" t="s">
        <v>6924</v>
      </c>
      <c r="C4851" s="18" t="s">
        <v>6500</v>
      </c>
      <c r="D4851" s="19" t="s">
        <v>886</v>
      </c>
      <c r="E4851" s="18" t="s">
        <v>4624</v>
      </c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</row>
    <row r="4852">
      <c r="A4852" s="16"/>
      <c r="B4852" s="22"/>
      <c r="C4852" s="18"/>
      <c r="D4852" s="19"/>
      <c r="E4852" s="18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</row>
    <row r="4853">
      <c r="A4853" s="16"/>
      <c r="B4853" s="22"/>
      <c r="C4853" s="18"/>
      <c r="D4853" s="19"/>
      <c r="E4853" s="18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</row>
    <row r="4854">
      <c r="A4854" s="16" t="s">
        <v>6932</v>
      </c>
      <c r="B4854" s="22" t="s">
        <v>6647</v>
      </c>
      <c r="C4854" s="18" t="s">
        <v>6891</v>
      </c>
      <c r="D4854" s="18" t="s">
        <v>6733</v>
      </c>
      <c r="E4854" s="20" t="s">
        <v>7</v>
      </c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</row>
    <row r="4855">
      <c r="A4855" s="16" t="s">
        <v>6932</v>
      </c>
      <c r="B4855" s="22" t="s">
        <v>6647</v>
      </c>
      <c r="C4855" s="18" t="s">
        <v>6567</v>
      </c>
      <c r="D4855" s="18" t="s">
        <v>6754</v>
      </c>
      <c r="E4855" s="20" t="s">
        <v>7</v>
      </c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  <c r="AA4855" s="9"/>
      <c r="AB4855" s="9"/>
      <c r="AC4855" s="9"/>
      <c r="AD4855" s="9"/>
    </row>
    <row r="4856">
      <c r="A4856" s="16" t="s">
        <v>6932</v>
      </c>
      <c r="B4856" s="22" t="s">
        <v>6686</v>
      </c>
      <c r="C4856" s="18" t="s">
        <v>6933</v>
      </c>
      <c r="D4856" s="19" t="s">
        <v>6934</v>
      </c>
      <c r="E4856" s="18" t="s">
        <v>6896</v>
      </c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</row>
    <row r="4857">
      <c r="A4857" s="16" t="s">
        <v>6932</v>
      </c>
      <c r="B4857" s="22" t="s">
        <v>6935</v>
      </c>
      <c r="C4857" s="18" t="s">
        <v>6936</v>
      </c>
      <c r="D4857" s="19" t="s">
        <v>6937</v>
      </c>
      <c r="E4857" s="23" t="s">
        <v>4493</v>
      </c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</row>
    <row r="4858">
      <c r="A4858" s="16" t="s">
        <v>6932</v>
      </c>
      <c r="B4858" s="22" t="s">
        <v>6938</v>
      </c>
      <c r="C4858" s="18" t="s">
        <v>6939</v>
      </c>
      <c r="D4858" s="19" t="s">
        <v>6940</v>
      </c>
      <c r="E4858" s="9" t="s">
        <v>760</v>
      </c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</row>
    <row r="4859">
      <c r="A4859" s="16" t="s">
        <v>6932</v>
      </c>
      <c r="B4859" s="22" t="s">
        <v>6938</v>
      </c>
      <c r="C4859" s="18" t="s">
        <v>2260</v>
      </c>
      <c r="D4859" s="19" t="s">
        <v>6940</v>
      </c>
      <c r="E4859" s="18" t="s">
        <v>309</v>
      </c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</row>
    <row r="4860">
      <c r="A4860" s="16"/>
      <c r="B4860" s="22"/>
      <c r="C4860" s="18"/>
      <c r="D4860" s="19"/>
      <c r="E4860" s="18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</row>
    <row r="4861">
      <c r="A4861" s="16"/>
      <c r="B4861" s="22"/>
      <c r="C4861" s="18"/>
      <c r="D4861" s="19"/>
      <c r="E4861" s="18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  <c r="AA4861" s="9"/>
      <c r="AB4861" s="9"/>
      <c r="AC4861" s="9"/>
      <c r="AD4861" s="9"/>
    </row>
    <row r="4862">
      <c r="A4862" s="16" t="s">
        <v>6941</v>
      </c>
      <c r="B4862" s="22" t="s">
        <v>6938</v>
      </c>
      <c r="C4862" s="18" t="s">
        <v>6942</v>
      </c>
      <c r="D4862" s="19" t="s">
        <v>6943</v>
      </c>
      <c r="E4862" s="18" t="s">
        <v>4624</v>
      </c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</row>
    <row r="4863">
      <c r="A4863" s="16" t="s">
        <v>6941</v>
      </c>
      <c r="B4863" s="22" t="s">
        <v>6938</v>
      </c>
      <c r="C4863" s="18" t="s">
        <v>6944</v>
      </c>
      <c r="D4863" s="19" t="s">
        <v>6943</v>
      </c>
      <c r="E4863" s="18" t="s">
        <v>4624</v>
      </c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9"/>
      <c r="AD4863" s="9"/>
    </row>
    <row r="4864">
      <c r="A4864" s="16" t="s">
        <v>6941</v>
      </c>
      <c r="B4864" s="22" t="s">
        <v>6938</v>
      </c>
      <c r="C4864" s="18" t="s">
        <v>6945</v>
      </c>
      <c r="D4864" s="19" t="s">
        <v>6943</v>
      </c>
      <c r="E4864" s="18" t="s">
        <v>4624</v>
      </c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9"/>
      <c r="AD4864" s="9"/>
    </row>
    <row r="4865">
      <c r="A4865" s="16" t="s">
        <v>6941</v>
      </c>
      <c r="B4865" s="22" t="s">
        <v>6938</v>
      </c>
      <c r="C4865" s="18" t="s">
        <v>6946</v>
      </c>
      <c r="D4865" s="19" t="s">
        <v>6947</v>
      </c>
      <c r="E4865" s="18" t="s">
        <v>4624</v>
      </c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  <c r="AA4865" s="9"/>
      <c r="AB4865" s="9"/>
      <c r="AC4865" s="9"/>
      <c r="AD4865" s="9"/>
    </row>
    <row r="4866">
      <c r="A4866" s="16" t="s">
        <v>6941</v>
      </c>
      <c r="B4866" s="22" t="s">
        <v>6938</v>
      </c>
      <c r="C4866" s="18" t="s">
        <v>6948</v>
      </c>
      <c r="D4866" s="19" t="s">
        <v>6947</v>
      </c>
      <c r="E4866" s="18" t="s">
        <v>4624</v>
      </c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  <c r="AB4866" s="9"/>
      <c r="AC4866" s="9"/>
      <c r="AD4866" s="9"/>
    </row>
    <row r="4867">
      <c r="A4867" s="16" t="s">
        <v>6941</v>
      </c>
      <c r="B4867" s="22" t="s">
        <v>6938</v>
      </c>
      <c r="C4867" s="18" t="s">
        <v>6949</v>
      </c>
      <c r="D4867" s="19" t="s">
        <v>6947</v>
      </c>
      <c r="E4867" s="18" t="s">
        <v>4624</v>
      </c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9"/>
      <c r="AD4867" s="9"/>
    </row>
    <row r="4868">
      <c r="A4868" s="16" t="s">
        <v>6941</v>
      </c>
      <c r="B4868" s="22" t="s">
        <v>6805</v>
      </c>
      <c r="C4868" s="18" t="s">
        <v>3674</v>
      </c>
      <c r="D4868" s="19" t="s">
        <v>6950</v>
      </c>
      <c r="E4868" s="18" t="s">
        <v>6951</v>
      </c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</row>
    <row r="4869">
      <c r="A4869" s="16" t="s">
        <v>6941</v>
      </c>
      <c r="B4869" s="22" t="s">
        <v>6680</v>
      </c>
      <c r="C4869" s="18" t="s">
        <v>6567</v>
      </c>
      <c r="D4869" s="18" t="s">
        <v>6952</v>
      </c>
      <c r="E4869" s="20" t="s">
        <v>764</v>
      </c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9"/>
      <c r="AD4869" s="9"/>
    </row>
    <row r="4870">
      <c r="A4870" s="16" t="s">
        <v>6941</v>
      </c>
      <c r="B4870" s="22" t="s">
        <v>6953</v>
      </c>
      <c r="C4870" s="18" t="s">
        <v>6954</v>
      </c>
      <c r="D4870" s="19" t="s">
        <v>1863</v>
      </c>
      <c r="E4870" s="18" t="s">
        <v>309</v>
      </c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  <c r="AA4870" s="9"/>
      <c r="AB4870" s="9"/>
      <c r="AC4870" s="9"/>
      <c r="AD4870" s="9"/>
    </row>
    <row r="4871">
      <c r="A4871" s="16" t="s">
        <v>6941</v>
      </c>
      <c r="B4871" s="22" t="s">
        <v>6175</v>
      </c>
      <c r="C4871" s="18" t="s">
        <v>6151</v>
      </c>
      <c r="D4871" s="19" t="s">
        <v>6955</v>
      </c>
      <c r="E4871" s="18" t="s">
        <v>6956</v>
      </c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9"/>
      <c r="AD4871" s="9"/>
    </row>
    <row r="4872">
      <c r="A4872" s="16"/>
      <c r="B4872" s="22"/>
      <c r="C4872" s="18"/>
      <c r="D4872" s="19"/>
      <c r="E4872" s="18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</row>
    <row r="4873">
      <c r="A4873" s="16"/>
      <c r="B4873" s="22"/>
      <c r="C4873" s="18"/>
      <c r="D4873" s="19"/>
      <c r="E4873" s="18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</row>
    <row r="4874">
      <c r="A4874" s="16" t="s">
        <v>6957</v>
      </c>
      <c r="B4874" s="22" t="s">
        <v>5948</v>
      </c>
      <c r="C4874" s="18" t="s">
        <v>6958</v>
      </c>
      <c r="D4874" s="19" t="s">
        <v>6959</v>
      </c>
      <c r="E4874" s="20" t="s">
        <v>7</v>
      </c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</row>
    <row r="4875">
      <c r="A4875" s="16" t="s">
        <v>6957</v>
      </c>
      <c r="B4875" s="22" t="s">
        <v>5948</v>
      </c>
      <c r="C4875" s="18" t="s">
        <v>6960</v>
      </c>
      <c r="D4875" s="19" t="s">
        <v>6959</v>
      </c>
      <c r="E4875" s="20" t="s">
        <v>7</v>
      </c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  <c r="AA4875" s="9"/>
      <c r="AB4875" s="9"/>
      <c r="AC4875" s="9"/>
      <c r="AD4875" s="9"/>
    </row>
    <row r="4876">
      <c r="A4876" s="16" t="s">
        <v>6957</v>
      </c>
      <c r="B4876" s="22" t="s">
        <v>5948</v>
      </c>
      <c r="C4876" s="18" t="s">
        <v>6961</v>
      </c>
      <c r="D4876" s="19" t="s">
        <v>6962</v>
      </c>
      <c r="E4876" s="20" t="s">
        <v>7</v>
      </c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</row>
    <row r="4877">
      <c r="A4877" s="16" t="s">
        <v>6957</v>
      </c>
      <c r="B4877" s="22" t="s">
        <v>5948</v>
      </c>
      <c r="C4877" s="18" t="s">
        <v>6963</v>
      </c>
      <c r="D4877" s="19" t="s">
        <v>6962</v>
      </c>
      <c r="E4877" s="20" t="s">
        <v>7</v>
      </c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</row>
    <row r="4878">
      <c r="A4878" s="16" t="s">
        <v>6957</v>
      </c>
      <c r="B4878" s="22" t="s">
        <v>6680</v>
      </c>
      <c r="C4878" s="18" t="s">
        <v>6567</v>
      </c>
      <c r="D4878" s="19" t="s">
        <v>6964</v>
      </c>
      <c r="E4878" s="23" t="s">
        <v>6965</v>
      </c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9"/>
      <c r="AD4878" s="9"/>
    </row>
    <row r="4879">
      <c r="A4879" s="16" t="s">
        <v>6957</v>
      </c>
      <c r="B4879" s="22" t="s">
        <v>6680</v>
      </c>
      <c r="C4879" s="18" t="s">
        <v>6567</v>
      </c>
      <c r="D4879" s="19" t="s">
        <v>6966</v>
      </c>
      <c r="E4879" s="23" t="s">
        <v>6965</v>
      </c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  <c r="AA4879" s="9"/>
      <c r="AB4879" s="9"/>
      <c r="AC4879" s="9"/>
      <c r="AD4879" s="9"/>
    </row>
    <row r="4880">
      <c r="A4880" s="16" t="s">
        <v>6957</v>
      </c>
      <c r="B4880" s="22" t="s">
        <v>6680</v>
      </c>
      <c r="C4880" s="18" t="s">
        <v>6567</v>
      </c>
      <c r="D4880" s="19" t="s">
        <v>6967</v>
      </c>
      <c r="E4880" s="23" t="s">
        <v>6965</v>
      </c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</row>
    <row r="4881">
      <c r="A4881" s="16" t="s">
        <v>6957</v>
      </c>
      <c r="B4881" s="22" t="s">
        <v>6680</v>
      </c>
      <c r="C4881" s="18" t="s">
        <v>6567</v>
      </c>
      <c r="D4881" s="19" t="s">
        <v>6952</v>
      </c>
      <c r="E4881" s="23" t="s">
        <v>6965</v>
      </c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</row>
    <row r="4882">
      <c r="A4882" s="16" t="s">
        <v>6957</v>
      </c>
      <c r="B4882" s="22" t="s">
        <v>6834</v>
      </c>
      <c r="C4882" s="18" t="s">
        <v>6835</v>
      </c>
      <c r="D4882" s="19" t="s">
        <v>6968</v>
      </c>
      <c r="E4882" s="18" t="s">
        <v>4624</v>
      </c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</row>
    <row r="4883">
      <c r="A4883" s="16" t="s">
        <v>6957</v>
      </c>
      <c r="B4883" s="22" t="s">
        <v>6834</v>
      </c>
      <c r="C4883" s="18" t="s">
        <v>6969</v>
      </c>
      <c r="D4883" s="19" t="s">
        <v>6970</v>
      </c>
      <c r="E4883" s="18" t="s">
        <v>4624</v>
      </c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  <c r="AB4883" s="9"/>
      <c r="AC4883" s="9"/>
      <c r="AD4883" s="9"/>
    </row>
    <row r="4884">
      <c r="A4884" s="16" t="s">
        <v>6957</v>
      </c>
      <c r="B4884" s="22" t="s">
        <v>6805</v>
      </c>
      <c r="C4884" s="18" t="s">
        <v>6971</v>
      </c>
      <c r="D4884" s="18" t="s">
        <v>6972</v>
      </c>
      <c r="E4884" s="18" t="s">
        <v>6973</v>
      </c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  <c r="AB4884" s="9"/>
      <c r="AC4884" s="9"/>
      <c r="AD4884" s="9"/>
    </row>
    <row r="4885">
      <c r="A4885" s="16" t="s">
        <v>6957</v>
      </c>
      <c r="B4885" s="22" t="s">
        <v>6175</v>
      </c>
      <c r="C4885" s="23" t="s">
        <v>6974</v>
      </c>
      <c r="D4885" s="23" t="s">
        <v>6975</v>
      </c>
      <c r="E4885" s="9" t="s">
        <v>1506</v>
      </c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  <c r="AB4885" s="9"/>
      <c r="AC4885" s="9"/>
      <c r="AD4885" s="9"/>
    </row>
    <row r="4886">
      <c r="A4886" s="16" t="s">
        <v>6957</v>
      </c>
      <c r="B4886" s="22" t="s">
        <v>6175</v>
      </c>
      <c r="C4886" s="23" t="s">
        <v>6151</v>
      </c>
      <c r="D4886" s="23" t="s">
        <v>6976</v>
      </c>
      <c r="E4886" s="18" t="s">
        <v>6977</v>
      </c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</row>
    <row r="4887">
      <c r="A4887" s="16"/>
      <c r="B4887" s="22"/>
      <c r="C4887" s="18"/>
      <c r="D4887" s="19"/>
      <c r="E4887" s="18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</row>
    <row r="4888">
      <c r="A4888" s="16"/>
      <c r="B4888" s="22"/>
      <c r="C4888" s="18"/>
      <c r="D4888" s="19"/>
      <c r="E4888" s="18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</row>
    <row r="4889">
      <c r="A4889" s="16" t="s">
        <v>6978</v>
      </c>
      <c r="B4889" s="22" t="s">
        <v>6697</v>
      </c>
      <c r="C4889" s="18" t="s">
        <v>6933</v>
      </c>
      <c r="D4889" s="19" t="s">
        <v>6979</v>
      </c>
      <c r="E4889" s="9" t="s">
        <v>6980</v>
      </c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  <c r="AB4889" s="9"/>
      <c r="AC4889" s="9"/>
      <c r="AD4889" s="9"/>
    </row>
    <row r="4890">
      <c r="A4890" s="16" t="s">
        <v>6978</v>
      </c>
      <c r="B4890" s="22" t="s">
        <v>6697</v>
      </c>
      <c r="C4890" s="18" t="s">
        <v>6981</v>
      </c>
      <c r="D4890" s="19" t="s">
        <v>6982</v>
      </c>
      <c r="E4890" s="9" t="s">
        <v>6980</v>
      </c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</row>
    <row r="4891">
      <c r="A4891" s="16" t="s">
        <v>6978</v>
      </c>
      <c r="B4891" s="22" t="s">
        <v>6697</v>
      </c>
      <c r="C4891" s="18" t="s">
        <v>6933</v>
      </c>
      <c r="D4891" s="19" t="s">
        <v>237</v>
      </c>
      <c r="E4891" s="9" t="s">
        <v>6980</v>
      </c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</row>
    <row r="4892">
      <c r="A4892" s="16" t="s">
        <v>6978</v>
      </c>
      <c r="B4892" s="22" t="s">
        <v>6697</v>
      </c>
      <c r="C4892" s="18" t="s">
        <v>6933</v>
      </c>
      <c r="D4892" s="19" t="s">
        <v>6983</v>
      </c>
      <c r="E4892" s="9" t="s">
        <v>6980</v>
      </c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</row>
    <row r="4893">
      <c r="A4893" s="16" t="s">
        <v>6978</v>
      </c>
      <c r="B4893" s="22" t="s">
        <v>6697</v>
      </c>
      <c r="C4893" s="18" t="s">
        <v>6933</v>
      </c>
      <c r="D4893" s="19" t="s">
        <v>6984</v>
      </c>
      <c r="E4893" s="9" t="s">
        <v>6980</v>
      </c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</row>
    <row r="4894">
      <c r="A4894" s="16" t="s">
        <v>6978</v>
      </c>
      <c r="B4894" s="22" t="s">
        <v>6121</v>
      </c>
      <c r="C4894" s="18" t="s">
        <v>1738</v>
      </c>
      <c r="D4894" s="19" t="s">
        <v>6985</v>
      </c>
      <c r="E4894" s="9" t="s">
        <v>6980</v>
      </c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</row>
    <row r="4895">
      <c r="A4895" s="16" t="s">
        <v>6978</v>
      </c>
      <c r="B4895" s="22" t="s">
        <v>6121</v>
      </c>
      <c r="C4895" s="18" t="s">
        <v>6986</v>
      </c>
      <c r="D4895" s="19" t="s">
        <v>6987</v>
      </c>
      <c r="E4895" s="9" t="s">
        <v>6980</v>
      </c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</row>
    <row r="4896">
      <c r="A4896" s="16" t="s">
        <v>6978</v>
      </c>
      <c r="B4896" s="22" t="s">
        <v>6121</v>
      </c>
      <c r="C4896" s="18" t="s">
        <v>6988</v>
      </c>
      <c r="D4896" s="19" t="s">
        <v>6989</v>
      </c>
      <c r="E4896" s="9" t="s">
        <v>6980</v>
      </c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9"/>
      <c r="AD4896" s="9"/>
    </row>
    <row r="4897">
      <c r="A4897" s="16" t="s">
        <v>6978</v>
      </c>
      <c r="B4897" s="22" t="s">
        <v>6121</v>
      </c>
      <c r="C4897" s="18" t="s">
        <v>6990</v>
      </c>
      <c r="D4897" s="19" t="s">
        <v>6991</v>
      </c>
      <c r="E4897" s="9" t="s">
        <v>6980</v>
      </c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  <c r="AA4897" s="9"/>
      <c r="AB4897" s="9"/>
      <c r="AC4897" s="9"/>
      <c r="AD4897" s="9"/>
    </row>
    <row r="4898">
      <c r="A4898" s="16" t="s">
        <v>6978</v>
      </c>
      <c r="B4898" s="22" t="s">
        <v>6121</v>
      </c>
      <c r="C4898" s="18" t="s">
        <v>6988</v>
      </c>
      <c r="D4898" s="19" t="s">
        <v>6992</v>
      </c>
      <c r="E4898" s="9" t="s">
        <v>6980</v>
      </c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</row>
    <row r="4899">
      <c r="A4899" s="16" t="s">
        <v>6978</v>
      </c>
      <c r="B4899" s="22" t="s">
        <v>6121</v>
      </c>
      <c r="C4899" s="18" t="s">
        <v>5896</v>
      </c>
      <c r="D4899" s="19" t="s">
        <v>6993</v>
      </c>
      <c r="E4899" s="9" t="s">
        <v>6980</v>
      </c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</row>
    <row r="4900">
      <c r="A4900" s="16" t="s">
        <v>6978</v>
      </c>
      <c r="B4900" s="22" t="s">
        <v>6121</v>
      </c>
      <c r="C4900" s="18" t="s">
        <v>6204</v>
      </c>
      <c r="D4900" s="19" t="s">
        <v>4554</v>
      </c>
      <c r="E4900" s="9" t="s">
        <v>6980</v>
      </c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</row>
    <row r="4901">
      <c r="A4901" s="16" t="s">
        <v>6978</v>
      </c>
      <c r="B4901" s="22" t="s">
        <v>6121</v>
      </c>
      <c r="C4901" s="18" t="s">
        <v>5896</v>
      </c>
      <c r="D4901" s="19" t="s">
        <v>6994</v>
      </c>
      <c r="E4901" s="9" t="s">
        <v>6980</v>
      </c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</row>
    <row r="4902">
      <c r="A4902" s="16" t="s">
        <v>6978</v>
      </c>
      <c r="B4902" s="22" t="s">
        <v>6121</v>
      </c>
      <c r="C4902" s="18" t="s">
        <v>5896</v>
      </c>
      <c r="D4902" s="19" t="s">
        <v>6995</v>
      </c>
      <c r="E4902" s="9" t="s">
        <v>6980</v>
      </c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</row>
    <row r="4903">
      <c r="A4903" s="16" t="s">
        <v>6978</v>
      </c>
      <c r="B4903" s="22" t="s">
        <v>6121</v>
      </c>
      <c r="C4903" s="18" t="s">
        <v>5896</v>
      </c>
      <c r="D4903" s="19" t="s">
        <v>6996</v>
      </c>
      <c r="E4903" s="9" t="s">
        <v>6980</v>
      </c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</row>
    <row r="4904">
      <c r="A4904" s="16" t="s">
        <v>6978</v>
      </c>
      <c r="B4904" s="22" t="s">
        <v>6121</v>
      </c>
      <c r="C4904" s="18" t="s">
        <v>5896</v>
      </c>
      <c r="D4904" s="19" t="s">
        <v>6997</v>
      </c>
      <c r="E4904" s="9" t="s">
        <v>6980</v>
      </c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</row>
    <row r="4905">
      <c r="A4905" s="16" t="s">
        <v>6978</v>
      </c>
      <c r="B4905" s="22" t="s">
        <v>6121</v>
      </c>
      <c r="C4905" s="18" t="s">
        <v>5896</v>
      </c>
      <c r="D4905" s="19" t="s">
        <v>6998</v>
      </c>
      <c r="E4905" s="9" t="s">
        <v>6980</v>
      </c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9"/>
      <c r="AD4905" s="9"/>
    </row>
    <row r="4906">
      <c r="A4906" s="16" t="s">
        <v>6978</v>
      </c>
      <c r="B4906" s="22" t="s">
        <v>6121</v>
      </c>
      <c r="C4906" s="18" t="s">
        <v>5896</v>
      </c>
      <c r="D4906" s="19" t="s">
        <v>6201</v>
      </c>
      <c r="E4906" s="9" t="s">
        <v>6980</v>
      </c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</row>
    <row r="4907">
      <c r="A4907" s="16" t="s">
        <v>6978</v>
      </c>
      <c r="B4907" s="22" t="s">
        <v>6255</v>
      </c>
      <c r="C4907" s="18" t="s">
        <v>6999</v>
      </c>
      <c r="D4907" s="19" t="s">
        <v>7000</v>
      </c>
      <c r="E4907" s="175" t="s">
        <v>7001</v>
      </c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</row>
    <row r="4908">
      <c r="A4908" s="16" t="s">
        <v>6978</v>
      </c>
      <c r="B4908" s="22" t="s">
        <v>6255</v>
      </c>
      <c r="C4908" s="18" t="s">
        <v>6228</v>
      </c>
      <c r="D4908" s="19" t="s">
        <v>7002</v>
      </c>
      <c r="E4908" s="175" t="s">
        <v>7001</v>
      </c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</row>
    <row r="4909">
      <c r="A4909" s="16" t="s">
        <v>6978</v>
      </c>
      <c r="B4909" s="22" t="s">
        <v>6255</v>
      </c>
      <c r="C4909" s="18" t="s">
        <v>6999</v>
      </c>
      <c r="D4909" s="19" t="s">
        <v>7003</v>
      </c>
      <c r="E4909" s="175" t="s">
        <v>7001</v>
      </c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</row>
    <row r="4910">
      <c r="A4910" s="16" t="s">
        <v>6978</v>
      </c>
      <c r="B4910" s="22" t="s">
        <v>6255</v>
      </c>
      <c r="C4910" s="18" t="s">
        <v>6228</v>
      </c>
      <c r="D4910" s="19" t="s">
        <v>4356</v>
      </c>
      <c r="E4910" s="175" t="s">
        <v>7001</v>
      </c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</row>
    <row r="4911">
      <c r="A4911" s="16" t="s">
        <v>6978</v>
      </c>
      <c r="B4911" s="22" t="s">
        <v>6255</v>
      </c>
      <c r="C4911" s="18" t="s">
        <v>6228</v>
      </c>
      <c r="D4911" s="19" t="s">
        <v>7004</v>
      </c>
      <c r="E4911" s="175" t="s">
        <v>7001</v>
      </c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9"/>
      <c r="AD4911" s="9"/>
    </row>
    <row r="4912">
      <c r="A4912" s="16" t="s">
        <v>6978</v>
      </c>
      <c r="B4912" s="22" t="s">
        <v>6255</v>
      </c>
      <c r="C4912" s="18" t="s">
        <v>6228</v>
      </c>
      <c r="D4912" s="19" t="s">
        <v>7005</v>
      </c>
      <c r="E4912" s="175" t="s">
        <v>7001</v>
      </c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  <c r="AB4912" s="9"/>
      <c r="AC4912" s="9"/>
      <c r="AD4912" s="9"/>
    </row>
    <row r="4913">
      <c r="A4913" s="16" t="s">
        <v>6978</v>
      </c>
      <c r="B4913" s="22" t="s">
        <v>6255</v>
      </c>
      <c r="C4913" s="18" t="s">
        <v>6228</v>
      </c>
      <c r="D4913" s="19" t="s">
        <v>6229</v>
      </c>
      <c r="E4913" s="175" t="s">
        <v>7001</v>
      </c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</row>
    <row r="4914">
      <c r="A4914" s="16" t="s">
        <v>6978</v>
      </c>
      <c r="B4914" s="22" t="s">
        <v>6255</v>
      </c>
      <c r="C4914" s="18" t="s">
        <v>6228</v>
      </c>
      <c r="D4914" s="19" t="s">
        <v>7006</v>
      </c>
      <c r="E4914" s="175" t="s">
        <v>7001</v>
      </c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  <c r="AB4914" s="9"/>
      <c r="AC4914" s="9"/>
      <c r="AD4914" s="9"/>
    </row>
    <row r="4915">
      <c r="A4915" s="16" t="s">
        <v>6978</v>
      </c>
      <c r="B4915" s="22" t="s">
        <v>6255</v>
      </c>
      <c r="C4915" s="18" t="s">
        <v>6228</v>
      </c>
      <c r="D4915" s="19" t="s">
        <v>7007</v>
      </c>
      <c r="E4915" s="175" t="s">
        <v>7001</v>
      </c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  <c r="AA4915" s="9"/>
      <c r="AB4915" s="9"/>
      <c r="AC4915" s="9"/>
      <c r="AD4915" s="9"/>
    </row>
    <row r="4916">
      <c r="A4916" s="16" t="s">
        <v>6978</v>
      </c>
      <c r="B4916" s="22" t="s">
        <v>6255</v>
      </c>
      <c r="C4916" s="18" t="s">
        <v>6228</v>
      </c>
      <c r="D4916" s="19" t="s">
        <v>7008</v>
      </c>
      <c r="E4916" s="175" t="s">
        <v>7001</v>
      </c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</row>
    <row r="4917">
      <c r="A4917" s="16" t="s">
        <v>6978</v>
      </c>
      <c r="B4917" s="22" t="s">
        <v>6004</v>
      </c>
      <c r="C4917" s="18" t="s">
        <v>6961</v>
      </c>
      <c r="D4917" s="19" t="s">
        <v>7009</v>
      </c>
      <c r="E4917" s="20" t="s">
        <v>7</v>
      </c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</row>
    <row r="4918">
      <c r="A4918" s="16" t="s">
        <v>6978</v>
      </c>
      <c r="B4918" s="22" t="s">
        <v>6004</v>
      </c>
      <c r="C4918" s="18" t="s">
        <v>7010</v>
      </c>
      <c r="D4918" s="19" t="s">
        <v>7009</v>
      </c>
      <c r="E4918" s="20" t="s">
        <v>7</v>
      </c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</row>
    <row r="4919">
      <c r="A4919" s="16" t="s">
        <v>6978</v>
      </c>
      <c r="B4919" s="22" t="s">
        <v>6004</v>
      </c>
      <c r="C4919" s="18" t="s">
        <v>6961</v>
      </c>
      <c r="D4919" s="19" t="s">
        <v>7011</v>
      </c>
      <c r="E4919" s="20" t="s">
        <v>7</v>
      </c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</row>
    <row r="4920">
      <c r="A4920" s="16" t="s">
        <v>6978</v>
      </c>
      <c r="B4920" s="22" t="s">
        <v>6004</v>
      </c>
      <c r="C4920" s="18" t="s">
        <v>7012</v>
      </c>
      <c r="D4920" s="19" t="s">
        <v>7011</v>
      </c>
      <c r="E4920" s="20" t="s">
        <v>7</v>
      </c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</row>
    <row r="4921">
      <c r="A4921" s="16" t="s">
        <v>6978</v>
      </c>
      <c r="B4921" s="22" t="s">
        <v>6826</v>
      </c>
      <c r="C4921" s="23" t="s">
        <v>7013</v>
      </c>
      <c r="D4921" s="23" t="s">
        <v>7014</v>
      </c>
      <c r="E4921" s="175" t="s">
        <v>7001</v>
      </c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</row>
    <row r="4922">
      <c r="A4922" s="16" t="s">
        <v>6978</v>
      </c>
      <c r="B4922" s="22" t="s">
        <v>6826</v>
      </c>
      <c r="C4922" s="23" t="s">
        <v>5250</v>
      </c>
      <c r="D4922" s="23" t="s">
        <v>7015</v>
      </c>
      <c r="E4922" s="175" t="s">
        <v>7001</v>
      </c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</row>
    <row r="4923">
      <c r="A4923" s="16" t="s">
        <v>6978</v>
      </c>
      <c r="B4923" s="22" t="s">
        <v>6072</v>
      </c>
      <c r="C4923" s="18" t="s">
        <v>7016</v>
      </c>
      <c r="D4923" s="19" t="s">
        <v>5706</v>
      </c>
      <c r="E4923" s="175" t="s">
        <v>7017</v>
      </c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</row>
    <row r="4924">
      <c r="A4924" s="16" t="s">
        <v>6978</v>
      </c>
      <c r="B4924" s="22" t="s">
        <v>6529</v>
      </c>
      <c r="C4924" s="18" t="s">
        <v>6259</v>
      </c>
      <c r="D4924" s="19" t="s">
        <v>7018</v>
      </c>
      <c r="E4924" s="9" t="s">
        <v>6980</v>
      </c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  <c r="AB4924" s="9"/>
      <c r="AC4924" s="9"/>
      <c r="AD4924" s="9"/>
    </row>
    <row r="4925">
      <c r="A4925" s="16" t="s">
        <v>6978</v>
      </c>
      <c r="B4925" s="22" t="s">
        <v>6529</v>
      </c>
      <c r="C4925" s="18" t="s">
        <v>6259</v>
      </c>
      <c r="D4925" s="19" t="s">
        <v>7019</v>
      </c>
      <c r="E4925" s="9" t="s">
        <v>6980</v>
      </c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</row>
    <row r="4926">
      <c r="A4926" s="16" t="s">
        <v>6978</v>
      </c>
      <c r="B4926" s="22" t="s">
        <v>6529</v>
      </c>
      <c r="C4926" s="18" t="s">
        <v>6259</v>
      </c>
      <c r="D4926" s="19" t="s">
        <v>7020</v>
      </c>
      <c r="E4926" s="9" t="s">
        <v>6980</v>
      </c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9"/>
      <c r="AD4926" s="9"/>
    </row>
    <row r="4927">
      <c r="A4927" s="16" t="s">
        <v>6978</v>
      </c>
      <c r="B4927" s="22" t="s">
        <v>6529</v>
      </c>
      <c r="C4927" s="18" t="s">
        <v>6259</v>
      </c>
      <c r="D4927" s="19" t="s">
        <v>4698</v>
      </c>
      <c r="E4927" s="9" t="s">
        <v>6980</v>
      </c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</row>
    <row r="4928">
      <c r="A4928" s="16" t="s">
        <v>6978</v>
      </c>
      <c r="B4928" s="22" t="s">
        <v>6529</v>
      </c>
      <c r="C4928" s="18" t="s">
        <v>6259</v>
      </c>
      <c r="D4928" s="19" t="s">
        <v>495</v>
      </c>
      <c r="E4928" s="9" t="s">
        <v>6980</v>
      </c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9"/>
      <c r="AD4928" s="9"/>
    </row>
    <row r="4929">
      <c r="A4929" s="16" t="s">
        <v>6978</v>
      </c>
      <c r="B4929" s="22" t="s">
        <v>6529</v>
      </c>
      <c r="C4929" s="18" t="s">
        <v>6259</v>
      </c>
      <c r="D4929" s="19" t="s">
        <v>2400</v>
      </c>
      <c r="E4929" s="9" t="s">
        <v>6980</v>
      </c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</row>
    <row r="4930">
      <c r="A4930" s="16" t="s">
        <v>6978</v>
      </c>
      <c r="B4930" s="22" t="s">
        <v>6175</v>
      </c>
      <c r="C4930" s="18" t="s">
        <v>1470</v>
      </c>
      <c r="D4930" s="19" t="s">
        <v>7021</v>
      </c>
      <c r="E4930" s="18" t="s">
        <v>309</v>
      </c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</row>
    <row r="4931">
      <c r="A4931" s="16" t="s">
        <v>6978</v>
      </c>
      <c r="B4931" s="22" t="s">
        <v>6175</v>
      </c>
      <c r="C4931" s="18" t="s">
        <v>6151</v>
      </c>
      <c r="D4931" s="19" t="s">
        <v>922</v>
      </c>
      <c r="E4931" s="20" t="s">
        <v>7</v>
      </c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</row>
    <row r="4932">
      <c r="A4932" s="16" t="s">
        <v>6978</v>
      </c>
      <c r="B4932" s="22" t="s">
        <v>6175</v>
      </c>
      <c r="C4932" s="18" t="s">
        <v>6151</v>
      </c>
      <c r="D4932" s="19" t="s">
        <v>6976</v>
      </c>
      <c r="E4932" s="20" t="s">
        <v>7</v>
      </c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9"/>
      <c r="AD4932" s="9"/>
    </row>
    <row r="4933">
      <c r="A4933" s="16" t="s">
        <v>6978</v>
      </c>
      <c r="B4933" s="22" t="s">
        <v>6680</v>
      </c>
      <c r="C4933" s="18" t="s">
        <v>347</v>
      </c>
      <c r="D4933" s="18" t="s">
        <v>7022</v>
      </c>
      <c r="E4933" s="9" t="s">
        <v>7023</v>
      </c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  <c r="AA4933" s="9"/>
      <c r="AB4933" s="9"/>
      <c r="AC4933" s="9"/>
      <c r="AD4933" s="9"/>
    </row>
    <row r="4934">
      <c r="A4934" s="16" t="s">
        <v>6978</v>
      </c>
      <c r="B4934" s="22" t="s">
        <v>6680</v>
      </c>
      <c r="C4934" s="18" t="s">
        <v>7024</v>
      </c>
      <c r="D4934" s="18" t="s">
        <v>7025</v>
      </c>
      <c r="E4934" s="18" t="s">
        <v>764</v>
      </c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</row>
    <row r="4935">
      <c r="A4935" s="16"/>
      <c r="B4935" s="22"/>
      <c r="C4935" s="18"/>
      <c r="D4935" s="19"/>
      <c r="E4935" s="18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  <c r="AB4935" s="9"/>
      <c r="AC4935" s="9"/>
      <c r="AD4935" s="9"/>
    </row>
    <row r="4936">
      <c r="A4936" s="16"/>
      <c r="B4936" s="22"/>
      <c r="C4936" s="18"/>
      <c r="D4936" s="19"/>
      <c r="E4936" s="18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</row>
    <row r="4937">
      <c r="A4937" s="16" t="s">
        <v>7026</v>
      </c>
      <c r="B4937" s="22" t="s">
        <v>5945</v>
      </c>
      <c r="C4937" s="18" t="s">
        <v>7027</v>
      </c>
      <c r="D4937" s="18" t="s">
        <v>7028</v>
      </c>
      <c r="E4937" s="20" t="s">
        <v>7</v>
      </c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  <c r="AB4937" s="9"/>
      <c r="AC4937" s="9"/>
      <c r="AD4937" s="9"/>
    </row>
    <row r="4938">
      <c r="A4938" s="16" t="s">
        <v>7026</v>
      </c>
      <c r="B4938" s="22" t="s">
        <v>5945</v>
      </c>
      <c r="C4938" s="18" t="s">
        <v>7029</v>
      </c>
      <c r="D4938" s="18" t="s">
        <v>7030</v>
      </c>
      <c r="E4938" s="20" t="s">
        <v>7</v>
      </c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9"/>
      <c r="AD4938" s="9"/>
    </row>
    <row r="4939">
      <c r="A4939" s="16" t="s">
        <v>7026</v>
      </c>
      <c r="B4939" s="22" t="s">
        <v>5945</v>
      </c>
      <c r="C4939" s="18" t="s">
        <v>7031</v>
      </c>
      <c r="D4939" s="18" t="s">
        <v>903</v>
      </c>
      <c r="E4939" s="23" t="s">
        <v>6980</v>
      </c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</row>
    <row r="4940">
      <c r="A4940" s="16" t="s">
        <v>7026</v>
      </c>
      <c r="B4940" s="22" t="s">
        <v>5945</v>
      </c>
      <c r="C4940" s="18" t="s">
        <v>7031</v>
      </c>
      <c r="D4940" s="18" t="s">
        <v>903</v>
      </c>
      <c r="E4940" s="23" t="s">
        <v>6980</v>
      </c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9"/>
      <c r="AD4940" s="9"/>
    </row>
    <row r="4941">
      <c r="A4941" s="16" t="s">
        <v>7026</v>
      </c>
      <c r="B4941" s="22" t="s">
        <v>5945</v>
      </c>
      <c r="C4941" s="18" t="s">
        <v>7032</v>
      </c>
      <c r="D4941" s="18" t="s">
        <v>7033</v>
      </c>
      <c r="E4941" s="18" t="s">
        <v>309</v>
      </c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</row>
    <row r="4942">
      <c r="A4942" s="16" t="s">
        <v>7026</v>
      </c>
      <c r="B4942" s="22" t="s">
        <v>5945</v>
      </c>
      <c r="C4942" s="18" t="s">
        <v>7034</v>
      </c>
      <c r="D4942" s="18" t="s">
        <v>7035</v>
      </c>
      <c r="E4942" s="23" t="s">
        <v>6980</v>
      </c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  <c r="AA4942" s="9"/>
      <c r="AB4942" s="9"/>
      <c r="AC4942" s="9"/>
      <c r="AD4942" s="9"/>
    </row>
    <row r="4943">
      <c r="A4943" s="16" t="s">
        <v>7026</v>
      </c>
      <c r="B4943" s="22" t="s">
        <v>5945</v>
      </c>
      <c r="C4943" s="18" t="s">
        <v>7036</v>
      </c>
      <c r="D4943" s="18" t="s">
        <v>7037</v>
      </c>
      <c r="E4943" s="23" t="s">
        <v>6980</v>
      </c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  <c r="AB4943" s="9"/>
      <c r="AC4943" s="9"/>
      <c r="AD4943" s="9"/>
    </row>
    <row r="4944">
      <c r="A4944" s="16" t="s">
        <v>7026</v>
      </c>
      <c r="B4944" s="22" t="s">
        <v>6805</v>
      </c>
      <c r="C4944" s="18" t="s">
        <v>7038</v>
      </c>
      <c r="D4944" s="19" t="s">
        <v>7039</v>
      </c>
      <c r="E4944" s="20" t="s">
        <v>7</v>
      </c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  <c r="AB4944" s="9"/>
      <c r="AC4944" s="9"/>
      <c r="AD4944" s="9"/>
    </row>
    <row r="4945">
      <c r="A4945" s="16" t="s">
        <v>7026</v>
      </c>
      <c r="B4945" s="22" t="s">
        <v>6805</v>
      </c>
      <c r="C4945" s="18" t="s">
        <v>7040</v>
      </c>
      <c r="D4945" s="19" t="s">
        <v>7039</v>
      </c>
      <c r="E4945" s="20" t="s">
        <v>7</v>
      </c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  <c r="AA4945" s="9"/>
      <c r="AB4945" s="9"/>
      <c r="AC4945" s="9"/>
      <c r="AD4945" s="9"/>
    </row>
    <row r="4946">
      <c r="A4946" s="16" t="s">
        <v>7026</v>
      </c>
      <c r="B4946" s="22" t="s">
        <v>6805</v>
      </c>
      <c r="C4946" s="18" t="s">
        <v>6065</v>
      </c>
      <c r="D4946" s="19" t="s">
        <v>7039</v>
      </c>
      <c r="E4946" s="20" t="s">
        <v>7</v>
      </c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</row>
    <row r="4947">
      <c r="A4947" s="16" t="s">
        <v>7026</v>
      </c>
      <c r="B4947" s="22" t="s">
        <v>6805</v>
      </c>
      <c r="C4947" s="18" t="s">
        <v>6817</v>
      </c>
      <c r="D4947" s="19" t="s">
        <v>7041</v>
      </c>
      <c r="E4947" s="175" t="s">
        <v>7001</v>
      </c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</row>
    <row r="4948">
      <c r="A4948" s="16" t="s">
        <v>7026</v>
      </c>
      <c r="B4948" s="22" t="s">
        <v>6805</v>
      </c>
      <c r="C4948" s="18" t="s">
        <v>6817</v>
      </c>
      <c r="D4948" s="19" t="s">
        <v>7042</v>
      </c>
      <c r="E4948" s="175" t="s">
        <v>7001</v>
      </c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9"/>
      <c r="AD4948" s="9"/>
    </row>
    <row r="4949">
      <c r="A4949" s="16" t="s">
        <v>7026</v>
      </c>
      <c r="B4949" s="22" t="s">
        <v>6805</v>
      </c>
      <c r="C4949" s="18" t="s">
        <v>6817</v>
      </c>
      <c r="D4949" s="19" t="s">
        <v>7043</v>
      </c>
      <c r="E4949" s="175" t="s">
        <v>7001</v>
      </c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</row>
    <row r="4950">
      <c r="A4950" s="16" t="s">
        <v>7026</v>
      </c>
      <c r="B4950" s="22" t="s">
        <v>6175</v>
      </c>
      <c r="C4950" s="136" t="s">
        <v>7044</v>
      </c>
      <c r="D4950" s="136" t="s">
        <v>7045</v>
      </c>
      <c r="E4950" s="20" t="s">
        <v>7</v>
      </c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  <c r="AB4950" s="9"/>
      <c r="AC4950" s="9"/>
      <c r="AD4950" s="9"/>
    </row>
    <row r="4951">
      <c r="A4951" s="16" t="s">
        <v>7026</v>
      </c>
      <c r="B4951" s="22" t="s">
        <v>6142</v>
      </c>
      <c r="C4951" s="18" t="s">
        <v>7046</v>
      </c>
      <c r="D4951" s="19" t="s">
        <v>7047</v>
      </c>
      <c r="E4951" s="175" t="s">
        <v>14</v>
      </c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  <c r="AB4951" s="9"/>
      <c r="AC4951" s="9"/>
      <c r="AD4951" s="9"/>
    </row>
    <row r="4952">
      <c r="A4952" s="16" t="s">
        <v>7026</v>
      </c>
      <c r="B4952" s="22" t="s">
        <v>6406</v>
      </c>
      <c r="C4952" s="18" t="s">
        <v>2311</v>
      </c>
      <c r="D4952" s="18" t="s">
        <v>7048</v>
      </c>
      <c r="E4952" s="175" t="s">
        <v>7001</v>
      </c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  <c r="AB4952" s="9"/>
      <c r="AC4952" s="9"/>
      <c r="AD4952" s="9"/>
    </row>
    <row r="4953">
      <c r="A4953" s="16" t="s">
        <v>7026</v>
      </c>
      <c r="B4953" s="22" t="s">
        <v>6867</v>
      </c>
      <c r="C4953" s="18" t="s">
        <v>2311</v>
      </c>
      <c r="D4953" s="19" t="s">
        <v>7049</v>
      </c>
      <c r="E4953" s="18" t="s">
        <v>14</v>
      </c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</row>
    <row r="4954">
      <c r="A4954" s="16"/>
      <c r="B4954" s="22"/>
      <c r="C4954" s="18"/>
      <c r="D4954" s="19"/>
      <c r="E4954" s="18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  <c r="Z4954" s="9"/>
      <c r="AA4954" s="9"/>
      <c r="AB4954" s="9"/>
      <c r="AC4954" s="9"/>
      <c r="AD4954" s="9"/>
    </row>
    <row r="4955">
      <c r="A4955" s="16"/>
      <c r="B4955" s="22"/>
      <c r="C4955" s="18"/>
      <c r="D4955" s="19"/>
      <c r="E4955" s="18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9"/>
      <c r="AD4955" s="9"/>
    </row>
    <row r="4956">
      <c r="A4956" s="16" t="s">
        <v>7050</v>
      </c>
      <c r="B4956" s="22" t="s">
        <v>7051</v>
      </c>
      <c r="C4956" s="18" t="s">
        <v>7044</v>
      </c>
      <c r="D4956" s="19" t="s">
        <v>7052</v>
      </c>
      <c r="E4956" s="23" t="s">
        <v>6980</v>
      </c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</row>
    <row r="4957">
      <c r="A4957" s="16" t="s">
        <v>7050</v>
      </c>
      <c r="B4957" s="22" t="s">
        <v>7051</v>
      </c>
      <c r="C4957" s="18" t="s">
        <v>7053</v>
      </c>
      <c r="D4957" s="19" t="s">
        <v>7054</v>
      </c>
      <c r="E4957" s="23" t="s">
        <v>6980</v>
      </c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</row>
    <row r="4958">
      <c r="A4958" s="16" t="s">
        <v>7050</v>
      </c>
      <c r="B4958" s="22" t="s">
        <v>7051</v>
      </c>
      <c r="C4958" s="18" t="s">
        <v>2258</v>
      </c>
      <c r="D4958" s="19" t="s">
        <v>7055</v>
      </c>
      <c r="E4958" s="23" t="s">
        <v>6980</v>
      </c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  <c r="AB4958" s="9"/>
      <c r="AC4958" s="9"/>
      <c r="AD4958" s="9"/>
    </row>
    <row r="4959">
      <c r="A4959" s="16" t="s">
        <v>7050</v>
      </c>
      <c r="B4959" s="22" t="s">
        <v>7051</v>
      </c>
      <c r="C4959" s="18" t="s">
        <v>4133</v>
      </c>
      <c r="D4959" s="19" t="s">
        <v>7052</v>
      </c>
      <c r="E4959" s="23" t="s">
        <v>6980</v>
      </c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9"/>
      <c r="AD4959" s="9"/>
    </row>
    <row r="4960">
      <c r="A4960" s="16" t="s">
        <v>7050</v>
      </c>
      <c r="B4960" s="22" t="s">
        <v>7051</v>
      </c>
      <c r="C4960" s="18" t="s">
        <v>4658</v>
      </c>
      <c r="D4960" s="19" t="s">
        <v>7052</v>
      </c>
      <c r="E4960" s="23" t="s">
        <v>6980</v>
      </c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9"/>
      <c r="AD4960" s="9"/>
    </row>
    <row r="4961">
      <c r="A4961" s="16" t="s">
        <v>7050</v>
      </c>
      <c r="B4961" s="22" t="s">
        <v>7056</v>
      </c>
      <c r="C4961" s="18" t="s">
        <v>7057</v>
      </c>
      <c r="D4961" s="19" t="s">
        <v>7058</v>
      </c>
      <c r="E4961" s="175" t="s">
        <v>7001</v>
      </c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</row>
    <row r="4962">
      <c r="A4962" s="16"/>
      <c r="B4962" s="22"/>
      <c r="C4962" s="18"/>
      <c r="D4962" s="19"/>
      <c r="E4962" s="18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  <c r="AA4962" s="9"/>
      <c r="AB4962" s="9"/>
      <c r="AC4962" s="9"/>
      <c r="AD4962" s="9"/>
    </row>
    <row r="4963">
      <c r="A4963" s="16"/>
      <c r="B4963" s="22"/>
      <c r="C4963" s="18"/>
      <c r="D4963" s="19"/>
      <c r="E4963" s="18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  <c r="AB4963" s="9"/>
      <c r="AC4963" s="9"/>
      <c r="AD4963" s="9"/>
    </row>
    <row r="4964">
      <c r="A4964" s="16" t="s">
        <v>7059</v>
      </c>
      <c r="B4964" s="22" t="s">
        <v>5902</v>
      </c>
      <c r="C4964" s="18" t="s">
        <v>6823</v>
      </c>
      <c r="D4964" s="19" t="s">
        <v>6466</v>
      </c>
      <c r="E4964" s="18" t="s">
        <v>309</v>
      </c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  <c r="Z4964" s="9"/>
      <c r="AA4964" s="9"/>
      <c r="AB4964" s="9"/>
      <c r="AC4964" s="9"/>
      <c r="AD4964" s="9"/>
    </row>
    <row r="4965">
      <c r="A4965" s="16" t="s">
        <v>7059</v>
      </c>
      <c r="B4965" s="22" t="s">
        <v>5902</v>
      </c>
      <c r="C4965" s="18" t="s">
        <v>6806</v>
      </c>
      <c r="D4965" s="19" t="s">
        <v>4744</v>
      </c>
      <c r="E4965" s="18" t="s">
        <v>309</v>
      </c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</row>
    <row r="4966">
      <c r="A4966" s="16" t="s">
        <v>7059</v>
      </c>
      <c r="B4966" s="22" t="s">
        <v>5902</v>
      </c>
      <c r="C4966" s="18" t="s">
        <v>541</v>
      </c>
      <c r="D4966" s="19" t="s">
        <v>6466</v>
      </c>
      <c r="E4966" s="18" t="s">
        <v>309</v>
      </c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</row>
    <row r="4967">
      <c r="A4967" s="16" t="s">
        <v>7059</v>
      </c>
      <c r="B4967" s="22" t="s">
        <v>5902</v>
      </c>
      <c r="C4967" s="18" t="s">
        <v>6266</v>
      </c>
      <c r="D4967" s="19" t="s">
        <v>6267</v>
      </c>
      <c r="E4967" s="18" t="s">
        <v>309</v>
      </c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9"/>
      <c r="AD4967" s="9"/>
    </row>
    <row r="4968">
      <c r="A4968" s="16" t="s">
        <v>7059</v>
      </c>
      <c r="B4968" s="22" t="s">
        <v>6142</v>
      </c>
      <c r="C4968" s="18" t="s">
        <v>3680</v>
      </c>
      <c r="D4968" s="19" t="s">
        <v>7060</v>
      </c>
      <c r="E4968" s="20" t="s">
        <v>7</v>
      </c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  <c r="AA4968" s="9"/>
      <c r="AB4968" s="9"/>
      <c r="AC4968" s="9"/>
      <c r="AD4968" s="9"/>
    </row>
    <row r="4969">
      <c r="A4969" s="16" t="s">
        <v>7059</v>
      </c>
      <c r="B4969" s="22" t="s">
        <v>6142</v>
      </c>
      <c r="C4969" s="18" t="s">
        <v>5825</v>
      </c>
      <c r="D4969" s="19" t="s">
        <v>7061</v>
      </c>
      <c r="E4969" s="9" t="s">
        <v>7062</v>
      </c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  <c r="AB4969" s="9"/>
      <c r="AC4969" s="9"/>
      <c r="AD4969" s="9"/>
    </row>
    <row r="4970">
      <c r="A4970" s="16" t="s">
        <v>7059</v>
      </c>
      <c r="B4970" s="22" t="s">
        <v>6142</v>
      </c>
      <c r="C4970" s="18" t="s">
        <v>5794</v>
      </c>
      <c r="D4970" s="19" t="s">
        <v>6474</v>
      </c>
      <c r="E4970" s="18" t="s">
        <v>309</v>
      </c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</row>
    <row r="4971">
      <c r="A4971" s="16" t="s">
        <v>7059</v>
      </c>
      <c r="B4971" s="22" t="s">
        <v>6142</v>
      </c>
      <c r="C4971" s="18" t="s">
        <v>7063</v>
      </c>
      <c r="D4971" s="19" t="s">
        <v>4116</v>
      </c>
      <c r="E4971" s="20" t="s">
        <v>7</v>
      </c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</row>
    <row r="4972">
      <c r="A4972" s="16" t="s">
        <v>7059</v>
      </c>
      <c r="B4972" s="22" t="s">
        <v>6142</v>
      </c>
      <c r="C4972" s="18" t="s">
        <v>6084</v>
      </c>
      <c r="D4972" s="19" t="s">
        <v>6085</v>
      </c>
      <c r="E4972" s="18" t="s">
        <v>309</v>
      </c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  <c r="AB4972" s="9"/>
      <c r="AC4972" s="9"/>
      <c r="AD4972" s="9"/>
    </row>
    <row r="4973">
      <c r="A4973" s="16" t="s">
        <v>7059</v>
      </c>
      <c r="B4973" s="22" t="s">
        <v>7064</v>
      </c>
      <c r="C4973" s="18" t="s">
        <v>7065</v>
      </c>
      <c r="D4973" s="19" t="s">
        <v>7066</v>
      </c>
      <c r="E4973" s="23" t="s">
        <v>7062</v>
      </c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</row>
    <row r="4974">
      <c r="A4974" s="16" t="s">
        <v>7059</v>
      </c>
      <c r="B4974" s="22" t="s">
        <v>6834</v>
      </c>
      <c r="C4974" s="18" t="s">
        <v>7067</v>
      </c>
      <c r="D4974" s="19" t="s">
        <v>7068</v>
      </c>
      <c r="E4974" s="23" t="s">
        <v>7069</v>
      </c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  <c r="AB4974" s="9"/>
      <c r="AC4974" s="9"/>
      <c r="AD4974" s="9"/>
    </row>
    <row r="4975">
      <c r="A4975" s="16" t="s">
        <v>7059</v>
      </c>
      <c r="B4975" s="22" t="s">
        <v>6834</v>
      </c>
      <c r="C4975" s="18" t="s">
        <v>7067</v>
      </c>
      <c r="D4975" s="19" t="s">
        <v>7068</v>
      </c>
      <c r="E4975" s="23" t="s">
        <v>7069</v>
      </c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</row>
    <row r="4976">
      <c r="A4976" s="16" t="s">
        <v>7059</v>
      </c>
      <c r="B4976" s="22" t="s">
        <v>6834</v>
      </c>
      <c r="C4976" s="18" t="s">
        <v>7070</v>
      </c>
      <c r="D4976" s="19" t="s">
        <v>7071</v>
      </c>
      <c r="E4976" s="23" t="s">
        <v>7072</v>
      </c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  <c r="AB4976" s="9"/>
      <c r="AC4976" s="9"/>
      <c r="AD4976" s="9"/>
    </row>
    <row r="4977">
      <c r="A4977" s="16" t="s">
        <v>7059</v>
      </c>
      <c r="B4977" s="22" t="s">
        <v>6834</v>
      </c>
      <c r="C4977" s="18" t="s">
        <v>6835</v>
      </c>
      <c r="D4977" s="19" t="s">
        <v>7073</v>
      </c>
      <c r="E4977" s="23" t="s">
        <v>7072</v>
      </c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</row>
    <row r="4978">
      <c r="A4978" s="16"/>
      <c r="B4978" s="22"/>
      <c r="C4978" s="18"/>
      <c r="D4978" s="19"/>
      <c r="E4978" s="18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</row>
    <row r="4979">
      <c r="A4979" s="16"/>
      <c r="B4979" s="22"/>
      <c r="C4979" s="18"/>
      <c r="D4979" s="19"/>
      <c r="E4979" s="18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</row>
    <row r="4980">
      <c r="A4980" s="16" t="s">
        <v>7074</v>
      </c>
      <c r="B4980" s="22" t="s">
        <v>7075</v>
      </c>
      <c r="C4980" s="18" t="s">
        <v>7076</v>
      </c>
      <c r="D4980" s="19" t="s">
        <v>7077</v>
      </c>
      <c r="E4980" s="23" t="s">
        <v>6980</v>
      </c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</row>
    <row r="4981">
      <c r="A4981" s="16" t="s">
        <v>7074</v>
      </c>
      <c r="B4981" s="22" t="s">
        <v>7075</v>
      </c>
      <c r="C4981" s="18" t="s">
        <v>7078</v>
      </c>
      <c r="D4981" s="19" t="s">
        <v>7079</v>
      </c>
      <c r="E4981" s="23" t="s">
        <v>6980</v>
      </c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</row>
    <row r="4982">
      <c r="A4982" s="16" t="s">
        <v>7074</v>
      </c>
      <c r="B4982" s="22" t="s">
        <v>7075</v>
      </c>
      <c r="C4982" s="18" t="s">
        <v>7080</v>
      </c>
      <c r="D4982" s="19" t="s">
        <v>7081</v>
      </c>
      <c r="E4982" s="23" t="s">
        <v>6980</v>
      </c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</row>
    <row r="4983">
      <c r="A4983" s="16" t="s">
        <v>7074</v>
      </c>
      <c r="B4983" s="22" t="s">
        <v>7075</v>
      </c>
      <c r="C4983" s="18" t="s">
        <v>7080</v>
      </c>
      <c r="D4983" s="19" t="s">
        <v>7082</v>
      </c>
      <c r="E4983" s="23" t="s">
        <v>6980</v>
      </c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</row>
    <row r="4984">
      <c r="A4984" s="16" t="s">
        <v>7074</v>
      </c>
      <c r="B4984" s="22" t="s">
        <v>7075</v>
      </c>
      <c r="C4984" s="18" t="s">
        <v>7083</v>
      </c>
      <c r="D4984" s="19" t="s">
        <v>7084</v>
      </c>
      <c r="E4984" s="23" t="s">
        <v>6980</v>
      </c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</row>
    <row r="4985">
      <c r="A4985" s="16" t="s">
        <v>7074</v>
      </c>
      <c r="B4985" s="22" t="s">
        <v>7075</v>
      </c>
      <c r="C4985" s="18" t="s">
        <v>7085</v>
      </c>
      <c r="D4985" s="19" t="s">
        <v>7086</v>
      </c>
      <c r="E4985" s="23" t="s">
        <v>6980</v>
      </c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</row>
    <row r="4986">
      <c r="A4986" s="16" t="s">
        <v>7074</v>
      </c>
      <c r="B4986" s="22" t="s">
        <v>7075</v>
      </c>
      <c r="C4986" s="18" t="s">
        <v>7087</v>
      </c>
      <c r="D4986" s="19" t="s">
        <v>7088</v>
      </c>
      <c r="E4986" s="23" t="s">
        <v>6980</v>
      </c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  <c r="AA4986" s="9"/>
      <c r="AB4986" s="9"/>
      <c r="AC4986" s="9"/>
      <c r="AD4986" s="9"/>
    </row>
    <row r="4987">
      <c r="A4987" s="16" t="s">
        <v>7074</v>
      </c>
      <c r="B4987" s="22" t="s">
        <v>7075</v>
      </c>
      <c r="C4987" s="18" t="s">
        <v>7080</v>
      </c>
      <c r="D4987" s="19" t="s">
        <v>7089</v>
      </c>
      <c r="E4987" s="23" t="s">
        <v>6980</v>
      </c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</row>
    <row r="4988">
      <c r="A4988" s="16" t="s">
        <v>7074</v>
      </c>
      <c r="B4988" s="22" t="s">
        <v>7075</v>
      </c>
      <c r="C4988" s="18" t="s">
        <v>7080</v>
      </c>
      <c r="D4988" s="19" t="s">
        <v>7090</v>
      </c>
      <c r="E4988" s="23" t="s">
        <v>6980</v>
      </c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</row>
    <row r="4989">
      <c r="A4989" s="16" t="s">
        <v>7074</v>
      </c>
      <c r="B4989" s="22" t="s">
        <v>7075</v>
      </c>
      <c r="C4989" s="18" t="s">
        <v>7080</v>
      </c>
      <c r="D4989" s="19" t="s">
        <v>2400</v>
      </c>
      <c r="E4989" s="23" t="s">
        <v>6980</v>
      </c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</row>
    <row r="4990">
      <c r="A4990" s="16" t="s">
        <v>7074</v>
      </c>
      <c r="B4990" s="22" t="s">
        <v>7075</v>
      </c>
      <c r="C4990" s="23" t="s">
        <v>7091</v>
      </c>
      <c r="D4990" s="23" t="s">
        <v>7092</v>
      </c>
      <c r="E4990" s="23" t="s">
        <v>6980</v>
      </c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</row>
    <row r="4991">
      <c r="A4991" s="16" t="s">
        <v>7074</v>
      </c>
      <c r="B4991" s="22" t="s">
        <v>7093</v>
      </c>
      <c r="C4991" s="18" t="s">
        <v>6949</v>
      </c>
      <c r="D4991" s="19" t="s">
        <v>7094</v>
      </c>
      <c r="E4991" s="23" t="s">
        <v>7095</v>
      </c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  <c r="AB4991" s="9"/>
      <c r="AC4991" s="9"/>
      <c r="AD4991" s="9"/>
    </row>
    <row r="4992">
      <c r="A4992" s="16" t="s">
        <v>7074</v>
      </c>
      <c r="B4992" s="22" t="s">
        <v>7093</v>
      </c>
      <c r="C4992" s="18" t="s">
        <v>7096</v>
      </c>
      <c r="D4992" s="19" t="s">
        <v>7094</v>
      </c>
      <c r="E4992" s="23" t="s">
        <v>7095</v>
      </c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  <c r="AB4992" s="9"/>
      <c r="AC4992" s="9"/>
      <c r="AD4992" s="9"/>
    </row>
    <row r="4993">
      <c r="A4993" s="16" t="s">
        <v>7074</v>
      </c>
      <c r="B4993" s="22" t="s">
        <v>7093</v>
      </c>
      <c r="C4993" s="18" t="s">
        <v>4136</v>
      </c>
      <c r="D4993" s="19" t="s">
        <v>7094</v>
      </c>
      <c r="E4993" s="23" t="s">
        <v>7095</v>
      </c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</row>
    <row r="4994">
      <c r="A4994" s="16" t="s">
        <v>7074</v>
      </c>
      <c r="B4994" s="22" t="s">
        <v>7064</v>
      </c>
      <c r="C4994" s="18" t="s">
        <v>7065</v>
      </c>
      <c r="D4994" s="19" t="s">
        <v>7097</v>
      </c>
      <c r="E4994" s="20" t="s">
        <v>7</v>
      </c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</row>
    <row r="4995">
      <c r="A4995" s="16" t="s">
        <v>7074</v>
      </c>
      <c r="B4995" s="22" t="s">
        <v>7064</v>
      </c>
      <c r="C4995" s="18" t="s">
        <v>7098</v>
      </c>
      <c r="D4995" s="19" t="s">
        <v>7099</v>
      </c>
      <c r="E4995" s="20" t="s">
        <v>7</v>
      </c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</row>
    <row r="4996">
      <c r="A4996" s="16" t="s">
        <v>7074</v>
      </c>
      <c r="B4996" s="22" t="s">
        <v>7064</v>
      </c>
      <c r="C4996" s="18" t="s">
        <v>7100</v>
      </c>
      <c r="D4996" s="19" t="s">
        <v>7101</v>
      </c>
      <c r="E4996" s="20" t="s">
        <v>7</v>
      </c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9"/>
      <c r="AC4996" s="9"/>
      <c r="AD4996" s="9"/>
    </row>
    <row r="4997">
      <c r="A4997" s="16" t="s">
        <v>7074</v>
      </c>
      <c r="B4997" s="22" t="s">
        <v>7064</v>
      </c>
      <c r="C4997" s="18" t="s">
        <v>7102</v>
      </c>
      <c r="D4997" s="19" t="s">
        <v>7103</v>
      </c>
      <c r="E4997" s="20" t="s">
        <v>7</v>
      </c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</row>
    <row r="4998">
      <c r="A4998" s="16" t="s">
        <v>7074</v>
      </c>
      <c r="B4998" s="22" t="s">
        <v>7064</v>
      </c>
      <c r="C4998" s="18" t="s">
        <v>7104</v>
      </c>
      <c r="D4998" s="19" t="s">
        <v>7105</v>
      </c>
      <c r="E4998" s="20" t="s">
        <v>7</v>
      </c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9"/>
      <c r="AD4998" s="9"/>
    </row>
    <row r="4999">
      <c r="A4999" s="16" t="s">
        <v>7074</v>
      </c>
      <c r="B4999" s="22" t="s">
        <v>7106</v>
      </c>
      <c r="C4999" s="18" t="s">
        <v>7107</v>
      </c>
      <c r="D4999" s="19" t="s">
        <v>2813</v>
      </c>
      <c r="E4999" s="175" t="s">
        <v>7001</v>
      </c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</row>
    <row r="5000">
      <c r="A5000" s="16" t="s">
        <v>7074</v>
      </c>
      <c r="B5000" s="22" t="s">
        <v>7106</v>
      </c>
      <c r="C5000" s="18" t="s">
        <v>7107</v>
      </c>
      <c r="D5000" s="19" t="s">
        <v>7108</v>
      </c>
      <c r="E5000" s="175" t="s">
        <v>7001</v>
      </c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9"/>
      <c r="AD5000" s="9"/>
    </row>
    <row r="5001">
      <c r="A5001" s="16" t="s">
        <v>7074</v>
      </c>
      <c r="B5001" s="22" t="s">
        <v>7109</v>
      </c>
      <c r="C5001" s="18" t="s">
        <v>7110</v>
      </c>
      <c r="D5001" s="19" t="s">
        <v>7111</v>
      </c>
      <c r="E5001" s="9" t="s">
        <v>14</v>
      </c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</row>
    <row r="5002">
      <c r="A5002" s="16" t="s">
        <v>7074</v>
      </c>
      <c r="B5002" s="22" t="s">
        <v>7112</v>
      </c>
      <c r="C5002" s="18" t="s">
        <v>7113</v>
      </c>
      <c r="D5002" s="19" t="s">
        <v>7114</v>
      </c>
      <c r="E5002" s="9" t="s">
        <v>309</v>
      </c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</row>
    <row r="5003">
      <c r="A5003" s="16" t="s">
        <v>7074</v>
      </c>
      <c r="B5003" s="22" t="s">
        <v>7112</v>
      </c>
      <c r="C5003" s="18" t="s">
        <v>7115</v>
      </c>
      <c r="D5003" s="19" t="s">
        <v>2400</v>
      </c>
      <c r="E5003" s="175" t="s">
        <v>7001</v>
      </c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</row>
    <row r="5004">
      <c r="A5004" s="16" t="s">
        <v>7074</v>
      </c>
      <c r="B5004" s="22" t="s">
        <v>7112</v>
      </c>
      <c r="C5004" s="18" t="s">
        <v>2346</v>
      </c>
      <c r="D5004" s="19" t="s">
        <v>7116</v>
      </c>
      <c r="E5004" s="175" t="s">
        <v>7001</v>
      </c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  <c r="AA5004" s="9"/>
      <c r="AB5004" s="9"/>
      <c r="AC5004" s="9"/>
      <c r="AD5004" s="9"/>
    </row>
    <row r="5005">
      <c r="A5005" s="16"/>
      <c r="B5005" s="22"/>
      <c r="C5005" s="18"/>
      <c r="D5005" s="19"/>
      <c r="E5005" s="18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  <c r="AA5005" s="9"/>
      <c r="AB5005" s="9"/>
      <c r="AC5005" s="9"/>
      <c r="AD5005" s="9"/>
    </row>
    <row r="5006">
      <c r="A5006" s="16"/>
      <c r="B5006" s="22"/>
      <c r="C5006" s="18"/>
      <c r="D5006" s="19"/>
      <c r="E5006" s="18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  <c r="AB5006" s="9"/>
      <c r="AC5006" s="9"/>
      <c r="AD5006" s="9"/>
    </row>
    <row r="5007">
      <c r="A5007" s="16" t="s">
        <v>7117</v>
      </c>
      <c r="B5007" s="22" t="s">
        <v>6938</v>
      </c>
      <c r="C5007" s="18" t="s">
        <v>7118</v>
      </c>
      <c r="D5007" s="18" t="s">
        <v>7119</v>
      </c>
      <c r="E5007" s="23" t="s">
        <v>6980</v>
      </c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</row>
    <row r="5008">
      <c r="A5008" s="16" t="s">
        <v>7117</v>
      </c>
      <c r="B5008" s="22" t="s">
        <v>6938</v>
      </c>
      <c r="C5008" s="18" t="s">
        <v>7120</v>
      </c>
      <c r="D5008" s="18" t="s">
        <v>7119</v>
      </c>
      <c r="E5008" s="23" t="s">
        <v>6980</v>
      </c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9"/>
      <c r="AD5008" s="9"/>
    </row>
    <row r="5009">
      <c r="A5009" s="16" t="s">
        <v>7117</v>
      </c>
      <c r="B5009" s="22" t="s">
        <v>6938</v>
      </c>
      <c r="C5009" s="18" t="s">
        <v>7121</v>
      </c>
      <c r="D5009" s="18" t="s">
        <v>7122</v>
      </c>
      <c r="E5009" s="23" t="s">
        <v>6980</v>
      </c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  <c r="AB5009" s="9"/>
      <c r="AC5009" s="9"/>
      <c r="AD5009" s="9"/>
    </row>
    <row r="5010">
      <c r="A5010" s="16" t="s">
        <v>7117</v>
      </c>
      <c r="B5010" s="22" t="s">
        <v>6938</v>
      </c>
      <c r="C5010" s="18" t="s">
        <v>7123</v>
      </c>
      <c r="D5010" s="18" t="s">
        <v>7122</v>
      </c>
      <c r="E5010" s="23" t="s">
        <v>6980</v>
      </c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  <c r="AA5010" s="9"/>
      <c r="AB5010" s="9"/>
      <c r="AC5010" s="9"/>
      <c r="AD5010" s="9"/>
    </row>
    <row r="5011">
      <c r="A5011" s="16" t="s">
        <v>7117</v>
      </c>
      <c r="B5011" s="22" t="s">
        <v>7124</v>
      </c>
      <c r="C5011" s="18" t="s">
        <v>7125</v>
      </c>
      <c r="D5011" s="18" t="s">
        <v>7126</v>
      </c>
      <c r="E5011" s="18" t="s">
        <v>2625</v>
      </c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  <c r="AB5011" s="9"/>
      <c r="AC5011" s="9"/>
      <c r="AD5011" s="9"/>
    </row>
    <row r="5012">
      <c r="A5012" s="16" t="s">
        <v>7117</v>
      </c>
      <c r="B5012" s="22" t="s">
        <v>6647</v>
      </c>
      <c r="C5012" s="18" t="s">
        <v>6567</v>
      </c>
      <c r="D5012" s="18" t="s">
        <v>6754</v>
      </c>
      <c r="E5012" s="20" t="s">
        <v>7</v>
      </c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  <c r="AB5012" s="9"/>
      <c r="AC5012" s="9"/>
      <c r="AD5012" s="9"/>
    </row>
    <row r="5013">
      <c r="A5013" s="16" t="s">
        <v>7117</v>
      </c>
      <c r="B5013" s="22" t="s">
        <v>7127</v>
      </c>
      <c r="C5013" s="18" t="s">
        <v>7128</v>
      </c>
      <c r="D5013" s="19" t="s">
        <v>7129</v>
      </c>
      <c r="E5013" s="20" t="s">
        <v>7</v>
      </c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</row>
    <row r="5014">
      <c r="A5014" s="16" t="s">
        <v>7117</v>
      </c>
      <c r="B5014" s="22" t="s">
        <v>7127</v>
      </c>
      <c r="C5014" s="18" t="s">
        <v>7130</v>
      </c>
      <c r="D5014" s="19" t="s">
        <v>7129</v>
      </c>
      <c r="E5014" s="20" t="s">
        <v>7</v>
      </c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9"/>
      <c r="AD5014" s="9"/>
    </row>
    <row r="5015">
      <c r="A5015" s="16" t="s">
        <v>7117</v>
      </c>
      <c r="B5015" s="22" t="s">
        <v>7131</v>
      </c>
      <c r="C5015" s="18" t="s">
        <v>4801</v>
      </c>
      <c r="D5015" s="19" t="s">
        <v>7132</v>
      </c>
      <c r="E5015" s="23" t="s">
        <v>14</v>
      </c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</row>
    <row r="5016">
      <c r="A5016" s="16" t="s">
        <v>7117</v>
      </c>
      <c r="B5016" s="22" t="s">
        <v>7131</v>
      </c>
      <c r="C5016" s="18" t="s">
        <v>7065</v>
      </c>
      <c r="D5016" s="19" t="s">
        <v>7133</v>
      </c>
      <c r="E5016" s="23" t="s">
        <v>14</v>
      </c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9"/>
      <c r="AD5016" s="9"/>
    </row>
    <row r="5017">
      <c r="A5017" s="16"/>
      <c r="B5017" s="22"/>
      <c r="C5017" s="18"/>
      <c r="D5017" s="19"/>
      <c r="E5017" s="18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</row>
    <row r="5018">
      <c r="A5018" s="16"/>
      <c r="B5018" s="22"/>
      <c r="C5018" s="18"/>
      <c r="D5018" s="19"/>
      <c r="E5018" s="18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9"/>
      <c r="AD5018" s="9"/>
    </row>
    <row r="5019">
      <c r="A5019" s="16" t="s">
        <v>7134</v>
      </c>
      <c r="B5019" s="22" t="s">
        <v>7135</v>
      </c>
      <c r="C5019" s="18" t="s">
        <v>7136</v>
      </c>
      <c r="D5019" s="18" t="s">
        <v>7137</v>
      </c>
      <c r="E5019" s="175" t="s">
        <v>7001</v>
      </c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</row>
    <row r="5020">
      <c r="A5020" s="16" t="s">
        <v>7134</v>
      </c>
      <c r="B5020" s="22" t="s">
        <v>7138</v>
      </c>
      <c r="C5020" s="18" t="s">
        <v>7139</v>
      </c>
      <c r="D5020" s="18" t="s">
        <v>7140</v>
      </c>
      <c r="E5020" s="9" t="s">
        <v>7141</v>
      </c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9"/>
      <c r="AD5020" s="9"/>
    </row>
    <row r="5021">
      <c r="A5021" s="16" t="s">
        <v>7134</v>
      </c>
      <c r="B5021" s="22" t="s">
        <v>7138</v>
      </c>
      <c r="C5021" s="18" t="s">
        <v>7139</v>
      </c>
      <c r="D5021" s="18" t="s">
        <v>7140</v>
      </c>
      <c r="E5021" s="9" t="s">
        <v>7141</v>
      </c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</row>
    <row r="5022">
      <c r="A5022" s="16" t="s">
        <v>7134</v>
      </c>
      <c r="B5022" s="22" t="s">
        <v>7138</v>
      </c>
      <c r="C5022" s="18" t="s">
        <v>7139</v>
      </c>
      <c r="D5022" s="18" t="s">
        <v>7140</v>
      </c>
      <c r="E5022" s="9" t="s">
        <v>7141</v>
      </c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</row>
    <row r="5023">
      <c r="A5023" s="16" t="s">
        <v>7134</v>
      </c>
      <c r="B5023" s="22" t="s">
        <v>7138</v>
      </c>
      <c r="C5023" s="18" t="s">
        <v>7139</v>
      </c>
      <c r="D5023" s="18" t="s">
        <v>7140</v>
      </c>
      <c r="E5023" s="9" t="s">
        <v>7141</v>
      </c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</row>
    <row r="5024">
      <c r="A5024" s="16" t="s">
        <v>7134</v>
      </c>
      <c r="B5024" s="22" t="s">
        <v>7142</v>
      </c>
      <c r="C5024" s="18" t="s">
        <v>7139</v>
      </c>
      <c r="D5024" s="23" t="s">
        <v>7143</v>
      </c>
      <c r="E5024" s="20" t="s">
        <v>7</v>
      </c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</row>
    <row r="5025">
      <c r="A5025" s="16" t="s">
        <v>7134</v>
      </c>
      <c r="B5025" s="22" t="s">
        <v>7142</v>
      </c>
      <c r="C5025" s="18" t="s">
        <v>7144</v>
      </c>
      <c r="D5025" s="23" t="s">
        <v>7140</v>
      </c>
      <c r="E5025" s="20" t="s">
        <v>7</v>
      </c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</row>
    <row r="5026">
      <c r="A5026" s="16" t="s">
        <v>7134</v>
      </c>
      <c r="B5026" s="22" t="s">
        <v>7142</v>
      </c>
      <c r="C5026" s="18" t="s">
        <v>7144</v>
      </c>
      <c r="D5026" s="23" t="s">
        <v>7140</v>
      </c>
      <c r="E5026" s="20" t="s">
        <v>7</v>
      </c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</row>
    <row r="5027">
      <c r="A5027" s="16" t="s">
        <v>7134</v>
      </c>
      <c r="B5027" s="22" t="s">
        <v>7145</v>
      </c>
      <c r="C5027" s="23" t="s">
        <v>7146</v>
      </c>
      <c r="D5027" s="136" t="s">
        <v>7147</v>
      </c>
      <c r="E5027" s="9" t="s">
        <v>7148</v>
      </c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</row>
    <row r="5028">
      <c r="A5028" s="16" t="s">
        <v>7134</v>
      </c>
      <c r="B5028" s="22" t="s">
        <v>7145</v>
      </c>
      <c r="C5028" s="23" t="s">
        <v>7149</v>
      </c>
      <c r="D5028" s="136" t="s">
        <v>7150</v>
      </c>
      <c r="E5028" s="9" t="s">
        <v>7148</v>
      </c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</row>
    <row r="5029">
      <c r="A5029" s="16" t="s">
        <v>7134</v>
      </c>
      <c r="B5029" s="22" t="s">
        <v>7151</v>
      </c>
      <c r="C5029" s="23" t="s">
        <v>7152</v>
      </c>
      <c r="D5029" s="136" t="s">
        <v>5433</v>
      </c>
      <c r="E5029" s="176" t="s">
        <v>7001</v>
      </c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</row>
    <row r="5030">
      <c r="A5030" s="16" t="s">
        <v>7134</v>
      </c>
      <c r="B5030" s="22" t="s">
        <v>7151</v>
      </c>
      <c r="C5030" s="23" t="s">
        <v>7153</v>
      </c>
      <c r="D5030" s="136" t="s">
        <v>4696</v>
      </c>
      <c r="E5030" s="176" t="s">
        <v>7001</v>
      </c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</row>
    <row r="5031">
      <c r="A5031" s="16" t="s">
        <v>7134</v>
      </c>
      <c r="B5031" s="22" t="s">
        <v>7151</v>
      </c>
      <c r="C5031" s="23" t="s">
        <v>7152</v>
      </c>
      <c r="D5031" s="136" t="s">
        <v>5433</v>
      </c>
      <c r="E5031" s="176" t="s">
        <v>7001</v>
      </c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</row>
    <row r="5032">
      <c r="A5032" s="16" t="s">
        <v>7134</v>
      </c>
      <c r="B5032" s="22" t="s">
        <v>7151</v>
      </c>
      <c r="C5032" s="23" t="s">
        <v>7154</v>
      </c>
      <c r="D5032" s="136" t="s">
        <v>7155</v>
      </c>
      <c r="E5032" s="176" t="s">
        <v>7001</v>
      </c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</row>
    <row r="5033">
      <c r="A5033" s="16" t="s">
        <v>7134</v>
      </c>
      <c r="B5033" s="22" t="s">
        <v>7156</v>
      </c>
      <c r="C5033" s="18" t="s">
        <v>7157</v>
      </c>
      <c r="D5033" s="19" t="s">
        <v>7158</v>
      </c>
      <c r="E5033" s="23" t="s">
        <v>6980</v>
      </c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</row>
    <row r="5034">
      <c r="A5034" s="16" t="s">
        <v>7134</v>
      </c>
      <c r="B5034" s="22" t="s">
        <v>7156</v>
      </c>
      <c r="C5034" s="18" t="s">
        <v>7159</v>
      </c>
      <c r="D5034" s="19" t="s">
        <v>7160</v>
      </c>
      <c r="E5034" s="23" t="s">
        <v>6980</v>
      </c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</row>
    <row r="5035">
      <c r="A5035" s="16" t="s">
        <v>7134</v>
      </c>
      <c r="B5035" s="22" t="s">
        <v>7156</v>
      </c>
      <c r="C5035" s="18" t="s">
        <v>7157</v>
      </c>
      <c r="D5035" s="19" t="s">
        <v>7161</v>
      </c>
      <c r="E5035" s="23" t="s">
        <v>6980</v>
      </c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</row>
    <row r="5036">
      <c r="A5036" s="16" t="s">
        <v>7134</v>
      </c>
      <c r="B5036" s="22" t="s">
        <v>7156</v>
      </c>
      <c r="C5036" s="18" t="s">
        <v>7162</v>
      </c>
      <c r="D5036" s="19" t="s">
        <v>7163</v>
      </c>
      <c r="E5036" s="23" t="s">
        <v>6980</v>
      </c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</row>
    <row r="5037">
      <c r="A5037" s="16" t="s">
        <v>7134</v>
      </c>
      <c r="B5037" s="22" t="s">
        <v>7156</v>
      </c>
      <c r="C5037" s="18" t="s">
        <v>7157</v>
      </c>
      <c r="D5037" s="19" t="s">
        <v>7164</v>
      </c>
      <c r="E5037" s="23" t="s">
        <v>6980</v>
      </c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  <c r="AB5037" s="9"/>
      <c r="AC5037" s="9"/>
      <c r="AD5037" s="9"/>
    </row>
    <row r="5038">
      <c r="A5038" s="16" t="s">
        <v>7134</v>
      </c>
      <c r="B5038" s="22" t="s">
        <v>7156</v>
      </c>
      <c r="C5038" s="18" t="s">
        <v>7157</v>
      </c>
      <c r="D5038" s="19" t="s">
        <v>7165</v>
      </c>
      <c r="E5038" s="23" t="s">
        <v>6980</v>
      </c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  <c r="AA5038" s="9"/>
      <c r="AB5038" s="9"/>
      <c r="AC5038" s="9"/>
      <c r="AD5038" s="9"/>
    </row>
    <row r="5039">
      <c r="A5039" s="16" t="s">
        <v>7134</v>
      </c>
      <c r="B5039" s="22" t="s">
        <v>7156</v>
      </c>
      <c r="C5039" s="18" t="s">
        <v>7157</v>
      </c>
      <c r="D5039" s="19" t="s">
        <v>7166</v>
      </c>
      <c r="E5039" s="23" t="s">
        <v>6980</v>
      </c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  <c r="AB5039" s="9"/>
      <c r="AC5039" s="9"/>
      <c r="AD5039" s="9"/>
    </row>
    <row r="5040">
      <c r="A5040" s="16" t="s">
        <v>7134</v>
      </c>
      <c r="B5040" s="22" t="s">
        <v>7167</v>
      </c>
      <c r="C5040" s="18" t="s">
        <v>7168</v>
      </c>
      <c r="D5040" s="19" t="s">
        <v>7169</v>
      </c>
      <c r="E5040" s="23" t="s">
        <v>1320</v>
      </c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9"/>
      <c r="AD5040" s="9"/>
    </row>
    <row r="5041">
      <c r="A5041" s="16"/>
      <c r="B5041" s="22"/>
      <c r="C5041" s="18"/>
      <c r="D5041" s="19"/>
      <c r="E5041" s="18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  <c r="AB5041" s="9"/>
      <c r="AC5041" s="9"/>
      <c r="AD5041" s="9"/>
    </row>
    <row r="5042">
      <c r="A5042" s="16"/>
      <c r="B5042" s="22"/>
      <c r="C5042" s="18"/>
      <c r="D5042" s="19"/>
      <c r="E5042" s="18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</row>
    <row r="5043">
      <c r="A5043" s="16" t="s">
        <v>7170</v>
      </c>
      <c r="B5043" s="22" t="s">
        <v>6807</v>
      </c>
      <c r="C5043" s="18" t="s">
        <v>667</v>
      </c>
      <c r="D5043" s="19" t="s">
        <v>7171</v>
      </c>
      <c r="E5043" s="9" t="s">
        <v>764</v>
      </c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9"/>
      <c r="AC5043" s="9"/>
      <c r="AD5043" s="9"/>
    </row>
    <row r="5044">
      <c r="A5044" s="16" t="s">
        <v>7170</v>
      </c>
      <c r="B5044" s="22" t="s">
        <v>6807</v>
      </c>
      <c r="C5044" s="18" t="s">
        <v>7172</v>
      </c>
      <c r="D5044" s="19" t="s">
        <v>7173</v>
      </c>
      <c r="E5044" s="18" t="s">
        <v>14</v>
      </c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</row>
    <row r="5045">
      <c r="A5045" s="16" t="s">
        <v>7170</v>
      </c>
      <c r="B5045" s="22" t="s">
        <v>7174</v>
      </c>
      <c r="C5045" s="18" t="s">
        <v>7175</v>
      </c>
      <c r="D5045" s="19" t="s">
        <v>7176</v>
      </c>
      <c r="E5045" s="23" t="s">
        <v>7177</v>
      </c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</row>
    <row r="5046">
      <c r="A5046" s="16" t="s">
        <v>7170</v>
      </c>
      <c r="B5046" s="22" t="s">
        <v>7174</v>
      </c>
      <c r="C5046" s="18" t="s">
        <v>7175</v>
      </c>
      <c r="D5046" s="19" t="s">
        <v>6747</v>
      </c>
      <c r="E5046" s="23" t="s">
        <v>7177</v>
      </c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  <c r="AB5046" s="9"/>
      <c r="AC5046" s="9"/>
      <c r="AD5046" s="9"/>
    </row>
    <row r="5047">
      <c r="A5047" s="16" t="s">
        <v>7170</v>
      </c>
      <c r="B5047" s="22" t="s">
        <v>7178</v>
      </c>
      <c r="C5047" s="18" t="s">
        <v>7157</v>
      </c>
      <c r="D5047" s="19" t="s">
        <v>7179</v>
      </c>
      <c r="E5047" s="23" t="s">
        <v>6980</v>
      </c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  <c r="AB5047" s="9"/>
      <c r="AC5047" s="9"/>
      <c r="AD5047" s="9"/>
    </row>
    <row r="5048">
      <c r="A5048" s="16" t="s">
        <v>7170</v>
      </c>
      <c r="B5048" s="22" t="s">
        <v>7178</v>
      </c>
      <c r="C5048" s="18" t="s">
        <v>7157</v>
      </c>
      <c r="D5048" s="19" t="s">
        <v>7161</v>
      </c>
      <c r="E5048" s="23" t="s">
        <v>6980</v>
      </c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  <c r="AA5048" s="9"/>
      <c r="AB5048" s="9"/>
      <c r="AC5048" s="9"/>
      <c r="AD5048" s="9"/>
    </row>
    <row r="5049">
      <c r="A5049" s="16" t="s">
        <v>7170</v>
      </c>
      <c r="B5049" s="22" t="s">
        <v>7178</v>
      </c>
      <c r="C5049" s="18" t="s">
        <v>7157</v>
      </c>
      <c r="D5049" s="19" t="s">
        <v>7165</v>
      </c>
      <c r="E5049" s="23" t="s">
        <v>6980</v>
      </c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  <c r="AB5049" s="9"/>
      <c r="AC5049" s="9"/>
      <c r="AD5049" s="9"/>
    </row>
    <row r="5050">
      <c r="A5050" s="16" t="s">
        <v>7170</v>
      </c>
      <c r="B5050" s="22" t="s">
        <v>7178</v>
      </c>
      <c r="C5050" s="18" t="s">
        <v>7157</v>
      </c>
      <c r="D5050" s="19" t="s">
        <v>7158</v>
      </c>
      <c r="E5050" s="23" t="s">
        <v>6980</v>
      </c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  <c r="AA5050" s="9"/>
      <c r="AB5050" s="9"/>
      <c r="AC5050" s="9"/>
      <c r="AD5050" s="9"/>
    </row>
    <row r="5051">
      <c r="A5051" s="16" t="s">
        <v>7170</v>
      </c>
      <c r="B5051" s="22" t="s">
        <v>7178</v>
      </c>
      <c r="C5051" s="18" t="s">
        <v>7157</v>
      </c>
      <c r="D5051" s="19" t="s">
        <v>7166</v>
      </c>
      <c r="E5051" s="23" t="s">
        <v>6980</v>
      </c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</row>
    <row r="5052">
      <c r="A5052" s="16" t="s">
        <v>7170</v>
      </c>
      <c r="B5052" s="22" t="s">
        <v>7178</v>
      </c>
      <c r="C5052" s="18" t="s">
        <v>7157</v>
      </c>
      <c r="D5052" s="19" t="s">
        <v>7164</v>
      </c>
      <c r="E5052" s="23" t="s">
        <v>6980</v>
      </c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  <c r="AB5052" s="9"/>
      <c r="AC5052" s="9"/>
      <c r="AD5052" s="9"/>
    </row>
    <row r="5053">
      <c r="A5053" s="16" t="s">
        <v>7170</v>
      </c>
      <c r="B5053" s="22" t="s">
        <v>7178</v>
      </c>
      <c r="C5053" s="18" t="s">
        <v>227</v>
      </c>
      <c r="D5053" s="19" t="s">
        <v>7180</v>
      </c>
      <c r="E5053" s="23" t="s">
        <v>6980</v>
      </c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</row>
    <row r="5054">
      <c r="A5054" s="16" t="s">
        <v>7170</v>
      </c>
      <c r="B5054" s="22" t="s">
        <v>7181</v>
      </c>
      <c r="C5054" s="18" t="s">
        <v>7182</v>
      </c>
      <c r="D5054" s="18" t="s">
        <v>7183</v>
      </c>
      <c r="E5054" s="18" t="s">
        <v>309</v>
      </c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  <c r="AA5054" s="9"/>
      <c r="AB5054" s="9"/>
      <c r="AC5054" s="9"/>
      <c r="AD5054" s="9"/>
    </row>
    <row r="5055">
      <c r="A5055" s="16" t="s">
        <v>7170</v>
      </c>
      <c r="B5055" s="22" t="s">
        <v>7181</v>
      </c>
      <c r="C5055" s="18" t="s">
        <v>7184</v>
      </c>
      <c r="D5055" s="18" t="s">
        <v>7185</v>
      </c>
      <c r="E5055" s="18" t="s">
        <v>309</v>
      </c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9"/>
      <c r="AD5055" s="9"/>
    </row>
    <row r="5056">
      <c r="A5056" s="16" t="s">
        <v>7170</v>
      </c>
      <c r="B5056" s="22" t="s">
        <v>7186</v>
      </c>
      <c r="C5056" s="18" t="s">
        <v>7187</v>
      </c>
      <c r="D5056" s="18" t="s">
        <v>2661</v>
      </c>
      <c r="E5056" s="23" t="s">
        <v>7188</v>
      </c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  <c r="AB5056" s="9"/>
      <c r="AC5056" s="9"/>
      <c r="AD5056" s="9"/>
    </row>
    <row r="5057">
      <c r="A5057" s="16" t="s">
        <v>7170</v>
      </c>
      <c r="B5057" s="22" t="s">
        <v>7186</v>
      </c>
      <c r="C5057" s="18" t="s">
        <v>1470</v>
      </c>
      <c r="D5057" s="18" t="s">
        <v>7189</v>
      </c>
      <c r="E5057" s="23" t="s">
        <v>7188</v>
      </c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9"/>
      <c r="AD5057" s="9"/>
    </row>
    <row r="5058">
      <c r="A5058" s="16" t="s">
        <v>7170</v>
      </c>
      <c r="B5058" s="22" t="s">
        <v>6938</v>
      </c>
      <c r="C5058" s="18" t="s">
        <v>7118</v>
      </c>
      <c r="D5058" s="18" t="s">
        <v>7119</v>
      </c>
      <c r="E5058" s="9" t="s">
        <v>760</v>
      </c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  <c r="AB5058" s="9"/>
      <c r="AC5058" s="9"/>
      <c r="AD5058" s="9"/>
    </row>
    <row r="5059">
      <c r="A5059" s="16" t="s">
        <v>7170</v>
      </c>
      <c r="B5059" s="22" t="s">
        <v>6938</v>
      </c>
      <c r="C5059" s="18" t="s">
        <v>7120</v>
      </c>
      <c r="D5059" s="18" t="s">
        <v>7119</v>
      </c>
      <c r="E5059" s="9" t="s">
        <v>760</v>
      </c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9"/>
      <c r="AB5059" s="9"/>
      <c r="AC5059" s="9"/>
      <c r="AD5059" s="9"/>
    </row>
    <row r="5060">
      <c r="A5060" s="16" t="s">
        <v>7170</v>
      </c>
      <c r="B5060" s="22" t="s">
        <v>7190</v>
      </c>
      <c r="C5060" s="18" t="s">
        <v>5636</v>
      </c>
      <c r="D5060" s="19" t="s">
        <v>7191</v>
      </c>
      <c r="E5060" s="23" t="s">
        <v>7188</v>
      </c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  <c r="AB5060" s="9"/>
      <c r="AC5060" s="9"/>
      <c r="AD5060" s="9"/>
    </row>
    <row r="5061">
      <c r="A5061" s="16" t="s">
        <v>7170</v>
      </c>
      <c r="B5061" s="22" t="s">
        <v>7192</v>
      </c>
      <c r="C5061" s="18" t="s">
        <v>7193</v>
      </c>
      <c r="D5061" s="19" t="s">
        <v>7194</v>
      </c>
      <c r="E5061" s="9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9"/>
      <c r="AD5061" s="9"/>
    </row>
    <row r="5062">
      <c r="A5062" s="16" t="s">
        <v>7170</v>
      </c>
      <c r="B5062" s="22" t="s">
        <v>7192</v>
      </c>
      <c r="C5062" s="18" t="s">
        <v>7195</v>
      </c>
      <c r="D5062" s="19" t="s">
        <v>7196</v>
      </c>
      <c r="E5062" s="9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9"/>
      <c r="AC5062" s="9"/>
      <c r="AD5062" s="9"/>
    </row>
    <row r="5063">
      <c r="A5063" s="16"/>
      <c r="B5063" s="22"/>
      <c r="C5063" s="18"/>
      <c r="D5063" s="19"/>
      <c r="E5063" s="18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9"/>
      <c r="AD5063" s="9"/>
    </row>
    <row r="5064">
      <c r="A5064" s="16"/>
      <c r="B5064" s="22"/>
      <c r="C5064" s="18"/>
      <c r="D5064" s="19"/>
      <c r="E5064" s="18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9"/>
      <c r="AB5064" s="9"/>
      <c r="AC5064" s="9"/>
      <c r="AD5064" s="9"/>
    </row>
    <row r="5065">
      <c r="A5065" s="16" t="s">
        <v>7197</v>
      </c>
      <c r="B5065" s="22" t="s">
        <v>7198</v>
      </c>
      <c r="C5065" s="18" t="s">
        <v>5</v>
      </c>
      <c r="D5065" s="19" t="s">
        <v>7199</v>
      </c>
      <c r="E5065" s="9" t="s">
        <v>764</v>
      </c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9"/>
      <c r="AC5065" s="9"/>
      <c r="AD5065" s="9"/>
    </row>
    <row r="5066">
      <c r="A5066" s="16" t="s">
        <v>7197</v>
      </c>
      <c r="B5066" s="22" t="s">
        <v>7198</v>
      </c>
      <c r="C5066" s="18" t="s">
        <v>5</v>
      </c>
      <c r="D5066" s="19" t="s">
        <v>4271</v>
      </c>
      <c r="E5066" s="9" t="s">
        <v>764</v>
      </c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9"/>
      <c r="AC5066" s="9"/>
      <c r="AD5066" s="9"/>
    </row>
    <row r="5067">
      <c r="A5067" s="16" t="s">
        <v>7197</v>
      </c>
      <c r="B5067" s="22" t="s">
        <v>6938</v>
      </c>
      <c r="C5067" s="18" t="s">
        <v>5200</v>
      </c>
      <c r="D5067" s="19" t="s">
        <v>7119</v>
      </c>
      <c r="E5067" s="9" t="s">
        <v>760</v>
      </c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</row>
    <row r="5068">
      <c r="A5068" s="16" t="s">
        <v>7197</v>
      </c>
      <c r="B5068" s="22" t="s">
        <v>6938</v>
      </c>
      <c r="C5068" s="18" t="s">
        <v>6949</v>
      </c>
      <c r="D5068" s="18" t="s">
        <v>6947</v>
      </c>
      <c r="E5068" s="9" t="s">
        <v>760</v>
      </c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9"/>
      <c r="AD5068" s="9"/>
    </row>
    <row r="5069">
      <c r="A5069" s="16" t="s">
        <v>7197</v>
      </c>
      <c r="B5069" s="22" t="s">
        <v>6938</v>
      </c>
      <c r="C5069" s="18" t="s">
        <v>6948</v>
      </c>
      <c r="D5069" s="18" t="s">
        <v>6947</v>
      </c>
      <c r="E5069" s="9" t="s">
        <v>760</v>
      </c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  <c r="AA5069" s="9"/>
      <c r="AB5069" s="9"/>
      <c r="AC5069" s="9"/>
      <c r="AD5069" s="9"/>
    </row>
    <row r="5070">
      <c r="A5070" s="16" t="s">
        <v>7197</v>
      </c>
      <c r="B5070" s="22" t="s">
        <v>6938</v>
      </c>
      <c r="C5070" s="18" t="s">
        <v>6946</v>
      </c>
      <c r="D5070" s="18" t="s">
        <v>6947</v>
      </c>
      <c r="E5070" s="9" t="s">
        <v>760</v>
      </c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9"/>
      <c r="AB5070" s="9"/>
      <c r="AC5070" s="9"/>
      <c r="AD5070" s="9"/>
    </row>
    <row r="5071">
      <c r="A5071" s="16"/>
      <c r="B5071" s="22"/>
      <c r="C5071" s="18"/>
      <c r="D5071" s="19"/>
      <c r="E5071" s="18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9"/>
      <c r="AD5071" s="9"/>
    </row>
    <row r="5072">
      <c r="A5072" s="16"/>
      <c r="B5072" s="22"/>
      <c r="C5072" s="18"/>
      <c r="D5072" s="19"/>
      <c r="E5072" s="18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9"/>
      <c r="AC5072" s="9"/>
      <c r="AD5072" s="9"/>
    </row>
    <row r="5073">
      <c r="A5073" s="16" t="s">
        <v>7200</v>
      </c>
      <c r="B5073" s="22" t="s">
        <v>7201</v>
      </c>
      <c r="C5073" s="18" t="s">
        <v>7202</v>
      </c>
      <c r="D5073" s="19" t="s">
        <v>7203</v>
      </c>
      <c r="E5073" s="18" t="s">
        <v>7204</v>
      </c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9"/>
      <c r="AD5073" s="9"/>
    </row>
    <row r="5074">
      <c r="A5074" s="16" t="s">
        <v>7200</v>
      </c>
      <c r="B5074" s="22" t="s">
        <v>7205</v>
      </c>
      <c r="C5074" s="18" t="s">
        <v>7206</v>
      </c>
      <c r="D5074" s="19" t="s">
        <v>7207</v>
      </c>
      <c r="E5074" s="23" t="s">
        <v>6980</v>
      </c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  <c r="AA5074" s="9"/>
      <c r="AB5074" s="9"/>
      <c r="AC5074" s="9"/>
      <c r="AD5074" s="9"/>
    </row>
    <row r="5075">
      <c r="A5075" s="16" t="s">
        <v>7200</v>
      </c>
      <c r="B5075" s="22" t="s">
        <v>7205</v>
      </c>
      <c r="C5075" s="18" t="s">
        <v>1721</v>
      </c>
      <c r="D5075" s="19" t="s">
        <v>5592</v>
      </c>
      <c r="E5075" s="23" t="s">
        <v>6980</v>
      </c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9"/>
      <c r="AC5075" s="9"/>
      <c r="AD5075" s="9"/>
    </row>
    <row r="5076">
      <c r="A5076" s="16" t="s">
        <v>7200</v>
      </c>
      <c r="B5076" s="22" t="s">
        <v>7205</v>
      </c>
      <c r="C5076" s="18" t="s">
        <v>5593</v>
      </c>
      <c r="D5076" s="19" t="s">
        <v>5594</v>
      </c>
      <c r="E5076" s="23" t="s">
        <v>6980</v>
      </c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  <c r="AB5076" s="9"/>
      <c r="AC5076" s="9"/>
      <c r="AD5076" s="9"/>
    </row>
    <row r="5077">
      <c r="A5077" s="16" t="s">
        <v>7200</v>
      </c>
      <c r="B5077" s="22" t="s">
        <v>7167</v>
      </c>
      <c r="C5077" s="18" t="s">
        <v>6776</v>
      </c>
      <c r="D5077" s="19" t="s">
        <v>7208</v>
      </c>
      <c r="E5077" s="18" t="s">
        <v>7023</v>
      </c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9"/>
      <c r="AC5077" s="9"/>
      <c r="AD5077" s="9"/>
    </row>
    <row r="5078">
      <c r="A5078" s="16" t="s">
        <v>7200</v>
      </c>
      <c r="B5078" s="22" t="s">
        <v>7209</v>
      </c>
      <c r="C5078" s="18" t="s">
        <v>7210</v>
      </c>
      <c r="D5078" s="19" t="s">
        <v>7211</v>
      </c>
      <c r="E5078" s="18" t="s">
        <v>7023</v>
      </c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  <c r="AB5078" s="9"/>
      <c r="AC5078" s="9"/>
      <c r="AD5078" s="9"/>
    </row>
    <row r="5079">
      <c r="A5079" s="16" t="s">
        <v>7200</v>
      </c>
      <c r="B5079" s="22" t="s">
        <v>7209</v>
      </c>
      <c r="C5079" s="18" t="s">
        <v>7212</v>
      </c>
      <c r="D5079" s="19" t="s">
        <v>7213</v>
      </c>
      <c r="E5079" s="20" t="s">
        <v>7</v>
      </c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  <c r="AB5079" s="9"/>
      <c r="AC5079" s="9"/>
      <c r="AD5079" s="9"/>
    </row>
    <row r="5080">
      <c r="A5080" s="16" t="s">
        <v>7200</v>
      </c>
      <c r="B5080" s="22" t="s">
        <v>7209</v>
      </c>
      <c r="C5080" s="18" t="s">
        <v>7214</v>
      </c>
      <c r="D5080" s="19" t="s">
        <v>7213</v>
      </c>
      <c r="E5080" s="20" t="s">
        <v>7</v>
      </c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  <c r="AB5080" s="9"/>
      <c r="AC5080" s="9"/>
      <c r="AD5080" s="9"/>
    </row>
    <row r="5081">
      <c r="A5081" s="16" t="s">
        <v>7200</v>
      </c>
      <c r="B5081" s="22" t="s">
        <v>7215</v>
      </c>
      <c r="C5081" s="18" t="s">
        <v>7216</v>
      </c>
      <c r="D5081" s="19" t="s">
        <v>7191</v>
      </c>
      <c r="E5081" s="18" t="s">
        <v>7023</v>
      </c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</row>
    <row r="5082">
      <c r="A5082" s="16"/>
      <c r="B5082" s="22"/>
      <c r="C5082" s="18"/>
      <c r="D5082" s="19"/>
      <c r="E5082" s="18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  <c r="AB5082" s="9"/>
      <c r="AC5082" s="9"/>
      <c r="AD5082" s="9"/>
    </row>
    <row r="5083">
      <c r="A5083" s="16"/>
      <c r="B5083" s="22"/>
      <c r="C5083" s="18"/>
      <c r="D5083" s="19"/>
      <c r="E5083" s="18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</row>
    <row r="5084">
      <c r="A5084" s="16" t="s">
        <v>7217</v>
      </c>
      <c r="B5084" s="19" t="s">
        <v>7218</v>
      </c>
      <c r="C5084" s="18" t="s">
        <v>4900</v>
      </c>
      <c r="D5084" s="19" t="s">
        <v>6622</v>
      </c>
      <c r="E5084" s="18" t="s">
        <v>7219</v>
      </c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9"/>
      <c r="AC5084" s="9"/>
      <c r="AD5084" s="9"/>
    </row>
    <row r="5085">
      <c r="A5085" s="16"/>
      <c r="B5085" s="22"/>
      <c r="C5085" s="18"/>
      <c r="D5085" s="19"/>
      <c r="E5085" s="18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</row>
    <row r="5086">
      <c r="A5086" s="16"/>
      <c r="B5086" s="22"/>
      <c r="C5086" s="18"/>
      <c r="D5086" s="19"/>
      <c r="E5086" s="18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9"/>
      <c r="AC5086" s="9"/>
      <c r="AD5086" s="9"/>
    </row>
    <row r="5087">
      <c r="A5087" s="16" t="s">
        <v>7220</v>
      </c>
      <c r="B5087" s="22" t="s">
        <v>7221</v>
      </c>
      <c r="C5087" s="18" t="s">
        <v>6351</v>
      </c>
      <c r="D5087" s="18" t="s">
        <v>6429</v>
      </c>
      <c r="E5087" s="20" t="s">
        <v>7</v>
      </c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</row>
    <row r="5088">
      <c r="A5088" s="16" t="s">
        <v>7220</v>
      </c>
      <c r="B5088" s="22" t="s">
        <v>7222</v>
      </c>
      <c r="C5088" s="18" t="s">
        <v>7223</v>
      </c>
      <c r="D5088" s="19" t="s">
        <v>7224</v>
      </c>
      <c r="E5088" s="20" t="s">
        <v>7</v>
      </c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  <c r="AB5088" s="9"/>
      <c r="AC5088" s="9"/>
      <c r="AD5088" s="9"/>
    </row>
    <row r="5089">
      <c r="A5089" s="16" t="s">
        <v>7220</v>
      </c>
      <c r="B5089" s="22" t="s">
        <v>7222</v>
      </c>
      <c r="C5089" s="18" t="s">
        <v>7225</v>
      </c>
      <c r="D5089" s="19" t="s">
        <v>7224</v>
      </c>
      <c r="E5089" s="20" t="s">
        <v>7</v>
      </c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9"/>
      <c r="AB5089" s="9"/>
      <c r="AC5089" s="9"/>
      <c r="AD5089" s="9"/>
    </row>
    <row r="5090">
      <c r="A5090" s="16" t="s">
        <v>7220</v>
      </c>
      <c r="B5090" s="22" t="s">
        <v>7222</v>
      </c>
      <c r="C5090" s="18" t="s">
        <v>7226</v>
      </c>
      <c r="D5090" s="19" t="s">
        <v>7224</v>
      </c>
      <c r="E5090" s="20" t="s">
        <v>7</v>
      </c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9"/>
      <c r="AD5090" s="9"/>
    </row>
    <row r="5091">
      <c r="A5091" s="16" t="s">
        <v>7220</v>
      </c>
      <c r="B5091" s="22" t="s">
        <v>7222</v>
      </c>
      <c r="C5091" s="18" t="s">
        <v>7227</v>
      </c>
      <c r="D5091" s="19" t="s">
        <v>7224</v>
      </c>
      <c r="E5091" s="20" t="s">
        <v>7</v>
      </c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  <c r="AB5091" s="9"/>
      <c r="AC5091" s="9"/>
      <c r="AD5091" s="9"/>
    </row>
    <row r="5092">
      <c r="A5092" s="16" t="s">
        <v>7220</v>
      </c>
      <c r="B5092" s="22" t="s">
        <v>7222</v>
      </c>
      <c r="C5092" s="18" t="s">
        <v>7228</v>
      </c>
      <c r="D5092" s="19" t="s">
        <v>7224</v>
      </c>
      <c r="E5092" s="20" t="s">
        <v>7</v>
      </c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  <c r="AB5092" s="9"/>
      <c r="AC5092" s="9"/>
      <c r="AD5092" s="9"/>
    </row>
    <row r="5093">
      <c r="A5093" s="16" t="s">
        <v>7220</v>
      </c>
      <c r="B5093" s="22" t="s">
        <v>7151</v>
      </c>
      <c r="C5093" s="18" t="s">
        <v>7229</v>
      </c>
      <c r="D5093" s="19" t="s">
        <v>1113</v>
      </c>
      <c r="E5093" s="18" t="s">
        <v>125</v>
      </c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9"/>
      <c r="AC5093" s="9"/>
      <c r="AD5093" s="9"/>
    </row>
    <row r="5094">
      <c r="A5094" s="16" t="s">
        <v>7220</v>
      </c>
      <c r="B5094" s="22" t="s">
        <v>7230</v>
      </c>
      <c r="C5094" s="18" t="s">
        <v>7231</v>
      </c>
      <c r="D5094" s="19" t="s">
        <v>7232</v>
      </c>
      <c r="E5094" s="18" t="s">
        <v>125</v>
      </c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  <c r="AB5094" s="9"/>
      <c r="AC5094" s="9"/>
      <c r="AD5094" s="9"/>
    </row>
    <row r="5095">
      <c r="A5095" s="16" t="s">
        <v>7220</v>
      </c>
      <c r="B5095" s="22" t="s">
        <v>7230</v>
      </c>
      <c r="C5095" s="18" t="s">
        <v>7233</v>
      </c>
      <c r="D5095" s="19" t="s">
        <v>7234</v>
      </c>
      <c r="E5095" s="23" t="s">
        <v>4261</v>
      </c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9"/>
      <c r="AC5095" s="9"/>
      <c r="AD5095" s="9"/>
    </row>
    <row r="5096">
      <c r="A5096" s="16" t="s">
        <v>7220</v>
      </c>
      <c r="B5096" s="22" t="s">
        <v>7230</v>
      </c>
      <c r="C5096" s="18" t="s">
        <v>7235</v>
      </c>
      <c r="D5096" s="19" t="s">
        <v>7236</v>
      </c>
      <c r="E5096" s="18" t="s">
        <v>125</v>
      </c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9"/>
      <c r="AB5096" s="9"/>
      <c r="AC5096" s="9"/>
      <c r="AD5096" s="9"/>
    </row>
    <row r="5097">
      <c r="A5097" s="16" t="s">
        <v>7220</v>
      </c>
      <c r="B5097" s="22" t="s">
        <v>6938</v>
      </c>
      <c r="C5097" s="18" t="s">
        <v>6369</v>
      </c>
      <c r="D5097" s="19" t="s">
        <v>6940</v>
      </c>
      <c r="E5097" s="18" t="s">
        <v>309</v>
      </c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9"/>
      <c r="AB5097" s="9"/>
      <c r="AC5097" s="9"/>
      <c r="AD5097" s="9"/>
    </row>
    <row r="5098">
      <c r="A5098" s="16" t="s">
        <v>7220</v>
      </c>
      <c r="B5098" s="19" t="s">
        <v>7237</v>
      </c>
      <c r="C5098" s="18" t="s">
        <v>7238</v>
      </c>
      <c r="D5098" s="19" t="s">
        <v>7239</v>
      </c>
      <c r="E5098" s="18" t="s">
        <v>7240</v>
      </c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9"/>
      <c r="AB5098" s="9"/>
      <c r="AC5098" s="9"/>
      <c r="AD5098" s="9"/>
    </row>
    <row r="5099">
      <c r="A5099" s="16"/>
      <c r="B5099" s="22"/>
      <c r="C5099" s="18"/>
      <c r="D5099" s="19"/>
      <c r="E5099" s="18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  <c r="AB5099" s="9"/>
      <c r="AC5099" s="9"/>
      <c r="AD5099" s="9"/>
    </row>
    <row r="5100">
      <c r="A5100" s="16"/>
      <c r="B5100" s="22"/>
      <c r="C5100" s="18"/>
      <c r="D5100" s="19"/>
      <c r="E5100" s="18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9"/>
      <c r="AB5100" s="9"/>
      <c r="AC5100" s="9"/>
      <c r="AD5100" s="9"/>
    </row>
    <row r="5101">
      <c r="A5101" s="16" t="s">
        <v>7241</v>
      </c>
      <c r="B5101" s="22" t="s">
        <v>7242</v>
      </c>
      <c r="C5101" s="23" t="s">
        <v>7226</v>
      </c>
      <c r="D5101" s="136" t="s">
        <v>7224</v>
      </c>
      <c r="E5101" s="20" t="s">
        <v>7</v>
      </c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9"/>
      <c r="AB5101" s="9"/>
      <c r="AC5101" s="9"/>
      <c r="AD5101" s="9"/>
    </row>
    <row r="5102">
      <c r="A5102" s="16" t="s">
        <v>7241</v>
      </c>
      <c r="B5102" s="22" t="s">
        <v>7242</v>
      </c>
      <c r="C5102" s="23" t="s">
        <v>7243</v>
      </c>
      <c r="D5102" s="136" t="s">
        <v>7224</v>
      </c>
      <c r="E5102" s="20" t="s">
        <v>7</v>
      </c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9"/>
      <c r="AB5102" s="9"/>
      <c r="AC5102" s="9"/>
      <c r="AD5102" s="9"/>
    </row>
    <row r="5103">
      <c r="A5103" s="16" t="s">
        <v>7241</v>
      </c>
      <c r="B5103" s="22" t="s">
        <v>7244</v>
      </c>
      <c r="C5103" s="23" t="s">
        <v>7245</v>
      </c>
      <c r="D5103" s="136" t="s">
        <v>7246</v>
      </c>
      <c r="E5103" s="18" t="s">
        <v>4624</v>
      </c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  <c r="AB5103" s="9"/>
      <c r="AC5103" s="9"/>
      <c r="AD5103" s="9"/>
    </row>
    <row r="5104">
      <c r="A5104" s="16" t="s">
        <v>7241</v>
      </c>
      <c r="B5104" s="22" t="s">
        <v>7244</v>
      </c>
      <c r="C5104" s="23" t="s">
        <v>7247</v>
      </c>
      <c r="D5104" s="136" t="s">
        <v>7248</v>
      </c>
      <c r="E5104" s="18" t="s">
        <v>4624</v>
      </c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  <c r="AA5104" s="9"/>
      <c r="AB5104" s="9"/>
      <c r="AC5104" s="9"/>
      <c r="AD5104" s="9"/>
    </row>
    <row r="5105">
      <c r="A5105" s="16" t="s">
        <v>7241</v>
      </c>
      <c r="B5105" s="22" t="s">
        <v>7244</v>
      </c>
      <c r="C5105" s="23" t="s">
        <v>7249</v>
      </c>
      <c r="D5105" s="136" t="s">
        <v>7250</v>
      </c>
      <c r="E5105" s="18" t="s">
        <v>4624</v>
      </c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  <c r="AB5105" s="9"/>
      <c r="AC5105" s="9"/>
      <c r="AD5105" s="9"/>
    </row>
    <row r="5106">
      <c r="A5106" s="16" t="s">
        <v>7241</v>
      </c>
      <c r="B5106" s="22" t="s">
        <v>7244</v>
      </c>
      <c r="C5106" s="23" t="s">
        <v>6351</v>
      </c>
      <c r="D5106" s="136" t="s">
        <v>6428</v>
      </c>
      <c r="E5106" s="18" t="s">
        <v>4624</v>
      </c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9"/>
      <c r="AB5106" s="9"/>
      <c r="AC5106" s="9"/>
      <c r="AD5106" s="9"/>
    </row>
    <row r="5107">
      <c r="A5107" s="16" t="s">
        <v>7241</v>
      </c>
      <c r="B5107" s="22" t="s">
        <v>7244</v>
      </c>
      <c r="C5107" s="23" t="s">
        <v>7251</v>
      </c>
      <c r="D5107" s="136" t="s">
        <v>312</v>
      </c>
      <c r="E5107" s="18" t="s">
        <v>4624</v>
      </c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9"/>
      <c r="AB5107" s="9"/>
      <c r="AC5107" s="9"/>
      <c r="AD5107" s="9"/>
    </row>
    <row r="5108">
      <c r="A5108" s="16" t="s">
        <v>7241</v>
      </c>
      <c r="B5108" s="22" t="s">
        <v>6424</v>
      </c>
      <c r="C5108" s="23" t="s">
        <v>7245</v>
      </c>
      <c r="D5108" s="136" t="s">
        <v>7246</v>
      </c>
      <c r="E5108" s="18" t="s">
        <v>4624</v>
      </c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9"/>
      <c r="AB5108" s="9"/>
      <c r="AC5108" s="9"/>
      <c r="AD5108" s="9"/>
    </row>
    <row r="5109">
      <c r="A5109" s="16" t="s">
        <v>7241</v>
      </c>
      <c r="B5109" s="22" t="s">
        <v>6424</v>
      </c>
      <c r="C5109" s="23" t="s">
        <v>7249</v>
      </c>
      <c r="D5109" s="136" t="s">
        <v>7250</v>
      </c>
      <c r="E5109" s="18" t="s">
        <v>4624</v>
      </c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  <c r="AA5109" s="9"/>
      <c r="AB5109" s="9"/>
      <c r="AC5109" s="9"/>
      <c r="AD5109" s="9"/>
    </row>
    <row r="5110">
      <c r="A5110" s="16" t="s">
        <v>7241</v>
      </c>
      <c r="B5110" s="22" t="s">
        <v>6424</v>
      </c>
      <c r="C5110" s="23" t="s">
        <v>6351</v>
      </c>
      <c r="D5110" s="136" t="s">
        <v>7252</v>
      </c>
      <c r="E5110" s="18" t="s">
        <v>4624</v>
      </c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9"/>
      <c r="AB5110" s="9"/>
      <c r="AC5110" s="9"/>
      <c r="AD5110" s="9"/>
    </row>
    <row r="5111">
      <c r="A5111" s="16" t="s">
        <v>7241</v>
      </c>
      <c r="B5111" s="22" t="s">
        <v>6424</v>
      </c>
      <c r="C5111" s="23" t="s">
        <v>7253</v>
      </c>
      <c r="D5111" s="136" t="s">
        <v>6028</v>
      </c>
      <c r="E5111" s="18" t="s">
        <v>4624</v>
      </c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9"/>
      <c r="AB5111" s="9"/>
      <c r="AC5111" s="9"/>
      <c r="AD5111" s="9"/>
    </row>
    <row r="5112">
      <c r="A5112" s="16" t="s">
        <v>7241</v>
      </c>
      <c r="B5112" s="22" t="s">
        <v>7254</v>
      </c>
      <c r="C5112" s="23" t="s">
        <v>7247</v>
      </c>
      <c r="D5112" s="136" t="s">
        <v>7248</v>
      </c>
      <c r="E5112" s="18" t="s">
        <v>4624</v>
      </c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  <c r="AB5112" s="9"/>
      <c r="AC5112" s="9"/>
      <c r="AD5112" s="9"/>
    </row>
    <row r="5113">
      <c r="A5113" s="16" t="s">
        <v>7241</v>
      </c>
      <c r="B5113" s="22" t="s">
        <v>7254</v>
      </c>
      <c r="C5113" s="23" t="s">
        <v>6351</v>
      </c>
      <c r="D5113" s="136" t="s">
        <v>6429</v>
      </c>
      <c r="E5113" s="18" t="s">
        <v>309</v>
      </c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9"/>
      <c r="AC5113" s="9"/>
      <c r="AD5113" s="9"/>
    </row>
    <row r="5114">
      <c r="A5114" s="16" t="s">
        <v>7241</v>
      </c>
      <c r="B5114" s="22" t="s">
        <v>7254</v>
      </c>
      <c r="C5114" s="23" t="s">
        <v>7251</v>
      </c>
      <c r="D5114" s="136" t="s">
        <v>312</v>
      </c>
      <c r="E5114" s="18" t="s">
        <v>4624</v>
      </c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9"/>
      <c r="AB5114" s="9"/>
      <c r="AC5114" s="9"/>
      <c r="AD5114" s="9"/>
    </row>
    <row r="5115">
      <c r="A5115" s="16" t="s">
        <v>7241</v>
      </c>
      <c r="B5115" s="22" t="s">
        <v>7254</v>
      </c>
      <c r="C5115" s="23" t="s">
        <v>7251</v>
      </c>
      <c r="D5115" s="136" t="s">
        <v>7255</v>
      </c>
      <c r="E5115" s="18" t="s">
        <v>4624</v>
      </c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9"/>
      <c r="AB5115" s="9"/>
      <c r="AC5115" s="9"/>
      <c r="AD5115" s="9"/>
    </row>
    <row r="5116">
      <c r="A5116" s="16" t="s">
        <v>7241</v>
      </c>
      <c r="B5116" s="22" t="s">
        <v>7135</v>
      </c>
      <c r="C5116" s="23" t="s">
        <v>3490</v>
      </c>
      <c r="D5116" s="23" t="s">
        <v>7256</v>
      </c>
      <c r="E5116" s="20" t="s">
        <v>7</v>
      </c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  <c r="AB5116" s="9"/>
      <c r="AC5116" s="9"/>
      <c r="AD5116" s="9"/>
    </row>
    <row r="5117">
      <c r="A5117" s="16" t="s">
        <v>7241</v>
      </c>
      <c r="B5117" s="22" t="s">
        <v>7151</v>
      </c>
      <c r="C5117" s="23" t="s">
        <v>7257</v>
      </c>
      <c r="D5117" s="136" t="s">
        <v>7258</v>
      </c>
      <c r="E5117" s="18" t="s">
        <v>764</v>
      </c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</row>
    <row r="5118">
      <c r="A5118" s="16" t="s">
        <v>7241</v>
      </c>
      <c r="B5118" s="22" t="s">
        <v>7151</v>
      </c>
      <c r="C5118" s="23" t="s">
        <v>7259</v>
      </c>
      <c r="D5118" s="136" t="s">
        <v>7260</v>
      </c>
      <c r="E5118" s="18" t="s">
        <v>764</v>
      </c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9"/>
      <c r="AC5118" s="9"/>
      <c r="AD5118" s="9"/>
    </row>
    <row r="5119">
      <c r="A5119" s="16" t="s">
        <v>7241</v>
      </c>
      <c r="B5119" s="22" t="s">
        <v>7151</v>
      </c>
      <c r="C5119" s="23" t="s">
        <v>7259</v>
      </c>
      <c r="D5119" s="136" t="s">
        <v>7261</v>
      </c>
      <c r="E5119" s="18" t="s">
        <v>764</v>
      </c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</row>
    <row r="5120">
      <c r="A5120" s="16" t="s">
        <v>7241</v>
      </c>
      <c r="B5120" s="22" t="s">
        <v>7262</v>
      </c>
      <c r="C5120" s="23" t="s">
        <v>7263</v>
      </c>
      <c r="D5120" s="136" t="s">
        <v>7264</v>
      </c>
      <c r="E5120" s="18" t="s">
        <v>764</v>
      </c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9"/>
      <c r="AB5120" s="9"/>
      <c r="AC5120" s="9"/>
      <c r="AD5120" s="9"/>
    </row>
    <row r="5121">
      <c r="A5121" s="16" t="s">
        <v>7241</v>
      </c>
      <c r="B5121" s="22" t="s">
        <v>7265</v>
      </c>
      <c r="C5121" s="23" t="s">
        <v>7266</v>
      </c>
      <c r="D5121" s="136" t="s">
        <v>7267</v>
      </c>
      <c r="E5121" s="20" t="s">
        <v>7</v>
      </c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9"/>
      <c r="AD5121" s="9"/>
    </row>
    <row r="5122">
      <c r="A5122" s="16" t="s">
        <v>7241</v>
      </c>
      <c r="B5122" s="22" t="s">
        <v>7265</v>
      </c>
      <c r="C5122" s="23" t="s">
        <v>7100</v>
      </c>
      <c r="D5122" s="136" t="s">
        <v>7268</v>
      </c>
      <c r="E5122" s="20" t="s">
        <v>7</v>
      </c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9"/>
      <c r="AC5122" s="9"/>
      <c r="AD5122" s="9"/>
    </row>
    <row r="5123">
      <c r="A5123" s="16" t="s">
        <v>7241</v>
      </c>
      <c r="B5123" s="22" t="s">
        <v>7269</v>
      </c>
      <c r="C5123" s="23" t="s">
        <v>7270</v>
      </c>
      <c r="D5123" s="136" t="s">
        <v>7271</v>
      </c>
      <c r="E5123" s="18" t="s">
        <v>7272</v>
      </c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  <c r="AA5123" s="9"/>
      <c r="AB5123" s="9"/>
      <c r="AC5123" s="9"/>
      <c r="AD5123" s="9"/>
    </row>
    <row r="5124">
      <c r="A5124" s="16" t="s">
        <v>7241</v>
      </c>
      <c r="B5124" s="22" t="s">
        <v>7269</v>
      </c>
      <c r="C5124" s="23" t="s">
        <v>7273</v>
      </c>
      <c r="D5124" s="136" t="s">
        <v>7274</v>
      </c>
      <c r="E5124" s="23" t="s">
        <v>4261</v>
      </c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9"/>
      <c r="AC5124" s="9"/>
      <c r="AD5124" s="9"/>
    </row>
    <row r="5125">
      <c r="A5125" s="16" t="s">
        <v>7241</v>
      </c>
      <c r="B5125" s="22" t="s">
        <v>7275</v>
      </c>
      <c r="C5125" s="23" t="s">
        <v>7276</v>
      </c>
      <c r="D5125" s="136" t="s">
        <v>7277</v>
      </c>
      <c r="E5125" s="23" t="s">
        <v>4261</v>
      </c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  <c r="AB5125" s="9"/>
      <c r="AC5125" s="9"/>
      <c r="AD5125" s="9"/>
    </row>
    <row r="5126">
      <c r="A5126" s="16"/>
      <c r="B5126" s="22"/>
      <c r="C5126" s="18"/>
      <c r="D5126" s="19"/>
      <c r="E5126" s="18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9"/>
      <c r="AC5126" s="9"/>
      <c r="AD5126" s="9"/>
    </row>
    <row r="5127">
      <c r="A5127" s="16"/>
      <c r="B5127" s="22"/>
      <c r="C5127" s="18"/>
      <c r="D5127" s="19"/>
      <c r="E5127" s="18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9"/>
      <c r="AD5127" s="9"/>
    </row>
    <row r="5128">
      <c r="A5128" s="16" t="s">
        <v>7278</v>
      </c>
      <c r="B5128" s="22" t="s">
        <v>7279</v>
      </c>
      <c r="C5128" s="18" t="s">
        <v>7280</v>
      </c>
      <c r="D5128" s="19" t="s">
        <v>7281</v>
      </c>
      <c r="E5128" s="18" t="s">
        <v>764</v>
      </c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  <c r="AB5128" s="9"/>
      <c r="AC5128" s="9"/>
      <c r="AD5128" s="9"/>
    </row>
    <row r="5129">
      <c r="A5129" s="16" t="s">
        <v>7278</v>
      </c>
      <c r="B5129" s="22" t="s">
        <v>7135</v>
      </c>
      <c r="C5129" s="18" t="s">
        <v>7282</v>
      </c>
      <c r="D5129" s="19" t="s">
        <v>7283</v>
      </c>
      <c r="E5129" s="18" t="s">
        <v>309</v>
      </c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</row>
    <row r="5130">
      <c r="A5130" s="16" t="s">
        <v>7278</v>
      </c>
      <c r="B5130" s="22" t="s">
        <v>7284</v>
      </c>
      <c r="C5130" s="18" t="s">
        <v>7152</v>
      </c>
      <c r="D5130" s="19" t="s">
        <v>5433</v>
      </c>
      <c r="E5130" s="18" t="s">
        <v>764</v>
      </c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  <c r="AB5130" s="9"/>
      <c r="AC5130" s="9"/>
      <c r="AD5130" s="9"/>
    </row>
    <row r="5131">
      <c r="A5131" s="16" t="s">
        <v>7278</v>
      </c>
      <c r="B5131" s="22" t="s">
        <v>6406</v>
      </c>
      <c r="C5131" s="18" t="s">
        <v>7285</v>
      </c>
      <c r="D5131" s="19" t="s">
        <v>513</v>
      </c>
      <c r="E5131" s="18" t="s">
        <v>3515</v>
      </c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9"/>
      <c r="AD5131" s="9"/>
    </row>
    <row r="5132">
      <c r="A5132" s="16"/>
      <c r="B5132" s="22"/>
      <c r="C5132" s="18"/>
      <c r="D5132" s="19"/>
      <c r="E5132" s="18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  <c r="AA5132" s="9"/>
      <c r="AB5132" s="9"/>
      <c r="AC5132" s="9"/>
      <c r="AD5132" s="9"/>
    </row>
    <row r="5133">
      <c r="A5133" s="16"/>
      <c r="B5133" s="22"/>
      <c r="C5133" s="18"/>
      <c r="D5133" s="19"/>
      <c r="E5133" s="18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</row>
    <row r="5134">
      <c r="A5134" s="16" t="s">
        <v>7286</v>
      </c>
      <c r="B5134" s="22" t="s">
        <v>7287</v>
      </c>
      <c r="C5134" s="18" t="s">
        <v>3021</v>
      </c>
      <c r="D5134" s="19" t="s">
        <v>7288</v>
      </c>
      <c r="E5134" s="18" t="s">
        <v>14</v>
      </c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  <c r="AB5134" s="9"/>
      <c r="AC5134" s="9"/>
      <c r="AD5134" s="9"/>
    </row>
    <row r="5135">
      <c r="A5135" s="16" t="s">
        <v>7286</v>
      </c>
      <c r="B5135" s="22" t="s">
        <v>7289</v>
      </c>
      <c r="C5135" s="18" t="s">
        <v>7290</v>
      </c>
      <c r="D5135" s="19" t="s">
        <v>7291</v>
      </c>
      <c r="E5135" s="18" t="s">
        <v>125</v>
      </c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9"/>
      <c r="AB5135" s="9"/>
      <c r="AC5135" s="9"/>
      <c r="AD5135" s="9"/>
    </row>
    <row r="5136">
      <c r="A5136" s="16" t="s">
        <v>7286</v>
      </c>
      <c r="B5136" s="22" t="s">
        <v>7209</v>
      </c>
      <c r="C5136" s="18" t="s">
        <v>7292</v>
      </c>
      <c r="D5136" s="19" t="s">
        <v>7293</v>
      </c>
      <c r="E5136" s="18" t="s">
        <v>4624</v>
      </c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  <c r="AB5136" s="9"/>
      <c r="AC5136" s="9"/>
      <c r="AD5136" s="9"/>
    </row>
    <row r="5137">
      <c r="A5137" s="16" t="s">
        <v>7286</v>
      </c>
      <c r="B5137" s="22" t="s">
        <v>7209</v>
      </c>
      <c r="C5137" s="18" t="s">
        <v>7294</v>
      </c>
      <c r="D5137" s="19" t="s">
        <v>7293</v>
      </c>
      <c r="E5137" s="18" t="s">
        <v>4624</v>
      </c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9"/>
      <c r="AD5137" s="9"/>
    </row>
    <row r="5138">
      <c r="A5138" s="16" t="s">
        <v>7286</v>
      </c>
      <c r="B5138" s="22" t="s">
        <v>7209</v>
      </c>
      <c r="C5138" s="18" t="s">
        <v>7295</v>
      </c>
      <c r="D5138" s="19" t="s">
        <v>7293</v>
      </c>
      <c r="E5138" s="18" t="s">
        <v>4624</v>
      </c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9"/>
      <c r="AD5138" s="9"/>
    </row>
    <row r="5139">
      <c r="A5139" s="16" t="s">
        <v>7286</v>
      </c>
      <c r="B5139" s="22" t="s">
        <v>6867</v>
      </c>
      <c r="C5139" s="18" t="s">
        <v>7296</v>
      </c>
      <c r="D5139" s="19" t="s">
        <v>7297</v>
      </c>
      <c r="E5139" s="18" t="s">
        <v>125</v>
      </c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9"/>
      <c r="AD5139" s="9"/>
    </row>
    <row r="5140">
      <c r="A5140" s="16" t="s">
        <v>7286</v>
      </c>
      <c r="B5140" s="22" t="s">
        <v>7298</v>
      </c>
      <c r="C5140" s="18" t="s">
        <v>7299</v>
      </c>
      <c r="D5140" s="19" t="s">
        <v>7300</v>
      </c>
      <c r="E5140" s="18" t="s">
        <v>309</v>
      </c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9"/>
      <c r="AD5140" s="9"/>
    </row>
    <row r="5141">
      <c r="A5141" s="16" t="s">
        <v>7286</v>
      </c>
      <c r="B5141" s="22" t="s">
        <v>7298</v>
      </c>
      <c r="C5141" s="18" t="s">
        <v>7301</v>
      </c>
      <c r="D5141" s="19" t="s">
        <v>7300</v>
      </c>
      <c r="E5141" s="18" t="s">
        <v>309</v>
      </c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</row>
    <row r="5142">
      <c r="A5142" s="16" t="s">
        <v>7286</v>
      </c>
      <c r="B5142" s="22" t="s">
        <v>7298</v>
      </c>
      <c r="C5142" s="18" t="s">
        <v>7302</v>
      </c>
      <c r="D5142" s="19" t="s">
        <v>7300</v>
      </c>
      <c r="E5142" s="18" t="s">
        <v>309</v>
      </c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9"/>
      <c r="AB5142" s="9"/>
      <c r="AC5142" s="9"/>
      <c r="AD5142" s="9"/>
    </row>
    <row r="5143">
      <c r="A5143" s="16"/>
      <c r="B5143" s="22"/>
      <c r="C5143" s="18"/>
      <c r="D5143" s="19"/>
      <c r="E5143" s="18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9"/>
      <c r="AD5143" s="9"/>
    </row>
    <row r="5144">
      <c r="A5144" s="16"/>
      <c r="B5144" s="22"/>
      <c r="C5144" s="18"/>
      <c r="D5144" s="19"/>
      <c r="E5144" s="18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  <c r="AB5144" s="9"/>
      <c r="AC5144" s="9"/>
      <c r="AD5144" s="9"/>
    </row>
    <row r="5145">
      <c r="A5145" s="16" t="s">
        <v>7303</v>
      </c>
      <c r="B5145" s="22" t="s">
        <v>6406</v>
      </c>
      <c r="C5145" s="18" t="s">
        <v>7304</v>
      </c>
      <c r="D5145" s="19" t="s">
        <v>7305</v>
      </c>
      <c r="E5145" s="18" t="s">
        <v>807</v>
      </c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9"/>
      <c r="AD5145" s="9"/>
    </row>
    <row r="5146">
      <c r="A5146" s="16" t="s">
        <v>7303</v>
      </c>
      <c r="B5146" s="22" t="s">
        <v>7167</v>
      </c>
      <c r="C5146" s="18" t="s">
        <v>677</v>
      </c>
      <c r="D5146" s="19" t="s">
        <v>7306</v>
      </c>
      <c r="E5146" s="18" t="s">
        <v>309</v>
      </c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9"/>
      <c r="AC5146" s="9"/>
      <c r="AD5146" s="9"/>
    </row>
    <row r="5147">
      <c r="A5147" s="16" t="s">
        <v>7303</v>
      </c>
      <c r="B5147" s="22" t="s">
        <v>7307</v>
      </c>
      <c r="C5147" s="18" t="s">
        <v>1365</v>
      </c>
      <c r="D5147" s="19" t="s">
        <v>7308</v>
      </c>
      <c r="E5147" s="18" t="s">
        <v>3528</v>
      </c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9"/>
      <c r="AD5147" s="9"/>
    </row>
    <row r="5148">
      <c r="A5148" s="16" t="s">
        <v>7303</v>
      </c>
      <c r="B5148" s="22" t="s">
        <v>7307</v>
      </c>
      <c r="C5148" s="18" t="s">
        <v>1365</v>
      </c>
      <c r="D5148" s="19" t="s">
        <v>7309</v>
      </c>
      <c r="E5148" s="18" t="s">
        <v>4624</v>
      </c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  <c r="AB5148" s="9"/>
      <c r="AC5148" s="9"/>
      <c r="AD5148" s="9"/>
    </row>
    <row r="5149">
      <c r="A5149" s="16" t="s">
        <v>7303</v>
      </c>
      <c r="B5149" s="22" t="s">
        <v>7307</v>
      </c>
      <c r="C5149" s="18" t="s">
        <v>7310</v>
      </c>
      <c r="D5149" s="19" t="s">
        <v>7311</v>
      </c>
      <c r="E5149" s="18" t="s">
        <v>4624</v>
      </c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</row>
    <row r="5150">
      <c r="A5150" s="16" t="s">
        <v>7303</v>
      </c>
      <c r="B5150" s="22" t="s">
        <v>7307</v>
      </c>
      <c r="C5150" s="18" t="s">
        <v>1365</v>
      </c>
      <c r="D5150" s="19" t="s">
        <v>7312</v>
      </c>
      <c r="E5150" s="18" t="s">
        <v>4624</v>
      </c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  <c r="AB5150" s="9"/>
      <c r="AC5150" s="9"/>
      <c r="AD5150" s="9"/>
    </row>
    <row r="5151">
      <c r="A5151" s="16" t="s">
        <v>7303</v>
      </c>
      <c r="B5151" s="22" t="s">
        <v>7307</v>
      </c>
      <c r="C5151" s="18" t="s">
        <v>7313</v>
      </c>
      <c r="D5151" s="19" t="s">
        <v>7314</v>
      </c>
      <c r="E5151" s="18" t="s">
        <v>4624</v>
      </c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  <c r="AB5151" s="9"/>
      <c r="AC5151" s="9"/>
      <c r="AD5151" s="9"/>
    </row>
    <row r="5152">
      <c r="A5152" s="16" t="s">
        <v>7303</v>
      </c>
      <c r="B5152" s="22" t="s">
        <v>7307</v>
      </c>
      <c r="C5152" s="18" t="s">
        <v>7315</v>
      </c>
      <c r="D5152" s="19" t="s">
        <v>7316</v>
      </c>
      <c r="E5152" s="18" t="s">
        <v>4624</v>
      </c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  <c r="AB5152" s="9"/>
      <c r="AC5152" s="9"/>
      <c r="AD5152" s="9"/>
    </row>
    <row r="5153">
      <c r="A5153" s="16" t="s">
        <v>7303</v>
      </c>
      <c r="B5153" s="22" t="s">
        <v>7307</v>
      </c>
      <c r="C5153" s="18" t="s">
        <v>1365</v>
      </c>
      <c r="D5153" s="19" t="s">
        <v>4969</v>
      </c>
      <c r="E5153" s="18" t="s">
        <v>4624</v>
      </c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9"/>
      <c r="AD5153" s="9"/>
    </row>
    <row r="5154">
      <c r="A5154" s="16" t="s">
        <v>7303</v>
      </c>
      <c r="B5154" s="22" t="s">
        <v>7307</v>
      </c>
      <c r="C5154" s="18" t="s">
        <v>7317</v>
      </c>
      <c r="D5154" s="19" t="s">
        <v>7318</v>
      </c>
      <c r="E5154" s="18" t="s">
        <v>4624</v>
      </c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</row>
    <row r="5155">
      <c r="A5155" s="16" t="s">
        <v>7303</v>
      </c>
      <c r="B5155" s="22" t="s">
        <v>7307</v>
      </c>
      <c r="C5155" s="18" t="s">
        <v>7315</v>
      </c>
      <c r="D5155" s="19" t="s">
        <v>7319</v>
      </c>
      <c r="E5155" s="18" t="s">
        <v>4624</v>
      </c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9"/>
      <c r="AD5155" s="9"/>
    </row>
    <row r="5156">
      <c r="A5156" s="16" t="s">
        <v>7303</v>
      </c>
      <c r="B5156" s="22" t="s">
        <v>7307</v>
      </c>
      <c r="C5156" s="18" t="s">
        <v>7315</v>
      </c>
      <c r="D5156" s="19" t="s">
        <v>7320</v>
      </c>
      <c r="E5156" s="18" t="s">
        <v>4624</v>
      </c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  <c r="AB5156" s="9"/>
      <c r="AC5156" s="9"/>
      <c r="AD5156" s="9"/>
    </row>
    <row r="5157">
      <c r="A5157" s="16" t="s">
        <v>7303</v>
      </c>
      <c r="B5157" s="22" t="s">
        <v>7307</v>
      </c>
      <c r="C5157" s="18" t="s">
        <v>7315</v>
      </c>
      <c r="D5157" s="19" t="s">
        <v>7321</v>
      </c>
      <c r="E5157" s="18" t="s">
        <v>4624</v>
      </c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9"/>
      <c r="AD5157" s="9"/>
    </row>
    <row r="5158">
      <c r="A5158" s="16" t="s">
        <v>7303</v>
      </c>
      <c r="B5158" s="22" t="s">
        <v>7307</v>
      </c>
      <c r="C5158" s="18" t="s">
        <v>7315</v>
      </c>
      <c r="D5158" s="19" t="s">
        <v>7322</v>
      </c>
      <c r="E5158" s="18" t="s">
        <v>4624</v>
      </c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9"/>
      <c r="AD5158" s="9"/>
    </row>
    <row r="5159">
      <c r="A5159" s="16" t="s">
        <v>7303</v>
      </c>
      <c r="B5159" s="22" t="s">
        <v>7307</v>
      </c>
      <c r="C5159" s="18" t="s">
        <v>7315</v>
      </c>
      <c r="D5159" s="19" t="s">
        <v>7319</v>
      </c>
      <c r="E5159" s="18" t="s">
        <v>4624</v>
      </c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</row>
    <row r="5160">
      <c r="A5160" s="16" t="s">
        <v>7303</v>
      </c>
      <c r="B5160" s="22" t="s">
        <v>7307</v>
      </c>
      <c r="C5160" s="18" t="s">
        <v>7317</v>
      </c>
      <c r="D5160" s="19" t="s">
        <v>7323</v>
      </c>
      <c r="E5160" s="18" t="s">
        <v>4624</v>
      </c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  <c r="AB5160" s="9"/>
      <c r="AC5160" s="9"/>
      <c r="AD5160" s="9"/>
    </row>
    <row r="5161">
      <c r="A5161" s="16" t="s">
        <v>7303</v>
      </c>
      <c r="B5161" s="22" t="s">
        <v>7307</v>
      </c>
      <c r="C5161" s="18" t="s">
        <v>7324</v>
      </c>
      <c r="D5161" s="19" t="s">
        <v>7325</v>
      </c>
      <c r="E5161" s="18" t="s">
        <v>4624</v>
      </c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9"/>
      <c r="AD5161" s="9"/>
    </row>
    <row r="5162">
      <c r="A5162" s="16" t="s">
        <v>7303</v>
      </c>
      <c r="B5162" s="22" t="s">
        <v>7307</v>
      </c>
      <c r="C5162" s="18" t="s">
        <v>5424</v>
      </c>
      <c r="D5162" s="19" t="s">
        <v>7326</v>
      </c>
      <c r="E5162" s="18" t="s">
        <v>4624</v>
      </c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9"/>
      <c r="AD5162" s="9"/>
    </row>
    <row r="5163">
      <c r="A5163" s="16" t="s">
        <v>7303</v>
      </c>
      <c r="B5163" s="22" t="s">
        <v>7209</v>
      </c>
      <c r="C5163" s="18" t="s">
        <v>7327</v>
      </c>
      <c r="D5163" s="19" t="s">
        <v>7328</v>
      </c>
      <c r="E5163" s="18" t="s">
        <v>309</v>
      </c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</row>
    <row r="5164">
      <c r="A5164" s="16"/>
      <c r="B5164" s="22"/>
      <c r="C5164" s="18"/>
      <c r="D5164" s="19"/>
      <c r="E5164" s="18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  <c r="AB5164" s="9"/>
      <c r="AC5164" s="9"/>
      <c r="AD5164" s="9"/>
    </row>
    <row r="5165">
      <c r="A5165" s="16"/>
      <c r="B5165" s="22"/>
      <c r="C5165" s="18"/>
      <c r="D5165" s="19"/>
      <c r="E5165" s="18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  <c r="AB5165" s="9"/>
      <c r="AC5165" s="9"/>
      <c r="AD5165" s="9"/>
    </row>
    <row r="5166">
      <c r="A5166" s="16" t="s">
        <v>7329</v>
      </c>
      <c r="B5166" s="22" t="s">
        <v>7330</v>
      </c>
      <c r="C5166" s="18" t="s">
        <v>7315</v>
      </c>
      <c r="D5166" s="19" t="s">
        <v>7331</v>
      </c>
      <c r="E5166" s="18" t="s">
        <v>4624</v>
      </c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  <c r="AB5166" s="9"/>
      <c r="AC5166" s="9"/>
      <c r="AD5166" s="9"/>
    </row>
    <row r="5167">
      <c r="A5167" s="16" t="s">
        <v>7329</v>
      </c>
      <c r="B5167" s="22" t="s">
        <v>7330</v>
      </c>
      <c r="C5167" s="18" t="s">
        <v>7315</v>
      </c>
      <c r="D5167" s="19" t="s">
        <v>7332</v>
      </c>
      <c r="E5167" s="18" t="s">
        <v>4624</v>
      </c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  <c r="AB5167" s="9"/>
      <c r="AC5167" s="9"/>
      <c r="AD5167" s="9"/>
    </row>
    <row r="5168">
      <c r="A5168" s="16" t="s">
        <v>7329</v>
      </c>
      <c r="B5168" s="22" t="s">
        <v>7330</v>
      </c>
      <c r="C5168" s="18" t="s">
        <v>7315</v>
      </c>
      <c r="D5168" s="19" t="s">
        <v>7333</v>
      </c>
      <c r="E5168" s="18" t="s">
        <v>4624</v>
      </c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  <c r="AB5168" s="9"/>
      <c r="AC5168" s="9"/>
      <c r="AD5168" s="9"/>
    </row>
    <row r="5169">
      <c r="A5169" s="16" t="s">
        <v>7329</v>
      </c>
      <c r="B5169" s="22" t="s">
        <v>7330</v>
      </c>
      <c r="C5169" s="18" t="s">
        <v>7315</v>
      </c>
      <c r="D5169" s="19" t="s">
        <v>7334</v>
      </c>
      <c r="E5169" s="18" t="s">
        <v>4624</v>
      </c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9"/>
      <c r="AD5169" s="9"/>
    </row>
    <row r="5170">
      <c r="A5170" s="16" t="s">
        <v>7329</v>
      </c>
      <c r="B5170" s="22" t="s">
        <v>7330</v>
      </c>
      <c r="C5170" s="18" t="s">
        <v>7315</v>
      </c>
      <c r="D5170" s="19" t="s">
        <v>1489</v>
      </c>
      <c r="E5170" s="18" t="s">
        <v>4624</v>
      </c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9"/>
      <c r="AD5170" s="9"/>
    </row>
    <row r="5171">
      <c r="A5171" s="16" t="s">
        <v>7329</v>
      </c>
      <c r="B5171" s="22" t="s">
        <v>7330</v>
      </c>
      <c r="C5171" s="18" t="s">
        <v>7315</v>
      </c>
      <c r="D5171" s="19" t="s">
        <v>7335</v>
      </c>
      <c r="E5171" s="18" t="s">
        <v>4624</v>
      </c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  <c r="AB5171" s="9"/>
      <c r="AC5171" s="9"/>
      <c r="AD5171" s="9"/>
    </row>
    <row r="5172">
      <c r="A5172" s="16" t="s">
        <v>7329</v>
      </c>
      <c r="B5172" s="22" t="s">
        <v>7330</v>
      </c>
      <c r="C5172" s="18" t="s">
        <v>7315</v>
      </c>
      <c r="D5172" s="19" t="s">
        <v>7336</v>
      </c>
      <c r="E5172" s="18" t="s">
        <v>4624</v>
      </c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  <c r="AB5172" s="9"/>
      <c r="AC5172" s="9"/>
      <c r="AD5172" s="9"/>
    </row>
    <row r="5173">
      <c r="A5173" s="16" t="s">
        <v>7329</v>
      </c>
      <c r="B5173" s="22" t="s">
        <v>7330</v>
      </c>
      <c r="C5173" s="18" t="s">
        <v>7337</v>
      </c>
      <c r="D5173" s="19" t="s">
        <v>7338</v>
      </c>
      <c r="E5173" s="18" t="s">
        <v>4624</v>
      </c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9"/>
      <c r="AD5173" s="9"/>
    </row>
    <row r="5174">
      <c r="A5174" s="16" t="s">
        <v>7329</v>
      </c>
      <c r="B5174" s="22" t="s">
        <v>7330</v>
      </c>
      <c r="C5174" s="18" t="s">
        <v>7337</v>
      </c>
      <c r="D5174" s="19" t="s">
        <v>7339</v>
      </c>
      <c r="E5174" s="18" t="s">
        <v>4624</v>
      </c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  <c r="AB5174" s="9"/>
      <c r="AC5174" s="9"/>
      <c r="AD5174" s="9"/>
    </row>
    <row r="5175">
      <c r="A5175" s="16" t="s">
        <v>7329</v>
      </c>
      <c r="B5175" s="22" t="s">
        <v>7330</v>
      </c>
      <c r="C5175" s="18" t="s">
        <v>7315</v>
      </c>
      <c r="D5175" s="19" t="s">
        <v>7340</v>
      </c>
      <c r="E5175" s="18" t="s">
        <v>4624</v>
      </c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  <c r="AB5175" s="9"/>
      <c r="AC5175" s="9"/>
      <c r="AD5175" s="9"/>
    </row>
    <row r="5176">
      <c r="A5176" s="16" t="s">
        <v>7329</v>
      </c>
      <c r="B5176" s="22" t="s">
        <v>7330</v>
      </c>
      <c r="C5176" s="18" t="s">
        <v>7341</v>
      </c>
      <c r="D5176" s="19" t="s">
        <v>7342</v>
      </c>
      <c r="E5176" s="18" t="s">
        <v>4624</v>
      </c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9"/>
      <c r="AD5176" s="9"/>
    </row>
    <row r="5177">
      <c r="A5177" s="16" t="s">
        <v>7329</v>
      </c>
      <c r="B5177" s="22" t="s">
        <v>7343</v>
      </c>
      <c r="C5177" s="18" t="s">
        <v>7344</v>
      </c>
      <c r="D5177" s="19" t="s">
        <v>7345</v>
      </c>
      <c r="E5177" s="18" t="s">
        <v>4261</v>
      </c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9"/>
      <c r="AD5177" s="9"/>
    </row>
    <row r="5178">
      <c r="A5178" s="16"/>
      <c r="B5178" s="22"/>
      <c r="C5178" s="18"/>
      <c r="D5178" s="19"/>
      <c r="E5178" s="18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</row>
    <row r="5179">
      <c r="A5179" s="16"/>
      <c r="B5179" s="22"/>
      <c r="C5179" s="18"/>
      <c r="D5179" s="19"/>
      <c r="E5179" s="18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</row>
    <row r="5180">
      <c r="A5180" s="16" t="s">
        <v>7346</v>
      </c>
      <c r="B5180" s="22" t="s">
        <v>7287</v>
      </c>
      <c r="C5180" s="18" t="s">
        <v>7347</v>
      </c>
      <c r="D5180" s="19" t="s">
        <v>7348</v>
      </c>
      <c r="E5180" s="18" t="s">
        <v>1405</v>
      </c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</row>
    <row r="5181">
      <c r="A5181" s="16"/>
      <c r="B5181" s="22"/>
      <c r="C5181" s="18"/>
      <c r="D5181" s="19"/>
      <c r="E5181" s="18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</row>
    <row r="5182">
      <c r="A5182" s="16"/>
      <c r="B5182" s="22"/>
      <c r="C5182" s="18"/>
      <c r="D5182" s="19"/>
      <c r="E5182" s="18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</row>
    <row r="5183">
      <c r="A5183" s="16" t="s">
        <v>7349</v>
      </c>
      <c r="B5183" s="22" t="s">
        <v>7350</v>
      </c>
      <c r="C5183" s="18" t="s">
        <v>7351</v>
      </c>
      <c r="D5183" s="19" t="s">
        <v>7352</v>
      </c>
      <c r="E5183" s="18" t="s">
        <v>4624</v>
      </c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</row>
    <row r="5184">
      <c r="A5184" s="16" t="s">
        <v>7349</v>
      </c>
      <c r="B5184" s="22" t="s">
        <v>7350</v>
      </c>
      <c r="C5184" s="18" t="s">
        <v>7351</v>
      </c>
      <c r="D5184" s="19" t="s">
        <v>7353</v>
      </c>
      <c r="E5184" s="18" t="s">
        <v>4624</v>
      </c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</row>
    <row r="5185">
      <c r="A5185" s="16" t="s">
        <v>7349</v>
      </c>
      <c r="B5185" s="22" t="s">
        <v>7350</v>
      </c>
      <c r="C5185" s="18" t="s">
        <v>7351</v>
      </c>
      <c r="D5185" s="19" t="s">
        <v>7354</v>
      </c>
      <c r="E5185" s="18" t="s">
        <v>4624</v>
      </c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</row>
    <row r="5186">
      <c r="A5186" s="16" t="s">
        <v>7349</v>
      </c>
      <c r="B5186" s="22" t="s">
        <v>7350</v>
      </c>
      <c r="C5186" s="18" t="s">
        <v>7351</v>
      </c>
      <c r="D5186" s="19" t="s">
        <v>7355</v>
      </c>
      <c r="E5186" s="18" t="s">
        <v>4624</v>
      </c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</row>
    <row r="5187">
      <c r="A5187" s="16" t="s">
        <v>7349</v>
      </c>
      <c r="B5187" s="22" t="s">
        <v>6412</v>
      </c>
      <c r="C5187" s="18" t="s">
        <v>7356</v>
      </c>
      <c r="D5187" s="19" t="s">
        <v>7357</v>
      </c>
      <c r="E5187" s="18" t="s">
        <v>309</v>
      </c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  <c r="AB5187" s="9"/>
      <c r="AC5187" s="9"/>
      <c r="AD5187" s="9"/>
    </row>
    <row r="5188">
      <c r="A5188" s="16" t="s">
        <v>7349</v>
      </c>
      <c r="B5188" s="22" t="s">
        <v>6412</v>
      </c>
      <c r="C5188" s="18" t="s">
        <v>7356</v>
      </c>
      <c r="D5188" s="19" t="s">
        <v>7358</v>
      </c>
      <c r="E5188" s="18" t="s">
        <v>1506</v>
      </c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</row>
    <row r="5189">
      <c r="A5189" s="16"/>
      <c r="B5189" s="22"/>
      <c r="C5189" s="18"/>
      <c r="D5189" s="19"/>
      <c r="E5189" s="18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  <c r="AB5189" s="9"/>
      <c r="AC5189" s="9"/>
      <c r="AD5189" s="9"/>
    </row>
    <row r="5190">
      <c r="A5190" s="16"/>
      <c r="B5190" s="22"/>
      <c r="C5190" s="18"/>
      <c r="D5190" s="19"/>
      <c r="E5190" s="18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</row>
    <row r="5191">
      <c r="A5191" s="16" t="s">
        <v>7359</v>
      </c>
      <c r="B5191" s="22" t="s">
        <v>6938</v>
      </c>
      <c r="C5191" s="18" t="s">
        <v>6369</v>
      </c>
      <c r="D5191" s="19" t="s">
        <v>6940</v>
      </c>
      <c r="E5191" s="18" t="s">
        <v>309</v>
      </c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9"/>
    </row>
    <row r="5192">
      <c r="A5192" s="16"/>
      <c r="B5192" s="22"/>
      <c r="C5192" s="18"/>
      <c r="D5192" s="19"/>
      <c r="E5192" s="18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  <c r="AB5192" s="9"/>
      <c r="AC5192" s="9"/>
      <c r="AD5192" s="9"/>
    </row>
    <row r="5193">
      <c r="A5193" s="16"/>
      <c r="B5193" s="22"/>
      <c r="C5193" s="18"/>
      <c r="D5193" s="19"/>
      <c r="E5193" s="18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  <c r="AA5193" s="9"/>
      <c r="AB5193" s="9"/>
      <c r="AC5193" s="9"/>
      <c r="AD5193" s="9"/>
    </row>
    <row r="5194">
      <c r="A5194" s="16" t="s">
        <v>7360</v>
      </c>
      <c r="B5194" s="22" t="s">
        <v>7209</v>
      </c>
      <c r="C5194" s="18" t="s">
        <v>7361</v>
      </c>
      <c r="D5194" s="19" t="s">
        <v>7293</v>
      </c>
      <c r="E5194" s="18" t="s">
        <v>6297</v>
      </c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  <c r="Z5194" s="9"/>
      <c r="AA5194" s="9"/>
      <c r="AB5194" s="9"/>
      <c r="AC5194" s="9"/>
      <c r="AD5194" s="9"/>
    </row>
    <row r="5195">
      <c r="A5195" s="16" t="s">
        <v>7360</v>
      </c>
      <c r="B5195" s="22" t="s">
        <v>7198</v>
      </c>
      <c r="C5195" s="18" t="s">
        <v>5</v>
      </c>
      <c r="D5195" s="18" t="s">
        <v>7362</v>
      </c>
      <c r="E5195" s="18" t="s">
        <v>1320</v>
      </c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  <c r="AA5195" s="9"/>
      <c r="AB5195" s="9"/>
      <c r="AC5195" s="9"/>
      <c r="AD5195" s="9"/>
    </row>
    <row r="5196">
      <c r="A5196" s="16" t="s">
        <v>7360</v>
      </c>
      <c r="B5196" s="22" t="s">
        <v>7307</v>
      </c>
      <c r="C5196" s="18" t="s">
        <v>7315</v>
      </c>
      <c r="D5196" s="19" t="s">
        <v>7333</v>
      </c>
      <c r="E5196" s="9" t="s">
        <v>764</v>
      </c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9"/>
      <c r="AA5196" s="9"/>
      <c r="AB5196" s="9"/>
      <c r="AC5196" s="9"/>
      <c r="AD5196" s="9"/>
    </row>
    <row r="5197">
      <c r="A5197" s="16" t="s">
        <v>7360</v>
      </c>
      <c r="B5197" s="22" t="s">
        <v>7307</v>
      </c>
      <c r="C5197" s="18" t="s">
        <v>7315</v>
      </c>
      <c r="D5197" s="19" t="s">
        <v>7332</v>
      </c>
      <c r="E5197" s="9" t="s">
        <v>764</v>
      </c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  <c r="AA5197" s="9"/>
      <c r="AB5197" s="9"/>
      <c r="AC5197" s="9"/>
      <c r="AD5197" s="9"/>
    </row>
    <row r="5198">
      <c r="A5198" s="16" t="s">
        <v>7360</v>
      </c>
      <c r="B5198" s="22" t="s">
        <v>7307</v>
      </c>
      <c r="C5198" s="18" t="s">
        <v>7315</v>
      </c>
      <c r="D5198" s="19" t="s">
        <v>7334</v>
      </c>
      <c r="E5198" s="9" t="s">
        <v>764</v>
      </c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  <c r="Z5198" s="9"/>
      <c r="AA5198" s="9"/>
      <c r="AB5198" s="9"/>
      <c r="AC5198" s="9"/>
      <c r="AD5198" s="9"/>
    </row>
    <row r="5199">
      <c r="A5199" s="16" t="s">
        <v>7360</v>
      </c>
      <c r="B5199" s="22" t="s">
        <v>7307</v>
      </c>
      <c r="C5199" s="18" t="s">
        <v>7315</v>
      </c>
      <c r="D5199" s="19" t="s">
        <v>1489</v>
      </c>
      <c r="E5199" s="9" t="s">
        <v>764</v>
      </c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9"/>
      <c r="AD5199" s="9"/>
    </row>
    <row r="5200">
      <c r="A5200" s="16" t="s">
        <v>7360</v>
      </c>
      <c r="B5200" s="22" t="s">
        <v>7363</v>
      </c>
      <c r="C5200" s="18" t="s">
        <v>7120</v>
      </c>
      <c r="D5200" s="18" t="s">
        <v>7119</v>
      </c>
      <c r="E5200" s="20" t="s">
        <v>7</v>
      </c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  <c r="AA5200" s="9"/>
      <c r="AB5200" s="9"/>
      <c r="AC5200" s="9"/>
      <c r="AD5200" s="9"/>
    </row>
    <row r="5201">
      <c r="A5201" s="16" t="s">
        <v>7360</v>
      </c>
      <c r="B5201" s="22" t="s">
        <v>7363</v>
      </c>
      <c r="C5201" s="18" t="s">
        <v>7096</v>
      </c>
      <c r="D5201" s="18" t="s">
        <v>7094</v>
      </c>
      <c r="E5201" s="18" t="s">
        <v>309</v>
      </c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  <c r="AB5201" s="9"/>
      <c r="AC5201" s="9"/>
      <c r="AD5201" s="9"/>
    </row>
    <row r="5202">
      <c r="A5202" s="16"/>
      <c r="B5202" s="22"/>
      <c r="C5202" s="18"/>
      <c r="D5202" s="19"/>
      <c r="E5202" s="18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  <c r="AB5202" s="9"/>
      <c r="AC5202" s="9"/>
      <c r="AD5202" s="9"/>
    </row>
    <row r="5203">
      <c r="A5203" s="16"/>
      <c r="B5203" s="22"/>
      <c r="C5203" s="18"/>
      <c r="D5203" s="19"/>
      <c r="E5203" s="18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  <c r="AB5203" s="9"/>
      <c r="AC5203" s="9"/>
      <c r="AD5203" s="9"/>
    </row>
    <row r="5204">
      <c r="A5204" s="16" t="s">
        <v>7364</v>
      </c>
      <c r="B5204" s="22" t="s">
        <v>7307</v>
      </c>
      <c r="C5204" s="18" t="s">
        <v>7365</v>
      </c>
      <c r="D5204" s="19" t="s">
        <v>7366</v>
      </c>
      <c r="E5204" s="9" t="s">
        <v>764</v>
      </c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  <c r="AB5204" s="9"/>
      <c r="AC5204" s="9"/>
      <c r="AD5204" s="9"/>
    </row>
    <row r="5205">
      <c r="A5205" s="16" t="s">
        <v>7364</v>
      </c>
      <c r="B5205" s="22" t="s">
        <v>7307</v>
      </c>
      <c r="C5205" s="18" t="s">
        <v>7315</v>
      </c>
      <c r="D5205" s="19" t="s">
        <v>7367</v>
      </c>
      <c r="E5205" s="9" t="s">
        <v>764</v>
      </c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  <c r="AA5205" s="9"/>
      <c r="AB5205" s="9"/>
      <c r="AC5205" s="9"/>
      <c r="AD5205" s="9"/>
    </row>
    <row r="5206">
      <c r="A5206" s="16" t="s">
        <v>7364</v>
      </c>
      <c r="B5206" s="22" t="s">
        <v>7307</v>
      </c>
      <c r="C5206" s="18" t="s">
        <v>7337</v>
      </c>
      <c r="D5206" s="19" t="s">
        <v>7368</v>
      </c>
      <c r="E5206" s="9" t="s">
        <v>764</v>
      </c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  <c r="AB5206" s="9"/>
      <c r="AC5206" s="9"/>
      <c r="AD5206" s="9"/>
    </row>
    <row r="5207">
      <c r="A5207" s="16" t="s">
        <v>7364</v>
      </c>
      <c r="B5207" s="22" t="s">
        <v>7307</v>
      </c>
      <c r="C5207" s="18" t="s">
        <v>7313</v>
      </c>
      <c r="D5207" s="19" t="s">
        <v>7369</v>
      </c>
      <c r="E5207" s="9" t="s">
        <v>764</v>
      </c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  <c r="AB5207" s="9"/>
      <c r="AC5207" s="9"/>
      <c r="AD5207" s="9"/>
    </row>
    <row r="5208">
      <c r="A5208" s="16" t="s">
        <v>7364</v>
      </c>
      <c r="B5208" s="22" t="s">
        <v>7307</v>
      </c>
      <c r="C5208" s="18" t="s">
        <v>7315</v>
      </c>
      <c r="D5208" s="19" t="s">
        <v>7370</v>
      </c>
      <c r="E5208" s="9" t="s">
        <v>764</v>
      </c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9"/>
      <c r="AA5208" s="9"/>
      <c r="AB5208" s="9"/>
      <c r="AC5208" s="9"/>
      <c r="AD5208" s="9"/>
    </row>
    <row r="5209">
      <c r="A5209" s="16" t="s">
        <v>7364</v>
      </c>
      <c r="B5209" s="22" t="s">
        <v>7178</v>
      </c>
      <c r="C5209" s="18" t="s">
        <v>7371</v>
      </c>
      <c r="D5209" s="19" t="s">
        <v>7160</v>
      </c>
      <c r="E5209" s="18" t="s">
        <v>4624</v>
      </c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  <c r="AB5209" s="9"/>
      <c r="AC5209" s="9"/>
      <c r="AD5209" s="9"/>
    </row>
    <row r="5210">
      <c r="A5210" s="16" t="s">
        <v>7364</v>
      </c>
      <c r="B5210" s="22" t="s">
        <v>7178</v>
      </c>
      <c r="C5210" s="18" t="s">
        <v>7157</v>
      </c>
      <c r="D5210" s="19" t="s">
        <v>7372</v>
      </c>
      <c r="E5210" s="18" t="s">
        <v>4624</v>
      </c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  <c r="Z5210" s="9"/>
      <c r="AA5210" s="9"/>
      <c r="AB5210" s="9"/>
      <c r="AC5210" s="9"/>
      <c r="AD5210" s="9"/>
    </row>
    <row r="5211">
      <c r="A5211" s="16" t="s">
        <v>7364</v>
      </c>
      <c r="B5211" s="22" t="s">
        <v>7178</v>
      </c>
      <c r="C5211" s="18" t="s">
        <v>7157</v>
      </c>
      <c r="D5211" s="19" t="s">
        <v>7158</v>
      </c>
      <c r="E5211" s="18" t="s">
        <v>4624</v>
      </c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  <c r="AB5211" s="9"/>
      <c r="AC5211" s="9"/>
      <c r="AD5211" s="9"/>
    </row>
    <row r="5212">
      <c r="A5212" s="16" t="s">
        <v>7364</v>
      </c>
      <c r="B5212" s="22" t="s">
        <v>7135</v>
      </c>
      <c r="C5212" s="18" t="s">
        <v>7373</v>
      </c>
      <c r="D5212" s="19" t="s">
        <v>7328</v>
      </c>
      <c r="E5212" s="18" t="s">
        <v>309</v>
      </c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  <c r="AB5212" s="9"/>
      <c r="AC5212" s="9"/>
      <c r="AD5212" s="9"/>
    </row>
    <row r="5213">
      <c r="A5213" s="16" t="s">
        <v>7364</v>
      </c>
      <c r="B5213" s="22" t="s">
        <v>7135</v>
      </c>
      <c r="C5213" s="18" t="s">
        <v>7374</v>
      </c>
      <c r="D5213" s="19" t="s">
        <v>7328</v>
      </c>
      <c r="E5213" s="18" t="s">
        <v>309</v>
      </c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  <c r="AB5213" s="9"/>
      <c r="AC5213" s="9"/>
      <c r="AD5213" s="9"/>
    </row>
    <row r="5214">
      <c r="A5214" s="16"/>
      <c r="B5214" s="22"/>
      <c r="C5214" s="18"/>
      <c r="D5214" s="19"/>
      <c r="E5214" s="18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9"/>
      <c r="AD5214" s="9"/>
    </row>
    <row r="5215">
      <c r="A5215" s="16"/>
      <c r="B5215" s="22"/>
      <c r="C5215" s="18"/>
      <c r="D5215" s="19"/>
      <c r="E5215" s="18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  <c r="AB5215" s="9"/>
      <c r="AC5215" s="9"/>
      <c r="AD5215" s="9"/>
    </row>
    <row r="5216">
      <c r="A5216" s="16" t="s">
        <v>7375</v>
      </c>
      <c r="B5216" s="22" t="s">
        <v>7156</v>
      </c>
      <c r="C5216" s="18" t="s">
        <v>7157</v>
      </c>
      <c r="D5216" s="19" t="s">
        <v>7158</v>
      </c>
      <c r="E5216" s="18" t="s">
        <v>4624</v>
      </c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9"/>
      <c r="AD5216" s="9"/>
    </row>
    <row r="5217">
      <c r="A5217" s="16" t="s">
        <v>7375</v>
      </c>
      <c r="B5217" s="22" t="s">
        <v>7156</v>
      </c>
      <c r="C5217" s="18" t="s">
        <v>227</v>
      </c>
      <c r="D5217" s="19" t="s">
        <v>7376</v>
      </c>
      <c r="E5217" s="18" t="s">
        <v>4624</v>
      </c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  <c r="AA5217" s="9"/>
      <c r="AB5217" s="9"/>
      <c r="AC5217" s="9"/>
      <c r="AD5217" s="9"/>
    </row>
    <row r="5218">
      <c r="A5218" s="16" t="s">
        <v>7375</v>
      </c>
      <c r="B5218" s="22" t="s">
        <v>7377</v>
      </c>
      <c r="C5218" s="18" t="s">
        <v>4900</v>
      </c>
      <c r="D5218" s="19" t="s">
        <v>6622</v>
      </c>
      <c r="E5218" s="18" t="s">
        <v>4624</v>
      </c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  <c r="Z5218" s="9"/>
      <c r="AA5218" s="9"/>
      <c r="AB5218" s="9"/>
      <c r="AC5218" s="9"/>
      <c r="AD5218" s="9"/>
    </row>
    <row r="5219">
      <c r="A5219" s="16" t="s">
        <v>7375</v>
      </c>
      <c r="B5219" s="22" t="s">
        <v>6938</v>
      </c>
      <c r="C5219" s="18" t="s">
        <v>6949</v>
      </c>
      <c r="D5219" s="19" t="s">
        <v>7094</v>
      </c>
      <c r="E5219" s="18" t="s">
        <v>4624</v>
      </c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  <c r="AB5219" s="9"/>
      <c r="AC5219" s="9"/>
      <c r="AD5219" s="9"/>
    </row>
    <row r="5220">
      <c r="A5220" s="16" t="s">
        <v>7375</v>
      </c>
      <c r="B5220" s="22" t="s">
        <v>6938</v>
      </c>
      <c r="C5220" s="18" t="s">
        <v>7096</v>
      </c>
      <c r="D5220" s="19" t="s">
        <v>7094</v>
      </c>
      <c r="E5220" s="18" t="s">
        <v>309</v>
      </c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  <c r="AB5220" s="9"/>
      <c r="AC5220" s="9"/>
      <c r="AD5220" s="9"/>
    </row>
    <row r="5221">
      <c r="A5221" s="16" t="s">
        <v>7375</v>
      </c>
      <c r="B5221" s="22" t="s">
        <v>6938</v>
      </c>
      <c r="C5221" s="18" t="s">
        <v>7118</v>
      </c>
      <c r="D5221" s="19" t="s">
        <v>7119</v>
      </c>
      <c r="E5221" s="18" t="s">
        <v>4624</v>
      </c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  <c r="AB5221" s="9"/>
      <c r="AC5221" s="9"/>
      <c r="AD5221" s="9"/>
    </row>
    <row r="5222">
      <c r="A5222" s="16" t="s">
        <v>7375</v>
      </c>
      <c r="B5222" s="22" t="s">
        <v>6938</v>
      </c>
      <c r="C5222" s="18" t="s">
        <v>7120</v>
      </c>
      <c r="D5222" s="19" t="s">
        <v>7119</v>
      </c>
      <c r="E5222" s="18" t="s">
        <v>4624</v>
      </c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  <c r="AB5222" s="9"/>
      <c r="AC5222" s="9"/>
      <c r="AD5222" s="9"/>
    </row>
    <row r="5223">
      <c r="A5223" s="16"/>
      <c r="B5223" s="22"/>
      <c r="C5223" s="18"/>
      <c r="D5223" s="19"/>
      <c r="E5223" s="18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9"/>
      <c r="AD5223" s="9"/>
    </row>
    <row r="5224">
      <c r="A5224" s="16"/>
      <c r="B5224" s="22"/>
      <c r="C5224" s="18"/>
      <c r="D5224" s="19"/>
      <c r="E5224" s="18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  <c r="AB5224" s="9"/>
      <c r="AC5224" s="9"/>
      <c r="AD5224" s="9"/>
    </row>
    <row r="5225">
      <c r="A5225" s="16" t="s">
        <v>7378</v>
      </c>
      <c r="B5225" s="22" t="s">
        <v>7379</v>
      </c>
      <c r="C5225" s="23" t="s">
        <v>7380</v>
      </c>
      <c r="D5225" s="136" t="s">
        <v>7381</v>
      </c>
      <c r="E5225" s="18" t="s">
        <v>4624</v>
      </c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  <c r="AB5225" s="9"/>
      <c r="AC5225" s="9"/>
      <c r="AD5225" s="9"/>
    </row>
    <row r="5226">
      <c r="A5226" s="16" t="s">
        <v>7378</v>
      </c>
      <c r="B5226" s="22" t="s">
        <v>7379</v>
      </c>
      <c r="C5226" s="23" t="s">
        <v>7380</v>
      </c>
      <c r="D5226" s="136" t="s">
        <v>7382</v>
      </c>
      <c r="E5226" s="18" t="s">
        <v>4624</v>
      </c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9"/>
      <c r="AA5226" s="9"/>
      <c r="AB5226" s="9"/>
      <c r="AC5226" s="9"/>
      <c r="AD5226" s="9"/>
    </row>
    <row r="5227">
      <c r="A5227" s="16" t="s">
        <v>7378</v>
      </c>
      <c r="B5227" s="22" t="s">
        <v>7383</v>
      </c>
      <c r="C5227" s="23" t="s">
        <v>7384</v>
      </c>
      <c r="D5227" s="23" t="s">
        <v>7385</v>
      </c>
      <c r="E5227" s="23" t="s">
        <v>7272</v>
      </c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9"/>
      <c r="AD5227" s="9"/>
    </row>
    <row r="5228">
      <c r="A5228" s="16" t="s">
        <v>7378</v>
      </c>
      <c r="B5228" s="22" t="s">
        <v>7383</v>
      </c>
      <c r="C5228" s="23" t="s">
        <v>7386</v>
      </c>
      <c r="D5228" s="23" t="s">
        <v>7387</v>
      </c>
      <c r="E5228" s="18" t="s">
        <v>4493</v>
      </c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9"/>
      <c r="AD5228" s="9"/>
    </row>
    <row r="5229">
      <c r="A5229" s="16"/>
      <c r="B5229" s="22"/>
      <c r="C5229" s="18"/>
      <c r="D5229" s="19"/>
      <c r="E5229" s="18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  <c r="AB5229" s="9"/>
      <c r="AC5229" s="9"/>
      <c r="AD5229" s="9"/>
    </row>
    <row r="5230">
      <c r="A5230" s="16"/>
      <c r="B5230" s="22"/>
      <c r="C5230" s="18"/>
      <c r="D5230" s="19"/>
      <c r="E5230" s="18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  <c r="AB5230" s="9"/>
      <c r="AC5230" s="9"/>
      <c r="AD5230" s="9"/>
    </row>
    <row r="5231">
      <c r="A5231" s="16" t="s">
        <v>7388</v>
      </c>
      <c r="B5231" s="22" t="s">
        <v>7389</v>
      </c>
      <c r="C5231" s="23" t="s">
        <v>1470</v>
      </c>
      <c r="D5231" s="23" t="s">
        <v>7390</v>
      </c>
      <c r="E5231" s="20" t="s">
        <v>7</v>
      </c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  <c r="AA5231" s="9"/>
      <c r="AB5231" s="9"/>
      <c r="AC5231" s="9"/>
      <c r="AD5231" s="9"/>
    </row>
    <row r="5232">
      <c r="A5232" s="16" t="s">
        <v>7388</v>
      </c>
      <c r="B5232" s="22" t="s">
        <v>7389</v>
      </c>
      <c r="C5232" s="23" t="s">
        <v>7391</v>
      </c>
      <c r="D5232" s="23" t="s">
        <v>7390</v>
      </c>
      <c r="E5232" s="20" t="s">
        <v>7</v>
      </c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  <c r="Z5232" s="9"/>
      <c r="AA5232" s="9"/>
      <c r="AB5232" s="9"/>
      <c r="AC5232" s="9"/>
      <c r="AD5232" s="9"/>
    </row>
    <row r="5233">
      <c r="A5233" s="16" t="s">
        <v>7388</v>
      </c>
      <c r="B5233" s="22" t="s">
        <v>6475</v>
      </c>
      <c r="C5233" s="23" t="s">
        <v>6578</v>
      </c>
      <c r="D5233" s="23" t="s">
        <v>7392</v>
      </c>
      <c r="E5233" s="9" t="s">
        <v>7393</v>
      </c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  <c r="AB5233" s="9"/>
      <c r="AC5233" s="9"/>
      <c r="AD5233" s="9"/>
    </row>
    <row r="5234">
      <c r="A5234" s="16" t="s">
        <v>7388</v>
      </c>
      <c r="B5234" s="22" t="s">
        <v>6475</v>
      </c>
      <c r="C5234" s="23" t="s">
        <v>6578</v>
      </c>
      <c r="D5234" s="23" t="s">
        <v>7394</v>
      </c>
      <c r="E5234" s="9" t="s">
        <v>7393</v>
      </c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  <c r="U5234" s="9"/>
      <c r="V5234" s="9"/>
      <c r="W5234" s="9"/>
      <c r="X5234" s="9"/>
      <c r="Y5234" s="9"/>
      <c r="Z5234" s="9"/>
      <c r="AA5234" s="9"/>
      <c r="AB5234" s="9"/>
      <c r="AC5234" s="9"/>
      <c r="AD5234" s="9"/>
    </row>
    <row r="5235">
      <c r="A5235" s="16" t="s">
        <v>7388</v>
      </c>
      <c r="B5235" s="22" t="s">
        <v>6475</v>
      </c>
      <c r="C5235" s="23" t="s">
        <v>6578</v>
      </c>
      <c r="D5235" s="23" t="s">
        <v>7395</v>
      </c>
      <c r="E5235" s="9" t="s">
        <v>7393</v>
      </c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  <c r="U5235" s="9"/>
      <c r="V5235" s="9"/>
      <c r="W5235" s="9"/>
      <c r="X5235" s="9"/>
      <c r="Y5235" s="9"/>
      <c r="Z5235" s="9"/>
      <c r="AA5235" s="9"/>
      <c r="AB5235" s="9"/>
      <c r="AC5235" s="9"/>
      <c r="AD5235" s="9"/>
    </row>
    <row r="5236">
      <c r="A5236" s="16" t="s">
        <v>7388</v>
      </c>
      <c r="B5236" s="22" t="s">
        <v>6475</v>
      </c>
      <c r="C5236" s="23" t="s">
        <v>6578</v>
      </c>
      <c r="D5236" s="23" t="s">
        <v>7396</v>
      </c>
      <c r="E5236" s="9" t="s">
        <v>7393</v>
      </c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  <c r="U5236" s="9"/>
      <c r="V5236" s="9"/>
      <c r="W5236" s="9"/>
      <c r="X5236" s="9"/>
      <c r="Y5236" s="9"/>
      <c r="Z5236" s="9"/>
      <c r="AA5236" s="9"/>
      <c r="AB5236" s="9"/>
      <c r="AC5236" s="9"/>
      <c r="AD5236" s="9"/>
    </row>
    <row r="5237">
      <c r="A5237" s="16" t="s">
        <v>7388</v>
      </c>
      <c r="B5237" s="22" t="s">
        <v>6475</v>
      </c>
      <c r="C5237" s="23" t="s">
        <v>6578</v>
      </c>
      <c r="D5237" s="23" t="s">
        <v>7397</v>
      </c>
      <c r="E5237" s="9" t="s">
        <v>7393</v>
      </c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  <c r="AB5237" s="9"/>
      <c r="AC5237" s="9"/>
      <c r="AD5237" s="9"/>
    </row>
    <row r="5238">
      <c r="A5238" s="16" t="s">
        <v>7388</v>
      </c>
      <c r="B5238" s="22" t="s">
        <v>6475</v>
      </c>
      <c r="C5238" s="23" t="s">
        <v>6578</v>
      </c>
      <c r="D5238" s="23" t="s">
        <v>7398</v>
      </c>
      <c r="E5238" s="9" t="s">
        <v>7393</v>
      </c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9"/>
    </row>
    <row r="5239">
      <c r="A5239" s="16" t="s">
        <v>7388</v>
      </c>
      <c r="B5239" s="22" t="s">
        <v>6475</v>
      </c>
      <c r="C5239" s="23" t="s">
        <v>6578</v>
      </c>
      <c r="D5239" s="23" t="s">
        <v>7399</v>
      </c>
      <c r="E5239" s="9" t="s">
        <v>7393</v>
      </c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  <c r="AB5239" s="9"/>
      <c r="AC5239" s="9"/>
      <c r="AD5239" s="9"/>
    </row>
    <row r="5240">
      <c r="A5240" s="16" t="s">
        <v>7388</v>
      </c>
      <c r="B5240" s="22" t="s">
        <v>6475</v>
      </c>
      <c r="C5240" s="23" t="s">
        <v>6578</v>
      </c>
      <c r="D5240" s="23" t="s">
        <v>7400</v>
      </c>
      <c r="E5240" s="9" t="s">
        <v>7393</v>
      </c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  <c r="AB5240" s="9"/>
      <c r="AC5240" s="9"/>
      <c r="AD5240" s="9"/>
    </row>
    <row r="5241">
      <c r="A5241" s="16" t="s">
        <v>7388</v>
      </c>
      <c r="B5241" s="22" t="s">
        <v>6475</v>
      </c>
      <c r="C5241" s="23" t="s">
        <v>6578</v>
      </c>
      <c r="D5241" s="23" t="s">
        <v>7401</v>
      </c>
      <c r="E5241" s="9" t="s">
        <v>7393</v>
      </c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  <c r="AB5241" s="9"/>
      <c r="AC5241" s="9"/>
      <c r="AD5241" s="9"/>
    </row>
    <row r="5242">
      <c r="A5242" s="16" t="s">
        <v>7388</v>
      </c>
      <c r="B5242" s="22" t="s">
        <v>6475</v>
      </c>
      <c r="C5242" s="23" t="s">
        <v>6578</v>
      </c>
      <c r="D5242" s="23" t="s">
        <v>7402</v>
      </c>
      <c r="E5242" s="9" t="s">
        <v>7393</v>
      </c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9"/>
    </row>
    <row r="5243">
      <c r="A5243" s="16" t="s">
        <v>7388</v>
      </c>
      <c r="B5243" s="22" t="s">
        <v>6475</v>
      </c>
      <c r="C5243" s="23" t="s">
        <v>6578</v>
      </c>
      <c r="D5243" s="23" t="s">
        <v>7403</v>
      </c>
      <c r="E5243" s="9" t="s">
        <v>7393</v>
      </c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9"/>
    </row>
    <row r="5244">
      <c r="A5244" s="16" t="s">
        <v>7388</v>
      </c>
      <c r="B5244" s="22" t="s">
        <v>6697</v>
      </c>
      <c r="C5244" s="23" t="s">
        <v>7404</v>
      </c>
      <c r="D5244" s="23" t="s">
        <v>7405</v>
      </c>
      <c r="E5244" s="9" t="s">
        <v>7406</v>
      </c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9"/>
    </row>
    <row r="5245">
      <c r="A5245" s="16" t="s">
        <v>7388</v>
      </c>
      <c r="B5245" s="22" t="s">
        <v>6697</v>
      </c>
      <c r="C5245" s="23" t="s">
        <v>7407</v>
      </c>
      <c r="D5245" s="23" t="s">
        <v>7405</v>
      </c>
      <c r="E5245" s="9" t="s">
        <v>7406</v>
      </c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  <c r="AB5245" s="9"/>
      <c r="AC5245" s="9"/>
      <c r="AD5245" s="9"/>
    </row>
    <row r="5246">
      <c r="A5246" s="16" t="s">
        <v>7388</v>
      </c>
      <c r="B5246" s="22" t="s">
        <v>7408</v>
      </c>
      <c r="C5246" s="23" t="s">
        <v>7409</v>
      </c>
      <c r="D5246" s="23" t="s">
        <v>7410</v>
      </c>
      <c r="E5246" s="23" t="s">
        <v>764</v>
      </c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9"/>
    </row>
    <row r="5247">
      <c r="A5247" s="16" t="s">
        <v>7388</v>
      </c>
      <c r="B5247" s="22" t="s">
        <v>7408</v>
      </c>
      <c r="C5247" s="23" t="s">
        <v>7409</v>
      </c>
      <c r="D5247" s="23" t="s">
        <v>7411</v>
      </c>
      <c r="E5247" s="23" t="s">
        <v>764</v>
      </c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9"/>
    </row>
    <row r="5248">
      <c r="A5248" s="16" t="s">
        <v>7388</v>
      </c>
      <c r="B5248" s="22" t="s">
        <v>7408</v>
      </c>
      <c r="C5248" s="23" t="s">
        <v>7412</v>
      </c>
      <c r="D5248" s="23" t="s">
        <v>7413</v>
      </c>
      <c r="E5248" s="23" t="s">
        <v>764</v>
      </c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  <c r="AB5248" s="9"/>
      <c r="AC5248" s="9"/>
      <c r="AD5248" s="9"/>
    </row>
    <row r="5249">
      <c r="A5249" s="16" t="s">
        <v>7388</v>
      </c>
      <c r="B5249" s="22" t="s">
        <v>7408</v>
      </c>
      <c r="C5249" s="23" t="s">
        <v>7409</v>
      </c>
      <c r="D5249" s="23" t="s">
        <v>7414</v>
      </c>
      <c r="E5249" s="23" t="s">
        <v>764</v>
      </c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9"/>
    </row>
    <row r="5250">
      <c r="A5250" s="16" t="s">
        <v>7388</v>
      </c>
      <c r="B5250" s="22" t="s">
        <v>7408</v>
      </c>
      <c r="C5250" s="23" t="s">
        <v>7415</v>
      </c>
      <c r="D5250" s="23" t="s">
        <v>1222</v>
      </c>
      <c r="E5250" s="23" t="s">
        <v>764</v>
      </c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  <c r="Z5250" s="9"/>
      <c r="AA5250" s="9"/>
      <c r="AB5250" s="9"/>
      <c r="AC5250" s="9"/>
      <c r="AD5250" s="9"/>
    </row>
    <row r="5251">
      <c r="A5251" s="16" t="s">
        <v>7388</v>
      </c>
      <c r="B5251" s="22" t="s">
        <v>7408</v>
      </c>
      <c r="C5251" s="23" t="s">
        <v>7409</v>
      </c>
      <c r="D5251" s="23" t="s">
        <v>7416</v>
      </c>
      <c r="E5251" s="23" t="s">
        <v>764</v>
      </c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9"/>
    </row>
    <row r="5252">
      <c r="A5252" s="16" t="s">
        <v>7388</v>
      </c>
      <c r="B5252" s="22" t="s">
        <v>7417</v>
      </c>
      <c r="C5252" s="23" t="s">
        <v>7057</v>
      </c>
      <c r="D5252" s="23" t="s">
        <v>7418</v>
      </c>
      <c r="E5252" s="23" t="s">
        <v>7419</v>
      </c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  <c r="Z5252" s="9"/>
      <c r="AA5252" s="9"/>
      <c r="AB5252" s="9"/>
      <c r="AC5252" s="9"/>
      <c r="AD5252" s="9"/>
    </row>
    <row r="5253">
      <c r="A5253" s="16" t="s">
        <v>7388</v>
      </c>
      <c r="B5253" s="22" t="s">
        <v>7417</v>
      </c>
      <c r="C5253" s="23" t="s">
        <v>7057</v>
      </c>
      <c r="D5253" s="23" t="s">
        <v>7420</v>
      </c>
      <c r="E5253" s="23" t="s">
        <v>7419</v>
      </c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9"/>
      <c r="X5253" s="9"/>
      <c r="Y5253" s="9"/>
      <c r="Z5253" s="9"/>
      <c r="AA5253" s="9"/>
      <c r="AB5253" s="9"/>
      <c r="AC5253" s="9"/>
      <c r="AD5253" s="9"/>
    </row>
    <row r="5254">
      <c r="A5254" s="16" t="s">
        <v>7388</v>
      </c>
      <c r="B5254" s="22" t="s">
        <v>7417</v>
      </c>
      <c r="C5254" s="23" t="s">
        <v>7057</v>
      </c>
      <c r="D5254" s="23" t="s">
        <v>7421</v>
      </c>
      <c r="E5254" s="23" t="s">
        <v>7419</v>
      </c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  <c r="Z5254" s="9"/>
      <c r="AA5254" s="9"/>
      <c r="AB5254" s="9"/>
      <c r="AC5254" s="9"/>
      <c r="AD5254" s="9"/>
    </row>
    <row r="5255">
      <c r="A5255" s="16" t="s">
        <v>7388</v>
      </c>
      <c r="B5255" s="22" t="s">
        <v>7417</v>
      </c>
      <c r="C5255" s="23" t="s">
        <v>7057</v>
      </c>
      <c r="D5255" s="23" t="s">
        <v>7422</v>
      </c>
      <c r="E5255" s="23" t="s">
        <v>7419</v>
      </c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  <c r="AA5255" s="9"/>
      <c r="AB5255" s="9"/>
      <c r="AC5255" s="9"/>
      <c r="AD5255" s="9"/>
    </row>
    <row r="5256">
      <c r="A5256" s="16" t="s">
        <v>7388</v>
      </c>
      <c r="B5256" s="22" t="s">
        <v>7417</v>
      </c>
      <c r="C5256" s="23" t="s">
        <v>7057</v>
      </c>
      <c r="D5256" s="23" t="s">
        <v>7423</v>
      </c>
      <c r="E5256" s="23" t="s">
        <v>7419</v>
      </c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  <c r="Z5256" s="9"/>
      <c r="AA5256" s="9"/>
      <c r="AB5256" s="9"/>
      <c r="AC5256" s="9"/>
      <c r="AD5256" s="9"/>
    </row>
    <row r="5257">
      <c r="A5257" s="16" t="s">
        <v>7388</v>
      </c>
      <c r="B5257" s="22" t="s">
        <v>6938</v>
      </c>
      <c r="C5257" s="9" t="s">
        <v>7424</v>
      </c>
      <c r="D5257" s="9" t="s">
        <v>6943</v>
      </c>
      <c r="E5257" s="20" t="s">
        <v>7</v>
      </c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  <c r="AB5257" s="9"/>
      <c r="AC5257" s="9"/>
      <c r="AD5257" s="9"/>
    </row>
    <row r="5258">
      <c r="A5258" s="16" t="s">
        <v>7388</v>
      </c>
      <c r="B5258" s="22" t="s">
        <v>6938</v>
      </c>
      <c r="C5258" s="9" t="s">
        <v>6949</v>
      </c>
      <c r="D5258" s="9" t="s">
        <v>6947</v>
      </c>
      <c r="E5258" s="9" t="s">
        <v>3515</v>
      </c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9"/>
    </row>
    <row r="5259">
      <c r="A5259" s="16" t="s">
        <v>7388</v>
      </c>
      <c r="B5259" s="22" t="s">
        <v>6938</v>
      </c>
      <c r="C5259" s="9" t="s">
        <v>6942</v>
      </c>
      <c r="D5259" s="9" t="s">
        <v>7094</v>
      </c>
      <c r="E5259" s="18" t="s">
        <v>309</v>
      </c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9"/>
      <c r="AA5259" s="9"/>
      <c r="AB5259" s="9"/>
      <c r="AC5259" s="9"/>
      <c r="AD5259" s="9"/>
    </row>
    <row r="5260">
      <c r="A5260" s="16"/>
      <c r="B5260" s="22"/>
      <c r="C5260" s="18"/>
      <c r="D5260" s="19"/>
      <c r="E5260" s="18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9"/>
    </row>
    <row r="5261">
      <c r="A5261" s="16"/>
      <c r="B5261" s="22"/>
      <c r="C5261" s="18"/>
      <c r="D5261" s="19"/>
      <c r="E5261" s="18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9"/>
    </row>
    <row r="5262">
      <c r="A5262" s="16" t="s">
        <v>7425</v>
      </c>
      <c r="B5262" s="22" t="s">
        <v>7093</v>
      </c>
      <c r="C5262" s="18" t="s">
        <v>6369</v>
      </c>
      <c r="D5262" s="19" t="s">
        <v>6940</v>
      </c>
      <c r="E5262" s="18" t="s">
        <v>309</v>
      </c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9"/>
    </row>
    <row r="5263">
      <c r="A5263" s="16" t="s">
        <v>7425</v>
      </c>
      <c r="B5263" s="19" t="s">
        <v>7426</v>
      </c>
      <c r="C5263" s="23" t="s">
        <v>7427</v>
      </c>
      <c r="D5263" s="23" t="s">
        <v>7390</v>
      </c>
      <c r="E5263" s="18" t="s">
        <v>309</v>
      </c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9"/>
      <c r="AD5263" s="9"/>
    </row>
    <row r="5264">
      <c r="A5264" s="16"/>
      <c r="B5264" s="22"/>
      <c r="C5264" s="18"/>
      <c r="D5264" s="19"/>
      <c r="E5264" s="18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9"/>
      <c r="X5264" s="9"/>
      <c r="Y5264" s="9"/>
      <c r="Z5264" s="9"/>
      <c r="AA5264" s="9"/>
      <c r="AB5264" s="9"/>
      <c r="AC5264" s="9"/>
      <c r="AD5264" s="9"/>
    </row>
    <row r="5265">
      <c r="A5265" s="16"/>
      <c r="B5265" s="22"/>
      <c r="C5265" s="18"/>
      <c r="D5265" s="19"/>
      <c r="E5265" s="18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9"/>
    </row>
    <row r="5266">
      <c r="A5266" s="16" t="s">
        <v>7428</v>
      </c>
      <c r="B5266" s="22" t="s">
        <v>6686</v>
      </c>
      <c r="C5266" s="18" t="s">
        <v>7404</v>
      </c>
      <c r="D5266" s="19" t="s">
        <v>7429</v>
      </c>
      <c r="E5266" s="18" t="s">
        <v>7430</v>
      </c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9"/>
    </row>
    <row r="5267">
      <c r="A5267" s="16" t="s">
        <v>7428</v>
      </c>
      <c r="B5267" s="22" t="s">
        <v>7431</v>
      </c>
      <c r="C5267" s="18" t="s">
        <v>7432</v>
      </c>
      <c r="D5267" s="19" t="s">
        <v>7433</v>
      </c>
      <c r="E5267" s="18" t="s">
        <v>14</v>
      </c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9"/>
      <c r="V5267" s="9"/>
      <c r="W5267" s="9"/>
      <c r="X5267" s="9"/>
      <c r="Y5267" s="9"/>
      <c r="Z5267" s="9"/>
      <c r="AA5267" s="9"/>
      <c r="AB5267" s="9"/>
      <c r="AC5267" s="9"/>
      <c r="AD5267" s="9"/>
    </row>
    <row r="5268">
      <c r="A5268" s="16" t="s">
        <v>7428</v>
      </c>
      <c r="B5268" s="22" t="s">
        <v>7434</v>
      </c>
      <c r="C5268" s="18" t="s">
        <v>7435</v>
      </c>
      <c r="D5268" s="19" t="s">
        <v>7390</v>
      </c>
      <c r="E5268" s="18" t="s">
        <v>309</v>
      </c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9"/>
    </row>
    <row r="5269">
      <c r="A5269" s="16" t="s">
        <v>7428</v>
      </c>
      <c r="B5269" s="22" t="s">
        <v>7436</v>
      </c>
      <c r="C5269" s="18" t="s">
        <v>6949</v>
      </c>
      <c r="D5269" s="19" t="s">
        <v>7094</v>
      </c>
      <c r="E5269" s="20" t="s">
        <v>7</v>
      </c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9"/>
    </row>
    <row r="5270">
      <c r="A5270" s="16" t="s">
        <v>7428</v>
      </c>
      <c r="B5270" s="22" t="s">
        <v>7436</v>
      </c>
      <c r="C5270" s="18" t="s">
        <v>7096</v>
      </c>
      <c r="D5270" s="19" t="s">
        <v>7094</v>
      </c>
      <c r="E5270" s="18" t="s">
        <v>309</v>
      </c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9"/>
    </row>
    <row r="5271">
      <c r="A5271" s="16" t="s">
        <v>7428</v>
      </c>
      <c r="B5271" s="22" t="s">
        <v>7436</v>
      </c>
      <c r="C5271" s="18" t="s">
        <v>7437</v>
      </c>
      <c r="D5271" s="19" t="s">
        <v>6940</v>
      </c>
      <c r="E5271" s="18" t="s">
        <v>309</v>
      </c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</row>
    <row r="5272">
      <c r="A5272" s="16" t="s">
        <v>7428</v>
      </c>
      <c r="B5272" s="22" t="s">
        <v>7436</v>
      </c>
      <c r="C5272" s="18" t="s">
        <v>7438</v>
      </c>
      <c r="D5272" s="19" t="s">
        <v>6940</v>
      </c>
      <c r="E5272" s="20" t="s">
        <v>7</v>
      </c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9"/>
    </row>
    <row r="5273">
      <c r="A5273" s="150"/>
      <c r="B5273" s="9"/>
      <c r="C5273" s="18"/>
      <c r="D5273" s="19"/>
      <c r="E5273" s="18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9"/>
    </row>
    <row r="5274">
      <c r="A5274" s="150"/>
      <c r="B5274" s="9"/>
      <c r="C5274" s="18"/>
      <c r="D5274" s="19"/>
      <c r="E5274" s="18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  <c r="AB5274" s="9"/>
      <c r="AC5274" s="9"/>
      <c r="AD5274" s="9"/>
    </row>
    <row r="5275">
      <c r="A5275" s="16" t="s">
        <v>7439</v>
      </c>
      <c r="B5275" s="22" t="s">
        <v>7440</v>
      </c>
      <c r="C5275" s="18" t="s">
        <v>7441</v>
      </c>
      <c r="D5275" s="19" t="s">
        <v>7442</v>
      </c>
      <c r="E5275" s="18" t="s">
        <v>4624</v>
      </c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  <c r="AB5275" s="9"/>
      <c r="AC5275" s="9"/>
      <c r="AD5275" s="9"/>
    </row>
    <row r="5276">
      <c r="A5276" s="16" t="s">
        <v>7439</v>
      </c>
      <c r="B5276" s="22" t="s">
        <v>7440</v>
      </c>
      <c r="C5276" s="18" t="s">
        <v>7443</v>
      </c>
      <c r="D5276" s="19" t="s">
        <v>7444</v>
      </c>
      <c r="E5276" s="18" t="s">
        <v>4624</v>
      </c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  <c r="W5276" s="9"/>
      <c r="X5276" s="9"/>
      <c r="Y5276" s="9"/>
      <c r="Z5276" s="9"/>
      <c r="AA5276" s="9"/>
      <c r="AB5276" s="9"/>
      <c r="AC5276" s="9"/>
      <c r="AD5276" s="9"/>
    </row>
    <row r="5277">
      <c r="A5277" s="16" t="s">
        <v>7439</v>
      </c>
      <c r="B5277" s="22" t="s">
        <v>7440</v>
      </c>
      <c r="C5277" s="18" t="s">
        <v>7443</v>
      </c>
      <c r="D5277" s="19" t="s">
        <v>2089</v>
      </c>
      <c r="E5277" s="18" t="s">
        <v>4624</v>
      </c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  <c r="AB5277" s="9"/>
      <c r="AC5277" s="9"/>
      <c r="AD5277" s="9"/>
    </row>
    <row r="5278">
      <c r="A5278" s="16" t="s">
        <v>7439</v>
      </c>
      <c r="B5278" s="22" t="s">
        <v>7440</v>
      </c>
      <c r="C5278" s="18" t="s">
        <v>7443</v>
      </c>
      <c r="D5278" s="19" t="s">
        <v>7445</v>
      </c>
      <c r="E5278" s="18" t="s">
        <v>4624</v>
      </c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  <c r="AB5278" s="9"/>
      <c r="AC5278" s="9"/>
      <c r="AD5278" s="9"/>
    </row>
    <row r="5279">
      <c r="A5279" s="16" t="s">
        <v>7439</v>
      </c>
      <c r="B5279" s="22" t="s">
        <v>6618</v>
      </c>
      <c r="C5279" s="18" t="s">
        <v>7446</v>
      </c>
      <c r="D5279" s="19" t="s">
        <v>6693</v>
      </c>
      <c r="E5279" s="18" t="s">
        <v>309</v>
      </c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9"/>
      <c r="AD5279" s="9"/>
    </row>
    <row r="5280">
      <c r="A5280" s="16"/>
      <c r="B5280" s="22"/>
      <c r="C5280" s="18"/>
      <c r="D5280" s="19"/>
      <c r="E5280" s="18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  <c r="AB5280" s="9"/>
      <c r="AC5280" s="9"/>
      <c r="AD5280" s="9"/>
    </row>
    <row r="5281">
      <c r="A5281" s="16"/>
      <c r="B5281" s="22"/>
      <c r="C5281" s="18"/>
      <c r="D5281" s="19"/>
      <c r="E5281" s="18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9"/>
      <c r="AD5281" s="9"/>
    </row>
    <row r="5282">
      <c r="A5282" s="16" t="s">
        <v>7447</v>
      </c>
      <c r="B5282" s="22" t="s">
        <v>6577</v>
      </c>
      <c r="C5282" s="18" t="s">
        <v>6578</v>
      </c>
      <c r="D5282" s="19" t="s">
        <v>7448</v>
      </c>
      <c r="E5282" s="9" t="s">
        <v>14</v>
      </c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  <c r="AB5282" s="9"/>
      <c r="AC5282" s="9"/>
      <c r="AD5282" s="9"/>
    </row>
    <row r="5283">
      <c r="A5283" s="16" t="s">
        <v>7447</v>
      </c>
      <c r="B5283" s="22" t="s">
        <v>6577</v>
      </c>
      <c r="C5283" s="18" t="s">
        <v>6578</v>
      </c>
      <c r="D5283" s="19" t="s">
        <v>7449</v>
      </c>
      <c r="E5283" s="9" t="s">
        <v>14</v>
      </c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  <c r="AB5283" s="9"/>
      <c r="AC5283" s="9"/>
      <c r="AD5283" s="9"/>
    </row>
    <row r="5284">
      <c r="A5284" s="16" t="s">
        <v>7447</v>
      </c>
      <c r="B5284" s="22" t="s">
        <v>6577</v>
      </c>
      <c r="C5284" s="18" t="s">
        <v>6578</v>
      </c>
      <c r="D5284" s="19" t="s">
        <v>7450</v>
      </c>
      <c r="E5284" s="9" t="s">
        <v>14</v>
      </c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  <c r="Z5284" s="9"/>
      <c r="AA5284" s="9"/>
      <c r="AB5284" s="9"/>
      <c r="AC5284" s="9"/>
      <c r="AD5284" s="9"/>
    </row>
    <row r="5285">
      <c r="A5285" s="16" t="s">
        <v>7447</v>
      </c>
      <c r="B5285" s="22" t="s">
        <v>6577</v>
      </c>
      <c r="C5285" s="18" t="s">
        <v>6578</v>
      </c>
      <c r="D5285" s="19" t="s">
        <v>7451</v>
      </c>
      <c r="E5285" s="9" t="s">
        <v>14</v>
      </c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/>
      <c r="X5285" s="9"/>
      <c r="Y5285" s="9"/>
      <c r="Z5285" s="9"/>
      <c r="AA5285" s="9"/>
      <c r="AB5285" s="9"/>
      <c r="AC5285" s="9"/>
      <c r="AD5285" s="9"/>
    </row>
    <row r="5286">
      <c r="A5286" s="16" t="s">
        <v>7447</v>
      </c>
      <c r="B5286" s="22" t="s">
        <v>7377</v>
      </c>
      <c r="C5286" s="18" t="s">
        <v>7452</v>
      </c>
      <c r="D5286" s="18" t="s">
        <v>7453</v>
      </c>
      <c r="E5286" s="9" t="s">
        <v>7454</v>
      </c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9"/>
      <c r="V5286" s="9"/>
      <c r="W5286" s="9"/>
      <c r="X5286" s="9"/>
      <c r="Y5286" s="9"/>
      <c r="Z5286" s="9"/>
      <c r="AA5286" s="9"/>
      <c r="AB5286" s="9"/>
      <c r="AC5286" s="9"/>
      <c r="AD5286" s="9"/>
    </row>
    <row r="5287">
      <c r="A5287" s="16" t="s">
        <v>7447</v>
      </c>
      <c r="B5287" s="22" t="s">
        <v>7377</v>
      </c>
      <c r="C5287" s="18" t="s">
        <v>7446</v>
      </c>
      <c r="D5287" s="18" t="s">
        <v>4130</v>
      </c>
      <c r="E5287" s="9" t="s">
        <v>7454</v>
      </c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9"/>
    </row>
    <row r="5288">
      <c r="A5288" s="16" t="s">
        <v>7447</v>
      </c>
      <c r="B5288" s="22" t="s">
        <v>7377</v>
      </c>
      <c r="C5288" s="18" t="s">
        <v>7446</v>
      </c>
      <c r="D5288" s="18" t="s">
        <v>7455</v>
      </c>
      <c r="E5288" s="9" t="s">
        <v>7454</v>
      </c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  <c r="AA5288" s="9"/>
      <c r="AB5288" s="9"/>
      <c r="AC5288" s="9"/>
      <c r="AD5288" s="9"/>
    </row>
    <row r="5289">
      <c r="A5289" s="16" t="s">
        <v>7447</v>
      </c>
      <c r="B5289" s="22" t="s">
        <v>7456</v>
      </c>
      <c r="C5289" s="18" t="s">
        <v>7457</v>
      </c>
      <c r="D5289" s="18" t="s">
        <v>1117</v>
      </c>
      <c r="E5289" s="9" t="s">
        <v>764</v>
      </c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9"/>
      <c r="AD5289" s="9"/>
    </row>
    <row r="5290">
      <c r="A5290" s="16" t="s">
        <v>7447</v>
      </c>
      <c r="B5290" s="22" t="s">
        <v>7456</v>
      </c>
      <c r="C5290" s="18" t="s">
        <v>7457</v>
      </c>
      <c r="D5290" s="18" t="s">
        <v>7458</v>
      </c>
      <c r="E5290" s="9" t="s">
        <v>764</v>
      </c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  <c r="AA5290" s="9"/>
      <c r="AB5290" s="9"/>
      <c r="AC5290" s="9"/>
      <c r="AD5290" s="9"/>
    </row>
    <row r="5291">
      <c r="A5291" s="16"/>
      <c r="B5291" s="22"/>
      <c r="C5291" s="18"/>
      <c r="D5291" s="19"/>
      <c r="E5291" s="18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9"/>
    </row>
    <row r="5292">
      <c r="A5292" s="16"/>
      <c r="B5292" s="22"/>
      <c r="C5292" s="18"/>
      <c r="D5292" s="19"/>
      <c r="E5292" s="18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  <c r="AB5292" s="9"/>
      <c r="AC5292" s="9"/>
      <c r="AD5292" s="9"/>
    </row>
    <row r="5293">
      <c r="A5293" s="16" t="s">
        <v>7459</v>
      </c>
      <c r="B5293" s="22" t="s">
        <v>6618</v>
      </c>
      <c r="C5293" s="18" t="s">
        <v>7460</v>
      </c>
      <c r="D5293" s="19" t="s">
        <v>6622</v>
      </c>
      <c r="E5293" s="18" t="s">
        <v>7461</v>
      </c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  <c r="AB5293" s="9"/>
      <c r="AC5293" s="9"/>
      <c r="AD5293" s="9"/>
    </row>
    <row r="5294">
      <c r="A5294" s="16" t="s">
        <v>7459</v>
      </c>
      <c r="B5294" s="22" t="s">
        <v>6618</v>
      </c>
      <c r="C5294" s="18" t="s">
        <v>7446</v>
      </c>
      <c r="D5294" s="19" t="s">
        <v>7455</v>
      </c>
      <c r="E5294" s="18" t="s">
        <v>7461</v>
      </c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9"/>
      <c r="V5294" s="9"/>
      <c r="W5294" s="9"/>
      <c r="X5294" s="9"/>
      <c r="Y5294" s="9"/>
      <c r="Z5294" s="9"/>
      <c r="AA5294" s="9"/>
      <c r="AB5294" s="9"/>
      <c r="AC5294" s="9"/>
      <c r="AD5294" s="9"/>
    </row>
    <row r="5295">
      <c r="A5295" s="16"/>
      <c r="B5295" s="22"/>
      <c r="C5295" s="18"/>
      <c r="D5295" s="19"/>
      <c r="E5295" s="18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  <c r="AB5295" s="9"/>
      <c r="AC5295" s="9"/>
      <c r="AD5295" s="9"/>
    </row>
    <row r="5296">
      <c r="A5296" s="16"/>
      <c r="B5296" s="22"/>
      <c r="C5296" s="18"/>
      <c r="D5296" s="19"/>
      <c r="E5296" s="18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  <c r="AB5296" s="9"/>
      <c r="AC5296" s="9"/>
      <c r="AD5296" s="9"/>
    </row>
    <row r="5297">
      <c r="A5297" s="16" t="s">
        <v>7462</v>
      </c>
      <c r="B5297" s="22" t="s">
        <v>7463</v>
      </c>
      <c r="C5297" s="23" t="s">
        <v>7464</v>
      </c>
      <c r="D5297" s="23" t="s">
        <v>7465</v>
      </c>
      <c r="E5297" s="18" t="s">
        <v>764</v>
      </c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9"/>
      <c r="AD5297" s="9"/>
    </row>
    <row r="5298">
      <c r="A5298" s="16" t="s">
        <v>7462</v>
      </c>
      <c r="B5298" s="22" t="s">
        <v>7466</v>
      </c>
      <c r="C5298" s="23" t="s">
        <v>7467</v>
      </c>
      <c r="D5298" s="23" t="s">
        <v>7468</v>
      </c>
      <c r="E5298" s="18" t="s">
        <v>764</v>
      </c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9"/>
      <c r="X5298" s="9"/>
      <c r="Y5298" s="9"/>
      <c r="Z5298" s="9"/>
      <c r="AA5298" s="9"/>
      <c r="AB5298" s="9"/>
      <c r="AC5298" s="9"/>
      <c r="AD5298" s="9"/>
    </row>
    <row r="5299">
      <c r="A5299" s="16" t="s">
        <v>7462</v>
      </c>
      <c r="B5299" s="22" t="s">
        <v>7469</v>
      </c>
      <c r="C5299" s="23" t="s">
        <v>7470</v>
      </c>
      <c r="D5299" s="23" t="s">
        <v>7471</v>
      </c>
      <c r="E5299" s="18" t="s">
        <v>7472</v>
      </c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9"/>
      <c r="X5299" s="9"/>
      <c r="Y5299" s="9"/>
      <c r="Z5299" s="9"/>
      <c r="AA5299" s="9"/>
      <c r="AB5299" s="9"/>
      <c r="AC5299" s="9"/>
      <c r="AD5299" s="9"/>
    </row>
    <row r="5300">
      <c r="A5300" s="16" t="s">
        <v>7462</v>
      </c>
      <c r="B5300" s="164" t="s">
        <v>7473</v>
      </c>
      <c r="C5300" s="177" t="s">
        <v>5</v>
      </c>
      <c r="D5300" s="177" t="s">
        <v>7474</v>
      </c>
      <c r="E5300" s="18" t="s">
        <v>7472</v>
      </c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9"/>
      <c r="V5300" s="9"/>
      <c r="W5300" s="9"/>
      <c r="X5300" s="9"/>
      <c r="Y5300" s="9"/>
      <c r="Z5300" s="9"/>
      <c r="AA5300" s="9"/>
      <c r="AB5300" s="9"/>
      <c r="AC5300" s="9"/>
      <c r="AD5300" s="9"/>
    </row>
    <row r="5301">
      <c r="A5301" s="16"/>
      <c r="B5301" s="22"/>
      <c r="C5301" s="18"/>
      <c r="D5301" s="19"/>
      <c r="E5301" s="18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9"/>
    </row>
    <row r="5302">
      <c r="A5302" s="16" t="s">
        <v>7475</v>
      </c>
      <c r="B5302" s="22" t="s">
        <v>7431</v>
      </c>
      <c r="C5302" s="18" t="s">
        <v>2283</v>
      </c>
      <c r="D5302" s="18" t="s">
        <v>7476</v>
      </c>
      <c r="E5302" s="9" t="s">
        <v>7477</v>
      </c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  <c r="AB5302" s="9"/>
      <c r="AC5302" s="9"/>
      <c r="AD5302" s="9"/>
    </row>
    <row r="5303">
      <c r="A5303" s="16" t="s">
        <v>7475</v>
      </c>
      <c r="B5303" s="22" t="s">
        <v>7431</v>
      </c>
      <c r="C5303" s="18" t="s">
        <v>2283</v>
      </c>
      <c r="D5303" s="18" t="s">
        <v>7478</v>
      </c>
      <c r="E5303" s="9" t="s">
        <v>7477</v>
      </c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  <c r="AB5303" s="9"/>
      <c r="AC5303" s="9"/>
      <c r="AD5303" s="9"/>
    </row>
    <row r="5304">
      <c r="A5304" s="16" t="s">
        <v>7475</v>
      </c>
      <c r="B5304" s="22" t="s">
        <v>7431</v>
      </c>
      <c r="C5304" s="18" t="s">
        <v>2283</v>
      </c>
      <c r="D5304" s="18" t="s">
        <v>7479</v>
      </c>
      <c r="E5304" s="9" t="s">
        <v>14</v>
      </c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  <c r="Z5304" s="9"/>
      <c r="AA5304" s="9"/>
      <c r="AB5304" s="9"/>
      <c r="AC5304" s="9"/>
      <c r="AD5304" s="9"/>
    </row>
    <row r="5305">
      <c r="A5305" s="16" t="s">
        <v>7475</v>
      </c>
      <c r="B5305" s="22" t="s">
        <v>7431</v>
      </c>
      <c r="C5305" s="18" t="s">
        <v>2283</v>
      </c>
      <c r="D5305" s="18" t="s">
        <v>7480</v>
      </c>
      <c r="E5305" s="9" t="s">
        <v>7477</v>
      </c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  <c r="AB5305" s="9"/>
      <c r="AC5305" s="9"/>
      <c r="AD5305" s="9"/>
    </row>
    <row r="5306">
      <c r="A5306" s="16" t="s">
        <v>7475</v>
      </c>
      <c r="B5306" s="22" t="s">
        <v>7431</v>
      </c>
      <c r="C5306" s="18" t="s">
        <v>2283</v>
      </c>
      <c r="D5306" s="18" t="s">
        <v>7481</v>
      </c>
      <c r="E5306" s="9" t="s">
        <v>7477</v>
      </c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  <c r="AB5306" s="9"/>
      <c r="AC5306" s="9"/>
      <c r="AD5306" s="9"/>
    </row>
    <row r="5307">
      <c r="A5307" s="16" t="s">
        <v>7475</v>
      </c>
      <c r="B5307" s="22" t="s">
        <v>7431</v>
      </c>
      <c r="C5307" s="18" t="s">
        <v>7482</v>
      </c>
      <c r="D5307" s="18" t="s">
        <v>7483</v>
      </c>
      <c r="E5307" s="9" t="s">
        <v>7477</v>
      </c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9"/>
    </row>
    <row r="5308">
      <c r="A5308" s="16" t="s">
        <v>7475</v>
      </c>
      <c r="B5308" s="22" t="s">
        <v>7431</v>
      </c>
      <c r="C5308" s="18" t="s">
        <v>2283</v>
      </c>
      <c r="D5308" s="18" t="s">
        <v>4905</v>
      </c>
      <c r="E5308" s="9" t="s">
        <v>7477</v>
      </c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  <c r="AB5308" s="9"/>
      <c r="AC5308" s="9"/>
      <c r="AD5308" s="9"/>
    </row>
    <row r="5309">
      <c r="A5309" s="16" t="s">
        <v>7475</v>
      </c>
      <c r="B5309" s="22" t="s">
        <v>7431</v>
      </c>
      <c r="C5309" s="18" t="s">
        <v>2283</v>
      </c>
      <c r="D5309" s="18" t="s">
        <v>7484</v>
      </c>
      <c r="E5309" s="9" t="s">
        <v>7477</v>
      </c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9"/>
    </row>
    <row r="5310">
      <c r="A5310" s="16" t="s">
        <v>7475</v>
      </c>
      <c r="B5310" s="22" t="s">
        <v>7431</v>
      </c>
      <c r="C5310" s="18" t="s">
        <v>7485</v>
      </c>
      <c r="D5310" s="18" t="s">
        <v>7486</v>
      </c>
      <c r="E5310" s="9" t="s">
        <v>7487</v>
      </c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9"/>
    </row>
    <row r="5311">
      <c r="A5311" s="16" t="s">
        <v>7475</v>
      </c>
      <c r="B5311" s="22" t="s">
        <v>7431</v>
      </c>
      <c r="C5311" s="18" t="s">
        <v>7485</v>
      </c>
      <c r="D5311" s="18" t="s">
        <v>7488</v>
      </c>
      <c r="E5311" s="9" t="s">
        <v>7477</v>
      </c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9"/>
    </row>
    <row r="5312">
      <c r="A5312" s="16" t="s">
        <v>7475</v>
      </c>
      <c r="B5312" s="22" t="s">
        <v>7431</v>
      </c>
      <c r="C5312" s="18" t="s">
        <v>7489</v>
      </c>
      <c r="D5312" s="19" t="s">
        <v>7490</v>
      </c>
      <c r="E5312" s="9" t="s">
        <v>7477</v>
      </c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  <c r="AB5312" s="9"/>
      <c r="AC5312" s="9"/>
      <c r="AD5312" s="9"/>
    </row>
    <row r="5313">
      <c r="A5313" s="16" t="s">
        <v>7475</v>
      </c>
      <c r="B5313" s="22" t="s">
        <v>7431</v>
      </c>
      <c r="C5313" s="18" t="s">
        <v>4330</v>
      </c>
      <c r="D5313" s="19" t="s">
        <v>7491</v>
      </c>
      <c r="E5313" s="9" t="s">
        <v>7477</v>
      </c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  <c r="AB5313" s="9"/>
      <c r="AC5313" s="9"/>
      <c r="AD5313" s="9"/>
    </row>
    <row r="5314">
      <c r="A5314" s="16" t="s">
        <v>7475</v>
      </c>
      <c r="B5314" s="22" t="s">
        <v>7431</v>
      </c>
      <c r="C5314" s="18" t="s">
        <v>7492</v>
      </c>
      <c r="D5314" s="19" t="s">
        <v>7493</v>
      </c>
      <c r="E5314" s="9" t="s">
        <v>7477</v>
      </c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  <c r="AA5314" s="9"/>
      <c r="AB5314" s="9"/>
      <c r="AC5314" s="9"/>
      <c r="AD5314" s="9"/>
    </row>
    <row r="5315">
      <c r="A5315" s="16" t="s">
        <v>7475</v>
      </c>
      <c r="B5315" s="22" t="s">
        <v>7431</v>
      </c>
      <c r="C5315" s="18" t="s">
        <v>7494</v>
      </c>
      <c r="D5315" s="19" t="s">
        <v>7495</v>
      </c>
      <c r="E5315" s="9" t="s">
        <v>7477</v>
      </c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9"/>
    </row>
    <row r="5316">
      <c r="A5316" s="16" t="s">
        <v>7475</v>
      </c>
      <c r="B5316" s="22" t="s">
        <v>7431</v>
      </c>
      <c r="C5316" s="18" t="s">
        <v>7496</v>
      </c>
      <c r="D5316" s="19" t="s">
        <v>7493</v>
      </c>
      <c r="E5316" s="9" t="s">
        <v>7477</v>
      </c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9"/>
    </row>
    <row r="5317">
      <c r="A5317" s="16" t="s">
        <v>7475</v>
      </c>
      <c r="B5317" s="22" t="s">
        <v>7431</v>
      </c>
      <c r="C5317" s="18" t="s">
        <v>2283</v>
      </c>
      <c r="D5317" s="19" t="s">
        <v>7497</v>
      </c>
      <c r="E5317" s="9" t="s">
        <v>7477</v>
      </c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9"/>
    </row>
    <row r="5318">
      <c r="A5318" s="16" t="s">
        <v>7475</v>
      </c>
      <c r="B5318" s="22" t="s">
        <v>7431</v>
      </c>
      <c r="C5318" s="18" t="s">
        <v>7498</v>
      </c>
      <c r="D5318" s="19" t="s">
        <v>7499</v>
      </c>
      <c r="E5318" s="9" t="s">
        <v>7477</v>
      </c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  <c r="AB5318" s="9"/>
      <c r="AC5318" s="9"/>
      <c r="AD5318" s="9"/>
    </row>
    <row r="5319">
      <c r="A5319" s="16" t="s">
        <v>7475</v>
      </c>
      <c r="B5319" s="22" t="s">
        <v>7431</v>
      </c>
      <c r="C5319" s="18" t="s">
        <v>7500</v>
      </c>
      <c r="D5319" s="19" t="s">
        <v>4905</v>
      </c>
      <c r="E5319" s="9" t="s">
        <v>7477</v>
      </c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  <c r="AB5319" s="9"/>
      <c r="AC5319" s="9"/>
      <c r="AD5319" s="9"/>
    </row>
    <row r="5320">
      <c r="A5320" s="16" t="s">
        <v>7475</v>
      </c>
      <c r="B5320" s="22" t="s">
        <v>7431</v>
      </c>
      <c r="C5320" s="18" t="s">
        <v>2283</v>
      </c>
      <c r="D5320" s="19" t="s">
        <v>7501</v>
      </c>
      <c r="E5320" s="9" t="s">
        <v>7477</v>
      </c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9"/>
    </row>
    <row r="5321">
      <c r="A5321" s="16" t="s">
        <v>7475</v>
      </c>
      <c r="B5321" s="22" t="s">
        <v>7431</v>
      </c>
      <c r="C5321" s="18" t="s">
        <v>2283</v>
      </c>
      <c r="D5321" s="19" t="s">
        <v>7502</v>
      </c>
      <c r="E5321" s="9" t="s">
        <v>7477</v>
      </c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  <c r="AB5321" s="9"/>
      <c r="AC5321" s="9"/>
      <c r="AD5321" s="9"/>
    </row>
    <row r="5322">
      <c r="A5322" s="16" t="s">
        <v>7475</v>
      </c>
      <c r="B5322" s="22" t="s">
        <v>4</v>
      </c>
      <c r="C5322" s="18" t="s">
        <v>1845</v>
      </c>
      <c r="D5322" s="18" t="s">
        <v>7503</v>
      </c>
      <c r="E5322" s="18" t="s">
        <v>7504</v>
      </c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9"/>
      <c r="V5322" s="9"/>
      <c r="W5322" s="9"/>
      <c r="X5322" s="9"/>
      <c r="Y5322" s="9"/>
      <c r="Z5322" s="9"/>
      <c r="AA5322" s="9"/>
      <c r="AB5322" s="9"/>
      <c r="AC5322" s="9"/>
      <c r="AD5322" s="9"/>
    </row>
    <row r="5323">
      <c r="A5323" s="16" t="s">
        <v>7475</v>
      </c>
      <c r="B5323" s="22" t="s">
        <v>7456</v>
      </c>
      <c r="C5323" s="18" t="s">
        <v>7505</v>
      </c>
      <c r="D5323" s="18" t="s">
        <v>7506</v>
      </c>
      <c r="E5323" s="18" t="s">
        <v>309</v>
      </c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  <c r="AB5323" s="9"/>
      <c r="AC5323" s="9"/>
      <c r="AD5323" s="9"/>
    </row>
    <row r="5324">
      <c r="A5324" s="16" t="s">
        <v>7475</v>
      </c>
      <c r="B5324" s="22" t="s">
        <v>7456</v>
      </c>
      <c r="C5324" s="18" t="s">
        <v>7507</v>
      </c>
      <c r="D5324" s="18" t="s">
        <v>7508</v>
      </c>
      <c r="E5324" s="23" t="s">
        <v>4493</v>
      </c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  <c r="AB5324" s="9"/>
      <c r="AC5324" s="9"/>
      <c r="AD5324" s="9"/>
    </row>
    <row r="5325">
      <c r="A5325" s="16" t="s">
        <v>7475</v>
      </c>
      <c r="B5325" s="22" t="s">
        <v>7456</v>
      </c>
      <c r="C5325" s="18" t="s">
        <v>7509</v>
      </c>
      <c r="D5325" s="18" t="s">
        <v>7510</v>
      </c>
      <c r="E5325" s="18" t="s">
        <v>309</v>
      </c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9"/>
      <c r="AD5325" s="9"/>
    </row>
    <row r="5326">
      <c r="A5326" s="150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9"/>
      <c r="V5326" s="9"/>
      <c r="W5326" s="9"/>
      <c r="X5326" s="9"/>
      <c r="Y5326" s="9"/>
      <c r="Z5326" s="9"/>
      <c r="AA5326" s="9"/>
      <c r="AB5326" s="9"/>
      <c r="AC5326" s="9"/>
      <c r="AD5326" s="9"/>
    </row>
    <row r="5327">
      <c r="A5327" s="150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  <c r="AB5327" s="9"/>
      <c r="AC5327" s="9"/>
      <c r="AD5327" s="9"/>
    </row>
    <row r="5328">
      <c r="A5328" s="16" t="s">
        <v>7511</v>
      </c>
      <c r="B5328" s="22" t="s">
        <v>7512</v>
      </c>
      <c r="C5328" s="18" t="s">
        <v>7513</v>
      </c>
      <c r="D5328" s="18" t="s">
        <v>7514</v>
      </c>
      <c r="E5328" s="18" t="s">
        <v>4624</v>
      </c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/>
      <c r="X5328" s="9"/>
      <c r="Y5328" s="9"/>
      <c r="Z5328" s="9"/>
      <c r="AA5328" s="9"/>
      <c r="AB5328" s="9"/>
      <c r="AC5328" s="9"/>
      <c r="AD5328" s="9"/>
    </row>
    <row r="5329">
      <c r="A5329" s="16" t="s">
        <v>7511</v>
      </c>
      <c r="B5329" s="22" t="s">
        <v>7512</v>
      </c>
      <c r="C5329" s="18" t="s">
        <v>7513</v>
      </c>
      <c r="D5329" s="18" t="s">
        <v>7515</v>
      </c>
      <c r="E5329" s="18" t="s">
        <v>4624</v>
      </c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  <c r="AB5329" s="9"/>
      <c r="AC5329" s="9"/>
      <c r="AD5329" s="9"/>
    </row>
    <row r="5330">
      <c r="A5330" s="16" t="s">
        <v>7511</v>
      </c>
      <c r="B5330" s="22" t="s">
        <v>7512</v>
      </c>
      <c r="C5330" s="18" t="s">
        <v>7513</v>
      </c>
      <c r="D5330" s="18" t="s">
        <v>7516</v>
      </c>
      <c r="E5330" s="18" t="s">
        <v>4624</v>
      </c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  <c r="AA5330" s="9"/>
      <c r="AB5330" s="9"/>
      <c r="AC5330" s="9"/>
      <c r="AD5330" s="9"/>
    </row>
    <row r="5331">
      <c r="A5331" s="16" t="s">
        <v>7511</v>
      </c>
      <c r="B5331" s="22" t="s">
        <v>7512</v>
      </c>
      <c r="C5331" s="18" t="s">
        <v>7513</v>
      </c>
      <c r="D5331" s="18" t="s">
        <v>7517</v>
      </c>
      <c r="E5331" s="18" t="s">
        <v>4624</v>
      </c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  <c r="AB5331" s="9"/>
      <c r="AC5331" s="9"/>
      <c r="AD5331" s="9"/>
    </row>
    <row r="5332">
      <c r="A5332" s="16" t="s">
        <v>7511</v>
      </c>
      <c r="B5332" s="22" t="s">
        <v>7512</v>
      </c>
      <c r="C5332" s="18" t="s">
        <v>7513</v>
      </c>
      <c r="D5332" s="18" t="s">
        <v>7518</v>
      </c>
      <c r="E5332" s="18" t="s">
        <v>4624</v>
      </c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  <c r="AA5332" s="9"/>
      <c r="AB5332" s="9"/>
      <c r="AC5332" s="9"/>
      <c r="AD5332" s="9"/>
    </row>
    <row r="5333">
      <c r="A5333" s="16" t="s">
        <v>7511</v>
      </c>
      <c r="B5333" s="22" t="s">
        <v>7512</v>
      </c>
      <c r="C5333" s="18" t="s">
        <v>7513</v>
      </c>
      <c r="D5333" s="18" t="s">
        <v>7519</v>
      </c>
      <c r="E5333" s="18" t="s">
        <v>4624</v>
      </c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9"/>
      <c r="X5333" s="9"/>
      <c r="Y5333" s="9"/>
      <c r="Z5333" s="9"/>
      <c r="AA5333" s="9"/>
      <c r="AB5333" s="9"/>
      <c r="AC5333" s="9"/>
      <c r="AD5333" s="9"/>
    </row>
    <row r="5334">
      <c r="A5334" s="16" t="s">
        <v>7511</v>
      </c>
      <c r="B5334" s="22" t="s">
        <v>7512</v>
      </c>
      <c r="C5334" s="18" t="s">
        <v>7513</v>
      </c>
      <c r="D5334" s="18" t="s">
        <v>7520</v>
      </c>
      <c r="E5334" s="18" t="s">
        <v>4624</v>
      </c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  <c r="AA5334" s="9"/>
      <c r="AB5334" s="9"/>
      <c r="AC5334" s="9"/>
      <c r="AD5334" s="9"/>
    </row>
    <row r="5335">
      <c r="A5335" s="16" t="s">
        <v>7511</v>
      </c>
      <c r="B5335" s="22" t="s">
        <v>7512</v>
      </c>
      <c r="C5335" s="18" t="s">
        <v>7513</v>
      </c>
      <c r="D5335" s="18" t="s">
        <v>7521</v>
      </c>
      <c r="E5335" s="18" t="s">
        <v>4624</v>
      </c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9"/>
    </row>
    <row r="5336">
      <c r="A5336" s="16" t="s">
        <v>7511</v>
      </c>
      <c r="B5336" s="22" t="s">
        <v>7512</v>
      </c>
      <c r="C5336" s="18" t="s">
        <v>7513</v>
      </c>
      <c r="D5336" s="18" t="s">
        <v>7522</v>
      </c>
      <c r="E5336" s="18" t="s">
        <v>4624</v>
      </c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9"/>
      <c r="V5336" s="9"/>
      <c r="W5336" s="9"/>
      <c r="X5336" s="9"/>
      <c r="Y5336" s="9"/>
      <c r="Z5336" s="9"/>
      <c r="AA5336" s="9"/>
      <c r="AB5336" s="9"/>
      <c r="AC5336" s="9"/>
      <c r="AD5336" s="9"/>
    </row>
    <row r="5337">
      <c r="A5337" s="16" t="s">
        <v>7511</v>
      </c>
      <c r="B5337" s="22" t="s">
        <v>7512</v>
      </c>
      <c r="C5337" s="18" t="s">
        <v>7513</v>
      </c>
      <c r="D5337" s="18" t="s">
        <v>7523</v>
      </c>
      <c r="E5337" s="18" t="s">
        <v>4624</v>
      </c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  <c r="AA5337" s="9"/>
      <c r="AB5337" s="9"/>
      <c r="AC5337" s="9"/>
      <c r="AD5337" s="9"/>
    </row>
    <row r="5338">
      <c r="A5338" s="16" t="s">
        <v>7511</v>
      </c>
      <c r="B5338" s="22" t="s">
        <v>7512</v>
      </c>
      <c r="C5338" s="18" t="s">
        <v>7513</v>
      </c>
      <c r="D5338" s="18" t="s">
        <v>7524</v>
      </c>
      <c r="E5338" s="18" t="s">
        <v>4624</v>
      </c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  <c r="AB5338" s="9"/>
      <c r="AC5338" s="9"/>
      <c r="AD5338" s="9"/>
    </row>
    <row r="5339">
      <c r="A5339" s="16" t="s">
        <v>7511</v>
      </c>
      <c r="B5339" s="22" t="s">
        <v>7512</v>
      </c>
      <c r="C5339" s="18" t="s">
        <v>7525</v>
      </c>
      <c r="D5339" s="18" t="s">
        <v>7526</v>
      </c>
      <c r="E5339" s="18" t="s">
        <v>4624</v>
      </c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  <c r="AB5339" s="9"/>
      <c r="AC5339" s="9"/>
      <c r="AD5339" s="9"/>
    </row>
    <row r="5340">
      <c r="A5340" s="16" t="s">
        <v>7511</v>
      </c>
      <c r="B5340" s="22" t="s">
        <v>7512</v>
      </c>
      <c r="C5340" s="18" t="s">
        <v>7513</v>
      </c>
      <c r="D5340" s="18" t="s">
        <v>7527</v>
      </c>
      <c r="E5340" s="18" t="s">
        <v>4624</v>
      </c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9"/>
    </row>
    <row r="5341">
      <c r="A5341" s="16" t="s">
        <v>7511</v>
      </c>
      <c r="B5341" s="22" t="s">
        <v>7512</v>
      </c>
      <c r="C5341" s="18" t="s">
        <v>7513</v>
      </c>
      <c r="D5341" s="18" t="s">
        <v>7528</v>
      </c>
      <c r="E5341" s="18" t="s">
        <v>4624</v>
      </c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  <c r="AB5341" s="9"/>
      <c r="AC5341" s="9"/>
      <c r="AD5341" s="9"/>
    </row>
    <row r="5342">
      <c r="A5342" s="16" t="s">
        <v>7511</v>
      </c>
      <c r="B5342" s="22" t="s">
        <v>7512</v>
      </c>
      <c r="C5342" s="18" t="s">
        <v>7513</v>
      </c>
      <c r="D5342" s="18" t="s">
        <v>7529</v>
      </c>
      <c r="E5342" s="18" t="s">
        <v>4624</v>
      </c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  <c r="AB5342" s="9"/>
      <c r="AC5342" s="9"/>
      <c r="AD5342" s="9"/>
    </row>
    <row r="5343">
      <c r="A5343" s="16" t="s">
        <v>7511</v>
      </c>
      <c r="B5343" s="22" t="s">
        <v>7512</v>
      </c>
      <c r="C5343" s="18" t="s">
        <v>7513</v>
      </c>
      <c r="D5343" s="18" t="s">
        <v>7530</v>
      </c>
      <c r="E5343" s="18" t="s">
        <v>4624</v>
      </c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  <c r="AB5343" s="9"/>
      <c r="AC5343" s="9"/>
      <c r="AD5343" s="9"/>
    </row>
    <row r="5344">
      <c r="A5344" s="16" t="s">
        <v>7511</v>
      </c>
      <c r="B5344" s="22" t="s">
        <v>7512</v>
      </c>
      <c r="C5344" s="18" t="s">
        <v>7513</v>
      </c>
      <c r="D5344" s="18" t="s">
        <v>7531</v>
      </c>
      <c r="E5344" s="18" t="s">
        <v>4624</v>
      </c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  <c r="AA5344" s="9"/>
      <c r="AB5344" s="9"/>
      <c r="AC5344" s="9"/>
      <c r="AD5344" s="9"/>
    </row>
    <row r="5345">
      <c r="A5345" s="16" t="s">
        <v>7511</v>
      </c>
      <c r="B5345" s="22" t="s">
        <v>7512</v>
      </c>
      <c r="C5345" s="18" t="s">
        <v>7513</v>
      </c>
      <c r="D5345" s="18" t="s">
        <v>7532</v>
      </c>
      <c r="E5345" s="18" t="s">
        <v>4624</v>
      </c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  <c r="AA5345" s="9"/>
      <c r="AB5345" s="9"/>
      <c r="AC5345" s="9"/>
      <c r="AD5345" s="9"/>
    </row>
    <row r="5346">
      <c r="A5346" s="16" t="s">
        <v>7511</v>
      </c>
      <c r="B5346" s="22" t="s">
        <v>7512</v>
      </c>
      <c r="C5346" s="18" t="s">
        <v>7533</v>
      </c>
      <c r="D5346" s="18" t="s">
        <v>7534</v>
      </c>
      <c r="E5346" s="18" t="s">
        <v>4624</v>
      </c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  <c r="AA5346" s="9"/>
      <c r="AB5346" s="9"/>
      <c r="AC5346" s="9"/>
      <c r="AD5346" s="9"/>
    </row>
    <row r="5347">
      <c r="A5347" s="16" t="s">
        <v>7511</v>
      </c>
      <c r="B5347" s="22" t="s">
        <v>7512</v>
      </c>
      <c r="C5347" s="18" t="s">
        <v>7535</v>
      </c>
      <c r="D5347" s="18" t="s">
        <v>7536</v>
      </c>
      <c r="E5347" s="18" t="s">
        <v>4624</v>
      </c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9"/>
    </row>
    <row r="5348">
      <c r="A5348" s="16" t="s">
        <v>7511</v>
      </c>
      <c r="B5348" s="22" t="s">
        <v>7512</v>
      </c>
      <c r="C5348" s="18" t="s">
        <v>7513</v>
      </c>
      <c r="D5348" s="18" t="s">
        <v>7531</v>
      </c>
      <c r="E5348" s="18" t="s">
        <v>4624</v>
      </c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9"/>
    </row>
    <row r="5349">
      <c r="A5349" s="16" t="s">
        <v>7511</v>
      </c>
      <c r="B5349" s="22" t="s">
        <v>7512</v>
      </c>
      <c r="C5349" s="18" t="s">
        <v>7537</v>
      </c>
      <c r="D5349" s="18" t="s">
        <v>7536</v>
      </c>
      <c r="E5349" s="18" t="s">
        <v>4624</v>
      </c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  <c r="AA5349" s="9"/>
      <c r="AB5349" s="9"/>
      <c r="AC5349" s="9"/>
      <c r="AD5349" s="9"/>
    </row>
    <row r="5350">
      <c r="A5350" s="16" t="s">
        <v>7511</v>
      </c>
      <c r="B5350" s="22" t="s">
        <v>7512</v>
      </c>
      <c r="C5350" s="18" t="s">
        <v>7513</v>
      </c>
      <c r="D5350" s="18" t="s">
        <v>7538</v>
      </c>
      <c r="E5350" s="18" t="s">
        <v>4624</v>
      </c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  <c r="AA5350" s="9"/>
      <c r="AB5350" s="9"/>
      <c r="AC5350" s="9"/>
      <c r="AD5350" s="9"/>
    </row>
    <row r="5351">
      <c r="A5351" s="16" t="s">
        <v>7511</v>
      </c>
      <c r="B5351" s="22" t="s">
        <v>7512</v>
      </c>
      <c r="C5351" s="18" t="s">
        <v>7513</v>
      </c>
      <c r="D5351" s="18" t="s">
        <v>7539</v>
      </c>
      <c r="E5351" s="18" t="s">
        <v>4624</v>
      </c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  <c r="AB5351" s="9"/>
      <c r="AC5351" s="9"/>
      <c r="AD5351" s="9"/>
    </row>
    <row r="5352">
      <c r="A5352" s="16" t="s">
        <v>7511</v>
      </c>
      <c r="B5352" s="22" t="s">
        <v>7512</v>
      </c>
      <c r="C5352" s="18" t="s">
        <v>7513</v>
      </c>
      <c r="D5352" s="18" t="s">
        <v>7540</v>
      </c>
      <c r="E5352" s="18" t="s">
        <v>4624</v>
      </c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9"/>
    </row>
    <row r="5353">
      <c r="A5353" s="16" t="s">
        <v>7511</v>
      </c>
      <c r="B5353" s="22" t="s">
        <v>7512</v>
      </c>
      <c r="C5353" s="18" t="s">
        <v>7513</v>
      </c>
      <c r="D5353" s="18" t="s">
        <v>7541</v>
      </c>
      <c r="E5353" s="18" t="s">
        <v>4624</v>
      </c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  <c r="AB5353" s="9"/>
      <c r="AC5353" s="9"/>
      <c r="AD5353" s="9"/>
    </row>
    <row r="5354">
      <c r="A5354" s="16" t="s">
        <v>7511</v>
      </c>
      <c r="B5354" s="22" t="s">
        <v>7512</v>
      </c>
      <c r="C5354" s="18" t="s">
        <v>7513</v>
      </c>
      <c r="D5354" s="18" t="s">
        <v>7542</v>
      </c>
      <c r="E5354" s="18" t="s">
        <v>4624</v>
      </c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  <c r="AB5354" s="9"/>
      <c r="AC5354" s="9"/>
      <c r="AD5354" s="9"/>
    </row>
    <row r="5355">
      <c r="A5355" s="16" t="s">
        <v>7511</v>
      </c>
      <c r="B5355" s="22" t="s">
        <v>7512</v>
      </c>
      <c r="C5355" s="18" t="s">
        <v>7513</v>
      </c>
      <c r="D5355" s="18" t="s">
        <v>7543</v>
      </c>
      <c r="E5355" s="18" t="s">
        <v>4624</v>
      </c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9"/>
      <c r="V5355" s="9"/>
      <c r="W5355" s="9"/>
      <c r="X5355" s="9"/>
      <c r="Y5355" s="9"/>
      <c r="Z5355" s="9"/>
      <c r="AA5355" s="9"/>
      <c r="AB5355" s="9"/>
      <c r="AC5355" s="9"/>
      <c r="AD5355" s="9"/>
    </row>
    <row r="5356">
      <c r="A5356" s="16" t="s">
        <v>7511</v>
      </c>
      <c r="B5356" s="22" t="s">
        <v>7512</v>
      </c>
      <c r="C5356" s="18" t="s">
        <v>7513</v>
      </c>
      <c r="D5356" s="18" t="s">
        <v>7544</v>
      </c>
      <c r="E5356" s="18" t="s">
        <v>4624</v>
      </c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  <c r="AB5356" s="9"/>
      <c r="AC5356" s="9"/>
      <c r="AD5356" s="9"/>
    </row>
    <row r="5357">
      <c r="A5357" s="16" t="s">
        <v>7511</v>
      </c>
      <c r="B5357" s="22" t="s">
        <v>7431</v>
      </c>
      <c r="C5357" s="18" t="s">
        <v>7545</v>
      </c>
      <c r="D5357" s="19" t="s">
        <v>7546</v>
      </c>
      <c r="E5357" s="18" t="s">
        <v>4624</v>
      </c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  <c r="AB5357" s="9"/>
      <c r="AC5357" s="9"/>
      <c r="AD5357" s="9"/>
    </row>
    <row r="5358">
      <c r="A5358" s="16" t="s">
        <v>7511</v>
      </c>
      <c r="B5358" s="22" t="s">
        <v>7431</v>
      </c>
      <c r="C5358" s="18" t="s">
        <v>2283</v>
      </c>
      <c r="D5358" s="19" t="s">
        <v>2833</v>
      </c>
      <c r="E5358" s="18" t="s">
        <v>4624</v>
      </c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9"/>
    </row>
    <row r="5359">
      <c r="A5359" s="16" t="s">
        <v>7511</v>
      </c>
      <c r="B5359" s="22" t="s">
        <v>7431</v>
      </c>
      <c r="C5359" s="18" t="s">
        <v>7547</v>
      </c>
      <c r="D5359" s="19" t="s">
        <v>7548</v>
      </c>
      <c r="E5359" s="18" t="s">
        <v>4624</v>
      </c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9"/>
      <c r="AC5359" s="9"/>
      <c r="AD5359" s="9"/>
    </row>
    <row r="5360">
      <c r="A5360" s="16" t="s">
        <v>7511</v>
      </c>
      <c r="B5360" s="22" t="s">
        <v>7431</v>
      </c>
      <c r="C5360" s="18" t="s">
        <v>7432</v>
      </c>
      <c r="D5360" s="19" t="s">
        <v>7549</v>
      </c>
      <c r="E5360" s="18" t="s">
        <v>4624</v>
      </c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9"/>
    </row>
    <row r="5361">
      <c r="A5361" s="16" t="s">
        <v>7511</v>
      </c>
      <c r="B5361" s="22" t="s">
        <v>7431</v>
      </c>
      <c r="C5361" s="18" t="s">
        <v>2283</v>
      </c>
      <c r="D5361" s="19" t="s">
        <v>7550</v>
      </c>
      <c r="E5361" s="18" t="s">
        <v>4624</v>
      </c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  <c r="AB5361" s="9"/>
      <c r="AC5361" s="9"/>
      <c r="AD5361" s="9"/>
    </row>
    <row r="5362">
      <c r="A5362" s="16"/>
      <c r="B5362" s="22"/>
      <c r="C5362" s="18"/>
      <c r="D5362" s="19"/>
      <c r="E5362" s="18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  <c r="AB5362" s="9"/>
      <c r="AC5362" s="9"/>
      <c r="AD5362" s="9"/>
    </row>
    <row r="5363">
      <c r="A5363" s="16"/>
      <c r="B5363" s="22"/>
      <c r="C5363" s="18"/>
      <c r="D5363" s="19"/>
      <c r="E5363" s="18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  <c r="AA5363" s="9"/>
      <c r="AB5363" s="9"/>
      <c r="AC5363" s="9"/>
      <c r="AD5363" s="9"/>
    </row>
    <row r="5364">
      <c r="A5364" s="16" t="s">
        <v>7551</v>
      </c>
      <c r="B5364" s="22" t="s">
        <v>7552</v>
      </c>
      <c r="C5364" s="18" t="s">
        <v>7553</v>
      </c>
      <c r="D5364" s="19" t="s">
        <v>7554</v>
      </c>
      <c r="E5364" s="18" t="s">
        <v>7069</v>
      </c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9"/>
    </row>
    <row r="5365">
      <c r="A5365" s="16" t="s">
        <v>7551</v>
      </c>
      <c r="B5365" s="22" t="s">
        <v>7431</v>
      </c>
      <c r="C5365" s="18" t="s">
        <v>2283</v>
      </c>
      <c r="D5365" s="19" t="s">
        <v>2833</v>
      </c>
      <c r="E5365" s="18" t="s">
        <v>4624</v>
      </c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9"/>
    </row>
    <row r="5366">
      <c r="A5366" s="16" t="s">
        <v>7551</v>
      </c>
      <c r="B5366" s="22" t="s">
        <v>7431</v>
      </c>
      <c r="C5366" s="18" t="s">
        <v>7489</v>
      </c>
      <c r="D5366" s="19" t="s">
        <v>7490</v>
      </c>
      <c r="E5366" s="18" t="s">
        <v>4624</v>
      </c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9"/>
    </row>
    <row r="5367">
      <c r="A5367" s="16" t="s">
        <v>7551</v>
      </c>
      <c r="B5367" s="22" t="s">
        <v>7431</v>
      </c>
      <c r="C5367" s="18" t="s">
        <v>7555</v>
      </c>
      <c r="D5367" s="19" t="s">
        <v>2485</v>
      </c>
      <c r="E5367" s="18" t="s">
        <v>4624</v>
      </c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9"/>
      <c r="V5367" s="9"/>
      <c r="W5367" s="9"/>
      <c r="X5367" s="9"/>
      <c r="Y5367" s="9"/>
      <c r="Z5367" s="9"/>
      <c r="AA5367" s="9"/>
      <c r="AB5367" s="9"/>
      <c r="AC5367" s="9"/>
      <c r="AD5367" s="9"/>
    </row>
    <row r="5368">
      <c r="A5368" s="16" t="s">
        <v>7551</v>
      </c>
      <c r="B5368" s="22" t="s">
        <v>7431</v>
      </c>
      <c r="C5368" s="18" t="s">
        <v>7464</v>
      </c>
      <c r="D5368" s="19" t="s">
        <v>3320</v>
      </c>
      <c r="E5368" s="18" t="s">
        <v>4624</v>
      </c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R5368" s="9"/>
      <c r="S5368" s="9"/>
      <c r="T5368" s="9"/>
      <c r="U5368" s="9"/>
      <c r="V5368" s="9"/>
      <c r="W5368" s="9"/>
      <c r="X5368" s="9"/>
      <c r="Y5368" s="9"/>
      <c r="Z5368" s="9"/>
      <c r="AA5368" s="9"/>
      <c r="AB5368" s="9"/>
      <c r="AC5368" s="9"/>
      <c r="AD5368" s="9"/>
    </row>
    <row r="5369">
      <c r="A5369" s="16" t="s">
        <v>7551</v>
      </c>
      <c r="B5369" s="22" t="s">
        <v>7431</v>
      </c>
      <c r="C5369" s="18" t="s">
        <v>7556</v>
      </c>
      <c r="D5369" s="19" t="s">
        <v>7557</v>
      </c>
      <c r="E5369" s="18" t="s">
        <v>4624</v>
      </c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9"/>
      <c r="V5369" s="9"/>
      <c r="W5369" s="9"/>
      <c r="X5369" s="9"/>
      <c r="Y5369" s="9"/>
      <c r="Z5369" s="9"/>
      <c r="AA5369" s="9"/>
      <c r="AB5369" s="9"/>
      <c r="AC5369" s="9"/>
      <c r="AD5369" s="9"/>
    </row>
    <row r="5370">
      <c r="A5370" s="16" t="s">
        <v>7551</v>
      </c>
      <c r="B5370" s="22" t="s">
        <v>7558</v>
      </c>
      <c r="C5370" s="18" t="s">
        <v>7559</v>
      </c>
      <c r="D5370" s="18" t="s">
        <v>7560</v>
      </c>
      <c r="E5370" s="18" t="s">
        <v>7204</v>
      </c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9"/>
    </row>
    <row r="5371">
      <c r="A5371" s="16" t="s">
        <v>7551</v>
      </c>
      <c r="B5371" s="22" t="s">
        <v>7561</v>
      </c>
      <c r="C5371" s="18" t="s">
        <v>7562</v>
      </c>
      <c r="D5371" s="19" t="s">
        <v>1727</v>
      </c>
      <c r="E5371" s="176" t="s">
        <v>7563</v>
      </c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9"/>
    </row>
    <row r="5372">
      <c r="A5372" s="16" t="s">
        <v>7551</v>
      </c>
      <c r="B5372" s="22" t="s">
        <v>7561</v>
      </c>
      <c r="C5372" s="18" t="s">
        <v>7564</v>
      </c>
      <c r="D5372" s="19" t="s">
        <v>1727</v>
      </c>
      <c r="E5372" s="176" t="s">
        <v>7565</v>
      </c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9"/>
    </row>
    <row r="5373">
      <c r="A5373" s="16" t="s">
        <v>7551</v>
      </c>
      <c r="B5373" s="22" t="s">
        <v>7561</v>
      </c>
      <c r="C5373" s="18" t="s">
        <v>544</v>
      </c>
      <c r="D5373" s="19" t="s">
        <v>1727</v>
      </c>
      <c r="E5373" s="176" t="s">
        <v>7566</v>
      </c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9"/>
      <c r="V5373" s="9"/>
      <c r="W5373" s="9"/>
      <c r="X5373" s="9"/>
      <c r="Y5373" s="9"/>
      <c r="Z5373" s="9"/>
      <c r="AA5373" s="9"/>
      <c r="AB5373" s="9"/>
      <c r="AC5373" s="9"/>
      <c r="AD5373" s="9"/>
    </row>
    <row r="5374">
      <c r="A5374" s="16" t="s">
        <v>7551</v>
      </c>
      <c r="B5374" s="22" t="s">
        <v>7561</v>
      </c>
      <c r="C5374" s="18" t="s">
        <v>7567</v>
      </c>
      <c r="D5374" s="19" t="s">
        <v>1727</v>
      </c>
      <c r="E5374" s="176" t="s">
        <v>7568</v>
      </c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  <c r="AA5374" s="9"/>
      <c r="AB5374" s="9"/>
      <c r="AC5374" s="9"/>
      <c r="AD5374" s="9"/>
    </row>
    <row r="5375">
      <c r="A5375" s="16" t="s">
        <v>7551</v>
      </c>
      <c r="B5375" s="22" t="s">
        <v>7561</v>
      </c>
      <c r="C5375" s="18" t="s">
        <v>7569</v>
      </c>
      <c r="D5375" s="19" t="s">
        <v>1727</v>
      </c>
      <c r="E5375" s="176" t="s">
        <v>7570</v>
      </c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  <c r="AB5375" s="9"/>
      <c r="AC5375" s="9"/>
      <c r="AD5375" s="9"/>
    </row>
    <row r="5376">
      <c r="A5376" s="16" t="s">
        <v>7551</v>
      </c>
      <c r="B5376" s="22" t="s">
        <v>7561</v>
      </c>
      <c r="C5376" s="18" t="s">
        <v>1350</v>
      </c>
      <c r="D5376" s="19" t="s">
        <v>1727</v>
      </c>
      <c r="E5376" s="176" t="s">
        <v>7571</v>
      </c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9"/>
    </row>
    <row r="5377">
      <c r="A5377" s="16" t="s">
        <v>7551</v>
      </c>
      <c r="B5377" s="22" t="s">
        <v>7572</v>
      </c>
      <c r="C5377" s="18" t="s">
        <v>7573</v>
      </c>
      <c r="D5377" s="18" t="s">
        <v>7574</v>
      </c>
      <c r="E5377" s="18" t="s">
        <v>4493</v>
      </c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9"/>
      <c r="AD5377" s="9"/>
    </row>
    <row r="5378">
      <c r="A5378" s="16" t="s">
        <v>7551</v>
      </c>
      <c r="B5378" s="22" t="s">
        <v>7575</v>
      </c>
      <c r="C5378" s="18" t="s">
        <v>7576</v>
      </c>
      <c r="D5378" s="18" t="s">
        <v>7577</v>
      </c>
      <c r="E5378" s="23" t="s">
        <v>14</v>
      </c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9"/>
    </row>
    <row r="5379">
      <c r="A5379" s="16" t="s">
        <v>7551</v>
      </c>
      <c r="B5379" s="22" t="s">
        <v>7575</v>
      </c>
      <c r="C5379" s="18" t="s">
        <v>7578</v>
      </c>
      <c r="D5379" s="18" t="s">
        <v>1361</v>
      </c>
      <c r="E5379" s="23" t="s">
        <v>14</v>
      </c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  <c r="AB5379" s="9"/>
      <c r="AC5379" s="9"/>
      <c r="AD5379" s="9"/>
    </row>
    <row r="5380">
      <c r="A5380" s="16" t="s">
        <v>7551</v>
      </c>
      <c r="B5380" s="22" t="s">
        <v>7579</v>
      </c>
      <c r="C5380" s="18" t="s">
        <v>7580</v>
      </c>
      <c r="D5380" s="19" t="s">
        <v>7581</v>
      </c>
      <c r="E5380" s="18" t="s">
        <v>7582</v>
      </c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  <c r="AA5380" s="9"/>
      <c r="AB5380" s="9"/>
      <c r="AC5380" s="9"/>
      <c r="AD5380" s="9"/>
    </row>
    <row r="5381">
      <c r="A5381" s="16"/>
      <c r="B5381" s="22"/>
      <c r="C5381" s="18"/>
      <c r="D5381" s="19"/>
      <c r="E5381" s="18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9"/>
      <c r="V5381" s="9"/>
      <c r="W5381" s="9"/>
      <c r="X5381" s="9"/>
      <c r="Y5381" s="9"/>
      <c r="Z5381" s="9"/>
      <c r="AA5381" s="9"/>
      <c r="AB5381" s="9"/>
      <c r="AC5381" s="9"/>
      <c r="AD5381" s="9"/>
    </row>
    <row r="5382">
      <c r="A5382" s="16"/>
      <c r="B5382" s="22"/>
      <c r="C5382" s="18"/>
      <c r="D5382" s="19"/>
      <c r="E5382" s="18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  <c r="AA5382" s="9"/>
      <c r="AB5382" s="9"/>
      <c r="AC5382" s="9"/>
      <c r="AD5382" s="9"/>
    </row>
    <row r="5383">
      <c r="A5383" s="16" t="s">
        <v>7583</v>
      </c>
      <c r="B5383" s="22" t="s">
        <v>7584</v>
      </c>
      <c r="C5383" s="18" t="s">
        <v>7585</v>
      </c>
      <c r="D5383" s="19" t="s">
        <v>515</v>
      </c>
      <c r="E5383" s="18" t="s">
        <v>14</v>
      </c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  <c r="AB5383" s="9"/>
      <c r="AC5383" s="9"/>
      <c r="AD5383" s="9"/>
    </row>
    <row r="5384">
      <c r="A5384" s="16" t="s">
        <v>7583</v>
      </c>
      <c r="B5384" s="22" t="s">
        <v>7586</v>
      </c>
      <c r="C5384" s="18" t="s">
        <v>7587</v>
      </c>
      <c r="D5384" s="18" t="s">
        <v>7588</v>
      </c>
      <c r="E5384" s="23" t="s">
        <v>7406</v>
      </c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9"/>
    </row>
    <row r="5385">
      <c r="A5385" s="16" t="s">
        <v>7583</v>
      </c>
      <c r="B5385" s="22" t="s">
        <v>7586</v>
      </c>
      <c r="C5385" s="18" t="s">
        <v>7589</v>
      </c>
      <c r="D5385" s="18" t="s">
        <v>7588</v>
      </c>
      <c r="E5385" s="23" t="s">
        <v>7406</v>
      </c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9"/>
    </row>
    <row r="5386">
      <c r="A5386" s="16" t="s">
        <v>7583</v>
      </c>
      <c r="B5386" s="19" t="s">
        <v>7590</v>
      </c>
      <c r="C5386" s="18" t="s">
        <v>7591</v>
      </c>
      <c r="D5386" s="18" t="s">
        <v>7592</v>
      </c>
      <c r="E5386" s="18" t="s">
        <v>4493</v>
      </c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9"/>
    </row>
    <row r="5387">
      <c r="A5387" s="16" t="s">
        <v>7583</v>
      </c>
      <c r="B5387" s="22" t="s">
        <v>7431</v>
      </c>
      <c r="C5387" s="18" t="s">
        <v>7593</v>
      </c>
      <c r="D5387" s="19" t="s">
        <v>7594</v>
      </c>
      <c r="E5387" s="18" t="s">
        <v>4493</v>
      </c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9"/>
      <c r="AD5387" s="9"/>
    </row>
    <row r="5388">
      <c r="A5388" s="16" t="s">
        <v>7583</v>
      </c>
      <c r="B5388" s="22" t="s">
        <v>7595</v>
      </c>
      <c r="C5388" s="18" t="s">
        <v>7596</v>
      </c>
      <c r="D5388" s="19" t="s">
        <v>7597</v>
      </c>
      <c r="E5388" s="18" t="s">
        <v>764</v>
      </c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9"/>
    </row>
    <row r="5389">
      <c r="A5389" s="16"/>
      <c r="B5389" s="22"/>
      <c r="C5389" s="18"/>
      <c r="D5389" s="19"/>
      <c r="E5389" s="18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9"/>
    </row>
    <row r="5390">
      <c r="A5390" s="16"/>
      <c r="B5390" s="22"/>
      <c r="C5390" s="18"/>
      <c r="D5390" s="19"/>
      <c r="E5390" s="18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9"/>
    </row>
    <row r="5391">
      <c r="A5391" s="16" t="s">
        <v>7598</v>
      </c>
      <c r="B5391" s="22" t="s">
        <v>7599</v>
      </c>
      <c r="C5391" s="18" t="s">
        <v>7600</v>
      </c>
      <c r="D5391" s="18" t="s">
        <v>7601</v>
      </c>
      <c r="E5391" s="23" t="s">
        <v>7069</v>
      </c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  <c r="AB5391" s="9"/>
      <c r="AC5391" s="9"/>
      <c r="AD5391" s="9"/>
    </row>
    <row r="5392">
      <c r="A5392" s="16" t="s">
        <v>7598</v>
      </c>
      <c r="B5392" s="22" t="s">
        <v>7599</v>
      </c>
      <c r="C5392" s="18" t="s">
        <v>7602</v>
      </c>
      <c r="D5392" s="18" t="s">
        <v>7601</v>
      </c>
      <c r="E5392" s="23" t="s">
        <v>7069</v>
      </c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9"/>
    </row>
    <row r="5393">
      <c r="A5393" s="16" t="s">
        <v>7598</v>
      </c>
      <c r="B5393" s="22" t="s">
        <v>7456</v>
      </c>
      <c r="C5393" s="18" t="s">
        <v>7457</v>
      </c>
      <c r="D5393" s="19" t="s">
        <v>1383</v>
      </c>
      <c r="E5393" s="18" t="s">
        <v>4624</v>
      </c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9"/>
    </row>
    <row r="5394">
      <c r="A5394" s="16" t="s">
        <v>7598</v>
      </c>
      <c r="B5394" s="22" t="s">
        <v>7456</v>
      </c>
      <c r="C5394" s="18" t="s">
        <v>7457</v>
      </c>
      <c r="D5394" s="19" t="s">
        <v>7603</v>
      </c>
      <c r="E5394" s="18" t="s">
        <v>4624</v>
      </c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9"/>
    </row>
    <row r="5395">
      <c r="A5395" s="16" t="s">
        <v>7598</v>
      </c>
      <c r="B5395" s="22" t="s">
        <v>7456</v>
      </c>
      <c r="C5395" s="18" t="s">
        <v>7457</v>
      </c>
      <c r="D5395" s="19" t="s">
        <v>7604</v>
      </c>
      <c r="E5395" s="18" t="s">
        <v>4624</v>
      </c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  <c r="AB5395" s="9"/>
      <c r="AC5395" s="9"/>
      <c r="AD5395" s="9"/>
    </row>
    <row r="5396">
      <c r="A5396" s="16" t="s">
        <v>7598</v>
      </c>
      <c r="B5396" s="22" t="s">
        <v>7552</v>
      </c>
      <c r="C5396" s="18" t="s">
        <v>5</v>
      </c>
      <c r="D5396" s="18" t="s">
        <v>7605</v>
      </c>
      <c r="E5396" s="18" t="s">
        <v>14</v>
      </c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  <c r="AB5396" s="9"/>
      <c r="AC5396" s="9"/>
      <c r="AD5396" s="9"/>
    </row>
    <row r="5397">
      <c r="A5397" s="16" t="s">
        <v>7598</v>
      </c>
      <c r="B5397" s="22" t="s">
        <v>7606</v>
      </c>
      <c r="C5397" s="18" t="s">
        <v>7607</v>
      </c>
      <c r="D5397" s="18" t="s">
        <v>7608</v>
      </c>
      <c r="E5397" s="18" t="s">
        <v>4624</v>
      </c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  <c r="AB5397" s="9"/>
      <c r="AC5397" s="9"/>
      <c r="AD5397" s="9"/>
    </row>
    <row r="5398">
      <c r="A5398" s="16" t="s">
        <v>7598</v>
      </c>
      <c r="B5398" s="22" t="s">
        <v>7606</v>
      </c>
      <c r="C5398" s="18" t="s">
        <v>7609</v>
      </c>
      <c r="D5398" s="18" t="s">
        <v>7610</v>
      </c>
      <c r="E5398" s="18" t="s">
        <v>4624</v>
      </c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  <c r="AB5398" s="9"/>
      <c r="AC5398" s="9"/>
      <c r="AD5398" s="9"/>
    </row>
    <row r="5399">
      <c r="A5399" s="16" t="s">
        <v>7598</v>
      </c>
      <c r="B5399" s="22" t="s">
        <v>7611</v>
      </c>
      <c r="C5399" s="18" t="s">
        <v>7612</v>
      </c>
      <c r="D5399" s="18" t="s">
        <v>7613</v>
      </c>
      <c r="E5399" s="18" t="s">
        <v>4493</v>
      </c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9"/>
      <c r="AD5399" s="9"/>
    </row>
    <row r="5400">
      <c r="A5400" s="16" t="s">
        <v>7598</v>
      </c>
      <c r="B5400" s="22" t="s">
        <v>7614</v>
      </c>
      <c r="C5400" s="18" t="s">
        <v>7615</v>
      </c>
      <c r="D5400" s="18" t="s">
        <v>7616</v>
      </c>
      <c r="E5400" s="18" t="s">
        <v>7617</v>
      </c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  <c r="AB5400" s="9"/>
      <c r="AC5400" s="9"/>
      <c r="AD5400" s="9"/>
    </row>
    <row r="5401">
      <c r="A5401" s="16" t="s">
        <v>7598</v>
      </c>
      <c r="B5401" s="22" t="s">
        <v>7614</v>
      </c>
      <c r="C5401" s="18" t="s">
        <v>7618</v>
      </c>
      <c r="D5401" s="18" t="s">
        <v>7619</v>
      </c>
      <c r="E5401" s="18" t="s">
        <v>7617</v>
      </c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  <c r="AB5401" s="9"/>
      <c r="AC5401" s="9"/>
      <c r="AD5401" s="9"/>
    </row>
    <row r="5402">
      <c r="A5402" s="16" t="s">
        <v>7598</v>
      </c>
      <c r="B5402" s="22" t="s">
        <v>7614</v>
      </c>
      <c r="C5402" s="18" t="s">
        <v>7620</v>
      </c>
      <c r="D5402" s="18" t="s">
        <v>7621</v>
      </c>
      <c r="E5402" s="18" t="s">
        <v>4493</v>
      </c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  <c r="AA5402" s="9"/>
      <c r="AB5402" s="9"/>
      <c r="AC5402" s="9"/>
      <c r="AD5402" s="9"/>
    </row>
    <row r="5403">
      <c r="A5403" s="16" t="s">
        <v>7598</v>
      </c>
      <c r="B5403" s="22" t="s">
        <v>7622</v>
      </c>
      <c r="C5403" s="18" t="s">
        <v>7623</v>
      </c>
      <c r="D5403" s="18" t="s">
        <v>7624</v>
      </c>
      <c r="E5403" s="20" t="s">
        <v>7</v>
      </c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  <c r="AB5403" s="9"/>
      <c r="AC5403" s="9"/>
      <c r="AD5403" s="9"/>
    </row>
    <row r="5404">
      <c r="A5404" s="16" t="s">
        <v>7598</v>
      </c>
      <c r="B5404" s="22" t="s">
        <v>7622</v>
      </c>
      <c r="C5404" s="18" t="s">
        <v>7625</v>
      </c>
      <c r="D5404" s="18" t="s">
        <v>7626</v>
      </c>
      <c r="E5404" s="20" t="s">
        <v>7</v>
      </c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9"/>
    </row>
    <row r="5405">
      <c r="A5405" s="16" t="s">
        <v>7598</v>
      </c>
      <c r="B5405" s="22" t="s">
        <v>7622</v>
      </c>
      <c r="C5405" s="18" t="s">
        <v>6578</v>
      </c>
      <c r="D5405" s="18" t="s">
        <v>7627</v>
      </c>
      <c r="E5405" s="20" t="s">
        <v>7</v>
      </c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  <c r="AB5405" s="9"/>
      <c r="AC5405" s="9"/>
      <c r="AD5405" s="9"/>
    </row>
    <row r="5406">
      <c r="A5406" s="16" t="s">
        <v>7598</v>
      </c>
      <c r="B5406" s="22" t="s">
        <v>7622</v>
      </c>
      <c r="C5406" s="18" t="s">
        <v>6578</v>
      </c>
      <c r="D5406" s="18" t="s">
        <v>7628</v>
      </c>
      <c r="E5406" s="20" t="s">
        <v>7</v>
      </c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  <c r="AB5406" s="9"/>
      <c r="AC5406" s="9"/>
      <c r="AD5406" s="9"/>
    </row>
    <row r="5407">
      <c r="A5407" s="16" t="s">
        <v>7598</v>
      </c>
      <c r="B5407" s="22" t="s">
        <v>7629</v>
      </c>
      <c r="C5407" s="18" t="s">
        <v>7630</v>
      </c>
      <c r="D5407" s="19" t="s">
        <v>7631</v>
      </c>
      <c r="E5407" s="20" t="s">
        <v>7</v>
      </c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  <c r="AA5407" s="9"/>
      <c r="AB5407" s="9"/>
      <c r="AC5407" s="9"/>
      <c r="AD5407" s="9"/>
    </row>
    <row r="5408">
      <c r="A5408" s="16" t="s">
        <v>7598</v>
      </c>
      <c r="B5408" s="22" t="s">
        <v>7629</v>
      </c>
      <c r="C5408" s="18" t="s">
        <v>7632</v>
      </c>
      <c r="D5408" s="19" t="s">
        <v>7631</v>
      </c>
      <c r="E5408" s="20" t="s">
        <v>7</v>
      </c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9"/>
      <c r="V5408" s="9"/>
      <c r="W5408" s="9"/>
      <c r="X5408" s="9"/>
      <c r="Y5408" s="9"/>
      <c r="Z5408" s="9"/>
      <c r="AA5408" s="9"/>
      <c r="AB5408" s="9"/>
      <c r="AC5408" s="9"/>
      <c r="AD5408" s="9"/>
    </row>
    <row r="5409">
      <c r="A5409" s="16"/>
      <c r="B5409" s="22"/>
      <c r="C5409" s="18"/>
      <c r="D5409" s="19"/>
      <c r="E5409" s="18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  <c r="AB5409" s="9"/>
      <c r="AC5409" s="9"/>
      <c r="AD5409" s="9"/>
    </row>
    <row r="5410">
      <c r="A5410" s="16"/>
      <c r="B5410" s="22"/>
      <c r="C5410" s="18"/>
      <c r="D5410" s="19"/>
      <c r="E5410" s="18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9"/>
      <c r="V5410" s="9"/>
      <c r="W5410" s="9"/>
      <c r="X5410" s="9"/>
      <c r="Y5410" s="9"/>
      <c r="Z5410" s="9"/>
      <c r="AA5410" s="9"/>
      <c r="AB5410" s="9"/>
      <c r="AC5410" s="9"/>
      <c r="AD5410" s="9"/>
    </row>
    <row r="5411">
      <c r="A5411" s="16" t="s">
        <v>7633</v>
      </c>
      <c r="B5411" s="22" t="s">
        <v>7634</v>
      </c>
      <c r="C5411" s="18" t="s">
        <v>7635</v>
      </c>
      <c r="D5411" s="19" t="s">
        <v>7636</v>
      </c>
      <c r="E5411" s="18" t="s">
        <v>4493</v>
      </c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  <c r="AB5411" s="9"/>
      <c r="AC5411" s="9"/>
      <c r="AD5411" s="9"/>
    </row>
    <row r="5412">
      <c r="A5412" s="16" t="s">
        <v>7633</v>
      </c>
      <c r="B5412" s="22" t="s">
        <v>4</v>
      </c>
      <c r="C5412" s="18" t="s">
        <v>1470</v>
      </c>
      <c r="D5412" s="19" t="s">
        <v>7637</v>
      </c>
      <c r="E5412" s="18" t="s">
        <v>7638</v>
      </c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  <c r="AB5412" s="9"/>
      <c r="AC5412" s="9"/>
      <c r="AD5412" s="9"/>
    </row>
    <row r="5413">
      <c r="A5413" s="16" t="s">
        <v>7633</v>
      </c>
      <c r="B5413" s="22" t="s">
        <v>7639</v>
      </c>
      <c r="C5413" s="18" t="s">
        <v>7640</v>
      </c>
      <c r="D5413" s="19" t="s">
        <v>7641</v>
      </c>
      <c r="E5413" s="20" t="s">
        <v>7</v>
      </c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9"/>
      <c r="AD5413" s="9"/>
    </row>
    <row r="5414">
      <c r="A5414" s="16" t="s">
        <v>7633</v>
      </c>
      <c r="B5414" s="22" t="s">
        <v>7642</v>
      </c>
      <c r="C5414" s="18" t="s">
        <v>7643</v>
      </c>
      <c r="D5414" s="19" t="s">
        <v>7644</v>
      </c>
      <c r="E5414" s="20" t="s">
        <v>7</v>
      </c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  <c r="AB5414" s="9"/>
      <c r="AC5414" s="9"/>
      <c r="AD5414" s="9"/>
    </row>
    <row r="5415">
      <c r="A5415" s="16" t="s">
        <v>7633</v>
      </c>
      <c r="B5415" s="22" t="s">
        <v>7642</v>
      </c>
      <c r="C5415" s="18" t="s">
        <v>7645</v>
      </c>
      <c r="D5415" s="19" t="s">
        <v>7644</v>
      </c>
      <c r="E5415" s="20" t="s">
        <v>7</v>
      </c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9"/>
    </row>
    <row r="5416">
      <c r="A5416" s="16" t="s">
        <v>7633</v>
      </c>
      <c r="B5416" s="22" t="s">
        <v>7642</v>
      </c>
      <c r="C5416" s="18" t="s">
        <v>7646</v>
      </c>
      <c r="D5416" s="19" t="s">
        <v>7644</v>
      </c>
      <c r="E5416" s="20" t="s">
        <v>7</v>
      </c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9"/>
      <c r="V5416" s="9"/>
      <c r="W5416" s="9"/>
      <c r="X5416" s="9"/>
      <c r="Y5416" s="9"/>
      <c r="Z5416" s="9"/>
      <c r="AA5416" s="9"/>
      <c r="AB5416" s="9"/>
      <c r="AC5416" s="9"/>
      <c r="AD5416" s="9"/>
    </row>
    <row r="5417">
      <c r="A5417" s="16" t="s">
        <v>7633</v>
      </c>
      <c r="B5417" s="22" t="s">
        <v>7647</v>
      </c>
      <c r="C5417" s="18" t="s">
        <v>7175</v>
      </c>
      <c r="D5417" s="19" t="s">
        <v>7648</v>
      </c>
      <c r="E5417" s="23" t="s">
        <v>7649</v>
      </c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  <c r="AA5417" s="9"/>
      <c r="AB5417" s="9"/>
      <c r="AC5417" s="9"/>
      <c r="AD5417" s="9"/>
    </row>
    <row r="5418">
      <c r="A5418" s="16" t="s">
        <v>7633</v>
      </c>
      <c r="B5418" s="22" t="s">
        <v>7647</v>
      </c>
      <c r="C5418" s="18" t="s">
        <v>7175</v>
      </c>
      <c r="D5418" s="19" t="s">
        <v>3453</v>
      </c>
      <c r="E5418" s="23" t="s">
        <v>7649</v>
      </c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  <c r="Z5418" s="9"/>
      <c r="AA5418" s="9"/>
      <c r="AB5418" s="9"/>
      <c r="AC5418" s="9"/>
      <c r="AD5418" s="9"/>
    </row>
    <row r="5419">
      <c r="A5419" s="16" t="s">
        <v>7633</v>
      </c>
      <c r="B5419" s="22" t="s">
        <v>7647</v>
      </c>
      <c r="C5419" s="18" t="s">
        <v>7175</v>
      </c>
      <c r="D5419" s="19" t="s">
        <v>7650</v>
      </c>
      <c r="E5419" s="23" t="s">
        <v>7649</v>
      </c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9"/>
      <c r="AD5419" s="9"/>
    </row>
    <row r="5420">
      <c r="A5420" s="16" t="s">
        <v>7633</v>
      </c>
      <c r="B5420" s="22" t="s">
        <v>7647</v>
      </c>
      <c r="C5420" s="18" t="s">
        <v>7175</v>
      </c>
      <c r="D5420" s="19" t="s">
        <v>7651</v>
      </c>
      <c r="E5420" s="23" t="s">
        <v>7649</v>
      </c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9"/>
      <c r="V5420" s="9"/>
      <c r="W5420" s="9"/>
      <c r="X5420" s="9"/>
      <c r="Y5420" s="9"/>
      <c r="Z5420" s="9"/>
      <c r="AA5420" s="9"/>
      <c r="AB5420" s="9"/>
      <c r="AC5420" s="9"/>
      <c r="AD5420" s="9"/>
    </row>
    <row r="5421">
      <c r="A5421" s="16" t="s">
        <v>7633</v>
      </c>
      <c r="B5421" s="22" t="s">
        <v>7647</v>
      </c>
      <c r="C5421" s="18" t="s">
        <v>7175</v>
      </c>
      <c r="D5421" s="19" t="s">
        <v>7652</v>
      </c>
      <c r="E5421" s="23" t="s">
        <v>7649</v>
      </c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  <c r="AB5421" s="9"/>
      <c r="AC5421" s="9"/>
      <c r="AD5421" s="9"/>
    </row>
    <row r="5422">
      <c r="A5422" s="16" t="s">
        <v>7633</v>
      </c>
      <c r="B5422" s="22" t="s">
        <v>7647</v>
      </c>
      <c r="C5422" s="18" t="s">
        <v>7175</v>
      </c>
      <c r="D5422" s="19" t="s">
        <v>7653</v>
      </c>
      <c r="E5422" s="23" t="s">
        <v>7649</v>
      </c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  <c r="AB5422" s="9"/>
      <c r="AC5422" s="9"/>
      <c r="AD5422" s="9"/>
    </row>
    <row r="5423">
      <c r="A5423" s="16" t="s">
        <v>7633</v>
      </c>
      <c r="B5423" s="22" t="s">
        <v>7654</v>
      </c>
      <c r="C5423" s="18" t="s">
        <v>7655</v>
      </c>
      <c r="D5423" s="19" t="s">
        <v>7656</v>
      </c>
      <c r="E5423" s="23" t="s">
        <v>7649</v>
      </c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9"/>
      <c r="AC5423" s="9"/>
      <c r="AD5423" s="9"/>
    </row>
    <row r="5424">
      <c r="A5424" s="16" t="s">
        <v>7633</v>
      </c>
      <c r="B5424" s="22" t="s">
        <v>7654</v>
      </c>
      <c r="C5424" s="18" t="s">
        <v>7657</v>
      </c>
      <c r="D5424" s="19" t="s">
        <v>7658</v>
      </c>
      <c r="E5424" s="23" t="s">
        <v>7649</v>
      </c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9"/>
      <c r="V5424" s="9"/>
      <c r="W5424" s="9"/>
      <c r="X5424" s="9"/>
      <c r="Y5424" s="9"/>
      <c r="Z5424" s="9"/>
      <c r="AA5424" s="9"/>
      <c r="AB5424" s="9"/>
      <c r="AC5424" s="9"/>
      <c r="AD5424" s="9"/>
    </row>
    <row r="5425">
      <c r="A5425" s="16" t="s">
        <v>7633</v>
      </c>
      <c r="B5425" s="22" t="s">
        <v>7654</v>
      </c>
      <c r="C5425" s="18" t="s">
        <v>7659</v>
      </c>
      <c r="D5425" s="19" t="s">
        <v>7660</v>
      </c>
      <c r="E5425" s="23" t="s">
        <v>7649</v>
      </c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  <c r="AB5425" s="9"/>
      <c r="AC5425" s="9"/>
      <c r="AD5425" s="9"/>
    </row>
    <row r="5426">
      <c r="A5426" s="16" t="s">
        <v>7633</v>
      </c>
      <c r="B5426" s="22" t="s">
        <v>7654</v>
      </c>
      <c r="C5426" s="18" t="s">
        <v>7661</v>
      </c>
      <c r="D5426" s="19" t="s">
        <v>7662</v>
      </c>
      <c r="E5426" s="23" t="s">
        <v>7649</v>
      </c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  <c r="AB5426" s="9"/>
      <c r="AC5426" s="9"/>
      <c r="AD5426" s="9"/>
    </row>
    <row r="5427">
      <c r="A5427" s="16"/>
      <c r="B5427" s="22"/>
      <c r="C5427" s="18"/>
      <c r="D5427" s="19"/>
      <c r="E5427" s="18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  <c r="AB5427" s="9"/>
      <c r="AC5427" s="9"/>
      <c r="AD5427" s="9"/>
    </row>
    <row r="5428">
      <c r="A5428" s="16"/>
      <c r="B5428" s="22"/>
      <c r="C5428" s="18"/>
      <c r="D5428" s="19"/>
      <c r="E5428" s="18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  <c r="AB5428" s="9"/>
      <c r="AC5428" s="9"/>
      <c r="AD5428" s="9"/>
    </row>
    <row r="5429">
      <c r="A5429" s="16" t="s">
        <v>7663</v>
      </c>
      <c r="B5429" s="22" t="s">
        <v>7552</v>
      </c>
      <c r="C5429" s="18" t="s">
        <v>7664</v>
      </c>
      <c r="D5429" s="19" t="s">
        <v>7637</v>
      </c>
      <c r="E5429" s="18" t="s">
        <v>7406</v>
      </c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9"/>
      <c r="AD5429" s="9"/>
    </row>
    <row r="5430">
      <c r="A5430" s="16" t="s">
        <v>7663</v>
      </c>
      <c r="B5430" s="22" t="s">
        <v>7665</v>
      </c>
      <c r="C5430" s="18" t="s">
        <v>7666</v>
      </c>
      <c r="D5430" s="19" t="s">
        <v>7667</v>
      </c>
      <c r="E5430" s="20" t="s">
        <v>7668</v>
      </c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  <c r="AB5430" s="9"/>
      <c r="AC5430" s="9"/>
      <c r="AD5430" s="9"/>
    </row>
    <row r="5431">
      <c r="A5431" s="16" t="s">
        <v>7663</v>
      </c>
      <c r="B5431" s="22" t="s">
        <v>7669</v>
      </c>
      <c r="C5431" s="18" t="s">
        <v>7670</v>
      </c>
      <c r="D5431" s="19" t="s">
        <v>7671</v>
      </c>
      <c r="E5431" s="23" t="s">
        <v>11</v>
      </c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  <c r="AB5431" s="9"/>
      <c r="AC5431" s="9"/>
      <c r="AD5431" s="9"/>
    </row>
    <row r="5432">
      <c r="A5432" s="16" t="s">
        <v>7663</v>
      </c>
      <c r="B5432" s="22" t="s">
        <v>7669</v>
      </c>
      <c r="C5432" s="18" t="s">
        <v>7672</v>
      </c>
      <c r="D5432" s="19" t="s">
        <v>7671</v>
      </c>
      <c r="E5432" s="23" t="s">
        <v>11</v>
      </c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  <c r="AB5432" s="9"/>
      <c r="AC5432" s="9"/>
      <c r="AD5432" s="9"/>
    </row>
    <row r="5433">
      <c r="A5433" s="16" t="s">
        <v>7663</v>
      </c>
      <c r="B5433" s="22" t="s">
        <v>7669</v>
      </c>
      <c r="C5433" s="18" t="s">
        <v>7643</v>
      </c>
      <c r="D5433" s="19" t="s">
        <v>7671</v>
      </c>
      <c r="E5433" s="23" t="s">
        <v>11</v>
      </c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9"/>
      <c r="AD5433" s="9"/>
    </row>
    <row r="5434">
      <c r="A5434" s="16" t="s">
        <v>7663</v>
      </c>
      <c r="B5434" s="22" t="s">
        <v>7669</v>
      </c>
      <c r="C5434" s="18" t="s">
        <v>7646</v>
      </c>
      <c r="D5434" s="19" t="s">
        <v>7671</v>
      </c>
      <c r="E5434" s="23" t="s">
        <v>11</v>
      </c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  <c r="AB5434" s="9"/>
      <c r="AC5434" s="9"/>
      <c r="AD5434" s="9"/>
    </row>
    <row r="5435">
      <c r="A5435" s="16" t="s">
        <v>7663</v>
      </c>
      <c r="B5435" s="22" t="s">
        <v>7669</v>
      </c>
      <c r="C5435" s="18" t="s">
        <v>7646</v>
      </c>
      <c r="D5435" s="19" t="s">
        <v>7671</v>
      </c>
      <c r="E5435" s="23" t="s">
        <v>11</v>
      </c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  <c r="AB5435" s="9"/>
      <c r="AC5435" s="9"/>
      <c r="AD5435" s="9"/>
    </row>
    <row r="5436">
      <c r="A5436" s="16"/>
      <c r="B5436" s="22"/>
      <c r="C5436" s="18"/>
      <c r="D5436" s="19"/>
      <c r="E5436" s="18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9"/>
      <c r="V5436" s="9"/>
      <c r="W5436" s="9"/>
      <c r="X5436" s="9"/>
      <c r="Y5436" s="9"/>
      <c r="Z5436" s="9"/>
      <c r="AA5436" s="9"/>
      <c r="AB5436" s="9"/>
      <c r="AC5436" s="9"/>
      <c r="AD5436" s="9"/>
    </row>
    <row r="5437">
      <c r="A5437" s="16"/>
      <c r="B5437" s="22"/>
      <c r="C5437" s="18"/>
      <c r="D5437" s="19"/>
      <c r="E5437" s="18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  <c r="AA5437" s="9"/>
      <c r="AB5437" s="9"/>
      <c r="AC5437" s="9"/>
      <c r="AD5437" s="9"/>
    </row>
    <row r="5438">
      <c r="A5438" s="16" t="s">
        <v>3</v>
      </c>
      <c r="B5438" s="22" t="s">
        <v>4</v>
      </c>
      <c r="C5438" s="18" t="s">
        <v>5</v>
      </c>
      <c r="D5438" s="19" t="s">
        <v>6</v>
      </c>
      <c r="E5438" s="20" t="s">
        <v>7</v>
      </c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9"/>
    </row>
    <row r="5439">
      <c r="A5439" s="16" t="s">
        <v>3</v>
      </c>
      <c r="B5439" s="22" t="s">
        <v>8</v>
      </c>
      <c r="C5439" s="18" t="s">
        <v>9</v>
      </c>
      <c r="D5439" s="18" t="s">
        <v>10</v>
      </c>
      <c r="E5439" s="23" t="s">
        <v>11</v>
      </c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9"/>
    </row>
    <row r="5440">
      <c r="A5440" s="16" t="s">
        <v>3</v>
      </c>
      <c r="B5440" s="22" t="s">
        <v>8</v>
      </c>
      <c r="C5440" s="18" t="s">
        <v>12</v>
      </c>
      <c r="D5440" s="18" t="s">
        <v>13</v>
      </c>
      <c r="E5440" s="23" t="s">
        <v>14</v>
      </c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9"/>
    </row>
    <row r="5441">
      <c r="A5441" s="16" t="s">
        <v>3</v>
      </c>
      <c r="B5441" s="22" t="s">
        <v>8</v>
      </c>
      <c r="C5441" s="18" t="s">
        <v>15</v>
      </c>
      <c r="D5441" s="18" t="s">
        <v>16</v>
      </c>
      <c r="E5441" s="23" t="s">
        <v>14</v>
      </c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9"/>
    </row>
    <row r="5442">
      <c r="A5442" s="16" t="s">
        <v>3</v>
      </c>
      <c r="B5442" s="22" t="s">
        <v>17</v>
      </c>
      <c r="C5442" s="18" t="s">
        <v>18</v>
      </c>
      <c r="D5442" s="19" t="s">
        <v>19</v>
      </c>
      <c r="E5442" s="23" t="s">
        <v>20</v>
      </c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9"/>
    </row>
    <row r="5443">
      <c r="A5443" s="16" t="s">
        <v>3</v>
      </c>
      <c r="B5443" s="22" t="s">
        <v>17</v>
      </c>
      <c r="C5443" s="18" t="s">
        <v>21</v>
      </c>
      <c r="D5443" s="19" t="s">
        <v>22</v>
      </c>
      <c r="E5443" s="23" t="s">
        <v>20</v>
      </c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9"/>
    </row>
    <row r="5444">
      <c r="A5444" s="16" t="s">
        <v>3</v>
      </c>
      <c r="B5444" s="22" t="s">
        <v>17</v>
      </c>
      <c r="C5444" s="18" t="s">
        <v>21</v>
      </c>
      <c r="D5444" s="19" t="s">
        <v>23</v>
      </c>
      <c r="E5444" s="23" t="s">
        <v>20</v>
      </c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  <c r="AB5444" s="9"/>
      <c r="AC5444" s="9"/>
      <c r="AD5444" s="9"/>
    </row>
    <row r="5445">
      <c r="A5445" s="16"/>
      <c r="B5445" s="22"/>
      <c r="C5445" s="18"/>
      <c r="D5445" s="19"/>
      <c r="E5445" s="18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  <c r="AB5445" s="9"/>
      <c r="AC5445" s="9"/>
      <c r="AD5445" s="9"/>
    </row>
    <row r="5446">
      <c r="A5446" s="16"/>
      <c r="B5446" s="22"/>
      <c r="C5446" s="18"/>
      <c r="D5446" s="19"/>
      <c r="E5446" s="18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  <c r="AA5446" s="9"/>
      <c r="AB5446" s="9"/>
      <c r="AC5446" s="9"/>
      <c r="AD5446" s="9"/>
    </row>
    <row r="5447">
      <c r="A5447" s="16" t="s">
        <v>7673</v>
      </c>
      <c r="B5447" s="22" t="s">
        <v>7611</v>
      </c>
      <c r="C5447" s="18" t="s">
        <v>7612</v>
      </c>
      <c r="D5447" s="19" t="s">
        <v>7674</v>
      </c>
      <c r="E5447" s="18" t="s">
        <v>7675</v>
      </c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  <c r="AB5447" s="9"/>
      <c r="AC5447" s="9"/>
      <c r="AD5447" s="9"/>
    </row>
    <row r="5448">
      <c r="A5448" s="16" t="s">
        <v>7673</v>
      </c>
      <c r="B5448" s="22" t="s">
        <v>7611</v>
      </c>
      <c r="C5448" s="18" t="s">
        <v>7612</v>
      </c>
      <c r="D5448" s="19" t="s">
        <v>7676</v>
      </c>
      <c r="E5448" s="18" t="s">
        <v>7675</v>
      </c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  <c r="AB5448" s="9"/>
      <c r="AC5448" s="9"/>
      <c r="AD5448" s="9"/>
    </row>
    <row r="5449">
      <c r="A5449" s="16" t="s">
        <v>7673</v>
      </c>
      <c r="B5449" s="22" t="s">
        <v>7611</v>
      </c>
      <c r="C5449" s="18" t="s">
        <v>7612</v>
      </c>
      <c r="D5449" s="19" t="s">
        <v>7677</v>
      </c>
      <c r="E5449" s="18" t="s">
        <v>7675</v>
      </c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  <c r="AB5449" s="9"/>
      <c r="AC5449" s="9"/>
      <c r="AD5449" s="9"/>
    </row>
    <row r="5450">
      <c r="A5450" s="16" t="s">
        <v>7673</v>
      </c>
      <c r="B5450" s="22" t="s">
        <v>7611</v>
      </c>
      <c r="C5450" s="18" t="s">
        <v>7612</v>
      </c>
      <c r="D5450" s="19" t="s">
        <v>6747</v>
      </c>
      <c r="E5450" s="18" t="s">
        <v>7675</v>
      </c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9"/>
      <c r="V5450" s="9"/>
      <c r="W5450" s="9"/>
      <c r="X5450" s="9"/>
      <c r="Y5450" s="9"/>
      <c r="Z5450" s="9"/>
      <c r="AA5450" s="9"/>
      <c r="AB5450" s="9"/>
      <c r="AC5450" s="9"/>
      <c r="AD5450" s="9"/>
    </row>
    <row r="5451">
      <c r="A5451" s="16" t="s">
        <v>7673</v>
      </c>
      <c r="B5451" s="22" t="s">
        <v>7611</v>
      </c>
      <c r="C5451" s="18" t="s">
        <v>7612</v>
      </c>
      <c r="D5451" s="19" t="s">
        <v>7678</v>
      </c>
      <c r="E5451" s="18" t="s">
        <v>7675</v>
      </c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  <c r="AB5451" s="9"/>
      <c r="AC5451" s="9"/>
      <c r="AD5451" s="9"/>
    </row>
    <row r="5452">
      <c r="A5452" s="16" t="s">
        <v>7673</v>
      </c>
      <c r="B5452" s="22" t="s">
        <v>7611</v>
      </c>
      <c r="C5452" s="18" t="s">
        <v>7679</v>
      </c>
      <c r="D5452" s="19" t="s">
        <v>7680</v>
      </c>
      <c r="E5452" s="18" t="s">
        <v>7675</v>
      </c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  <c r="Z5452" s="9"/>
      <c r="AA5452" s="9"/>
      <c r="AB5452" s="9"/>
      <c r="AC5452" s="9"/>
      <c r="AD5452" s="9"/>
    </row>
    <row r="5453">
      <c r="A5453" s="16" t="s">
        <v>7673</v>
      </c>
      <c r="B5453" s="22" t="s">
        <v>7639</v>
      </c>
      <c r="C5453" s="18" t="s">
        <v>7681</v>
      </c>
      <c r="D5453" s="18" t="s">
        <v>7682</v>
      </c>
      <c r="E5453" s="18" t="s">
        <v>4493</v>
      </c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  <c r="AA5453" s="9"/>
      <c r="AB5453" s="9"/>
      <c r="AC5453" s="9"/>
      <c r="AD5453" s="9"/>
    </row>
    <row r="5454">
      <c r="A5454" s="16" t="s">
        <v>7673</v>
      </c>
      <c r="B5454" s="22" t="s">
        <v>7639</v>
      </c>
      <c r="C5454" s="18" t="s">
        <v>7683</v>
      </c>
      <c r="D5454" s="18" t="s">
        <v>7684</v>
      </c>
      <c r="E5454" s="18" t="s">
        <v>4493</v>
      </c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9"/>
      <c r="AA5454" s="9"/>
      <c r="AB5454" s="9"/>
      <c r="AC5454" s="9"/>
      <c r="AD5454" s="9"/>
    </row>
    <row r="5455">
      <c r="A5455" s="16" t="s">
        <v>7673</v>
      </c>
      <c r="B5455" s="22" t="s">
        <v>7639</v>
      </c>
      <c r="C5455" s="18" t="s">
        <v>7685</v>
      </c>
      <c r="D5455" s="18" t="s">
        <v>7686</v>
      </c>
      <c r="E5455" s="18" t="s">
        <v>4493</v>
      </c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9"/>
      <c r="AD5455" s="9"/>
    </row>
    <row r="5456">
      <c r="A5456" s="16" t="s">
        <v>7673</v>
      </c>
      <c r="B5456" s="22" t="s">
        <v>7687</v>
      </c>
      <c r="C5456" s="18" t="s">
        <v>7688</v>
      </c>
      <c r="D5456" s="19" t="s">
        <v>7689</v>
      </c>
      <c r="E5456" s="18" t="s">
        <v>7690</v>
      </c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  <c r="AA5456" s="9"/>
      <c r="AB5456" s="9"/>
      <c r="AC5456" s="9"/>
      <c r="AD5456" s="9"/>
    </row>
    <row r="5457">
      <c r="A5457" s="16" t="s">
        <v>7673</v>
      </c>
      <c r="B5457" s="22" t="s">
        <v>7691</v>
      </c>
      <c r="C5457" s="18" t="s">
        <v>7692</v>
      </c>
      <c r="D5457" s="19" t="s">
        <v>7693</v>
      </c>
      <c r="E5457" s="18" t="s">
        <v>4624</v>
      </c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  <c r="AB5457" s="9"/>
      <c r="AC5457" s="9"/>
      <c r="AD5457" s="9"/>
    </row>
    <row r="5458">
      <c r="A5458" s="16" t="s">
        <v>7673</v>
      </c>
      <c r="B5458" s="22" t="s">
        <v>7691</v>
      </c>
      <c r="C5458" s="18" t="s">
        <v>7694</v>
      </c>
      <c r="D5458" s="19" t="s">
        <v>7695</v>
      </c>
      <c r="E5458" s="18" t="s">
        <v>4624</v>
      </c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9"/>
    </row>
    <row r="5459">
      <c r="A5459" s="16" t="s">
        <v>7673</v>
      </c>
      <c r="B5459" s="22" t="s">
        <v>7691</v>
      </c>
      <c r="C5459" s="18" t="s">
        <v>7696</v>
      </c>
      <c r="D5459" s="19" t="s">
        <v>7697</v>
      </c>
      <c r="E5459" s="18" t="s">
        <v>4624</v>
      </c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  <c r="AB5459" s="9"/>
      <c r="AC5459" s="9"/>
      <c r="AD5459" s="9"/>
    </row>
    <row r="5460">
      <c r="A5460" s="16" t="s">
        <v>7673</v>
      </c>
      <c r="B5460" s="22" t="s">
        <v>17</v>
      </c>
      <c r="C5460" s="18" t="s">
        <v>7698</v>
      </c>
      <c r="D5460" s="19" t="s">
        <v>7699</v>
      </c>
      <c r="E5460" s="18" t="s">
        <v>4624</v>
      </c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9"/>
      <c r="AB5460" s="9"/>
      <c r="AC5460" s="9"/>
      <c r="AD5460" s="9"/>
    </row>
    <row r="5461">
      <c r="A5461" s="16" t="s">
        <v>7673</v>
      </c>
      <c r="B5461" s="22" t="s">
        <v>17</v>
      </c>
      <c r="C5461" s="18" t="s">
        <v>18</v>
      </c>
      <c r="D5461" s="19" t="s">
        <v>7700</v>
      </c>
      <c r="E5461" s="18" t="s">
        <v>4624</v>
      </c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9"/>
    </row>
    <row r="5462">
      <c r="A5462" s="16" t="s">
        <v>7673</v>
      </c>
      <c r="B5462" s="22" t="s">
        <v>17</v>
      </c>
      <c r="C5462" s="18" t="s">
        <v>7701</v>
      </c>
      <c r="D5462" s="19" t="s">
        <v>7702</v>
      </c>
      <c r="E5462" s="18" t="s">
        <v>4624</v>
      </c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9"/>
    </row>
    <row r="5463">
      <c r="A5463" s="16"/>
      <c r="B5463" s="22"/>
      <c r="C5463" s="18"/>
      <c r="D5463" s="19"/>
      <c r="E5463" s="18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9"/>
    </row>
    <row r="5464">
      <c r="A5464" s="16"/>
      <c r="B5464" s="22"/>
      <c r="C5464" s="18"/>
      <c r="D5464" s="19"/>
      <c r="E5464" s="18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  <c r="AB5464" s="9"/>
      <c r="AC5464" s="9"/>
      <c r="AD5464" s="9"/>
    </row>
    <row r="5465">
      <c r="A5465" s="16" t="s">
        <v>7703</v>
      </c>
      <c r="B5465" s="22" t="s">
        <v>7704</v>
      </c>
      <c r="C5465" s="18" t="s">
        <v>7705</v>
      </c>
      <c r="D5465" s="19" t="s">
        <v>7706</v>
      </c>
      <c r="E5465" s="18" t="s">
        <v>1506</v>
      </c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  <c r="AB5465" s="9"/>
      <c r="AC5465" s="9"/>
      <c r="AD5465" s="9"/>
    </row>
    <row r="5466">
      <c r="A5466" s="16" t="s">
        <v>7703</v>
      </c>
      <c r="B5466" s="22" t="s">
        <v>7707</v>
      </c>
      <c r="C5466" s="18" t="s">
        <v>7708</v>
      </c>
      <c r="D5466" s="19" t="s">
        <v>5089</v>
      </c>
      <c r="E5466" s="18" t="s">
        <v>309</v>
      </c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9"/>
    </row>
    <row r="5467">
      <c r="A5467" s="16" t="s">
        <v>7703</v>
      </c>
      <c r="B5467" s="22" t="s">
        <v>7709</v>
      </c>
      <c r="C5467" s="18" t="s">
        <v>4223</v>
      </c>
      <c r="D5467" s="19" t="s">
        <v>626</v>
      </c>
      <c r="E5467" s="18" t="s">
        <v>7710</v>
      </c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9"/>
      <c r="AD5467" s="9"/>
    </row>
    <row r="5468">
      <c r="A5468" s="16" t="s">
        <v>7703</v>
      </c>
      <c r="B5468" s="22" t="s">
        <v>7711</v>
      </c>
      <c r="C5468" s="18" t="s">
        <v>7712</v>
      </c>
      <c r="D5468" s="18" t="s">
        <v>7713</v>
      </c>
      <c r="E5468" s="18" t="s">
        <v>7714</v>
      </c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  <c r="AA5468" s="9"/>
      <c r="AB5468" s="9"/>
      <c r="AC5468" s="9"/>
      <c r="AD5468" s="9"/>
    </row>
    <row r="5469">
      <c r="A5469" s="16" t="s">
        <v>7703</v>
      </c>
      <c r="B5469" s="22" t="s">
        <v>7711</v>
      </c>
      <c r="C5469" s="18" t="s">
        <v>7715</v>
      </c>
      <c r="D5469" s="18" t="s">
        <v>7716</v>
      </c>
      <c r="E5469" s="18" t="s">
        <v>7714</v>
      </c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9"/>
    </row>
    <row r="5470">
      <c r="A5470" s="16" t="s">
        <v>7703</v>
      </c>
      <c r="B5470" s="22" t="s">
        <v>7711</v>
      </c>
      <c r="C5470" s="18" t="s">
        <v>7717</v>
      </c>
      <c r="D5470" s="18" t="s">
        <v>7718</v>
      </c>
      <c r="E5470" s="18" t="s">
        <v>7714</v>
      </c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  <c r="AA5470" s="9"/>
      <c r="AB5470" s="9"/>
      <c r="AC5470" s="9"/>
      <c r="AD5470" s="9"/>
    </row>
    <row r="5471">
      <c r="A5471" s="16"/>
      <c r="B5471" s="22"/>
      <c r="C5471" s="18"/>
      <c r="D5471" s="19"/>
      <c r="E5471" s="18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9"/>
    </row>
    <row r="5472">
      <c r="A5472" s="16"/>
      <c r="B5472" s="22"/>
      <c r="C5472" s="18"/>
      <c r="D5472" s="19"/>
      <c r="E5472" s="18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  <c r="AA5472" s="9"/>
      <c r="AB5472" s="9"/>
      <c r="AC5472" s="9"/>
      <c r="AD5472" s="9"/>
    </row>
    <row r="5473">
      <c r="A5473" s="16" t="s">
        <v>7719</v>
      </c>
      <c r="B5473" s="22" t="s">
        <v>7720</v>
      </c>
      <c r="C5473" s="18" t="s">
        <v>4824</v>
      </c>
      <c r="D5473" s="19" t="s">
        <v>7721</v>
      </c>
      <c r="E5473" s="18" t="s">
        <v>4624</v>
      </c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  <c r="AB5473" s="9"/>
      <c r="AC5473" s="9"/>
      <c r="AD5473" s="9"/>
    </row>
    <row r="5474">
      <c r="A5474" s="16" t="s">
        <v>7719</v>
      </c>
      <c r="B5474" s="22" t="s">
        <v>7720</v>
      </c>
      <c r="C5474" s="18" t="s">
        <v>4824</v>
      </c>
      <c r="D5474" s="19" t="s">
        <v>7722</v>
      </c>
      <c r="E5474" s="18" t="s">
        <v>4624</v>
      </c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9"/>
    </row>
    <row r="5475">
      <c r="A5475" s="16" t="s">
        <v>7719</v>
      </c>
      <c r="B5475" s="22" t="s">
        <v>7720</v>
      </c>
      <c r="C5475" s="18" t="s">
        <v>4824</v>
      </c>
      <c r="D5475" s="19" t="s">
        <v>7723</v>
      </c>
      <c r="E5475" s="18" t="s">
        <v>4624</v>
      </c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9"/>
      <c r="AD5475" s="9"/>
    </row>
    <row r="5476">
      <c r="A5476" s="16" t="s">
        <v>7719</v>
      </c>
      <c r="B5476" s="22" t="s">
        <v>7720</v>
      </c>
      <c r="C5476" s="18" t="s">
        <v>4824</v>
      </c>
      <c r="D5476" s="19" t="s">
        <v>7724</v>
      </c>
      <c r="E5476" s="18" t="s">
        <v>4624</v>
      </c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  <c r="AB5476" s="9"/>
      <c r="AC5476" s="9"/>
      <c r="AD5476" s="9"/>
    </row>
    <row r="5477">
      <c r="A5477" s="16" t="s">
        <v>7719</v>
      </c>
      <c r="B5477" s="22" t="s">
        <v>7725</v>
      </c>
      <c r="C5477" s="18" t="s">
        <v>7726</v>
      </c>
      <c r="D5477" s="19" t="s">
        <v>7727</v>
      </c>
      <c r="E5477" s="9" t="s">
        <v>7728</v>
      </c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  <c r="AB5477" s="9"/>
      <c r="AC5477" s="9"/>
      <c r="AD5477" s="9"/>
    </row>
    <row r="5478">
      <c r="A5478" s="16" t="s">
        <v>7719</v>
      </c>
      <c r="B5478" s="22" t="s">
        <v>7725</v>
      </c>
      <c r="C5478" s="18" t="s">
        <v>7729</v>
      </c>
      <c r="D5478" s="19" t="s">
        <v>4231</v>
      </c>
      <c r="E5478" s="9" t="s">
        <v>7728</v>
      </c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9"/>
    </row>
    <row r="5479">
      <c r="A5479" s="16" t="s">
        <v>7719</v>
      </c>
      <c r="B5479" s="22" t="s">
        <v>7725</v>
      </c>
      <c r="C5479" s="18" t="s">
        <v>4298</v>
      </c>
      <c r="D5479" s="19" t="s">
        <v>7730</v>
      </c>
      <c r="E5479" s="9" t="s">
        <v>7728</v>
      </c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9"/>
    </row>
    <row r="5480">
      <c r="A5480" s="16" t="s">
        <v>7719</v>
      </c>
      <c r="B5480" s="22" t="s">
        <v>7725</v>
      </c>
      <c r="C5480" s="18" t="s">
        <v>7731</v>
      </c>
      <c r="D5480" s="19" t="s">
        <v>4818</v>
      </c>
      <c r="E5480" s="9" t="s">
        <v>7728</v>
      </c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9"/>
    </row>
    <row r="5481">
      <c r="A5481" s="16" t="s">
        <v>7719</v>
      </c>
      <c r="B5481" s="22" t="s">
        <v>7725</v>
      </c>
      <c r="C5481" s="18" t="s">
        <v>7732</v>
      </c>
      <c r="D5481" s="19" t="s">
        <v>7733</v>
      </c>
      <c r="E5481" s="9" t="s">
        <v>7728</v>
      </c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9"/>
    </row>
    <row r="5482">
      <c r="A5482" s="16" t="s">
        <v>7719</v>
      </c>
      <c r="B5482" s="22" t="s">
        <v>7725</v>
      </c>
      <c r="C5482" s="18" t="s">
        <v>7734</v>
      </c>
      <c r="D5482" s="19" t="s">
        <v>7735</v>
      </c>
      <c r="E5482" s="9" t="s">
        <v>7728</v>
      </c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9"/>
    </row>
    <row r="5483">
      <c r="A5483" s="16" t="s">
        <v>7719</v>
      </c>
      <c r="B5483" s="22" t="s">
        <v>7725</v>
      </c>
      <c r="C5483" s="18" t="s">
        <v>7457</v>
      </c>
      <c r="D5483" s="19" t="s">
        <v>7736</v>
      </c>
      <c r="E5483" s="9" t="s">
        <v>7728</v>
      </c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9"/>
    </row>
    <row r="5484">
      <c r="A5484" s="16" t="s">
        <v>7719</v>
      </c>
      <c r="B5484" s="22" t="s">
        <v>7725</v>
      </c>
      <c r="C5484" s="18" t="s">
        <v>7737</v>
      </c>
      <c r="D5484" s="19" t="s">
        <v>7738</v>
      </c>
      <c r="E5484" s="9" t="s">
        <v>7728</v>
      </c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  <c r="AA5484" s="9"/>
      <c r="AB5484" s="9"/>
      <c r="AC5484" s="9"/>
      <c r="AD5484" s="9"/>
    </row>
    <row r="5485">
      <c r="A5485" s="16" t="s">
        <v>7719</v>
      </c>
      <c r="B5485" s="22" t="s">
        <v>7725</v>
      </c>
      <c r="C5485" s="18" t="s">
        <v>7739</v>
      </c>
      <c r="D5485" s="19" t="s">
        <v>7740</v>
      </c>
      <c r="E5485" s="9" t="s">
        <v>7728</v>
      </c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  <c r="AB5485" s="9"/>
      <c r="AC5485" s="9"/>
      <c r="AD5485" s="9"/>
    </row>
    <row r="5486">
      <c r="A5486" s="16" t="s">
        <v>7719</v>
      </c>
      <c r="B5486" s="22" t="s">
        <v>7725</v>
      </c>
      <c r="C5486" s="18" t="s">
        <v>7741</v>
      </c>
      <c r="D5486" s="19" t="s">
        <v>7742</v>
      </c>
      <c r="E5486" s="9" t="s">
        <v>7728</v>
      </c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  <c r="AB5486" s="9"/>
      <c r="AC5486" s="9"/>
      <c r="AD5486" s="9"/>
    </row>
    <row r="5487">
      <c r="A5487" s="16" t="s">
        <v>7719</v>
      </c>
      <c r="B5487" s="22" t="s">
        <v>7725</v>
      </c>
      <c r="C5487" s="18" t="s">
        <v>7743</v>
      </c>
      <c r="D5487" s="19" t="s">
        <v>7744</v>
      </c>
      <c r="E5487" s="9" t="s">
        <v>7728</v>
      </c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  <c r="AA5487" s="9"/>
      <c r="AB5487" s="9"/>
      <c r="AC5487" s="9"/>
      <c r="AD5487" s="9"/>
    </row>
    <row r="5488">
      <c r="A5488" s="16" t="s">
        <v>7719</v>
      </c>
      <c r="B5488" s="22" t="s">
        <v>7725</v>
      </c>
      <c r="C5488" s="18" t="s">
        <v>7745</v>
      </c>
      <c r="D5488" s="19" t="s">
        <v>7746</v>
      </c>
      <c r="E5488" s="9" t="s">
        <v>7728</v>
      </c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9"/>
    </row>
    <row r="5489">
      <c r="A5489" s="16" t="s">
        <v>7719</v>
      </c>
      <c r="B5489" s="22" t="s">
        <v>7725</v>
      </c>
      <c r="C5489" s="18" t="s">
        <v>7747</v>
      </c>
      <c r="D5489" s="19" t="s">
        <v>7748</v>
      </c>
      <c r="E5489" s="9" t="s">
        <v>7728</v>
      </c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9"/>
    </row>
    <row r="5490">
      <c r="A5490" s="16" t="s">
        <v>7719</v>
      </c>
      <c r="B5490" s="22" t="s">
        <v>7725</v>
      </c>
      <c r="C5490" s="18" t="s">
        <v>7457</v>
      </c>
      <c r="D5490" s="19" t="s">
        <v>237</v>
      </c>
      <c r="E5490" s="9" t="s">
        <v>7728</v>
      </c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  <c r="AB5490" s="9"/>
      <c r="AC5490" s="9"/>
      <c r="AD5490" s="9"/>
    </row>
    <row r="5491">
      <c r="A5491" s="16" t="s">
        <v>7719</v>
      </c>
      <c r="B5491" s="22" t="s">
        <v>7725</v>
      </c>
      <c r="C5491" s="18" t="s">
        <v>7457</v>
      </c>
      <c r="D5491" s="19" t="s">
        <v>7749</v>
      </c>
      <c r="E5491" s="9" t="s">
        <v>7728</v>
      </c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9"/>
    </row>
    <row r="5492">
      <c r="A5492" s="16" t="s">
        <v>7719</v>
      </c>
      <c r="B5492" s="19" t="s">
        <v>7750</v>
      </c>
      <c r="C5492" s="18" t="s">
        <v>7751</v>
      </c>
      <c r="D5492" s="18" t="s">
        <v>7752</v>
      </c>
      <c r="E5492" s="18" t="s">
        <v>6361</v>
      </c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9"/>
    </row>
    <row r="5493">
      <c r="A5493" s="16" t="s">
        <v>7719</v>
      </c>
      <c r="B5493" s="22" t="s">
        <v>7753</v>
      </c>
      <c r="C5493" s="18" t="s">
        <v>7754</v>
      </c>
      <c r="D5493" s="18" t="s">
        <v>7755</v>
      </c>
      <c r="E5493" s="18" t="s">
        <v>4624</v>
      </c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9"/>
    </row>
    <row r="5494">
      <c r="A5494" s="16" t="s">
        <v>7719</v>
      </c>
      <c r="B5494" s="22" t="s">
        <v>7756</v>
      </c>
      <c r="C5494" s="18" t="s">
        <v>6578</v>
      </c>
      <c r="D5494" s="19" t="s">
        <v>7757</v>
      </c>
      <c r="E5494" s="18" t="s">
        <v>4624</v>
      </c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  <c r="AA5494" s="9"/>
      <c r="AB5494" s="9"/>
      <c r="AC5494" s="9"/>
      <c r="AD5494" s="9"/>
    </row>
    <row r="5495">
      <c r="A5495" s="16" t="s">
        <v>7719</v>
      </c>
      <c r="B5495" s="22" t="s">
        <v>7756</v>
      </c>
      <c r="C5495" s="18" t="s">
        <v>6578</v>
      </c>
      <c r="D5495" s="19" t="s">
        <v>7758</v>
      </c>
      <c r="E5495" s="18" t="s">
        <v>4624</v>
      </c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9"/>
    </row>
    <row r="5496">
      <c r="A5496" s="16" t="s">
        <v>7719</v>
      </c>
      <c r="B5496" s="22" t="s">
        <v>7756</v>
      </c>
      <c r="C5496" s="18" t="s">
        <v>6578</v>
      </c>
      <c r="D5496" s="19" t="s">
        <v>7759</v>
      </c>
      <c r="E5496" s="18" t="s">
        <v>4624</v>
      </c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9"/>
    </row>
    <row r="5497">
      <c r="A5497" s="16" t="s">
        <v>7719</v>
      </c>
      <c r="B5497" s="22" t="s">
        <v>7756</v>
      </c>
      <c r="C5497" s="18" t="s">
        <v>7625</v>
      </c>
      <c r="D5497" s="19" t="s">
        <v>7760</v>
      </c>
      <c r="E5497" s="18" t="s">
        <v>4624</v>
      </c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9"/>
    </row>
    <row r="5498">
      <c r="A5498" s="16" t="s">
        <v>7719</v>
      </c>
      <c r="B5498" s="22" t="s">
        <v>7756</v>
      </c>
      <c r="C5498" s="18" t="s">
        <v>7625</v>
      </c>
      <c r="D5498" s="19" t="s">
        <v>7761</v>
      </c>
      <c r="E5498" s="18" t="s">
        <v>4624</v>
      </c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  <c r="AA5498" s="9"/>
      <c r="AB5498" s="9"/>
      <c r="AC5498" s="9"/>
      <c r="AD5498" s="9"/>
    </row>
    <row r="5499">
      <c r="A5499" s="16" t="s">
        <v>7719</v>
      </c>
      <c r="B5499" s="22" t="s">
        <v>7756</v>
      </c>
      <c r="C5499" s="18" t="s">
        <v>7625</v>
      </c>
      <c r="D5499" s="19" t="s">
        <v>7762</v>
      </c>
      <c r="E5499" s="18" t="s">
        <v>4624</v>
      </c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  <c r="AB5499" s="9"/>
      <c r="AC5499" s="9"/>
      <c r="AD5499" s="9"/>
    </row>
    <row r="5500">
      <c r="A5500" s="16" t="s">
        <v>7719</v>
      </c>
      <c r="B5500" s="22" t="s">
        <v>7756</v>
      </c>
      <c r="C5500" s="18" t="s">
        <v>7625</v>
      </c>
      <c r="D5500" s="19" t="s">
        <v>7763</v>
      </c>
      <c r="E5500" s="18" t="s">
        <v>4624</v>
      </c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  <c r="AB5500" s="9"/>
      <c r="AC5500" s="9"/>
      <c r="AD5500" s="9"/>
    </row>
    <row r="5501">
      <c r="A5501" s="16"/>
      <c r="B5501" s="22"/>
      <c r="C5501" s="18"/>
      <c r="D5501" s="19"/>
      <c r="E5501" s="18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9"/>
    </row>
    <row r="5502">
      <c r="A5502" s="16"/>
      <c r="B5502" s="22"/>
      <c r="C5502" s="18"/>
      <c r="D5502" s="19"/>
      <c r="E5502" s="18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9"/>
    </row>
    <row r="5503">
      <c r="A5503" s="16" t="s">
        <v>7764</v>
      </c>
      <c r="B5503" s="22" t="s">
        <v>7765</v>
      </c>
      <c r="C5503" s="18" t="s">
        <v>7766</v>
      </c>
      <c r="D5503" s="19" t="s">
        <v>7767</v>
      </c>
      <c r="E5503" s="20" t="s">
        <v>7</v>
      </c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9"/>
    </row>
    <row r="5504">
      <c r="A5504" s="16" t="s">
        <v>7764</v>
      </c>
      <c r="B5504" s="22" t="s">
        <v>7765</v>
      </c>
      <c r="C5504" s="18" t="s">
        <v>7766</v>
      </c>
      <c r="D5504" s="19" t="s">
        <v>7768</v>
      </c>
      <c r="E5504" s="20" t="s">
        <v>7</v>
      </c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  <c r="AB5504" s="9"/>
      <c r="AC5504" s="9"/>
      <c r="AD5504" s="9"/>
    </row>
    <row r="5505">
      <c r="A5505" s="16" t="s">
        <v>7764</v>
      </c>
      <c r="B5505" s="22" t="s">
        <v>7765</v>
      </c>
      <c r="C5505" s="18" t="s">
        <v>7766</v>
      </c>
      <c r="D5505" s="19" t="s">
        <v>7769</v>
      </c>
      <c r="E5505" s="20" t="s">
        <v>7</v>
      </c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9"/>
    </row>
    <row r="5506">
      <c r="A5506" s="16" t="s">
        <v>7764</v>
      </c>
      <c r="B5506" s="22" t="s">
        <v>7765</v>
      </c>
      <c r="C5506" s="18" t="s">
        <v>7766</v>
      </c>
      <c r="D5506" s="19" t="s">
        <v>312</v>
      </c>
      <c r="E5506" s="20" t="s">
        <v>7</v>
      </c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9"/>
    </row>
    <row r="5507">
      <c r="A5507" s="16" t="s">
        <v>7764</v>
      </c>
      <c r="B5507" s="22" t="s">
        <v>7765</v>
      </c>
      <c r="C5507" s="18" t="s">
        <v>7766</v>
      </c>
      <c r="D5507" s="19" t="s">
        <v>7770</v>
      </c>
      <c r="E5507" s="20" t="s">
        <v>7</v>
      </c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9"/>
    </row>
    <row r="5508">
      <c r="A5508" s="16" t="s">
        <v>7764</v>
      </c>
      <c r="B5508" s="22" t="s">
        <v>7765</v>
      </c>
      <c r="C5508" s="18" t="s">
        <v>7766</v>
      </c>
      <c r="D5508" s="19" t="s">
        <v>4852</v>
      </c>
      <c r="E5508" s="20" t="s">
        <v>7</v>
      </c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  <c r="AB5508" s="9"/>
      <c r="AC5508" s="9"/>
      <c r="AD5508" s="9"/>
    </row>
    <row r="5509">
      <c r="A5509" s="16" t="s">
        <v>7764</v>
      </c>
      <c r="B5509" s="22" t="s">
        <v>7765</v>
      </c>
      <c r="C5509" s="18" t="s">
        <v>7766</v>
      </c>
      <c r="D5509" s="19" t="s">
        <v>1081</v>
      </c>
      <c r="E5509" s="20" t="s">
        <v>7</v>
      </c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9"/>
    </row>
    <row r="5510">
      <c r="A5510" s="16" t="s">
        <v>7764</v>
      </c>
      <c r="B5510" s="22" t="s">
        <v>7765</v>
      </c>
      <c r="C5510" s="18" t="s">
        <v>7771</v>
      </c>
      <c r="D5510" s="19" t="s">
        <v>7772</v>
      </c>
      <c r="E5510" s="20" t="s">
        <v>7</v>
      </c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9"/>
    </row>
    <row r="5511">
      <c r="A5511" s="16" t="s">
        <v>7764</v>
      </c>
      <c r="B5511" s="22" t="s">
        <v>7765</v>
      </c>
      <c r="C5511" s="18" t="s">
        <v>7771</v>
      </c>
      <c r="D5511" s="19" t="s">
        <v>7773</v>
      </c>
      <c r="E5511" s="20" t="s">
        <v>7</v>
      </c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9"/>
    </row>
    <row r="5512">
      <c r="A5512" s="16" t="s">
        <v>7764</v>
      </c>
      <c r="B5512" s="22" t="s">
        <v>7765</v>
      </c>
      <c r="C5512" s="18" t="s">
        <v>7774</v>
      </c>
      <c r="D5512" s="19" t="s">
        <v>2235</v>
      </c>
      <c r="E5512" s="9" t="s">
        <v>14</v>
      </c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  <c r="AA5512" s="9"/>
      <c r="AB5512" s="9"/>
      <c r="AC5512" s="9"/>
      <c r="AD5512" s="9"/>
    </row>
    <row r="5513">
      <c r="A5513" s="16" t="s">
        <v>7764</v>
      </c>
      <c r="B5513" s="22" t="s">
        <v>7709</v>
      </c>
      <c r="C5513" s="18" t="s">
        <v>7775</v>
      </c>
      <c r="D5513" s="19" t="s">
        <v>7776</v>
      </c>
      <c r="E5513" s="18" t="s">
        <v>4624</v>
      </c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9"/>
      <c r="AD5513" s="9"/>
    </row>
    <row r="5514">
      <c r="A5514" s="16" t="s">
        <v>7764</v>
      </c>
      <c r="B5514" s="22" t="s">
        <v>7709</v>
      </c>
      <c r="C5514" s="18" t="s">
        <v>7775</v>
      </c>
      <c r="D5514" s="19" t="s">
        <v>7776</v>
      </c>
      <c r="E5514" s="18" t="s">
        <v>4624</v>
      </c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  <c r="AB5514" s="9"/>
      <c r="AC5514" s="9"/>
      <c r="AD5514" s="9"/>
    </row>
    <row r="5515">
      <c r="A5515" s="16" t="s">
        <v>7764</v>
      </c>
      <c r="B5515" s="22" t="s">
        <v>7777</v>
      </c>
      <c r="C5515" s="18" t="s">
        <v>7778</v>
      </c>
      <c r="D5515" s="18" t="s">
        <v>7779</v>
      </c>
      <c r="E5515" s="23" t="s">
        <v>7780</v>
      </c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9"/>
    </row>
    <row r="5516">
      <c r="A5516" s="16" t="s">
        <v>7764</v>
      </c>
      <c r="B5516" s="22" t="s">
        <v>7777</v>
      </c>
      <c r="C5516" s="18" t="s">
        <v>7696</v>
      </c>
      <c r="D5516" s="18" t="s">
        <v>7781</v>
      </c>
      <c r="E5516" s="23" t="s">
        <v>7780</v>
      </c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9"/>
    </row>
    <row r="5517">
      <c r="A5517" s="16" t="s">
        <v>7764</v>
      </c>
      <c r="B5517" s="22" t="s">
        <v>7298</v>
      </c>
      <c r="C5517" s="18" t="s">
        <v>7782</v>
      </c>
      <c r="D5517" s="18" t="s">
        <v>7783</v>
      </c>
      <c r="E5517" s="20" t="s">
        <v>7</v>
      </c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9"/>
    </row>
    <row r="5518">
      <c r="A5518" s="16" t="s">
        <v>7764</v>
      </c>
      <c r="B5518" s="22" t="s">
        <v>7298</v>
      </c>
      <c r="C5518" s="18" t="s">
        <v>6969</v>
      </c>
      <c r="D5518" s="18" t="s">
        <v>7783</v>
      </c>
      <c r="E5518" s="20" t="s">
        <v>7</v>
      </c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  <c r="AB5518" s="9"/>
      <c r="AC5518" s="9"/>
      <c r="AD5518" s="9"/>
    </row>
    <row r="5519">
      <c r="A5519" s="16" t="s">
        <v>7764</v>
      </c>
      <c r="B5519" s="22" t="s">
        <v>7298</v>
      </c>
      <c r="C5519" s="18" t="s">
        <v>7784</v>
      </c>
      <c r="D5519" s="18" t="s">
        <v>7783</v>
      </c>
      <c r="E5519" s="20" t="s">
        <v>7</v>
      </c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9"/>
    </row>
    <row r="5520">
      <c r="A5520" s="16" t="s">
        <v>7764</v>
      </c>
      <c r="B5520" s="22" t="s">
        <v>7298</v>
      </c>
      <c r="C5520" s="18" t="s">
        <v>7785</v>
      </c>
      <c r="D5520" s="18" t="s">
        <v>7783</v>
      </c>
      <c r="E5520" s="20" t="s">
        <v>7</v>
      </c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9"/>
    </row>
    <row r="5521">
      <c r="A5521" s="16"/>
      <c r="B5521" s="22"/>
      <c r="C5521" s="18"/>
      <c r="D5521" s="19"/>
      <c r="E5521" s="18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9"/>
    </row>
    <row r="5522">
      <c r="A5522" s="16"/>
      <c r="B5522" s="22"/>
      <c r="C5522" s="18"/>
      <c r="D5522" s="19"/>
      <c r="E5522" s="18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  <c r="AB5522" s="9"/>
      <c r="AC5522" s="9"/>
      <c r="AD5522" s="9"/>
    </row>
    <row r="5523">
      <c r="A5523" s="16" t="s">
        <v>7786</v>
      </c>
      <c r="B5523" s="22" t="s">
        <v>7753</v>
      </c>
      <c r="C5523" s="18" t="s">
        <v>21</v>
      </c>
      <c r="D5523" s="18" t="s">
        <v>22</v>
      </c>
      <c r="E5523" s="18" t="s">
        <v>4493</v>
      </c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9"/>
    </row>
    <row r="5524">
      <c r="A5524" s="16" t="s">
        <v>7786</v>
      </c>
      <c r="B5524" s="22" t="s">
        <v>7787</v>
      </c>
      <c r="C5524" s="18" t="s">
        <v>7788</v>
      </c>
      <c r="D5524" s="18" t="s">
        <v>7789</v>
      </c>
      <c r="E5524" s="18" t="s">
        <v>4624</v>
      </c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9"/>
    </row>
    <row r="5525">
      <c r="A5525" s="16" t="s">
        <v>7786</v>
      </c>
      <c r="B5525" s="22" t="s">
        <v>7787</v>
      </c>
      <c r="C5525" s="18" t="s">
        <v>7788</v>
      </c>
      <c r="D5525" s="18" t="s">
        <v>7790</v>
      </c>
      <c r="E5525" s="18" t="s">
        <v>4624</v>
      </c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9"/>
    </row>
    <row r="5526">
      <c r="A5526" s="16" t="s">
        <v>7786</v>
      </c>
      <c r="B5526" s="22" t="s">
        <v>7787</v>
      </c>
      <c r="C5526" s="18" t="s">
        <v>7788</v>
      </c>
      <c r="D5526" s="18" t="s">
        <v>7791</v>
      </c>
      <c r="E5526" s="18" t="s">
        <v>4624</v>
      </c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  <c r="AB5526" s="9"/>
      <c r="AC5526" s="9"/>
      <c r="AD5526" s="9"/>
    </row>
    <row r="5527">
      <c r="A5527" s="16" t="s">
        <v>7786</v>
      </c>
      <c r="B5527" s="22" t="s">
        <v>7787</v>
      </c>
      <c r="C5527" s="18" t="s">
        <v>7792</v>
      </c>
      <c r="D5527" s="18" t="s">
        <v>7793</v>
      </c>
      <c r="E5527" s="18" t="s">
        <v>4624</v>
      </c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9"/>
      <c r="AD5527" s="9"/>
    </row>
    <row r="5528">
      <c r="A5528" s="16" t="s">
        <v>7786</v>
      </c>
      <c r="B5528" s="22" t="s">
        <v>7787</v>
      </c>
      <c r="C5528" s="18" t="s">
        <v>7794</v>
      </c>
      <c r="D5528" s="18" t="s">
        <v>7795</v>
      </c>
      <c r="E5528" s="18" t="s">
        <v>4624</v>
      </c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  <c r="AA5528" s="9"/>
      <c r="AB5528" s="9"/>
      <c r="AC5528" s="9"/>
      <c r="AD5528" s="9"/>
    </row>
    <row r="5529">
      <c r="A5529" s="16" t="s">
        <v>7786</v>
      </c>
      <c r="B5529" s="22" t="s">
        <v>7787</v>
      </c>
      <c r="C5529" s="18" t="s">
        <v>7796</v>
      </c>
      <c r="D5529" s="18" t="s">
        <v>7797</v>
      </c>
      <c r="E5529" s="18" t="s">
        <v>4624</v>
      </c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  <c r="AB5529" s="9"/>
      <c r="AC5529" s="9"/>
      <c r="AD5529" s="9"/>
    </row>
    <row r="5530">
      <c r="A5530" s="16" t="s">
        <v>7786</v>
      </c>
      <c r="B5530" s="22" t="s">
        <v>7787</v>
      </c>
      <c r="C5530" s="18" t="s">
        <v>7798</v>
      </c>
      <c r="D5530" s="18" t="s">
        <v>7799</v>
      </c>
      <c r="E5530" s="18" t="s">
        <v>4624</v>
      </c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  <c r="AB5530" s="9"/>
      <c r="AC5530" s="9"/>
      <c r="AD5530" s="9"/>
    </row>
    <row r="5531">
      <c r="A5531" s="16" t="s">
        <v>7786</v>
      </c>
      <c r="B5531" s="22" t="s">
        <v>7787</v>
      </c>
      <c r="C5531" s="18" t="s">
        <v>7800</v>
      </c>
      <c r="D5531" s="18" t="s">
        <v>7801</v>
      </c>
      <c r="E5531" s="18" t="s">
        <v>4624</v>
      </c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  <c r="AB5531" s="9"/>
      <c r="AC5531" s="9"/>
      <c r="AD5531" s="9"/>
    </row>
    <row r="5532">
      <c r="A5532" s="16" t="s">
        <v>7786</v>
      </c>
      <c r="B5532" s="22" t="s">
        <v>7787</v>
      </c>
      <c r="C5532" s="18" t="s">
        <v>7792</v>
      </c>
      <c r="D5532" s="18" t="s">
        <v>7802</v>
      </c>
      <c r="E5532" s="18" t="s">
        <v>4624</v>
      </c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  <c r="AA5532" s="9"/>
      <c r="AB5532" s="9"/>
      <c r="AC5532" s="9"/>
      <c r="AD5532" s="9"/>
    </row>
    <row r="5533">
      <c r="A5533" s="16" t="s">
        <v>7786</v>
      </c>
      <c r="B5533" s="22" t="s">
        <v>7787</v>
      </c>
      <c r="C5533" s="18" t="s">
        <v>7792</v>
      </c>
      <c r="D5533" s="18" t="s">
        <v>7803</v>
      </c>
      <c r="E5533" s="18" t="s">
        <v>4624</v>
      </c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  <c r="AB5533" s="9"/>
      <c r="AC5533" s="9"/>
      <c r="AD5533" s="9"/>
    </row>
    <row r="5534">
      <c r="A5534" s="16" t="s">
        <v>7786</v>
      </c>
      <c r="B5534" s="22" t="s">
        <v>7787</v>
      </c>
      <c r="C5534" s="18" t="s">
        <v>7792</v>
      </c>
      <c r="D5534" s="18" t="s">
        <v>7804</v>
      </c>
      <c r="E5534" s="18" t="s">
        <v>4624</v>
      </c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  <c r="AB5534" s="9"/>
      <c r="AC5534" s="9"/>
      <c r="AD5534" s="9"/>
    </row>
    <row r="5535">
      <c r="A5535" s="16" t="s">
        <v>7786</v>
      </c>
      <c r="B5535" s="22" t="s">
        <v>7787</v>
      </c>
      <c r="C5535" s="18" t="s">
        <v>7792</v>
      </c>
      <c r="D5535" s="18" t="s">
        <v>7805</v>
      </c>
      <c r="E5535" s="18" t="s">
        <v>4624</v>
      </c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9"/>
    </row>
    <row r="5536">
      <c r="A5536" s="16" t="s">
        <v>7786</v>
      </c>
      <c r="B5536" s="22" t="s">
        <v>7787</v>
      </c>
      <c r="C5536" s="18" t="s">
        <v>7806</v>
      </c>
      <c r="D5536" s="18" t="s">
        <v>7807</v>
      </c>
      <c r="E5536" s="18" t="s">
        <v>4624</v>
      </c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  <c r="AB5536" s="9"/>
      <c r="AC5536" s="9"/>
      <c r="AD5536" s="9"/>
    </row>
    <row r="5537">
      <c r="A5537" s="16" t="s">
        <v>7786</v>
      </c>
      <c r="B5537" s="22" t="s">
        <v>7787</v>
      </c>
      <c r="C5537" s="18" t="s">
        <v>7798</v>
      </c>
      <c r="D5537" s="18" t="s">
        <v>7808</v>
      </c>
      <c r="E5537" s="18" t="s">
        <v>4624</v>
      </c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  <c r="AB5537" s="9"/>
      <c r="AC5537" s="9"/>
      <c r="AD5537" s="9"/>
    </row>
    <row r="5538">
      <c r="A5538" s="16" t="s">
        <v>7786</v>
      </c>
      <c r="B5538" s="22" t="s">
        <v>7787</v>
      </c>
      <c r="C5538" s="18" t="s">
        <v>7794</v>
      </c>
      <c r="D5538" s="18" t="s">
        <v>7809</v>
      </c>
      <c r="E5538" s="18" t="s">
        <v>4624</v>
      </c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  <c r="AB5538" s="9"/>
      <c r="AC5538" s="9"/>
      <c r="AD5538" s="9"/>
    </row>
    <row r="5539">
      <c r="A5539" s="16" t="s">
        <v>7786</v>
      </c>
      <c r="B5539" s="22" t="s">
        <v>7787</v>
      </c>
      <c r="C5539" s="18" t="s">
        <v>7794</v>
      </c>
      <c r="D5539" s="18" t="s">
        <v>7810</v>
      </c>
      <c r="E5539" s="18" t="s">
        <v>4624</v>
      </c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  <c r="AB5539" s="9"/>
      <c r="AC5539" s="9"/>
      <c r="AD5539" s="9"/>
    </row>
    <row r="5540">
      <c r="A5540" s="16" t="s">
        <v>7786</v>
      </c>
      <c r="B5540" s="22" t="s">
        <v>7787</v>
      </c>
      <c r="C5540" s="18" t="s">
        <v>7798</v>
      </c>
      <c r="D5540" s="18" t="s">
        <v>7810</v>
      </c>
      <c r="E5540" s="18" t="s">
        <v>4624</v>
      </c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  <c r="AB5540" s="9"/>
      <c r="AC5540" s="9"/>
      <c r="AD5540" s="9"/>
    </row>
    <row r="5541">
      <c r="A5541" s="16" t="s">
        <v>7786</v>
      </c>
      <c r="B5541" s="22" t="s">
        <v>7787</v>
      </c>
      <c r="C5541" s="18" t="s">
        <v>7792</v>
      </c>
      <c r="D5541" s="18" t="s">
        <v>7811</v>
      </c>
      <c r="E5541" s="18" t="s">
        <v>4624</v>
      </c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  <c r="AB5541" s="9"/>
      <c r="AC5541" s="9"/>
      <c r="AD5541" s="9"/>
    </row>
    <row r="5542">
      <c r="A5542" s="16" t="s">
        <v>7786</v>
      </c>
      <c r="B5542" s="22" t="s">
        <v>7787</v>
      </c>
      <c r="C5542" s="18" t="s">
        <v>7792</v>
      </c>
      <c r="D5542" s="18" t="s">
        <v>5930</v>
      </c>
      <c r="E5542" s="18" t="s">
        <v>4624</v>
      </c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  <c r="AB5542" s="9"/>
      <c r="AC5542" s="9"/>
      <c r="AD5542" s="9"/>
    </row>
    <row r="5543">
      <c r="A5543" s="16" t="s">
        <v>7786</v>
      </c>
      <c r="B5543" s="22" t="s">
        <v>7787</v>
      </c>
      <c r="C5543" s="18" t="s">
        <v>7792</v>
      </c>
      <c r="D5543" s="18" t="s">
        <v>7812</v>
      </c>
      <c r="E5543" s="18" t="s">
        <v>4624</v>
      </c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  <c r="AB5543" s="9"/>
      <c r="AC5543" s="9"/>
      <c r="AD5543" s="9"/>
    </row>
    <row r="5544">
      <c r="A5544" s="16" t="s">
        <v>7786</v>
      </c>
      <c r="B5544" s="22" t="s">
        <v>7787</v>
      </c>
      <c r="C5544" s="18" t="s">
        <v>7813</v>
      </c>
      <c r="D5544" s="18" t="s">
        <v>4967</v>
      </c>
      <c r="E5544" s="18" t="s">
        <v>4624</v>
      </c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  <c r="AB5544" s="9"/>
      <c r="AC5544" s="9"/>
      <c r="AD5544" s="9"/>
    </row>
    <row r="5545">
      <c r="A5545" s="16" t="s">
        <v>7786</v>
      </c>
      <c r="B5545" s="22" t="s">
        <v>7787</v>
      </c>
      <c r="C5545" s="18" t="s">
        <v>7813</v>
      </c>
      <c r="D5545" s="18" t="s">
        <v>7814</v>
      </c>
      <c r="E5545" s="18" t="s">
        <v>4624</v>
      </c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  <c r="AB5545" s="9"/>
      <c r="AC5545" s="9"/>
      <c r="AD5545" s="9"/>
    </row>
    <row r="5546">
      <c r="A5546" s="16" t="s">
        <v>7786</v>
      </c>
      <c r="B5546" s="22" t="s">
        <v>7787</v>
      </c>
      <c r="C5546" s="18" t="s">
        <v>7813</v>
      </c>
      <c r="D5546" s="18" t="s">
        <v>7815</v>
      </c>
      <c r="E5546" s="18" t="s">
        <v>4624</v>
      </c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  <c r="AB5546" s="9"/>
      <c r="AC5546" s="9"/>
      <c r="AD5546" s="9"/>
    </row>
    <row r="5547">
      <c r="A5547" s="16" t="s">
        <v>7786</v>
      </c>
      <c r="B5547" s="22" t="s">
        <v>7787</v>
      </c>
      <c r="C5547" s="18" t="s">
        <v>7813</v>
      </c>
      <c r="D5547" s="18" t="s">
        <v>7816</v>
      </c>
      <c r="E5547" s="18" t="s">
        <v>4624</v>
      </c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  <c r="AB5547" s="9"/>
      <c r="AC5547" s="9"/>
      <c r="AD5547" s="9"/>
    </row>
    <row r="5548">
      <c r="A5548" s="16" t="s">
        <v>7786</v>
      </c>
      <c r="B5548" s="22" t="s">
        <v>7787</v>
      </c>
      <c r="C5548" s="18" t="s">
        <v>7813</v>
      </c>
      <c r="D5548" s="18" t="s">
        <v>7817</v>
      </c>
      <c r="E5548" s="18" t="s">
        <v>4624</v>
      </c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  <c r="AA5548" s="9"/>
      <c r="AB5548" s="9"/>
      <c r="AC5548" s="9"/>
      <c r="AD5548" s="9"/>
    </row>
    <row r="5549">
      <c r="A5549" s="16" t="s">
        <v>7786</v>
      </c>
      <c r="B5549" s="22" t="s">
        <v>7818</v>
      </c>
      <c r="C5549" s="18" t="s">
        <v>7819</v>
      </c>
      <c r="D5549" s="18" t="s">
        <v>7820</v>
      </c>
      <c r="E5549" s="18" t="s">
        <v>14</v>
      </c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9"/>
    </row>
    <row r="5550">
      <c r="A5550" s="16" t="s">
        <v>7786</v>
      </c>
      <c r="B5550" s="22" t="s">
        <v>7818</v>
      </c>
      <c r="C5550" s="18" t="s">
        <v>7821</v>
      </c>
      <c r="D5550" s="18" t="s">
        <v>7822</v>
      </c>
      <c r="E5550" s="18" t="s">
        <v>14</v>
      </c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  <c r="AB5550" s="9"/>
      <c r="AC5550" s="9"/>
      <c r="AD5550" s="9"/>
    </row>
    <row r="5551">
      <c r="A5551" s="16" t="s">
        <v>7786</v>
      </c>
      <c r="B5551" s="22" t="s">
        <v>7818</v>
      </c>
      <c r="C5551" s="18" t="s">
        <v>7823</v>
      </c>
      <c r="D5551" s="18" t="s">
        <v>7824</v>
      </c>
      <c r="E5551" s="18" t="s">
        <v>7825</v>
      </c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9"/>
      <c r="AD5551" s="9"/>
    </row>
    <row r="5552">
      <c r="A5552" s="150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9"/>
      <c r="X5552" s="9"/>
      <c r="Y5552" s="9"/>
      <c r="Z5552" s="9"/>
      <c r="AA5552" s="9"/>
      <c r="AB5552" s="9"/>
      <c r="AC5552" s="9"/>
      <c r="AD5552" s="9"/>
    </row>
    <row r="5553">
      <c r="A5553" s="150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  <c r="AB5553" s="9"/>
      <c r="AC5553" s="9"/>
      <c r="AD5553" s="9"/>
    </row>
    <row r="5554">
      <c r="A5554" s="16" t="s">
        <v>7826</v>
      </c>
      <c r="B5554" s="22" t="s">
        <v>7827</v>
      </c>
      <c r="C5554" s="18" t="s">
        <v>7828</v>
      </c>
      <c r="D5554" s="18" t="s">
        <v>7829</v>
      </c>
      <c r="E5554" s="9" t="s">
        <v>4493</v>
      </c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  <c r="AB5554" s="9"/>
      <c r="AC5554" s="9"/>
      <c r="AD5554" s="9"/>
    </row>
    <row r="5555">
      <c r="A5555" s="16" t="s">
        <v>7826</v>
      </c>
      <c r="B5555" s="22" t="s">
        <v>7830</v>
      </c>
      <c r="C5555" s="18" t="s">
        <v>7831</v>
      </c>
      <c r="D5555" s="18" t="s">
        <v>7832</v>
      </c>
      <c r="E5555" s="9" t="s">
        <v>4493</v>
      </c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  <c r="AB5555" s="9"/>
      <c r="AC5555" s="9"/>
      <c r="AD5555" s="9"/>
    </row>
    <row r="5556">
      <c r="A5556" s="16" t="s">
        <v>7826</v>
      </c>
      <c r="B5556" s="22" t="s">
        <v>7833</v>
      </c>
      <c r="C5556" s="18" t="s">
        <v>7834</v>
      </c>
      <c r="D5556" s="18" t="s">
        <v>7835</v>
      </c>
      <c r="E5556" s="18" t="s">
        <v>4624</v>
      </c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9"/>
      <c r="AD5556" s="9"/>
    </row>
    <row r="5557">
      <c r="A5557" s="16" t="s">
        <v>7826</v>
      </c>
      <c r="B5557" s="22" t="s">
        <v>7833</v>
      </c>
      <c r="C5557" s="18" t="s">
        <v>7836</v>
      </c>
      <c r="D5557" s="18" t="s">
        <v>7837</v>
      </c>
      <c r="E5557" s="18" t="s">
        <v>4624</v>
      </c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9"/>
      <c r="AA5557" s="9"/>
      <c r="AB5557" s="9"/>
      <c r="AC5557" s="9"/>
      <c r="AD5557" s="9"/>
    </row>
    <row r="5558">
      <c r="A5558" s="16" t="s">
        <v>7826</v>
      </c>
      <c r="B5558" s="22" t="s">
        <v>7833</v>
      </c>
      <c r="C5558" s="18" t="s">
        <v>7838</v>
      </c>
      <c r="D5558" s="18" t="s">
        <v>7839</v>
      </c>
      <c r="E5558" s="18" t="s">
        <v>4624</v>
      </c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  <c r="U5558" s="9"/>
      <c r="V5558" s="9"/>
      <c r="W5558" s="9"/>
      <c r="X5558" s="9"/>
      <c r="Y5558" s="9"/>
      <c r="Z5558" s="9"/>
      <c r="AA5558" s="9"/>
      <c r="AB5558" s="9"/>
      <c r="AC5558" s="9"/>
      <c r="AD5558" s="9"/>
    </row>
    <row r="5559">
      <c r="A5559" s="16" t="s">
        <v>7826</v>
      </c>
      <c r="B5559" s="22" t="s">
        <v>7833</v>
      </c>
      <c r="C5559" s="18" t="s">
        <v>706</v>
      </c>
      <c r="D5559" s="18" t="s">
        <v>7840</v>
      </c>
      <c r="E5559" s="18" t="s">
        <v>4624</v>
      </c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9"/>
      <c r="AA5559" s="9"/>
      <c r="AB5559" s="9"/>
      <c r="AC5559" s="9"/>
      <c r="AD5559" s="9"/>
    </row>
    <row r="5560">
      <c r="A5560" s="16" t="s">
        <v>7826</v>
      </c>
      <c r="B5560" s="22" t="s">
        <v>7833</v>
      </c>
      <c r="C5560" s="18" t="s">
        <v>7841</v>
      </c>
      <c r="D5560" s="18" t="s">
        <v>7842</v>
      </c>
      <c r="E5560" s="18" t="s">
        <v>4624</v>
      </c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9"/>
      <c r="R5560" s="9"/>
      <c r="S5560" s="9"/>
      <c r="T5560" s="9"/>
      <c r="U5560" s="9"/>
      <c r="V5560" s="9"/>
      <c r="W5560" s="9"/>
      <c r="X5560" s="9"/>
      <c r="Y5560" s="9"/>
      <c r="Z5560" s="9"/>
      <c r="AA5560" s="9"/>
      <c r="AB5560" s="9"/>
      <c r="AC5560" s="9"/>
      <c r="AD5560" s="9"/>
    </row>
    <row r="5561">
      <c r="A5561" s="16" t="s">
        <v>7826</v>
      </c>
      <c r="B5561" s="22" t="s">
        <v>7833</v>
      </c>
      <c r="C5561" s="18" t="s">
        <v>7838</v>
      </c>
      <c r="D5561" s="18" t="s">
        <v>7843</v>
      </c>
      <c r="E5561" s="18" t="s">
        <v>4624</v>
      </c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9"/>
      <c r="V5561" s="9"/>
      <c r="W5561" s="9"/>
      <c r="X5561" s="9"/>
      <c r="Y5561" s="9"/>
      <c r="Z5561" s="9"/>
      <c r="AA5561" s="9"/>
      <c r="AB5561" s="9"/>
      <c r="AC5561" s="9"/>
      <c r="AD5561" s="9"/>
    </row>
    <row r="5562">
      <c r="A5562" s="16" t="s">
        <v>7826</v>
      </c>
      <c r="B5562" s="22" t="s">
        <v>7833</v>
      </c>
      <c r="C5562" s="18" t="s">
        <v>706</v>
      </c>
      <c r="D5562" s="18" t="s">
        <v>7844</v>
      </c>
      <c r="E5562" s="18" t="s">
        <v>4624</v>
      </c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9"/>
      <c r="V5562" s="9"/>
      <c r="W5562" s="9"/>
      <c r="X5562" s="9"/>
      <c r="Y5562" s="9"/>
      <c r="Z5562" s="9"/>
      <c r="AA5562" s="9"/>
      <c r="AB5562" s="9"/>
      <c r="AC5562" s="9"/>
      <c r="AD5562" s="9"/>
    </row>
    <row r="5563">
      <c r="A5563" s="16" t="s">
        <v>7826</v>
      </c>
      <c r="B5563" s="22" t="s">
        <v>7833</v>
      </c>
      <c r="C5563" s="18" t="s">
        <v>706</v>
      </c>
      <c r="D5563" s="18" t="s">
        <v>7845</v>
      </c>
      <c r="E5563" s="18" t="s">
        <v>4624</v>
      </c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9"/>
      <c r="V5563" s="9"/>
      <c r="W5563" s="9"/>
      <c r="X5563" s="9"/>
      <c r="Y5563" s="9"/>
      <c r="Z5563" s="9"/>
      <c r="AA5563" s="9"/>
      <c r="AB5563" s="9"/>
      <c r="AC5563" s="9"/>
      <c r="AD5563" s="9"/>
    </row>
    <row r="5564">
      <c r="A5564" s="16" t="s">
        <v>7826</v>
      </c>
      <c r="B5564" s="22" t="s">
        <v>7833</v>
      </c>
      <c r="C5564" s="18" t="s">
        <v>7841</v>
      </c>
      <c r="D5564" s="18" t="s">
        <v>137</v>
      </c>
      <c r="E5564" s="18" t="s">
        <v>4624</v>
      </c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  <c r="Z5564" s="9"/>
      <c r="AA5564" s="9"/>
      <c r="AB5564" s="9"/>
      <c r="AC5564" s="9"/>
      <c r="AD5564" s="9"/>
    </row>
    <row r="5565">
      <c r="A5565" s="16" t="s">
        <v>7826</v>
      </c>
      <c r="B5565" s="22" t="s">
        <v>7833</v>
      </c>
      <c r="C5565" s="18" t="s">
        <v>7846</v>
      </c>
      <c r="D5565" s="18" t="s">
        <v>7847</v>
      </c>
      <c r="E5565" s="18" t="s">
        <v>4624</v>
      </c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9"/>
      <c r="AA5565" s="9"/>
      <c r="AB5565" s="9"/>
      <c r="AC5565" s="9"/>
      <c r="AD5565" s="9"/>
    </row>
    <row r="5566">
      <c r="A5566" s="16" t="s">
        <v>7826</v>
      </c>
      <c r="B5566" s="22" t="s">
        <v>7848</v>
      </c>
      <c r="C5566" s="18" t="s">
        <v>7849</v>
      </c>
      <c r="D5566" s="19" t="s">
        <v>7850</v>
      </c>
      <c r="E5566" s="18" t="s">
        <v>749</v>
      </c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9"/>
      <c r="X5566" s="9"/>
      <c r="Y5566" s="9"/>
      <c r="Z5566" s="9"/>
      <c r="AA5566" s="9"/>
      <c r="AB5566" s="9"/>
      <c r="AC5566" s="9"/>
      <c r="AD5566" s="9"/>
    </row>
    <row r="5567">
      <c r="A5567" s="16" t="s">
        <v>7826</v>
      </c>
      <c r="B5567" s="19" t="s">
        <v>7851</v>
      </c>
      <c r="C5567" s="18" t="s">
        <v>7852</v>
      </c>
      <c r="D5567" s="18" t="s">
        <v>7853</v>
      </c>
      <c r="E5567" s="18" t="s">
        <v>1320</v>
      </c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9"/>
      <c r="V5567" s="9"/>
      <c r="W5567" s="9"/>
      <c r="X5567" s="9"/>
      <c r="Y5567" s="9"/>
      <c r="Z5567" s="9"/>
      <c r="AA5567" s="9"/>
      <c r="AB5567" s="9"/>
      <c r="AC5567" s="9"/>
      <c r="AD5567" s="9"/>
    </row>
    <row r="5568">
      <c r="A5568" s="150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  <c r="Z5568" s="9"/>
      <c r="AA5568" s="9"/>
      <c r="AB5568" s="9"/>
      <c r="AC5568" s="9"/>
      <c r="AD5568" s="9"/>
    </row>
    <row r="5569">
      <c r="A5569" s="150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9"/>
      <c r="AA5569" s="9"/>
      <c r="AB5569" s="9"/>
      <c r="AC5569" s="9"/>
      <c r="AD5569" s="9"/>
    </row>
    <row r="5570">
      <c r="A5570" s="16" t="s">
        <v>2285</v>
      </c>
      <c r="B5570" s="22" t="s">
        <v>7818</v>
      </c>
      <c r="C5570" s="9" t="s">
        <v>7823</v>
      </c>
      <c r="D5570" s="9" t="s">
        <v>7854</v>
      </c>
      <c r="E5570" s="18" t="s">
        <v>1320</v>
      </c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  <c r="AA5570" s="9"/>
      <c r="AB5570" s="9"/>
      <c r="AC5570" s="9"/>
      <c r="AD5570" s="9"/>
    </row>
    <row r="5571">
      <c r="A5571" s="16"/>
      <c r="B5571" s="22"/>
      <c r="C5571" s="18"/>
      <c r="D5571" s="19"/>
      <c r="E5571" s="18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9"/>
      <c r="V5571" s="9"/>
      <c r="W5571" s="9"/>
      <c r="X5571" s="9"/>
      <c r="Y5571" s="9"/>
      <c r="Z5571" s="9"/>
      <c r="AA5571" s="9"/>
      <c r="AB5571" s="9"/>
      <c r="AC5571" s="9"/>
      <c r="AD5571" s="9"/>
    </row>
    <row r="5572">
      <c r="A5572" s="16"/>
      <c r="B5572" s="22"/>
      <c r="C5572" s="18"/>
      <c r="D5572" s="19"/>
      <c r="E5572" s="18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9"/>
      <c r="V5572" s="9"/>
      <c r="W5572" s="9"/>
      <c r="X5572" s="9"/>
      <c r="Y5572" s="9"/>
      <c r="Z5572" s="9"/>
      <c r="AA5572" s="9"/>
      <c r="AB5572" s="9"/>
      <c r="AC5572" s="9"/>
      <c r="AD5572" s="9"/>
    </row>
    <row r="5573">
      <c r="A5573" s="16" t="s">
        <v>7855</v>
      </c>
      <c r="B5573" s="22" t="s">
        <v>7833</v>
      </c>
      <c r="C5573" s="18" t="s">
        <v>7856</v>
      </c>
      <c r="D5573" s="18" t="s">
        <v>7308</v>
      </c>
      <c r="E5573" s="18" t="s">
        <v>4624</v>
      </c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  <c r="AA5573" s="9"/>
      <c r="AB5573" s="9"/>
      <c r="AC5573" s="9"/>
      <c r="AD5573" s="9"/>
    </row>
    <row r="5574">
      <c r="A5574" s="16" t="s">
        <v>7855</v>
      </c>
      <c r="B5574" s="22" t="s">
        <v>7833</v>
      </c>
      <c r="C5574" s="18" t="s">
        <v>7857</v>
      </c>
      <c r="D5574" s="18" t="s">
        <v>7858</v>
      </c>
      <c r="E5574" s="18" t="s">
        <v>4624</v>
      </c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  <c r="AA5574" s="9"/>
      <c r="AB5574" s="9"/>
      <c r="AC5574" s="9"/>
      <c r="AD5574" s="9"/>
    </row>
    <row r="5575">
      <c r="A5575" s="16" t="s">
        <v>7855</v>
      </c>
      <c r="B5575" s="22" t="s">
        <v>7833</v>
      </c>
      <c r="C5575" s="18" t="s">
        <v>7859</v>
      </c>
      <c r="D5575" s="18" t="s">
        <v>7860</v>
      </c>
      <c r="E5575" s="18" t="s">
        <v>4624</v>
      </c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9"/>
      <c r="V5575" s="9"/>
      <c r="W5575" s="9"/>
      <c r="X5575" s="9"/>
      <c r="Y5575" s="9"/>
      <c r="Z5575" s="9"/>
      <c r="AA5575" s="9"/>
      <c r="AB5575" s="9"/>
      <c r="AC5575" s="9"/>
      <c r="AD5575" s="9"/>
    </row>
    <row r="5576">
      <c r="A5576" s="16" t="s">
        <v>7855</v>
      </c>
      <c r="B5576" s="22" t="s">
        <v>7552</v>
      </c>
      <c r="C5576" s="18" t="s">
        <v>6963</v>
      </c>
      <c r="D5576" s="18" t="s">
        <v>7861</v>
      </c>
      <c r="E5576" s="18" t="s">
        <v>4624</v>
      </c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9"/>
      <c r="V5576" s="9"/>
      <c r="W5576" s="9"/>
      <c r="X5576" s="9"/>
      <c r="Y5576" s="9"/>
      <c r="Z5576" s="9"/>
      <c r="AA5576" s="9"/>
      <c r="AB5576" s="9"/>
      <c r="AC5576" s="9"/>
      <c r="AD5576" s="9"/>
    </row>
    <row r="5577">
      <c r="A5577" s="16" t="s">
        <v>7855</v>
      </c>
      <c r="B5577" s="22" t="s">
        <v>7552</v>
      </c>
      <c r="C5577" s="18" t="s">
        <v>6963</v>
      </c>
      <c r="D5577" s="18" t="s">
        <v>7861</v>
      </c>
      <c r="E5577" s="18" t="s">
        <v>4624</v>
      </c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9"/>
      <c r="AA5577" s="9"/>
      <c r="AB5577" s="9"/>
      <c r="AC5577" s="9"/>
      <c r="AD5577" s="9"/>
    </row>
    <row r="5578">
      <c r="A5578" s="16" t="s">
        <v>7855</v>
      </c>
      <c r="B5578" s="22" t="s">
        <v>17</v>
      </c>
      <c r="C5578" s="18" t="s">
        <v>7862</v>
      </c>
      <c r="D5578" s="18" t="s">
        <v>7863</v>
      </c>
      <c r="E5578" s="18" t="s">
        <v>764</v>
      </c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/>
      <c r="X5578" s="9"/>
      <c r="Y5578" s="9"/>
      <c r="Z5578" s="9"/>
      <c r="AA5578" s="9"/>
      <c r="AB5578" s="9"/>
      <c r="AC5578" s="9"/>
      <c r="AD5578" s="9"/>
    </row>
    <row r="5579">
      <c r="A5579" s="16" t="s">
        <v>7855</v>
      </c>
      <c r="B5579" s="22" t="s">
        <v>17</v>
      </c>
      <c r="C5579" s="18" t="s">
        <v>21</v>
      </c>
      <c r="D5579" s="18" t="s">
        <v>7864</v>
      </c>
      <c r="E5579" s="18" t="s">
        <v>764</v>
      </c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9"/>
      <c r="AA5579" s="9"/>
      <c r="AB5579" s="9"/>
      <c r="AC5579" s="9"/>
      <c r="AD5579" s="9"/>
    </row>
    <row r="5580">
      <c r="A5580" s="16" t="s">
        <v>7855</v>
      </c>
      <c r="B5580" s="22" t="s">
        <v>7298</v>
      </c>
      <c r="C5580" s="18" t="s">
        <v>7782</v>
      </c>
      <c r="D5580" s="18" t="s">
        <v>7783</v>
      </c>
      <c r="E5580" s="20" t="s">
        <v>7</v>
      </c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  <c r="Z5580" s="9"/>
      <c r="AA5580" s="9"/>
      <c r="AB5580" s="9"/>
      <c r="AC5580" s="9"/>
      <c r="AD5580" s="9"/>
    </row>
    <row r="5581">
      <c r="A5581" s="16" t="s">
        <v>7855</v>
      </c>
      <c r="B5581" s="22" t="s">
        <v>7298</v>
      </c>
      <c r="C5581" s="18" t="s">
        <v>7865</v>
      </c>
      <c r="D5581" s="18" t="s">
        <v>7783</v>
      </c>
      <c r="E5581" s="18" t="s">
        <v>309</v>
      </c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  <c r="AA5581" s="9"/>
      <c r="AB5581" s="9"/>
      <c r="AC5581" s="9"/>
      <c r="AD5581" s="9"/>
    </row>
    <row r="5582">
      <c r="A5582" s="16"/>
      <c r="B5582" s="22"/>
      <c r="C5582" s="18"/>
      <c r="D5582" s="19"/>
      <c r="E5582" s="18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9"/>
      <c r="AA5582" s="9"/>
      <c r="AB5582" s="9"/>
      <c r="AC5582" s="9"/>
      <c r="AD5582" s="9"/>
    </row>
    <row r="5583">
      <c r="A5583" s="16"/>
      <c r="B5583" s="22"/>
      <c r="C5583" s="18"/>
      <c r="D5583" s="19"/>
      <c r="E5583" s="18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9"/>
      <c r="AA5583" s="9"/>
      <c r="AB5583" s="9"/>
      <c r="AC5583" s="9"/>
      <c r="AD5583" s="9"/>
    </row>
    <row r="5584">
      <c r="A5584" s="16" t="s">
        <v>7866</v>
      </c>
      <c r="B5584" s="19" t="s">
        <v>7867</v>
      </c>
      <c r="C5584" s="18" t="s">
        <v>7868</v>
      </c>
      <c r="D5584" s="19" t="s">
        <v>7869</v>
      </c>
      <c r="E5584" s="18" t="s">
        <v>4493</v>
      </c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  <c r="Z5584" s="9"/>
      <c r="AA5584" s="9"/>
      <c r="AB5584" s="9"/>
      <c r="AC5584" s="9"/>
      <c r="AD5584" s="9"/>
    </row>
    <row r="5585">
      <c r="A5585" s="16" t="s">
        <v>7866</v>
      </c>
      <c r="B5585" s="19" t="s">
        <v>7867</v>
      </c>
      <c r="C5585" s="18" t="s">
        <v>7870</v>
      </c>
      <c r="D5585" s="19" t="s">
        <v>7869</v>
      </c>
      <c r="E5585" s="18" t="s">
        <v>4493</v>
      </c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9"/>
      <c r="V5585" s="9"/>
      <c r="W5585" s="9"/>
      <c r="X5585" s="9"/>
      <c r="Y5585" s="9"/>
      <c r="Z5585" s="9"/>
      <c r="AA5585" s="9"/>
      <c r="AB5585" s="9"/>
      <c r="AC5585" s="9"/>
      <c r="AD5585" s="9"/>
    </row>
    <row r="5586">
      <c r="A5586" s="16" t="s">
        <v>7866</v>
      </c>
      <c r="B5586" s="19" t="s">
        <v>7867</v>
      </c>
      <c r="C5586" s="18" t="s">
        <v>7871</v>
      </c>
      <c r="D5586" s="19" t="s">
        <v>7869</v>
      </c>
      <c r="E5586" s="18" t="s">
        <v>4493</v>
      </c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9"/>
      <c r="X5586" s="9"/>
      <c r="Y5586" s="9"/>
      <c r="Z5586" s="9"/>
      <c r="AA5586" s="9"/>
      <c r="AB5586" s="9"/>
      <c r="AC5586" s="9"/>
      <c r="AD5586" s="9"/>
    </row>
    <row r="5587">
      <c r="A5587" s="16" t="s">
        <v>7866</v>
      </c>
      <c r="B5587" s="19" t="s">
        <v>7867</v>
      </c>
      <c r="C5587" s="18" t="s">
        <v>7872</v>
      </c>
      <c r="D5587" s="19" t="s">
        <v>7869</v>
      </c>
      <c r="E5587" s="18" t="s">
        <v>4493</v>
      </c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9"/>
      <c r="AA5587" s="9"/>
      <c r="AB5587" s="9"/>
      <c r="AC5587" s="9"/>
      <c r="AD5587" s="9"/>
    </row>
    <row r="5588">
      <c r="A5588" s="16" t="s">
        <v>7866</v>
      </c>
      <c r="B5588" s="19" t="s">
        <v>7867</v>
      </c>
      <c r="C5588" s="18" t="s">
        <v>7873</v>
      </c>
      <c r="D5588" s="19" t="s">
        <v>7874</v>
      </c>
      <c r="E5588" s="18" t="s">
        <v>4493</v>
      </c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  <c r="AA5588" s="9"/>
      <c r="AB5588" s="9"/>
      <c r="AC5588" s="9"/>
      <c r="AD5588" s="9"/>
    </row>
    <row r="5589">
      <c r="A5589" s="16" t="s">
        <v>7866</v>
      </c>
      <c r="B5589" s="19" t="s">
        <v>7867</v>
      </c>
      <c r="C5589" s="18" t="s">
        <v>7875</v>
      </c>
      <c r="D5589" s="19" t="s">
        <v>7874</v>
      </c>
      <c r="E5589" s="18" t="s">
        <v>4493</v>
      </c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  <c r="AA5589" s="9"/>
      <c r="AB5589" s="9"/>
      <c r="AC5589" s="9"/>
      <c r="AD5589" s="9"/>
    </row>
    <row r="5590">
      <c r="A5590" s="16" t="s">
        <v>7866</v>
      </c>
      <c r="B5590" s="19" t="s">
        <v>7867</v>
      </c>
      <c r="C5590" s="18" t="s">
        <v>7876</v>
      </c>
      <c r="D5590" s="19" t="s">
        <v>7874</v>
      </c>
      <c r="E5590" s="18" t="s">
        <v>4493</v>
      </c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  <c r="Z5590" s="9"/>
      <c r="AA5590" s="9"/>
      <c r="AB5590" s="9"/>
      <c r="AC5590" s="9"/>
      <c r="AD5590" s="9"/>
    </row>
    <row r="5591">
      <c r="A5591" s="16" t="s">
        <v>7866</v>
      </c>
      <c r="B5591" s="19" t="s">
        <v>7867</v>
      </c>
      <c r="C5591" s="18" t="s">
        <v>7877</v>
      </c>
      <c r="D5591" s="19" t="s">
        <v>7874</v>
      </c>
      <c r="E5591" s="18" t="s">
        <v>4493</v>
      </c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9"/>
      <c r="V5591" s="9"/>
      <c r="W5591" s="9"/>
      <c r="X5591" s="9"/>
      <c r="Y5591" s="9"/>
      <c r="Z5591" s="9"/>
      <c r="AA5591" s="9"/>
      <c r="AB5591" s="9"/>
      <c r="AC5591" s="9"/>
      <c r="AD5591" s="9"/>
    </row>
    <row r="5592">
      <c r="A5592" s="16" t="s">
        <v>7866</v>
      </c>
      <c r="B5592" s="22" t="s">
        <v>7753</v>
      </c>
      <c r="C5592" s="18" t="s">
        <v>7878</v>
      </c>
      <c r="D5592" s="19" t="s">
        <v>7879</v>
      </c>
      <c r="E5592" s="18" t="s">
        <v>4493</v>
      </c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  <c r="Z5592" s="9"/>
      <c r="AA5592" s="9"/>
      <c r="AB5592" s="9"/>
      <c r="AC5592" s="9"/>
      <c r="AD5592" s="9"/>
    </row>
    <row r="5593">
      <c r="A5593" s="16" t="s">
        <v>7866</v>
      </c>
      <c r="B5593" s="22" t="s">
        <v>7753</v>
      </c>
      <c r="C5593" s="18" t="s">
        <v>7878</v>
      </c>
      <c r="D5593" s="19" t="s">
        <v>7880</v>
      </c>
      <c r="E5593" s="18" t="s">
        <v>4493</v>
      </c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9"/>
      <c r="AA5593" s="9"/>
      <c r="AB5593" s="9"/>
      <c r="AC5593" s="9"/>
      <c r="AD5593" s="9"/>
    </row>
    <row r="5594">
      <c r="A5594" s="16" t="s">
        <v>7866</v>
      </c>
      <c r="B5594" s="22" t="s">
        <v>7753</v>
      </c>
      <c r="C5594" s="18" t="s">
        <v>7878</v>
      </c>
      <c r="D5594" s="19" t="s">
        <v>7881</v>
      </c>
      <c r="E5594" s="18" t="s">
        <v>4493</v>
      </c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  <c r="Z5594" s="9"/>
      <c r="AA5594" s="9"/>
      <c r="AB5594" s="9"/>
      <c r="AC5594" s="9"/>
      <c r="AD5594" s="9"/>
    </row>
    <row r="5595">
      <c r="A5595" s="16" t="s">
        <v>7866</v>
      </c>
      <c r="B5595" s="22" t="s">
        <v>7753</v>
      </c>
      <c r="C5595" s="18" t="s">
        <v>21</v>
      </c>
      <c r="D5595" s="19" t="s">
        <v>7882</v>
      </c>
      <c r="E5595" s="18" t="s">
        <v>4493</v>
      </c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9"/>
      <c r="V5595" s="9"/>
      <c r="W5595" s="9"/>
      <c r="X5595" s="9"/>
      <c r="Y5595" s="9"/>
      <c r="Z5595" s="9"/>
      <c r="AA5595" s="9"/>
      <c r="AB5595" s="9"/>
      <c r="AC5595" s="9"/>
      <c r="AD5595" s="9"/>
    </row>
    <row r="5596">
      <c r="A5596" s="16" t="s">
        <v>7866</v>
      </c>
      <c r="B5596" s="22" t="s">
        <v>8</v>
      </c>
      <c r="C5596" s="18" t="s">
        <v>7883</v>
      </c>
      <c r="D5596" s="19" t="s">
        <v>7884</v>
      </c>
      <c r="E5596" s="18" t="s">
        <v>14</v>
      </c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  <c r="Z5596" s="9"/>
      <c r="AA5596" s="9"/>
      <c r="AB5596" s="9"/>
      <c r="AC5596" s="9"/>
      <c r="AD5596" s="9"/>
    </row>
    <row r="5597">
      <c r="A5597" s="16"/>
      <c r="B5597" s="22"/>
      <c r="C5597" s="18"/>
      <c r="D5597" s="19"/>
      <c r="E5597" s="18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9"/>
      <c r="AA5597" s="9"/>
      <c r="AB5597" s="9"/>
      <c r="AC5597" s="9"/>
      <c r="AD5597" s="9"/>
    </row>
    <row r="5598">
      <c r="A5598" s="16"/>
      <c r="B5598" s="22"/>
      <c r="C5598" s="18"/>
      <c r="D5598" s="19"/>
      <c r="E5598" s="18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9"/>
      <c r="AA5598" s="9"/>
      <c r="AB5598" s="9"/>
      <c r="AC5598" s="9"/>
      <c r="AD5598" s="9"/>
    </row>
    <row r="5599">
      <c r="A5599" s="16" t="s">
        <v>7885</v>
      </c>
      <c r="B5599" s="22" t="s">
        <v>7639</v>
      </c>
      <c r="C5599" s="18" t="s">
        <v>7886</v>
      </c>
      <c r="D5599" s="18" t="s">
        <v>7887</v>
      </c>
      <c r="E5599" s="23" t="s">
        <v>7888</v>
      </c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9"/>
      <c r="V5599" s="9"/>
      <c r="W5599" s="9"/>
      <c r="X5599" s="9"/>
      <c r="Y5599" s="9"/>
      <c r="Z5599" s="9"/>
      <c r="AA5599" s="9"/>
      <c r="AB5599" s="9"/>
      <c r="AC5599" s="9"/>
      <c r="AD5599" s="9"/>
    </row>
    <row r="5600">
      <c r="A5600" s="16" t="s">
        <v>7885</v>
      </c>
      <c r="B5600" s="22" t="s">
        <v>7639</v>
      </c>
      <c r="C5600" s="18" t="s">
        <v>7889</v>
      </c>
      <c r="D5600" s="18" t="s">
        <v>7890</v>
      </c>
      <c r="E5600" s="23" t="s">
        <v>7888</v>
      </c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9"/>
      <c r="AA5600" s="9"/>
      <c r="AB5600" s="9"/>
      <c r="AC5600" s="9"/>
      <c r="AD5600" s="9"/>
    </row>
    <row r="5601">
      <c r="A5601" s="16" t="s">
        <v>7885</v>
      </c>
      <c r="B5601" s="22" t="s">
        <v>7891</v>
      </c>
      <c r="C5601" s="18" t="s">
        <v>136</v>
      </c>
      <c r="D5601" s="19" t="s">
        <v>1341</v>
      </c>
      <c r="E5601" s="9" t="s">
        <v>7892</v>
      </c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9"/>
      <c r="AA5601" s="9"/>
      <c r="AB5601" s="9"/>
      <c r="AC5601" s="9"/>
      <c r="AD5601" s="9"/>
    </row>
    <row r="5602">
      <c r="A5602" s="16" t="s">
        <v>7885</v>
      </c>
      <c r="B5602" s="22" t="s">
        <v>7891</v>
      </c>
      <c r="C5602" s="18" t="s">
        <v>7893</v>
      </c>
      <c r="D5602" s="19" t="s">
        <v>7894</v>
      </c>
      <c r="E5602" s="9" t="s">
        <v>7892</v>
      </c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  <c r="Z5602" s="9"/>
      <c r="AA5602" s="9"/>
      <c r="AB5602" s="9"/>
      <c r="AC5602" s="9"/>
      <c r="AD5602" s="9"/>
    </row>
    <row r="5603">
      <c r="A5603" s="16"/>
      <c r="B5603" s="22"/>
      <c r="C5603" s="18"/>
      <c r="D5603" s="19"/>
      <c r="E5603" s="18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  <c r="AA5603" s="9"/>
      <c r="AB5603" s="9"/>
      <c r="AC5603" s="9"/>
      <c r="AD5603" s="9"/>
    </row>
    <row r="5604">
      <c r="A5604" s="16"/>
      <c r="B5604" s="22"/>
      <c r="C5604" s="18"/>
      <c r="D5604" s="19"/>
      <c r="E5604" s="18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9"/>
      <c r="V5604" s="9"/>
      <c r="W5604" s="9"/>
      <c r="X5604" s="9"/>
      <c r="Y5604" s="9"/>
      <c r="Z5604" s="9"/>
      <c r="AA5604" s="9"/>
      <c r="AB5604" s="9"/>
      <c r="AC5604" s="9"/>
      <c r="AD5604" s="9"/>
    </row>
    <row r="5605">
      <c r="A5605" s="16" t="s">
        <v>7895</v>
      </c>
      <c r="B5605" s="22" t="s">
        <v>7818</v>
      </c>
      <c r="C5605" s="18" t="s">
        <v>7823</v>
      </c>
      <c r="D5605" s="19" t="s">
        <v>7896</v>
      </c>
      <c r="E5605" s="18" t="s">
        <v>14</v>
      </c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  <c r="AA5605" s="9"/>
      <c r="AB5605" s="9"/>
      <c r="AC5605" s="9"/>
      <c r="AD5605" s="9"/>
    </row>
    <row r="5606">
      <c r="A5606" s="16" t="s">
        <v>7895</v>
      </c>
      <c r="B5606" s="19" t="s">
        <v>7897</v>
      </c>
      <c r="C5606" s="18" t="s">
        <v>729</v>
      </c>
      <c r="D5606" s="19" t="s">
        <v>7898</v>
      </c>
      <c r="E5606" s="18" t="s">
        <v>7899</v>
      </c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9"/>
      <c r="V5606" s="9"/>
      <c r="W5606" s="9"/>
      <c r="X5606" s="9"/>
      <c r="Y5606" s="9"/>
      <c r="Z5606" s="9"/>
      <c r="AA5606" s="9"/>
      <c r="AB5606" s="9"/>
      <c r="AC5606" s="9"/>
      <c r="AD5606" s="9"/>
    </row>
    <row r="5607">
      <c r="A5607" s="16"/>
      <c r="B5607" s="22"/>
      <c r="C5607" s="18"/>
      <c r="D5607" s="19"/>
      <c r="E5607" s="18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9"/>
      <c r="AB5607" s="9"/>
      <c r="AC5607" s="9"/>
      <c r="AD5607" s="9"/>
    </row>
    <row r="5608">
      <c r="A5608" s="16"/>
      <c r="B5608" s="22"/>
      <c r="C5608" s="18"/>
      <c r="D5608" s="19"/>
      <c r="E5608" s="18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  <c r="AA5608" s="9"/>
      <c r="AB5608" s="9"/>
      <c r="AC5608" s="9"/>
      <c r="AD5608" s="9"/>
    </row>
    <row r="5609">
      <c r="A5609" s="16" t="s">
        <v>7900</v>
      </c>
      <c r="B5609" s="22" t="s">
        <v>7901</v>
      </c>
      <c r="C5609" s="18" t="s">
        <v>5624</v>
      </c>
      <c r="D5609" s="18" t="s">
        <v>7902</v>
      </c>
      <c r="E5609" s="9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  <c r="AA5609" s="9"/>
      <c r="AB5609" s="9"/>
      <c r="AC5609" s="9"/>
      <c r="AD5609" s="9"/>
    </row>
    <row r="5610">
      <c r="A5610" s="16" t="s">
        <v>7900</v>
      </c>
      <c r="B5610" s="22" t="s">
        <v>7903</v>
      </c>
      <c r="C5610" s="18" t="s">
        <v>2500</v>
      </c>
      <c r="D5610" s="19" t="s">
        <v>5168</v>
      </c>
      <c r="E5610" s="18" t="s">
        <v>4624</v>
      </c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  <c r="AA5610" s="9"/>
      <c r="AB5610" s="9"/>
      <c r="AC5610" s="9"/>
      <c r="AD5610" s="9"/>
    </row>
    <row r="5611">
      <c r="A5611" s="16" t="s">
        <v>7900</v>
      </c>
      <c r="B5611" s="22" t="s">
        <v>7903</v>
      </c>
      <c r="C5611" s="18" t="s">
        <v>4448</v>
      </c>
      <c r="D5611" s="19" t="s">
        <v>7904</v>
      </c>
      <c r="E5611" s="18" t="s">
        <v>4624</v>
      </c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  <c r="AA5611" s="9"/>
      <c r="AB5611" s="9"/>
      <c r="AC5611" s="9"/>
      <c r="AD5611" s="9"/>
    </row>
    <row r="5612">
      <c r="A5612" s="16" t="s">
        <v>7900</v>
      </c>
      <c r="B5612" s="22" t="s">
        <v>7903</v>
      </c>
      <c r="C5612" s="18" t="s">
        <v>2500</v>
      </c>
      <c r="D5612" s="19" t="s">
        <v>682</v>
      </c>
      <c r="E5612" s="18" t="s">
        <v>4624</v>
      </c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  <c r="AA5612" s="9"/>
      <c r="AB5612" s="9"/>
      <c r="AC5612" s="9"/>
      <c r="AD5612" s="9"/>
    </row>
    <row r="5613">
      <c r="A5613" s="16" t="s">
        <v>7900</v>
      </c>
      <c r="B5613" s="22" t="s">
        <v>7903</v>
      </c>
      <c r="C5613" s="18" t="s">
        <v>2500</v>
      </c>
      <c r="D5613" s="19" t="s">
        <v>7905</v>
      </c>
      <c r="E5613" s="18" t="s">
        <v>4624</v>
      </c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9"/>
      <c r="V5613" s="9"/>
      <c r="W5613" s="9"/>
      <c r="X5613" s="9"/>
      <c r="Y5613" s="9"/>
      <c r="Z5613" s="9"/>
      <c r="AA5613" s="9"/>
      <c r="AB5613" s="9"/>
      <c r="AC5613" s="9"/>
      <c r="AD5613" s="9"/>
    </row>
    <row r="5614">
      <c r="A5614" s="16" t="s">
        <v>7900</v>
      </c>
      <c r="B5614" s="22" t="s">
        <v>7903</v>
      </c>
      <c r="C5614" s="18" t="s">
        <v>5</v>
      </c>
      <c r="D5614" s="19" t="s">
        <v>7906</v>
      </c>
      <c r="E5614" s="18" t="s">
        <v>4624</v>
      </c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9"/>
      <c r="V5614" s="9"/>
      <c r="W5614" s="9"/>
      <c r="X5614" s="9"/>
      <c r="Y5614" s="9"/>
      <c r="Z5614" s="9"/>
      <c r="AA5614" s="9"/>
      <c r="AB5614" s="9"/>
      <c r="AC5614" s="9"/>
      <c r="AD5614" s="9"/>
    </row>
    <row r="5615">
      <c r="A5615" s="16" t="s">
        <v>7900</v>
      </c>
      <c r="B5615" s="22" t="s">
        <v>7903</v>
      </c>
      <c r="C5615" s="18" t="s">
        <v>7907</v>
      </c>
      <c r="D5615" s="19" t="s">
        <v>7908</v>
      </c>
      <c r="E5615" s="18" t="s">
        <v>4624</v>
      </c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  <c r="AA5615" s="9"/>
      <c r="AB5615" s="9"/>
      <c r="AC5615" s="9"/>
      <c r="AD5615" s="9"/>
    </row>
    <row r="5616">
      <c r="A5616" s="16" t="s">
        <v>7900</v>
      </c>
      <c r="B5616" s="22" t="s">
        <v>7903</v>
      </c>
      <c r="C5616" s="18" t="s">
        <v>7909</v>
      </c>
      <c r="D5616" s="19" t="s">
        <v>7910</v>
      </c>
      <c r="E5616" s="18" t="s">
        <v>4624</v>
      </c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9"/>
      <c r="V5616" s="9"/>
      <c r="W5616" s="9"/>
      <c r="X5616" s="9"/>
      <c r="Y5616" s="9"/>
      <c r="Z5616" s="9"/>
      <c r="AA5616" s="9"/>
      <c r="AB5616" s="9"/>
      <c r="AC5616" s="9"/>
      <c r="AD5616" s="9"/>
    </row>
    <row r="5617">
      <c r="A5617" s="16" t="s">
        <v>7900</v>
      </c>
      <c r="B5617" s="22" t="s">
        <v>7903</v>
      </c>
      <c r="C5617" s="18" t="s">
        <v>7911</v>
      </c>
      <c r="D5617" s="19" t="s">
        <v>7912</v>
      </c>
      <c r="E5617" s="18" t="s">
        <v>4624</v>
      </c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  <c r="AA5617" s="9"/>
      <c r="AB5617" s="9"/>
      <c r="AC5617" s="9"/>
      <c r="AD5617" s="9"/>
    </row>
    <row r="5618">
      <c r="A5618" s="16" t="s">
        <v>7900</v>
      </c>
      <c r="B5618" s="22" t="s">
        <v>7903</v>
      </c>
      <c r="C5618" s="18" t="s">
        <v>4538</v>
      </c>
      <c r="D5618" s="19" t="s">
        <v>611</v>
      </c>
      <c r="E5618" s="18" t="s">
        <v>4624</v>
      </c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  <c r="Z5618" s="9"/>
      <c r="AA5618" s="9"/>
      <c r="AB5618" s="9"/>
      <c r="AC5618" s="9"/>
      <c r="AD5618" s="9"/>
    </row>
    <row r="5619">
      <c r="A5619" s="16" t="s">
        <v>7900</v>
      </c>
      <c r="B5619" s="22" t="s">
        <v>7756</v>
      </c>
      <c r="C5619" s="18" t="s">
        <v>7913</v>
      </c>
      <c r="D5619" s="19" t="s">
        <v>7914</v>
      </c>
      <c r="E5619" s="18" t="s">
        <v>4624</v>
      </c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9"/>
      <c r="V5619" s="9"/>
      <c r="W5619" s="9"/>
      <c r="X5619" s="9"/>
      <c r="Y5619" s="9"/>
      <c r="Z5619" s="9"/>
      <c r="AA5619" s="9"/>
      <c r="AB5619" s="9"/>
      <c r="AC5619" s="9"/>
      <c r="AD5619" s="9"/>
    </row>
    <row r="5620">
      <c r="A5620" s="16" t="s">
        <v>7900</v>
      </c>
      <c r="B5620" s="22" t="s">
        <v>7756</v>
      </c>
      <c r="C5620" s="18" t="s">
        <v>6578</v>
      </c>
      <c r="D5620" s="19" t="s">
        <v>7915</v>
      </c>
      <c r="E5620" s="18" t="s">
        <v>4624</v>
      </c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9"/>
      <c r="V5620" s="9"/>
      <c r="W5620" s="9"/>
      <c r="X5620" s="9"/>
      <c r="Y5620" s="9"/>
      <c r="Z5620" s="9"/>
      <c r="AA5620" s="9"/>
      <c r="AB5620" s="9"/>
      <c r="AC5620" s="9"/>
      <c r="AD5620" s="9"/>
    </row>
    <row r="5621">
      <c r="A5621" s="16" t="s">
        <v>7900</v>
      </c>
      <c r="B5621" s="22" t="s">
        <v>7756</v>
      </c>
      <c r="C5621" s="18" t="s">
        <v>6578</v>
      </c>
      <c r="D5621" s="19" t="s">
        <v>7916</v>
      </c>
      <c r="E5621" s="18" t="s">
        <v>4624</v>
      </c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9"/>
      <c r="X5621" s="9"/>
      <c r="Y5621" s="9"/>
      <c r="Z5621" s="9"/>
      <c r="AA5621" s="9"/>
      <c r="AB5621" s="9"/>
      <c r="AC5621" s="9"/>
      <c r="AD5621" s="9"/>
    </row>
    <row r="5622">
      <c r="A5622" s="16"/>
      <c r="B5622" s="22"/>
      <c r="C5622" s="18"/>
      <c r="D5622" s="19"/>
      <c r="E5622" s="18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9"/>
      <c r="V5622" s="9"/>
      <c r="W5622" s="9"/>
      <c r="X5622" s="9"/>
      <c r="Y5622" s="9"/>
      <c r="Z5622" s="9"/>
      <c r="AA5622" s="9"/>
      <c r="AB5622" s="9"/>
      <c r="AC5622" s="9"/>
      <c r="AD5622" s="9"/>
    </row>
    <row r="5623">
      <c r="A5623" s="16"/>
      <c r="B5623" s="22"/>
      <c r="C5623" s="18"/>
      <c r="D5623" s="19"/>
      <c r="E5623" s="18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  <c r="AA5623" s="9"/>
      <c r="AB5623" s="9"/>
      <c r="AC5623" s="9"/>
      <c r="AD5623" s="9"/>
    </row>
    <row r="5624">
      <c r="A5624" s="16" t="s">
        <v>7917</v>
      </c>
      <c r="B5624" s="22" t="s">
        <v>7918</v>
      </c>
      <c r="C5624" s="18" t="s">
        <v>7216</v>
      </c>
      <c r="D5624" s="18" t="s">
        <v>7919</v>
      </c>
      <c r="E5624" s="18" t="s">
        <v>7920</v>
      </c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9"/>
      <c r="V5624" s="9"/>
      <c r="W5624" s="9"/>
      <c r="X5624" s="9"/>
      <c r="Y5624" s="9"/>
      <c r="Z5624" s="9"/>
      <c r="AA5624" s="9"/>
      <c r="AB5624" s="9"/>
      <c r="AC5624" s="9"/>
      <c r="AD5624" s="9"/>
    </row>
    <row r="5625">
      <c r="A5625" s="16" t="s">
        <v>7917</v>
      </c>
      <c r="B5625" s="22" t="s">
        <v>7918</v>
      </c>
      <c r="C5625" s="18" t="s">
        <v>7216</v>
      </c>
      <c r="D5625" s="18" t="s">
        <v>7921</v>
      </c>
      <c r="E5625" s="18" t="s">
        <v>7920</v>
      </c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  <c r="AA5625" s="9"/>
      <c r="AB5625" s="9"/>
      <c r="AC5625" s="9"/>
      <c r="AD5625" s="9"/>
    </row>
    <row r="5626">
      <c r="A5626" s="16" t="s">
        <v>7917</v>
      </c>
      <c r="B5626" s="22" t="s">
        <v>7918</v>
      </c>
      <c r="C5626" s="18" t="s">
        <v>7216</v>
      </c>
      <c r="D5626" s="18" t="s">
        <v>3508</v>
      </c>
      <c r="E5626" s="18" t="s">
        <v>7920</v>
      </c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9"/>
      <c r="V5626" s="9"/>
      <c r="W5626" s="9"/>
      <c r="X5626" s="9"/>
      <c r="Y5626" s="9"/>
      <c r="Z5626" s="9"/>
      <c r="AA5626" s="9"/>
      <c r="AB5626" s="9"/>
      <c r="AC5626" s="9"/>
      <c r="AD5626" s="9"/>
    </row>
    <row r="5627">
      <c r="A5627" s="16" t="s">
        <v>7917</v>
      </c>
      <c r="B5627" s="22" t="s">
        <v>7918</v>
      </c>
      <c r="C5627" s="18" t="s">
        <v>7216</v>
      </c>
      <c r="D5627" s="18" t="s">
        <v>7922</v>
      </c>
      <c r="E5627" s="18" t="s">
        <v>7920</v>
      </c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  <c r="AA5627" s="9"/>
      <c r="AB5627" s="9"/>
      <c r="AC5627" s="9"/>
      <c r="AD5627" s="9"/>
    </row>
    <row r="5628">
      <c r="A5628" s="16" t="s">
        <v>7917</v>
      </c>
      <c r="B5628" s="22" t="s">
        <v>7918</v>
      </c>
      <c r="C5628" s="18" t="s">
        <v>7216</v>
      </c>
      <c r="D5628" s="18" t="s">
        <v>7923</v>
      </c>
      <c r="E5628" s="18" t="s">
        <v>7920</v>
      </c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9"/>
      <c r="V5628" s="9"/>
      <c r="W5628" s="9"/>
      <c r="X5628" s="9"/>
      <c r="Y5628" s="9"/>
      <c r="Z5628" s="9"/>
      <c r="AA5628" s="9"/>
      <c r="AB5628" s="9"/>
      <c r="AC5628" s="9"/>
      <c r="AD5628" s="9"/>
    </row>
    <row r="5629">
      <c r="A5629" s="16" t="s">
        <v>7917</v>
      </c>
      <c r="B5629" s="22" t="s">
        <v>7918</v>
      </c>
      <c r="C5629" s="18" t="s">
        <v>7216</v>
      </c>
      <c r="D5629" s="18" t="s">
        <v>7924</v>
      </c>
      <c r="E5629" s="18" t="s">
        <v>7920</v>
      </c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  <c r="AA5629" s="9"/>
      <c r="AB5629" s="9"/>
      <c r="AC5629" s="9"/>
      <c r="AD5629" s="9"/>
    </row>
    <row r="5630">
      <c r="A5630" s="16" t="s">
        <v>7917</v>
      </c>
      <c r="B5630" s="22" t="s">
        <v>7901</v>
      </c>
      <c r="C5630" s="18" t="s">
        <v>5250</v>
      </c>
      <c r="D5630" s="18" t="s">
        <v>7925</v>
      </c>
      <c r="E5630" s="18" t="s">
        <v>7892</v>
      </c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  <c r="AA5630" s="9"/>
      <c r="AB5630" s="9"/>
      <c r="AC5630" s="9"/>
      <c r="AD5630" s="9"/>
    </row>
    <row r="5631">
      <c r="A5631" s="16" t="s">
        <v>7917</v>
      </c>
      <c r="B5631" s="22" t="s">
        <v>6834</v>
      </c>
      <c r="C5631" s="18" t="s">
        <v>7926</v>
      </c>
      <c r="D5631" s="18" t="s">
        <v>7874</v>
      </c>
      <c r="E5631" s="20" t="s">
        <v>7</v>
      </c>
      <c r="F5631" s="9"/>
      <c r="G5631" s="9"/>
      <c r="H5631" s="9"/>
      <c r="I5631" s="9"/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  <c r="AA5631" s="9"/>
      <c r="AB5631" s="9"/>
      <c r="AC5631" s="9"/>
      <c r="AD5631" s="9"/>
    </row>
    <row r="5632">
      <c r="A5632" s="16" t="s">
        <v>7917</v>
      </c>
      <c r="B5632" s="22" t="s">
        <v>6834</v>
      </c>
      <c r="C5632" s="18" t="s">
        <v>7873</v>
      </c>
      <c r="D5632" s="18" t="s">
        <v>7927</v>
      </c>
      <c r="E5632" s="20" t="s">
        <v>7</v>
      </c>
      <c r="F5632" s="9"/>
      <c r="G5632" s="9"/>
      <c r="H5632" s="9"/>
      <c r="I5632" s="9"/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9"/>
      <c r="V5632" s="9"/>
      <c r="W5632" s="9"/>
      <c r="X5632" s="9"/>
      <c r="Y5632" s="9"/>
      <c r="Z5632" s="9"/>
      <c r="AA5632" s="9"/>
      <c r="AB5632" s="9"/>
      <c r="AC5632" s="9"/>
      <c r="AD5632" s="9"/>
    </row>
    <row r="5633">
      <c r="A5633" s="16" t="s">
        <v>7917</v>
      </c>
      <c r="B5633" s="22" t="s">
        <v>6834</v>
      </c>
      <c r="C5633" s="18" t="s">
        <v>7928</v>
      </c>
      <c r="D5633" s="18" t="s">
        <v>7927</v>
      </c>
      <c r="E5633" s="20" t="s">
        <v>7</v>
      </c>
      <c r="F5633" s="9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9"/>
      <c r="AD5633" s="9"/>
    </row>
    <row r="5634">
      <c r="A5634" s="16" t="s">
        <v>7917</v>
      </c>
      <c r="B5634" s="22" t="s">
        <v>6834</v>
      </c>
      <c r="C5634" s="18" t="s">
        <v>7929</v>
      </c>
      <c r="D5634" s="18" t="s">
        <v>7927</v>
      </c>
      <c r="E5634" s="20" t="s">
        <v>7</v>
      </c>
      <c r="F5634" s="9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9"/>
      <c r="V5634" s="9"/>
      <c r="W5634" s="9"/>
      <c r="X5634" s="9"/>
      <c r="Y5634" s="9"/>
      <c r="Z5634" s="9"/>
      <c r="AA5634" s="9"/>
      <c r="AB5634" s="9"/>
      <c r="AC5634" s="9"/>
      <c r="AD5634" s="9"/>
    </row>
    <row r="5635">
      <c r="A5635" s="16" t="s">
        <v>7917</v>
      </c>
      <c r="B5635" s="22" t="s">
        <v>7552</v>
      </c>
      <c r="C5635" s="18" t="s">
        <v>6384</v>
      </c>
      <c r="D5635" s="18" t="s">
        <v>7930</v>
      </c>
      <c r="E5635" s="18" t="s">
        <v>7892</v>
      </c>
      <c r="F5635" s="9"/>
      <c r="G5635" s="9"/>
      <c r="H5635" s="9"/>
      <c r="I5635" s="9"/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  <c r="AA5635" s="9"/>
      <c r="AB5635" s="9"/>
      <c r="AC5635" s="9"/>
      <c r="AD5635" s="9"/>
    </row>
    <row r="5636">
      <c r="A5636" s="16" t="s">
        <v>7917</v>
      </c>
      <c r="B5636" s="22" t="s">
        <v>7552</v>
      </c>
      <c r="C5636" s="18" t="s">
        <v>7931</v>
      </c>
      <c r="D5636" s="18" t="s">
        <v>7932</v>
      </c>
      <c r="E5636" s="18" t="s">
        <v>7892</v>
      </c>
      <c r="F5636" s="9"/>
      <c r="G5636" s="9"/>
      <c r="H5636" s="9"/>
      <c r="I5636" s="9"/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9"/>
      <c r="V5636" s="9"/>
      <c r="W5636" s="9"/>
      <c r="X5636" s="9"/>
      <c r="Y5636" s="9"/>
      <c r="Z5636" s="9"/>
      <c r="AA5636" s="9"/>
      <c r="AB5636" s="9"/>
      <c r="AC5636" s="9"/>
      <c r="AD5636" s="9"/>
    </row>
    <row r="5637">
      <c r="A5637" s="16" t="s">
        <v>7917</v>
      </c>
      <c r="B5637" s="22" t="s">
        <v>7933</v>
      </c>
      <c r="C5637" s="18" t="s">
        <v>7934</v>
      </c>
      <c r="D5637" s="18" t="s">
        <v>7935</v>
      </c>
      <c r="E5637" s="18" t="s">
        <v>14</v>
      </c>
      <c r="F5637" s="9"/>
      <c r="G5637" s="9"/>
      <c r="H5637" s="9"/>
      <c r="I5637" s="9"/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  <c r="AA5637" s="9"/>
      <c r="AB5637" s="9"/>
      <c r="AC5637" s="9"/>
      <c r="AD5637" s="9"/>
    </row>
    <row r="5638">
      <c r="A5638" s="16"/>
      <c r="B5638" s="22"/>
      <c r="C5638" s="18"/>
      <c r="D5638" s="19"/>
      <c r="E5638" s="18"/>
      <c r="F5638" s="9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  <c r="AA5638" s="9"/>
      <c r="AB5638" s="9"/>
      <c r="AC5638" s="9"/>
      <c r="AD5638" s="9"/>
    </row>
    <row r="5639">
      <c r="A5639" s="16"/>
      <c r="B5639" s="22"/>
      <c r="C5639" s="18"/>
      <c r="D5639" s="19"/>
      <c r="E5639" s="18"/>
      <c r="F5639" s="9"/>
      <c r="G5639" s="9"/>
      <c r="H5639" s="9"/>
      <c r="I5639" s="9"/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  <c r="AA5639" s="9"/>
      <c r="AB5639" s="9"/>
      <c r="AC5639" s="9"/>
      <c r="AD5639" s="9"/>
    </row>
    <row r="5640">
      <c r="A5640" s="16"/>
      <c r="B5640" s="22"/>
      <c r="C5640" s="18"/>
      <c r="D5640" s="19"/>
      <c r="E5640" s="18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9"/>
      <c r="X5640" s="9"/>
      <c r="Y5640" s="9"/>
      <c r="Z5640" s="9"/>
      <c r="AA5640" s="9"/>
      <c r="AB5640" s="9"/>
      <c r="AC5640" s="9"/>
      <c r="AD5640" s="9"/>
    </row>
    <row r="5641">
      <c r="A5641" s="16"/>
      <c r="B5641" s="22"/>
      <c r="C5641" s="18"/>
      <c r="D5641" s="19"/>
      <c r="E5641" s="18"/>
      <c r="F5641" s="9"/>
      <c r="G5641" s="9"/>
      <c r="H5641" s="9"/>
      <c r="I5641" s="9"/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9"/>
      <c r="V5641" s="9"/>
      <c r="W5641" s="9"/>
      <c r="X5641" s="9"/>
      <c r="Y5641" s="9"/>
      <c r="Z5641" s="9"/>
      <c r="AA5641" s="9"/>
      <c r="AB5641" s="9"/>
      <c r="AC5641" s="9"/>
      <c r="AD5641" s="9"/>
    </row>
    <row r="5642">
      <c r="A5642" s="16"/>
      <c r="B5642" s="22"/>
      <c r="C5642" s="18"/>
      <c r="D5642" s="19"/>
      <c r="E5642" s="18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  <c r="AA5642" s="9"/>
      <c r="AB5642" s="9"/>
      <c r="AC5642" s="9"/>
      <c r="AD5642" s="9"/>
    </row>
    <row r="5643">
      <c r="A5643" s="16"/>
      <c r="B5643" s="22"/>
      <c r="C5643" s="18"/>
      <c r="D5643" s="19"/>
      <c r="E5643" s="18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  <c r="AA5643" s="9"/>
      <c r="AB5643" s="9"/>
      <c r="AC5643" s="9"/>
      <c r="AD5643" s="9"/>
    </row>
    <row r="5644">
      <c r="A5644" s="16"/>
      <c r="B5644" s="22"/>
      <c r="C5644" s="18"/>
      <c r="D5644" s="19"/>
      <c r="E5644" s="18"/>
      <c r="F5644" s="9"/>
      <c r="G5644" s="9"/>
      <c r="H5644" s="9"/>
      <c r="I5644" s="9"/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9"/>
      <c r="V5644" s="9"/>
      <c r="W5644" s="9"/>
      <c r="X5644" s="9"/>
      <c r="Y5644" s="9"/>
      <c r="Z5644" s="9"/>
      <c r="AA5644" s="9"/>
      <c r="AB5644" s="9"/>
      <c r="AC5644" s="9"/>
      <c r="AD5644" s="9"/>
    </row>
    <row r="5645">
      <c r="A5645" s="16"/>
      <c r="B5645" s="22"/>
      <c r="C5645" s="18"/>
      <c r="D5645" s="19"/>
      <c r="E5645" s="18"/>
      <c r="F5645" s="9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  <c r="AA5645" s="9"/>
      <c r="AB5645" s="9"/>
      <c r="AC5645" s="9"/>
      <c r="AD5645" s="9"/>
    </row>
    <row r="5646">
      <c r="A5646" s="16"/>
      <c r="B5646" s="22"/>
      <c r="C5646" s="18"/>
      <c r="D5646" s="19"/>
      <c r="E5646" s="18"/>
      <c r="F5646" s="9"/>
      <c r="G5646" s="9"/>
      <c r="H5646" s="9"/>
      <c r="I5646" s="9"/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9"/>
      <c r="V5646" s="9"/>
      <c r="W5646" s="9"/>
      <c r="X5646" s="9"/>
      <c r="Y5646" s="9"/>
      <c r="Z5646" s="9"/>
      <c r="AA5646" s="9"/>
      <c r="AB5646" s="9"/>
      <c r="AC5646" s="9"/>
      <c r="AD5646" s="9"/>
    </row>
    <row r="5647">
      <c r="A5647" s="16"/>
      <c r="B5647" s="22"/>
      <c r="C5647" s="18"/>
      <c r="D5647" s="19"/>
      <c r="E5647" s="18"/>
      <c r="F5647" s="9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  <c r="AA5647" s="9"/>
      <c r="AB5647" s="9"/>
      <c r="AC5647" s="9"/>
      <c r="AD5647" s="9"/>
    </row>
    <row r="5648">
      <c r="A5648" s="16"/>
      <c r="B5648" s="22"/>
      <c r="C5648" s="18"/>
      <c r="D5648" s="19"/>
      <c r="E5648" s="18"/>
      <c r="F5648" s="9"/>
      <c r="G5648" s="9"/>
      <c r="H5648" s="9"/>
      <c r="I5648" s="9"/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9"/>
      <c r="V5648" s="9"/>
      <c r="W5648" s="9"/>
      <c r="X5648" s="9"/>
      <c r="Y5648" s="9"/>
      <c r="Z5648" s="9"/>
      <c r="AA5648" s="9"/>
      <c r="AB5648" s="9"/>
      <c r="AC5648" s="9"/>
      <c r="AD5648" s="9"/>
    </row>
    <row r="5649">
      <c r="A5649" s="16"/>
      <c r="B5649" s="22"/>
      <c r="C5649" s="18"/>
      <c r="D5649" s="19"/>
      <c r="E5649" s="18"/>
      <c r="F5649" s="9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  <c r="W5649" s="9"/>
      <c r="X5649" s="9"/>
      <c r="Y5649" s="9"/>
      <c r="Z5649" s="9"/>
      <c r="AA5649" s="9"/>
      <c r="AB5649" s="9"/>
      <c r="AC5649" s="9"/>
      <c r="AD5649" s="9"/>
    </row>
    <row r="5650">
      <c r="A5650" s="16"/>
      <c r="B5650" s="22"/>
      <c r="C5650" s="18"/>
      <c r="D5650" s="19"/>
      <c r="E5650" s="18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9"/>
      <c r="V5650" s="9"/>
      <c r="W5650" s="9"/>
      <c r="X5650" s="9"/>
      <c r="Y5650" s="9"/>
      <c r="Z5650" s="9"/>
      <c r="AA5650" s="9"/>
      <c r="AB5650" s="9"/>
      <c r="AC5650" s="9"/>
      <c r="AD5650" s="9"/>
    </row>
    <row r="5651">
      <c r="A5651" s="16"/>
      <c r="B5651" s="22"/>
      <c r="C5651" s="18"/>
      <c r="D5651" s="19"/>
      <c r="E5651" s="18"/>
      <c r="F5651" s="9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  <c r="AA5651" s="9"/>
      <c r="AB5651" s="9"/>
      <c r="AC5651" s="9"/>
      <c r="AD5651" s="9"/>
    </row>
    <row r="5652">
      <c r="A5652" s="16"/>
      <c r="B5652" s="22"/>
      <c r="C5652" s="18"/>
      <c r="D5652" s="19"/>
      <c r="E5652" s="18"/>
      <c r="F5652" s="9"/>
      <c r="G5652" s="9"/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/>
      <c r="U5652" s="9"/>
      <c r="V5652" s="9"/>
      <c r="W5652" s="9"/>
      <c r="X5652" s="9"/>
      <c r="Y5652" s="9"/>
      <c r="Z5652" s="9"/>
      <c r="AA5652" s="9"/>
      <c r="AB5652" s="9"/>
      <c r="AC5652" s="9"/>
      <c r="AD5652" s="9"/>
    </row>
    <row r="5653">
      <c r="A5653" s="16"/>
      <c r="B5653" s="22"/>
      <c r="C5653" s="18"/>
      <c r="D5653" s="19"/>
      <c r="E5653" s="18"/>
      <c r="F5653" s="9"/>
      <c r="G5653" s="9"/>
      <c r="H5653" s="9"/>
      <c r="I5653" s="9"/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9"/>
      <c r="V5653" s="9"/>
      <c r="W5653" s="9"/>
      <c r="X5653" s="9"/>
      <c r="Y5653" s="9"/>
      <c r="Z5653" s="9"/>
      <c r="AA5653" s="9"/>
      <c r="AB5653" s="9"/>
      <c r="AC5653" s="9"/>
      <c r="AD5653" s="9"/>
    </row>
    <row r="5654">
      <c r="A5654" s="16"/>
      <c r="B5654" s="22"/>
      <c r="C5654" s="18"/>
      <c r="D5654" s="19"/>
      <c r="E5654" s="18"/>
      <c r="F5654" s="9"/>
      <c r="G5654" s="9"/>
      <c r="H5654" s="9"/>
      <c r="I5654" s="9"/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9"/>
      <c r="V5654" s="9"/>
      <c r="W5654" s="9"/>
      <c r="X5654" s="9"/>
      <c r="Y5654" s="9"/>
      <c r="Z5654" s="9"/>
      <c r="AA5654" s="9"/>
      <c r="AB5654" s="9"/>
      <c r="AC5654" s="9"/>
      <c r="AD5654" s="9"/>
    </row>
    <row r="5655">
      <c r="A5655" s="16"/>
      <c r="B5655" s="22"/>
      <c r="C5655" s="18"/>
      <c r="D5655" s="19"/>
      <c r="E5655" s="18"/>
      <c r="F5655" s="9"/>
      <c r="G5655" s="9"/>
      <c r="H5655" s="9"/>
      <c r="I5655" s="9"/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9"/>
      <c r="V5655" s="9"/>
      <c r="W5655" s="9"/>
      <c r="X5655" s="9"/>
      <c r="Y5655" s="9"/>
      <c r="Z5655" s="9"/>
      <c r="AA5655" s="9"/>
      <c r="AB5655" s="9"/>
      <c r="AC5655" s="9"/>
      <c r="AD5655" s="9"/>
    </row>
    <row r="5656">
      <c r="A5656" s="16"/>
      <c r="B5656" s="22"/>
      <c r="C5656" s="18"/>
      <c r="D5656" s="19"/>
      <c r="E5656" s="18"/>
      <c r="F5656" s="9"/>
      <c r="G5656" s="9"/>
      <c r="H5656" s="9"/>
      <c r="I5656" s="9"/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  <c r="AA5656" s="9"/>
      <c r="AB5656" s="9"/>
      <c r="AC5656" s="9"/>
      <c r="AD5656" s="9"/>
    </row>
    <row r="5657">
      <c r="A5657" s="16"/>
      <c r="B5657" s="22"/>
      <c r="C5657" s="18"/>
      <c r="D5657" s="19"/>
      <c r="E5657" s="18"/>
      <c r="F5657" s="9"/>
      <c r="G5657" s="9"/>
      <c r="H5657" s="9"/>
      <c r="I5657" s="9"/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  <c r="AA5657" s="9"/>
      <c r="AB5657" s="9"/>
      <c r="AC5657" s="9"/>
      <c r="AD5657" s="9"/>
    </row>
    <row r="5658">
      <c r="A5658" s="16"/>
      <c r="B5658" s="22"/>
      <c r="C5658" s="18"/>
      <c r="D5658" s="19"/>
      <c r="E5658" s="18"/>
      <c r="F5658" s="9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  <c r="Z5658" s="9"/>
      <c r="AA5658" s="9"/>
      <c r="AB5658" s="9"/>
      <c r="AC5658" s="9"/>
      <c r="AD5658" s="9"/>
    </row>
    <row r="5659">
      <c r="A5659" s="16"/>
      <c r="B5659" s="22"/>
      <c r="C5659" s="18"/>
      <c r="D5659" s="19"/>
      <c r="E5659" s="18"/>
      <c r="F5659" s="9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  <c r="AA5659" s="9"/>
      <c r="AB5659" s="9"/>
      <c r="AC5659" s="9"/>
      <c r="AD5659" s="9"/>
    </row>
    <row r="5660">
      <c r="A5660" s="16"/>
      <c r="B5660" s="22"/>
      <c r="C5660" s="18"/>
      <c r="D5660" s="19"/>
      <c r="E5660" s="18"/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9"/>
      <c r="AC5660" s="9"/>
      <c r="AD5660" s="9"/>
    </row>
    <row r="5661">
      <c r="A5661" s="16"/>
      <c r="B5661" s="22"/>
      <c r="C5661" s="18"/>
      <c r="D5661" s="19"/>
      <c r="E5661" s="18"/>
      <c r="F5661" s="9"/>
      <c r="G5661" s="9"/>
      <c r="H5661" s="9"/>
      <c r="I5661" s="9"/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9"/>
      <c r="AD5661" s="9"/>
    </row>
    <row r="5662">
      <c r="A5662" s="16"/>
      <c r="B5662" s="22"/>
      <c r="C5662" s="18"/>
      <c r="D5662" s="19"/>
      <c r="E5662" s="18"/>
      <c r="F5662" s="9"/>
      <c r="G5662" s="9"/>
      <c r="H5662" s="9"/>
      <c r="I5662" s="9"/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  <c r="AB5662" s="9"/>
      <c r="AC5662" s="9"/>
      <c r="AD5662" s="9"/>
    </row>
    <row r="5663">
      <c r="A5663" s="16"/>
      <c r="B5663" s="22"/>
      <c r="C5663" s="18"/>
      <c r="D5663" s="19"/>
      <c r="E5663" s="18"/>
      <c r="F5663" s="9"/>
      <c r="G5663" s="9"/>
      <c r="H5663" s="9"/>
      <c r="I5663" s="9"/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9"/>
      <c r="AC5663" s="9"/>
      <c r="AD5663" s="9"/>
    </row>
    <row r="5664">
      <c r="A5664" s="16"/>
      <c r="B5664" s="22"/>
      <c r="C5664" s="18"/>
      <c r="D5664" s="19"/>
      <c r="E5664" s="18"/>
      <c r="F5664" s="9"/>
      <c r="G5664" s="9"/>
      <c r="H5664" s="9"/>
      <c r="I5664" s="9"/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9"/>
      <c r="AC5664" s="9"/>
      <c r="AD5664" s="9"/>
    </row>
    <row r="5665">
      <c r="A5665" s="16"/>
      <c r="B5665" s="22"/>
      <c r="C5665" s="18"/>
      <c r="D5665" s="19"/>
      <c r="E5665" s="18"/>
      <c r="F5665" s="9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9"/>
      <c r="AD5665" s="9"/>
    </row>
    <row r="5666">
      <c r="A5666" s="16"/>
      <c r="B5666" s="22"/>
      <c r="C5666" s="18"/>
      <c r="D5666" s="19"/>
      <c r="E5666" s="18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  <c r="AA5666" s="9"/>
      <c r="AB5666" s="9"/>
      <c r="AC5666" s="9"/>
      <c r="AD5666" s="9"/>
    </row>
    <row r="5667">
      <c r="A5667" s="16"/>
      <c r="B5667" s="22"/>
      <c r="C5667" s="18"/>
      <c r="D5667" s="19"/>
      <c r="E5667" s="18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9"/>
      <c r="AD5667" s="9"/>
    </row>
    <row r="5668">
      <c r="A5668" s="16"/>
      <c r="B5668" s="22"/>
      <c r="C5668" s="18"/>
      <c r="D5668" s="19"/>
      <c r="E5668" s="18"/>
      <c r="F5668" s="9"/>
      <c r="G5668" s="9"/>
      <c r="H5668" s="9"/>
      <c r="I5668" s="9"/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  <c r="AA5668" s="9"/>
      <c r="AB5668" s="9"/>
      <c r="AC5668" s="9"/>
      <c r="AD5668" s="9"/>
    </row>
    <row r="5669">
      <c r="A5669" s="16"/>
      <c r="B5669" s="22"/>
      <c r="C5669" s="18"/>
      <c r="D5669" s="19"/>
      <c r="E5669" s="18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</row>
    <row r="5670">
      <c r="A5670" s="16"/>
      <c r="B5670" s="22"/>
      <c r="C5670" s="18"/>
      <c r="D5670" s="19"/>
      <c r="E5670" s="18"/>
      <c r="F5670" s="9"/>
      <c r="G5670" s="9"/>
      <c r="H5670" s="9"/>
      <c r="I5670" s="9"/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9"/>
      <c r="V5670" s="9"/>
      <c r="W5670" s="9"/>
      <c r="X5670" s="9"/>
      <c r="Y5670" s="9"/>
      <c r="Z5670" s="9"/>
      <c r="AA5670" s="9"/>
      <c r="AB5670" s="9"/>
      <c r="AC5670" s="9"/>
      <c r="AD5670" s="9"/>
    </row>
    <row r="5671">
      <c r="A5671" s="16"/>
      <c r="B5671" s="22"/>
      <c r="C5671" s="18"/>
      <c r="D5671" s="19"/>
      <c r="E5671" s="18"/>
      <c r="F5671" s="9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  <c r="AA5671" s="9"/>
      <c r="AB5671" s="9"/>
      <c r="AC5671" s="9"/>
      <c r="AD5671" s="9"/>
    </row>
    <row r="5672">
      <c r="A5672" s="16"/>
      <c r="B5672" s="22"/>
      <c r="C5672" s="18"/>
      <c r="D5672" s="19"/>
      <c r="E5672" s="18"/>
      <c r="F5672" s="9"/>
      <c r="G5672" s="9"/>
      <c r="H5672" s="9"/>
      <c r="I5672" s="9"/>
      <c r="J5672" s="9"/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9"/>
      <c r="V5672" s="9"/>
      <c r="W5672" s="9"/>
      <c r="X5672" s="9"/>
      <c r="Y5672" s="9"/>
      <c r="Z5672" s="9"/>
      <c r="AA5672" s="9"/>
      <c r="AB5672" s="9"/>
      <c r="AC5672" s="9"/>
      <c r="AD5672" s="9"/>
    </row>
    <row r="5673">
      <c r="A5673" s="16"/>
      <c r="B5673" s="22"/>
      <c r="C5673" s="18"/>
      <c r="D5673" s="19"/>
      <c r="E5673" s="18"/>
      <c r="F5673" s="9"/>
      <c r="G5673" s="9"/>
      <c r="H5673" s="9"/>
      <c r="I5673" s="9"/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  <c r="AA5673" s="9"/>
      <c r="AB5673" s="9"/>
      <c r="AC5673" s="9"/>
      <c r="AD5673" s="9"/>
    </row>
    <row r="5674">
      <c r="A5674" s="16"/>
      <c r="B5674" s="22"/>
      <c r="C5674" s="18"/>
      <c r="D5674" s="19"/>
      <c r="E5674" s="18"/>
      <c r="F5674" s="9"/>
      <c r="G5674" s="9"/>
      <c r="H5674" s="9"/>
      <c r="I5674" s="9"/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9"/>
      <c r="V5674" s="9"/>
      <c r="W5674" s="9"/>
      <c r="X5674" s="9"/>
      <c r="Y5674" s="9"/>
      <c r="Z5674" s="9"/>
      <c r="AA5674" s="9"/>
      <c r="AB5674" s="9"/>
      <c r="AC5674" s="9"/>
      <c r="AD5674" s="9"/>
    </row>
    <row r="5675">
      <c r="A5675" s="16"/>
      <c r="B5675" s="22"/>
      <c r="C5675" s="18"/>
      <c r="D5675" s="19"/>
      <c r="E5675" s="18"/>
      <c r="F5675" s="9"/>
      <c r="G5675" s="9"/>
      <c r="H5675" s="9"/>
      <c r="I5675" s="9"/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  <c r="AA5675" s="9"/>
      <c r="AB5675" s="9"/>
      <c r="AC5675" s="9"/>
      <c r="AD5675" s="9"/>
    </row>
    <row r="5676">
      <c r="A5676" s="16"/>
      <c r="B5676" s="22"/>
      <c r="C5676" s="18"/>
      <c r="D5676" s="19"/>
      <c r="E5676" s="18"/>
      <c r="F5676" s="9"/>
      <c r="G5676" s="9"/>
      <c r="H5676" s="9"/>
      <c r="I5676" s="9"/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  <c r="AA5676" s="9"/>
      <c r="AB5676" s="9"/>
      <c r="AC5676" s="9"/>
      <c r="AD5676" s="9"/>
    </row>
    <row r="5677">
      <c r="A5677" s="16"/>
      <c r="B5677" s="22"/>
      <c r="C5677" s="18"/>
      <c r="D5677" s="19"/>
      <c r="E5677" s="18"/>
      <c r="F5677" s="9"/>
      <c r="G5677" s="9"/>
      <c r="H5677" s="9"/>
      <c r="I5677" s="9"/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9"/>
      <c r="V5677" s="9"/>
      <c r="W5677" s="9"/>
      <c r="X5677" s="9"/>
      <c r="Y5677" s="9"/>
      <c r="Z5677" s="9"/>
      <c r="AA5677" s="9"/>
      <c r="AB5677" s="9"/>
      <c r="AC5677" s="9"/>
      <c r="AD5677" s="9"/>
    </row>
    <row r="5678">
      <c r="A5678" s="16"/>
      <c r="B5678" s="22"/>
      <c r="C5678" s="18"/>
      <c r="D5678" s="19"/>
      <c r="E5678" s="18"/>
      <c r="F5678" s="9"/>
      <c r="G5678" s="9"/>
      <c r="H5678" s="9"/>
      <c r="I5678" s="9"/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  <c r="AA5678" s="9"/>
      <c r="AB5678" s="9"/>
      <c r="AC5678" s="9"/>
      <c r="AD5678" s="9"/>
    </row>
    <row r="5679">
      <c r="A5679" s="16"/>
      <c r="B5679" s="22"/>
      <c r="C5679" s="18"/>
      <c r="D5679" s="19"/>
      <c r="E5679" s="18"/>
      <c r="F5679" s="9"/>
      <c r="G5679" s="9"/>
      <c r="H5679" s="9"/>
      <c r="I5679" s="9"/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  <c r="AB5679" s="9"/>
      <c r="AC5679" s="9"/>
      <c r="AD5679" s="9"/>
    </row>
    <row r="5680">
      <c r="A5680" s="16"/>
      <c r="B5680" s="22"/>
      <c r="C5680" s="18"/>
      <c r="D5680" s="19"/>
      <c r="E5680" s="18"/>
      <c r="F5680" s="9"/>
      <c r="G5680" s="9"/>
      <c r="H5680" s="9"/>
      <c r="I5680" s="9"/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  <c r="AB5680" s="9"/>
      <c r="AC5680" s="9"/>
      <c r="AD5680" s="9"/>
    </row>
    <row r="5681">
      <c r="A5681" s="16"/>
      <c r="B5681" s="22"/>
      <c r="C5681" s="18"/>
      <c r="D5681" s="19"/>
      <c r="E5681" s="18"/>
      <c r="F5681" s="9"/>
      <c r="G5681" s="9"/>
      <c r="H5681" s="9"/>
      <c r="I5681" s="9"/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  <c r="AA5681" s="9"/>
      <c r="AB5681" s="9"/>
      <c r="AC5681" s="9"/>
      <c r="AD5681" s="9"/>
    </row>
    <row r="5682">
      <c r="A5682" s="16"/>
      <c r="B5682" s="22"/>
      <c r="C5682" s="18"/>
      <c r="D5682" s="19"/>
      <c r="E5682" s="18"/>
      <c r="F5682" s="9"/>
      <c r="G5682" s="9"/>
      <c r="H5682" s="9"/>
      <c r="I5682" s="9"/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  <c r="AA5682" s="9"/>
      <c r="AB5682" s="9"/>
      <c r="AC5682" s="9"/>
      <c r="AD5682" s="9"/>
    </row>
    <row r="5683">
      <c r="A5683" s="16"/>
      <c r="B5683" s="22"/>
      <c r="C5683" s="18"/>
      <c r="D5683" s="19"/>
      <c r="E5683" s="18"/>
      <c r="F5683" s="9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9"/>
      <c r="AC5683" s="9"/>
      <c r="AD5683" s="9"/>
    </row>
    <row r="5684">
      <c r="A5684" s="16"/>
      <c r="B5684" s="22"/>
      <c r="C5684" s="18"/>
      <c r="D5684" s="19"/>
      <c r="E5684" s="18"/>
      <c r="F5684" s="9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9"/>
      <c r="AC5684" s="9"/>
      <c r="AD5684" s="9"/>
    </row>
    <row r="5685">
      <c r="A5685" s="16"/>
      <c r="B5685" s="22"/>
      <c r="C5685" s="18"/>
      <c r="D5685" s="19"/>
      <c r="E5685" s="18"/>
      <c r="F5685" s="9"/>
      <c r="G5685" s="9"/>
      <c r="H5685" s="9"/>
      <c r="I5685" s="9"/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  <c r="AA5685" s="9"/>
      <c r="AB5685" s="9"/>
      <c r="AC5685" s="9"/>
      <c r="AD5685" s="9"/>
    </row>
    <row r="5686">
      <c r="A5686" s="16"/>
      <c r="B5686" s="22"/>
      <c r="C5686" s="18"/>
      <c r="D5686" s="19"/>
      <c r="E5686" s="18"/>
      <c r="F5686" s="9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  <c r="AB5686" s="9"/>
      <c r="AC5686" s="9"/>
      <c r="AD5686" s="9"/>
    </row>
    <row r="5687">
      <c r="A5687" s="16"/>
      <c r="B5687" s="22"/>
      <c r="C5687" s="18"/>
      <c r="D5687" s="19"/>
      <c r="E5687" s="18"/>
      <c r="F5687" s="9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  <c r="AB5687" s="9"/>
      <c r="AC5687" s="9"/>
      <c r="AD5687" s="9"/>
    </row>
    <row r="5688">
      <c r="A5688" s="16"/>
      <c r="B5688" s="22"/>
      <c r="C5688" s="18"/>
      <c r="D5688" s="19"/>
      <c r="E5688" s="18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9"/>
      <c r="AD5688" s="9"/>
    </row>
    <row r="5689">
      <c r="A5689" s="16"/>
      <c r="B5689" s="22"/>
      <c r="C5689" s="18"/>
      <c r="D5689" s="19"/>
      <c r="E5689" s="18"/>
      <c r="F5689" s="9"/>
      <c r="G5689" s="9"/>
      <c r="H5689" s="9"/>
      <c r="I5689" s="9"/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  <c r="AB5689" s="9"/>
      <c r="AC5689" s="9"/>
      <c r="AD5689" s="9"/>
    </row>
    <row r="5690">
      <c r="A5690" s="16"/>
      <c r="B5690" s="22"/>
      <c r="C5690" s="18"/>
      <c r="D5690" s="19"/>
      <c r="E5690" s="18"/>
      <c r="F5690" s="9"/>
      <c r="G5690" s="9"/>
      <c r="H5690" s="9"/>
      <c r="I5690" s="9"/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9"/>
      <c r="AC5690" s="9"/>
      <c r="AD5690" s="9"/>
    </row>
    <row r="5691">
      <c r="A5691" s="16"/>
      <c r="B5691" s="22"/>
      <c r="C5691" s="18"/>
      <c r="D5691" s="19"/>
      <c r="E5691" s="18"/>
      <c r="F5691" s="9"/>
      <c r="G5691" s="9"/>
      <c r="H5691" s="9"/>
      <c r="I5691" s="9"/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9"/>
      <c r="AC5691" s="9"/>
      <c r="AD5691" s="9"/>
    </row>
    <row r="5692">
      <c r="A5692" s="16"/>
      <c r="B5692" s="22"/>
      <c r="C5692" s="18"/>
      <c r="D5692" s="19"/>
      <c r="E5692" s="18"/>
      <c r="F5692" s="9"/>
      <c r="G5692" s="9"/>
      <c r="H5692" s="9"/>
      <c r="I5692" s="9"/>
      <c r="J5692" s="9"/>
      <c r="K5692" s="9"/>
      <c r="L5692" s="9"/>
      <c r="M5692" s="9"/>
      <c r="N5692" s="9"/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9"/>
      <c r="AC5692" s="9"/>
      <c r="AD5692" s="9"/>
    </row>
    <row r="5693">
      <c r="A5693" s="16"/>
      <c r="B5693" s="22"/>
      <c r="C5693" s="18"/>
      <c r="D5693" s="19"/>
      <c r="E5693" s="18"/>
      <c r="F5693" s="9"/>
      <c r="G5693" s="9"/>
      <c r="H5693" s="9"/>
      <c r="I5693" s="9"/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9"/>
      <c r="AC5693" s="9"/>
      <c r="AD5693" s="9"/>
    </row>
    <row r="5694">
      <c r="A5694" s="16"/>
      <c r="B5694" s="22"/>
      <c r="C5694" s="18"/>
      <c r="D5694" s="19"/>
      <c r="E5694" s="18"/>
      <c r="F5694" s="9"/>
      <c r="G5694" s="9"/>
      <c r="H5694" s="9"/>
      <c r="I5694" s="9"/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  <c r="AA5694" s="9"/>
      <c r="AB5694" s="9"/>
      <c r="AC5694" s="9"/>
      <c r="AD5694" s="9"/>
    </row>
    <row r="5695">
      <c r="A5695" s="16"/>
      <c r="B5695" s="22"/>
      <c r="C5695" s="18"/>
      <c r="D5695" s="19"/>
      <c r="E5695" s="18"/>
      <c r="F5695" s="9"/>
      <c r="G5695" s="9"/>
      <c r="H5695" s="9"/>
      <c r="I5695" s="9"/>
      <c r="J5695" s="9"/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9"/>
      <c r="AC5695" s="9"/>
      <c r="AD5695" s="9"/>
    </row>
    <row r="5696">
      <c r="A5696" s="16"/>
      <c r="B5696" s="22"/>
      <c r="C5696" s="18"/>
      <c r="D5696" s="19"/>
      <c r="E5696" s="18"/>
      <c r="F5696" s="9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9"/>
      <c r="AC5696" s="9"/>
      <c r="AD5696" s="9"/>
    </row>
    <row r="5697">
      <c r="A5697" s="16"/>
      <c r="B5697" s="22"/>
      <c r="C5697" s="18"/>
      <c r="D5697" s="19"/>
      <c r="E5697" s="18"/>
      <c r="F5697" s="9"/>
      <c r="G5697" s="9"/>
      <c r="H5697" s="9"/>
      <c r="I5697" s="9"/>
      <c r="J5697" s="9"/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9"/>
      <c r="AC5697" s="9"/>
      <c r="AD5697" s="9"/>
    </row>
    <row r="5698">
      <c r="A5698" s="16"/>
      <c r="B5698" s="22"/>
      <c r="C5698" s="18"/>
      <c r="D5698" s="19"/>
      <c r="E5698" s="18"/>
      <c r="F5698" s="9"/>
      <c r="G5698" s="9"/>
      <c r="H5698" s="9"/>
      <c r="I5698" s="9"/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  <c r="AB5698" s="9"/>
      <c r="AC5698" s="9"/>
      <c r="AD5698" s="9"/>
    </row>
    <row r="5699">
      <c r="A5699" s="16"/>
      <c r="B5699" s="22"/>
      <c r="C5699" s="18"/>
      <c r="D5699" s="19"/>
      <c r="E5699" s="18"/>
      <c r="F5699" s="9"/>
      <c r="G5699" s="9"/>
      <c r="H5699" s="9"/>
      <c r="I5699" s="9"/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  <c r="AB5699" s="9"/>
      <c r="AC5699" s="9"/>
      <c r="AD5699" s="9"/>
    </row>
    <row r="5700">
      <c r="A5700" s="16"/>
      <c r="B5700" s="22"/>
      <c r="C5700" s="18"/>
      <c r="D5700" s="19"/>
      <c r="E5700" s="18"/>
      <c r="F5700" s="9"/>
      <c r="G5700" s="9"/>
      <c r="H5700" s="9"/>
      <c r="I5700" s="9"/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  <c r="AB5700" s="9"/>
      <c r="AC5700" s="9"/>
      <c r="AD5700" s="9"/>
    </row>
    <row r="5701">
      <c r="A5701" s="16"/>
      <c r="B5701" s="22"/>
      <c r="C5701" s="18"/>
      <c r="D5701" s="19"/>
      <c r="E5701" s="18"/>
      <c r="F5701" s="9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  <c r="AB5701" s="9"/>
      <c r="AC5701" s="9"/>
      <c r="AD5701" s="9"/>
    </row>
    <row r="5702">
      <c r="A5702" s="16"/>
      <c r="B5702" s="22"/>
      <c r="C5702" s="18"/>
      <c r="D5702" s="19"/>
      <c r="E5702" s="18"/>
      <c r="F5702" s="9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  <c r="AA5702" s="9"/>
      <c r="AB5702" s="9"/>
      <c r="AC5702" s="9"/>
      <c r="AD5702" s="9"/>
    </row>
    <row r="5703">
      <c r="A5703" s="16"/>
      <c r="B5703" s="22"/>
      <c r="C5703" s="18"/>
      <c r="D5703" s="19"/>
      <c r="E5703" s="18"/>
      <c r="F5703" s="9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9"/>
      <c r="AC5703" s="9"/>
      <c r="AD5703" s="9"/>
    </row>
    <row r="5704">
      <c r="A5704" s="16"/>
      <c r="B5704" s="22"/>
      <c r="C5704" s="18"/>
      <c r="D5704" s="19"/>
      <c r="E5704" s="18"/>
      <c r="F5704" s="9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  <c r="Z5704" s="9"/>
      <c r="AA5704" s="9"/>
      <c r="AB5704" s="9"/>
      <c r="AC5704" s="9"/>
      <c r="AD5704" s="9"/>
    </row>
    <row r="5705">
      <c r="A5705" s="16"/>
      <c r="B5705" s="22"/>
      <c r="C5705" s="18"/>
      <c r="D5705" s="19"/>
      <c r="E5705" s="18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9"/>
      <c r="AC5705" s="9"/>
      <c r="AD5705" s="9"/>
    </row>
    <row r="5706">
      <c r="A5706" s="16"/>
      <c r="B5706" s="22"/>
      <c r="C5706" s="18"/>
      <c r="D5706" s="19"/>
      <c r="E5706" s="18"/>
      <c r="F5706" s="9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  <c r="AA5706" s="9"/>
      <c r="AB5706" s="9"/>
      <c r="AC5706" s="9"/>
      <c r="AD5706" s="9"/>
    </row>
    <row r="5707">
      <c r="A5707" s="16"/>
      <c r="B5707" s="22"/>
      <c r="C5707" s="18"/>
      <c r="D5707" s="19"/>
      <c r="E5707" s="18"/>
      <c r="F5707" s="9"/>
      <c r="G5707" s="9"/>
      <c r="H5707" s="9"/>
      <c r="I5707" s="9"/>
      <c r="J5707" s="9"/>
      <c r="K5707" s="9"/>
      <c r="L5707" s="9"/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9"/>
      <c r="AC5707" s="9"/>
      <c r="AD5707" s="9"/>
    </row>
    <row r="5708">
      <c r="A5708" s="16"/>
      <c r="B5708" s="22"/>
      <c r="C5708" s="18"/>
      <c r="D5708" s="19"/>
      <c r="E5708" s="18"/>
      <c r="F5708" s="9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  <c r="AB5708" s="9"/>
      <c r="AC5708" s="9"/>
      <c r="AD5708" s="9"/>
    </row>
    <row r="5709">
      <c r="A5709" s="16"/>
      <c r="B5709" s="22"/>
      <c r="C5709" s="18"/>
      <c r="D5709" s="19"/>
      <c r="E5709" s="18"/>
      <c r="F5709" s="9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9"/>
      <c r="AC5709" s="9"/>
      <c r="AD5709" s="9"/>
    </row>
    <row r="5710">
      <c r="A5710" s="16"/>
      <c r="B5710" s="22"/>
      <c r="C5710" s="18"/>
      <c r="D5710" s="19"/>
      <c r="E5710" s="18"/>
      <c r="F5710" s="9"/>
      <c r="G5710" s="9"/>
      <c r="H5710" s="9"/>
      <c r="I5710" s="9"/>
      <c r="J5710" s="9"/>
      <c r="K5710" s="9"/>
      <c r="L5710" s="9"/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  <c r="AA5710" s="9"/>
      <c r="AB5710" s="9"/>
      <c r="AC5710" s="9"/>
      <c r="AD5710" s="9"/>
    </row>
    <row r="5711">
      <c r="A5711" s="16"/>
      <c r="B5711" s="22"/>
      <c r="C5711" s="18"/>
      <c r="D5711" s="19"/>
      <c r="E5711" s="18"/>
      <c r="F5711" s="9"/>
      <c r="G5711" s="9"/>
      <c r="H5711" s="9"/>
      <c r="I5711" s="9"/>
      <c r="J5711" s="9"/>
      <c r="K5711" s="9"/>
      <c r="L5711" s="9"/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9"/>
      <c r="AC5711" s="9"/>
      <c r="AD5711" s="9"/>
    </row>
    <row r="5712">
      <c r="A5712" s="16"/>
      <c r="B5712" s="22"/>
      <c r="C5712" s="18"/>
      <c r="D5712" s="19"/>
      <c r="E5712" s="18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  <c r="AB5712" s="9"/>
      <c r="AC5712" s="9"/>
      <c r="AD5712" s="9"/>
    </row>
    <row r="5713">
      <c r="A5713" s="16"/>
      <c r="B5713" s="22"/>
      <c r="C5713" s="18"/>
      <c r="D5713" s="19"/>
      <c r="E5713" s="18"/>
      <c r="F5713" s="9"/>
      <c r="G5713" s="9"/>
      <c r="H5713" s="9"/>
      <c r="I5713" s="9"/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  <c r="AB5713" s="9"/>
      <c r="AC5713" s="9"/>
      <c r="AD5713" s="9"/>
    </row>
    <row r="5714">
      <c r="A5714" s="16"/>
      <c r="B5714" s="22"/>
      <c r="C5714" s="18"/>
      <c r="D5714" s="19"/>
      <c r="E5714" s="18"/>
      <c r="F5714" s="9"/>
      <c r="G5714" s="9"/>
      <c r="H5714" s="9"/>
      <c r="I5714" s="9"/>
      <c r="J5714" s="9"/>
      <c r="K5714" s="9"/>
      <c r="L5714" s="9"/>
      <c r="M5714" s="9"/>
      <c r="N5714" s="9"/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  <c r="AA5714" s="9"/>
      <c r="AB5714" s="9"/>
      <c r="AC5714" s="9"/>
      <c r="AD5714" s="9"/>
    </row>
    <row r="5715">
      <c r="A5715" s="16"/>
      <c r="B5715" s="22"/>
      <c r="C5715" s="18"/>
      <c r="D5715" s="19"/>
      <c r="E5715" s="18"/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  <c r="AB5715" s="9"/>
      <c r="AC5715" s="9"/>
      <c r="AD5715" s="9"/>
    </row>
    <row r="5716">
      <c r="A5716" s="16"/>
      <c r="B5716" s="22"/>
      <c r="C5716" s="18"/>
      <c r="D5716" s="19"/>
      <c r="E5716" s="18"/>
      <c r="F5716" s="9"/>
      <c r="G5716" s="9"/>
      <c r="H5716" s="9"/>
      <c r="I5716" s="9"/>
      <c r="J5716" s="9"/>
      <c r="K5716" s="9"/>
      <c r="L5716" s="9"/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  <c r="AA5716" s="9"/>
      <c r="AB5716" s="9"/>
      <c r="AC5716" s="9"/>
      <c r="AD5716" s="9"/>
    </row>
    <row r="5717">
      <c r="A5717" s="16"/>
      <c r="B5717" s="22"/>
      <c r="C5717" s="18"/>
      <c r="D5717" s="19"/>
      <c r="E5717" s="18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9"/>
      <c r="AC5717" s="9"/>
      <c r="AD5717" s="9"/>
    </row>
    <row r="5718">
      <c r="A5718" s="16"/>
      <c r="B5718" s="22"/>
      <c r="C5718" s="18"/>
      <c r="D5718" s="19"/>
      <c r="E5718" s="18"/>
      <c r="F5718" s="9"/>
      <c r="G5718" s="9"/>
      <c r="H5718" s="9"/>
      <c r="I5718" s="9"/>
      <c r="J5718" s="9"/>
      <c r="K5718" s="9"/>
      <c r="L5718" s="9"/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  <c r="AA5718" s="9"/>
      <c r="AB5718" s="9"/>
      <c r="AC5718" s="9"/>
      <c r="AD5718" s="9"/>
    </row>
    <row r="5719">
      <c r="A5719" s="16"/>
      <c r="B5719" s="22"/>
      <c r="C5719" s="18"/>
      <c r="D5719" s="19"/>
      <c r="E5719" s="18"/>
      <c r="F5719" s="9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  <c r="AB5719" s="9"/>
      <c r="AC5719" s="9"/>
      <c r="AD5719" s="9"/>
    </row>
    <row r="5720">
      <c r="A5720" s="16"/>
      <c r="B5720" s="22"/>
      <c r="C5720" s="18"/>
      <c r="D5720" s="19"/>
      <c r="E5720" s="18"/>
      <c r="F5720" s="9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  <c r="AB5720" s="9"/>
      <c r="AC5720" s="9"/>
      <c r="AD5720" s="9"/>
    </row>
    <row r="5721">
      <c r="A5721" s="16"/>
      <c r="B5721" s="22"/>
      <c r="C5721" s="18"/>
      <c r="D5721" s="19"/>
      <c r="E5721" s="18"/>
      <c r="F5721" s="9"/>
      <c r="G5721" s="9"/>
      <c r="H5721" s="9"/>
      <c r="I5721" s="9"/>
      <c r="J5721" s="9"/>
      <c r="K5721" s="9"/>
      <c r="L5721" s="9"/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  <c r="AB5721" s="9"/>
      <c r="AC5721" s="9"/>
      <c r="AD5721" s="9"/>
    </row>
    <row r="5722">
      <c r="A5722" s="16"/>
      <c r="B5722" s="22"/>
      <c r="C5722" s="18"/>
      <c r="D5722" s="19"/>
      <c r="E5722" s="18"/>
      <c r="F5722" s="9"/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  <c r="AA5722" s="9"/>
      <c r="AB5722" s="9"/>
      <c r="AC5722" s="9"/>
      <c r="AD5722" s="9"/>
    </row>
    <row r="5723">
      <c r="A5723" s="16"/>
      <c r="B5723" s="22"/>
      <c r="C5723" s="18"/>
      <c r="D5723" s="19"/>
      <c r="E5723" s="18"/>
      <c r="F5723" s="9"/>
      <c r="G5723" s="9"/>
      <c r="H5723" s="9"/>
      <c r="I5723" s="9"/>
      <c r="J5723" s="9"/>
      <c r="K5723" s="9"/>
      <c r="L5723" s="9"/>
      <c r="M5723" s="9"/>
      <c r="N5723" s="9"/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  <c r="AA5723" s="9"/>
      <c r="AB5723" s="9"/>
      <c r="AC5723" s="9"/>
      <c r="AD5723" s="9"/>
    </row>
    <row r="5724">
      <c r="A5724" s="16"/>
      <c r="B5724" s="22"/>
      <c r="C5724" s="18"/>
      <c r="D5724" s="19"/>
      <c r="E5724" s="18"/>
      <c r="F5724" s="9"/>
      <c r="G5724" s="9"/>
      <c r="H5724" s="9"/>
      <c r="I5724" s="9"/>
      <c r="J5724" s="9"/>
      <c r="K5724" s="9"/>
      <c r="L5724" s="9"/>
      <c r="M5724" s="9"/>
      <c r="N5724" s="9"/>
      <c r="O5724" s="9"/>
      <c r="P5724" s="9"/>
      <c r="Q5724" s="9"/>
      <c r="R5724" s="9"/>
      <c r="S5724" s="9"/>
      <c r="T5724" s="9"/>
      <c r="U5724" s="9"/>
      <c r="V5724" s="9"/>
      <c r="W5724" s="9"/>
      <c r="X5724" s="9"/>
      <c r="Y5724" s="9"/>
      <c r="Z5724" s="9"/>
      <c r="AA5724" s="9"/>
      <c r="AB5724" s="9"/>
      <c r="AC5724" s="9"/>
      <c r="AD5724" s="9"/>
    </row>
    <row r="5725">
      <c r="A5725" s="16"/>
      <c r="B5725" s="22"/>
      <c r="C5725" s="18"/>
      <c r="D5725" s="19"/>
      <c r="E5725" s="18"/>
      <c r="F5725" s="9"/>
      <c r="G5725" s="9"/>
      <c r="H5725" s="9"/>
      <c r="I5725" s="9"/>
      <c r="J5725" s="9"/>
      <c r="K5725" s="9"/>
      <c r="L5725" s="9"/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  <c r="AB5725" s="9"/>
      <c r="AC5725" s="9"/>
      <c r="AD5725" s="9"/>
    </row>
    <row r="5726">
      <c r="A5726" s="16"/>
      <c r="B5726" s="22"/>
      <c r="C5726" s="18"/>
      <c r="D5726" s="19"/>
      <c r="E5726" s="18"/>
      <c r="F5726" s="9"/>
      <c r="G5726" s="9"/>
      <c r="H5726" s="9"/>
      <c r="I5726" s="9"/>
      <c r="J5726" s="9"/>
      <c r="K5726" s="9"/>
      <c r="L5726" s="9"/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  <c r="AB5726" s="9"/>
      <c r="AC5726" s="9"/>
      <c r="AD5726" s="9"/>
    </row>
    <row r="5727">
      <c r="A5727" s="16"/>
      <c r="B5727" s="22"/>
      <c r="C5727" s="18"/>
      <c r="D5727" s="19"/>
      <c r="E5727" s="18"/>
      <c r="F5727" s="9"/>
      <c r="G5727" s="9"/>
      <c r="H5727" s="9"/>
      <c r="I5727" s="9"/>
      <c r="J5727" s="9"/>
      <c r="K5727" s="9"/>
      <c r="L5727" s="9"/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9"/>
      <c r="AC5727" s="9"/>
      <c r="AD5727" s="9"/>
    </row>
    <row r="5728">
      <c r="A5728" s="16"/>
      <c r="B5728" s="22"/>
      <c r="C5728" s="18"/>
      <c r="D5728" s="19"/>
      <c r="E5728" s="18"/>
      <c r="F5728" s="9"/>
      <c r="G5728" s="9"/>
      <c r="H5728" s="9"/>
      <c r="I5728" s="9"/>
      <c r="J5728" s="9"/>
      <c r="K5728" s="9"/>
      <c r="L5728" s="9"/>
      <c r="M5728" s="9"/>
      <c r="N5728" s="9"/>
      <c r="O5728" s="9"/>
      <c r="P5728" s="9"/>
      <c r="Q5728" s="9"/>
      <c r="R5728" s="9"/>
      <c r="S5728" s="9"/>
      <c r="T5728" s="9"/>
      <c r="U5728" s="9"/>
      <c r="V5728" s="9"/>
      <c r="W5728" s="9"/>
      <c r="X5728" s="9"/>
      <c r="Y5728" s="9"/>
      <c r="Z5728" s="9"/>
      <c r="AA5728" s="9"/>
      <c r="AB5728" s="9"/>
      <c r="AC5728" s="9"/>
      <c r="AD5728" s="9"/>
    </row>
    <row r="5729">
      <c r="A5729" s="16"/>
      <c r="B5729" s="22"/>
      <c r="C5729" s="18"/>
      <c r="D5729" s="19"/>
      <c r="E5729" s="18"/>
      <c r="F5729" s="9"/>
      <c r="G5729" s="9"/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9"/>
      <c r="AC5729" s="9"/>
      <c r="AD5729" s="9"/>
    </row>
    <row r="5730">
      <c r="A5730" s="16"/>
      <c r="B5730" s="22"/>
      <c r="C5730" s="18"/>
      <c r="D5730" s="19"/>
      <c r="E5730" s="18"/>
      <c r="F5730" s="9"/>
      <c r="G5730" s="9"/>
      <c r="H5730" s="9"/>
      <c r="I5730" s="9"/>
      <c r="J5730" s="9"/>
      <c r="K5730" s="9"/>
      <c r="L5730" s="9"/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9"/>
      <c r="AC5730" s="9"/>
      <c r="AD5730" s="9"/>
    </row>
    <row r="5731">
      <c r="A5731" s="16"/>
      <c r="B5731" s="22"/>
      <c r="C5731" s="18"/>
      <c r="D5731" s="19"/>
      <c r="E5731" s="18"/>
      <c r="F5731" s="9"/>
      <c r="G5731" s="9"/>
      <c r="H5731" s="9"/>
      <c r="I5731" s="9"/>
      <c r="J5731" s="9"/>
      <c r="K5731" s="9"/>
      <c r="L5731" s="9"/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  <c r="AB5731" s="9"/>
      <c r="AC5731" s="9"/>
      <c r="AD5731" s="9"/>
    </row>
    <row r="5732">
      <c r="A5732" s="16"/>
      <c r="B5732" s="22"/>
      <c r="C5732" s="18"/>
      <c r="D5732" s="19"/>
      <c r="E5732" s="18"/>
      <c r="F5732" s="9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  <c r="W5732" s="9"/>
      <c r="X5732" s="9"/>
      <c r="Y5732" s="9"/>
      <c r="Z5732" s="9"/>
      <c r="AA5732" s="9"/>
      <c r="AB5732" s="9"/>
      <c r="AC5732" s="9"/>
      <c r="AD5732" s="9"/>
    </row>
    <row r="5733">
      <c r="A5733" s="16"/>
      <c r="B5733" s="22"/>
      <c r="C5733" s="18"/>
      <c r="D5733" s="19"/>
      <c r="E5733" s="18"/>
      <c r="F5733" s="9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  <c r="AB5733" s="9"/>
      <c r="AC5733" s="9"/>
      <c r="AD5733" s="9"/>
    </row>
    <row r="5734">
      <c r="A5734" s="16"/>
      <c r="B5734" s="22"/>
      <c r="C5734" s="18"/>
      <c r="D5734" s="19"/>
      <c r="E5734" s="18"/>
      <c r="F5734" s="9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  <c r="AA5734" s="9"/>
      <c r="AB5734" s="9"/>
      <c r="AC5734" s="9"/>
      <c r="AD5734" s="9"/>
    </row>
    <row r="5735">
      <c r="A5735" s="16"/>
      <c r="B5735" s="22"/>
      <c r="C5735" s="18"/>
      <c r="D5735" s="19"/>
      <c r="E5735" s="18"/>
      <c r="F5735" s="9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9"/>
      <c r="AC5735" s="9"/>
      <c r="AD5735" s="9"/>
    </row>
    <row r="5736">
      <c r="A5736" s="16"/>
      <c r="B5736" s="22"/>
      <c r="C5736" s="18"/>
      <c r="D5736" s="19"/>
      <c r="E5736" s="18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  <c r="AA5736" s="9"/>
      <c r="AB5736" s="9"/>
      <c r="AC5736" s="9"/>
      <c r="AD5736" s="9"/>
    </row>
    <row r="5737">
      <c r="A5737" s="16"/>
      <c r="B5737" s="22"/>
      <c r="C5737" s="18"/>
      <c r="D5737" s="19"/>
      <c r="E5737" s="18"/>
      <c r="F5737" s="9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  <c r="AB5737" s="9"/>
      <c r="AC5737" s="9"/>
      <c r="AD5737" s="9"/>
    </row>
    <row r="5738">
      <c r="A5738" s="16"/>
      <c r="B5738" s="22"/>
      <c r="C5738" s="18"/>
      <c r="D5738" s="19"/>
      <c r="E5738" s="18"/>
      <c r="F5738" s="9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  <c r="W5738" s="9"/>
      <c r="X5738" s="9"/>
      <c r="Y5738" s="9"/>
      <c r="Z5738" s="9"/>
      <c r="AA5738" s="9"/>
      <c r="AB5738" s="9"/>
      <c r="AC5738" s="9"/>
      <c r="AD5738" s="9"/>
    </row>
    <row r="5739">
      <c r="A5739" s="16"/>
      <c r="B5739" s="22"/>
      <c r="C5739" s="18"/>
      <c r="D5739" s="19"/>
      <c r="E5739" s="18"/>
      <c r="F5739" s="9"/>
      <c r="G5739" s="9"/>
      <c r="H5739" s="9"/>
      <c r="I5739" s="9"/>
      <c r="J5739" s="9"/>
      <c r="K5739" s="9"/>
      <c r="L5739" s="9"/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  <c r="AB5739" s="9"/>
      <c r="AC5739" s="9"/>
      <c r="AD5739" s="9"/>
    </row>
  </sheetData>
  <drawing r:id="rId1"/>
</worksheet>
</file>